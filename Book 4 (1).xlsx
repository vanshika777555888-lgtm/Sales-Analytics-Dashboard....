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slicers/slicer1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1484" documentId="11_E60897F41BE170836B02CE998F75CCDC64E183C8" xr6:coauthVersionLast="47" xr6:coauthVersionMax="47" xr10:uidLastSave="{C1E1D53B-607E-4094-84B2-0BFB40243B16}"/>
  <bookViews>
    <workbookView xWindow="240" yWindow="105" windowWidth="14805" windowHeight="8010" firstSheet="12" activeTab="12" xr2:uid="{00000000-000D-0000-FFFF-FFFF00000000}"/>
  </bookViews>
  <sheets>
    <sheet name="Raw_Data" sheetId="5" r:id="rId1"/>
    <sheet name="Sheet2" sheetId="8" r:id="rId2"/>
    <sheet name="Sheet3" sheetId="9" r:id="rId3"/>
    <sheet name="Sheet4" sheetId="10" r:id="rId4"/>
    <sheet name="Sheet6" sheetId="12" r:id="rId5"/>
    <sheet name="Sheet7" sheetId="13" r:id="rId6"/>
    <sheet name="Sheet8" sheetId="14" r:id="rId7"/>
    <sheet name="Sheet9" sheetId="15" r:id="rId8"/>
    <sheet name="Sheet10" sheetId="16" r:id="rId9"/>
    <sheet name="Sheet5" sheetId="11" r:id="rId10"/>
    <sheet name="Detail1" sheetId="18" r:id="rId11"/>
    <sheet name="Dashboard" sheetId="17" r:id="rId12"/>
    <sheet name="Sheet1" sheetId="6" r:id="rId13"/>
    <sheet name="Analaysis" sheetId="7" r:id="rId14"/>
  </sheets>
  <externalReferences>
    <externalReference r:id="rId15"/>
  </externalReferences>
  <definedNames>
    <definedName name="_xlnm._FilterDatabase" localSheetId="9" hidden="1">Sheet5!$F$3:$F$3</definedName>
    <definedName name="Slicer_Category">#N/A</definedName>
    <definedName name="Slicer_Customer_Segment">#N/A</definedName>
    <definedName name="Slicer_Region">#N/A</definedName>
    <definedName name="Slicer_Sales_Channel">#N/A</definedName>
  </definedNames>
  <calcPr calcId="191028"/>
  <pivotCaches>
    <pivotCache cacheId="22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G2" i="6" l="1"/>
  <c r="BV3" i="7"/>
  <c r="BS3" i="7"/>
  <c r="BS2" i="7"/>
  <c r="BP2" i="7" a="1"/>
  <c r="BP2" i="7" s="1"/>
  <c r="BN2" i="7" a="1"/>
  <c r="BN2" i="7" s="1"/>
  <c r="BL2" i="7" a="1"/>
  <c r="BL2" i="7" s="1"/>
  <c r="BJ2" i="7"/>
  <c r="BI2" i="7"/>
  <c r="BF2" i="7"/>
  <c r="BE2" i="7"/>
  <c r="AA2" i="17"/>
  <c r="Y2" i="17"/>
  <c r="W2" i="17"/>
  <c r="U2" i="17"/>
  <c r="S2" i="17"/>
  <c r="AL2" i="7"/>
  <c r="AK2" i="7"/>
  <c r="T2" i="7"/>
  <c r="Q2" i="7"/>
  <c r="N2" i="7"/>
  <c r="J2" i="7" a="1"/>
  <c r="J2" i="7" s="1"/>
  <c r="G2" i="7" a="1"/>
  <c r="G2" i="7" s="1"/>
  <c r="D2" i="7" a="1"/>
  <c r="D2" i="7" s="1"/>
  <c r="A2" i="7" a="1"/>
  <c r="A2" i="7" s="1"/>
  <c r="AW2" i="6"/>
  <c r="AW3" i="6"/>
  <c r="AW4" i="6"/>
  <c r="AW5" i="6"/>
  <c r="AS3" i="6"/>
  <c r="AS4" i="6"/>
  <c r="AS5" i="6"/>
  <c r="AS6" i="6"/>
  <c r="AS2" i="6"/>
  <c r="AR3" i="6"/>
  <c r="AR4" i="6"/>
  <c r="AR5" i="6"/>
  <c r="AR6" i="6"/>
  <c r="AR2" i="6"/>
  <c r="AV3" i="6"/>
  <c r="AV4" i="6"/>
  <c r="AV5" i="6"/>
  <c r="AV6" i="6"/>
  <c r="AV2" i="6"/>
  <c r="AL2" i="6"/>
  <c r="AK2" i="6"/>
  <c r="AJ2" i="6"/>
  <c r="AI2" i="6"/>
  <c r="AH2" i="6"/>
  <c r="B2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3" i="7"/>
  <c r="B4" i="7"/>
  <c r="B5" i="7"/>
  <c r="E2" i="7"/>
  <c r="E3" i="7"/>
  <c r="E4" i="7"/>
  <c r="E5" i="7"/>
  <c r="E6" i="7"/>
  <c r="E7" i="7"/>
  <c r="E8" i="7"/>
  <c r="E9" i="7"/>
  <c r="E10" i="7"/>
  <c r="E11" i="7"/>
  <c r="H2" i="7"/>
  <c r="H3" i="7"/>
  <c r="H4" i="7"/>
  <c r="H5" i="7"/>
  <c r="H6" i="7"/>
  <c r="H7" i="7"/>
  <c r="H8" i="7"/>
  <c r="H9" i="7"/>
  <c r="H10" i="7"/>
  <c r="H11" i="7"/>
  <c r="H12" i="7"/>
  <c r="H13" i="7"/>
  <c r="K2" i="7"/>
  <c r="K3" i="7"/>
  <c r="AX1001" i="6"/>
  <c r="AX1000" i="6"/>
  <c r="AX999" i="6"/>
  <c r="AX998" i="6"/>
  <c r="AX997" i="6"/>
  <c r="AX996" i="6"/>
  <c r="AX995" i="6"/>
  <c r="AX994" i="6"/>
  <c r="AX993" i="6"/>
  <c r="AX992" i="6"/>
  <c r="AX991" i="6"/>
  <c r="AX990" i="6"/>
  <c r="AX989" i="6"/>
  <c r="AX988" i="6"/>
  <c r="AX987" i="6"/>
  <c r="AX986" i="6"/>
  <c r="AX985" i="6"/>
  <c r="AX984" i="6"/>
  <c r="AX983" i="6"/>
  <c r="AX982" i="6"/>
  <c r="AX981" i="6"/>
  <c r="AX980" i="6"/>
  <c r="AX979" i="6"/>
  <c r="AX978" i="6"/>
  <c r="AX977" i="6"/>
  <c r="AX976" i="6"/>
  <c r="AX975" i="6"/>
  <c r="AX974" i="6"/>
  <c r="AX973" i="6"/>
  <c r="AX972" i="6"/>
  <c r="AX971" i="6"/>
  <c r="AX970" i="6"/>
  <c r="AX969" i="6"/>
  <c r="AX968" i="6"/>
  <c r="AX967" i="6"/>
  <c r="AX966" i="6"/>
  <c r="AX965" i="6"/>
  <c r="AX964" i="6"/>
  <c r="AX963" i="6"/>
  <c r="AX962" i="6"/>
  <c r="AX961" i="6"/>
  <c r="AX960" i="6"/>
  <c r="AX959" i="6"/>
  <c r="AX958" i="6"/>
  <c r="AX957" i="6"/>
  <c r="AX956" i="6"/>
  <c r="AX955" i="6"/>
  <c r="AX954" i="6"/>
  <c r="AX953" i="6"/>
  <c r="AX952" i="6"/>
  <c r="AX951" i="6"/>
  <c r="AX950" i="6"/>
  <c r="AX949" i="6"/>
  <c r="AX948" i="6"/>
  <c r="AX947" i="6"/>
  <c r="AX946" i="6"/>
  <c r="AX945" i="6"/>
  <c r="AX944" i="6"/>
  <c r="AX943" i="6"/>
  <c r="AX942" i="6"/>
  <c r="AX941" i="6"/>
  <c r="AX940" i="6"/>
  <c r="AX939" i="6"/>
  <c r="AX938" i="6"/>
  <c r="AX937" i="6"/>
  <c r="AX936" i="6"/>
  <c r="AX935" i="6"/>
  <c r="AX934" i="6"/>
  <c r="AX933" i="6"/>
  <c r="AX932" i="6"/>
  <c r="AX931" i="6"/>
  <c r="AX930" i="6"/>
  <c r="AX929" i="6"/>
  <c r="AX928" i="6"/>
  <c r="AX927" i="6"/>
  <c r="AX926" i="6"/>
  <c r="AX925" i="6"/>
  <c r="AX924" i="6"/>
  <c r="AX923" i="6"/>
  <c r="AX922" i="6"/>
  <c r="AX921" i="6"/>
  <c r="AX920" i="6"/>
  <c r="AX919" i="6"/>
  <c r="AX918" i="6"/>
  <c r="AX917" i="6"/>
  <c r="AX916" i="6"/>
  <c r="AX915" i="6"/>
  <c r="AX914" i="6"/>
  <c r="AX913" i="6"/>
  <c r="AX912" i="6"/>
  <c r="AX911" i="6"/>
  <c r="AX910" i="6"/>
  <c r="AX909" i="6"/>
  <c r="AX908" i="6"/>
  <c r="AX907" i="6"/>
  <c r="AX906" i="6"/>
  <c r="AX905" i="6"/>
  <c r="AX904" i="6"/>
  <c r="AX903" i="6"/>
  <c r="AX902" i="6"/>
  <c r="AX901" i="6"/>
  <c r="AX900" i="6"/>
  <c r="AX899" i="6"/>
  <c r="AX898" i="6"/>
  <c r="AX897" i="6"/>
  <c r="AX896" i="6"/>
  <c r="AX895" i="6"/>
  <c r="AX894" i="6"/>
  <c r="AX893" i="6"/>
  <c r="AX892" i="6"/>
  <c r="AX891" i="6"/>
  <c r="AX890" i="6"/>
  <c r="AX889" i="6"/>
  <c r="AX888" i="6"/>
  <c r="AX887" i="6"/>
  <c r="AX886" i="6"/>
  <c r="AX885" i="6"/>
  <c r="AX884" i="6"/>
  <c r="AX883" i="6"/>
  <c r="AX882" i="6"/>
  <c r="AX881" i="6"/>
  <c r="AX880" i="6"/>
  <c r="AX879" i="6"/>
  <c r="AX878" i="6"/>
  <c r="AX877" i="6"/>
  <c r="AX876" i="6"/>
  <c r="AX875" i="6"/>
  <c r="AX874" i="6"/>
  <c r="AX873" i="6"/>
  <c r="AX872" i="6"/>
  <c r="AX871" i="6"/>
  <c r="AX870" i="6"/>
  <c r="AX869" i="6"/>
  <c r="AX868" i="6"/>
  <c r="AX867" i="6"/>
  <c r="AX866" i="6"/>
  <c r="AX865" i="6"/>
  <c r="AX864" i="6"/>
  <c r="AX863" i="6"/>
  <c r="AX862" i="6"/>
  <c r="AX861" i="6"/>
  <c r="AX860" i="6"/>
  <c r="AX859" i="6"/>
  <c r="AX858" i="6"/>
  <c r="AX857" i="6"/>
  <c r="AX856" i="6"/>
  <c r="AX855" i="6"/>
  <c r="AX854" i="6"/>
  <c r="AX853" i="6"/>
  <c r="AX852" i="6"/>
  <c r="AX851" i="6"/>
  <c r="AX850" i="6"/>
  <c r="AX849" i="6"/>
  <c r="AX848" i="6"/>
  <c r="AX847" i="6"/>
  <c r="AX846" i="6"/>
  <c r="AX845" i="6"/>
  <c r="AX844" i="6"/>
  <c r="AX843" i="6"/>
  <c r="AX842" i="6"/>
  <c r="AX841" i="6"/>
  <c r="AX840" i="6"/>
  <c r="AX839" i="6"/>
  <c r="AX838" i="6"/>
  <c r="AX837" i="6"/>
  <c r="AX836" i="6"/>
  <c r="AX835" i="6"/>
  <c r="AX834" i="6"/>
  <c r="AX833" i="6"/>
  <c r="AX832" i="6"/>
  <c r="AX831" i="6"/>
  <c r="AX830" i="6"/>
  <c r="AX829" i="6"/>
  <c r="AX828" i="6"/>
  <c r="AX827" i="6"/>
  <c r="AX826" i="6"/>
  <c r="AX825" i="6"/>
  <c r="AX824" i="6"/>
  <c r="AX823" i="6"/>
  <c r="AX822" i="6"/>
  <c r="AX821" i="6"/>
  <c r="AX820" i="6"/>
  <c r="AX819" i="6"/>
  <c r="AX818" i="6"/>
  <c r="AX817" i="6"/>
  <c r="AX816" i="6"/>
  <c r="AX815" i="6"/>
  <c r="AX814" i="6"/>
  <c r="AX813" i="6"/>
  <c r="AX812" i="6"/>
  <c r="AX811" i="6"/>
  <c r="AX810" i="6"/>
  <c r="AX809" i="6"/>
  <c r="AX808" i="6"/>
  <c r="AX807" i="6"/>
  <c r="AX806" i="6"/>
  <c r="AX805" i="6"/>
  <c r="AX804" i="6"/>
  <c r="AX803" i="6"/>
  <c r="AX802" i="6"/>
  <c r="AX801" i="6"/>
  <c r="AX800" i="6"/>
  <c r="AX799" i="6"/>
  <c r="AX798" i="6"/>
  <c r="AX797" i="6"/>
  <c r="AX796" i="6"/>
  <c r="AX795" i="6"/>
  <c r="AX794" i="6"/>
  <c r="AX793" i="6"/>
  <c r="AX792" i="6"/>
  <c r="AX791" i="6"/>
  <c r="AX790" i="6"/>
  <c r="AX789" i="6"/>
  <c r="AX788" i="6"/>
  <c r="AX787" i="6"/>
  <c r="AX786" i="6"/>
  <c r="AX785" i="6"/>
  <c r="AX784" i="6"/>
  <c r="AX783" i="6"/>
  <c r="AX782" i="6"/>
  <c r="AX781" i="6"/>
  <c r="AX780" i="6"/>
  <c r="AX779" i="6"/>
  <c r="AX778" i="6"/>
  <c r="AX777" i="6"/>
  <c r="AX776" i="6"/>
  <c r="AX775" i="6"/>
  <c r="AX774" i="6"/>
  <c r="AX773" i="6"/>
  <c r="AX772" i="6"/>
  <c r="AX771" i="6"/>
  <c r="AX770" i="6"/>
  <c r="AX769" i="6"/>
  <c r="AX768" i="6"/>
  <c r="AX767" i="6"/>
  <c r="AX766" i="6"/>
  <c r="AX765" i="6"/>
  <c r="AX764" i="6"/>
  <c r="AX763" i="6"/>
  <c r="AX762" i="6"/>
  <c r="AX761" i="6"/>
  <c r="AX760" i="6"/>
  <c r="AX759" i="6"/>
  <c r="AX758" i="6"/>
  <c r="AX757" i="6"/>
  <c r="AX756" i="6"/>
  <c r="AX755" i="6"/>
  <c r="AX754" i="6"/>
  <c r="AX753" i="6"/>
  <c r="AX752" i="6"/>
  <c r="AX751" i="6"/>
  <c r="AX750" i="6"/>
  <c r="AX749" i="6"/>
  <c r="AX748" i="6"/>
  <c r="AX747" i="6"/>
  <c r="AX746" i="6"/>
  <c r="AX745" i="6"/>
  <c r="AX744" i="6"/>
  <c r="AX743" i="6"/>
  <c r="AX742" i="6"/>
  <c r="AX741" i="6"/>
  <c r="AX740" i="6"/>
  <c r="AX739" i="6"/>
  <c r="AX738" i="6"/>
  <c r="AX737" i="6"/>
  <c r="AX736" i="6"/>
  <c r="AX735" i="6"/>
  <c r="AX734" i="6"/>
  <c r="AX733" i="6"/>
  <c r="AX732" i="6"/>
  <c r="AX731" i="6"/>
  <c r="AX730" i="6"/>
  <c r="AX729" i="6"/>
  <c r="AX728" i="6"/>
  <c r="AX727" i="6"/>
  <c r="AX726" i="6"/>
  <c r="AX725" i="6"/>
  <c r="AX724" i="6"/>
  <c r="AX723" i="6"/>
  <c r="AX722" i="6"/>
  <c r="AX721" i="6"/>
  <c r="AX720" i="6"/>
  <c r="AX719" i="6"/>
  <c r="AX718" i="6"/>
  <c r="AX717" i="6"/>
  <c r="AX716" i="6"/>
  <c r="AX715" i="6"/>
  <c r="AX714" i="6"/>
  <c r="AX713" i="6"/>
  <c r="AX712" i="6"/>
  <c r="AX711" i="6"/>
  <c r="AX710" i="6"/>
  <c r="AX709" i="6"/>
  <c r="AX708" i="6"/>
  <c r="AX707" i="6"/>
  <c r="AX706" i="6"/>
  <c r="AX705" i="6"/>
  <c r="AX704" i="6"/>
  <c r="AX703" i="6"/>
  <c r="AX702" i="6"/>
  <c r="AX701" i="6"/>
  <c r="AX700" i="6"/>
  <c r="AX699" i="6"/>
  <c r="AX698" i="6"/>
  <c r="AX697" i="6"/>
  <c r="AX696" i="6"/>
  <c r="AX695" i="6"/>
  <c r="AX694" i="6"/>
  <c r="AX693" i="6"/>
  <c r="AX692" i="6"/>
  <c r="AX691" i="6"/>
  <c r="AX690" i="6"/>
  <c r="AX689" i="6"/>
  <c r="AX688" i="6"/>
  <c r="AX687" i="6"/>
  <c r="AX686" i="6"/>
  <c r="AX685" i="6"/>
  <c r="AX684" i="6"/>
  <c r="AX683" i="6"/>
  <c r="AX682" i="6"/>
  <c r="AX681" i="6"/>
  <c r="AX680" i="6"/>
  <c r="AX679" i="6"/>
  <c r="AX678" i="6"/>
  <c r="AX677" i="6"/>
  <c r="AX676" i="6"/>
  <c r="AX675" i="6"/>
  <c r="AX674" i="6"/>
  <c r="AX673" i="6"/>
  <c r="AX672" i="6"/>
  <c r="AX671" i="6"/>
  <c r="AX670" i="6"/>
  <c r="AX669" i="6"/>
  <c r="AX668" i="6"/>
  <c r="AX667" i="6"/>
  <c r="AX666" i="6"/>
  <c r="AX665" i="6"/>
  <c r="AX664" i="6"/>
  <c r="AX663" i="6"/>
  <c r="AX662" i="6"/>
  <c r="AX661" i="6"/>
  <c r="AX660" i="6"/>
  <c r="AX659" i="6"/>
  <c r="AX658" i="6"/>
  <c r="AX657" i="6"/>
  <c r="AX656" i="6"/>
  <c r="AX655" i="6"/>
  <c r="AX654" i="6"/>
  <c r="AX653" i="6"/>
  <c r="AX652" i="6"/>
  <c r="AX651" i="6"/>
  <c r="AX650" i="6"/>
  <c r="AX649" i="6"/>
  <c r="AX648" i="6"/>
  <c r="AX647" i="6"/>
  <c r="AX646" i="6"/>
  <c r="AX645" i="6"/>
  <c r="AX644" i="6"/>
  <c r="AX643" i="6"/>
  <c r="AX642" i="6"/>
  <c r="AX641" i="6"/>
  <c r="AX640" i="6"/>
  <c r="AX639" i="6"/>
  <c r="AX638" i="6"/>
  <c r="AX637" i="6"/>
  <c r="AX636" i="6"/>
  <c r="AX635" i="6"/>
  <c r="AX634" i="6"/>
  <c r="AX633" i="6"/>
  <c r="AX632" i="6"/>
  <c r="AX631" i="6"/>
  <c r="AX630" i="6"/>
  <c r="AX629" i="6"/>
  <c r="AX628" i="6"/>
  <c r="AX627" i="6"/>
  <c r="AX626" i="6"/>
  <c r="AX625" i="6"/>
  <c r="AX624" i="6"/>
  <c r="AX623" i="6"/>
  <c r="AX622" i="6"/>
  <c r="AX621" i="6"/>
  <c r="AX620" i="6"/>
  <c r="AX619" i="6"/>
  <c r="AX618" i="6"/>
  <c r="AX617" i="6"/>
  <c r="AX616" i="6"/>
  <c r="AX615" i="6"/>
  <c r="AX614" i="6"/>
  <c r="AX613" i="6"/>
  <c r="AX612" i="6"/>
  <c r="AX611" i="6"/>
  <c r="AX610" i="6"/>
  <c r="AX609" i="6"/>
  <c r="AX608" i="6"/>
  <c r="AX607" i="6"/>
  <c r="AX606" i="6"/>
  <c r="AX605" i="6"/>
  <c r="AX604" i="6"/>
  <c r="AX603" i="6"/>
  <c r="AX602" i="6"/>
  <c r="AX601" i="6"/>
  <c r="AX600" i="6"/>
  <c r="AX599" i="6"/>
  <c r="AX598" i="6"/>
  <c r="AX597" i="6"/>
  <c r="AX596" i="6"/>
  <c r="AX595" i="6"/>
  <c r="AX594" i="6"/>
  <c r="AX593" i="6"/>
  <c r="AX592" i="6"/>
  <c r="AX591" i="6"/>
  <c r="AX590" i="6"/>
  <c r="AX589" i="6"/>
  <c r="AX588" i="6"/>
  <c r="AX587" i="6"/>
  <c r="AX586" i="6"/>
  <c r="AX585" i="6"/>
  <c r="AX584" i="6"/>
  <c r="AX583" i="6"/>
  <c r="AX582" i="6"/>
  <c r="AX581" i="6"/>
  <c r="AX580" i="6"/>
  <c r="AX579" i="6"/>
  <c r="AX578" i="6"/>
  <c r="AX577" i="6"/>
  <c r="AX576" i="6"/>
  <c r="AX575" i="6"/>
  <c r="AX574" i="6"/>
  <c r="AX573" i="6"/>
  <c r="AX572" i="6"/>
  <c r="AX571" i="6"/>
  <c r="AX570" i="6"/>
  <c r="AX569" i="6"/>
  <c r="AX568" i="6"/>
  <c r="AX567" i="6"/>
  <c r="AX566" i="6"/>
  <c r="AX565" i="6"/>
  <c r="AX564" i="6"/>
  <c r="AX563" i="6"/>
  <c r="AX562" i="6"/>
  <c r="AX561" i="6"/>
  <c r="AX560" i="6"/>
  <c r="AX559" i="6"/>
  <c r="AX558" i="6"/>
  <c r="AX557" i="6"/>
  <c r="AX556" i="6"/>
  <c r="AX555" i="6"/>
  <c r="AX554" i="6"/>
  <c r="AX553" i="6"/>
  <c r="AX552" i="6"/>
  <c r="AX551" i="6"/>
  <c r="AX550" i="6"/>
  <c r="AX549" i="6"/>
  <c r="AX548" i="6"/>
  <c r="AX547" i="6"/>
  <c r="AX546" i="6"/>
  <c r="AX545" i="6"/>
  <c r="AX544" i="6"/>
  <c r="AX543" i="6"/>
  <c r="AX542" i="6"/>
  <c r="AX541" i="6"/>
  <c r="AX540" i="6"/>
  <c r="AX539" i="6"/>
  <c r="AX538" i="6"/>
  <c r="AX537" i="6"/>
  <c r="AX536" i="6"/>
  <c r="AX535" i="6"/>
  <c r="AX534" i="6"/>
  <c r="AX533" i="6"/>
  <c r="AX532" i="6"/>
  <c r="AX531" i="6"/>
  <c r="AX530" i="6"/>
  <c r="AX529" i="6"/>
  <c r="AX528" i="6"/>
  <c r="AX527" i="6"/>
  <c r="AX526" i="6"/>
  <c r="AX525" i="6"/>
  <c r="AX524" i="6"/>
  <c r="AX523" i="6"/>
  <c r="AX522" i="6"/>
  <c r="AX521" i="6"/>
  <c r="AX520" i="6"/>
  <c r="AX519" i="6"/>
  <c r="AX518" i="6"/>
  <c r="AX517" i="6"/>
  <c r="AX516" i="6"/>
  <c r="AX515" i="6"/>
  <c r="AX514" i="6"/>
  <c r="AX513" i="6"/>
  <c r="AX512" i="6"/>
  <c r="AX511" i="6"/>
  <c r="AX510" i="6"/>
  <c r="AX509" i="6"/>
  <c r="AX508" i="6"/>
  <c r="AX507" i="6"/>
  <c r="AX506" i="6"/>
  <c r="AX505" i="6"/>
  <c r="AX504" i="6"/>
  <c r="AX503" i="6"/>
  <c r="AX502" i="6"/>
  <c r="AX501" i="6"/>
  <c r="AX500" i="6"/>
  <c r="AX499" i="6"/>
  <c r="AX498" i="6"/>
  <c r="AX497" i="6"/>
  <c r="AX496" i="6"/>
  <c r="AX495" i="6"/>
  <c r="AX494" i="6"/>
  <c r="AX493" i="6"/>
  <c r="AX492" i="6"/>
  <c r="AX491" i="6"/>
  <c r="AX490" i="6"/>
  <c r="AX489" i="6"/>
  <c r="AX488" i="6"/>
  <c r="AX487" i="6"/>
  <c r="AX486" i="6"/>
  <c r="AX485" i="6"/>
  <c r="AX484" i="6"/>
  <c r="AX483" i="6"/>
  <c r="AX482" i="6"/>
  <c r="AX481" i="6"/>
  <c r="AX480" i="6"/>
  <c r="AX47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X325" i="6"/>
  <c r="AX324" i="6"/>
  <c r="AX323" i="6"/>
  <c r="AX322" i="6"/>
  <c r="AX321" i="6"/>
  <c r="AX320" i="6"/>
  <c r="AX319" i="6"/>
  <c r="AX318" i="6"/>
  <c r="AX317" i="6"/>
  <c r="AX316" i="6"/>
  <c r="AX315" i="6"/>
  <c r="AX314" i="6"/>
  <c r="AX313" i="6"/>
  <c r="AX312" i="6"/>
  <c r="AX311" i="6"/>
  <c r="AX310" i="6"/>
  <c r="AX309" i="6"/>
  <c r="AX308" i="6"/>
  <c r="AX307" i="6"/>
  <c r="AX306" i="6"/>
  <c r="AX305" i="6"/>
  <c r="AX304" i="6"/>
  <c r="AX303" i="6"/>
  <c r="AX302" i="6"/>
  <c r="AX301" i="6"/>
  <c r="AX300" i="6"/>
  <c r="AX299" i="6"/>
  <c r="AX298" i="6"/>
  <c r="AX297" i="6"/>
  <c r="AX296" i="6"/>
  <c r="AX295" i="6"/>
  <c r="AX294" i="6"/>
  <c r="AX293" i="6"/>
  <c r="AX292" i="6"/>
  <c r="AX291" i="6"/>
  <c r="AX290" i="6"/>
  <c r="AX289" i="6"/>
  <c r="AX288" i="6"/>
  <c r="AX287" i="6"/>
  <c r="AX286" i="6"/>
  <c r="AX285" i="6"/>
  <c r="AX284" i="6"/>
  <c r="AX283" i="6"/>
  <c r="AX282" i="6"/>
  <c r="AX281" i="6"/>
  <c r="AX280" i="6"/>
  <c r="AX279" i="6"/>
  <c r="AX278" i="6"/>
  <c r="AX277" i="6"/>
  <c r="AX276" i="6"/>
  <c r="AX275" i="6"/>
  <c r="AX274" i="6"/>
  <c r="AX273" i="6"/>
  <c r="AX272" i="6"/>
  <c r="AX271" i="6"/>
  <c r="AX270" i="6"/>
  <c r="AX269" i="6"/>
  <c r="AX268" i="6"/>
  <c r="AX267" i="6"/>
  <c r="AX266" i="6"/>
  <c r="AX265" i="6"/>
  <c r="AX264" i="6"/>
  <c r="AX263" i="6"/>
  <c r="AX262" i="6"/>
  <c r="AX261" i="6"/>
  <c r="AX260" i="6"/>
  <c r="AX259" i="6"/>
  <c r="AX258" i="6"/>
  <c r="AX257" i="6"/>
  <c r="AX256" i="6"/>
  <c r="AX255" i="6"/>
  <c r="AX254" i="6"/>
  <c r="AX253" i="6"/>
  <c r="AX252" i="6"/>
  <c r="AX251" i="6"/>
  <c r="AX250" i="6"/>
  <c r="AX249" i="6"/>
  <c r="AX248" i="6"/>
  <c r="AX247" i="6"/>
  <c r="AX246" i="6"/>
  <c r="AX245" i="6"/>
  <c r="AX244" i="6"/>
  <c r="AX243" i="6"/>
  <c r="AX242" i="6"/>
  <c r="AX241" i="6"/>
  <c r="AX240" i="6"/>
  <c r="AX239" i="6"/>
  <c r="AX238" i="6"/>
  <c r="AX237" i="6"/>
  <c r="AX236" i="6"/>
  <c r="AX235" i="6"/>
  <c r="AX234" i="6"/>
  <c r="AX233" i="6"/>
  <c r="AX232" i="6"/>
  <c r="AX231" i="6"/>
  <c r="AX230" i="6"/>
  <c r="AX229" i="6"/>
  <c r="AX228" i="6"/>
  <c r="AX227" i="6"/>
  <c r="AX226" i="6"/>
  <c r="AX225" i="6"/>
  <c r="AX224" i="6"/>
  <c r="AX223" i="6"/>
  <c r="AX222" i="6"/>
  <c r="AX221" i="6"/>
  <c r="AX220" i="6"/>
  <c r="AX219" i="6"/>
  <c r="AX218" i="6"/>
  <c r="AX217" i="6"/>
  <c r="AX216" i="6"/>
  <c r="AX215" i="6"/>
  <c r="AX214" i="6"/>
  <c r="AX213" i="6"/>
  <c r="AX212" i="6"/>
  <c r="AX211" i="6"/>
  <c r="AX210" i="6"/>
  <c r="AX209" i="6"/>
  <c r="AX208" i="6"/>
  <c r="AX207" i="6"/>
  <c r="AX206" i="6"/>
  <c r="AX205" i="6"/>
  <c r="AX204" i="6"/>
  <c r="AX203" i="6"/>
  <c r="AX202" i="6"/>
  <c r="AX201" i="6"/>
  <c r="AX200" i="6"/>
  <c r="AX199" i="6"/>
  <c r="AX198" i="6"/>
  <c r="AX197" i="6"/>
  <c r="AX196" i="6"/>
  <c r="AX195" i="6"/>
  <c r="AX194" i="6"/>
  <c r="AX193" i="6"/>
  <c r="AX192" i="6"/>
  <c r="AX191" i="6"/>
  <c r="AX190" i="6"/>
  <c r="AX189" i="6"/>
  <c r="AX188" i="6"/>
  <c r="AX187" i="6"/>
  <c r="AX186" i="6"/>
  <c r="AX185" i="6"/>
  <c r="AX184" i="6"/>
  <c r="AX183" i="6"/>
  <c r="AX182" i="6"/>
  <c r="AX181" i="6"/>
  <c r="AX180" i="6"/>
  <c r="AX179" i="6"/>
  <c r="AX178" i="6"/>
  <c r="AX177" i="6"/>
  <c r="AX176" i="6"/>
  <c r="AX175" i="6"/>
  <c r="AX174" i="6"/>
  <c r="AX173" i="6"/>
  <c r="AX172" i="6"/>
  <c r="AX171" i="6"/>
  <c r="AX170" i="6"/>
  <c r="AX169" i="6"/>
  <c r="AX168" i="6"/>
  <c r="AX167" i="6"/>
  <c r="AX166" i="6"/>
  <c r="AX165" i="6"/>
  <c r="AX164" i="6"/>
  <c r="AX163" i="6"/>
  <c r="AX162" i="6"/>
  <c r="AX161" i="6"/>
  <c r="AX160" i="6"/>
  <c r="AX159" i="6"/>
  <c r="AX158" i="6"/>
  <c r="AX157" i="6"/>
  <c r="AX156" i="6"/>
  <c r="AX155" i="6"/>
  <c r="AX154" i="6"/>
  <c r="AX153" i="6"/>
  <c r="AX152" i="6"/>
  <c r="AX151" i="6"/>
  <c r="AX150" i="6"/>
  <c r="AX149" i="6"/>
  <c r="AX148" i="6"/>
  <c r="AX147" i="6"/>
  <c r="AX146" i="6"/>
  <c r="AX145" i="6"/>
  <c r="AX144" i="6"/>
  <c r="AX143" i="6"/>
  <c r="AX142" i="6"/>
  <c r="AX141" i="6"/>
  <c r="AX140" i="6"/>
  <c r="AX139" i="6"/>
  <c r="AX138" i="6"/>
  <c r="AX137" i="6"/>
  <c r="AX136" i="6"/>
  <c r="AX135" i="6"/>
  <c r="AX134" i="6"/>
  <c r="AX133" i="6"/>
  <c r="AX132" i="6"/>
  <c r="AX131" i="6"/>
  <c r="AX130" i="6"/>
  <c r="AX129" i="6"/>
  <c r="AX128" i="6"/>
  <c r="AX127" i="6"/>
  <c r="AX126" i="6"/>
  <c r="AX125" i="6"/>
  <c r="AX124" i="6"/>
  <c r="AX123" i="6"/>
  <c r="AX122" i="6"/>
  <c r="AX121" i="6"/>
  <c r="AX120" i="6"/>
  <c r="AX119" i="6"/>
  <c r="AX118" i="6"/>
  <c r="AX117" i="6"/>
  <c r="AX116" i="6"/>
  <c r="AX115" i="6"/>
  <c r="AX114" i="6"/>
  <c r="AX113" i="6"/>
  <c r="AX112" i="6"/>
  <c r="AX111" i="6"/>
  <c r="AX110" i="6"/>
  <c r="AX109" i="6"/>
  <c r="AX108" i="6"/>
  <c r="AX107" i="6"/>
  <c r="AX106" i="6"/>
  <c r="AX105" i="6"/>
  <c r="AX104" i="6"/>
  <c r="AX103" i="6"/>
  <c r="AX102" i="6"/>
  <c r="AX101" i="6"/>
  <c r="AX100" i="6"/>
  <c r="AX99" i="6"/>
  <c r="AX98" i="6"/>
  <c r="AX97" i="6"/>
  <c r="AX96" i="6"/>
  <c r="AX95" i="6"/>
  <c r="AX94" i="6"/>
  <c r="AX93" i="6"/>
  <c r="AX92" i="6"/>
  <c r="AX91" i="6"/>
  <c r="AX90" i="6"/>
  <c r="AX89" i="6"/>
  <c r="AX88" i="6"/>
  <c r="AX87" i="6"/>
  <c r="AX86" i="6"/>
  <c r="AX85" i="6"/>
  <c r="AX84" i="6"/>
  <c r="AX83" i="6"/>
  <c r="AX82" i="6"/>
  <c r="AX81" i="6"/>
  <c r="AX80" i="6"/>
  <c r="AX79" i="6"/>
  <c r="AX78" i="6"/>
  <c r="AX77" i="6"/>
  <c r="AX76" i="6"/>
  <c r="AX75" i="6"/>
  <c r="AX74" i="6"/>
  <c r="AX73" i="6"/>
  <c r="AX72" i="6"/>
  <c r="AX71" i="6"/>
  <c r="AX70" i="6"/>
  <c r="AX69" i="6"/>
  <c r="AX68" i="6"/>
  <c r="AX67" i="6"/>
  <c r="AX66" i="6"/>
  <c r="AX65" i="6"/>
  <c r="AX64" i="6"/>
  <c r="AX63" i="6"/>
  <c r="AX62" i="6"/>
  <c r="AX61" i="6"/>
  <c r="AX60" i="6"/>
  <c r="AX59" i="6"/>
  <c r="AX58" i="6"/>
  <c r="AX57" i="6"/>
  <c r="AX56" i="6"/>
  <c r="AX55" i="6"/>
  <c r="AX54" i="6"/>
  <c r="AX53" i="6"/>
  <c r="AX52" i="6"/>
  <c r="AX51" i="6"/>
  <c r="AX50" i="6"/>
  <c r="AX49" i="6"/>
  <c r="AX48" i="6"/>
  <c r="AX47" i="6"/>
  <c r="AX46" i="6"/>
  <c r="AX45" i="6"/>
  <c r="AX44" i="6"/>
  <c r="AX43" i="6"/>
  <c r="AX42" i="6"/>
  <c r="AX41" i="6"/>
  <c r="AX40" i="6"/>
  <c r="AX39" i="6"/>
  <c r="AX38" i="6"/>
  <c r="AX37" i="6"/>
  <c r="AX36" i="6"/>
  <c r="AX35" i="6"/>
  <c r="AX34" i="6"/>
  <c r="AX33" i="6"/>
  <c r="AX32" i="6"/>
  <c r="AX31" i="6"/>
  <c r="AX30" i="6"/>
  <c r="AX29" i="6"/>
  <c r="AX28" i="6"/>
  <c r="AX27" i="6"/>
  <c r="AX26" i="6"/>
  <c r="AX25" i="6"/>
  <c r="AX24" i="6"/>
  <c r="AX23" i="6"/>
  <c r="AX22" i="6"/>
  <c r="AX21" i="6"/>
  <c r="AX20" i="6"/>
  <c r="AX19" i="6"/>
  <c r="AX18" i="6"/>
  <c r="AX17" i="6"/>
  <c r="AX16" i="6"/>
  <c r="AX15" i="6"/>
  <c r="AX14" i="6"/>
  <c r="AX13" i="6"/>
  <c r="AX12" i="6"/>
  <c r="AX11" i="6"/>
  <c r="AX10" i="6"/>
  <c r="AX9" i="6"/>
  <c r="AX8" i="6"/>
  <c r="AX7" i="6"/>
  <c r="AX6" i="6"/>
  <c r="AX5" i="6"/>
  <c r="AX4" i="6"/>
  <c r="AX3" i="6"/>
  <c r="AX2" i="6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B35" i="7"/>
  <c r="BB36" i="7"/>
  <c r="BB37" i="7"/>
  <c r="BB38" i="7"/>
  <c r="BB39" i="7"/>
  <c r="BB40" i="7"/>
  <c r="BB41" i="7"/>
  <c r="BB42" i="7"/>
  <c r="BB43" i="7"/>
  <c r="BB44" i="7"/>
  <c r="BB45" i="7"/>
  <c r="BB46" i="7"/>
  <c r="BB47" i="7"/>
  <c r="BB48" i="7"/>
  <c r="BB49" i="7"/>
  <c r="BB50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96" i="7"/>
  <c r="BB97" i="7"/>
  <c r="BB98" i="7"/>
  <c r="BB99" i="7"/>
  <c r="BB100" i="7"/>
  <c r="BB101" i="7"/>
  <c r="BB102" i="7"/>
  <c r="BB103" i="7"/>
  <c r="BB104" i="7"/>
  <c r="BB105" i="7"/>
  <c r="BB106" i="7"/>
  <c r="BB107" i="7"/>
  <c r="BB108" i="7"/>
  <c r="BB109" i="7"/>
  <c r="BB110" i="7"/>
  <c r="BB111" i="7"/>
  <c r="BB112" i="7"/>
  <c r="BB113" i="7"/>
  <c r="BB114" i="7"/>
  <c r="BB115" i="7"/>
  <c r="BB116" i="7"/>
  <c r="BB117" i="7"/>
  <c r="BB118" i="7"/>
  <c r="BB119" i="7"/>
  <c r="BB120" i="7"/>
  <c r="BB121" i="7"/>
  <c r="BB122" i="7"/>
  <c r="BB123" i="7"/>
  <c r="BB124" i="7"/>
  <c r="BB125" i="7"/>
  <c r="BB126" i="7"/>
  <c r="BB127" i="7"/>
  <c r="BB128" i="7"/>
  <c r="BB129" i="7"/>
  <c r="BB130" i="7"/>
  <c r="BB131" i="7"/>
  <c r="BB132" i="7"/>
  <c r="BB133" i="7"/>
  <c r="BB134" i="7"/>
  <c r="BB135" i="7"/>
  <c r="BB136" i="7"/>
  <c r="BB137" i="7"/>
  <c r="BB138" i="7"/>
  <c r="BB139" i="7"/>
  <c r="BB140" i="7"/>
  <c r="BB141" i="7"/>
  <c r="BB142" i="7"/>
  <c r="BB143" i="7"/>
  <c r="BB144" i="7"/>
  <c r="BB145" i="7"/>
  <c r="BB146" i="7"/>
  <c r="BB147" i="7"/>
  <c r="BB148" i="7"/>
  <c r="BB149" i="7"/>
  <c r="BB150" i="7"/>
  <c r="BB151" i="7"/>
  <c r="BB152" i="7"/>
  <c r="BB153" i="7"/>
  <c r="BB154" i="7"/>
  <c r="BB155" i="7"/>
  <c r="BB156" i="7"/>
  <c r="BB157" i="7"/>
  <c r="BB158" i="7"/>
  <c r="BB159" i="7"/>
  <c r="BB160" i="7"/>
  <c r="BB161" i="7"/>
  <c r="BB162" i="7"/>
  <c r="BB163" i="7"/>
  <c r="BB164" i="7"/>
  <c r="BB165" i="7"/>
  <c r="BB166" i="7"/>
  <c r="BB167" i="7"/>
  <c r="BB168" i="7"/>
  <c r="BB169" i="7"/>
  <c r="BB170" i="7"/>
  <c r="BB171" i="7"/>
  <c r="BB172" i="7"/>
  <c r="BB173" i="7"/>
  <c r="BB174" i="7"/>
  <c r="BB175" i="7"/>
  <c r="BB176" i="7"/>
  <c r="BB177" i="7"/>
  <c r="BB178" i="7"/>
  <c r="BB179" i="7"/>
  <c r="BB180" i="7"/>
  <c r="BB181" i="7"/>
  <c r="BB182" i="7"/>
  <c r="BB183" i="7"/>
  <c r="BB184" i="7"/>
  <c r="BB185" i="7"/>
  <c r="BB186" i="7"/>
  <c r="BB187" i="7"/>
  <c r="BB188" i="7"/>
  <c r="BB189" i="7"/>
  <c r="BB190" i="7"/>
  <c r="BB191" i="7"/>
  <c r="BB192" i="7"/>
  <c r="BB193" i="7"/>
  <c r="BB194" i="7"/>
  <c r="BB195" i="7"/>
  <c r="BB196" i="7"/>
  <c r="BB197" i="7"/>
  <c r="BB198" i="7"/>
  <c r="BB199" i="7"/>
  <c r="BB200" i="7"/>
  <c r="BB201" i="7"/>
  <c r="BB202" i="7"/>
  <c r="BB203" i="7"/>
  <c r="BB204" i="7"/>
  <c r="BB205" i="7"/>
  <c r="BB206" i="7"/>
  <c r="BB207" i="7"/>
  <c r="BB208" i="7"/>
  <c r="BB209" i="7"/>
  <c r="BB210" i="7"/>
  <c r="BB211" i="7"/>
  <c r="BB212" i="7"/>
  <c r="BB213" i="7"/>
  <c r="BB214" i="7"/>
  <c r="BB215" i="7"/>
  <c r="BB216" i="7"/>
  <c r="BB217" i="7"/>
  <c r="BB218" i="7"/>
  <c r="BB219" i="7"/>
  <c r="BB220" i="7"/>
  <c r="BB221" i="7"/>
  <c r="BB222" i="7"/>
  <c r="BB223" i="7"/>
  <c r="BB224" i="7"/>
  <c r="BB225" i="7"/>
  <c r="BB226" i="7"/>
  <c r="BB227" i="7"/>
  <c r="BB228" i="7"/>
  <c r="BB229" i="7"/>
  <c r="BB230" i="7"/>
  <c r="BB231" i="7"/>
  <c r="BB232" i="7"/>
  <c r="BB233" i="7"/>
  <c r="BB234" i="7"/>
  <c r="BB235" i="7"/>
  <c r="BB236" i="7"/>
  <c r="BB237" i="7"/>
  <c r="BB238" i="7"/>
  <c r="BB239" i="7"/>
  <c r="BB240" i="7"/>
  <c r="BB241" i="7"/>
  <c r="BB242" i="7"/>
  <c r="BB243" i="7"/>
  <c r="BB244" i="7"/>
  <c r="BB245" i="7"/>
  <c r="BB246" i="7"/>
  <c r="BB247" i="7"/>
  <c r="BB248" i="7"/>
  <c r="BB249" i="7"/>
  <c r="BB250" i="7"/>
  <c r="BB251" i="7"/>
  <c r="BB252" i="7"/>
  <c r="BB253" i="7"/>
  <c r="BB254" i="7"/>
  <c r="BB255" i="7"/>
  <c r="BB256" i="7"/>
  <c r="BB257" i="7"/>
  <c r="BB258" i="7"/>
  <c r="BB259" i="7"/>
  <c r="BB260" i="7"/>
  <c r="BB261" i="7"/>
  <c r="BB262" i="7"/>
  <c r="BB263" i="7"/>
  <c r="BB264" i="7"/>
  <c r="BB265" i="7"/>
  <c r="BB266" i="7"/>
  <c r="BB267" i="7"/>
  <c r="BB268" i="7"/>
  <c r="BB269" i="7"/>
  <c r="BB270" i="7"/>
  <c r="BB271" i="7"/>
  <c r="BB272" i="7"/>
  <c r="BB273" i="7"/>
  <c r="BB274" i="7"/>
  <c r="BB275" i="7"/>
  <c r="BB276" i="7"/>
  <c r="BB277" i="7"/>
  <c r="BB278" i="7"/>
  <c r="BB279" i="7"/>
  <c r="BB280" i="7"/>
  <c r="BB281" i="7"/>
  <c r="BB282" i="7"/>
  <c r="BB283" i="7"/>
  <c r="BB284" i="7"/>
  <c r="BB285" i="7"/>
  <c r="BB286" i="7"/>
  <c r="BB287" i="7"/>
  <c r="BB288" i="7"/>
  <c r="BB289" i="7"/>
  <c r="BB290" i="7"/>
  <c r="BB291" i="7"/>
  <c r="BB292" i="7"/>
  <c r="BB293" i="7"/>
  <c r="BB294" i="7"/>
  <c r="BB295" i="7"/>
  <c r="BB296" i="7"/>
  <c r="BB297" i="7"/>
  <c r="BB298" i="7"/>
  <c r="BB299" i="7"/>
  <c r="BB300" i="7"/>
  <c r="BB301" i="7"/>
  <c r="BB302" i="7"/>
  <c r="BB303" i="7"/>
  <c r="BB304" i="7"/>
  <c r="BB305" i="7"/>
  <c r="BB306" i="7"/>
  <c r="BB307" i="7"/>
  <c r="BB308" i="7"/>
  <c r="BB309" i="7"/>
  <c r="BB310" i="7"/>
  <c r="BB311" i="7"/>
  <c r="BB312" i="7"/>
  <c r="BB313" i="7"/>
  <c r="BB314" i="7"/>
  <c r="BB315" i="7"/>
  <c r="BB316" i="7"/>
  <c r="BB317" i="7"/>
  <c r="BB318" i="7"/>
  <c r="BB319" i="7"/>
  <c r="BB320" i="7"/>
  <c r="BB321" i="7"/>
  <c r="BB322" i="7"/>
  <c r="BB323" i="7"/>
  <c r="BB324" i="7"/>
  <c r="BB325" i="7"/>
  <c r="BB326" i="7"/>
  <c r="BB327" i="7"/>
  <c r="BB328" i="7"/>
  <c r="BB329" i="7"/>
  <c r="BB330" i="7"/>
  <c r="BB331" i="7"/>
  <c r="BB332" i="7"/>
  <c r="BB333" i="7"/>
  <c r="BB334" i="7"/>
  <c r="BB335" i="7"/>
  <c r="BB336" i="7"/>
  <c r="BB337" i="7"/>
  <c r="BB338" i="7"/>
  <c r="BB339" i="7"/>
  <c r="BB340" i="7"/>
  <c r="BB341" i="7"/>
  <c r="BB342" i="7"/>
  <c r="BB343" i="7"/>
  <c r="BB344" i="7"/>
  <c r="BB345" i="7"/>
  <c r="BB346" i="7"/>
  <c r="BB347" i="7"/>
  <c r="BB348" i="7"/>
  <c r="BB349" i="7"/>
  <c r="BB350" i="7"/>
  <c r="BB351" i="7"/>
  <c r="BB352" i="7"/>
  <c r="BB353" i="7"/>
  <c r="BB354" i="7"/>
  <c r="BB355" i="7"/>
  <c r="BB356" i="7"/>
  <c r="BB357" i="7"/>
  <c r="BB358" i="7"/>
  <c r="BB359" i="7"/>
  <c r="BB360" i="7"/>
  <c r="BB361" i="7"/>
  <c r="BB362" i="7"/>
  <c r="BB363" i="7"/>
  <c r="BB364" i="7"/>
  <c r="BB365" i="7"/>
  <c r="BB366" i="7"/>
  <c r="BB367" i="7"/>
  <c r="BB368" i="7"/>
  <c r="BB369" i="7"/>
  <c r="BB370" i="7"/>
  <c r="BB371" i="7"/>
  <c r="BB372" i="7"/>
  <c r="BB373" i="7"/>
  <c r="BB374" i="7"/>
  <c r="BB375" i="7"/>
  <c r="BB376" i="7"/>
  <c r="BB377" i="7"/>
  <c r="BB378" i="7"/>
  <c r="BB379" i="7"/>
  <c r="BB380" i="7"/>
  <c r="BB381" i="7"/>
  <c r="BB382" i="7"/>
  <c r="BB383" i="7"/>
  <c r="BB384" i="7"/>
  <c r="BB385" i="7"/>
  <c r="BB386" i="7"/>
  <c r="BB387" i="7"/>
  <c r="BB388" i="7"/>
  <c r="BB389" i="7"/>
  <c r="BB390" i="7"/>
  <c r="BB391" i="7"/>
  <c r="BB392" i="7"/>
  <c r="BB393" i="7"/>
  <c r="BB394" i="7"/>
  <c r="BB395" i="7"/>
  <c r="BB396" i="7"/>
  <c r="BB397" i="7"/>
  <c r="BB398" i="7"/>
  <c r="BB399" i="7"/>
  <c r="BB400" i="7"/>
  <c r="BB401" i="7"/>
  <c r="BB402" i="7"/>
  <c r="BB403" i="7"/>
  <c r="BB404" i="7"/>
  <c r="BB405" i="7"/>
  <c r="BB406" i="7"/>
  <c r="BB407" i="7"/>
  <c r="BB408" i="7"/>
  <c r="BB409" i="7"/>
  <c r="BB410" i="7"/>
  <c r="BB411" i="7"/>
  <c r="BB412" i="7"/>
  <c r="BB413" i="7"/>
  <c r="BB414" i="7"/>
  <c r="BB415" i="7"/>
  <c r="BB416" i="7"/>
  <c r="BB417" i="7"/>
  <c r="BB418" i="7"/>
  <c r="BB419" i="7"/>
  <c r="BB420" i="7"/>
  <c r="BB421" i="7"/>
  <c r="BB422" i="7"/>
  <c r="BB423" i="7"/>
  <c r="BB424" i="7"/>
  <c r="BB425" i="7"/>
  <c r="BB426" i="7"/>
  <c r="BB427" i="7"/>
  <c r="BB428" i="7"/>
  <c r="BB429" i="7"/>
  <c r="BB430" i="7"/>
  <c r="BB431" i="7"/>
  <c r="BB432" i="7"/>
  <c r="BB433" i="7"/>
  <c r="BB434" i="7"/>
  <c r="BB435" i="7"/>
  <c r="BB436" i="7"/>
  <c r="BB437" i="7"/>
  <c r="BB438" i="7"/>
  <c r="BB439" i="7"/>
  <c r="BB440" i="7"/>
  <c r="BB441" i="7"/>
  <c r="BB442" i="7"/>
  <c r="BB443" i="7"/>
  <c r="BB444" i="7"/>
  <c r="BB445" i="7"/>
  <c r="BB446" i="7"/>
  <c r="BB447" i="7"/>
  <c r="BB448" i="7"/>
  <c r="BB449" i="7"/>
  <c r="BB450" i="7"/>
  <c r="BB451" i="7"/>
  <c r="BB452" i="7"/>
  <c r="BB453" i="7"/>
  <c r="BB454" i="7"/>
  <c r="BB455" i="7"/>
  <c r="BB456" i="7"/>
  <c r="BB457" i="7"/>
  <c r="BB458" i="7"/>
  <c r="BB459" i="7"/>
  <c r="BB460" i="7"/>
  <c r="BB461" i="7"/>
  <c r="BB462" i="7"/>
  <c r="BB463" i="7"/>
  <c r="BB464" i="7"/>
  <c r="BB465" i="7"/>
  <c r="BB466" i="7"/>
  <c r="BB467" i="7"/>
  <c r="BB468" i="7"/>
  <c r="BB469" i="7"/>
  <c r="BB470" i="7"/>
  <c r="BB471" i="7"/>
  <c r="BB472" i="7"/>
  <c r="BB473" i="7"/>
  <c r="BB474" i="7"/>
  <c r="BB475" i="7"/>
  <c r="BB476" i="7"/>
  <c r="BB477" i="7"/>
  <c r="BB478" i="7"/>
  <c r="BB479" i="7"/>
  <c r="BB480" i="7"/>
  <c r="BB481" i="7"/>
  <c r="BB482" i="7"/>
  <c r="BB483" i="7"/>
  <c r="BB484" i="7"/>
  <c r="BB485" i="7"/>
  <c r="BB486" i="7"/>
  <c r="BB487" i="7"/>
  <c r="BB488" i="7"/>
  <c r="BB489" i="7"/>
  <c r="BB490" i="7"/>
  <c r="BB491" i="7"/>
  <c r="BB492" i="7"/>
  <c r="BB493" i="7"/>
  <c r="BB494" i="7"/>
  <c r="BB495" i="7"/>
  <c r="BB496" i="7"/>
  <c r="BB497" i="7"/>
  <c r="BB498" i="7"/>
  <c r="BB499" i="7"/>
  <c r="BB500" i="7"/>
  <c r="BB501" i="7"/>
  <c r="BB502" i="7"/>
  <c r="BB503" i="7"/>
  <c r="BB504" i="7"/>
  <c r="BB505" i="7"/>
  <c r="BB506" i="7"/>
  <c r="BB507" i="7"/>
  <c r="BB508" i="7"/>
  <c r="BB509" i="7"/>
  <c r="BB510" i="7"/>
  <c r="BB511" i="7"/>
  <c r="BB512" i="7"/>
  <c r="BB513" i="7"/>
  <c r="BB514" i="7"/>
  <c r="BB515" i="7"/>
  <c r="BB516" i="7"/>
  <c r="BB517" i="7"/>
  <c r="BB518" i="7"/>
  <c r="BB519" i="7"/>
  <c r="BB520" i="7"/>
  <c r="BB521" i="7"/>
  <c r="BB522" i="7"/>
  <c r="BB523" i="7"/>
  <c r="BB524" i="7"/>
  <c r="BB525" i="7"/>
  <c r="BB526" i="7"/>
  <c r="BB527" i="7"/>
  <c r="BB528" i="7"/>
  <c r="BB529" i="7"/>
  <c r="BB530" i="7"/>
  <c r="BB531" i="7"/>
  <c r="BB532" i="7"/>
  <c r="BB533" i="7"/>
  <c r="BB534" i="7"/>
  <c r="BB535" i="7"/>
  <c r="BB536" i="7"/>
  <c r="BB537" i="7"/>
  <c r="BB538" i="7"/>
  <c r="BB539" i="7"/>
  <c r="BB540" i="7"/>
  <c r="BB541" i="7"/>
  <c r="BB542" i="7"/>
  <c r="BB543" i="7"/>
  <c r="BB544" i="7"/>
  <c r="BB545" i="7"/>
  <c r="BB546" i="7"/>
  <c r="BB547" i="7"/>
  <c r="BB548" i="7"/>
  <c r="BB549" i="7"/>
  <c r="BB550" i="7"/>
  <c r="BB551" i="7"/>
  <c r="BB552" i="7"/>
  <c r="BB553" i="7"/>
  <c r="BB554" i="7"/>
  <c r="BB555" i="7"/>
  <c r="BB556" i="7"/>
  <c r="BB557" i="7"/>
  <c r="BB558" i="7"/>
  <c r="BB559" i="7"/>
  <c r="BB560" i="7"/>
  <c r="BB561" i="7"/>
  <c r="BB562" i="7"/>
  <c r="BB563" i="7"/>
  <c r="BB564" i="7"/>
  <c r="BB565" i="7"/>
  <c r="BB566" i="7"/>
  <c r="BB567" i="7"/>
  <c r="BB568" i="7"/>
  <c r="BB569" i="7"/>
  <c r="BB570" i="7"/>
  <c r="BB571" i="7"/>
  <c r="BB572" i="7"/>
  <c r="BB573" i="7"/>
  <c r="BB574" i="7"/>
  <c r="BB575" i="7"/>
  <c r="BB576" i="7"/>
  <c r="BB577" i="7"/>
  <c r="BB578" i="7"/>
  <c r="BB579" i="7"/>
  <c r="BB580" i="7"/>
  <c r="BB581" i="7"/>
  <c r="BB582" i="7"/>
  <c r="BB583" i="7"/>
  <c r="BB584" i="7"/>
  <c r="BB585" i="7"/>
  <c r="BB586" i="7"/>
  <c r="BB587" i="7"/>
  <c r="BB588" i="7"/>
  <c r="BB589" i="7"/>
  <c r="BB590" i="7"/>
  <c r="BB591" i="7"/>
  <c r="BB592" i="7"/>
  <c r="BB593" i="7"/>
  <c r="BB594" i="7"/>
  <c r="BB595" i="7"/>
  <c r="BB596" i="7"/>
  <c r="BB597" i="7"/>
  <c r="BB598" i="7"/>
  <c r="BB599" i="7"/>
  <c r="BB600" i="7"/>
  <c r="BB601" i="7"/>
  <c r="BB602" i="7"/>
  <c r="BB603" i="7"/>
  <c r="BB604" i="7"/>
  <c r="BB605" i="7"/>
  <c r="BB606" i="7"/>
  <c r="BB607" i="7"/>
  <c r="BB608" i="7"/>
  <c r="BB609" i="7"/>
  <c r="BB610" i="7"/>
  <c r="BB611" i="7"/>
  <c r="BB612" i="7"/>
  <c r="BB613" i="7"/>
  <c r="BB614" i="7"/>
  <c r="BB615" i="7"/>
  <c r="BB616" i="7"/>
  <c r="BB617" i="7"/>
  <c r="BB618" i="7"/>
  <c r="BB619" i="7"/>
  <c r="BB620" i="7"/>
  <c r="BB621" i="7"/>
  <c r="BB622" i="7"/>
  <c r="BB623" i="7"/>
  <c r="BB624" i="7"/>
  <c r="BB625" i="7"/>
  <c r="BB626" i="7"/>
  <c r="BB627" i="7"/>
  <c r="BB628" i="7"/>
  <c r="BB629" i="7"/>
  <c r="BB630" i="7"/>
  <c r="BB631" i="7"/>
  <c r="BB632" i="7"/>
  <c r="BB633" i="7"/>
  <c r="BB634" i="7"/>
  <c r="BB635" i="7"/>
  <c r="BB636" i="7"/>
  <c r="BB637" i="7"/>
  <c r="BB638" i="7"/>
  <c r="BB639" i="7"/>
  <c r="BB640" i="7"/>
  <c r="BB641" i="7"/>
  <c r="BB642" i="7"/>
  <c r="BB643" i="7"/>
  <c r="BB644" i="7"/>
  <c r="BB645" i="7"/>
  <c r="BB646" i="7"/>
  <c r="BB647" i="7"/>
  <c r="BB648" i="7"/>
  <c r="BB649" i="7"/>
  <c r="BB650" i="7"/>
  <c r="BB651" i="7"/>
  <c r="BB652" i="7"/>
  <c r="BB653" i="7"/>
  <c r="BB654" i="7"/>
  <c r="BB655" i="7"/>
  <c r="BB656" i="7"/>
  <c r="BB657" i="7"/>
  <c r="BB658" i="7"/>
  <c r="BB659" i="7"/>
  <c r="BB660" i="7"/>
  <c r="BB661" i="7"/>
  <c r="BB662" i="7"/>
  <c r="BB663" i="7"/>
  <c r="BB664" i="7"/>
  <c r="BB665" i="7"/>
  <c r="BB666" i="7"/>
  <c r="BB667" i="7"/>
  <c r="BB668" i="7"/>
  <c r="BB669" i="7"/>
  <c r="BB670" i="7"/>
  <c r="BB671" i="7"/>
  <c r="BB672" i="7"/>
  <c r="BB673" i="7"/>
  <c r="BB674" i="7"/>
  <c r="BB675" i="7"/>
  <c r="BB676" i="7"/>
  <c r="BB677" i="7"/>
  <c r="BB678" i="7"/>
  <c r="BB679" i="7"/>
  <c r="BB680" i="7"/>
  <c r="BB681" i="7"/>
  <c r="BB682" i="7"/>
  <c r="BB683" i="7"/>
  <c r="BB684" i="7"/>
  <c r="BB685" i="7"/>
  <c r="BB686" i="7"/>
  <c r="BB687" i="7"/>
  <c r="BB688" i="7"/>
  <c r="BB689" i="7"/>
  <c r="BB690" i="7"/>
  <c r="BB691" i="7"/>
  <c r="BB692" i="7"/>
  <c r="BB693" i="7"/>
  <c r="BB694" i="7"/>
  <c r="BB695" i="7"/>
  <c r="BB696" i="7"/>
  <c r="BB697" i="7"/>
  <c r="BB698" i="7"/>
  <c r="BB699" i="7"/>
  <c r="BB700" i="7"/>
  <c r="BB701" i="7"/>
  <c r="BB702" i="7"/>
  <c r="BB703" i="7"/>
  <c r="BB704" i="7"/>
  <c r="BB705" i="7"/>
  <c r="BB706" i="7"/>
  <c r="BB707" i="7"/>
  <c r="BB708" i="7"/>
  <c r="BB709" i="7"/>
  <c r="BB710" i="7"/>
  <c r="BB711" i="7"/>
  <c r="BB712" i="7"/>
  <c r="BB713" i="7"/>
  <c r="BB714" i="7"/>
  <c r="BB715" i="7"/>
  <c r="BB716" i="7"/>
  <c r="BB717" i="7"/>
  <c r="BB718" i="7"/>
  <c r="BB719" i="7"/>
  <c r="BB720" i="7"/>
  <c r="BB721" i="7"/>
  <c r="BB722" i="7"/>
  <c r="BB723" i="7"/>
  <c r="BB724" i="7"/>
  <c r="BB725" i="7"/>
  <c r="BB726" i="7"/>
  <c r="BB727" i="7"/>
  <c r="BB728" i="7"/>
  <c r="BB729" i="7"/>
  <c r="BB730" i="7"/>
  <c r="BB731" i="7"/>
  <c r="BB732" i="7"/>
  <c r="BB733" i="7"/>
  <c r="BB734" i="7"/>
  <c r="BB735" i="7"/>
  <c r="BB736" i="7"/>
  <c r="BB737" i="7"/>
  <c r="BB738" i="7"/>
  <c r="BB739" i="7"/>
  <c r="BB740" i="7"/>
  <c r="BB741" i="7"/>
  <c r="BB742" i="7"/>
  <c r="BB743" i="7"/>
  <c r="BB744" i="7"/>
  <c r="BB745" i="7"/>
  <c r="BB746" i="7"/>
  <c r="BB747" i="7"/>
  <c r="BB748" i="7"/>
  <c r="BB749" i="7"/>
  <c r="BB750" i="7"/>
  <c r="BB751" i="7"/>
  <c r="BB752" i="7"/>
  <c r="BB753" i="7"/>
  <c r="BB754" i="7"/>
  <c r="BB755" i="7"/>
  <c r="BB756" i="7"/>
  <c r="BB757" i="7"/>
  <c r="BB758" i="7"/>
  <c r="BB759" i="7"/>
  <c r="BB760" i="7"/>
  <c r="BB761" i="7"/>
  <c r="BB762" i="7"/>
  <c r="BB763" i="7"/>
  <c r="BB764" i="7"/>
  <c r="BB765" i="7"/>
  <c r="BB766" i="7"/>
  <c r="BB767" i="7"/>
  <c r="BB768" i="7"/>
  <c r="BB769" i="7"/>
  <c r="BB770" i="7"/>
  <c r="BB771" i="7"/>
  <c r="BB772" i="7"/>
  <c r="BB773" i="7"/>
  <c r="BB774" i="7"/>
  <c r="BB775" i="7"/>
  <c r="BB776" i="7"/>
  <c r="BB777" i="7"/>
  <c r="BB778" i="7"/>
  <c r="BB779" i="7"/>
  <c r="BB780" i="7"/>
  <c r="BB781" i="7"/>
  <c r="BB782" i="7"/>
  <c r="BB783" i="7"/>
  <c r="BB784" i="7"/>
  <c r="BB785" i="7"/>
  <c r="BB786" i="7"/>
  <c r="BB787" i="7"/>
  <c r="BB788" i="7"/>
  <c r="BB789" i="7"/>
  <c r="BB790" i="7"/>
  <c r="BB791" i="7"/>
  <c r="BB792" i="7"/>
  <c r="BB793" i="7"/>
  <c r="BB794" i="7"/>
  <c r="BB795" i="7"/>
  <c r="BB796" i="7"/>
  <c r="BB797" i="7"/>
  <c r="BB798" i="7"/>
  <c r="BB799" i="7"/>
  <c r="BB800" i="7"/>
  <c r="BB801" i="7"/>
  <c r="BB802" i="7"/>
  <c r="BB803" i="7"/>
  <c r="BB804" i="7"/>
  <c r="BB805" i="7"/>
  <c r="BB806" i="7"/>
  <c r="BB807" i="7"/>
  <c r="BB808" i="7"/>
  <c r="BB809" i="7"/>
  <c r="BB810" i="7"/>
  <c r="BB811" i="7"/>
  <c r="BB812" i="7"/>
  <c r="BB813" i="7"/>
  <c r="BB814" i="7"/>
  <c r="BB815" i="7"/>
  <c r="BB816" i="7"/>
  <c r="BB817" i="7"/>
  <c r="BB818" i="7"/>
  <c r="BB819" i="7"/>
  <c r="BB820" i="7"/>
  <c r="BB821" i="7"/>
  <c r="BB822" i="7"/>
  <c r="BB823" i="7"/>
  <c r="BB824" i="7"/>
  <c r="BB825" i="7"/>
  <c r="BB826" i="7"/>
  <c r="BB827" i="7"/>
  <c r="BB828" i="7"/>
  <c r="BB829" i="7"/>
  <c r="BB830" i="7"/>
  <c r="BB831" i="7"/>
  <c r="BB832" i="7"/>
  <c r="BB833" i="7"/>
  <c r="BB834" i="7"/>
  <c r="BB835" i="7"/>
  <c r="BB836" i="7"/>
  <c r="BB837" i="7"/>
  <c r="BB838" i="7"/>
  <c r="BB839" i="7"/>
  <c r="BB840" i="7"/>
  <c r="BB841" i="7"/>
  <c r="BB842" i="7"/>
  <c r="BB843" i="7"/>
  <c r="BB844" i="7"/>
  <c r="BB845" i="7"/>
  <c r="BB846" i="7"/>
  <c r="BB847" i="7"/>
  <c r="BB848" i="7"/>
  <c r="BB849" i="7"/>
  <c r="BB850" i="7"/>
  <c r="BB851" i="7"/>
  <c r="BB852" i="7"/>
  <c r="BB853" i="7"/>
  <c r="BB854" i="7"/>
  <c r="BB855" i="7"/>
  <c r="BB856" i="7"/>
  <c r="BB857" i="7"/>
  <c r="BB858" i="7"/>
  <c r="BB859" i="7"/>
  <c r="BB860" i="7"/>
  <c r="BB861" i="7"/>
  <c r="BB862" i="7"/>
  <c r="BB863" i="7"/>
  <c r="BB864" i="7"/>
  <c r="BB865" i="7"/>
  <c r="BB866" i="7"/>
  <c r="BB867" i="7"/>
  <c r="BB868" i="7"/>
  <c r="BB869" i="7"/>
  <c r="BB870" i="7"/>
  <c r="BB871" i="7"/>
  <c r="BB872" i="7"/>
  <c r="BB873" i="7"/>
  <c r="BB874" i="7"/>
  <c r="BB875" i="7"/>
  <c r="BB876" i="7"/>
  <c r="BB877" i="7"/>
  <c r="BB878" i="7"/>
  <c r="BB879" i="7"/>
  <c r="BB880" i="7"/>
  <c r="BB881" i="7"/>
  <c r="BB882" i="7"/>
  <c r="BB883" i="7"/>
  <c r="BB884" i="7"/>
  <c r="BB885" i="7"/>
  <c r="BB886" i="7"/>
  <c r="BB887" i="7"/>
  <c r="BB888" i="7"/>
  <c r="BB889" i="7"/>
  <c r="BB890" i="7"/>
  <c r="BB891" i="7"/>
  <c r="BB892" i="7"/>
  <c r="BB893" i="7"/>
  <c r="BB894" i="7"/>
  <c r="BB895" i="7"/>
  <c r="BB896" i="7"/>
  <c r="BB897" i="7"/>
  <c r="BB898" i="7"/>
  <c r="BB899" i="7"/>
  <c r="BB900" i="7"/>
  <c r="BB901" i="7"/>
  <c r="BB902" i="7"/>
  <c r="BB903" i="7"/>
  <c r="BB904" i="7"/>
  <c r="BB905" i="7"/>
  <c r="BB906" i="7"/>
  <c r="BB907" i="7"/>
  <c r="BB908" i="7"/>
  <c r="BB909" i="7"/>
  <c r="BB910" i="7"/>
  <c r="BB911" i="7"/>
  <c r="BB912" i="7"/>
  <c r="BB913" i="7"/>
  <c r="BB914" i="7"/>
  <c r="BB915" i="7"/>
  <c r="BB916" i="7"/>
  <c r="BB917" i="7"/>
  <c r="BB918" i="7"/>
  <c r="BB919" i="7"/>
  <c r="BB920" i="7"/>
  <c r="BB921" i="7"/>
  <c r="BB922" i="7"/>
  <c r="BB923" i="7"/>
  <c r="BB924" i="7"/>
  <c r="BB925" i="7"/>
  <c r="BB926" i="7"/>
  <c r="BB927" i="7"/>
  <c r="BB928" i="7"/>
  <c r="BB929" i="7"/>
  <c r="BB930" i="7"/>
  <c r="BB931" i="7"/>
  <c r="BB932" i="7"/>
  <c r="BB933" i="7"/>
  <c r="BB934" i="7"/>
  <c r="BB935" i="7"/>
  <c r="BB936" i="7"/>
  <c r="BB937" i="7"/>
  <c r="BB938" i="7"/>
  <c r="BB939" i="7"/>
  <c r="BB940" i="7"/>
  <c r="BB941" i="7"/>
  <c r="BB942" i="7"/>
  <c r="BB943" i="7"/>
  <c r="BB944" i="7"/>
  <c r="BB945" i="7"/>
  <c r="BB946" i="7"/>
  <c r="BB947" i="7"/>
  <c r="BB948" i="7"/>
  <c r="BB949" i="7"/>
  <c r="BB950" i="7"/>
  <c r="BB951" i="7"/>
  <c r="BB952" i="7"/>
  <c r="BB953" i="7"/>
  <c r="BB954" i="7"/>
  <c r="BB955" i="7"/>
  <c r="BB956" i="7"/>
  <c r="BB957" i="7"/>
  <c r="BB958" i="7"/>
  <c r="BB959" i="7"/>
  <c r="BB960" i="7"/>
  <c r="BB961" i="7"/>
  <c r="BB962" i="7"/>
  <c r="BB963" i="7"/>
  <c r="BB964" i="7"/>
  <c r="BB965" i="7"/>
  <c r="BB966" i="7"/>
  <c r="BB967" i="7"/>
  <c r="BB968" i="7"/>
  <c r="BB969" i="7"/>
  <c r="BB970" i="7"/>
  <c r="BB971" i="7"/>
  <c r="BB972" i="7"/>
  <c r="BB973" i="7"/>
  <c r="BB974" i="7"/>
  <c r="BB975" i="7"/>
  <c r="BB976" i="7"/>
  <c r="BB977" i="7"/>
  <c r="BB978" i="7"/>
  <c r="BB979" i="7"/>
  <c r="BB980" i="7"/>
  <c r="BB981" i="7"/>
  <c r="BB982" i="7"/>
  <c r="BB983" i="7"/>
  <c r="BB984" i="7"/>
  <c r="BB985" i="7"/>
  <c r="BB986" i="7"/>
  <c r="BB987" i="7"/>
  <c r="BB988" i="7"/>
  <c r="BB989" i="7"/>
  <c r="BB990" i="7"/>
  <c r="BB991" i="7"/>
  <c r="BB992" i="7"/>
  <c r="BB993" i="7"/>
  <c r="BB994" i="7"/>
  <c r="BB995" i="7"/>
  <c r="BB996" i="7"/>
  <c r="BB997" i="7"/>
  <c r="BB998" i="7"/>
  <c r="BB999" i="7"/>
  <c r="BB1000" i="7"/>
  <c r="BB1001" i="7"/>
  <c r="BB1002" i="7"/>
  <c r="BB1003" i="7"/>
  <c r="BB1004" i="7"/>
  <c r="BB1005" i="7"/>
  <c r="BB1006" i="7"/>
  <c r="BB1007" i="7"/>
  <c r="BB1008" i="7"/>
  <c r="BB1009" i="7"/>
  <c r="BB1010" i="7"/>
  <c r="BB1011" i="7"/>
  <c r="BB3" i="7"/>
  <c r="BA4" i="7"/>
  <c r="BA5" i="7"/>
  <c r="BA6" i="7"/>
  <c r="BA7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BA38" i="7"/>
  <c r="BA39" i="7"/>
  <c r="BA40" i="7"/>
  <c r="BA41" i="7"/>
  <c r="BA42" i="7"/>
  <c r="BA43" i="7"/>
  <c r="BA44" i="7"/>
  <c r="BA45" i="7"/>
  <c r="BA46" i="7"/>
  <c r="BA47" i="7"/>
  <c r="BA48" i="7"/>
  <c r="BA49" i="7"/>
  <c r="BA50" i="7"/>
  <c r="BA51" i="7"/>
  <c r="BA52" i="7"/>
  <c r="BA53" i="7"/>
  <c r="BA54" i="7"/>
  <c r="BA55" i="7"/>
  <c r="BA56" i="7"/>
  <c r="BA57" i="7"/>
  <c r="BA58" i="7"/>
  <c r="BA59" i="7"/>
  <c r="BA60" i="7"/>
  <c r="BA61" i="7"/>
  <c r="BA62" i="7"/>
  <c r="BA63" i="7"/>
  <c r="BA64" i="7"/>
  <c r="BA65" i="7"/>
  <c r="BA66" i="7"/>
  <c r="BA67" i="7"/>
  <c r="BA68" i="7"/>
  <c r="BA69" i="7"/>
  <c r="BA70" i="7"/>
  <c r="BA71" i="7"/>
  <c r="BA72" i="7"/>
  <c r="BA73" i="7"/>
  <c r="BA74" i="7"/>
  <c r="BA75" i="7"/>
  <c r="BA76" i="7"/>
  <c r="BA77" i="7"/>
  <c r="BA78" i="7"/>
  <c r="BA79" i="7"/>
  <c r="BA80" i="7"/>
  <c r="BA81" i="7"/>
  <c r="BA82" i="7"/>
  <c r="BA83" i="7"/>
  <c r="BA84" i="7"/>
  <c r="BA85" i="7"/>
  <c r="BA86" i="7"/>
  <c r="BA87" i="7"/>
  <c r="BA88" i="7"/>
  <c r="BA89" i="7"/>
  <c r="BA90" i="7"/>
  <c r="BA91" i="7"/>
  <c r="BA92" i="7"/>
  <c r="BA93" i="7"/>
  <c r="BA94" i="7"/>
  <c r="BA95" i="7"/>
  <c r="BA96" i="7"/>
  <c r="BA97" i="7"/>
  <c r="BA98" i="7"/>
  <c r="BA99" i="7"/>
  <c r="BA100" i="7"/>
  <c r="BA101" i="7"/>
  <c r="BA102" i="7"/>
  <c r="BA103" i="7"/>
  <c r="BA104" i="7"/>
  <c r="BA105" i="7"/>
  <c r="BA106" i="7"/>
  <c r="BA107" i="7"/>
  <c r="BA108" i="7"/>
  <c r="BA109" i="7"/>
  <c r="BA110" i="7"/>
  <c r="BA111" i="7"/>
  <c r="BA112" i="7"/>
  <c r="BA113" i="7"/>
  <c r="BA114" i="7"/>
  <c r="BA115" i="7"/>
  <c r="BA116" i="7"/>
  <c r="BA117" i="7"/>
  <c r="BA118" i="7"/>
  <c r="BA119" i="7"/>
  <c r="BA120" i="7"/>
  <c r="BA121" i="7"/>
  <c r="BA122" i="7"/>
  <c r="BA123" i="7"/>
  <c r="BA124" i="7"/>
  <c r="BA125" i="7"/>
  <c r="BA126" i="7"/>
  <c r="BA127" i="7"/>
  <c r="BA128" i="7"/>
  <c r="BA129" i="7"/>
  <c r="BA130" i="7"/>
  <c r="BA131" i="7"/>
  <c r="BA132" i="7"/>
  <c r="BA133" i="7"/>
  <c r="BA134" i="7"/>
  <c r="BA135" i="7"/>
  <c r="BA136" i="7"/>
  <c r="BA137" i="7"/>
  <c r="BA138" i="7"/>
  <c r="BA139" i="7"/>
  <c r="BA140" i="7"/>
  <c r="BA141" i="7"/>
  <c r="BA142" i="7"/>
  <c r="BA143" i="7"/>
  <c r="BA144" i="7"/>
  <c r="BA145" i="7"/>
  <c r="BA146" i="7"/>
  <c r="BA147" i="7"/>
  <c r="BA148" i="7"/>
  <c r="BA149" i="7"/>
  <c r="BA150" i="7"/>
  <c r="BA151" i="7"/>
  <c r="BA152" i="7"/>
  <c r="BA153" i="7"/>
  <c r="BA154" i="7"/>
  <c r="BA155" i="7"/>
  <c r="BA156" i="7"/>
  <c r="BA157" i="7"/>
  <c r="BA158" i="7"/>
  <c r="BA159" i="7"/>
  <c r="BA160" i="7"/>
  <c r="BA161" i="7"/>
  <c r="BA162" i="7"/>
  <c r="BA163" i="7"/>
  <c r="BA164" i="7"/>
  <c r="BA165" i="7"/>
  <c r="BA166" i="7"/>
  <c r="BA167" i="7"/>
  <c r="BA168" i="7"/>
  <c r="BA169" i="7"/>
  <c r="BA170" i="7"/>
  <c r="BA171" i="7"/>
  <c r="BA172" i="7"/>
  <c r="BA173" i="7"/>
  <c r="BA174" i="7"/>
  <c r="BA175" i="7"/>
  <c r="BA176" i="7"/>
  <c r="BA177" i="7"/>
  <c r="BA178" i="7"/>
  <c r="BA179" i="7"/>
  <c r="BA180" i="7"/>
  <c r="BA181" i="7"/>
  <c r="BA182" i="7"/>
  <c r="BA183" i="7"/>
  <c r="BA184" i="7"/>
  <c r="BA185" i="7"/>
  <c r="BA186" i="7"/>
  <c r="BA187" i="7"/>
  <c r="BA188" i="7"/>
  <c r="BA189" i="7"/>
  <c r="BA190" i="7"/>
  <c r="BA191" i="7"/>
  <c r="BA192" i="7"/>
  <c r="BA193" i="7"/>
  <c r="BA194" i="7"/>
  <c r="BA195" i="7"/>
  <c r="BA196" i="7"/>
  <c r="BA197" i="7"/>
  <c r="BA198" i="7"/>
  <c r="BA199" i="7"/>
  <c r="BA200" i="7"/>
  <c r="BA201" i="7"/>
  <c r="BA202" i="7"/>
  <c r="BA203" i="7"/>
  <c r="BA204" i="7"/>
  <c r="BA205" i="7"/>
  <c r="BA206" i="7"/>
  <c r="BA207" i="7"/>
  <c r="BA208" i="7"/>
  <c r="BA209" i="7"/>
  <c r="BA210" i="7"/>
  <c r="BA211" i="7"/>
  <c r="BA212" i="7"/>
  <c r="BA213" i="7"/>
  <c r="BA214" i="7"/>
  <c r="BA215" i="7"/>
  <c r="BA216" i="7"/>
  <c r="BA217" i="7"/>
  <c r="BA218" i="7"/>
  <c r="BA219" i="7"/>
  <c r="BA220" i="7"/>
  <c r="BA221" i="7"/>
  <c r="BA222" i="7"/>
  <c r="BA223" i="7"/>
  <c r="BA224" i="7"/>
  <c r="BA225" i="7"/>
  <c r="BA226" i="7"/>
  <c r="BA227" i="7"/>
  <c r="BA228" i="7"/>
  <c r="BA229" i="7"/>
  <c r="BA230" i="7"/>
  <c r="BA231" i="7"/>
  <c r="BA232" i="7"/>
  <c r="BA233" i="7"/>
  <c r="BA234" i="7"/>
  <c r="BA235" i="7"/>
  <c r="BA236" i="7"/>
  <c r="BA237" i="7"/>
  <c r="BA238" i="7"/>
  <c r="BA239" i="7"/>
  <c r="BA240" i="7"/>
  <c r="BA241" i="7"/>
  <c r="BA242" i="7"/>
  <c r="BA243" i="7"/>
  <c r="BA244" i="7"/>
  <c r="BA245" i="7"/>
  <c r="BA246" i="7"/>
  <c r="BA247" i="7"/>
  <c r="BA248" i="7"/>
  <c r="BA249" i="7"/>
  <c r="BA250" i="7"/>
  <c r="BA251" i="7"/>
  <c r="BA252" i="7"/>
  <c r="BA253" i="7"/>
  <c r="BA254" i="7"/>
  <c r="BA255" i="7"/>
  <c r="BA256" i="7"/>
  <c r="BA257" i="7"/>
  <c r="BA258" i="7"/>
  <c r="BA259" i="7"/>
  <c r="BA260" i="7"/>
  <c r="BA261" i="7"/>
  <c r="BA262" i="7"/>
  <c r="BA263" i="7"/>
  <c r="BA264" i="7"/>
  <c r="BA265" i="7"/>
  <c r="BA266" i="7"/>
  <c r="BA267" i="7"/>
  <c r="BA268" i="7"/>
  <c r="BA269" i="7"/>
  <c r="BA270" i="7"/>
  <c r="BA271" i="7"/>
  <c r="BA272" i="7"/>
  <c r="BA273" i="7"/>
  <c r="BA274" i="7"/>
  <c r="BA275" i="7"/>
  <c r="BA276" i="7"/>
  <c r="BA277" i="7"/>
  <c r="BA278" i="7"/>
  <c r="BA279" i="7"/>
  <c r="BA280" i="7"/>
  <c r="BA281" i="7"/>
  <c r="BA282" i="7"/>
  <c r="BA283" i="7"/>
  <c r="BA284" i="7"/>
  <c r="BA285" i="7"/>
  <c r="BA286" i="7"/>
  <c r="BA287" i="7"/>
  <c r="BA288" i="7"/>
  <c r="BA289" i="7"/>
  <c r="BA290" i="7"/>
  <c r="BA291" i="7"/>
  <c r="BA292" i="7"/>
  <c r="BA293" i="7"/>
  <c r="BA294" i="7"/>
  <c r="BA295" i="7"/>
  <c r="BA296" i="7"/>
  <c r="BA297" i="7"/>
  <c r="BA298" i="7"/>
  <c r="BA299" i="7"/>
  <c r="BA300" i="7"/>
  <c r="BA301" i="7"/>
  <c r="BA302" i="7"/>
  <c r="BA303" i="7"/>
  <c r="BA304" i="7"/>
  <c r="BA305" i="7"/>
  <c r="BA306" i="7"/>
  <c r="BA307" i="7"/>
  <c r="BA308" i="7"/>
  <c r="BA309" i="7"/>
  <c r="BA310" i="7"/>
  <c r="BA311" i="7"/>
  <c r="BA312" i="7"/>
  <c r="BA313" i="7"/>
  <c r="BA314" i="7"/>
  <c r="BA315" i="7"/>
  <c r="BA316" i="7"/>
  <c r="BA317" i="7"/>
  <c r="BA318" i="7"/>
  <c r="BA319" i="7"/>
  <c r="BA320" i="7"/>
  <c r="BA321" i="7"/>
  <c r="BA322" i="7"/>
  <c r="BA323" i="7"/>
  <c r="BA324" i="7"/>
  <c r="BA325" i="7"/>
  <c r="BA326" i="7"/>
  <c r="BA327" i="7"/>
  <c r="BA328" i="7"/>
  <c r="BA329" i="7"/>
  <c r="BA330" i="7"/>
  <c r="BA331" i="7"/>
  <c r="BA332" i="7"/>
  <c r="BA333" i="7"/>
  <c r="BA334" i="7"/>
  <c r="BA335" i="7"/>
  <c r="BA336" i="7"/>
  <c r="BA337" i="7"/>
  <c r="BA338" i="7"/>
  <c r="BA339" i="7"/>
  <c r="BA340" i="7"/>
  <c r="BA341" i="7"/>
  <c r="BA342" i="7"/>
  <c r="BA343" i="7"/>
  <c r="BA344" i="7"/>
  <c r="BA345" i="7"/>
  <c r="BA346" i="7"/>
  <c r="BA347" i="7"/>
  <c r="BA348" i="7"/>
  <c r="BA349" i="7"/>
  <c r="BA350" i="7"/>
  <c r="BA351" i="7"/>
  <c r="BA352" i="7"/>
  <c r="BA353" i="7"/>
  <c r="BA354" i="7"/>
  <c r="BA355" i="7"/>
  <c r="BA356" i="7"/>
  <c r="BA357" i="7"/>
  <c r="BA358" i="7"/>
  <c r="BA359" i="7"/>
  <c r="BA360" i="7"/>
  <c r="BA361" i="7"/>
  <c r="BA362" i="7"/>
  <c r="BA363" i="7"/>
  <c r="BA364" i="7"/>
  <c r="BA365" i="7"/>
  <c r="BA366" i="7"/>
  <c r="BA367" i="7"/>
  <c r="BA368" i="7"/>
  <c r="BA369" i="7"/>
  <c r="BA370" i="7"/>
  <c r="BA371" i="7"/>
  <c r="BA372" i="7"/>
  <c r="BA373" i="7"/>
  <c r="BA374" i="7"/>
  <c r="BA375" i="7"/>
  <c r="BA376" i="7"/>
  <c r="BA377" i="7"/>
  <c r="BA378" i="7"/>
  <c r="BA379" i="7"/>
  <c r="BA380" i="7"/>
  <c r="BA381" i="7"/>
  <c r="BA382" i="7"/>
  <c r="BA383" i="7"/>
  <c r="BA384" i="7"/>
  <c r="BA385" i="7"/>
  <c r="BA386" i="7"/>
  <c r="BA387" i="7"/>
  <c r="BA388" i="7"/>
  <c r="BA389" i="7"/>
  <c r="BA390" i="7"/>
  <c r="BA391" i="7"/>
  <c r="BA392" i="7"/>
  <c r="BA393" i="7"/>
  <c r="BA394" i="7"/>
  <c r="BA395" i="7"/>
  <c r="BA396" i="7"/>
  <c r="BA397" i="7"/>
  <c r="BA398" i="7"/>
  <c r="BA399" i="7"/>
  <c r="BA400" i="7"/>
  <c r="BA401" i="7"/>
  <c r="BA402" i="7"/>
  <c r="BA403" i="7"/>
  <c r="BA404" i="7"/>
  <c r="BA405" i="7"/>
  <c r="BA406" i="7"/>
  <c r="BA407" i="7"/>
  <c r="BA408" i="7"/>
  <c r="BA409" i="7"/>
  <c r="BA410" i="7"/>
  <c r="BA411" i="7"/>
  <c r="BA412" i="7"/>
  <c r="BA413" i="7"/>
  <c r="BA414" i="7"/>
  <c r="BA415" i="7"/>
  <c r="BA416" i="7"/>
  <c r="BA417" i="7"/>
  <c r="BA418" i="7"/>
  <c r="BA419" i="7"/>
  <c r="BA420" i="7"/>
  <c r="BA421" i="7"/>
  <c r="BA422" i="7"/>
  <c r="BA423" i="7"/>
  <c r="BA424" i="7"/>
  <c r="BA425" i="7"/>
  <c r="BA426" i="7"/>
  <c r="BA427" i="7"/>
  <c r="BA428" i="7"/>
  <c r="BA429" i="7"/>
  <c r="BA430" i="7"/>
  <c r="BA431" i="7"/>
  <c r="BA432" i="7"/>
  <c r="BA433" i="7"/>
  <c r="BA434" i="7"/>
  <c r="BA435" i="7"/>
  <c r="BA436" i="7"/>
  <c r="BA437" i="7"/>
  <c r="BA438" i="7"/>
  <c r="BA439" i="7"/>
  <c r="BA440" i="7"/>
  <c r="BA441" i="7"/>
  <c r="BA442" i="7"/>
  <c r="BA443" i="7"/>
  <c r="BA444" i="7"/>
  <c r="BA445" i="7"/>
  <c r="BA446" i="7"/>
  <c r="BA447" i="7"/>
  <c r="BA448" i="7"/>
  <c r="BA449" i="7"/>
  <c r="BA450" i="7"/>
  <c r="BA451" i="7"/>
  <c r="BA452" i="7"/>
  <c r="BA453" i="7"/>
  <c r="BA454" i="7"/>
  <c r="BA455" i="7"/>
  <c r="BA456" i="7"/>
  <c r="BA457" i="7"/>
  <c r="BA458" i="7"/>
  <c r="BA459" i="7"/>
  <c r="BA460" i="7"/>
  <c r="BA461" i="7"/>
  <c r="BA462" i="7"/>
  <c r="BA463" i="7"/>
  <c r="BA464" i="7"/>
  <c r="BA465" i="7"/>
  <c r="BA466" i="7"/>
  <c r="BA467" i="7"/>
  <c r="BA468" i="7"/>
  <c r="BA469" i="7"/>
  <c r="BA470" i="7"/>
  <c r="BA471" i="7"/>
  <c r="BA472" i="7"/>
  <c r="BA473" i="7"/>
  <c r="BA474" i="7"/>
  <c r="BA475" i="7"/>
  <c r="BA476" i="7"/>
  <c r="BA477" i="7"/>
  <c r="BA478" i="7"/>
  <c r="BA479" i="7"/>
  <c r="BA480" i="7"/>
  <c r="BA481" i="7"/>
  <c r="BA482" i="7"/>
  <c r="BA483" i="7"/>
  <c r="BA484" i="7"/>
  <c r="BA485" i="7"/>
  <c r="BA486" i="7"/>
  <c r="BA487" i="7"/>
  <c r="BA488" i="7"/>
  <c r="BA489" i="7"/>
  <c r="BA490" i="7"/>
  <c r="BA491" i="7"/>
  <c r="BA492" i="7"/>
  <c r="BA493" i="7"/>
  <c r="BA494" i="7"/>
  <c r="BA495" i="7"/>
  <c r="BA496" i="7"/>
  <c r="BA497" i="7"/>
  <c r="BA498" i="7"/>
  <c r="BA499" i="7"/>
  <c r="BA500" i="7"/>
  <c r="BA501" i="7"/>
  <c r="BA502" i="7"/>
  <c r="BA503" i="7"/>
  <c r="BA504" i="7"/>
  <c r="BA505" i="7"/>
  <c r="BA506" i="7"/>
  <c r="BA507" i="7"/>
  <c r="BA508" i="7"/>
  <c r="BA509" i="7"/>
  <c r="BA510" i="7"/>
  <c r="BA511" i="7"/>
  <c r="BA512" i="7"/>
  <c r="BA513" i="7"/>
  <c r="BA514" i="7"/>
  <c r="BA515" i="7"/>
  <c r="BA516" i="7"/>
  <c r="BA517" i="7"/>
  <c r="BA518" i="7"/>
  <c r="BA519" i="7"/>
  <c r="BA520" i="7"/>
  <c r="BA521" i="7"/>
  <c r="BA522" i="7"/>
  <c r="BA523" i="7"/>
  <c r="BA524" i="7"/>
  <c r="BA525" i="7"/>
  <c r="BA526" i="7"/>
  <c r="BA527" i="7"/>
  <c r="BA528" i="7"/>
  <c r="BA529" i="7"/>
  <c r="BA530" i="7"/>
  <c r="BA531" i="7"/>
  <c r="BA532" i="7"/>
  <c r="BA533" i="7"/>
  <c r="BA534" i="7"/>
  <c r="BA535" i="7"/>
  <c r="BA536" i="7"/>
  <c r="BA537" i="7"/>
  <c r="BA538" i="7"/>
  <c r="BA539" i="7"/>
  <c r="BA540" i="7"/>
  <c r="BA541" i="7"/>
  <c r="BA542" i="7"/>
  <c r="BA543" i="7"/>
  <c r="BA544" i="7"/>
  <c r="BA545" i="7"/>
  <c r="BA546" i="7"/>
  <c r="BA547" i="7"/>
  <c r="BA548" i="7"/>
  <c r="BA549" i="7"/>
  <c r="BA550" i="7"/>
  <c r="BA551" i="7"/>
  <c r="BA552" i="7"/>
  <c r="BA553" i="7"/>
  <c r="BA554" i="7"/>
  <c r="BA555" i="7"/>
  <c r="BA556" i="7"/>
  <c r="BA557" i="7"/>
  <c r="BA558" i="7"/>
  <c r="BA559" i="7"/>
  <c r="BA560" i="7"/>
  <c r="BA561" i="7"/>
  <c r="BA562" i="7"/>
  <c r="BA563" i="7"/>
  <c r="BA564" i="7"/>
  <c r="BA565" i="7"/>
  <c r="BA566" i="7"/>
  <c r="BA567" i="7"/>
  <c r="BA568" i="7"/>
  <c r="BA569" i="7"/>
  <c r="BA570" i="7"/>
  <c r="BA571" i="7"/>
  <c r="BA572" i="7"/>
  <c r="BA573" i="7"/>
  <c r="BA574" i="7"/>
  <c r="BA575" i="7"/>
  <c r="BA576" i="7"/>
  <c r="BA577" i="7"/>
  <c r="BA578" i="7"/>
  <c r="BA579" i="7"/>
  <c r="BA580" i="7"/>
  <c r="BA581" i="7"/>
  <c r="BA582" i="7"/>
  <c r="BA583" i="7"/>
  <c r="BA584" i="7"/>
  <c r="BA585" i="7"/>
  <c r="BA586" i="7"/>
  <c r="BA587" i="7"/>
  <c r="BA588" i="7"/>
  <c r="BA589" i="7"/>
  <c r="BA590" i="7"/>
  <c r="BA591" i="7"/>
  <c r="BA592" i="7"/>
  <c r="BA593" i="7"/>
  <c r="BA594" i="7"/>
  <c r="BA595" i="7"/>
  <c r="BA596" i="7"/>
  <c r="BA597" i="7"/>
  <c r="BA598" i="7"/>
  <c r="BA599" i="7"/>
  <c r="BA600" i="7"/>
  <c r="BA601" i="7"/>
  <c r="BA602" i="7"/>
  <c r="BA603" i="7"/>
  <c r="BA604" i="7"/>
  <c r="BA605" i="7"/>
  <c r="BA606" i="7"/>
  <c r="BA607" i="7"/>
  <c r="BA608" i="7"/>
  <c r="BA609" i="7"/>
  <c r="BA610" i="7"/>
  <c r="BA611" i="7"/>
  <c r="BA612" i="7"/>
  <c r="BA613" i="7"/>
  <c r="BA614" i="7"/>
  <c r="BA615" i="7"/>
  <c r="BA616" i="7"/>
  <c r="BA617" i="7"/>
  <c r="BA618" i="7"/>
  <c r="BA619" i="7"/>
  <c r="BA620" i="7"/>
  <c r="BA621" i="7"/>
  <c r="BA622" i="7"/>
  <c r="BA623" i="7"/>
  <c r="BA624" i="7"/>
  <c r="BA625" i="7"/>
  <c r="BA626" i="7"/>
  <c r="BA627" i="7"/>
  <c r="BA628" i="7"/>
  <c r="BA629" i="7"/>
  <c r="BA630" i="7"/>
  <c r="BA631" i="7"/>
  <c r="BA632" i="7"/>
  <c r="BA633" i="7"/>
  <c r="BA634" i="7"/>
  <c r="BA635" i="7"/>
  <c r="BA636" i="7"/>
  <c r="BA637" i="7"/>
  <c r="BA638" i="7"/>
  <c r="BA639" i="7"/>
  <c r="BA640" i="7"/>
  <c r="BA641" i="7"/>
  <c r="BA642" i="7"/>
  <c r="BA643" i="7"/>
  <c r="BA644" i="7"/>
  <c r="BA645" i="7"/>
  <c r="BA646" i="7"/>
  <c r="BA647" i="7"/>
  <c r="BA648" i="7"/>
  <c r="BA649" i="7"/>
  <c r="BA650" i="7"/>
  <c r="BA651" i="7"/>
  <c r="BA652" i="7"/>
  <c r="BA653" i="7"/>
  <c r="BA654" i="7"/>
  <c r="BA655" i="7"/>
  <c r="BA656" i="7"/>
  <c r="BA657" i="7"/>
  <c r="BA658" i="7"/>
  <c r="BA659" i="7"/>
  <c r="BA660" i="7"/>
  <c r="BA661" i="7"/>
  <c r="BA662" i="7"/>
  <c r="BA663" i="7"/>
  <c r="BA664" i="7"/>
  <c r="BA665" i="7"/>
  <c r="BA666" i="7"/>
  <c r="BA667" i="7"/>
  <c r="BA668" i="7"/>
  <c r="BA669" i="7"/>
  <c r="BA670" i="7"/>
  <c r="BA671" i="7"/>
  <c r="BA672" i="7"/>
  <c r="BA673" i="7"/>
  <c r="BA674" i="7"/>
  <c r="BA675" i="7"/>
  <c r="BA676" i="7"/>
  <c r="BA677" i="7"/>
  <c r="BA678" i="7"/>
  <c r="BA679" i="7"/>
  <c r="BA680" i="7"/>
  <c r="BA681" i="7"/>
  <c r="BA682" i="7"/>
  <c r="BA683" i="7"/>
  <c r="BA684" i="7"/>
  <c r="BA685" i="7"/>
  <c r="BA686" i="7"/>
  <c r="BA687" i="7"/>
  <c r="BA688" i="7"/>
  <c r="BA689" i="7"/>
  <c r="BA690" i="7"/>
  <c r="BA691" i="7"/>
  <c r="BA692" i="7"/>
  <c r="BA693" i="7"/>
  <c r="BA694" i="7"/>
  <c r="BA695" i="7"/>
  <c r="BA696" i="7"/>
  <c r="BA697" i="7"/>
  <c r="BA698" i="7"/>
  <c r="BA699" i="7"/>
  <c r="BA700" i="7"/>
  <c r="BA701" i="7"/>
  <c r="BA702" i="7"/>
  <c r="BA703" i="7"/>
  <c r="BA704" i="7"/>
  <c r="BA705" i="7"/>
  <c r="BA706" i="7"/>
  <c r="BA707" i="7"/>
  <c r="BA708" i="7"/>
  <c r="BA709" i="7"/>
  <c r="BA710" i="7"/>
  <c r="BA711" i="7"/>
  <c r="BA712" i="7"/>
  <c r="BA713" i="7"/>
  <c r="BA714" i="7"/>
  <c r="BA715" i="7"/>
  <c r="BA716" i="7"/>
  <c r="BA717" i="7"/>
  <c r="BA718" i="7"/>
  <c r="BA719" i="7"/>
  <c r="BA720" i="7"/>
  <c r="BA721" i="7"/>
  <c r="BA722" i="7"/>
  <c r="BA723" i="7"/>
  <c r="BA724" i="7"/>
  <c r="BA725" i="7"/>
  <c r="BA726" i="7"/>
  <c r="BA727" i="7"/>
  <c r="BA728" i="7"/>
  <c r="BA729" i="7"/>
  <c r="BA730" i="7"/>
  <c r="BA731" i="7"/>
  <c r="BA732" i="7"/>
  <c r="BA733" i="7"/>
  <c r="BA734" i="7"/>
  <c r="BA735" i="7"/>
  <c r="BA736" i="7"/>
  <c r="BA737" i="7"/>
  <c r="BA738" i="7"/>
  <c r="BA739" i="7"/>
  <c r="BA740" i="7"/>
  <c r="BA741" i="7"/>
  <c r="BA742" i="7"/>
  <c r="BA743" i="7"/>
  <c r="BA744" i="7"/>
  <c r="BA745" i="7"/>
  <c r="BA746" i="7"/>
  <c r="BA747" i="7"/>
  <c r="BA748" i="7"/>
  <c r="BA749" i="7"/>
  <c r="BA750" i="7"/>
  <c r="BA751" i="7"/>
  <c r="BA752" i="7"/>
  <c r="BA753" i="7"/>
  <c r="BA754" i="7"/>
  <c r="BA755" i="7"/>
  <c r="BA756" i="7"/>
  <c r="BA757" i="7"/>
  <c r="BA758" i="7"/>
  <c r="BA759" i="7"/>
  <c r="BA760" i="7"/>
  <c r="BA761" i="7"/>
  <c r="BA762" i="7"/>
  <c r="BA763" i="7"/>
  <c r="BA764" i="7"/>
  <c r="BA765" i="7"/>
  <c r="BA766" i="7"/>
  <c r="BA767" i="7"/>
  <c r="BA768" i="7"/>
  <c r="BA769" i="7"/>
  <c r="BA770" i="7"/>
  <c r="BA771" i="7"/>
  <c r="BA772" i="7"/>
  <c r="BA773" i="7"/>
  <c r="BA774" i="7"/>
  <c r="BA775" i="7"/>
  <c r="BA776" i="7"/>
  <c r="BA777" i="7"/>
  <c r="BA778" i="7"/>
  <c r="BA779" i="7"/>
  <c r="BA780" i="7"/>
  <c r="BA781" i="7"/>
  <c r="BA782" i="7"/>
  <c r="BA783" i="7"/>
  <c r="BA784" i="7"/>
  <c r="BA785" i="7"/>
  <c r="BA786" i="7"/>
  <c r="BA787" i="7"/>
  <c r="BA788" i="7"/>
  <c r="BA789" i="7"/>
  <c r="BA790" i="7"/>
  <c r="BA791" i="7"/>
  <c r="BA792" i="7"/>
  <c r="BA793" i="7"/>
  <c r="BA794" i="7"/>
  <c r="BA795" i="7"/>
  <c r="BA796" i="7"/>
  <c r="BA797" i="7"/>
  <c r="BA798" i="7"/>
  <c r="BA799" i="7"/>
  <c r="BA800" i="7"/>
  <c r="BA801" i="7"/>
  <c r="BA802" i="7"/>
  <c r="BA803" i="7"/>
  <c r="BA804" i="7"/>
  <c r="BA805" i="7"/>
  <c r="BA806" i="7"/>
  <c r="BA807" i="7"/>
  <c r="BA808" i="7"/>
  <c r="BA809" i="7"/>
  <c r="BA810" i="7"/>
  <c r="BA811" i="7"/>
  <c r="BA812" i="7"/>
  <c r="BA813" i="7"/>
  <c r="BA814" i="7"/>
  <c r="BA815" i="7"/>
  <c r="BA816" i="7"/>
  <c r="BA817" i="7"/>
  <c r="BA818" i="7"/>
  <c r="BA819" i="7"/>
  <c r="BA820" i="7"/>
  <c r="BA821" i="7"/>
  <c r="BA822" i="7"/>
  <c r="BA823" i="7"/>
  <c r="BA824" i="7"/>
  <c r="BA825" i="7"/>
  <c r="BA826" i="7"/>
  <c r="BA827" i="7"/>
  <c r="BA828" i="7"/>
  <c r="BA829" i="7"/>
  <c r="BA830" i="7"/>
  <c r="BA831" i="7"/>
  <c r="BA832" i="7"/>
  <c r="BA833" i="7"/>
  <c r="BA834" i="7"/>
  <c r="BA835" i="7"/>
  <c r="BA836" i="7"/>
  <c r="BA837" i="7"/>
  <c r="BA838" i="7"/>
  <c r="BA839" i="7"/>
  <c r="BA840" i="7"/>
  <c r="BA841" i="7"/>
  <c r="BA842" i="7"/>
  <c r="BA843" i="7"/>
  <c r="BA844" i="7"/>
  <c r="BA845" i="7"/>
  <c r="BA846" i="7"/>
  <c r="BA847" i="7"/>
  <c r="BA848" i="7"/>
  <c r="BA849" i="7"/>
  <c r="BA850" i="7"/>
  <c r="BA851" i="7"/>
  <c r="BA852" i="7"/>
  <c r="BA853" i="7"/>
  <c r="BA854" i="7"/>
  <c r="BA855" i="7"/>
  <c r="BA856" i="7"/>
  <c r="BA857" i="7"/>
  <c r="BA858" i="7"/>
  <c r="BA859" i="7"/>
  <c r="BA860" i="7"/>
  <c r="BA861" i="7"/>
  <c r="BA862" i="7"/>
  <c r="BA863" i="7"/>
  <c r="BA864" i="7"/>
  <c r="BA865" i="7"/>
  <c r="BA866" i="7"/>
  <c r="BA867" i="7"/>
  <c r="BA868" i="7"/>
  <c r="BA869" i="7"/>
  <c r="BA870" i="7"/>
  <c r="BA871" i="7"/>
  <c r="BA872" i="7"/>
  <c r="BA873" i="7"/>
  <c r="BA874" i="7"/>
  <c r="BA875" i="7"/>
  <c r="BA876" i="7"/>
  <c r="BA877" i="7"/>
  <c r="BA878" i="7"/>
  <c r="BA879" i="7"/>
  <c r="BA880" i="7"/>
  <c r="BA881" i="7"/>
  <c r="BA882" i="7"/>
  <c r="BA883" i="7"/>
  <c r="BA884" i="7"/>
  <c r="BA885" i="7"/>
  <c r="BA886" i="7"/>
  <c r="BA887" i="7"/>
  <c r="BA888" i="7"/>
  <c r="BA889" i="7"/>
  <c r="BA890" i="7"/>
  <c r="BA891" i="7"/>
  <c r="BA892" i="7"/>
  <c r="BA893" i="7"/>
  <c r="BA894" i="7"/>
  <c r="BA895" i="7"/>
  <c r="BA896" i="7"/>
  <c r="BA897" i="7"/>
  <c r="BA898" i="7"/>
  <c r="BA899" i="7"/>
  <c r="BA900" i="7"/>
  <c r="BA901" i="7"/>
  <c r="BA902" i="7"/>
  <c r="BA903" i="7"/>
  <c r="BA904" i="7"/>
  <c r="BA905" i="7"/>
  <c r="BA906" i="7"/>
  <c r="BA907" i="7"/>
  <c r="BA908" i="7"/>
  <c r="BA909" i="7"/>
  <c r="BA910" i="7"/>
  <c r="BA911" i="7"/>
  <c r="BA912" i="7"/>
  <c r="BA913" i="7"/>
  <c r="BA914" i="7"/>
  <c r="BA915" i="7"/>
  <c r="BA916" i="7"/>
  <c r="BA917" i="7"/>
  <c r="BA918" i="7"/>
  <c r="BA919" i="7"/>
  <c r="BA920" i="7"/>
  <c r="BA921" i="7"/>
  <c r="BA922" i="7"/>
  <c r="BA923" i="7"/>
  <c r="BA924" i="7"/>
  <c r="BA925" i="7"/>
  <c r="BA926" i="7"/>
  <c r="BA927" i="7"/>
  <c r="BA928" i="7"/>
  <c r="BA929" i="7"/>
  <c r="BA930" i="7"/>
  <c r="BA931" i="7"/>
  <c r="BA932" i="7"/>
  <c r="BA933" i="7"/>
  <c r="BA934" i="7"/>
  <c r="BA935" i="7"/>
  <c r="BA936" i="7"/>
  <c r="BA937" i="7"/>
  <c r="BA938" i="7"/>
  <c r="BA939" i="7"/>
  <c r="BA940" i="7"/>
  <c r="BA941" i="7"/>
  <c r="BA942" i="7"/>
  <c r="BA943" i="7"/>
  <c r="BA944" i="7"/>
  <c r="BA945" i="7"/>
  <c r="BA946" i="7"/>
  <c r="BA947" i="7"/>
  <c r="BA948" i="7"/>
  <c r="BA949" i="7"/>
  <c r="BA950" i="7"/>
  <c r="BA951" i="7"/>
  <c r="BA952" i="7"/>
  <c r="BA953" i="7"/>
  <c r="BA954" i="7"/>
  <c r="BA955" i="7"/>
  <c r="BA956" i="7"/>
  <c r="BA957" i="7"/>
  <c r="BA958" i="7"/>
  <c r="BA959" i="7"/>
  <c r="BA960" i="7"/>
  <c r="BA961" i="7"/>
  <c r="BA962" i="7"/>
  <c r="BA963" i="7"/>
  <c r="BA964" i="7"/>
  <c r="BA965" i="7"/>
  <c r="BA966" i="7"/>
  <c r="BA967" i="7"/>
  <c r="BA968" i="7"/>
  <c r="BA969" i="7"/>
  <c r="BA970" i="7"/>
  <c r="BA971" i="7"/>
  <c r="BA972" i="7"/>
  <c r="BA973" i="7"/>
  <c r="BA974" i="7"/>
  <c r="BA975" i="7"/>
  <c r="BA976" i="7"/>
  <c r="BA977" i="7"/>
  <c r="BA978" i="7"/>
  <c r="BA979" i="7"/>
  <c r="BA980" i="7"/>
  <c r="BA981" i="7"/>
  <c r="BA982" i="7"/>
  <c r="BA983" i="7"/>
  <c r="BA984" i="7"/>
  <c r="BA985" i="7"/>
  <c r="BA986" i="7"/>
  <c r="BA987" i="7"/>
  <c r="BA988" i="7"/>
  <c r="BA989" i="7"/>
  <c r="BA990" i="7"/>
  <c r="BA991" i="7"/>
  <c r="BA992" i="7"/>
  <c r="BA993" i="7"/>
  <c r="BA994" i="7"/>
  <c r="BA995" i="7"/>
  <c r="BA996" i="7"/>
  <c r="BA997" i="7"/>
  <c r="BA998" i="7"/>
  <c r="BA999" i="7"/>
  <c r="BA1000" i="7"/>
  <c r="BA1001" i="7"/>
  <c r="BA1002" i="7"/>
  <c r="BA1003" i="7"/>
  <c r="BA1004" i="7"/>
  <c r="BA1005" i="7"/>
  <c r="BA1006" i="7"/>
  <c r="BA1007" i="7"/>
  <c r="BA1008" i="7"/>
  <c r="BA1009" i="7"/>
  <c r="BA1010" i="7"/>
  <c r="BA1011" i="7"/>
  <c r="BA1012" i="7"/>
  <c r="BA1013" i="7"/>
  <c r="BA1014" i="7"/>
  <c r="BA1015" i="7"/>
  <c r="BA1016" i="7"/>
  <c r="BA1017" i="7"/>
  <c r="BA1018" i="7"/>
  <c r="BA1019" i="7"/>
  <c r="BA1020" i="7"/>
  <c r="BA1021" i="7"/>
  <c r="BA1022" i="7"/>
  <c r="BA1023" i="7"/>
  <c r="BA1024" i="7"/>
  <c r="BA1025" i="7"/>
  <c r="BA1026" i="7"/>
  <c r="BA1027" i="7"/>
  <c r="BA1028" i="7"/>
  <c r="BA1029" i="7"/>
  <c r="BA1030" i="7"/>
  <c r="BA1031" i="7"/>
  <c r="BA1032" i="7"/>
  <c r="BA1033" i="7"/>
  <c r="BA1034" i="7"/>
  <c r="BA1035" i="7"/>
  <c r="BA1036" i="7"/>
  <c r="BA1037" i="7"/>
  <c r="BA1038" i="7"/>
  <c r="BA1039" i="7"/>
  <c r="BA1040" i="7"/>
  <c r="BA1041" i="7"/>
  <c r="BA1042" i="7"/>
  <c r="BA1043" i="7"/>
  <c r="BA1044" i="7"/>
  <c r="BA1045" i="7"/>
  <c r="BA1046" i="7"/>
  <c r="BA1047" i="7"/>
  <c r="BA1048" i="7"/>
  <c r="BA1049" i="7"/>
  <c r="BA1050" i="7"/>
  <c r="BA1051" i="7"/>
  <c r="BA1052" i="7"/>
  <c r="BA1053" i="7"/>
  <c r="BA1054" i="7"/>
  <c r="BA1055" i="7"/>
  <c r="BA1056" i="7"/>
  <c r="BA1057" i="7"/>
  <c r="BA1058" i="7"/>
  <c r="BA1059" i="7"/>
  <c r="BA1060" i="7"/>
  <c r="BA1061" i="7"/>
  <c r="BA1062" i="7"/>
  <c r="BA1063" i="7"/>
  <c r="BA1064" i="7"/>
  <c r="BA1065" i="7"/>
  <c r="BA1066" i="7"/>
  <c r="BA1067" i="7"/>
  <c r="BA1068" i="7"/>
  <c r="BA1069" i="7"/>
  <c r="BA1070" i="7"/>
  <c r="BA1071" i="7"/>
  <c r="BA1072" i="7"/>
  <c r="BA1073" i="7"/>
  <c r="BA1074" i="7"/>
  <c r="BA1075" i="7"/>
  <c r="BA1076" i="7"/>
  <c r="BA1077" i="7"/>
  <c r="BA1078" i="7"/>
  <c r="BA1079" i="7"/>
  <c r="BA1080" i="7"/>
  <c r="BA1081" i="7"/>
  <c r="BA1082" i="7"/>
  <c r="BA1083" i="7"/>
  <c r="BA1084" i="7"/>
  <c r="BA1085" i="7"/>
  <c r="BA1086" i="7"/>
  <c r="BA1087" i="7"/>
  <c r="BA1088" i="7"/>
  <c r="BA1089" i="7"/>
  <c r="BA1090" i="7"/>
  <c r="BA1091" i="7"/>
  <c r="BA1092" i="7"/>
  <c r="BA1093" i="7"/>
  <c r="BA1094" i="7"/>
  <c r="BA1095" i="7"/>
  <c r="BA1096" i="7"/>
  <c r="BA1097" i="7"/>
  <c r="BA1098" i="7"/>
  <c r="BA1099" i="7"/>
  <c r="BA1100" i="7"/>
  <c r="BA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51" i="7"/>
  <c r="AZ52" i="7"/>
  <c r="AZ53" i="7"/>
  <c r="AZ54" i="7"/>
  <c r="AZ55" i="7"/>
  <c r="AZ56" i="7"/>
  <c r="AZ57" i="7"/>
  <c r="AZ58" i="7"/>
  <c r="AZ59" i="7"/>
  <c r="AZ60" i="7"/>
  <c r="AZ61" i="7"/>
  <c r="AZ62" i="7"/>
  <c r="AZ63" i="7"/>
  <c r="AZ64" i="7"/>
  <c r="AZ65" i="7"/>
  <c r="AZ66" i="7"/>
  <c r="AZ67" i="7"/>
  <c r="AZ68" i="7"/>
  <c r="AZ69" i="7"/>
  <c r="AZ70" i="7"/>
  <c r="AZ71" i="7"/>
  <c r="AZ72" i="7"/>
  <c r="AZ73" i="7"/>
  <c r="AZ74" i="7"/>
  <c r="AZ75" i="7"/>
  <c r="AZ76" i="7"/>
  <c r="AZ77" i="7"/>
  <c r="AZ78" i="7"/>
  <c r="AZ79" i="7"/>
  <c r="AZ80" i="7"/>
  <c r="AZ81" i="7"/>
  <c r="AZ82" i="7"/>
  <c r="AZ83" i="7"/>
  <c r="AZ84" i="7"/>
  <c r="AZ85" i="7"/>
  <c r="AZ86" i="7"/>
  <c r="AZ87" i="7"/>
  <c r="AZ88" i="7"/>
  <c r="AZ89" i="7"/>
  <c r="AZ90" i="7"/>
  <c r="AZ91" i="7"/>
  <c r="AZ92" i="7"/>
  <c r="AZ93" i="7"/>
  <c r="AZ94" i="7"/>
  <c r="AZ95" i="7"/>
  <c r="AZ96" i="7"/>
  <c r="AZ97" i="7"/>
  <c r="AZ98" i="7"/>
  <c r="AZ99" i="7"/>
  <c r="AZ100" i="7"/>
  <c r="AZ101" i="7"/>
  <c r="AZ102" i="7"/>
  <c r="AZ103" i="7"/>
  <c r="AZ104" i="7"/>
  <c r="AZ105" i="7"/>
  <c r="AZ106" i="7"/>
  <c r="AZ107" i="7"/>
  <c r="AZ108" i="7"/>
  <c r="AZ109" i="7"/>
  <c r="AZ110" i="7"/>
  <c r="AZ111" i="7"/>
  <c r="AZ112" i="7"/>
  <c r="AZ113" i="7"/>
  <c r="AZ114" i="7"/>
  <c r="AZ115" i="7"/>
  <c r="AZ116" i="7"/>
  <c r="AZ117" i="7"/>
  <c r="AZ118" i="7"/>
  <c r="AZ119" i="7"/>
  <c r="AZ120" i="7"/>
  <c r="AZ121" i="7"/>
  <c r="AZ122" i="7"/>
  <c r="AZ123" i="7"/>
  <c r="AZ124" i="7"/>
  <c r="AZ125" i="7"/>
  <c r="AZ126" i="7"/>
  <c r="AZ127" i="7"/>
  <c r="AZ128" i="7"/>
  <c r="AZ129" i="7"/>
  <c r="AZ130" i="7"/>
  <c r="AZ131" i="7"/>
  <c r="AZ132" i="7"/>
  <c r="AZ133" i="7"/>
  <c r="AZ134" i="7"/>
  <c r="AZ135" i="7"/>
  <c r="AZ136" i="7"/>
  <c r="AZ137" i="7"/>
  <c r="AZ138" i="7"/>
  <c r="AZ139" i="7"/>
  <c r="AZ140" i="7"/>
  <c r="AZ141" i="7"/>
  <c r="AZ142" i="7"/>
  <c r="AZ143" i="7"/>
  <c r="AZ144" i="7"/>
  <c r="AZ145" i="7"/>
  <c r="AZ146" i="7"/>
  <c r="AZ147" i="7"/>
  <c r="AZ148" i="7"/>
  <c r="AZ149" i="7"/>
  <c r="AZ150" i="7"/>
  <c r="AZ151" i="7"/>
  <c r="AZ152" i="7"/>
  <c r="AZ153" i="7"/>
  <c r="AZ154" i="7"/>
  <c r="AZ155" i="7"/>
  <c r="AZ156" i="7"/>
  <c r="AZ157" i="7"/>
  <c r="AZ158" i="7"/>
  <c r="AZ159" i="7"/>
  <c r="AZ160" i="7"/>
  <c r="AZ161" i="7"/>
  <c r="AZ162" i="7"/>
  <c r="AZ163" i="7"/>
  <c r="AZ164" i="7"/>
  <c r="AZ165" i="7"/>
  <c r="AZ166" i="7"/>
  <c r="AZ167" i="7"/>
  <c r="AZ168" i="7"/>
  <c r="AZ169" i="7"/>
  <c r="AZ170" i="7"/>
  <c r="AZ171" i="7"/>
  <c r="AZ172" i="7"/>
  <c r="AZ173" i="7"/>
  <c r="AZ174" i="7"/>
  <c r="AZ175" i="7"/>
  <c r="AZ176" i="7"/>
  <c r="AZ177" i="7"/>
  <c r="AZ178" i="7"/>
  <c r="AZ179" i="7"/>
  <c r="AZ180" i="7"/>
  <c r="AZ181" i="7"/>
  <c r="AZ182" i="7"/>
  <c r="AZ183" i="7"/>
  <c r="AZ184" i="7"/>
  <c r="AZ185" i="7"/>
  <c r="AZ186" i="7"/>
  <c r="AZ187" i="7"/>
  <c r="AZ188" i="7"/>
  <c r="AZ189" i="7"/>
  <c r="AZ190" i="7"/>
  <c r="AZ191" i="7"/>
  <c r="AZ192" i="7"/>
  <c r="AZ193" i="7"/>
  <c r="AZ194" i="7"/>
  <c r="AZ195" i="7"/>
  <c r="AZ196" i="7"/>
  <c r="AZ197" i="7"/>
  <c r="AZ198" i="7"/>
  <c r="AZ199" i="7"/>
  <c r="AZ200" i="7"/>
  <c r="AZ201" i="7"/>
  <c r="AZ202" i="7"/>
  <c r="AZ203" i="7"/>
  <c r="AZ204" i="7"/>
  <c r="AZ205" i="7"/>
  <c r="AZ206" i="7"/>
  <c r="AZ207" i="7"/>
  <c r="AZ208" i="7"/>
  <c r="AZ209" i="7"/>
  <c r="AZ210" i="7"/>
  <c r="AZ211" i="7"/>
  <c r="AZ212" i="7"/>
  <c r="AZ213" i="7"/>
  <c r="AZ214" i="7"/>
  <c r="AZ215" i="7"/>
  <c r="AZ216" i="7"/>
  <c r="AZ217" i="7"/>
  <c r="AZ218" i="7"/>
  <c r="AZ219" i="7"/>
  <c r="AZ220" i="7"/>
  <c r="AZ221" i="7"/>
  <c r="AZ222" i="7"/>
  <c r="AZ223" i="7"/>
  <c r="AZ224" i="7"/>
  <c r="AZ225" i="7"/>
  <c r="AZ226" i="7"/>
  <c r="AZ227" i="7"/>
  <c r="AZ228" i="7"/>
  <c r="AZ229" i="7"/>
  <c r="AZ230" i="7"/>
  <c r="AZ231" i="7"/>
  <c r="AZ232" i="7"/>
  <c r="AZ233" i="7"/>
  <c r="AZ234" i="7"/>
  <c r="AZ235" i="7"/>
  <c r="AZ236" i="7"/>
  <c r="AZ237" i="7"/>
  <c r="AZ238" i="7"/>
  <c r="AZ239" i="7"/>
  <c r="AZ240" i="7"/>
  <c r="AZ241" i="7"/>
  <c r="AZ242" i="7"/>
  <c r="AZ243" i="7"/>
  <c r="AZ244" i="7"/>
  <c r="AZ245" i="7"/>
  <c r="AZ246" i="7"/>
  <c r="AZ247" i="7"/>
  <c r="AZ248" i="7"/>
  <c r="AZ249" i="7"/>
  <c r="AZ250" i="7"/>
  <c r="AZ251" i="7"/>
  <c r="AZ252" i="7"/>
  <c r="AZ253" i="7"/>
  <c r="AZ254" i="7"/>
  <c r="AZ255" i="7"/>
  <c r="AZ256" i="7"/>
  <c r="AZ257" i="7"/>
  <c r="AZ258" i="7"/>
  <c r="AZ259" i="7"/>
  <c r="AZ260" i="7"/>
  <c r="AZ261" i="7"/>
  <c r="AZ262" i="7"/>
  <c r="AZ263" i="7"/>
  <c r="AZ264" i="7"/>
  <c r="AZ265" i="7"/>
  <c r="AZ266" i="7"/>
  <c r="AZ267" i="7"/>
  <c r="AZ268" i="7"/>
  <c r="AZ269" i="7"/>
  <c r="AZ270" i="7"/>
  <c r="AZ271" i="7"/>
  <c r="AZ272" i="7"/>
  <c r="AZ273" i="7"/>
  <c r="AZ274" i="7"/>
  <c r="AZ275" i="7"/>
  <c r="AZ276" i="7"/>
  <c r="AZ277" i="7"/>
  <c r="AZ278" i="7"/>
  <c r="AZ279" i="7"/>
  <c r="AZ280" i="7"/>
  <c r="AZ281" i="7"/>
  <c r="AZ282" i="7"/>
  <c r="AZ283" i="7"/>
  <c r="AZ284" i="7"/>
  <c r="AZ285" i="7"/>
  <c r="AZ286" i="7"/>
  <c r="AZ287" i="7"/>
  <c r="AZ288" i="7"/>
  <c r="AZ289" i="7"/>
  <c r="AZ290" i="7"/>
  <c r="AZ291" i="7"/>
  <c r="AZ292" i="7"/>
  <c r="AZ293" i="7"/>
  <c r="AZ294" i="7"/>
  <c r="AZ295" i="7"/>
  <c r="AZ296" i="7"/>
  <c r="AZ297" i="7"/>
  <c r="AZ298" i="7"/>
  <c r="AZ299" i="7"/>
  <c r="AZ300" i="7"/>
  <c r="AZ301" i="7"/>
  <c r="AZ302" i="7"/>
  <c r="AZ303" i="7"/>
  <c r="AZ304" i="7"/>
  <c r="AZ305" i="7"/>
  <c r="AZ306" i="7"/>
  <c r="AZ307" i="7"/>
  <c r="AZ308" i="7"/>
  <c r="AZ309" i="7"/>
  <c r="AZ310" i="7"/>
  <c r="AZ311" i="7"/>
  <c r="AZ312" i="7"/>
  <c r="AZ313" i="7"/>
  <c r="AZ314" i="7"/>
  <c r="AZ315" i="7"/>
  <c r="AZ316" i="7"/>
  <c r="AZ317" i="7"/>
  <c r="AZ318" i="7"/>
  <c r="AZ319" i="7"/>
  <c r="AZ320" i="7"/>
  <c r="AZ321" i="7"/>
  <c r="AZ322" i="7"/>
  <c r="AZ323" i="7"/>
  <c r="AZ324" i="7"/>
  <c r="AZ325" i="7"/>
  <c r="AZ326" i="7"/>
  <c r="AZ327" i="7"/>
  <c r="AZ328" i="7"/>
  <c r="AZ329" i="7"/>
  <c r="AZ330" i="7"/>
  <c r="AZ331" i="7"/>
  <c r="AZ332" i="7"/>
  <c r="AZ333" i="7"/>
  <c r="AZ334" i="7"/>
  <c r="AZ335" i="7"/>
  <c r="AZ336" i="7"/>
  <c r="AZ337" i="7"/>
  <c r="AZ338" i="7"/>
  <c r="AZ339" i="7"/>
  <c r="AZ340" i="7"/>
  <c r="AZ341" i="7"/>
  <c r="AZ342" i="7"/>
  <c r="AZ343" i="7"/>
  <c r="AZ344" i="7"/>
  <c r="AZ345" i="7"/>
  <c r="AZ346" i="7"/>
  <c r="AZ347" i="7"/>
  <c r="AZ348" i="7"/>
  <c r="AZ349" i="7"/>
  <c r="AZ350" i="7"/>
  <c r="AZ351" i="7"/>
  <c r="AZ352" i="7"/>
  <c r="AZ353" i="7"/>
  <c r="AZ354" i="7"/>
  <c r="AZ355" i="7"/>
  <c r="AZ356" i="7"/>
  <c r="AZ357" i="7"/>
  <c r="AZ358" i="7"/>
  <c r="AZ359" i="7"/>
  <c r="AZ360" i="7"/>
  <c r="AZ361" i="7"/>
  <c r="AZ362" i="7"/>
  <c r="AZ363" i="7"/>
  <c r="AZ364" i="7"/>
  <c r="AZ365" i="7"/>
  <c r="AZ366" i="7"/>
  <c r="AZ367" i="7"/>
  <c r="AZ368" i="7"/>
  <c r="AZ369" i="7"/>
  <c r="AZ370" i="7"/>
  <c r="AZ371" i="7"/>
  <c r="AZ372" i="7"/>
  <c r="AZ373" i="7"/>
  <c r="AZ374" i="7"/>
  <c r="AZ375" i="7"/>
  <c r="AZ376" i="7"/>
  <c r="AZ377" i="7"/>
  <c r="AZ378" i="7"/>
  <c r="AZ379" i="7"/>
  <c r="AZ380" i="7"/>
  <c r="AZ381" i="7"/>
  <c r="AZ382" i="7"/>
  <c r="AZ383" i="7"/>
  <c r="AZ384" i="7"/>
  <c r="AZ385" i="7"/>
  <c r="AZ386" i="7"/>
  <c r="AZ387" i="7"/>
  <c r="AZ388" i="7"/>
  <c r="AZ389" i="7"/>
  <c r="AZ390" i="7"/>
  <c r="AZ391" i="7"/>
  <c r="AZ392" i="7"/>
  <c r="AZ393" i="7"/>
  <c r="AZ394" i="7"/>
  <c r="AZ395" i="7"/>
  <c r="AZ396" i="7"/>
  <c r="AZ397" i="7"/>
  <c r="AZ398" i="7"/>
  <c r="AZ399" i="7"/>
  <c r="AZ400" i="7"/>
  <c r="AZ401" i="7"/>
  <c r="AZ402" i="7"/>
  <c r="AZ403" i="7"/>
  <c r="AZ404" i="7"/>
  <c r="AZ405" i="7"/>
  <c r="AZ406" i="7"/>
  <c r="AZ407" i="7"/>
  <c r="AZ408" i="7"/>
  <c r="AZ409" i="7"/>
  <c r="AZ410" i="7"/>
  <c r="AZ411" i="7"/>
  <c r="AZ412" i="7"/>
  <c r="AZ413" i="7"/>
  <c r="AZ414" i="7"/>
  <c r="AZ415" i="7"/>
  <c r="AZ416" i="7"/>
  <c r="AZ417" i="7"/>
  <c r="AZ418" i="7"/>
  <c r="AZ419" i="7"/>
  <c r="AZ420" i="7"/>
  <c r="AZ421" i="7"/>
  <c r="AZ422" i="7"/>
  <c r="AZ423" i="7"/>
  <c r="AZ424" i="7"/>
  <c r="AZ425" i="7"/>
  <c r="AZ426" i="7"/>
  <c r="AZ427" i="7"/>
  <c r="AZ428" i="7"/>
  <c r="AZ429" i="7"/>
  <c r="AZ430" i="7"/>
  <c r="AZ431" i="7"/>
  <c r="AZ432" i="7"/>
  <c r="AZ433" i="7"/>
  <c r="AZ434" i="7"/>
  <c r="AZ435" i="7"/>
  <c r="AZ436" i="7"/>
  <c r="AZ437" i="7"/>
  <c r="AZ438" i="7"/>
  <c r="AZ439" i="7"/>
  <c r="AZ440" i="7"/>
  <c r="AZ441" i="7"/>
  <c r="AZ442" i="7"/>
  <c r="AZ443" i="7"/>
  <c r="AZ444" i="7"/>
  <c r="AZ445" i="7"/>
  <c r="AZ446" i="7"/>
  <c r="AZ447" i="7"/>
  <c r="AZ448" i="7"/>
  <c r="AZ449" i="7"/>
  <c r="AZ450" i="7"/>
  <c r="AZ451" i="7"/>
  <c r="AZ452" i="7"/>
  <c r="AZ453" i="7"/>
  <c r="AZ454" i="7"/>
  <c r="AZ455" i="7"/>
  <c r="AZ456" i="7"/>
  <c r="AZ457" i="7"/>
  <c r="AZ458" i="7"/>
  <c r="AZ459" i="7"/>
  <c r="AZ460" i="7"/>
  <c r="AZ461" i="7"/>
  <c r="AZ462" i="7"/>
  <c r="AZ463" i="7"/>
  <c r="AZ464" i="7"/>
  <c r="AZ465" i="7"/>
  <c r="AZ466" i="7"/>
  <c r="AZ467" i="7"/>
  <c r="AZ468" i="7"/>
  <c r="AZ469" i="7"/>
  <c r="AZ470" i="7"/>
  <c r="AZ471" i="7"/>
  <c r="AZ472" i="7"/>
  <c r="AZ473" i="7"/>
  <c r="AZ474" i="7"/>
  <c r="AZ475" i="7"/>
  <c r="AZ476" i="7"/>
  <c r="AZ477" i="7"/>
  <c r="AZ478" i="7"/>
  <c r="AZ479" i="7"/>
  <c r="AZ480" i="7"/>
  <c r="AZ481" i="7"/>
  <c r="AZ482" i="7"/>
  <c r="AZ483" i="7"/>
  <c r="AZ484" i="7"/>
  <c r="AZ485" i="7"/>
  <c r="AZ486" i="7"/>
  <c r="AZ487" i="7"/>
  <c r="AZ488" i="7"/>
  <c r="AZ489" i="7"/>
  <c r="AZ490" i="7"/>
  <c r="AZ491" i="7"/>
  <c r="AZ492" i="7"/>
  <c r="AZ493" i="7"/>
  <c r="AZ494" i="7"/>
  <c r="AZ495" i="7"/>
  <c r="AZ496" i="7"/>
  <c r="AZ497" i="7"/>
  <c r="AZ498" i="7"/>
  <c r="AZ499" i="7"/>
  <c r="AZ500" i="7"/>
  <c r="AZ501" i="7"/>
  <c r="AZ502" i="7"/>
  <c r="AZ503" i="7"/>
  <c r="AZ504" i="7"/>
  <c r="AZ505" i="7"/>
  <c r="AZ506" i="7"/>
  <c r="AZ507" i="7"/>
  <c r="AZ508" i="7"/>
  <c r="AZ509" i="7"/>
  <c r="AZ510" i="7"/>
  <c r="AZ511" i="7"/>
  <c r="AZ512" i="7"/>
  <c r="AZ513" i="7"/>
  <c r="AZ514" i="7"/>
  <c r="AZ515" i="7"/>
  <c r="AZ516" i="7"/>
  <c r="AZ517" i="7"/>
  <c r="AZ518" i="7"/>
  <c r="AZ519" i="7"/>
  <c r="AZ520" i="7"/>
  <c r="AZ521" i="7"/>
  <c r="AZ522" i="7"/>
  <c r="AZ523" i="7"/>
  <c r="AZ524" i="7"/>
  <c r="AZ525" i="7"/>
  <c r="AZ526" i="7"/>
  <c r="AZ527" i="7"/>
  <c r="AZ528" i="7"/>
  <c r="AZ529" i="7"/>
  <c r="AZ530" i="7"/>
  <c r="AZ531" i="7"/>
  <c r="AZ532" i="7"/>
  <c r="AZ533" i="7"/>
  <c r="AZ534" i="7"/>
  <c r="AZ535" i="7"/>
  <c r="AZ536" i="7"/>
  <c r="AZ537" i="7"/>
  <c r="AZ538" i="7"/>
  <c r="AZ539" i="7"/>
  <c r="AZ540" i="7"/>
  <c r="AZ541" i="7"/>
  <c r="AZ542" i="7"/>
  <c r="AZ543" i="7"/>
  <c r="AZ544" i="7"/>
  <c r="AZ545" i="7"/>
  <c r="AZ546" i="7"/>
  <c r="AZ547" i="7"/>
  <c r="AZ548" i="7"/>
  <c r="AZ549" i="7"/>
  <c r="AZ550" i="7"/>
  <c r="AZ551" i="7"/>
  <c r="AZ552" i="7"/>
  <c r="AZ553" i="7"/>
  <c r="AZ554" i="7"/>
  <c r="AZ555" i="7"/>
  <c r="AZ556" i="7"/>
  <c r="AZ557" i="7"/>
  <c r="AZ558" i="7"/>
  <c r="AZ559" i="7"/>
  <c r="AZ560" i="7"/>
  <c r="AZ561" i="7"/>
  <c r="AZ562" i="7"/>
  <c r="AZ563" i="7"/>
  <c r="AZ564" i="7"/>
  <c r="AZ565" i="7"/>
  <c r="AZ566" i="7"/>
  <c r="AZ567" i="7"/>
  <c r="AZ568" i="7"/>
  <c r="AZ569" i="7"/>
  <c r="AZ570" i="7"/>
  <c r="AZ571" i="7"/>
  <c r="AZ572" i="7"/>
  <c r="AZ573" i="7"/>
  <c r="AZ574" i="7"/>
  <c r="AZ575" i="7"/>
  <c r="AZ576" i="7"/>
  <c r="AZ577" i="7"/>
  <c r="AZ578" i="7"/>
  <c r="AZ579" i="7"/>
  <c r="AZ580" i="7"/>
  <c r="AZ581" i="7"/>
  <c r="AZ582" i="7"/>
  <c r="AZ583" i="7"/>
  <c r="AZ584" i="7"/>
  <c r="AZ585" i="7"/>
  <c r="AZ586" i="7"/>
  <c r="AZ587" i="7"/>
  <c r="AZ588" i="7"/>
  <c r="AZ589" i="7"/>
  <c r="AZ590" i="7"/>
  <c r="AZ591" i="7"/>
  <c r="AZ592" i="7"/>
  <c r="AZ593" i="7"/>
  <c r="AZ594" i="7"/>
  <c r="AZ595" i="7"/>
  <c r="AZ596" i="7"/>
  <c r="AZ597" i="7"/>
  <c r="AZ598" i="7"/>
  <c r="AZ599" i="7"/>
  <c r="AZ600" i="7"/>
  <c r="AZ601" i="7"/>
  <c r="AZ602" i="7"/>
  <c r="AZ603" i="7"/>
  <c r="AZ604" i="7"/>
  <c r="AZ605" i="7"/>
  <c r="AZ606" i="7"/>
  <c r="AZ607" i="7"/>
  <c r="AZ608" i="7"/>
  <c r="AZ609" i="7"/>
  <c r="AZ610" i="7"/>
  <c r="AZ611" i="7"/>
  <c r="AZ612" i="7"/>
  <c r="AZ613" i="7"/>
  <c r="AZ614" i="7"/>
  <c r="AZ615" i="7"/>
  <c r="AZ616" i="7"/>
  <c r="AZ617" i="7"/>
  <c r="AZ618" i="7"/>
  <c r="AZ619" i="7"/>
  <c r="AZ620" i="7"/>
  <c r="AZ621" i="7"/>
  <c r="AZ622" i="7"/>
  <c r="AZ623" i="7"/>
  <c r="AZ624" i="7"/>
  <c r="AZ625" i="7"/>
  <c r="AZ626" i="7"/>
  <c r="AZ627" i="7"/>
  <c r="AZ628" i="7"/>
  <c r="AZ629" i="7"/>
  <c r="AZ630" i="7"/>
  <c r="AZ631" i="7"/>
  <c r="AZ632" i="7"/>
  <c r="AZ633" i="7"/>
  <c r="AZ634" i="7"/>
  <c r="AZ635" i="7"/>
  <c r="AZ636" i="7"/>
  <c r="AZ637" i="7"/>
  <c r="AZ638" i="7"/>
  <c r="AZ639" i="7"/>
  <c r="AZ640" i="7"/>
  <c r="AZ641" i="7"/>
  <c r="AZ642" i="7"/>
  <c r="AZ643" i="7"/>
  <c r="AZ644" i="7"/>
  <c r="AZ645" i="7"/>
  <c r="AZ646" i="7"/>
  <c r="AZ647" i="7"/>
  <c r="AZ648" i="7"/>
  <c r="AZ649" i="7"/>
  <c r="AZ650" i="7"/>
  <c r="AZ651" i="7"/>
  <c r="AZ652" i="7"/>
  <c r="AZ653" i="7"/>
  <c r="AZ654" i="7"/>
  <c r="AZ655" i="7"/>
  <c r="AZ656" i="7"/>
  <c r="AZ657" i="7"/>
  <c r="AZ658" i="7"/>
  <c r="AZ659" i="7"/>
  <c r="AZ660" i="7"/>
  <c r="AZ661" i="7"/>
  <c r="AZ662" i="7"/>
  <c r="AZ663" i="7"/>
  <c r="AZ664" i="7"/>
  <c r="AZ665" i="7"/>
  <c r="AZ666" i="7"/>
  <c r="AZ667" i="7"/>
  <c r="AZ668" i="7"/>
  <c r="AZ669" i="7"/>
  <c r="AZ670" i="7"/>
  <c r="AZ671" i="7"/>
  <c r="AZ672" i="7"/>
  <c r="AZ673" i="7"/>
  <c r="AZ674" i="7"/>
  <c r="AZ675" i="7"/>
  <c r="AZ676" i="7"/>
  <c r="AZ677" i="7"/>
  <c r="AZ678" i="7"/>
  <c r="AZ679" i="7"/>
  <c r="AZ680" i="7"/>
  <c r="AZ681" i="7"/>
  <c r="AZ682" i="7"/>
  <c r="AZ683" i="7"/>
  <c r="AZ684" i="7"/>
  <c r="AZ685" i="7"/>
  <c r="AZ686" i="7"/>
  <c r="AZ687" i="7"/>
  <c r="AZ688" i="7"/>
  <c r="AZ689" i="7"/>
  <c r="AZ690" i="7"/>
  <c r="AZ691" i="7"/>
  <c r="AZ692" i="7"/>
  <c r="AZ693" i="7"/>
  <c r="AZ694" i="7"/>
  <c r="AZ695" i="7"/>
  <c r="AZ696" i="7"/>
  <c r="AZ697" i="7"/>
  <c r="AZ698" i="7"/>
  <c r="AZ699" i="7"/>
  <c r="AZ700" i="7"/>
  <c r="AZ701" i="7"/>
  <c r="AZ702" i="7"/>
  <c r="AZ703" i="7"/>
  <c r="AZ704" i="7"/>
  <c r="AZ705" i="7"/>
  <c r="AZ706" i="7"/>
  <c r="AZ707" i="7"/>
  <c r="AZ708" i="7"/>
  <c r="AZ709" i="7"/>
  <c r="AZ710" i="7"/>
  <c r="AZ711" i="7"/>
  <c r="AZ712" i="7"/>
  <c r="AZ713" i="7"/>
  <c r="AZ714" i="7"/>
  <c r="AZ715" i="7"/>
  <c r="AZ716" i="7"/>
  <c r="AZ717" i="7"/>
  <c r="AZ718" i="7"/>
  <c r="AZ719" i="7"/>
  <c r="AZ720" i="7"/>
  <c r="AZ721" i="7"/>
  <c r="AZ722" i="7"/>
  <c r="AZ723" i="7"/>
  <c r="AZ724" i="7"/>
  <c r="AZ725" i="7"/>
  <c r="AZ726" i="7"/>
  <c r="AZ727" i="7"/>
  <c r="AZ728" i="7"/>
  <c r="AZ729" i="7"/>
  <c r="AZ730" i="7"/>
  <c r="AZ731" i="7"/>
  <c r="AZ732" i="7"/>
  <c r="AZ733" i="7"/>
  <c r="AZ734" i="7"/>
  <c r="AZ735" i="7"/>
  <c r="AZ736" i="7"/>
  <c r="AZ737" i="7"/>
  <c r="AZ738" i="7"/>
  <c r="AZ739" i="7"/>
  <c r="AZ740" i="7"/>
  <c r="AZ741" i="7"/>
  <c r="AZ742" i="7"/>
  <c r="AZ743" i="7"/>
  <c r="AZ744" i="7"/>
  <c r="AZ745" i="7"/>
  <c r="AZ746" i="7"/>
  <c r="AZ747" i="7"/>
  <c r="AZ748" i="7"/>
  <c r="AZ749" i="7"/>
  <c r="AZ750" i="7"/>
  <c r="AZ751" i="7"/>
  <c r="AZ752" i="7"/>
  <c r="AZ753" i="7"/>
  <c r="AZ754" i="7"/>
  <c r="AZ755" i="7"/>
  <c r="AZ756" i="7"/>
  <c r="AZ757" i="7"/>
  <c r="AZ758" i="7"/>
  <c r="AZ759" i="7"/>
  <c r="AZ760" i="7"/>
  <c r="AZ761" i="7"/>
  <c r="AZ762" i="7"/>
  <c r="AZ763" i="7"/>
  <c r="AZ764" i="7"/>
  <c r="AZ765" i="7"/>
  <c r="AZ766" i="7"/>
  <c r="AZ767" i="7"/>
  <c r="AZ768" i="7"/>
  <c r="AZ769" i="7"/>
  <c r="AZ770" i="7"/>
  <c r="AZ771" i="7"/>
  <c r="AZ772" i="7"/>
  <c r="AZ773" i="7"/>
  <c r="AZ774" i="7"/>
  <c r="AZ775" i="7"/>
  <c r="AZ776" i="7"/>
  <c r="AZ777" i="7"/>
  <c r="AZ778" i="7"/>
  <c r="AZ779" i="7"/>
  <c r="AZ780" i="7"/>
  <c r="AZ781" i="7"/>
  <c r="AZ782" i="7"/>
  <c r="AZ783" i="7"/>
  <c r="AZ784" i="7"/>
  <c r="AZ785" i="7"/>
  <c r="AZ786" i="7"/>
  <c r="AZ787" i="7"/>
  <c r="AZ788" i="7"/>
  <c r="AZ789" i="7"/>
  <c r="AZ790" i="7"/>
  <c r="AZ791" i="7"/>
  <c r="AZ792" i="7"/>
  <c r="AZ793" i="7"/>
  <c r="AZ794" i="7"/>
  <c r="AZ795" i="7"/>
  <c r="AZ796" i="7"/>
  <c r="AZ797" i="7"/>
  <c r="AZ798" i="7"/>
  <c r="AZ799" i="7"/>
  <c r="AZ800" i="7"/>
  <c r="AZ801" i="7"/>
  <c r="AZ802" i="7"/>
  <c r="AZ803" i="7"/>
  <c r="AZ804" i="7"/>
  <c r="AZ805" i="7"/>
  <c r="AZ806" i="7"/>
  <c r="AZ807" i="7"/>
  <c r="AZ808" i="7"/>
  <c r="AZ809" i="7"/>
  <c r="AZ810" i="7"/>
  <c r="AZ811" i="7"/>
  <c r="AZ812" i="7"/>
  <c r="AZ813" i="7"/>
  <c r="AZ814" i="7"/>
  <c r="AZ815" i="7"/>
  <c r="AZ816" i="7"/>
  <c r="AZ817" i="7"/>
  <c r="AZ818" i="7"/>
  <c r="AZ819" i="7"/>
  <c r="AZ820" i="7"/>
  <c r="AZ821" i="7"/>
  <c r="AZ822" i="7"/>
  <c r="AZ823" i="7"/>
  <c r="AZ824" i="7"/>
  <c r="AZ825" i="7"/>
  <c r="AZ826" i="7"/>
  <c r="AZ827" i="7"/>
  <c r="AZ828" i="7"/>
  <c r="AZ829" i="7"/>
  <c r="AZ830" i="7"/>
  <c r="AZ831" i="7"/>
  <c r="AZ832" i="7"/>
  <c r="AZ833" i="7"/>
  <c r="AZ834" i="7"/>
  <c r="AZ835" i="7"/>
  <c r="AZ836" i="7"/>
  <c r="AZ837" i="7"/>
  <c r="AZ838" i="7"/>
  <c r="AZ839" i="7"/>
  <c r="AZ840" i="7"/>
  <c r="AZ841" i="7"/>
  <c r="AZ842" i="7"/>
  <c r="AZ843" i="7"/>
  <c r="AZ844" i="7"/>
  <c r="AZ845" i="7"/>
  <c r="AZ846" i="7"/>
  <c r="AZ847" i="7"/>
  <c r="AZ848" i="7"/>
  <c r="AZ849" i="7"/>
  <c r="AZ850" i="7"/>
  <c r="AZ851" i="7"/>
  <c r="AZ852" i="7"/>
  <c r="AZ853" i="7"/>
  <c r="AZ854" i="7"/>
  <c r="AZ855" i="7"/>
  <c r="AZ856" i="7"/>
  <c r="AZ857" i="7"/>
  <c r="AZ858" i="7"/>
  <c r="AZ859" i="7"/>
  <c r="AZ860" i="7"/>
  <c r="AZ861" i="7"/>
  <c r="AZ862" i="7"/>
  <c r="AZ863" i="7"/>
  <c r="AZ864" i="7"/>
  <c r="AZ865" i="7"/>
  <c r="AZ866" i="7"/>
  <c r="AZ867" i="7"/>
  <c r="AZ868" i="7"/>
  <c r="AZ869" i="7"/>
  <c r="AZ870" i="7"/>
  <c r="AZ871" i="7"/>
  <c r="AZ872" i="7"/>
  <c r="AZ873" i="7"/>
  <c r="AZ874" i="7"/>
  <c r="AZ875" i="7"/>
  <c r="AZ876" i="7"/>
  <c r="AZ877" i="7"/>
  <c r="AZ878" i="7"/>
  <c r="AZ879" i="7"/>
  <c r="AZ880" i="7"/>
  <c r="AZ881" i="7"/>
  <c r="AZ882" i="7"/>
  <c r="AZ883" i="7"/>
  <c r="AZ884" i="7"/>
  <c r="AZ885" i="7"/>
  <c r="AZ886" i="7"/>
  <c r="AZ887" i="7"/>
  <c r="AZ888" i="7"/>
  <c r="AZ889" i="7"/>
  <c r="AZ890" i="7"/>
  <c r="AZ891" i="7"/>
  <c r="AZ892" i="7"/>
  <c r="AZ893" i="7"/>
  <c r="AZ894" i="7"/>
  <c r="AZ895" i="7"/>
  <c r="AZ896" i="7"/>
  <c r="AZ897" i="7"/>
  <c r="AZ898" i="7"/>
  <c r="AZ899" i="7"/>
  <c r="AZ900" i="7"/>
  <c r="AZ901" i="7"/>
  <c r="AZ902" i="7"/>
  <c r="AZ903" i="7"/>
  <c r="AZ904" i="7"/>
  <c r="AZ905" i="7"/>
  <c r="AZ906" i="7"/>
  <c r="AZ907" i="7"/>
  <c r="AZ908" i="7"/>
  <c r="AZ909" i="7"/>
  <c r="AZ910" i="7"/>
  <c r="AZ911" i="7"/>
  <c r="AZ912" i="7"/>
  <c r="AZ913" i="7"/>
  <c r="AZ914" i="7"/>
  <c r="AZ915" i="7"/>
  <c r="AZ916" i="7"/>
  <c r="AZ917" i="7"/>
  <c r="AZ918" i="7"/>
  <c r="AZ919" i="7"/>
  <c r="AZ920" i="7"/>
  <c r="AZ921" i="7"/>
  <c r="AZ922" i="7"/>
  <c r="AZ923" i="7"/>
  <c r="AZ924" i="7"/>
  <c r="AZ925" i="7"/>
  <c r="AZ926" i="7"/>
  <c r="AZ927" i="7"/>
  <c r="AZ928" i="7"/>
  <c r="AZ929" i="7"/>
  <c r="AZ930" i="7"/>
  <c r="AZ931" i="7"/>
  <c r="AZ932" i="7"/>
  <c r="AZ933" i="7"/>
  <c r="AZ934" i="7"/>
  <c r="AZ935" i="7"/>
  <c r="AZ936" i="7"/>
  <c r="AZ937" i="7"/>
  <c r="AZ938" i="7"/>
  <c r="AZ939" i="7"/>
  <c r="AZ940" i="7"/>
  <c r="AZ941" i="7"/>
  <c r="AZ942" i="7"/>
  <c r="AZ943" i="7"/>
  <c r="AZ944" i="7"/>
  <c r="AZ945" i="7"/>
  <c r="AZ946" i="7"/>
  <c r="AZ947" i="7"/>
  <c r="AZ948" i="7"/>
  <c r="AZ949" i="7"/>
  <c r="AZ950" i="7"/>
  <c r="AZ951" i="7"/>
  <c r="AZ952" i="7"/>
  <c r="AZ953" i="7"/>
  <c r="AZ954" i="7"/>
  <c r="AZ955" i="7"/>
  <c r="AZ956" i="7"/>
  <c r="AZ957" i="7"/>
  <c r="AZ958" i="7"/>
  <c r="AZ959" i="7"/>
  <c r="AZ960" i="7"/>
  <c r="AZ961" i="7"/>
  <c r="AZ962" i="7"/>
  <c r="AZ963" i="7"/>
  <c r="AZ964" i="7"/>
  <c r="AZ965" i="7"/>
  <c r="AZ966" i="7"/>
  <c r="AZ967" i="7"/>
  <c r="AZ968" i="7"/>
  <c r="AZ969" i="7"/>
  <c r="AZ970" i="7"/>
  <c r="AZ971" i="7"/>
  <c r="AZ972" i="7"/>
  <c r="AZ973" i="7"/>
  <c r="AZ974" i="7"/>
  <c r="AZ975" i="7"/>
  <c r="AZ976" i="7"/>
  <c r="AZ977" i="7"/>
  <c r="AZ978" i="7"/>
  <c r="AZ979" i="7"/>
  <c r="AZ980" i="7"/>
  <c r="AZ981" i="7"/>
  <c r="AZ982" i="7"/>
  <c r="AZ983" i="7"/>
  <c r="AZ984" i="7"/>
  <c r="AZ985" i="7"/>
  <c r="AZ986" i="7"/>
  <c r="AZ987" i="7"/>
  <c r="AZ988" i="7"/>
  <c r="AZ989" i="7"/>
  <c r="AZ990" i="7"/>
  <c r="AZ991" i="7"/>
  <c r="AZ992" i="7"/>
  <c r="AZ993" i="7"/>
  <c r="AZ994" i="7"/>
  <c r="AZ995" i="7"/>
  <c r="AZ996" i="7"/>
  <c r="AZ997" i="7"/>
  <c r="AZ998" i="7"/>
  <c r="AZ999" i="7"/>
  <c r="AZ1000" i="7"/>
  <c r="AZ1001" i="7"/>
  <c r="AZ1002" i="7"/>
  <c r="AZ1003" i="7"/>
  <c r="AZ1004" i="7"/>
  <c r="AZ1005" i="7"/>
  <c r="AZ1006" i="7"/>
  <c r="AZ1007" i="7"/>
  <c r="AZ1008" i="7"/>
  <c r="AZ1009" i="7"/>
  <c r="AZ1010" i="7"/>
  <c r="AZ1011" i="7"/>
  <c r="AZ1012" i="7"/>
  <c r="AZ1013" i="7"/>
  <c r="AZ3" i="7"/>
  <c r="AY4" i="7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104" i="7"/>
  <c r="AY105" i="7"/>
  <c r="AY106" i="7"/>
  <c r="AY107" i="7"/>
  <c r="AY108" i="7"/>
  <c r="AY109" i="7"/>
  <c r="AY110" i="7"/>
  <c r="AY111" i="7"/>
  <c r="AY112" i="7"/>
  <c r="AY113" i="7"/>
  <c r="AY114" i="7"/>
  <c r="AY115" i="7"/>
  <c r="AY116" i="7"/>
  <c r="AY117" i="7"/>
  <c r="AY118" i="7"/>
  <c r="AY119" i="7"/>
  <c r="AY120" i="7"/>
  <c r="AY121" i="7"/>
  <c r="AY122" i="7"/>
  <c r="AY123" i="7"/>
  <c r="AY124" i="7"/>
  <c r="AY125" i="7"/>
  <c r="AY126" i="7"/>
  <c r="AY127" i="7"/>
  <c r="AY128" i="7"/>
  <c r="AY129" i="7"/>
  <c r="AY130" i="7"/>
  <c r="AY131" i="7"/>
  <c r="AY132" i="7"/>
  <c r="AY133" i="7"/>
  <c r="AY134" i="7"/>
  <c r="AY135" i="7"/>
  <c r="AY136" i="7"/>
  <c r="AY137" i="7"/>
  <c r="AY138" i="7"/>
  <c r="AY139" i="7"/>
  <c r="AY140" i="7"/>
  <c r="AY141" i="7"/>
  <c r="AY142" i="7"/>
  <c r="AY143" i="7"/>
  <c r="AY144" i="7"/>
  <c r="AY145" i="7"/>
  <c r="AY146" i="7"/>
  <c r="AY147" i="7"/>
  <c r="AY148" i="7"/>
  <c r="AY149" i="7"/>
  <c r="AY150" i="7"/>
  <c r="AY151" i="7"/>
  <c r="AY152" i="7"/>
  <c r="AY153" i="7"/>
  <c r="AY154" i="7"/>
  <c r="AY155" i="7"/>
  <c r="AY156" i="7"/>
  <c r="AY157" i="7"/>
  <c r="AY158" i="7"/>
  <c r="AY159" i="7"/>
  <c r="AY160" i="7"/>
  <c r="AY161" i="7"/>
  <c r="AY162" i="7"/>
  <c r="AY163" i="7"/>
  <c r="AY164" i="7"/>
  <c r="AY165" i="7"/>
  <c r="AY166" i="7"/>
  <c r="AY167" i="7"/>
  <c r="AY168" i="7"/>
  <c r="AY169" i="7"/>
  <c r="AY170" i="7"/>
  <c r="AY171" i="7"/>
  <c r="AY172" i="7"/>
  <c r="AY173" i="7"/>
  <c r="AY174" i="7"/>
  <c r="AY175" i="7"/>
  <c r="AY176" i="7"/>
  <c r="AY177" i="7"/>
  <c r="AY178" i="7"/>
  <c r="AY179" i="7"/>
  <c r="AY180" i="7"/>
  <c r="AY181" i="7"/>
  <c r="AY182" i="7"/>
  <c r="AY183" i="7"/>
  <c r="AY184" i="7"/>
  <c r="AY185" i="7"/>
  <c r="AY186" i="7"/>
  <c r="AY187" i="7"/>
  <c r="AY188" i="7"/>
  <c r="AY189" i="7"/>
  <c r="AY190" i="7"/>
  <c r="AY191" i="7"/>
  <c r="AY192" i="7"/>
  <c r="AY193" i="7"/>
  <c r="AY194" i="7"/>
  <c r="AY195" i="7"/>
  <c r="AY196" i="7"/>
  <c r="AY197" i="7"/>
  <c r="AY198" i="7"/>
  <c r="AY199" i="7"/>
  <c r="AY200" i="7"/>
  <c r="AY201" i="7"/>
  <c r="AY202" i="7"/>
  <c r="AY203" i="7"/>
  <c r="AY204" i="7"/>
  <c r="AY205" i="7"/>
  <c r="AY206" i="7"/>
  <c r="AY207" i="7"/>
  <c r="AY208" i="7"/>
  <c r="AY209" i="7"/>
  <c r="AY210" i="7"/>
  <c r="AY211" i="7"/>
  <c r="AY212" i="7"/>
  <c r="AY213" i="7"/>
  <c r="AY214" i="7"/>
  <c r="AY215" i="7"/>
  <c r="AY216" i="7"/>
  <c r="AY217" i="7"/>
  <c r="AY218" i="7"/>
  <c r="AY219" i="7"/>
  <c r="AY220" i="7"/>
  <c r="AY221" i="7"/>
  <c r="AY222" i="7"/>
  <c r="AY223" i="7"/>
  <c r="AY224" i="7"/>
  <c r="AY225" i="7"/>
  <c r="AY226" i="7"/>
  <c r="AY227" i="7"/>
  <c r="AY228" i="7"/>
  <c r="AY229" i="7"/>
  <c r="AY230" i="7"/>
  <c r="AY231" i="7"/>
  <c r="AY232" i="7"/>
  <c r="AY233" i="7"/>
  <c r="AY234" i="7"/>
  <c r="AY235" i="7"/>
  <c r="AY236" i="7"/>
  <c r="AY237" i="7"/>
  <c r="AY238" i="7"/>
  <c r="AY239" i="7"/>
  <c r="AY240" i="7"/>
  <c r="AY241" i="7"/>
  <c r="AY242" i="7"/>
  <c r="AY243" i="7"/>
  <c r="AY244" i="7"/>
  <c r="AY245" i="7"/>
  <c r="AY246" i="7"/>
  <c r="AY247" i="7"/>
  <c r="AY248" i="7"/>
  <c r="AY249" i="7"/>
  <c r="AY250" i="7"/>
  <c r="AY251" i="7"/>
  <c r="AY252" i="7"/>
  <c r="AY253" i="7"/>
  <c r="AY254" i="7"/>
  <c r="AY255" i="7"/>
  <c r="AY256" i="7"/>
  <c r="AY257" i="7"/>
  <c r="AY258" i="7"/>
  <c r="AY259" i="7"/>
  <c r="AY260" i="7"/>
  <c r="AY261" i="7"/>
  <c r="AY262" i="7"/>
  <c r="AY263" i="7"/>
  <c r="AY264" i="7"/>
  <c r="AY265" i="7"/>
  <c r="AY266" i="7"/>
  <c r="AY267" i="7"/>
  <c r="AY268" i="7"/>
  <c r="AY269" i="7"/>
  <c r="AY270" i="7"/>
  <c r="AY271" i="7"/>
  <c r="AY272" i="7"/>
  <c r="AY273" i="7"/>
  <c r="AY274" i="7"/>
  <c r="AY275" i="7"/>
  <c r="AY276" i="7"/>
  <c r="AY277" i="7"/>
  <c r="AY278" i="7"/>
  <c r="AY279" i="7"/>
  <c r="AY280" i="7"/>
  <c r="AY281" i="7"/>
  <c r="AY282" i="7"/>
  <c r="AY283" i="7"/>
  <c r="AY284" i="7"/>
  <c r="AY285" i="7"/>
  <c r="AY286" i="7"/>
  <c r="AY287" i="7"/>
  <c r="AY288" i="7"/>
  <c r="AY289" i="7"/>
  <c r="AY290" i="7"/>
  <c r="AY291" i="7"/>
  <c r="AY292" i="7"/>
  <c r="AY293" i="7"/>
  <c r="AY294" i="7"/>
  <c r="AY295" i="7"/>
  <c r="AY296" i="7"/>
  <c r="AY297" i="7"/>
  <c r="AY298" i="7"/>
  <c r="AY299" i="7"/>
  <c r="AY300" i="7"/>
  <c r="AY301" i="7"/>
  <c r="AY302" i="7"/>
  <c r="AY303" i="7"/>
  <c r="AY304" i="7"/>
  <c r="AY305" i="7"/>
  <c r="AY306" i="7"/>
  <c r="AY307" i="7"/>
  <c r="AY308" i="7"/>
  <c r="AY309" i="7"/>
  <c r="AY310" i="7"/>
  <c r="AY311" i="7"/>
  <c r="AY312" i="7"/>
  <c r="AY313" i="7"/>
  <c r="AY314" i="7"/>
  <c r="AY315" i="7"/>
  <c r="AY316" i="7"/>
  <c r="AY317" i="7"/>
  <c r="AY318" i="7"/>
  <c r="AY319" i="7"/>
  <c r="AY320" i="7"/>
  <c r="AY321" i="7"/>
  <c r="AY322" i="7"/>
  <c r="AY323" i="7"/>
  <c r="AY324" i="7"/>
  <c r="AY325" i="7"/>
  <c r="AY326" i="7"/>
  <c r="AY327" i="7"/>
  <c r="AY328" i="7"/>
  <c r="AY329" i="7"/>
  <c r="AY330" i="7"/>
  <c r="AY331" i="7"/>
  <c r="AY332" i="7"/>
  <c r="AY333" i="7"/>
  <c r="AY334" i="7"/>
  <c r="AY335" i="7"/>
  <c r="AY336" i="7"/>
  <c r="AY337" i="7"/>
  <c r="AY338" i="7"/>
  <c r="AY339" i="7"/>
  <c r="AY340" i="7"/>
  <c r="AY341" i="7"/>
  <c r="AY342" i="7"/>
  <c r="AY343" i="7"/>
  <c r="AY344" i="7"/>
  <c r="AY345" i="7"/>
  <c r="AY346" i="7"/>
  <c r="AY347" i="7"/>
  <c r="AY348" i="7"/>
  <c r="AY349" i="7"/>
  <c r="AY350" i="7"/>
  <c r="AY351" i="7"/>
  <c r="AY352" i="7"/>
  <c r="AY353" i="7"/>
  <c r="AY354" i="7"/>
  <c r="AY355" i="7"/>
  <c r="AY356" i="7"/>
  <c r="AY357" i="7"/>
  <c r="AY358" i="7"/>
  <c r="AY359" i="7"/>
  <c r="AY360" i="7"/>
  <c r="AY361" i="7"/>
  <c r="AY362" i="7"/>
  <c r="AY363" i="7"/>
  <c r="AY364" i="7"/>
  <c r="AY365" i="7"/>
  <c r="AY366" i="7"/>
  <c r="AY367" i="7"/>
  <c r="AY368" i="7"/>
  <c r="AY369" i="7"/>
  <c r="AY370" i="7"/>
  <c r="AY371" i="7"/>
  <c r="AY372" i="7"/>
  <c r="AY373" i="7"/>
  <c r="AY374" i="7"/>
  <c r="AY375" i="7"/>
  <c r="AY376" i="7"/>
  <c r="AY377" i="7"/>
  <c r="AY378" i="7"/>
  <c r="AY379" i="7"/>
  <c r="AY380" i="7"/>
  <c r="AY381" i="7"/>
  <c r="AY382" i="7"/>
  <c r="AY383" i="7"/>
  <c r="AY384" i="7"/>
  <c r="AY385" i="7"/>
  <c r="AY386" i="7"/>
  <c r="AY387" i="7"/>
  <c r="AY388" i="7"/>
  <c r="AY389" i="7"/>
  <c r="AY390" i="7"/>
  <c r="AY391" i="7"/>
  <c r="AY392" i="7"/>
  <c r="AY393" i="7"/>
  <c r="AY394" i="7"/>
  <c r="AY395" i="7"/>
  <c r="AY396" i="7"/>
  <c r="AY397" i="7"/>
  <c r="AY398" i="7"/>
  <c r="AY399" i="7"/>
  <c r="AY400" i="7"/>
  <c r="AY401" i="7"/>
  <c r="AY402" i="7"/>
  <c r="AY403" i="7"/>
  <c r="AY404" i="7"/>
  <c r="AY405" i="7"/>
  <c r="AY406" i="7"/>
  <c r="AY407" i="7"/>
  <c r="AY408" i="7"/>
  <c r="AY409" i="7"/>
  <c r="AY410" i="7"/>
  <c r="AY411" i="7"/>
  <c r="AY412" i="7"/>
  <c r="AY413" i="7"/>
  <c r="AY414" i="7"/>
  <c r="AY415" i="7"/>
  <c r="AY416" i="7"/>
  <c r="AY417" i="7"/>
  <c r="AY418" i="7"/>
  <c r="AY419" i="7"/>
  <c r="AY420" i="7"/>
  <c r="AY421" i="7"/>
  <c r="AY422" i="7"/>
  <c r="AY423" i="7"/>
  <c r="AY424" i="7"/>
  <c r="AY425" i="7"/>
  <c r="AY426" i="7"/>
  <c r="AY427" i="7"/>
  <c r="AY428" i="7"/>
  <c r="AY429" i="7"/>
  <c r="AY430" i="7"/>
  <c r="AY431" i="7"/>
  <c r="AY432" i="7"/>
  <c r="AY433" i="7"/>
  <c r="AY434" i="7"/>
  <c r="AY435" i="7"/>
  <c r="AY436" i="7"/>
  <c r="AY437" i="7"/>
  <c r="AY438" i="7"/>
  <c r="AY439" i="7"/>
  <c r="AY440" i="7"/>
  <c r="AY441" i="7"/>
  <c r="AY442" i="7"/>
  <c r="AY443" i="7"/>
  <c r="AY444" i="7"/>
  <c r="AY445" i="7"/>
  <c r="AY446" i="7"/>
  <c r="AY447" i="7"/>
  <c r="AY448" i="7"/>
  <c r="AY449" i="7"/>
  <c r="AY450" i="7"/>
  <c r="AY451" i="7"/>
  <c r="AY452" i="7"/>
  <c r="AY453" i="7"/>
  <c r="AY454" i="7"/>
  <c r="AY455" i="7"/>
  <c r="AY456" i="7"/>
  <c r="AY457" i="7"/>
  <c r="AY458" i="7"/>
  <c r="AY459" i="7"/>
  <c r="AY460" i="7"/>
  <c r="AY461" i="7"/>
  <c r="AY462" i="7"/>
  <c r="AY463" i="7"/>
  <c r="AY464" i="7"/>
  <c r="AY465" i="7"/>
  <c r="AY466" i="7"/>
  <c r="AY467" i="7"/>
  <c r="AY468" i="7"/>
  <c r="AY469" i="7"/>
  <c r="AY470" i="7"/>
  <c r="AY471" i="7"/>
  <c r="AY472" i="7"/>
  <c r="AY473" i="7"/>
  <c r="AY474" i="7"/>
  <c r="AY475" i="7"/>
  <c r="AY476" i="7"/>
  <c r="AY477" i="7"/>
  <c r="AY478" i="7"/>
  <c r="AY479" i="7"/>
  <c r="AY480" i="7"/>
  <c r="AY481" i="7"/>
  <c r="AY482" i="7"/>
  <c r="AY483" i="7"/>
  <c r="AY484" i="7"/>
  <c r="AY485" i="7"/>
  <c r="AY486" i="7"/>
  <c r="AY487" i="7"/>
  <c r="AY488" i="7"/>
  <c r="AY489" i="7"/>
  <c r="AY490" i="7"/>
  <c r="AY491" i="7"/>
  <c r="AY492" i="7"/>
  <c r="AY493" i="7"/>
  <c r="AY494" i="7"/>
  <c r="AY495" i="7"/>
  <c r="AY496" i="7"/>
  <c r="AY497" i="7"/>
  <c r="AY498" i="7"/>
  <c r="AY499" i="7"/>
  <c r="AY500" i="7"/>
  <c r="AY501" i="7"/>
  <c r="AY502" i="7"/>
  <c r="AY503" i="7"/>
  <c r="AY504" i="7"/>
  <c r="AY505" i="7"/>
  <c r="AY506" i="7"/>
  <c r="AY507" i="7"/>
  <c r="AY508" i="7"/>
  <c r="AY509" i="7"/>
  <c r="AY510" i="7"/>
  <c r="AY511" i="7"/>
  <c r="AY512" i="7"/>
  <c r="AY513" i="7"/>
  <c r="AY514" i="7"/>
  <c r="AY515" i="7"/>
  <c r="AY516" i="7"/>
  <c r="AY517" i="7"/>
  <c r="AY518" i="7"/>
  <c r="AY519" i="7"/>
  <c r="AY520" i="7"/>
  <c r="AY521" i="7"/>
  <c r="AY522" i="7"/>
  <c r="AY523" i="7"/>
  <c r="AY524" i="7"/>
  <c r="AY525" i="7"/>
  <c r="AY526" i="7"/>
  <c r="AY527" i="7"/>
  <c r="AY528" i="7"/>
  <c r="AY529" i="7"/>
  <c r="AY530" i="7"/>
  <c r="AY531" i="7"/>
  <c r="AY532" i="7"/>
  <c r="AY533" i="7"/>
  <c r="AY534" i="7"/>
  <c r="AY535" i="7"/>
  <c r="AY536" i="7"/>
  <c r="AY537" i="7"/>
  <c r="AY538" i="7"/>
  <c r="AY539" i="7"/>
  <c r="AY540" i="7"/>
  <c r="AY541" i="7"/>
  <c r="AY542" i="7"/>
  <c r="AY543" i="7"/>
  <c r="AY544" i="7"/>
  <c r="AY545" i="7"/>
  <c r="AY546" i="7"/>
  <c r="AY547" i="7"/>
  <c r="AY548" i="7"/>
  <c r="AY549" i="7"/>
  <c r="AY550" i="7"/>
  <c r="AY551" i="7"/>
  <c r="AY552" i="7"/>
  <c r="AY553" i="7"/>
  <c r="AY554" i="7"/>
  <c r="AY555" i="7"/>
  <c r="AY556" i="7"/>
  <c r="AY557" i="7"/>
  <c r="AY558" i="7"/>
  <c r="AY559" i="7"/>
  <c r="AY560" i="7"/>
  <c r="AY561" i="7"/>
  <c r="AY562" i="7"/>
  <c r="AY563" i="7"/>
  <c r="AY564" i="7"/>
  <c r="AY565" i="7"/>
  <c r="AY566" i="7"/>
  <c r="AY567" i="7"/>
  <c r="AY568" i="7"/>
  <c r="AY569" i="7"/>
  <c r="AY570" i="7"/>
  <c r="AY571" i="7"/>
  <c r="AY572" i="7"/>
  <c r="AY573" i="7"/>
  <c r="AY574" i="7"/>
  <c r="AY575" i="7"/>
  <c r="AY576" i="7"/>
  <c r="AY577" i="7"/>
  <c r="AY578" i="7"/>
  <c r="AY579" i="7"/>
  <c r="AY580" i="7"/>
  <c r="AY581" i="7"/>
  <c r="AY582" i="7"/>
  <c r="AY583" i="7"/>
  <c r="AY584" i="7"/>
  <c r="AY585" i="7"/>
  <c r="AY586" i="7"/>
  <c r="AY587" i="7"/>
  <c r="AY588" i="7"/>
  <c r="AY589" i="7"/>
  <c r="AY590" i="7"/>
  <c r="AY591" i="7"/>
  <c r="AY592" i="7"/>
  <c r="AY593" i="7"/>
  <c r="AY594" i="7"/>
  <c r="AY595" i="7"/>
  <c r="AY596" i="7"/>
  <c r="AY597" i="7"/>
  <c r="AY598" i="7"/>
  <c r="AY599" i="7"/>
  <c r="AY600" i="7"/>
  <c r="AY601" i="7"/>
  <c r="AY602" i="7"/>
  <c r="AY603" i="7"/>
  <c r="AY604" i="7"/>
  <c r="AY605" i="7"/>
  <c r="AY606" i="7"/>
  <c r="AY607" i="7"/>
  <c r="AY608" i="7"/>
  <c r="AY609" i="7"/>
  <c r="AY610" i="7"/>
  <c r="AY611" i="7"/>
  <c r="AY612" i="7"/>
  <c r="AY613" i="7"/>
  <c r="AY614" i="7"/>
  <c r="AY615" i="7"/>
  <c r="AY616" i="7"/>
  <c r="AY617" i="7"/>
  <c r="AY618" i="7"/>
  <c r="AY619" i="7"/>
  <c r="AY620" i="7"/>
  <c r="AY621" i="7"/>
  <c r="AY622" i="7"/>
  <c r="AY623" i="7"/>
  <c r="AY624" i="7"/>
  <c r="AY625" i="7"/>
  <c r="AY626" i="7"/>
  <c r="AY627" i="7"/>
  <c r="AY628" i="7"/>
  <c r="AY629" i="7"/>
  <c r="AY630" i="7"/>
  <c r="AY631" i="7"/>
  <c r="AY632" i="7"/>
  <c r="AY633" i="7"/>
  <c r="AY634" i="7"/>
  <c r="AY635" i="7"/>
  <c r="AY636" i="7"/>
  <c r="AY637" i="7"/>
  <c r="AY638" i="7"/>
  <c r="AY639" i="7"/>
  <c r="AY640" i="7"/>
  <c r="AY641" i="7"/>
  <c r="AY642" i="7"/>
  <c r="AY643" i="7"/>
  <c r="AY644" i="7"/>
  <c r="AY645" i="7"/>
  <c r="AY646" i="7"/>
  <c r="AY647" i="7"/>
  <c r="AY648" i="7"/>
  <c r="AY649" i="7"/>
  <c r="AY650" i="7"/>
  <c r="AY651" i="7"/>
  <c r="AY652" i="7"/>
  <c r="AY653" i="7"/>
  <c r="AY654" i="7"/>
  <c r="AY655" i="7"/>
  <c r="AY656" i="7"/>
  <c r="AY657" i="7"/>
  <c r="AY658" i="7"/>
  <c r="AY659" i="7"/>
  <c r="AY660" i="7"/>
  <c r="AY661" i="7"/>
  <c r="AY662" i="7"/>
  <c r="AY663" i="7"/>
  <c r="AY664" i="7"/>
  <c r="AY665" i="7"/>
  <c r="AY666" i="7"/>
  <c r="AY667" i="7"/>
  <c r="AY668" i="7"/>
  <c r="AY669" i="7"/>
  <c r="AY670" i="7"/>
  <c r="AY671" i="7"/>
  <c r="AY672" i="7"/>
  <c r="AY673" i="7"/>
  <c r="AY674" i="7"/>
  <c r="AY675" i="7"/>
  <c r="AY676" i="7"/>
  <c r="AY677" i="7"/>
  <c r="AY678" i="7"/>
  <c r="AY679" i="7"/>
  <c r="AY680" i="7"/>
  <c r="AY681" i="7"/>
  <c r="AY682" i="7"/>
  <c r="AY683" i="7"/>
  <c r="AY684" i="7"/>
  <c r="AY685" i="7"/>
  <c r="AY686" i="7"/>
  <c r="AY687" i="7"/>
  <c r="AY688" i="7"/>
  <c r="AY689" i="7"/>
  <c r="AY690" i="7"/>
  <c r="AY691" i="7"/>
  <c r="AY692" i="7"/>
  <c r="AY693" i="7"/>
  <c r="AY694" i="7"/>
  <c r="AY695" i="7"/>
  <c r="AY696" i="7"/>
  <c r="AY697" i="7"/>
  <c r="AY698" i="7"/>
  <c r="AY699" i="7"/>
  <c r="AY700" i="7"/>
  <c r="AY701" i="7"/>
  <c r="AY702" i="7"/>
  <c r="AY703" i="7"/>
  <c r="AY704" i="7"/>
  <c r="AY705" i="7"/>
  <c r="AY706" i="7"/>
  <c r="AY707" i="7"/>
  <c r="AY708" i="7"/>
  <c r="AY709" i="7"/>
  <c r="AY710" i="7"/>
  <c r="AY711" i="7"/>
  <c r="AY712" i="7"/>
  <c r="AY713" i="7"/>
  <c r="AY714" i="7"/>
  <c r="AY715" i="7"/>
  <c r="AY716" i="7"/>
  <c r="AY717" i="7"/>
  <c r="AY718" i="7"/>
  <c r="AY719" i="7"/>
  <c r="AY720" i="7"/>
  <c r="AY721" i="7"/>
  <c r="AY722" i="7"/>
  <c r="AY723" i="7"/>
  <c r="AY724" i="7"/>
  <c r="AY725" i="7"/>
  <c r="AY726" i="7"/>
  <c r="AY727" i="7"/>
  <c r="AY728" i="7"/>
  <c r="AY729" i="7"/>
  <c r="AY730" i="7"/>
  <c r="AY731" i="7"/>
  <c r="AY732" i="7"/>
  <c r="AY733" i="7"/>
  <c r="AY734" i="7"/>
  <c r="AY735" i="7"/>
  <c r="AY736" i="7"/>
  <c r="AY737" i="7"/>
  <c r="AY738" i="7"/>
  <c r="AY739" i="7"/>
  <c r="AY740" i="7"/>
  <c r="AY741" i="7"/>
  <c r="AY742" i="7"/>
  <c r="AY743" i="7"/>
  <c r="AY744" i="7"/>
  <c r="AY745" i="7"/>
  <c r="AY746" i="7"/>
  <c r="AY747" i="7"/>
  <c r="AY748" i="7"/>
  <c r="AY749" i="7"/>
  <c r="AY750" i="7"/>
  <c r="AY751" i="7"/>
  <c r="AY752" i="7"/>
  <c r="AY753" i="7"/>
  <c r="AY754" i="7"/>
  <c r="AY755" i="7"/>
  <c r="AY756" i="7"/>
  <c r="AY757" i="7"/>
  <c r="AY758" i="7"/>
  <c r="AY759" i="7"/>
  <c r="AY760" i="7"/>
  <c r="AY761" i="7"/>
  <c r="AY762" i="7"/>
  <c r="AY763" i="7"/>
  <c r="AY764" i="7"/>
  <c r="AY765" i="7"/>
  <c r="AY766" i="7"/>
  <c r="AY767" i="7"/>
  <c r="AY768" i="7"/>
  <c r="AY769" i="7"/>
  <c r="AY770" i="7"/>
  <c r="AY771" i="7"/>
  <c r="AY772" i="7"/>
  <c r="AY773" i="7"/>
  <c r="AY774" i="7"/>
  <c r="AY775" i="7"/>
  <c r="AY776" i="7"/>
  <c r="AY777" i="7"/>
  <c r="AY778" i="7"/>
  <c r="AY779" i="7"/>
  <c r="AY780" i="7"/>
  <c r="AY781" i="7"/>
  <c r="AY782" i="7"/>
  <c r="AY783" i="7"/>
  <c r="AY784" i="7"/>
  <c r="AY785" i="7"/>
  <c r="AY786" i="7"/>
  <c r="AY787" i="7"/>
  <c r="AY788" i="7"/>
  <c r="AY789" i="7"/>
  <c r="AY790" i="7"/>
  <c r="AY791" i="7"/>
  <c r="AY792" i="7"/>
  <c r="AY793" i="7"/>
  <c r="AY794" i="7"/>
  <c r="AY795" i="7"/>
  <c r="AY796" i="7"/>
  <c r="AY797" i="7"/>
  <c r="AY798" i="7"/>
  <c r="AY799" i="7"/>
  <c r="AY800" i="7"/>
  <c r="AY801" i="7"/>
  <c r="AY802" i="7"/>
  <c r="AY803" i="7"/>
  <c r="AY804" i="7"/>
  <c r="AY805" i="7"/>
  <c r="AY806" i="7"/>
  <c r="AY807" i="7"/>
  <c r="AY808" i="7"/>
  <c r="AY809" i="7"/>
  <c r="AY810" i="7"/>
  <c r="AY811" i="7"/>
  <c r="AY812" i="7"/>
  <c r="AY813" i="7"/>
  <c r="AY814" i="7"/>
  <c r="AY815" i="7"/>
  <c r="AY816" i="7"/>
  <c r="AY817" i="7"/>
  <c r="AY818" i="7"/>
  <c r="AY819" i="7"/>
  <c r="AY820" i="7"/>
  <c r="AY821" i="7"/>
  <c r="AY822" i="7"/>
  <c r="AY823" i="7"/>
  <c r="AY824" i="7"/>
  <c r="AY825" i="7"/>
  <c r="AY826" i="7"/>
  <c r="AY827" i="7"/>
  <c r="AY828" i="7"/>
  <c r="AY829" i="7"/>
  <c r="AY830" i="7"/>
  <c r="AY831" i="7"/>
  <c r="AY832" i="7"/>
  <c r="AY833" i="7"/>
  <c r="AY834" i="7"/>
  <c r="AY835" i="7"/>
  <c r="AY836" i="7"/>
  <c r="AY837" i="7"/>
  <c r="AY838" i="7"/>
  <c r="AY839" i="7"/>
  <c r="AY840" i="7"/>
  <c r="AY841" i="7"/>
  <c r="AY842" i="7"/>
  <c r="AY843" i="7"/>
  <c r="AY844" i="7"/>
  <c r="AY845" i="7"/>
  <c r="AY846" i="7"/>
  <c r="AY847" i="7"/>
  <c r="AY848" i="7"/>
  <c r="AY849" i="7"/>
  <c r="AY850" i="7"/>
  <c r="AY851" i="7"/>
  <c r="AY852" i="7"/>
  <c r="AY853" i="7"/>
  <c r="AY854" i="7"/>
  <c r="AY855" i="7"/>
  <c r="AY856" i="7"/>
  <c r="AY857" i="7"/>
  <c r="AY858" i="7"/>
  <c r="AY859" i="7"/>
  <c r="AY860" i="7"/>
  <c r="AY861" i="7"/>
  <c r="AY862" i="7"/>
  <c r="AY863" i="7"/>
  <c r="AY864" i="7"/>
  <c r="AY865" i="7"/>
  <c r="AY866" i="7"/>
  <c r="AY867" i="7"/>
  <c r="AY868" i="7"/>
  <c r="AY869" i="7"/>
  <c r="AY870" i="7"/>
  <c r="AY871" i="7"/>
  <c r="AY872" i="7"/>
  <c r="AY873" i="7"/>
  <c r="AY874" i="7"/>
  <c r="AY875" i="7"/>
  <c r="AY876" i="7"/>
  <c r="AY877" i="7"/>
  <c r="AY878" i="7"/>
  <c r="AY879" i="7"/>
  <c r="AY880" i="7"/>
  <c r="AY881" i="7"/>
  <c r="AY882" i="7"/>
  <c r="AY883" i="7"/>
  <c r="AY884" i="7"/>
  <c r="AY885" i="7"/>
  <c r="AY886" i="7"/>
  <c r="AY887" i="7"/>
  <c r="AY888" i="7"/>
  <c r="AY889" i="7"/>
  <c r="AY890" i="7"/>
  <c r="AY891" i="7"/>
  <c r="AY892" i="7"/>
  <c r="AY893" i="7"/>
  <c r="AY894" i="7"/>
  <c r="AY895" i="7"/>
  <c r="AY896" i="7"/>
  <c r="AY897" i="7"/>
  <c r="AY898" i="7"/>
  <c r="AY899" i="7"/>
  <c r="AY900" i="7"/>
  <c r="AY901" i="7"/>
  <c r="AY902" i="7"/>
  <c r="AY903" i="7"/>
  <c r="AY904" i="7"/>
  <c r="AY905" i="7"/>
  <c r="AY906" i="7"/>
  <c r="AY907" i="7"/>
  <c r="AY908" i="7"/>
  <c r="AY909" i="7"/>
  <c r="AY910" i="7"/>
  <c r="AY911" i="7"/>
  <c r="AY912" i="7"/>
  <c r="AY913" i="7"/>
  <c r="AY914" i="7"/>
  <c r="AY915" i="7"/>
  <c r="AY916" i="7"/>
  <c r="AY917" i="7"/>
  <c r="AY918" i="7"/>
  <c r="AY919" i="7"/>
  <c r="AY920" i="7"/>
  <c r="AY921" i="7"/>
  <c r="AY922" i="7"/>
  <c r="AY923" i="7"/>
  <c r="AY924" i="7"/>
  <c r="AY925" i="7"/>
  <c r="AY926" i="7"/>
  <c r="AY927" i="7"/>
  <c r="AY928" i="7"/>
  <c r="AY929" i="7"/>
  <c r="AY930" i="7"/>
  <c r="AY931" i="7"/>
  <c r="AY932" i="7"/>
  <c r="AY933" i="7"/>
  <c r="AY934" i="7"/>
  <c r="AY935" i="7"/>
  <c r="AY936" i="7"/>
  <c r="AY937" i="7"/>
  <c r="AY938" i="7"/>
  <c r="AY939" i="7"/>
  <c r="AY940" i="7"/>
  <c r="AY941" i="7"/>
  <c r="AY942" i="7"/>
  <c r="AY943" i="7"/>
  <c r="AY944" i="7"/>
  <c r="AY945" i="7"/>
  <c r="AY946" i="7"/>
  <c r="AY947" i="7"/>
  <c r="AY948" i="7"/>
  <c r="AY949" i="7"/>
  <c r="AY950" i="7"/>
  <c r="AY951" i="7"/>
  <c r="AY952" i="7"/>
  <c r="AY953" i="7"/>
  <c r="AY954" i="7"/>
  <c r="AY955" i="7"/>
  <c r="AY956" i="7"/>
  <c r="AY957" i="7"/>
  <c r="AY958" i="7"/>
  <c r="AY959" i="7"/>
  <c r="AY960" i="7"/>
  <c r="AY961" i="7"/>
  <c r="AY962" i="7"/>
  <c r="AY963" i="7"/>
  <c r="AY964" i="7"/>
  <c r="AY965" i="7"/>
  <c r="AY966" i="7"/>
  <c r="AY967" i="7"/>
  <c r="AY968" i="7"/>
  <c r="AY969" i="7"/>
  <c r="AY970" i="7"/>
  <c r="AY971" i="7"/>
  <c r="AY972" i="7"/>
  <c r="AY973" i="7"/>
  <c r="AY974" i="7"/>
  <c r="AY975" i="7"/>
  <c r="AY976" i="7"/>
  <c r="AY977" i="7"/>
  <c r="AY978" i="7"/>
  <c r="AY979" i="7"/>
  <c r="AY980" i="7"/>
  <c r="AY981" i="7"/>
  <c r="AY982" i="7"/>
  <c r="AY983" i="7"/>
  <c r="AY984" i="7"/>
  <c r="AY985" i="7"/>
  <c r="AY986" i="7"/>
  <c r="AY987" i="7"/>
  <c r="AY988" i="7"/>
  <c r="AY989" i="7"/>
  <c r="AY990" i="7"/>
  <c r="AY991" i="7"/>
  <c r="AY992" i="7"/>
  <c r="AY993" i="7"/>
  <c r="AY994" i="7"/>
  <c r="AY995" i="7"/>
  <c r="AY996" i="7"/>
  <c r="AY997" i="7"/>
  <c r="AY998" i="7"/>
  <c r="AY999" i="7"/>
  <c r="AY1000" i="7"/>
  <c r="AY1001" i="7"/>
  <c r="AY1002" i="7"/>
  <c r="AY1003" i="7"/>
  <c r="AY1004" i="7"/>
  <c r="AY1005" i="7"/>
  <c r="AY1006" i="7"/>
  <c r="AY1007" i="7"/>
  <c r="AY1008" i="7"/>
  <c r="AY1009" i="7"/>
  <c r="AY1010" i="7"/>
  <c r="AY1011" i="7"/>
  <c r="AY1012" i="7"/>
  <c r="AY1013" i="7"/>
  <c r="AY1014" i="7"/>
  <c r="AY1015" i="7"/>
  <c r="AY1016" i="7"/>
  <c r="AY1017" i="7"/>
  <c r="AY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61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X114" i="7"/>
  <c r="AX115" i="7"/>
  <c r="AX116" i="7"/>
  <c r="AX117" i="7"/>
  <c r="AX118" i="7"/>
  <c r="AX119" i="7"/>
  <c r="AX120" i="7"/>
  <c r="AX121" i="7"/>
  <c r="AX122" i="7"/>
  <c r="AX123" i="7"/>
  <c r="AX124" i="7"/>
  <c r="AX125" i="7"/>
  <c r="AX126" i="7"/>
  <c r="AX127" i="7"/>
  <c r="AX128" i="7"/>
  <c r="AX129" i="7"/>
  <c r="AX130" i="7"/>
  <c r="AX131" i="7"/>
  <c r="AX132" i="7"/>
  <c r="AX133" i="7"/>
  <c r="AX134" i="7"/>
  <c r="AX135" i="7"/>
  <c r="AX136" i="7"/>
  <c r="AX137" i="7"/>
  <c r="AX138" i="7"/>
  <c r="AX139" i="7"/>
  <c r="AX140" i="7"/>
  <c r="AX141" i="7"/>
  <c r="AX142" i="7"/>
  <c r="AX143" i="7"/>
  <c r="AX144" i="7"/>
  <c r="AX145" i="7"/>
  <c r="AX146" i="7"/>
  <c r="AX147" i="7"/>
  <c r="AX148" i="7"/>
  <c r="AX149" i="7"/>
  <c r="AX150" i="7"/>
  <c r="AX151" i="7"/>
  <c r="AX152" i="7"/>
  <c r="AX153" i="7"/>
  <c r="AX154" i="7"/>
  <c r="AX155" i="7"/>
  <c r="AX156" i="7"/>
  <c r="AX157" i="7"/>
  <c r="AX158" i="7"/>
  <c r="AX159" i="7"/>
  <c r="AX160" i="7"/>
  <c r="AX161" i="7"/>
  <c r="AX162" i="7"/>
  <c r="AX163" i="7"/>
  <c r="AX164" i="7"/>
  <c r="AX165" i="7"/>
  <c r="AX166" i="7"/>
  <c r="AX167" i="7"/>
  <c r="AX168" i="7"/>
  <c r="AX169" i="7"/>
  <c r="AX170" i="7"/>
  <c r="AX171" i="7"/>
  <c r="AX172" i="7"/>
  <c r="AX173" i="7"/>
  <c r="AX174" i="7"/>
  <c r="AX175" i="7"/>
  <c r="AX176" i="7"/>
  <c r="AX177" i="7"/>
  <c r="AX178" i="7"/>
  <c r="AX179" i="7"/>
  <c r="AX180" i="7"/>
  <c r="AX181" i="7"/>
  <c r="AX182" i="7"/>
  <c r="AX183" i="7"/>
  <c r="AX184" i="7"/>
  <c r="AX185" i="7"/>
  <c r="AX186" i="7"/>
  <c r="AX187" i="7"/>
  <c r="AX188" i="7"/>
  <c r="AX189" i="7"/>
  <c r="AX190" i="7"/>
  <c r="AX191" i="7"/>
  <c r="AX192" i="7"/>
  <c r="AX193" i="7"/>
  <c r="AX194" i="7"/>
  <c r="AX195" i="7"/>
  <c r="AX196" i="7"/>
  <c r="AX197" i="7"/>
  <c r="AX198" i="7"/>
  <c r="AX199" i="7"/>
  <c r="AX200" i="7"/>
  <c r="AX201" i="7"/>
  <c r="AX202" i="7"/>
  <c r="AX203" i="7"/>
  <c r="AX204" i="7"/>
  <c r="AX205" i="7"/>
  <c r="AX206" i="7"/>
  <c r="AX207" i="7"/>
  <c r="AX208" i="7"/>
  <c r="AX209" i="7"/>
  <c r="AX210" i="7"/>
  <c r="AX211" i="7"/>
  <c r="AX212" i="7"/>
  <c r="AX213" i="7"/>
  <c r="AX214" i="7"/>
  <c r="AX215" i="7"/>
  <c r="AX216" i="7"/>
  <c r="AX217" i="7"/>
  <c r="AX218" i="7"/>
  <c r="AX219" i="7"/>
  <c r="AX220" i="7"/>
  <c r="AX221" i="7"/>
  <c r="AX222" i="7"/>
  <c r="AX223" i="7"/>
  <c r="AX224" i="7"/>
  <c r="AX225" i="7"/>
  <c r="AX226" i="7"/>
  <c r="AX227" i="7"/>
  <c r="AX228" i="7"/>
  <c r="AX229" i="7"/>
  <c r="AX230" i="7"/>
  <c r="AX231" i="7"/>
  <c r="AX232" i="7"/>
  <c r="AX233" i="7"/>
  <c r="AX234" i="7"/>
  <c r="AX235" i="7"/>
  <c r="AX236" i="7"/>
  <c r="AX237" i="7"/>
  <c r="AX238" i="7"/>
  <c r="AX239" i="7"/>
  <c r="AX240" i="7"/>
  <c r="AX241" i="7"/>
  <c r="AX242" i="7"/>
  <c r="AX243" i="7"/>
  <c r="AX244" i="7"/>
  <c r="AX245" i="7"/>
  <c r="AX246" i="7"/>
  <c r="AX247" i="7"/>
  <c r="AX248" i="7"/>
  <c r="AX249" i="7"/>
  <c r="AX250" i="7"/>
  <c r="AX251" i="7"/>
  <c r="AX252" i="7"/>
  <c r="AX253" i="7"/>
  <c r="AX254" i="7"/>
  <c r="AX255" i="7"/>
  <c r="AX256" i="7"/>
  <c r="AX257" i="7"/>
  <c r="AX258" i="7"/>
  <c r="AX259" i="7"/>
  <c r="AX260" i="7"/>
  <c r="AX261" i="7"/>
  <c r="AX262" i="7"/>
  <c r="AX263" i="7"/>
  <c r="AX264" i="7"/>
  <c r="AX265" i="7"/>
  <c r="AX266" i="7"/>
  <c r="AX267" i="7"/>
  <c r="AX268" i="7"/>
  <c r="AX269" i="7"/>
  <c r="AX270" i="7"/>
  <c r="AX271" i="7"/>
  <c r="AX272" i="7"/>
  <c r="AX273" i="7"/>
  <c r="AX274" i="7"/>
  <c r="AX275" i="7"/>
  <c r="AX276" i="7"/>
  <c r="AX277" i="7"/>
  <c r="AX278" i="7"/>
  <c r="AX279" i="7"/>
  <c r="AX280" i="7"/>
  <c r="AX281" i="7"/>
  <c r="AX282" i="7"/>
  <c r="AX283" i="7"/>
  <c r="AX284" i="7"/>
  <c r="AX285" i="7"/>
  <c r="AX286" i="7"/>
  <c r="AX287" i="7"/>
  <c r="AX288" i="7"/>
  <c r="AX289" i="7"/>
  <c r="AX290" i="7"/>
  <c r="AX291" i="7"/>
  <c r="AX292" i="7"/>
  <c r="AX293" i="7"/>
  <c r="AX294" i="7"/>
  <c r="AX295" i="7"/>
  <c r="AX296" i="7"/>
  <c r="AX297" i="7"/>
  <c r="AX298" i="7"/>
  <c r="AX299" i="7"/>
  <c r="AX300" i="7"/>
  <c r="AX301" i="7"/>
  <c r="AX302" i="7"/>
  <c r="AX303" i="7"/>
  <c r="AX304" i="7"/>
  <c r="AX305" i="7"/>
  <c r="AX306" i="7"/>
  <c r="AX307" i="7"/>
  <c r="AX308" i="7"/>
  <c r="AX309" i="7"/>
  <c r="AX310" i="7"/>
  <c r="AX311" i="7"/>
  <c r="AX312" i="7"/>
  <c r="AX313" i="7"/>
  <c r="AX314" i="7"/>
  <c r="AX315" i="7"/>
  <c r="AX316" i="7"/>
  <c r="AX317" i="7"/>
  <c r="AX318" i="7"/>
  <c r="AX319" i="7"/>
  <c r="AX320" i="7"/>
  <c r="AX321" i="7"/>
  <c r="AX322" i="7"/>
  <c r="AX323" i="7"/>
  <c r="AX324" i="7"/>
  <c r="AX325" i="7"/>
  <c r="AX326" i="7"/>
  <c r="AX327" i="7"/>
  <c r="AX328" i="7"/>
  <c r="AX329" i="7"/>
  <c r="AX330" i="7"/>
  <c r="AX331" i="7"/>
  <c r="AX332" i="7"/>
  <c r="AX333" i="7"/>
  <c r="AX334" i="7"/>
  <c r="AX335" i="7"/>
  <c r="AX336" i="7"/>
  <c r="AX337" i="7"/>
  <c r="AX338" i="7"/>
  <c r="AX339" i="7"/>
  <c r="AX340" i="7"/>
  <c r="AX341" i="7"/>
  <c r="AX342" i="7"/>
  <c r="AX343" i="7"/>
  <c r="AX344" i="7"/>
  <c r="AX345" i="7"/>
  <c r="AX346" i="7"/>
  <c r="AX347" i="7"/>
  <c r="AX348" i="7"/>
  <c r="AX349" i="7"/>
  <c r="AX350" i="7"/>
  <c r="AX351" i="7"/>
  <c r="AX352" i="7"/>
  <c r="AX353" i="7"/>
  <c r="AX354" i="7"/>
  <c r="AX355" i="7"/>
  <c r="AX356" i="7"/>
  <c r="AX357" i="7"/>
  <c r="AX358" i="7"/>
  <c r="AX359" i="7"/>
  <c r="AX360" i="7"/>
  <c r="AX361" i="7"/>
  <c r="AX362" i="7"/>
  <c r="AX363" i="7"/>
  <c r="AX364" i="7"/>
  <c r="AX365" i="7"/>
  <c r="AX366" i="7"/>
  <c r="AX367" i="7"/>
  <c r="AX368" i="7"/>
  <c r="AX369" i="7"/>
  <c r="AX370" i="7"/>
  <c r="AX371" i="7"/>
  <c r="AX372" i="7"/>
  <c r="AX373" i="7"/>
  <c r="AX374" i="7"/>
  <c r="AX375" i="7"/>
  <c r="AX376" i="7"/>
  <c r="AX377" i="7"/>
  <c r="AX378" i="7"/>
  <c r="AX379" i="7"/>
  <c r="AX380" i="7"/>
  <c r="AX381" i="7"/>
  <c r="AX382" i="7"/>
  <c r="AX383" i="7"/>
  <c r="AX384" i="7"/>
  <c r="AX385" i="7"/>
  <c r="AX386" i="7"/>
  <c r="AX387" i="7"/>
  <c r="AX388" i="7"/>
  <c r="AX389" i="7"/>
  <c r="AX390" i="7"/>
  <c r="AX391" i="7"/>
  <c r="AX392" i="7"/>
  <c r="AX393" i="7"/>
  <c r="AX394" i="7"/>
  <c r="AX395" i="7"/>
  <c r="AX396" i="7"/>
  <c r="AX397" i="7"/>
  <c r="AX398" i="7"/>
  <c r="AX399" i="7"/>
  <c r="AX400" i="7"/>
  <c r="AX401" i="7"/>
  <c r="AX402" i="7"/>
  <c r="AX403" i="7"/>
  <c r="AX404" i="7"/>
  <c r="AX405" i="7"/>
  <c r="AX406" i="7"/>
  <c r="AX407" i="7"/>
  <c r="AX408" i="7"/>
  <c r="AX409" i="7"/>
  <c r="AX410" i="7"/>
  <c r="AX411" i="7"/>
  <c r="AX412" i="7"/>
  <c r="AX413" i="7"/>
  <c r="AX414" i="7"/>
  <c r="AX415" i="7"/>
  <c r="AX416" i="7"/>
  <c r="AX417" i="7"/>
  <c r="AX418" i="7"/>
  <c r="AX419" i="7"/>
  <c r="AX420" i="7"/>
  <c r="AX421" i="7"/>
  <c r="AX422" i="7"/>
  <c r="AX423" i="7"/>
  <c r="AX424" i="7"/>
  <c r="AX425" i="7"/>
  <c r="AX426" i="7"/>
  <c r="AX427" i="7"/>
  <c r="AX428" i="7"/>
  <c r="AX429" i="7"/>
  <c r="AX430" i="7"/>
  <c r="AX431" i="7"/>
  <c r="AX432" i="7"/>
  <c r="AX433" i="7"/>
  <c r="AX434" i="7"/>
  <c r="AX435" i="7"/>
  <c r="AX436" i="7"/>
  <c r="AX437" i="7"/>
  <c r="AX438" i="7"/>
  <c r="AX439" i="7"/>
  <c r="AX440" i="7"/>
  <c r="AX441" i="7"/>
  <c r="AX442" i="7"/>
  <c r="AX443" i="7"/>
  <c r="AX444" i="7"/>
  <c r="AX445" i="7"/>
  <c r="AX446" i="7"/>
  <c r="AX447" i="7"/>
  <c r="AX448" i="7"/>
  <c r="AX449" i="7"/>
  <c r="AX450" i="7"/>
  <c r="AX451" i="7"/>
  <c r="AX452" i="7"/>
  <c r="AX453" i="7"/>
  <c r="AX454" i="7"/>
  <c r="AX455" i="7"/>
  <c r="AX456" i="7"/>
  <c r="AX457" i="7"/>
  <c r="AX458" i="7"/>
  <c r="AX459" i="7"/>
  <c r="AX460" i="7"/>
  <c r="AX461" i="7"/>
  <c r="AX462" i="7"/>
  <c r="AX463" i="7"/>
  <c r="AX464" i="7"/>
  <c r="AX465" i="7"/>
  <c r="AX466" i="7"/>
  <c r="AX467" i="7"/>
  <c r="AX468" i="7"/>
  <c r="AX469" i="7"/>
  <c r="AX470" i="7"/>
  <c r="AX471" i="7"/>
  <c r="AX472" i="7"/>
  <c r="AX473" i="7"/>
  <c r="AX474" i="7"/>
  <c r="AX475" i="7"/>
  <c r="AX476" i="7"/>
  <c r="AX477" i="7"/>
  <c r="AX478" i="7"/>
  <c r="AX479" i="7"/>
  <c r="AX480" i="7"/>
  <c r="AX481" i="7"/>
  <c r="AX482" i="7"/>
  <c r="AX483" i="7"/>
  <c r="AX484" i="7"/>
  <c r="AX485" i="7"/>
  <c r="AX486" i="7"/>
  <c r="AX487" i="7"/>
  <c r="AX488" i="7"/>
  <c r="AX489" i="7"/>
  <c r="AX490" i="7"/>
  <c r="AX491" i="7"/>
  <c r="AX492" i="7"/>
  <c r="AX493" i="7"/>
  <c r="AX494" i="7"/>
  <c r="AX495" i="7"/>
  <c r="AX496" i="7"/>
  <c r="AX497" i="7"/>
  <c r="AX498" i="7"/>
  <c r="AX499" i="7"/>
  <c r="AX500" i="7"/>
  <c r="AX501" i="7"/>
  <c r="AX502" i="7"/>
  <c r="AX503" i="7"/>
  <c r="AX504" i="7"/>
  <c r="AX505" i="7"/>
  <c r="AX506" i="7"/>
  <c r="AX507" i="7"/>
  <c r="AX508" i="7"/>
  <c r="AX509" i="7"/>
  <c r="AX510" i="7"/>
  <c r="AX511" i="7"/>
  <c r="AX512" i="7"/>
  <c r="AX513" i="7"/>
  <c r="AX514" i="7"/>
  <c r="AX515" i="7"/>
  <c r="AX516" i="7"/>
  <c r="AX517" i="7"/>
  <c r="AX518" i="7"/>
  <c r="AX519" i="7"/>
  <c r="AX520" i="7"/>
  <c r="AX521" i="7"/>
  <c r="AX522" i="7"/>
  <c r="AX523" i="7"/>
  <c r="AX524" i="7"/>
  <c r="AX525" i="7"/>
  <c r="AX526" i="7"/>
  <c r="AX527" i="7"/>
  <c r="AX528" i="7"/>
  <c r="AX529" i="7"/>
  <c r="AX530" i="7"/>
  <c r="AX531" i="7"/>
  <c r="AX532" i="7"/>
  <c r="AX533" i="7"/>
  <c r="AX534" i="7"/>
  <c r="AX535" i="7"/>
  <c r="AX536" i="7"/>
  <c r="AX537" i="7"/>
  <c r="AX538" i="7"/>
  <c r="AX539" i="7"/>
  <c r="AX540" i="7"/>
  <c r="AX541" i="7"/>
  <c r="AX542" i="7"/>
  <c r="AX543" i="7"/>
  <c r="AX544" i="7"/>
  <c r="AX545" i="7"/>
  <c r="AX546" i="7"/>
  <c r="AX547" i="7"/>
  <c r="AX548" i="7"/>
  <c r="AX549" i="7"/>
  <c r="AX550" i="7"/>
  <c r="AX551" i="7"/>
  <c r="AX552" i="7"/>
  <c r="AX553" i="7"/>
  <c r="AX554" i="7"/>
  <c r="AX555" i="7"/>
  <c r="AX556" i="7"/>
  <c r="AX557" i="7"/>
  <c r="AX558" i="7"/>
  <c r="AX559" i="7"/>
  <c r="AX560" i="7"/>
  <c r="AX561" i="7"/>
  <c r="AX562" i="7"/>
  <c r="AX563" i="7"/>
  <c r="AX564" i="7"/>
  <c r="AX565" i="7"/>
  <c r="AX566" i="7"/>
  <c r="AX567" i="7"/>
  <c r="AX568" i="7"/>
  <c r="AX569" i="7"/>
  <c r="AX570" i="7"/>
  <c r="AX571" i="7"/>
  <c r="AX572" i="7"/>
  <c r="AX573" i="7"/>
  <c r="AX574" i="7"/>
  <c r="AX575" i="7"/>
  <c r="AX576" i="7"/>
  <c r="AX577" i="7"/>
  <c r="AX578" i="7"/>
  <c r="AX579" i="7"/>
  <c r="AX580" i="7"/>
  <c r="AX581" i="7"/>
  <c r="AX582" i="7"/>
  <c r="AX583" i="7"/>
  <c r="AX584" i="7"/>
  <c r="AX585" i="7"/>
  <c r="AX586" i="7"/>
  <c r="AX587" i="7"/>
  <c r="AX588" i="7"/>
  <c r="AX589" i="7"/>
  <c r="AX590" i="7"/>
  <c r="AX591" i="7"/>
  <c r="AX592" i="7"/>
  <c r="AX593" i="7"/>
  <c r="AX594" i="7"/>
  <c r="AX595" i="7"/>
  <c r="AX596" i="7"/>
  <c r="AX597" i="7"/>
  <c r="AX598" i="7"/>
  <c r="AX599" i="7"/>
  <c r="AX600" i="7"/>
  <c r="AX601" i="7"/>
  <c r="AX602" i="7"/>
  <c r="AX603" i="7"/>
  <c r="AX604" i="7"/>
  <c r="AX605" i="7"/>
  <c r="AX606" i="7"/>
  <c r="AX607" i="7"/>
  <c r="AX608" i="7"/>
  <c r="AX609" i="7"/>
  <c r="AX610" i="7"/>
  <c r="AX611" i="7"/>
  <c r="AX612" i="7"/>
  <c r="AX613" i="7"/>
  <c r="AX614" i="7"/>
  <c r="AX615" i="7"/>
  <c r="AX616" i="7"/>
  <c r="AX617" i="7"/>
  <c r="AX618" i="7"/>
  <c r="AX619" i="7"/>
  <c r="AX620" i="7"/>
  <c r="AX621" i="7"/>
  <c r="AX622" i="7"/>
  <c r="AX623" i="7"/>
  <c r="AX624" i="7"/>
  <c r="AX625" i="7"/>
  <c r="AX626" i="7"/>
  <c r="AX627" i="7"/>
  <c r="AX628" i="7"/>
  <c r="AX629" i="7"/>
  <c r="AX630" i="7"/>
  <c r="AX631" i="7"/>
  <c r="AX632" i="7"/>
  <c r="AX633" i="7"/>
  <c r="AX634" i="7"/>
  <c r="AX635" i="7"/>
  <c r="AX636" i="7"/>
  <c r="AX637" i="7"/>
  <c r="AX638" i="7"/>
  <c r="AX639" i="7"/>
  <c r="AX640" i="7"/>
  <c r="AX641" i="7"/>
  <c r="AX642" i="7"/>
  <c r="AX643" i="7"/>
  <c r="AX644" i="7"/>
  <c r="AX645" i="7"/>
  <c r="AX646" i="7"/>
  <c r="AX647" i="7"/>
  <c r="AX648" i="7"/>
  <c r="AX649" i="7"/>
  <c r="AX650" i="7"/>
  <c r="AX651" i="7"/>
  <c r="AX652" i="7"/>
  <c r="AX653" i="7"/>
  <c r="AX654" i="7"/>
  <c r="AX655" i="7"/>
  <c r="AX656" i="7"/>
  <c r="AX657" i="7"/>
  <c r="AX658" i="7"/>
  <c r="AX659" i="7"/>
  <c r="AX660" i="7"/>
  <c r="AX661" i="7"/>
  <c r="AX662" i="7"/>
  <c r="AX663" i="7"/>
  <c r="AX664" i="7"/>
  <c r="AX665" i="7"/>
  <c r="AX666" i="7"/>
  <c r="AX667" i="7"/>
  <c r="AX668" i="7"/>
  <c r="AX669" i="7"/>
  <c r="AX670" i="7"/>
  <c r="AX671" i="7"/>
  <c r="AX672" i="7"/>
  <c r="AX673" i="7"/>
  <c r="AX674" i="7"/>
  <c r="AX675" i="7"/>
  <c r="AX676" i="7"/>
  <c r="AX677" i="7"/>
  <c r="AX678" i="7"/>
  <c r="AX679" i="7"/>
  <c r="AX680" i="7"/>
  <c r="AX681" i="7"/>
  <c r="AX682" i="7"/>
  <c r="AX683" i="7"/>
  <c r="AX684" i="7"/>
  <c r="AX685" i="7"/>
  <c r="AX686" i="7"/>
  <c r="AX687" i="7"/>
  <c r="AX688" i="7"/>
  <c r="AX689" i="7"/>
  <c r="AX690" i="7"/>
  <c r="AX691" i="7"/>
  <c r="AX692" i="7"/>
  <c r="AX693" i="7"/>
  <c r="AX694" i="7"/>
  <c r="AX695" i="7"/>
  <c r="AX696" i="7"/>
  <c r="AX697" i="7"/>
  <c r="AX698" i="7"/>
  <c r="AX699" i="7"/>
  <c r="AX700" i="7"/>
  <c r="AX701" i="7"/>
  <c r="AX702" i="7"/>
  <c r="AX703" i="7"/>
  <c r="AX704" i="7"/>
  <c r="AX705" i="7"/>
  <c r="AX706" i="7"/>
  <c r="AX707" i="7"/>
  <c r="AX708" i="7"/>
  <c r="AX709" i="7"/>
  <c r="AX710" i="7"/>
  <c r="AX711" i="7"/>
  <c r="AX712" i="7"/>
  <c r="AX713" i="7"/>
  <c r="AX714" i="7"/>
  <c r="AX715" i="7"/>
  <c r="AX716" i="7"/>
  <c r="AX717" i="7"/>
  <c r="AX718" i="7"/>
  <c r="AX719" i="7"/>
  <c r="AX720" i="7"/>
  <c r="AX721" i="7"/>
  <c r="AX722" i="7"/>
  <c r="AX723" i="7"/>
  <c r="AX724" i="7"/>
  <c r="AX725" i="7"/>
  <c r="AX726" i="7"/>
  <c r="AX727" i="7"/>
  <c r="AX728" i="7"/>
  <c r="AX729" i="7"/>
  <c r="AX730" i="7"/>
  <c r="AX731" i="7"/>
  <c r="AX732" i="7"/>
  <c r="AX733" i="7"/>
  <c r="AX734" i="7"/>
  <c r="AX735" i="7"/>
  <c r="AX736" i="7"/>
  <c r="AX737" i="7"/>
  <c r="AX738" i="7"/>
  <c r="AX739" i="7"/>
  <c r="AX740" i="7"/>
  <c r="AX741" i="7"/>
  <c r="AX742" i="7"/>
  <c r="AX743" i="7"/>
  <c r="AX744" i="7"/>
  <c r="AX745" i="7"/>
  <c r="AX746" i="7"/>
  <c r="AX747" i="7"/>
  <c r="AX748" i="7"/>
  <c r="AX749" i="7"/>
  <c r="AX750" i="7"/>
  <c r="AX751" i="7"/>
  <c r="AX752" i="7"/>
  <c r="AX753" i="7"/>
  <c r="AX754" i="7"/>
  <c r="AX755" i="7"/>
  <c r="AX756" i="7"/>
  <c r="AX757" i="7"/>
  <c r="AX758" i="7"/>
  <c r="AX759" i="7"/>
  <c r="AX760" i="7"/>
  <c r="AX761" i="7"/>
  <c r="AX762" i="7"/>
  <c r="AX763" i="7"/>
  <c r="AX764" i="7"/>
  <c r="AX765" i="7"/>
  <c r="AX766" i="7"/>
  <c r="AX767" i="7"/>
  <c r="AX768" i="7"/>
  <c r="AX769" i="7"/>
  <c r="AX770" i="7"/>
  <c r="AX771" i="7"/>
  <c r="AX772" i="7"/>
  <c r="AX773" i="7"/>
  <c r="AX774" i="7"/>
  <c r="AX775" i="7"/>
  <c r="AX776" i="7"/>
  <c r="AX777" i="7"/>
  <c r="AX778" i="7"/>
  <c r="AX779" i="7"/>
  <c r="AX780" i="7"/>
  <c r="AX781" i="7"/>
  <c r="AX782" i="7"/>
  <c r="AX783" i="7"/>
  <c r="AX784" i="7"/>
  <c r="AX785" i="7"/>
  <c r="AX786" i="7"/>
  <c r="AX787" i="7"/>
  <c r="AX788" i="7"/>
  <c r="AX789" i="7"/>
  <c r="AX790" i="7"/>
  <c r="AX791" i="7"/>
  <c r="AX792" i="7"/>
  <c r="AX793" i="7"/>
  <c r="AX794" i="7"/>
  <c r="AX795" i="7"/>
  <c r="AX796" i="7"/>
  <c r="AX797" i="7"/>
  <c r="AX798" i="7"/>
  <c r="AX799" i="7"/>
  <c r="AX800" i="7"/>
  <c r="AX801" i="7"/>
  <c r="AX802" i="7"/>
  <c r="AX803" i="7"/>
  <c r="AX804" i="7"/>
  <c r="AX805" i="7"/>
  <c r="AX806" i="7"/>
  <c r="AX807" i="7"/>
  <c r="AX808" i="7"/>
  <c r="AX809" i="7"/>
  <c r="AX810" i="7"/>
  <c r="AX811" i="7"/>
  <c r="AX812" i="7"/>
  <c r="AX813" i="7"/>
  <c r="AX814" i="7"/>
  <c r="AX815" i="7"/>
  <c r="AX816" i="7"/>
  <c r="AX817" i="7"/>
  <c r="AX818" i="7"/>
  <c r="AX819" i="7"/>
  <c r="AX820" i="7"/>
  <c r="AX821" i="7"/>
  <c r="AX822" i="7"/>
  <c r="AX823" i="7"/>
  <c r="AX824" i="7"/>
  <c r="AX825" i="7"/>
  <c r="AX826" i="7"/>
  <c r="AX827" i="7"/>
  <c r="AX828" i="7"/>
  <c r="AX829" i="7"/>
  <c r="AX830" i="7"/>
  <c r="AX831" i="7"/>
  <c r="AX832" i="7"/>
  <c r="AX833" i="7"/>
  <c r="AX834" i="7"/>
  <c r="AX835" i="7"/>
  <c r="AX836" i="7"/>
  <c r="AX837" i="7"/>
  <c r="AX838" i="7"/>
  <c r="AX839" i="7"/>
  <c r="AX840" i="7"/>
  <c r="AX841" i="7"/>
  <c r="AX842" i="7"/>
  <c r="AX843" i="7"/>
  <c r="AX844" i="7"/>
  <c r="AX845" i="7"/>
  <c r="AX846" i="7"/>
  <c r="AX847" i="7"/>
  <c r="AX848" i="7"/>
  <c r="AX849" i="7"/>
  <c r="AX850" i="7"/>
  <c r="AX851" i="7"/>
  <c r="AX852" i="7"/>
  <c r="AX853" i="7"/>
  <c r="AX854" i="7"/>
  <c r="AX855" i="7"/>
  <c r="AX856" i="7"/>
  <c r="AX857" i="7"/>
  <c r="AX858" i="7"/>
  <c r="AX859" i="7"/>
  <c r="AX860" i="7"/>
  <c r="AX861" i="7"/>
  <c r="AX862" i="7"/>
  <c r="AX863" i="7"/>
  <c r="AX864" i="7"/>
  <c r="AX865" i="7"/>
  <c r="AX866" i="7"/>
  <c r="AX867" i="7"/>
  <c r="AX868" i="7"/>
  <c r="AX869" i="7"/>
  <c r="AX870" i="7"/>
  <c r="AX871" i="7"/>
  <c r="AX872" i="7"/>
  <c r="AX873" i="7"/>
  <c r="AX874" i="7"/>
  <c r="AX875" i="7"/>
  <c r="AX876" i="7"/>
  <c r="AX877" i="7"/>
  <c r="AX878" i="7"/>
  <c r="AX879" i="7"/>
  <c r="AX880" i="7"/>
  <c r="AX881" i="7"/>
  <c r="AX882" i="7"/>
  <c r="AX883" i="7"/>
  <c r="AX884" i="7"/>
  <c r="AX885" i="7"/>
  <c r="AX886" i="7"/>
  <c r="AX887" i="7"/>
  <c r="AX888" i="7"/>
  <c r="AX889" i="7"/>
  <c r="AX890" i="7"/>
  <c r="AX891" i="7"/>
  <c r="AX892" i="7"/>
  <c r="AX893" i="7"/>
  <c r="AX894" i="7"/>
  <c r="AX895" i="7"/>
  <c r="AX896" i="7"/>
  <c r="AX897" i="7"/>
  <c r="AX898" i="7"/>
  <c r="AX899" i="7"/>
  <c r="AX900" i="7"/>
  <c r="AX901" i="7"/>
  <c r="AX902" i="7"/>
  <c r="AX903" i="7"/>
  <c r="AX904" i="7"/>
  <c r="AX905" i="7"/>
  <c r="AX906" i="7"/>
  <c r="AX907" i="7"/>
  <c r="AX908" i="7"/>
  <c r="AX909" i="7"/>
  <c r="AX910" i="7"/>
  <c r="AX911" i="7"/>
  <c r="AX912" i="7"/>
  <c r="AX913" i="7"/>
  <c r="AX914" i="7"/>
  <c r="AX915" i="7"/>
  <c r="AX916" i="7"/>
  <c r="AX917" i="7"/>
  <c r="AX918" i="7"/>
  <c r="AX919" i="7"/>
  <c r="AX920" i="7"/>
  <c r="AX921" i="7"/>
  <c r="AX922" i="7"/>
  <c r="AX923" i="7"/>
  <c r="AX924" i="7"/>
  <c r="AX925" i="7"/>
  <c r="AX926" i="7"/>
  <c r="AX927" i="7"/>
  <c r="AX928" i="7"/>
  <c r="AX929" i="7"/>
  <c r="AX930" i="7"/>
  <c r="AX931" i="7"/>
  <c r="AX932" i="7"/>
  <c r="AX933" i="7"/>
  <c r="AX934" i="7"/>
  <c r="AX935" i="7"/>
  <c r="AX936" i="7"/>
  <c r="AX937" i="7"/>
  <c r="AX938" i="7"/>
  <c r="AX939" i="7"/>
  <c r="AX940" i="7"/>
  <c r="AX941" i="7"/>
  <c r="AX942" i="7"/>
  <c r="AX943" i="7"/>
  <c r="AX944" i="7"/>
  <c r="AX945" i="7"/>
  <c r="AX946" i="7"/>
  <c r="AX947" i="7"/>
  <c r="AX948" i="7"/>
  <c r="AX949" i="7"/>
  <c r="AX950" i="7"/>
  <c r="AX951" i="7"/>
  <c r="AX952" i="7"/>
  <c r="AX953" i="7"/>
  <c r="AX954" i="7"/>
  <c r="AX955" i="7"/>
  <c r="AX956" i="7"/>
  <c r="AX957" i="7"/>
  <c r="AX958" i="7"/>
  <c r="AX959" i="7"/>
  <c r="AX960" i="7"/>
  <c r="AX961" i="7"/>
  <c r="AX962" i="7"/>
  <c r="AX963" i="7"/>
  <c r="AX964" i="7"/>
  <c r="AX965" i="7"/>
  <c r="AX966" i="7"/>
  <c r="AX967" i="7"/>
  <c r="AX968" i="7"/>
  <c r="AX969" i="7"/>
  <c r="AX970" i="7"/>
  <c r="AX971" i="7"/>
  <c r="AX972" i="7"/>
  <c r="AX973" i="7"/>
  <c r="AX974" i="7"/>
  <c r="AX975" i="7"/>
  <c r="AX976" i="7"/>
  <c r="AX977" i="7"/>
  <c r="AX978" i="7"/>
  <c r="AX979" i="7"/>
  <c r="AX980" i="7"/>
  <c r="AX981" i="7"/>
  <c r="AX982" i="7"/>
  <c r="AX983" i="7"/>
  <c r="AX984" i="7"/>
  <c r="AX985" i="7"/>
  <c r="AX986" i="7"/>
  <c r="AX987" i="7"/>
  <c r="AX988" i="7"/>
  <c r="AX989" i="7"/>
  <c r="AX990" i="7"/>
  <c r="AX991" i="7"/>
  <c r="AX992" i="7"/>
  <c r="AX993" i="7"/>
  <c r="AX994" i="7"/>
  <c r="AX995" i="7"/>
  <c r="AX996" i="7"/>
  <c r="AX997" i="7"/>
  <c r="AX998" i="7"/>
  <c r="AX999" i="7"/>
  <c r="AX1000" i="7"/>
  <c r="AX1001" i="7"/>
  <c r="AX1002" i="7"/>
  <c r="AX3" i="7"/>
  <c r="AW4" i="7"/>
  <c r="AW5" i="7"/>
  <c r="AW6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W40" i="7"/>
  <c r="AW41" i="7"/>
  <c r="AW42" i="7"/>
  <c r="AW43" i="7"/>
  <c r="AW44" i="7"/>
  <c r="AW45" i="7"/>
  <c r="AW46" i="7"/>
  <c r="AW47" i="7"/>
  <c r="AW48" i="7"/>
  <c r="AW49" i="7"/>
  <c r="AW50" i="7"/>
  <c r="AW51" i="7"/>
  <c r="AW52" i="7"/>
  <c r="AW53" i="7"/>
  <c r="AW54" i="7"/>
  <c r="AW55" i="7"/>
  <c r="AW56" i="7"/>
  <c r="AW57" i="7"/>
  <c r="AW58" i="7"/>
  <c r="AW59" i="7"/>
  <c r="AW60" i="7"/>
  <c r="AW61" i="7"/>
  <c r="AW62" i="7"/>
  <c r="AW63" i="7"/>
  <c r="AW64" i="7"/>
  <c r="AW65" i="7"/>
  <c r="AW66" i="7"/>
  <c r="AW67" i="7"/>
  <c r="AW68" i="7"/>
  <c r="AW69" i="7"/>
  <c r="AW70" i="7"/>
  <c r="AW71" i="7"/>
  <c r="AW72" i="7"/>
  <c r="AW73" i="7"/>
  <c r="AW74" i="7"/>
  <c r="AW75" i="7"/>
  <c r="AW76" i="7"/>
  <c r="AW77" i="7"/>
  <c r="AW78" i="7"/>
  <c r="AW79" i="7"/>
  <c r="AW80" i="7"/>
  <c r="AW81" i="7"/>
  <c r="AW82" i="7"/>
  <c r="AW83" i="7"/>
  <c r="AW84" i="7"/>
  <c r="AW85" i="7"/>
  <c r="AW86" i="7"/>
  <c r="AW87" i="7"/>
  <c r="AW88" i="7"/>
  <c r="AW89" i="7"/>
  <c r="AW90" i="7"/>
  <c r="AW91" i="7"/>
  <c r="AW92" i="7"/>
  <c r="AW93" i="7"/>
  <c r="AW94" i="7"/>
  <c r="AW95" i="7"/>
  <c r="AW96" i="7"/>
  <c r="AW97" i="7"/>
  <c r="AW98" i="7"/>
  <c r="AW99" i="7"/>
  <c r="AW100" i="7"/>
  <c r="AW101" i="7"/>
  <c r="AW102" i="7"/>
  <c r="AW103" i="7"/>
  <c r="AW104" i="7"/>
  <c r="AW105" i="7"/>
  <c r="AW106" i="7"/>
  <c r="AW107" i="7"/>
  <c r="AW108" i="7"/>
  <c r="AW109" i="7"/>
  <c r="AW110" i="7"/>
  <c r="AW111" i="7"/>
  <c r="AW112" i="7"/>
  <c r="AW113" i="7"/>
  <c r="AW114" i="7"/>
  <c r="AW115" i="7"/>
  <c r="AW116" i="7"/>
  <c r="AW117" i="7"/>
  <c r="AW118" i="7"/>
  <c r="AW119" i="7"/>
  <c r="AW120" i="7"/>
  <c r="AW121" i="7"/>
  <c r="AW122" i="7"/>
  <c r="AW123" i="7"/>
  <c r="AW124" i="7"/>
  <c r="AW125" i="7"/>
  <c r="AW126" i="7"/>
  <c r="AW127" i="7"/>
  <c r="AW128" i="7"/>
  <c r="AW129" i="7"/>
  <c r="AW130" i="7"/>
  <c r="AW131" i="7"/>
  <c r="AW132" i="7"/>
  <c r="AW133" i="7"/>
  <c r="AW134" i="7"/>
  <c r="AW135" i="7"/>
  <c r="AW136" i="7"/>
  <c r="AW137" i="7"/>
  <c r="AW138" i="7"/>
  <c r="AW139" i="7"/>
  <c r="AW140" i="7"/>
  <c r="AW141" i="7"/>
  <c r="AW142" i="7"/>
  <c r="AW143" i="7"/>
  <c r="AW144" i="7"/>
  <c r="AW145" i="7"/>
  <c r="AW146" i="7"/>
  <c r="AW147" i="7"/>
  <c r="AW148" i="7"/>
  <c r="AW149" i="7"/>
  <c r="AW150" i="7"/>
  <c r="AW151" i="7"/>
  <c r="AW152" i="7"/>
  <c r="AW153" i="7"/>
  <c r="AW154" i="7"/>
  <c r="AW155" i="7"/>
  <c r="AW156" i="7"/>
  <c r="AW157" i="7"/>
  <c r="AW158" i="7"/>
  <c r="AW159" i="7"/>
  <c r="AW160" i="7"/>
  <c r="AW161" i="7"/>
  <c r="AW162" i="7"/>
  <c r="AW163" i="7"/>
  <c r="AW164" i="7"/>
  <c r="AW165" i="7"/>
  <c r="AW166" i="7"/>
  <c r="AW167" i="7"/>
  <c r="AW168" i="7"/>
  <c r="AW169" i="7"/>
  <c r="AW170" i="7"/>
  <c r="AW171" i="7"/>
  <c r="AW172" i="7"/>
  <c r="AW173" i="7"/>
  <c r="AW174" i="7"/>
  <c r="AW175" i="7"/>
  <c r="AW176" i="7"/>
  <c r="AW177" i="7"/>
  <c r="AW178" i="7"/>
  <c r="AW179" i="7"/>
  <c r="AW180" i="7"/>
  <c r="AW181" i="7"/>
  <c r="AW182" i="7"/>
  <c r="AW183" i="7"/>
  <c r="AW184" i="7"/>
  <c r="AW185" i="7"/>
  <c r="AW186" i="7"/>
  <c r="AW187" i="7"/>
  <c r="AW188" i="7"/>
  <c r="AW189" i="7"/>
  <c r="AW190" i="7"/>
  <c r="AW191" i="7"/>
  <c r="AW192" i="7"/>
  <c r="AW193" i="7"/>
  <c r="AW194" i="7"/>
  <c r="AW195" i="7"/>
  <c r="AW196" i="7"/>
  <c r="AW197" i="7"/>
  <c r="AW198" i="7"/>
  <c r="AW199" i="7"/>
  <c r="AW200" i="7"/>
  <c r="AW201" i="7"/>
  <c r="AW202" i="7"/>
  <c r="AW203" i="7"/>
  <c r="AW204" i="7"/>
  <c r="AW205" i="7"/>
  <c r="AW206" i="7"/>
  <c r="AW207" i="7"/>
  <c r="AW208" i="7"/>
  <c r="AW209" i="7"/>
  <c r="AW210" i="7"/>
  <c r="AW211" i="7"/>
  <c r="AW212" i="7"/>
  <c r="AW213" i="7"/>
  <c r="AW214" i="7"/>
  <c r="AW215" i="7"/>
  <c r="AW216" i="7"/>
  <c r="AW217" i="7"/>
  <c r="AW218" i="7"/>
  <c r="AW219" i="7"/>
  <c r="AW220" i="7"/>
  <c r="AW221" i="7"/>
  <c r="AW222" i="7"/>
  <c r="AW223" i="7"/>
  <c r="AW224" i="7"/>
  <c r="AW225" i="7"/>
  <c r="AW226" i="7"/>
  <c r="AW227" i="7"/>
  <c r="AW228" i="7"/>
  <c r="AW229" i="7"/>
  <c r="AW230" i="7"/>
  <c r="AW231" i="7"/>
  <c r="AW232" i="7"/>
  <c r="AW233" i="7"/>
  <c r="AW234" i="7"/>
  <c r="AW235" i="7"/>
  <c r="AW236" i="7"/>
  <c r="AW237" i="7"/>
  <c r="AW238" i="7"/>
  <c r="AW239" i="7"/>
  <c r="AW240" i="7"/>
  <c r="AW241" i="7"/>
  <c r="AW242" i="7"/>
  <c r="AW243" i="7"/>
  <c r="AW244" i="7"/>
  <c r="AW245" i="7"/>
  <c r="AW246" i="7"/>
  <c r="AW247" i="7"/>
  <c r="AW248" i="7"/>
  <c r="AW249" i="7"/>
  <c r="AW250" i="7"/>
  <c r="AW251" i="7"/>
  <c r="AW252" i="7"/>
  <c r="AW253" i="7"/>
  <c r="AW254" i="7"/>
  <c r="AW255" i="7"/>
  <c r="AW256" i="7"/>
  <c r="AW257" i="7"/>
  <c r="AW258" i="7"/>
  <c r="AW259" i="7"/>
  <c r="AW260" i="7"/>
  <c r="AW261" i="7"/>
  <c r="AW262" i="7"/>
  <c r="AW263" i="7"/>
  <c r="AW264" i="7"/>
  <c r="AW265" i="7"/>
  <c r="AW266" i="7"/>
  <c r="AW267" i="7"/>
  <c r="AW268" i="7"/>
  <c r="AW269" i="7"/>
  <c r="AW270" i="7"/>
  <c r="AW271" i="7"/>
  <c r="AW272" i="7"/>
  <c r="AW273" i="7"/>
  <c r="AW274" i="7"/>
  <c r="AW275" i="7"/>
  <c r="AW276" i="7"/>
  <c r="AW277" i="7"/>
  <c r="AW278" i="7"/>
  <c r="AW279" i="7"/>
  <c r="AW280" i="7"/>
  <c r="AW281" i="7"/>
  <c r="AW282" i="7"/>
  <c r="AW283" i="7"/>
  <c r="AW284" i="7"/>
  <c r="AW285" i="7"/>
  <c r="AW286" i="7"/>
  <c r="AW287" i="7"/>
  <c r="AW288" i="7"/>
  <c r="AW289" i="7"/>
  <c r="AW290" i="7"/>
  <c r="AW291" i="7"/>
  <c r="AW292" i="7"/>
  <c r="AW293" i="7"/>
  <c r="AW294" i="7"/>
  <c r="AW295" i="7"/>
  <c r="AW296" i="7"/>
  <c r="AW297" i="7"/>
  <c r="AW298" i="7"/>
  <c r="AW299" i="7"/>
  <c r="AW300" i="7"/>
  <c r="AW301" i="7"/>
  <c r="AW302" i="7"/>
  <c r="AW303" i="7"/>
  <c r="AW304" i="7"/>
  <c r="AW305" i="7"/>
  <c r="AW306" i="7"/>
  <c r="AW307" i="7"/>
  <c r="AW308" i="7"/>
  <c r="AW309" i="7"/>
  <c r="AW310" i="7"/>
  <c r="AW311" i="7"/>
  <c r="AW312" i="7"/>
  <c r="AW313" i="7"/>
  <c r="AW314" i="7"/>
  <c r="AW315" i="7"/>
  <c r="AW316" i="7"/>
  <c r="AW317" i="7"/>
  <c r="AW318" i="7"/>
  <c r="AW319" i="7"/>
  <c r="AW320" i="7"/>
  <c r="AW321" i="7"/>
  <c r="AW322" i="7"/>
  <c r="AW323" i="7"/>
  <c r="AW324" i="7"/>
  <c r="AW325" i="7"/>
  <c r="AW326" i="7"/>
  <c r="AW327" i="7"/>
  <c r="AW328" i="7"/>
  <c r="AW329" i="7"/>
  <c r="AW330" i="7"/>
  <c r="AW331" i="7"/>
  <c r="AW332" i="7"/>
  <c r="AW333" i="7"/>
  <c r="AW334" i="7"/>
  <c r="AW335" i="7"/>
  <c r="AW336" i="7"/>
  <c r="AW337" i="7"/>
  <c r="AW338" i="7"/>
  <c r="AW339" i="7"/>
  <c r="AW340" i="7"/>
  <c r="AW341" i="7"/>
  <c r="AW342" i="7"/>
  <c r="AW343" i="7"/>
  <c r="AW344" i="7"/>
  <c r="AW345" i="7"/>
  <c r="AW346" i="7"/>
  <c r="AW347" i="7"/>
  <c r="AW348" i="7"/>
  <c r="AW349" i="7"/>
  <c r="AW350" i="7"/>
  <c r="AW351" i="7"/>
  <c r="AW352" i="7"/>
  <c r="AW353" i="7"/>
  <c r="AW354" i="7"/>
  <c r="AW355" i="7"/>
  <c r="AW356" i="7"/>
  <c r="AW357" i="7"/>
  <c r="AW358" i="7"/>
  <c r="AW359" i="7"/>
  <c r="AW360" i="7"/>
  <c r="AW361" i="7"/>
  <c r="AW362" i="7"/>
  <c r="AW363" i="7"/>
  <c r="AW364" i="7"/>
  <c r="AW365" i="7"/>
  <c r="AW366" i="7"/>
  <c r="AW367" i="7"/>
  <c r="AW368" i="7"/>
  <c r="AW369" i="7"/>
  <c r="AW370" i="7"/>
  <c r="AW371" i="7"/>
  <c r="AW372" i="7"/>
  <c r="AW373" i="7"/>
  <c r="AW374" i="7"/>
  <c r="AW375" i="7"/>
  <c r="AW376" i="7"/>
  <c r="AW377" i="7"/>
  <c r="AW378" i="7"/>
  <c r="AW379" i="7"/>
  <c r="AW380" i="7"/>
  <c r="AW381" i="7"/>
  <c r="AW382" i="7"/>
  <c r="AW383" i="7"/>
  <c r="AW384" i="7"/>
  <c r="AW385" i="7"/>
  <c r="AW386" i="7"/>
  <c r="AW387" i="7"/>
  <c r="AW388" i="7"/>
  <c r="AW389" i="7"/>
  <c r="AW390" i="7"/>
  <c r="AW391" i="7"/>
  <c r="AW392" i="7"/>
  <c r="AW393" i="7"/>
  <c r="AW394" i="7"/>
  <c r="AW395" i="7"/>
  <c r="AW396" i="7"/>
  <c r="AW397" i="7"/>
  <c r="AW398" i="7"/>
  <c r="AW399" i="7"/>
  <c r="AW400" i="7"/>
  <c r="AW401" i="7"/>
  <c r="AW402" i="7"/>
  <c r="AW403" i="7"/>
  <c r="AW404" i="7"/>
  <c r="AW405" i="7"/>
  <c r="AW406" i="7"/>
  <c r="AW407" i="7"/>
  <c r="AW408" i="7"/>
  <c r="AW409" i="7"/>
  <c r="AW410" i="7"/>
  <c r="AW411" i="7"/>
  <c r="AW412" i="7"/>
  <c r="AW413" i="7"/>
  <c r="AW414" i="7"/>
  <c r="AW415" i="7"/>
  <c r="AW416" i="7"/>
  <c r="AW417" i="7"/>
  <c r="AW418" i="7"/>
  <c r="AW419" i="7"/>
  <c r="AW420" i="7"/>
  <c r="AW421" i="7"/>
  <c r="AW422" i="7"/>
  <c r="AW423" i="7"/>
  <c r="AW424" i="7"/>
  <c r="AW425" i="7"/>
  <c r="AW426" i="7"/>
  <c r="AW427" i="7"/>
  <c r="AW428" i="7"/>
  <c r="AW429" i="7"/>
  <c r="AW430" i="7"/>
  <c r="AW431" i="7"/>
  <c r="AW432" i="7"/>
  <c r="AW433" i="7"/>
  <c r="AW434" i="7"/>
  <c r="AW435" i="7"/>
  <c r="AW436" i="7"/>
  <c r="AW437" i="7"/>
  <c r="AW438" i="7"/>
  <c r="AW439" i="7"/>
  <c r="AW440" i="7"/>
  <c r="AW441" i="7"/>
  <c r="AW442" i="7"/>
  <c r="AW443" i="7"/>
  <c r="AW444" i="7"/>
  <c r="AW445" i="7"/>
  <c r="AW446" i="7"/>
  <c r="AW447" i="7"/>
  <c r="AW448" i="7"/>
  <c r="AW449" i="7"/>
  <c r="AW450" i="7"/>
  <c r="AW451" i="7"/>
  <c r="AW452" i="7"/>
  <c r="AW453" i="7"/>
  <c r="AW454" i="7"/>
  <c r="AW455" i="7"/>
  <c r="AW456" i="7"/>
  <c r="AW457" i="7"/>
  <c r="AW458" i="7"/>
  <c r="AW459" i="7"/>
  <c r="AW460" i="7"/>
  <c r="AW461" i="7"/>
  <c r="AW462" i="7"/>
  <c r="AW463" i="7"/>
  <c r="AW464" i="7"/>
  <c r="AW465" i="7"/>
  <c r="AW466" i="7"/>
  <c r="AW467" i="7"/>
  <c r="AW468" i="7"/>
  <c r="AW469" i="7"/>
  <c r="AW470" i="7"/>
  <c r="AW471" i="7"/>
  <c r="AW472" i="7"/>
  <c r="AW473" i="7"/>
  <c r="AW474" i="7"/>
  <c r="AW475" i="7"/>
  <c r="AW476" i="7"/>
  <c r="AW477" i="7"/>
  <c r="AW478" i="7"/>
  <c r="AW479" i="7"/>
  <c r="AW480" i="7"/>
  <c r="AW481" i="7"/>
  <c r="AW482" i="7"/>
  <c r="AW483" i="7"/>
  <c r="AW484" i="7"/>
  <c r="AW485" i="7"/>
  <c r="AW486" i="7"/>
  <c r="AW487" i="7"/>
  <c r="AW488" i="7"/>
  <c r="AW489" i="7"/>
  <c r="AW490" i="7"/>
  <c r="AW491" i="7"/>
  <c r="AW492" i="7"/>
  <c r="AW493" i="7"/>
  <c r="AW494" i="7"/>
  <c r="AW495" i="7"/>
  <c r="AW496" i="7"/>
  <c r="AW497" i="7"/>
  <c r="AW498" i="7"/>
  <c r="AW499" i="7"/>
  <c r="AW500" i="7"/>
  <c r="AW501" i="7"/>
  <c r="AW502" i="7"/>
  <c r="AW503" i="7"/>
  <c r="AW504" i="7"/>
  <c r="AW505" i="7"/>
  <c r="AW506" i="7"/>
  <c r="AW507" i="7"/>
  <c r="AW508" i="7"/>
  <c r="AW509" i="7"/>
  <c r="AW510" i="7"/>
  <c r="AW511" i="7"/>
  <c r="AW512" i="7"/>
  <c r="AW513" i="7"/>
  <c r="AW514" i="7"/>
  <c r="AW515" i="7"/>
  <c r="AW516" i="7"/>
  <c r="AW517" i="7"/>
  <c r="AW518" i="7"/>
  <c r="AW519" i="7"/>
  <c r="AW520" i="7"/>
  <c r="AW521" i="7"/>
  <c r="AW522" i="7"/>
  <c r="AW523" i="7"/>
  <c r="AW524" i="7"/>
  <c r="AW525" i="7"/>
  <c r="AW526" i="7"/>
  <c r="AW527" i="7"/>
  <c r="AW528" i="7"/>
  <c r="AW529" i="7"/>
  <c r="AW530" i="7"/>
  <c r="AW531" i="7"/>
  <c r="AW532" i="7"/>
  <c r="AW533" i="7"/>
  <c r="AW534" i="7"/>
  <c r="AW535" i="7"/>
  <c r="AW536" i="7"/>
  <c r="AW537" i="7"/>
  <c r="AW538" i="7"/>
  <c r="AW539" i="7"/>
  <c r="AW540" i="7"/>
  <c r="AW541" i="7"/>
  <c r="AW542" i="7"/>
  <c r="AW543" i="7"/>
  <c r="AW544" i="7"/>
  <c r="AW545" i="7"/>
  <c r="AW546" i="7"/>
  <c r="AW547" i="7"/>
  <c r="AW548" i="7"/>
  <c r="AW549" i="7"/>
  <c r="AW550" i="7"/>
  <c r="AW551" i="7"/>
  <c r="AW552" i="7"/>
  <c r="AW553" i="7"/>
  <c r="AW554" i="7"/>
  <c r="AW555" i="7"/>
  <c r="AW556" i="7"/>
  <c r="AW557" i="7"/>
  <c r="AW558" i="7"/>
  <c r="AW559" i="7"/>
  <c r="AW560" i="7"/>
  <c r="AW561" i="7"/>
  <c r="AW562" i="7"/>
  <c r="AW563" i="7"/>
  <c r="AW564" i="7"/>
  <c r="AW565" i="7"/>
  <c r="AW566" i="7"/>
  <c r="AW567" i="7"/>
  <c r="AW568" i="7"/>
  <c r="AW569" i="7"/>
  <c r="AW570" i="7"/>
  <c r="AW571" i="7"/>
  <c r="AW572" i="7"/>
  <c r="AW573" i="7"/>
  <c r="AW574" i="7"/>
  <c r="AW575" i="7"/>
  <c r="AW576" i="7"/>
  <c r="AW577" i="7"/>
  <c r="AW578" i="7"/>
  <c r="AW579" i="7"/>
  <c r="AW580" i="7"/>
  <c r="AW581" i="7"/>
  <c r="AW582" i="7"/>
  <c r="AW583" i="7"/>
  <c r="AW584" i="7"/>
  <c r="AW585" i="7"/>
  <c r="AW586" i="7"/>
  <c r="AW587" i="7"/>
  <c r="AW588" i="7"/>
  <c r="AW589" i="7"/>
  <c r="AW590" i="7"/>
  <c r="AW591" i="7"/>
  <c r="AW592" i="7"/>
  <c r="AW593" i="7"/>
  <c r="AW594" i="7"/>
  <c r="AW595" i="7"/>
  <c r="AW596" i="7"/>
  <c r="AW597" i="7"/>
  <c r="AW598" i="7"/>
  <c r="AW599" i="7"/>
  <c r="AW600" i="7"/>
  <c r="AW601" i="7"/>
  <c r="AW602" i="7"/>
  <c r="AW603" i="7"/>
  <c r="AW604" i="7"/>
  <c r="AW605" i="7"/>
  <c r="AW606" i="7"/>
  <c r="AW607" i="7"/>
  <c r="AW608" i="7"/>
  <c r="AW609" i="7"/>
  <c r="AW610" i="7"/>
  <c r="AW611" i="7"/>
  <c r="AW612" i="7"/>
  <c r="AW613" i="7"/>
  <c r="AW614" i="7"/>
  <c r="AW615" i="7"/>
  <c r="AW616" i="7"/>
  <c r="AW617" i="7"/>
  <c r="AW618" i="7"/>
  <c r="AW619" i="7"/>
  <c r="AW620" i="7"/>
  <c r="AW621" i="7"/>
  <c r="AW622" i="7"/>
  <c r="AW623" i="7"/>
  <c r="AW624" i="7"/>
  <c r="AW625" i="7"/>
  <c r="AW626" i="7"/>
  <c r="AW627" i="7"/>
  <c r="AW628" i="7"/>
  <c r="AW629" i="7"/>
  <c r="AW630" i="7"/>
  <c r="AW631" i="7"/>
  <c r="AW632" i="7"/>
  <c r="AW633" i="7"/>
  <c r="AW634" i="7"/>
  <c r="AW635" i="7"/>
  <c r="AW636" i="7"/>
  <c r="AW637" i="7"/>
  <c r="AW638" i="7"/>
  <c r="AW639" i="7"/>
  <c r="AW640" i="7"/>
  <c r="AW641" i="7"/>
  <c r="AW642" i="7"/>
  <c r="AW643" i="7"/>
  <c r="AW644" i="7"/>
  <c r="AW645" i="7"/>
  <c r="AW646" i="7"/>
  <c r="AW647" i="7"/>
  <c r="AW648" i="7"/>
  <c r="AW649" i="7"/>
  <c r="AW650" i="7"/>
  <c r="AW651" i="7"/>
  <c r="AW652" i="7"/>
  <c r="AW653" i="7"/>
  <c r="AW654" i="7"/>
  <c r="AW655" i="7"/>
  <c r="AW656" i="7"/>
  <c r="AW657" i="7"/>
  <c r="AW658" i="7"/>
  <c r="AW659" i="7"/>
  <c r="AW660" i="7"/>
  <c r="AW661" i="7"/>
  <c r="AW662" i="7"/>
  <c r="AW663" i="7"/>
  <c r="AW664" i="7"/>
  <c r="AW665" i="7"/>
  <c r="AW666" i="7"/>
  <c r="AW667" i="7"/>
  <c r="AW668" i="7"/>
  <c r="AW669" i="7"/>
  <c r="AW670" i="7"/>
  <c r="AW671" i="7"/>
  <c r="AW672" i="7"/>
  <c r="AW673" i="7"/>
  <c r="AW674" i="7"/>
  <c r="AW675" i="7"/>
  <c r="AW676" i="7"/>
  <c r="AW677" i="7"/>
  <c r="AW678" i="7"/>
  <c r="AW679" i="7"/>
  <c r="AW680" i="7"/>
  <c r="AW681" i="7"/>
  <c r="AW682" i="7"/>
  <c r="AW683" i="7"/>
  <c r="AW684" i="7"/>
  <c r="AW685" i="7"/>
  <c r="AW686" i="7"/>
  <c r="AW687" i="7"/>
  <c r="AW688" i="7"/>
  <c r="AW689" i="7"/>
  <c r="AW690" i="7"/>
  <c r="AW691" i="7"/>
  <c r="AW692" i="7"/>
  <c r="AW693" i="7"/>
  <c r="AW694" i="7"/>
  <c r="AW695" i="7"/>
  <c r="AW696" i="7"/>
  <c r="AW697" i="7"/>
  <c r="AW698" i="7"/>
  <c r="AW699" i="7"/>
  <c r="AW700" i="7"/>
  <c r="AW701" i="7"/>
  <c r="AW702" i="7"/>
  <c r="AW703" i="7"/>
  <c r="AW704" i="7"/>
  <c r="AW705" i="7"/>
  <c r="AW706" i="7"/>
  <c r="AW707" i="7"/>
  <c r="AW708" i="7"/>
  <c r="AW709" i="7"/>
  <c r="AW710" i="7"/>
  <c r="AW711" i="7"/>
  <c r="AW712" i="7"/>
  <c r="AW713" i="7"/>
  <c r="AW714" i="7"/>
  <c r="AW715" i="7"/>
  <c r="AW716" i="7"/>
  <c r="AW717" i="7"/>
  <c r="AW718" i="7"/>
  <c r="AW719" i="7"/>
  <c r="AW720" i="7"/>
  <c r="AW721" i="7"/>
  <c r="AW722" i="7"/>
  <c r="AW723" i="7"/>
  <c r="AW724" i="7"/>
  <c r="AW725" i="7"/>
  <c r="AW726" i="7"/>
  <c r="AW727" i="7"/>
  <c r="AW728" i="7"/>
  <c r="AW729" i="7"/>
  <c r="AW730" i="7"/>
  <c r="AW731" i="7"/>
  <c r="AW732" i="7"/>
  <c r="AW733" i="7"/>
  <c r="AW734" i="7"/>
  <c r="AW735" i="7"/>
  <c r="AW736" i="7"/>
  <c r="AW737" i="7"/>
  <c r="AW738" i="7"/>
  <c r="AW739" i="7"/>
  <c r="AW740" i="7"/>
  <c r="AW741" i="7"/>
  <c r="AW742" i="7"/>
  <c r="AW743" i="7"/>
  <c r="AW744" i="7"/>
  <c r="AW745" i="7"/>
  <c r="AW746" i="7"/>
  <c r="AW747" i="7"/>
  <c r="AW748" i="7"/>
  <c r="AW749" i="7"/>
  <c r="AW750" i="7"/>
  <c r="AW751" i="7"/>
  <c r="AW752" i="7"/>
  <c r="AW753" i="7"/>
  <c r="AW754" i="7"/>
  <c r="AW755" i="7"/>
  <c r="AW756" i="7"/>
  <c r="AW757" i="7"/>
  <c r="AW758" i="7"/>
  <c r="AW759" i="7"/>
  <c r="AW760" i="7"/>
  <c r="AW761" i="7"/>
  <c r="AW762" i="7"/>
  <c r="AW763" i="7"/>
  <c r="AW764" i="7"/>
  <c r="AW765" i="7"/>
  <c r="AW766" i="7"/>
  <c r="AW767" i="7"/>
  <c r="AW768" i="7"/>
  <c r="AW769" i="7"/>
  <c r="AW770" i="7"/>
  <c r="AW771" i="7"/>
  <c r="AW772" i="7"/>
  <c r="AW773" i="7"/>
  <c r="AW774" i="7"/>
  <c r="AW775" i="7"/>
  <c r="AW776" i="7"/>
  <c r="AW777" i="7"/>
  <c r="AW778" i="7"/>
  <c r="AW779" i="7"/>
  <c r="AW780" i="7"/>
  <c r="AW781" i="7"/>
  <c r="AW782" i="7"/>
  <c r="AW783" i="7"/>
  <c r="AW784" i="7"/>
  <c r="AW785" i="7"/>
  <c r="AW786" i="7"/>
  <c r="AW787" i="7"/>
  <c r="AW788" i="7"/>
  <c r="AW789" i="7"/>
  <c r="AW790" i="7"/>
  <c r="AW791" i="7"/>
  <c r="AW792" i="7"/>
  <c r="AW793" i="7"/>
  <c r="AW794" i="7"/>
  <c r="AW795" i="7"/>
  <c r="AW796" i="7"/>
  <c r="AW797" i="7"/>
  <c r="AW798" i="7"/>
  <c r="AW799" i="7"/>
  <c r="AW800" i="7"/>
  <c r="AW801" i="7"/>
  <c r="AW802" i="7"/>
  <c r="AW803" i="7"/>
  <c r="AW804" i="7"/>
  <c r="AW805" i="7"/>
  <c r="AW806" i="7"/>
  <c r="AW807" i="7"/>
  <c r="AW808" i="7"/>
  <c r="AW809" i="7"/>
  <c r="AW810" i="7"/>
  <c r="AW811" i="7"/>
  <c r="AW812" i="7"/>
  <c r="AW813" i="7"/>
  <c r="AW814" i="7"/>
  <c r="AW815" i="7"/>
  <c r="AW816" i="7"/>
  <c r="AW817" i="7"/>
  <c r="AW818" i="7"/>
  <c r="AW819" i="7"/>
  <c r="AW820" i="7"/>
  <c r="AW821" i="7"/>
  <c r="AW822" i="7"/>
  <c r="AW823" i="7"/>
  <c r="AW824" i="7"/>
  <c r="AW825" i="7"/>
  <c r="AW826" i="7"/>
  <c r="AW827" i="7"/>
  <c r="AW828" i="7"/>
  <c r="AW829" i="7"/>
  <c r="AW830" i="7"/>
  <c r="AW831" i="7"/>
  <c r="AW832" i="7"/>
  <c r="AW833" i="7"/>
  <c r="AW834" i="7"/>
  <c r="AW835" i="7"/>
  <c r="AW836" i="7"/>
  <c r="AW837" i="7"/>
  <c r="AW838" i="7"/>
  <c r="AW839" i="7"/>
  <c r="AW840" i="7"/>
  <c r="AW841" i="7"/>
  <c r="AW842" i="7"/>
  <c r="AW843" i="7"/>
  <c r="AW844" i="7"/>
  <c r="AW845" i="7"/>
  <c r="AW846" i="7"/>
  <c r="AW847" i="7"/>
  <c r="AW848" i="7"/>
  <c r="AW849" i="7"/>
  <c r="AW850" i="7"/>
  <c r="AW851" i="7"/>
  <c r="AW852" i="7"/>
  <c r="AW853" i="7"/>
  <c r="AW854" i="7"/>
  <c r="AW855" i="7"/>
  <c r="AW856" i="7"/>
  <c r="AW857" i="7"/>
  <c r="AW858" i="7"/>
  <c r="AW859" i="7"/>
  <c r="AW860" i="7"/>
  <c r="AW861" i="7"/>
  <c r="AW862" i="7"/>
  <c r="AW863" i="7"/>
  <c r="AW864" i="7"/>
  <c r="AW865" i="7"/>
  <c r="AW866" i="7"/>
  <c r="AW867" i="7"/>
  <c r="AW868" i="7"/>
  <c r="AW869" i="7"/>
  <c r="AW870" i="7"/>
  <c r="AW871" i="7"/>
  <c r="AW872" i="7"/>
  <c r="AW873" i="7"/>
  <c r="AW874" i="7"/>
  <c r="AW875" i="7"/>
  <c r="AW876" i="7"/>
  <c r="AW877" i="7"/>
  <c r="AW878" i="7"/>
  <c r="AW879" i="7"/>
  <c r="AW880" i="7"/>
  <c r="AW881" i="7"/>
  <c r="AW882" i="7"/>
  <c r="AW883" i="7"/>
  <c r="AW884" i="7"/>
  <c r="AW885" i="7"/>
  <c r="AW886" i="7"/>
  <c r="AW887" i="7"/>
  <c r="AW888" i="7"/>
  <c r="AW889" i="7"/>
  <c r="AW890" i="7"/>
  <c r="AW891" i="7"/>
  <c r="AW892" i="7"/>
  <c r="AW893" i="7"/>
  <c r="AW894" i="7"/>
  <c r="AW895" i="7"/>
  <c r="AW896" i="7"/>
  <c r="AW897" i="7"/>
  <c r="AW898" i="7"/>
  <c r="AW899" i="7"/>
  <c r="AW900" i="7"/>
  <c r="AW901" i="7"/>
  <c r="AW902" i="7"/>
  <c r="AW903" i="7"/>
  <c r="AW904" i="7"/>
  <c r="AW905" i="7"/>
  <c r="AW906" i="7"/>
  <c r="AW907" i="7"/>
  <c r="AW908" i="7"/>
  <c r="AW909" i="7"/>
  <c r="AW910" i="7"/>
  <c r="AW911" i="7"/>
  <c r="AW912" i="7"/>
  <c r="AW913" i="7"/>
  <c r="AW914" i="7"/>
  <c r="AW915" i="7"/>
  <c r="AW916" i="7"/>
  <c r="AW917" i="7"/>
  <c r="AW918" i="7"/>
  <c r="AW919" i="7"/>
  <c r="AW920" i="7"/>
  <c r="AW921" i="7"/>
  <c r="AW922" i="7"/>
  <c r="AW923" i="7"/>
  <c r="AW924" i="7"/>
  <c r="AW925" i="7"/>
  <c r="AW926" i="7"/>
  <c r="AW927" i="7"/>
  <c r="AW928" i="7"/>
  <c r="AW929" i="7"/>
  <c r="AW930" i="7"/>
  <c r="AW931" i="7"/>
  <c r="AW932" i="7"/>
  <c r="AW933" i="7"/>
  <c r="AW934" i="7"/>
  <c r="AW935" i="7"/>
  <c r="AW936" i="7"/>
  <c r="AW937" i="7"/>
  <c r="AW938" i="7"/>
  <c r="AW939" i="7"/>
  <c r="AW940" i="7"/>
  <c r="AW941" i="7"/>
  <c r="AW942" i="7"/>
  <c r="AW943" i="7"/>
  <c r="AW944" i="7"/>
  <c r="AW945" i="7"/>
  <c r="AW946" i="7"/>
  <c r="AW947" i="7"/>
  <c r="AW948" i="7"/>
  <c r="AW949" i="7"/>
  <c r="AW950" i="7"/>
  <c r="AW951" i="7"/>
  <c r="AW952" i="7"/>
  <c r="AW953" i="7"/>
  <c r="AW954" i="7"/>
  <c r="AW955" i="7"/>
  <c r="AW956" i="7"/>
  <c r="AW957" i="7"/>
  <c r="AW958" i="7"/>
  <c r="AW959" i="7"/>
  <c r="AW960" i="7"/>
  <c r="AW961" i="7"/>
  <c r="AW962" i="7"/>
  <c r="AW963" i="7"/>
  <c r="AW964" i="7"/>
  <c r="AW965" i="7"/>
  <c r="AW966" i="7"/>
  <c r="AW967" i="7"/>
  <c r="AW968" i="7"/>
  <c r="AW969" i="7"/>
  <c r="AW970" i="7"/>
  <c r="AW971" i="7"/>
  <c r="AW972" i="7"/>
  <c r="AW973" i="7"/>
  <c r="AW974" i="7"/>
  <c r="AW975" i="7"/>
  <c r="AW976" i="7"/>
  <c r="AW977" i="7"/>
  <c r="AW978" i="7"/>
  <c r="AW979" i="7"/>
  <c r="AW980" i="7"/>
  <c r="AW981" i="7"/>
  <c r="AW982" i="7"/>
  <c r="AW983" i="7"/>
  <c r="AW984" i="7"/>
  <c r="AW985" i="7"/>
  <c r="AW986" i="7"/>
  <c r="AW987" i="7"/>
  <c r="AW988" i="7"/>
  <c r="AW989" i="7"/>
  <c r="AW990" i="7"/>
  <c r="AW991" i="7"/>
  <c r="AW992" i="7"/>
  <c r="AW993" i="7"/>
  <c r="AW994" i="7"/>
  <c r="AW995" i="7"/>
  <c r="AW996" i="7"/>
  <c r="AW997" i="7"/>
  <c r="AW998" i="7"/>
  <c r="AW999" i="7"/>
  <c r="AW1000" i="7"/>
  <c r="AW1001" i="7"/>
  <c r="AW1002" i="7"/>
  <c r="AW1003" i="7"/>
  <c r="AW1004" i="7"/>
  <c r="AW1005" i="7"/>
  <c r="AW1006" i="7"/>
  <c r="AW1007" i="7"/>
  <c r="AW1008" i="7"/>
  <c r="AW1009" i="7"/>
  <c r="AW1010" i="7"/>
  <c r="AW1011" i="7"/>
  <c r="AW1012" i="7"/>
  <c r="AW1014" i="7"/>
  <c r="AW1015" i="7"/>
  <c r="AW1016" i="7"/>
  <c r="AW1017" i="7"/>
  <c r="AW1018" i="7"/>
  <c r="AW1019" i="7"/>
  <c r="AW1020" i="7"/>
  <c r="AW1021" i="7"/>
  <c r="AW1022" i="7"/>
  <c r="AW1023" i="7"/>
  <c r="AW1024" i="7"/>
  <c r="AW1025" i="7"/>
  <c r="AW1026" i="7"/>
  <c r="AW1027" i="7"/>
  <c r="AW1028" i="7"/>
  <c r="AW1029" i="7"/>
  <c r="AW1030" i="7"/>
  <c r="AW1031" i="7"/>
  <c r="AW1032" i="7"/>
  <c r="AW1033" i="7"/>
  <c r="AW1034" i="7"/>
  <c r="AW1035" i="7"/>
  <c r="AW1036" i="7"/>
  <c r="AW1037" i="7"/>
  <c r="AW1038" i="7"/>
  <c r="AW1039" i="7"/>
  <c r="AW1040" i="7"/>
  <c r="AW1041" i="7"/>
  <c r="AW1042" i="7"/>
  <c r="AW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6" i="7"/>
  <c r="AV137" i="7"/>
  <c r="AV138" i="7"/>
  <c r="AV139" i="7"/>
  <c r="AV140" i="7"/>
  <c r="AV141" i="7"/>
  <c r="AV142" i="7"/>
  <c r="AV143" i="7"/>
  <c r="AV144" i="7"/>
  <c r="AV145" i="7"/>
  <c r="AV146" i="7"/>
  <c r="AV147" i="7"/>
  <c r="AV148" i="7"/>
  <c r="AV149" i="7"/>
  <c r="AV150" i="7"/>
  <c r="AV151" i="7"/>
  <c r="AV152" i="7"/>
  <c r="AV153" i="7"/>
  <c r="AV154" i="7"/>
  <c r="AV155" i="7"/>
  <c r="AV156" i="7"/>
  <c r="AV157" i="7"/>
  <c r="AV158" i="7"/>
  <c r="AV159" i="7"/>
  <c r="AV160" i="7"/>
  <c r="AV161" i="7"/>
  <c r="AV162" i="7"/>
  <c r="AV163" i="7"/>
  <c r="AV164" i="7"/>
  <c r="AV165" i="7"/>
  <c r="AV166" i="7"/>
  <c r="AV167" i="7"/>
  <c r="AV168" i="7"/>
  <c r="AV169" i="7"/>
  <c r="AV170" i="7"/>
  <c r="AV171" i="7"/>
  <c r="AV172" i="7"/>
  <c r="AV173" i="7"/>
  <c r="AV174" i="7"/>
  <c r="AV175" i="7"/>
  <c r="AV176" i="7"/>
  <c r="AV177" i="7"/>
  <c r="AV178" i="7"/>
  <c r="AV179" i="7"/>
  <c r="AV180" i="7"/>
  <c r="AV181" i="7"/>
  <c r="AV182" i="7"/>
  <c r="AV183" i="7"/>
  <c r="AV184" i="7"/>
  <c r="AV185" i="7"/>
  <c r="AV186" i="7"/>
  <c r="AV187" i="7"/>
  <c r="AV188" i="7"/>
  <c r="AV189" i="7"/>
  <c r="AV190" i="7"/>
  <c r="AV191" i="7"/>
  <c r="AV192" i="7"/>
  <c r="AV193" i="7"/>
  <c r="AV194" i="7"/>
  <c r="AV195" i="7"/>
  <c r="AV196" i="7"/>
  <c r="AV197" i="7"/>
  <c r="AV198" i="7"/>
  <c r="AV199" i="7"/>
  <c r="AV200" i="7"/>
  <c r="AV201" i="7"/>
  <c r="AV202" i="7"/>
  <c r="AV203" i="7"/>
  <c r="AV204" i="7"/>
  <c r="AV205" i="7"/>
  <c r="AV206" i="7"/>
  <c r="AV207" i="7"/>
  <c r="AV208" i="7"/>
  <c r="AV209" i="7"/>
  <c r="AV210" i="7"/>
  <c r="AV211" i="7"/>
  <c r="AV212" i="7"/>
  <c r="AV213" i="7"/>
  <c r="AV214" i="7"/>
  <c r="AV215" i="7"/>
  <c r="AV216" i="7"/>
  <c r="AV217" i="7"/>
  <c r="AV218" i="7"/>
  <c r="AV219" i="7"/>
  <c r="AV220" i="7"/>
  <c r="AV221" i="7"/>
  <c r="AV222" i="7"/>
  <c r="AV223" i="7"/>
  <c r="AV224" i="7"/>
  <c r="AV225" i="7"/>
  <c r="AV226" i="7"/>
  <c r="AV227" i="7"/>
  <c r="AV228" i="7"/>
  <c r="AV229" i="7"/>
  <c r="AV230" i="7"/>
  <c r="AV231" i="7"/>
  <c r="AV232" i="7"/>
  <c r="AV233" i="7"/>
  <c r="AV234" i="7"/>
  <c r="AV235" i="7"/>
  <c r="AV236" i="7"/>
  <c r="AV237" i="7"/>
  <c r="AV238" i="7"/>
  <c r="AV239" i="7"/>
  <c r="AV240" i="7"/>
  <c r="AV241" i="7"/>
  <c r="AV242" i="7"/>
  <c r="AV243" i="7"/>
  <c r="AV244" i="7"/>
  <c r="AV245" i="7"/>
  <c r="AV246" i="7"/>
  <c r="AV247" i="7"/>
  <c r="AV248" i="7"/>
  <c r="AV249" i="7"/>
  <c r="AV250" i="7"/>
  <c r="AV251" i="7"/>
  <c r="AV252" i="7"/>
  <c r="AV253" i="7"/>
  <c r="AV254" i="7"/>
  <c r="AV255" i="7"/>
  <c r="AV256" i="7"/>
  <c r="AV257" i="7"/>
  <c r="AV258" i="7"/>
  <c r="AV259" i="7"/>
  <c r="AV260" i="7"/>
  <c r="AV261" i="7"/>
  <c r="AV262" i="7"/>
  <c r="AV263" i="7"/>
  <c r="AV264" i="7"/>
  <c r="AV265" i="7"/>
  <c r="AV266" i="7"/>
  <c r="AV267" i="7"/>
  <c r="AV268" i="7"/>
  <c r="AV269" i="7"/>
  <c r="AV270" i="7"/>
  <c r="AV271" i="7"/>
  <c r="AV272" i="7"/>
  <c r="AV273" i="7"/>
  <c r="AV274" i="7"/>
  <c r="AV275" i="7"/>
  <c r="AV276" i="7"/>
  <c r="AV277" i="7"/>
  <c r="AV278" i="7"/>
  <c r="AV279" i="7"/>
  <c r="AV280" i="7"/>
  <c r="AV281" i="7"/>
  <c r="AV282" i="7"/>
  <c r="AV283" i="7"/>
  <c r="AV284" i="7"/>
  <c r="AV285" i="7"/>
  <c r="AV286" i="7"/>
  <c r="AV287" i="7"/>
  <c r="AV288" i="7"/>
  <c r="AV289" i="7"/>
  <c r="AV290" i="7"/>
  <c r="AV291" i="7"/>
  <c r="AV292" i="7"/>
  <c r="AV293" i="7"/>
  <c r="AV294" i="7"/>
  <c r="AV295" i="7"/>
  <c r="AV296" i="7"/>
  <c r="AV297" i="7"/>
  <c r="AV298" i="7"/>
  <c r="AV299" i="7"/>
  <c r="AV300" i="7"/>
  <c r="AV301" i="7"/>
  <c r="AV302" i="7"/>
  <c r="AV303" i="7"/>
  <c r="AV304" i="7"/>
  <c r="AV305" i="7"/>
  <c r="AV306" i="7"/>
  <c r="AV307" i="7"/>
  <c r="AV308" i="7"/>
  <c r="AV309" i="7"/>
  <c r="AV310" i="7"/>
  <c r="AV311" i="7"/>
  <c r="AV312" i="7"/>
  <c r="AV313" i="7"/>
  <c r="AV314" i="7"/>
  <c r="AV315" i="7"/>
  <c r="AV316" i="7"/>
  <c r="AV317" i="7"/>
  <c r="AV318" i="7"/>
  <c r="AV319" i="7"/>
  <c r="AV320" i="7"/>
  <c r="AV321" i="7"/>
  <c r="AV322" i="7"/>
  <c r="AV323" i="7"/>
  <c r="AV324" i="7"/>
  <c r="AV325" i="7"/>
  <c r="AV326" i="7"/>
  <c r="AV327" i="7"/>
  <c r="AV328" i="7"/>
  <c r="AV329" i="7"/>
  <c r="AV330" i="7"/>
  <c r="AV331" i="7"/>
  <c r="AV332" i="7"/>
  <c r="AV333" i="7"/>
  <c r="AV334" i="7"/>
  <c r="AV335" i="7"/>
  <c r="AV336" i="7"/>
  <c r="AV337" i="7"/>
  <c r="AV338" i="7"/>
  <c r="AV339" i="7"/>
  <c r="AV340" i="7"/>
  <c r="AV341" i="7"/>
  <c r="AV342" i="7"/>
  <c r="AV343" i="7"/>
  <c r="AV344" i="7"/>
  <c r="AV345" i="7"/>
  <c r="AV346" i="7"/>
  <c r="AV347" i="7"/>
  <c r="AV348" i="7"/>
  <c r="AV349" i="7"/>
  <c r="AV350" i="7"/>
  <c r="AV351" i="7"/>
  <c r="AV352" i="7"/>
  <c r="AV353" i="7"/>
  <c r="AV354" i="7"/>
  <c r="AV355" i="7"/>
  <c r="AV356" i="7"/>
  <c r="AV357" i="7"/>
  <c r="AV358" i="7"/>
  <c r="AV359" i="7"/>
  <c r="AV360" i="7"/>
  <c r="AV361" i="7"/>
  <c r="AV362" i="7"/>
  <c r="AV363" i="7"/>
  <c r="AV364" i="7"/>
  <c r="AV365" i="7"/>
  <c r="AV366" i="7"/>
  <c r="AV367" i="7"/>
  <c r="AV368" i="7"/>
  <c r="AV369" i="7"/>
  <c r="AV370" i="7"/>
  <c r="AV371" i="7"/>
  <c r="AV372" i="7"/>
  <c r="AV373" i="7"/>
  <c r="AV374" i="7"/>
  <c r="AV375" i="7"/>
  <c r="AV376" i="7"/>
  <c r="AV377" i="7"/>
  <c r="AV378" i="7"/>
  <c r="AV379" i="7"/>
  <c r="AV380" i="7"/>
  <c r="AV381" i="7"/>
  <c r="AV382" i="7"/>
  <c r="AV383" i="7"/>
  <c r="AV384" i="7"/>
  <c r="AV385" i="7"/>
  <c r="AV386" i="7"/>
  <c r="AV387" i="7"/>
  <c r="AV388" i="7"/>
  <c r="AV389" i="7"/>
  <c r="AV390" i="7"/>
  <c r="AV391" i="7"/>
  <c r="AV392" i="7"/>
  <c r="AV393" i="7"/>
  <c r="AV394" i="7"/>
  <c r="AV395" i="7"/>
  <c r="AV396" i="7"/>
  <c r="AV397" i="7"/>
  <c r="AV398" i="7"/>
  <c r="AV399" i="7"/>
  <c r="AV400" i="7"/>
  <c r="AV401" i="7"/>
  <c r="AV402" i="7"/>
  <c r="AV403" i="7"/>
  <c r="AV404" i="7"/>
  <c r="AV405" i="7"/>
  <c r="AV406" i="7"/>
  <c r="AV407" i="7"/>
  <c r="AV408" i="7"/>
  <c r="AV409" i="7"/>
  <c r="AV410" i="7"/>
  <c r="AV411" i="7"/>
  <c r="AV412" i="7"/>
  <c r="AV413" i="7"/>
  <c r="AV414" i="7"/>
  <c r="AV415" i="7"/>
  <c r="AV416" i="7"/>
  <c r="AV417" i="7"/>
  <c r="AV418" i="7"/>
  <c r="AV419" i="7"/>
  <c r="AV420" i="7"/>
  <c r="AV421" i="7"/>
  <c r="AV422" i="7"/>
  <c r="AV423" i="7"/>
  <c r="AV424" i="7"/>
  <c r="AV425" i="7"/>
  <c r="AV426" i="7"/>
  <c r="AV427" i="7"/>
  <c r="AV428" i="7"/>
  <c r="AV429" i="7"/>
  <c r="AV430" i="7"/>
  <c r="AV431" i="7"/>
  <c r="AV432" i="7"/>
  <c r="AV433" i="7"/>
  <c r="AV434" i="7"/>
  <c r="AV435" i="7"/>
  <c r="AV436" i="7"/>
  <c r="AV437" i="7"/>
  <c r="AV438" i="7"/>
  <c r="AV439" i="7"/>
  <c r="AV440" i="7"/>
  <c r="AV441" i="7"/>
  <c r="AV442" i="7"/>
  <c r="AV443" i="7"/>
  <c r="AV444" i="7"/>
  <c r="AV445" i="7"/>
  <c r="AV446" i="7"/>
  <c r="AV447" i="7"/>
  <c r="AV448" i="7"/>
  <c r="AV449" i="7"/>
  <c r="AV450" i="7"/>
  <c r="AV451" i="7"/>
  <c r="AV452" i="7"/>
  <c r="AV453" i="7"/>
  <c r="AV454" i="7"/>
  <c r="AV455" i="7"/>
  <c r="AV456" i="7"/>
  <c r="AV457" i="7"/>
  <c r="AV458" i="7"/>
  <c r="AV459" i="7"/>
  <c r="AV460" i="7"/>
  <c r="AV461" i="7"/>
  <c r="AV462" i="7"/>
  <c r="AV463" i="7"/>
  <c r="AV464" i="7"/>
  <c r="AV465" i="7"/>
  <c r="AV466" i="7"/>
  <c r="AV467" i="7"/>
  <c r="AV468" i="7"/>
  <c r="AV469" i="7"/>
  <c r="AV470" i="7"/>
  <c r="AV471" i="7"/>
  <c r="AV472" i="7"/>
  <c r="AV473" i="7"/>
  <c r="AV474" i="7"/>
  <c r="AV475" i="7"/>
  <c r="AV476" i="7"/>
  <c r="AV477" i="7"/>
  <c r="AV478" i="7"/>
  <c r="AV479" i="7"/>
  <c r="AV480" i="7"/>
  <c r="AV481" i="7"/>
  <c r="AV482" i="7"/>
  <c r="AV483" i="7"/>
  <c r="AV484" i="7"/>
  <c r="AV485" i="7"/>
  <c r="AV486" i="7"/>
  <c r="AV487" i="7"/>
  <c r="AV488" i="7"/>
  <c r="AV489" i="7"/>
  <c r="AV490" i="7"/>
  <c r="AV491" i="7"/>
  <c r="AV492" i="7"/>
  <c r="AV493" i="7"/>
  <c r="AV494" i="7"/>
  <c r="AV495" i="7"/>
  <c r="AV496" i="7"/>
  <c r="AV497" i="7"/>
  <c r="AV498" i="7"/>
  <c r="AV499" i="7"/>
  <c r="AV500" i="7"/>
  <c r="AV501" i="7"/>
  <c r="AV502" i="7"/>
  <c r="AV503" i="7"/>
  <c r="AV504" i="7"/>
  <c r="AV505" i="7"/>
  <c r="AV506" i="7"/>
  <c r="AV507" i="7"/>
  <c r="AV508" i="7"/>
  <c r="AV509" i="7"/>
  <c r="AV510" i="7"/>
  <c r="AV511" i="7"/>
  <c r="AV512" i="7"/>
  <c r="AV513" i="7"/>
  <c r="AV514" i="7"/>
  <c r="AV515" i="7"/>
  <c r="AV516" i="7"/>
  <c r="AV517" i="7"/>
  <c r="AV518" i="7"/>
  <c r="AV519" i="7"/>
  <c r="AV520" i="7"/>
  <c r="AV521" i="7"/>
  <c r="AV522" i="7"/>
  <c r="AV523" i="7"/>
  <c r="AV524" i="7"/>
  <c r="AV525" i="7"/>
  <c r="AV526" i="7"/>
  <c r="AV527" i="7"/>
  <c r="AV528" i="7"/>
  <c r="AV529" i="7"/>
  <c r="AV530" i="7"/>
  <c r="AV531" i="7"/>
  <c r="AV532" i="7"/>
  <c r="AV533" i="7"/>
  <c r="AV534" i="7"/>
  <c r="AV535" i="7"/>
  <c r="AV536" i="7"/>
  <c r="AV537" i="7"/>
  <c r="AV538" i="7"/>
  <c r="AV539" i="7"/>
  <c r="AV540" i="7"/>
  <c r="AV541" i="7"/>
  <c r="AV542" i="7"/>
  <c r="AV543" i="7"/>
  <c r="AV544" i="7"/>
  <c r="AV545" i="7"/>
  <c r="AV546" i="7"/>
  <c r="AV547" i="7"/>
  <c r="AV548" i="7"/>
  <c r="AV549" i="7"/>
  <c r="AV550" i="7"/>
  <c r="AV551" i="7"/>
  <c r="AV552" i="7"/>
  <c r="AV553" i="7"/>
  <c r="AV554" i="7"/>
  <c r="AV555" i="7"/>
  <c r="AV556" i="7"/>
  <c r="AV557" i="7"/>
  <c r="AV558" i="7"/>
  <c r="AV559" i="7"/>
  <c r="AV560" i="7"/>
  <c r="AV561" i="7"/>
  <c r="AV562" i="7"/>
  <c r="AV563" i="7"/>
  <c r="AV564" i="7"/>
  <c r="AV565" i="7"/>
  <c r="AV566" i="7"/>
  <c r="AV567" i="7"/>
  <c r="AV568" i="7"/>
  <c r="AV569" i="7"/>
  <c r="AV570" i="7"/>
  <c r="AV571" i="7"/>
  <c r="AV572" i="7"/>
  <c r="AV573" i="7"/>
  <c r="AV574" i="7"/>
  <c r="AV575" i="7"/>
  <c r="AV576" i="7"/>
  <c r="AV577" i="7"/>
  <c r="AV578" i="7"/>
  <c r="AV579" i="7"/>
  <c r="AV580" i="7"/>
  <c r="AV581" i="7"/>
  <c r="AV582" i="7"/>
  <c r="AV583" i="7"/>
  <c r="AV584" i="7"/>
  <c r="AV585" i="7"/>
  <c r="AV586" i="7"/>
  <c r="AV587" i="7"/>
  <c r="AV588" i="7"/>
  <c r="AV589" i="7"/>
  <c r="AV590" i="7"/>
  <c r="AV591" i="7"/>
  <c r="AV592" i="7"/>
  <c r="AV593" i="7"/>
  <c r="AV594" i="7"/>
  <c r="AV595" i="7"/>
  <c r="AV596" i="7"/>
  <c r="AV597" i="7"/>
  <c r="AV598" i="7"/>
  <c r="AV599" i="7"/>
  <c r="AV600" i="7"/>
  <c r="AV601" i="7"/>
  <c r="AV602" i="7"/>
  <c r="AV603" i="7"/>
  <c r="AV604" i="7"/>
  <c r="AV605" i="7"/>
  <c r="AV606" i="7"/>
  <c r="AV607" i="7"/>
  <c r="AV608" i="7"/>
  <c r="AV609" i="7"/>
  <c r="AV610" i="7"/>
  <c r="AV611" i="7"/>
  <c r="AV612" i="7"/>
  <c r="AV613" i="7"/>
  <c r="AV614" i="7"/>
  <c r="AV615" i="7"/>
  <c r="AV616" i="7"/>
  <c r="AV617" i="7"/>
  <c r="AV618" i="7"/>
  <c r="AV619" i="7"/>
  <c r="AV620" i="7"/>
  <c r="AV621" i="7"/>
  <c r="AV622" i="7"/>
  <c r="AV623" i="7"/>
  <c r="AV624" i="7"/>
  <c r="AV625" i="7"/>
  <c r="AV626" i="7"/>
  <c r="AV627" i="7"/>
  <c r="AV628" i="7"/>
  <c r="AV629" i="7"/>
  <c r="AV630" i="7"/>
  <c r="AV631" i="7"/>
  <c r="AV632" i="7"/>
  <c r="AV633" i="7"/>
  <c r="AV634" i="7"/>
  <c r="AV635" i="7"/>
  <c r="AV636" i="7"/>
  <c r="AV637" i="7"/>
  <c r="AV638" i="7"/>
  <c r="AV639" i="7"/>
  <c r="AV640" i="7"/>
  <c r="AV641" i="7"/>
  <c r="AV642" i="7"/>
  <c r="AV643" i="7"/>
  <c r="AV644" i="7"/>
  <c r="AV645" i="7"/>
  <c r="AV646" i="7"/>
  <c r="AV647" i="7"/>
  <c r="AV648" i="7"/>
  <c r="AV649" i="7"/>
  <c r="AV650" i="7"/>
  <c r="AV651" i="7"/>
  <c r="AV652" i="7"/>
  <c r="AV653" i="7"/>
  <c r="AV654" i="7"/>
  <c r="AV655" i="7"/>
  <c r="AV656" i="7"/>
  <c r="AV657" i="7"/>
  <c r="AV658" i="7"/>
  <c r="AV659" i="7"/>
  <c r="AV660" i="7"/>
  <c r="AV661" i="7"/>
  <c r="AV662" i="7"/>
  <c r="AV663" i="7"/>
  <c r="AV664" i="7"/>
  <c r="AV665" i="7"/>
  <c r="AV666" i="7"/>
  <c r="AV667" i="7"/>
  <c r="AV668" i="7"/>
  <c r="AV669" i="7"/>
  <c r="AV670" i="7"/>
  <c r="AV671" i="7"/>
  <c r="AV672" i="7"/>
  <c r="AV673" i="7"/>
  <c r="AV674" i="7"/>
  <c r="AV675" i="7"/>
  <c r="AV676" i="7"/>
  <c r="AV677" i="7"/>
  <c r="AV678" i="7"/>
  <c r="AV679" i="7"/>
  <c r="AV680" i="7"/>
  <c r="AV681" i="7"/>
  <c r="AV682" i="7"/>
  <c r="AV683" i="7"/>
  <c r="AV684" i="7"/>
  <c r="AV685" i="7"/>
  <c r="AV686" i="7"/>
  <c r="AV687" i="7"/>
  <c r="AV688" i="7"/>
  <c r="AV689" i="7"/>
  <c r="AV690" i="7"/>
  <c r="AV691" i="7"/>
  <c r="AV692" i="7"/>
  <c r="AV693" i="7"/>
  <c r="AV694" i="7"/>
  <c r="AV695" i="7"/>
  <c r="AV696" i="7"/>
  <c r="AV697" i="7"/>
  <c r="AV698" i="7"/>
  <c r="AV699" i="7"/>
  <c r="AV700" i="7"/>
  <c r="AV701" i="7"/>
  <c r="AV702" i="7"/>
  <c r="AV703" i="7"/>
  <c r="AV704" i="7"/>
  <c r="AV705" i="7"/>
  <c r="AV706" i="7"/>
  <c r="AV707" i="7"/>
  <c r="AV708" i="7"/>
  <c r="AV709" i="7"/>
  <c r="AV710" i="7"/>
  <c r="AV711" i="7"/>
  <c r="AV712" i="7"/>
  <c r="AV713" i="7"/>
  <c r="AV714" i="7"/>
  <c r="AV715" i="7"/>
  <c r="AV716" i="7"/>
  <c r="AV717" i="7"/>
  <c r="AV718" i="7"/>
  <c r="AV719" i="7"/>
  <c r="AV720" i="7"/>
  <c r="AV721" i="7"/>
  <c r="AV722" i="7"/>
  <c r="AV723" i="7"/>
  <c r="AV724" i="7"/>
  <c r="AV725" i="7"/>
  <c r="AV726" i="7"/>
  <c r="AV727" i="7"/>
  <c r="AV728" i="7"/>
  <c r="AV729" i="7"/>
  <c r="AV730" i="7"/>
  <c r="AV731" i="7"/>
  <c r="AV732" i="7"/>
  <c r="AV733" i="7"/>
  <c r="AV734" i="7"/>
  <c r="AV735" i="7"/>
  <c r="AV736" i="7"/>
  <c r="AV737" i="7"/>
  <c r="AV738" i="7"/>
  <c r="AV739" i="7"/>
  <c r="AV740" i="7"/>
  <c r="AV741" i="7"/>
  <c r="AV742" i="7"/>
  <c r="AV743" i="7"/>
  <c r="AV744" i="7"/>
  <c r="AV745" i="7"/>
  <c r="AV746" i="7"/>
  <c r="AV747" i="7"/>
  <c r="AV748" i="7"/>
  <c r="AV749" i="7"/>
  <c r="AV750" i="7"/>
  <c r="AV751" i="7"/>
  <c r="AV752" i="7"/>
  <c r="AV753" i="7"/>
  <c r="AV754" i="7"/>
  <c r="AV755" i="7"/>
  <c r="AV756" i="7"/>
  <c r="AV757" i="7"/>
  <c r="AV758" i="7"/>
  <c r="AV759" i="7"/>
  <c r="AV760" i="7"/>
  <c r="AV761" i="7"/>
  <c r="AV762" i="7"/>
  <c r="AV763" i="7"/>
  <c r="AV764" i="7"/>
  <c r="AV765" i="7"/>
  <c r="AV766" i="7"/>
  <c r="AV767" i="7"/>
  <c r="AV768" i="7"/>
  <c r="AV769" i="7"/>
  <c r="AV770" i="7"/>
  <c r="AV771" i="7"/>
  <c r="AV772" i="7"/>
  <c r="AV773" i="7"/>
  <c r="AV774" i="7"/>
  <c r="AV775" i="7"/>
  <c r="AV776" i="7"/>
  <c r="AV777" i="7"/>
  <c r="AV778" i="7"/>
  <c r="AV779" i="7"/>
  <c r="AV780" i="7"/>
  <c r="AV781" i="7"/>
  <c r="AV782" i="7"/>
  <c r="AV783" i="7"/>
  <c r="AV784" i="7"/>
  <c r="AV785" i="7"/>
  <c r="AV786" i="7"/>
  <c r="AV787" i="7"/>
  <c r="AV788" i="7"/>
  <c r="AV789" i="7"/>
  <c r="AV790" i="7"/>
  <c r="AV791" i="7"/>
  <c r="AV792" i="7"/>
  <c r="AV793" i="7"/>
  <c r="AV794" i="7"/>
  <c r="AV795" i="7"/>
  <c r="AV796" i="7"/>
  <c r="AV797" i="7"/>
  <c r="AV798" i="7"/>
  <c r="AV799" i="7"/>
  <c r="AV800" i="7"/>
  <c r="AV801" i="7"/>
  <c r="AV802" i="7"/>
  <c r="AV803" i="7"/>
  <c r="AV804" i="7"/>
  <c r="AV805" i="7"/>
  <c r="AV806" i="7"/>
  <c r="AV807" i="7"/>
  <c r="AV808" i="7"/>
  <c r="AV809" i="7"/>
  <c r="AV810" i="7"/>
  <c r="AV811" i="7"/>
  <c r="AV812" i="7"/>
  <c r="AV813" i="7"/>
  <c r="AV814" i="7"/>
  <c r="AV815" i="7"/>
  <c r="AV816" i="7"/>
  <c r="AV817" i="7"/>
  <c r="AV818" i="7"/>
  <c r="AV819" i="7"/>
  <c r="AV820" i="7"/>
  <c r="AV821" i="7"/>
  <c r="AV822" i="7"/>
  <c r="AV823" i="7"/>
  <c r="AV824" i="7"/>
  <c r="AV825" i="7"/>
  <c r="AV826" i="7"/>
  <c r="AV827" i="7"/>
  <c r="AV828" i="7"/>
  <c r="AV829" i="7"/>
  <c r="AV830" i="7"/>
  <c r="AV831" i="7"/>
  <c r="AV832" i="7"/>
  <c r="AV833" i="7"/>
  <c r="AV834" i="7"/>
  <c r="AV835" i="7"/>
  <c r="AV836" i="7"/>
  <c r="AV837" i="7"/>
  <c r="AV838" i="7"/>
  <c r="AV839" i="7"/>
  <c r="AV840" i="7"/>
  <c r="AV841" i="7"/>
  <c r="AV842" i="7"/>
  <c r="AV843" i="7"/>
  <c r="AV844" i="7"/>
  <c r="AV845" i="7"/>
  <c r="AV846" i="7"/>
  <c r="AV847" i="7"/>
  <c r="AV848" i="7"/>
  <c r="AV849" i="7"/>
  <c r="AV850" i="7"/>
  <c r="AV851" i="7"/>
  <c r="AV852" i="7"/>
  <c r="AV853" i="7"/>
  <c r="AV854" i="7"/>
  <c r="AV855" i="7"/>
  <c r="AV856" i="7"/>
  <c r="AV857" i="7"/>
  <c r="AV858" i="7"/>
  <c r="AV859" i="7"/>
  <c r="AV860" i="7"/>
  <c r="AV861" i="7"/>
  <c r="AV862" i="7"/>
  <c r="AV863" i="7"/>
  <c r="AV864" i="7"/>
  <c r="AV865" i="7"/>
  <c r="AV866" i="7"/>
  <c r="AV867" i="7"/>
  <c r="AV868" i="7"/>
  <c r="AV869" i="7"/>
  <c r="AV870" i="7"/>
  <c r="AV871" i="7"/>
  <c r="AV872" i="7"/>
  <c r="AV873" i="7"/>
  <c r="AV874" i="7"/>
  <c r="AV875" i="7"/>
  <c r="AV876" i="7"/>
  <c r="AV877" i="7"/>
  <c r="AV878" i="7"/>
  <c r="AV879" i="7"/>
  <c r="AV880" i="7"/>
  <c r="AV881" i="7"/>
  <c r="AV882" i="7"/>
  <c r="AV883" i="7"/>
  <c r="AV884" i="7"/>
  <c r="AV885" i="7"/>
  <c r="AV886" i="7"/>
  <c r="AV887" i="7"/>
  <c r="AV888" i="7"/>
  <c r="AV889" i="7"/>
  <c r="AV890" i="7"/>
  <c r="AV891" i="7"/>
  <c r="AV892" i="7"/>
  <c r="AV893" i="7"/>
  <c r="AV894" i="7"/>
  <c r="AV895" i="7"/>
  <c r="AV896" i="7"/>
  <c r="AV897" i="7"/>
  <c r="AV898" i="7"/>
  <c r="AV899" i="7"/>
  <c r="AV900" i="7"/>
  <c r="AV901" i="7"/>
  <c r="AV902" i="7"/>
  <c r="AV903" i="7"/>
  <c r="AV904" i="7"/>
  <c r="AV905" i="7"/>
  <c r="AV906" i="7"/>
  <c r="AV907" i="7"/>
  <c r="AV908" i="7"/>
  <c r="AV909" i="7"/>
  <c r="AV910" i="7"/>
  <c r="AV911" i="7"/>
  <c r="AV912" i="7"/>
  <c r="AV913" i="7"/>
  <c r="AV914" i="7"/>
  <c r="AV915" i="7"/>
  <c r="AV916" i="7"/>
  <c r="AV917" i="7"/>
  <c r="AV918" i="7"/>
  <c r="AV919" i="7"/>
  <c r="AV920" i="7"/>
  <c r="AV921" i="7"/>
  <c r="AV922" i="7"/>
  <c r="AV923" i="7"/>
  <c r="AV924" i="7"/>
  <c r="AV925" i="7"/>
  <c r="AV926" i="7"/>
  <c r="AV927" i="7"/>
  <c r="AV928" i="7"/>
  <c r="AV929" i="7"/>
  <c r="AV930" i="7"/>
  <c r="AV931" i="7"/>
  <c r="AV932" i="7"/>
  <c r="AV933" i="7"/>
  <c r="AV934" i="7"/>
  <c r="AV935" i="7"/>
  <c r="AV936" i="7"/>
  <c r="AV937" i="7"/>
  <c r="AV938" i="7"/>
  <c r="AV939" i="7"/>
  <c r="AV940" i="7"/>
  <c r="AV941" i="7"/>
  <c r="AV942" i="7"/>
  <c r="AV943" i="7"/>
  <c r="AV944" i="7"/>
  <c r="AV945" i="7"/>
  <c r="AV946" i="7"/>
  <c r="AV947" i="7"/>
  <c r="AV948" i="7"/>
  <c r="AV949" i="7"/>
  <c r="AV950" i="7"/>
  <c r="AV951" i="7"/>
  <c r="AV952" i="7"/>
  <c r="AV953" i="7"/>
  <c r="AV954" i="7"/>
  <c r="AV955" i="7"/>
  <c r="AV956" i="7"/>
  <c r="AV957" i="7"/>
  <c r="AV958" i="7"/>
  <c r="AV959" i="7"/>
  <c r="AV960" i="7"/>
  <c r="AV961" i="7"/>
  <c r="AV962" i="7"/>
  <c r="AV963" i="7"/>
  <c r="AV964" i="7"/>
  <c r="AV965" i="7"/>
  <c r="AV966" i="7"/>
  <c r="AV967" i="7"/>
  <c r="AV968" i="7"/>
  <c r="AV969" i="7"/>
  <c r="AV970" i="7"/>
  <c r="AV971" i="7"/>
  <c r="AV972" i="7"/>
  <c r="AV973" i="7"/>
  <c r="AV974" i="7"/>
  <c r="AV975" i="7"/>
  <c r="AV976" i="7"/>
  <c r="AV977" i="7"/>
  <c r="AV978" i="7"/>
  <c r="AV979" i="7"/>
  <c r="AV980" i="7"/>
  <c r="AV981" i="7"/>
  <c r="AV982" i="7"/>
  <c r="AV983" i="7"/>
  <c r="AV984" i="7"/>
  <c r="AV985" i="7"/>
  <c r="AV986" i="7"/>
  <c r="AV987" i="7"/>
  <c r="AV988" i="7"/>
  <c r="AV989" i="7"/>
  <c r="AV990" i="7"/>
  <c r="AV991" i="7"/>
  <c r="AV992" i="7"/>
  <c r="AV993" i="7"/>
  <c r="AV994" i="7"/>
  <c r="AV995" i="7"/>
  <c r="AV996" i="7"/>
  <c r="AV997" i="7"/>
  <c r="AV998" i="7"/>
  <c r="AV999" i="7"/>
  <c r="AV1000" i="7"/>
  <c r="AV1001" i="7"/>
  <c r="AV1002" i="7"/>
  <c r="AV1003" i="7"/>
  <c r="AV1004" i="7"/>
  <c r="AV1005" i="7"/>
  <c r="AV1006" i="7"/>
  <c r="AV1007" i="7"/>
  <c r="AV1008" i="7"/>
  <c r="AV1009" i="7"/>
  <c r="AV1010" i="7"/>
  <c r="AV1011" i="7"/>
  <c r="AV3" i="7"/>
  <c r="AU4" i="7"/>
  <c r="AU5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54" i="7"/>
  <c r="AU55" i="7"/>
  <c r="AU56" i="7"/>
  <c r="AU57" i="7"/>
  <c r="AU58" i="7"/>
  <c r="AU59" i="7"/>
  <c r="AU60" i="7"/>
  <c r="AU61" i="7"/>
  <c r="AU62" i="7"/>
  <c r="AU63" i="7"/>
  <c r="AU64" i="7"/>
  <c r="AU65" i="7"/>
  <c r="AU66" i="7"/>
  <c r="AU67" i="7"/>
  <c r="AU68" i="7"/>
  <c r="AU69" i="7"/>
  <c r="AU70" i="7"/>
  <c r="AU71" i="7"/>
  <c r="AU72" i="7"/>
  <c r="AU73" i="7"/>
  <c r="AU74" i="7"/>
  <c r="AU75" i="7"/>
  <c r="AU76" i="7"/>
  <c r="AU77" i="7"/>
  <c r="AU78" i="7"/>
  <c r="AU79" i="7"/>
  <c r="AU80" i="7"/>
  <c r="AU81" i="7"/>
  <c r="AU82" i="7"/>
  <c r="AU83" i="7"/>
  <c r="AU84" i="7"/>
  <c r="AU85" i="7"/>
  <c r="AU86" i="7"/>
  <c r="AU87" i="7"/>
  <c r="AU88" i="7"/>
  <c r="AU89" i="7"/>
  <c r="AU90" i="7"/>
  <c r="AU91" i="7"/>
  <c r="AU92" i="7"/>
  <c r="AU93" i="7"/>
  <c r="AU94" i="7"/>
  <c r="AU95" i="7"/>
  <c r="AU96" i="7"/>
  <c r="AU97" i="7"/>
  <c r="AU98" i="7"/>
  <c r="AU99" i="7"/>
  <c r="AU100" i="7"/>
  <c r="AU101" i="7"/>
  <c r="AU102" i="7"/>
  <c r="AU103" i="7"/>
  <c r="AU104" i="7"/>
  <c r="AU105" i="7"/>
  <c r="AU106" i="7"/>
  <c r="AU107" i="7"/>
  <c r="AU108" i="7"/>
  <c r="AU109" i="7"/>
  <c r="AU110" i="7"/>
  <c r="AU111" i="7"/>
  <c r="AU112" i="7"/>
  <c r="AU113" i="7"/>
  <c r="AU114" i="7"/>
  <c r="AU115" i="7"/>
  <c r="AU116" i="7"/>
  <c r="AU117" i="7"/>
  <c r="AU118" i="7"/>
  <c r="AU119" i="7"/>
  <c r="AU120" i="7"/>
  <c r="AU121" i="7"/>
  <c r="AU122" i="7"/>
  <c r="AU123" i="7"/>
  <c r="AU124" i="7"/>
  <c r="AU125" i="7"/>
  <c r="AU126" i="7"/>
  <c r="AU127" i="7"/>
  <c r="AU128" i="7"/>
  <c r="AU129" i="7"/>
  <c r="AU130" i="7"/>
  <c r="AU131" i="7"/>
  <c r="AU132" i="7"/>
  <c r="AU133" i="7"/>
  <c r="AU134" i="7"/>
  <c r="AU135" i="7"/>
  <c r="AU136" i="7"/>
  <c r="AU137" i="7"/>
  <c r="AU138" i="7"/>
  <c r="AU139" i="7"/>
  <c r="AU140" i="7"/>
  <c r="AU141" i="7"/>
  <c r="AU142" i="7"/>
  <c r="AU143" i="7"/>
  <c r="AU144" i="7"/>
  <c r="AU145" i="7"/>
  <c r="AU146" i="7"/>
  <c r="AU147" i="7"/>
  <c r="AU148" i="7"/>
  <c r="AU149" i="7"/>
  <c r="AU150" i="7"/>
  <c r="AU151" i="7"/>
  <c r="AU152" i="7"/>
  <c r="AU153" i="7"/>
  <c r="AU154" i="7"/>
  <c r="AU155" i="7"/>
  <c r="AU156" i="7"/>
  <c r="AU157" i="7"/>
  <c r="AU158" i="7"/>
  <c r="AU159" i="7"/>
  <c r="AU160" i="7"/>
  <c r="AU161" i="7"/>
  <c r="AU162" i="7"/>
  <c r="AU163" i="7"/>
  <c r="AU164" i="7"/>
  <c r="AU165" i="7"/>
  <c r="AU166" i="7"/>
  <c r="AU167" i="7"/>
  <c r="AU168" i="7"/>
  <c r="AU169" i="7"/>
  <c r="AU170" i="7"/>
  <c r="AU171" i="7"/>
  <c r="AU172" i="7"/>
  <c r="AU173" i="7"/>
  <c r="AU174" i="7"/>
  <c r="AU175" i="7"/>
  <c r="AU176" i="7"/>
  <c r="AU177" i="7"/>
  <c r="AU178" i="7"/>
  <c r="AU179" i="7"/>
  <c r="AU180" i="7"/>
  <c r="AU181" i="7"/>
  <c r="AU182" i="7"/>
  <c r="AU183" i="7"/>
  <c r="AU184" i="7"/>
  <c r="AU185" i="7"/>
  <c r="AU186" i="7"/>
  <c r="AU187" i="7"/>
  <c r="AU188" i="7"/>
  <c r="AU189" i="7"/>
  <c r="AU190" i="7"/>
  <c r="AU191" i="7"/>
  <c r="AU192" i="7"/>
  <c r="AU193" i="7"/>
  <c r="AU194" i="7"/>
  <c r="AU195" i="7"/>
  <c r="AU196" i="7"/>
  <c r="AU197" i="7"/>
  <c r="AU198" i="7"/>
  <c r="AU199" i="7"/>
  <c r="AU200" i="7"/>
  <c r="AU201" i="7"/>
  <c r="AU202" i="7"/>
  <c r="AU203" i="7"/>
  <c r="AU204" i="7"/>
  <c r="AU205" i="7"/>
  <c r="AU206" i="7"/>
  <c r="AU207" i="7"/>
  <c r="AU208" i="7"/>
  <c r="AU209" i="7"/>
  <c r="AU210" i="7"/>
  <c r="AU211" i="7"/>
  <c r="AU212" i="7"/>
  <c r="AU213" i="7"/>
  <c r="AU214" i="7"/>
  <c r="AU215" i="7"/>
  <c r="AU216" i="7"/>
  <c r="AU217" i="7"/>
  <c r="AU218" i="7"/>
  <c r="AU219" i="7"/>
  <c r="AU220" i="7"/>
  <c r="AU221" i="7"/>
  <c r="AU222" i="7"/>
  <c r="AU223" i="7"/>
  <c r="AU224" i="7"/>
  <c r="AU225" i="7"/>
  <c r="AU226" i="7"/>
  <c r="AU227" i="7"/>
  <c r="AU228" i="7"/>
  <c r="AU229" i="7"/>
  <c r="AU230" i="7"/>
  <c r="AU231" i="7"/>
  <c r="AU232" i="7"/>
  <c r="AU233" i="7"/>
  <c r="AU234" i="7"/>
  <c r="AU235" i="7"/>
  <c r="AU236" i="7"/>
  <c r="AU237" i="7"/>
  <c r="AU238" i="7"/>
  <c r="AU239" i="7"/>
  <c r="AU240" i="7"/>
  <c r="AU241" i="7"/>
  <c r="AU242" i="7"/>
  <c r="AU243" i="7"/>
  <c r="AU244" i="7"/>
  <c r="AU245" i="7"/>
  <c r="AU246" i="7"/>
  <c r="AU247" i="7"/>
  <c r="AU248" i="7"/>
  <c r="AU249" i="7"/>
  <c r="AU250" i="7"/>
  <c r="AU251" i="7"/>
  <c r="AU252" i="7"/>
  <c r="AU253" i="7"/>
  <c r="AU254" i="7"/>
  <c r="AU255" i="7"/>
  <c r="AU256" i="7"/>
  <c r="AU257" i="7"/>
  <c r="AU258" i="7"/>
  <c r="AU259" i="7"/>
  <c r="AU260" i="7"/>
  <c r="AU261" i="7"/>
  <c r="AU262" i="7"/>
  <c r="AU263" i="7"/>
  <c r="AU264" i="7"/>
  <c r="AU265" i="7"/>
  <c r="AU266" i="7"/>
  <c r="AU267" i="7"/>
  <c r="AU268" i="7"/>
  <c r="AU269" i="7"/>
  <c r="AU270" i="7"/>
  <c r="AU271" i="7"/>
  <c r="AU272" i="7"/>
  <c r="AU273" i="7"/>
  <c r="AU274" i="7"/>
  <c r="AU275" i="7"/>
  <c r="AU276" i="7"/>
  <c r="AU277" i="7"/>
  <c r="AU278" i="7"/>
  <c r="AU279" i="7"/>
  <c r="AU280" i="7"/>
  <c r="AU281" i="7"/>
  <c r="AU282" i="7"/>
  <c r="AU283" i="7"/>
  <c r="AU284" i="7"/>
  <c r="AU285" i="7"/>
  <c r="AU286" i="7"/>
  <c r="AU287" i="7"/>
  <c r="AU288" i="7"/>
  <c r="AU289" i="7"/>
  <c r="AU290" i="7"/>
  <c r="AU291" i="7"/>
  <c r="AU292" i="7"/>
  <c r="AU293" i="7"/>
  <c r="AU294" i="7"/>
  <c r="AU295" i="7"/>
  <c r="AU296" i="7"/>
  <c r="AU297" i="7"/>
  <c r="AU298" i="7"/>
  <c r="AU299" i="7"/>
  <c r="AU300" i="7"/>
  <c r="AU301" i="7"/>
  <c r="AU302" i="7"/>
  <c r="AU303" i="7"/>
  <c r="AU304" i="7"/>
  <c r="AU305" i="7"/>
  <c r="AU306" i="7"/>
  <c r="AU307" i="7"/>
  <c r="AU308" i="7"/>
  <c r="AU309" i="7"/>
  <c r="AU310" i="7"/>
  <c r="AU311" i="7"/>
  <c r="AU312" i="7"/>
  <c r="AU313" i="7"/>
  <c r="AU314" i="7"/>
  <c r="AU315" i="7"/>
  <c r="AU316" i="7"/>
  <c r="AU317" i="7"/>
  <c r="AU318" i="7"/>
  <c r="AU319" i="7"/>
  <c r="AU320" i="7"/>
  <c r="AU321" i="7"/>
  <c r="AU322" i="7"/>
  <c r="AU323" i="7"/>
  <c r="AU324" i="7"/>
  <c r="AU325" i="7"/>
  <c r="AU326" i="7"/>
  <c r="AU327" i="7"/>
  <c r="AU328" i="7"/>
  <c r="AU329" i="7"/>
  <c r="AU330" i="7"/>
  <c r="AU331" i="7"/>
  <c r="AU332" i="7"/>
  <c r="AU333" i="7"/>
  <c r="AU334" i="7"/>
  <c r="AU335" i="7"/>
  <c r="AU336" i="7"/>
  <c r="AU337" i="7"/>
  <c r="AU338" i="7"/>
  <c r="AU339" i="7"/>
  <c r="AU340" i="7"/>
  <c r="AU341" i="7"/>
  <c r="AU342" i="7"/>
  <c r="AU343" i="7"/>
  <c r="AU344" i="7"/>
  <c r="AU345" i="7"/>
  <c r="AU346" i="7"/>
  <c r="AU347" i="7"/>
  <c r="AU348" i="7"/>
  <c r="AU349" i="7"/>
  <c r="AU350" i="7"/>
  <c r="AU351" i="7"/>
  <c r="AU352" i="7"/>
  <c r="AU353" i="7"/>
  <c r="AU354" i="7"/>
  <c r="AU355" i="7"/>
  <c r="AU356" i="7"/>
  <c r="AU357" i="7"/>
  <c r="AU358" i="7"/>
  <c r="AU359" i="7"/>
  <c r="AU360" i="7"/>
  <c r="AU361" i="7"/>
  <c r="AU362" i="7"/>
  <c r="AU363" i="7"/>
  <c r="AU364" i="7"/>
  <c r="AU365" i="7"/>
  <c r="AU366" i="7"/>
  <c r="AU367" i="7"/>
  <c r="AU368" i="7"/>
  <c r="AU369" i="7"/>
  <c r="AU370" i="7"/>
  <c r="AU371" i="7"/>
  <c r="AU372" i="7"/>
  <c r="AU373" i="7"/>
  <c r="AU374" i="7"/>
  <c r="AU375" i="7"/>
  <c r="AU376" i="7"/>
  <c r="AU377" i="7"/>
  <c r="AU378" i="7"/>
  <c r="AU379" i="7"/>
  <c r="AU380" i="7"/>
  <c r="AU381" i="7"/>
  <c r="AU382" i="7"/>
  <c r="AU383" i="7"/>
  <c r="AU384" i="7"/>
  <c r="AU385" i="7"/>
  <c r="AU386" i="7"/>
  <c r="AU387" i="7"/>
  <c r="AU388" i="7"/>
  <c r="AU389" i="7"/>
  <c r="AU390" i="7"/>
  <c r="AU391" i="7"/>
  <c r="AU392" i="7"/>
  <c r="AU393" i="7"/>
  <c r="AU394" i="7"/>
  <c r="AU395" i="7"/>
  <c r="AU396" i="7"/>
  <c r="AU397" i="7"/>
  <c r="AU398" i="7"/>
  <c r="AU399" i="7"/>
  <c r="AU400" i="7"/>
  <c r="AU401" i="7"/>
  <c r="AU402" i="7"/>
  <c r="AU403" i="7"/>
  <c r="AU404" i="7"/>
  <c r="AU405" i="7"/>
  <c r="AU406" i="7"/>
  <c r="AU407" i="7"/>
  <c r="AU408" i="7"/>
  <c r="AU409" i="7"/>
  <c r="AU410" i="7"/>
  <c r="AU411" i="7"/>
  <c r="AU412" i="7"/>
  <c r="AU413" i="7"/>
  <c r="AU414" i="7"/>
  <c r="AU415" i="7"/>
  <c r="AU416" i="7"/>
  <c r="AU417" i="7"/>
  <c r="AU418" i="7"/>
  <c r="AU419" i="7"/>
  <c r="AU420" i="7"/>
  <c r="AU421" i="7"/>
  <c r="AU422" i="7"/>
  <c r="AU423" i="7"/>
  <c r="AU424" i="7"/>
  <c r="AU425" i="7"/>
  <c r="AU426" i="7"/>
  <c r="AU427" i="7"/>
  <c r="AU428" i="7"/>
  <c r="AU429" i="7"/>
  <c r="AU430" i="7"/>
  <c r="AU431" i="7"/>
  <c r="AU432" i="7"/>
  <c r="AU433" i="7"/>
  <c r="AU434" i="7"/>
  <c r="AU435" i="7"/>
  <c r="AU436" i="7"/>
  <c r="AU437" i="7"/>
  <c r="AU438" i="7"/>
  <c r="AU439" i="7"/>
  <c r="AU440" i="7"/>
  <c r="AU441" i="7"/>
  <c r="AU442" i="7"/>
  <c r="AU443" i="7"/>
  <c r="AU444" i="7"/>
  <c r="AU445" i="7"/>
  <c r="AU446" i="7"/>
  <c r="AU447" i="7"/>
  <c r="AU448" i="7"/>
  <c r="AU449" i="7"/>
  <c r="AU450" i="7"/>
  <c r="AU451" i="7"/>
  <c r="AU452" i="7"/>
  <c r="AU453" i="7"/>
  <c r="AU454" i="7"/>
  <c r="AU455" i="7"/>
  <c r="AU456" i="7"/>
  <c r="AU457" i="7"/>
  <c r="AU458" i="7"/>
  <c r="AU459" i="7"/>
  <c r="AU460" i="7"/>
  <c r="AU461" i="7"/>
  <c r="AU462" i="7"/>
  <c r="AU463" i="7"/>
  <c r="AU464" i="7"/>
  <c r="AU465" i="7"/>
  <c r="AU466" i="7"/>
  <c r="AU467" i="7"/>
  <c r="AU468" i="7"/>
  <c r="AU469" i="7"/>
  <c r="AU470" i="7"/>
  <c r="AU471" i="7"/>
  <c r="AU472" i="7"/>
  <c r="AU473" i="7"/>
  <c r="AU474" i="7"/>
  <c r="AU475" i="7"/>
  <c r="AU476" i="7"/>
  <c r="AU477" i="7"/>
  <c r="AU478" i="7"/>
  <c r="AU479" i="7"/>
  <c r="AU480" i="7"/>
  <c r="AU481" i="7"/>
  <c r="AU482" i="7"/>
  <c r="AU483" i="7"/>
  <c r="AU484" i="7"/>
  <c r="AU485" i="7"/>
  <c r="AU486" i="7"/>
  <c r="AU487" i="7"/>
  <c r="AU488" i="7"/>
  <c r="AU489" i="7"/>
  <c r="AU490" i="7"/>
  <c r="AU491" i="7"/>
  <c r="AU492" i="7"/>
  <c r="AU493" i="7"/>
  <c r="AU494" i="7"/>
  <c r="AU495" i="7"/>
  <c r="AU496" i="7"/>
  <c r="AU497" i="7"/>
  <c r="AU498" i="7"/>
  <c r="AU499" i="7"/>
  <c r="AU500" i="7"/>
  <c r="AU501" i="7"/>
  <c r="AU502" i="7"/>
  <c r="AU503" i="7"/>
  <c r="AU504" i="7"/>
  <c r="AU505" i="7"/>
  <c r="AU506" i="7"/>
  <c r="AU507" i="7"/>
  <c r="AU508" i="7"/>
  <c r="AU509" i="7"/>
  <c r="AU510" i="7"/>
  <c r="AU511" i="7"/>
  <c r="AU512" i="7"/>
  <c r="AU513" i="7"/>
  <c r="AU514" i="7"/>
  <c r="AU515" i="7"/>
  <c r="AU516" i="7"/>
  <c r="AU517" i="7"/>
  <c r="AU518" i="7"/>
  <c r="AU519" i="7"/>
  <c r="AU520" i="7"/>
  <c r="AU521" i="7"/>
  <c r="AU522" i="7"/>
  <c r="AU523" i="7"/>
  <c r="AU524" i="7"/>
  <c r="AU525" i="7"/>
  <c r="AU526" i="7"/>
  <c r="AU527" i="7"/>
  <c r="AU528" i="7"/>
  <c r="AU529" i="7"/>
  <c r="AU530" i="7"/>
  <c r="AU531" i="7"/>
  <c r="AU532" i="7"/>
  <c r="AU533" i="7"/>
  <c r="AU534" i="7"/>
  <c r="AU535" i="7"/>
  <c r="AU536" i="7"/>
  <c r="AU537" i="7"/>
  <c r="AU538" i="7"/>
  <c r="AU539" i="7"/>
  <c r="AU540" i="7"/>
  <c r="AU541" i="7"/>
  <c r="AU542" i="7"/>
  <c r="AU543" i="7"/>
  <c r="AU544" i="7"/>
  <c r="AU545" i="7"/>
  <c r="AU546" i="7"/>
  <c r="AU547" i="7"/>
  <c r="AU548" i="7"/>
  <c r="AU549" i="7"/>
  <c r="AU550" i="7"/>
  <c r="AU551" i="7"/>
  <c r="AU552" i="7"/>
  <c r="AU553" i="7"/>
  <c r="AU554" i="7"/>
  <c r="AU555" i="7"/>
  <c r="AU556" i="7"/>
  <c r="AU557" i="7"/>
  <c r="AU558" i="7"/>
  <c r="AU559" i="7"/>
  <c r="AU560" i="7"/>
  <c r="AU561" i="7"/>
  <c r="AU562" i="7"/>
  <c r="AU563" i="7"/>
  <c r="AU564" i="7"/>
  <c r="AU565" i="7"/>
  <c r="AU566" i="7"/>
  <c r="AU567" i="7"/>
  <c r="AU568" i="7"/>
  <c r="AU569" i="7"/>
  <c r="AU570" i="7"/>
  <c r="AU571" i="7"/>
  <c r="AU572" i="7"/>
  <c r="AU573" i="7"/>
  <c r="AU574" i="7"/>
  <c r="AU575" i="7"/>
  <c r="AU576" i="7"/>
  <c r="AU577" i="7"/>
  <c r="AU578" i="7"/>
  <c r="AU579" i="7"/>
  <c r="AU580" i="7"/>
  <c r="AU581" i="7"/>
  <c r="AU582" i="7"/>
  <c r="AU583" i="7"/>
  <c r="AU584" i="7"/>
  <c r="AU585" i="7"/>
  <c r="AU586" i="7"/>
  <c r="AU587" i="7"/>
  <c r="AU588" i="7"/>
  <c r="AU589" i="7"/>
  <c r="AU590" i="7"/>
  <c r="AU591" i="7"/>
  <c r="AU592" i="7"/>
  <c r="AU593" i="7"/>
  <c r="AU594" i="7"/>
  <c r="AU595" i="7"/>
  <c r="AU596" i="7"/>
  <c r="AU597" i="7"/>
  <c r="AU598" i="7"/>
  <c r="AU599" i="7"/>
  <c r="AU600" i="7"/>
  <c r="AU601" i="7"/>
  <c r="AU602" i="7"/>
  <c r="AU603" i="7"/>
  <c r="AU604" i="7"/>
  <c r="AU605" i="7"/>
  <c r="AU606" i="7"/>
  <c r="AU607" i="7"/>
  <c r="AU608" i="7"/>
  <c r="AU609" i="7"/>
  <c r="AU610" i="7"/>
  <c r="AU611" i="7"/>
  <c r="AU612" i="7"/>
  <c r="AU613" i="7"/>
  <c r="AU614" i="7"/>
  <c r="AU615" i="7"/>
  <c r="AU616" i="7"/>
  <c r="AU617" i="7"/>
  <c r="AU618" i="7"/>
  <c r="AU619" i="7"/>
  <c r="AU620" i="7"/>
  <c r="AU621" i="7"/>
  <c r="AU622" i="7"/>
  <c r="AU623" i="7"/>
  <c r="AU624" i="7"/>
  <c r="AU625" i="7"/>
  <c r="AU626" i="7"/>
  <c r="AU627" i="7"/>
  <c r="AU628" i="7"/>
  <c r="AU629" i="7"/>
  <c r="AU630" i="7"/>
  <c r="AU631" i="7"/>
  <c r="AU632" i="7"/>
  <c r="AU633" i="7"/>
  <c r="AU634" i="7"/>
  <c r="AU635" i="7"/>
  <c r="AU636" i="7"/>
  <c r="AU637" i="7"/>
  <c r="AU638" i="7"/>
  <c r="AU639" i="7"/>
  <c r="AU640" i="7"/>
  <c r="AU641" i="7"/>
  <c r="AU642" i="7"/>
  <c r="AU643" i="7"/>
  <c r="AU644" i="7"/>
  <c r="AU645" i="7"/>
  <c r="AU646" i="7"/>
  <c r="AU647" i="7"/>
  <c r="AU648" i="7"/>
  <c r="AU649" i="7"/>
  <c r="AU650" i="7"/>
  <c r="AU651" i="7"/>
  <c r="AU652" i="7"/>
  <c r="AU653" i="7"/>
  <c r="AU654" i="7"/>
  <c r="AU655" i="7"/>
  <c r="AU656" i="7"/>
  <c r="AU657" i="7"/>
  <c r="AU658" i="7"/>
  <c r="AU659" i="7"/>
  <c r="AU660" i="7"/>
  <c r="AU661" i="7"/>
  <c r="AU662" i="7"/>
  <c r="AU663" i="7"/>
  <c r="AU664" i="7"/>
  <c r="AU665" i="7"/>
  <c r="AU666" i="7"/>
  <c r="AU667" i="7"/>
  <c r="AU668" i="7"/>
  <c r="AU669" i="7"/>
  <c r="AU670" i="7"/>
  <c r="AU671" i="7"/>
  <c r="AU672" i="7"/>
  <c r="AU673" i="7"/>
  <c r="AU674" i="7"/>
  <c r="AU675" i="7"/>
  <c r="AU676" i="7"/>
  <c r="AU677" i="7"/>
  <c r="AU678" i="7"/>
  <c r="AU679" i="7"/>
  <c r="AU680" i="7"/>
  <c r="AU681" i="7"/>
  <c r="AU682" i="7"/>
  <c r="AU683" i="7"/>
  <c r="AU684" i="7"/>
  <c r="AU685" i="7"/>
  <c r="AU686" i="7"/>
  <c r="AU687" i="7"/>
  <c r="AU688" i="7"/>
  <c r="AU689" i="7"/>
  <c r="AU690" i="7"/>
  <c r="AU691" i="7"/>
  <c r="AU692" i="7"/>
  <c r="AU693" i="7"/>
  <c r="AU694" i="7"/>
  <c r="AU695" i="7"/>
  <c r="AU696" i="7"/>
  <c r="AU697" i="7"/>
  <c r="AU698" i="7"/>
  <c r="AU699" i="7"/>
  <c r="AU700" i="7"/>
  <c r="AU701" i="7"/>
  <c r="AU702" i="7"/>
  <c r="AU703" i="7"/>
  <c r="AU704" i="7"/>
  <c r="AU705" i="7"/>
  <c r="AU706" i="7"/>
  <c r="AU707" i="7"/>
  <c r="AU708" i="7"/>
  <c r="AU709" i="7"/>
  <c r="AU710" i="7"/>
  <c r="AU711" i="7"/>
  <c r="AU712" i="7"/>
  <c r="AU713" i="7"/>
  <c r="AU714" i="7"/>
  <c r="AU715" i="7"/>
  <c r="AU716" i="7"/>
  <c r="AU717" i="7"/>
  <c r="AU718" i="7"/>
  <c r="AU719" i="7"/>
  <c r="AU720" i="7"/>
  <c r="AU721" i="7"/>
  <c r="AU722" i="7"/>
  <c r="AU723" i="7"/>
  <c r="AU724" i="7"/>
  <c r="AU725" i="7"/>
  <c r="AU726" i="7"/>
  <c r="AU727" i="7"/>
  <c r="AU728" i="7"/>
  <c r="AU729" i="7"/>
  <c r="AU730" i="7"/>
  <c r="AU731" i="7"/>
  <c r="AU732" i="7"/>
  <c r="AU733" i="7"/>
  <c r="AU734" i="7"/>
  <c r="AU735" i="7"/>
  <c r="AU736" i="7"/>
  <c r="AU737" i="7"/>
  <c r="AU738" i="7"/>
  <c r="AU739" i="7"/>
  <c r="AU740" i="7"/>
  <c r="AU741" i="7"/>
  <c r="AU742" i="7"/>
  <c r="AU743" i="7"/>
  <c r="AU744" i="7"/>
  <c r="AU745" i="7"/>
  <c r="AU746" i="7"/>
  <c r="AU747" i="7"/>
  <c r="AU748" i="7"/>
  <c r="AU749" i="7"/>
  <c r="AU750" i="7"/>
  <c r="AU751" i="7"/>
  <c r="AU752" i="7"/>
  <c r="AU753" i="7"/>
  <c r="AU754" i="7"/>
  <c r="AU755" i="7"/>
  <c r="AU756" i="7"/>
  <c r="AU757" i="7"/>
  <c r="AU758" i="7"/>
  <c r="AU759" i="7"/>
  <c r="AU760" i="7"/>
  <c r="AU761" i="7"/>
  <c r="AU762" i="7"/>
  <c r="AU763" i="7"/>
  <c r="AU764" i="7"/>
  <c r="AU765" i="7"/>
  <c r="AU766" i="7"/>
  <c r="AU767" i="7"/>
  <c r="AU768" i="7"/>
  <c r="AU769" i="7"/>
  <c r="AU770" i="7"/>
  <c r="AU771" i="7"/>
  <c r="AU772" i="7"/>
  <c r="AU773" i="7"/>
  <c r="AU774" i="7"/>
  <c r="AU775" i="7"/>
  <c r="AU776" i="7"/>
  <c r="AU777" i="7"/>
  <c r="AU778" i="7"/>
  <c r="AU779" i="7"/>
  <c r="AU780" i="7"/>
  <c r="AU781" i="7"/>
  <c r="AU782" i="7"/>
  <c r="AU783" i="7"/>
  <c r="AU784" i="7"/>
  <c r="AU785" i="7"/>
  <c r="AU786" i="7"/>
  <c r="AU787" i="7"/>
  <c r="AU788" i="7"/>
  <c r="AU789" i="7"/>
  <c r="AU790" i="7"/>
  <c r="AU791" i="7"/>
  <c r="AU792" i="7"/>
  <c r="AU793" i="7"/>
  <c r="AU794" i="7"/>
  <c r="AU795" i="7"/>
  <c r="AU796" i="7"/>
  <c r="AU797" i="7"/>
  <c r="AU798" i="7"/>
  <c r="AU799" i="7"/>
  <c r="AU800" i="7"/>
  <c r="AU801" i="7"/>
  <c r="AU802" i="7"/>
  <c r="AU803" i="7"/>
  <c r="AU804" i="7"/>
  <c r="AU805" i="7"/>
  <c r="AU806" i="7"/>
  <c r="AU807" i="7"/>
  <c r="AU808" i="7"/>
  <c r="AU809" i="7"/>
  <c r="AU810" i="7"/>
  <c r="AU811" i="7"/>
  <c r="AU812" i="7"/>
  <c r="AU813" i="7"/>
  <c r="AU814" i="7"/>
  <c r="AU815" i="7"/>
  <c r="AU816" i="7"/>
  <c r="AU817" i="7"/>
  <c r="AU818" i="7"/>
  <c r="AU819" i="7"/>
  <c r="AU820" i="7"/>
  <c r="AU821" i="7"/>
  <c r="AU822" i="7"/>
  <c r="AU823" i="7"/>
  <c r="AU824" i="7"/>
  <c r="AU825" i="7"/>
  <c r="AU826" i="7"/>
  <c r="AU827" i="7"/>
  <c r="AU828" i="7"/>
  <c r="AU829" i="7"/>
  <c r="AU830" i="7"/>
  <c r="AU831" i="7"/>
  <c r="AU832" i="7"/>
  <c r="AU833" i="7"/>
  <c r="AU834" i="7"/>
  <c r="AU835" i="7"/>
  <c r="AU836" i="7"/>
  <c r="AU837" i="7"/>
  <c r="AU838" i="7"/>
  <c r="AU839" i="7"/>
  <c r="AU840" i="7"/>
  <c r="AU841" i="7"/>
  <c r="AU842" i="7"/>
  <c r="AU843" i="7"/>
  <c r="AU844" i="7"/>
  <c r="AU845" i="7"/>
  <c r="AU846" i="7"/>
  <c r="AU847" i="7"/>
  <c r="AU848" i="7"/>
  <c r="AU849" i="7"/>
  <c r="AU850" i="7"/>
  <c r="AU851" i="7"/>
  <c r="AU852" i="7"/>
  <c r="AU853" i="7"/>
  <c r="AU854" i="7"/>
  <c r="AU855" i="7"/>
  <c r="AU856" i="7"/>
  <c r="AU857" i="7"/>
  <c r="AU858" i="7"/>
  <c r="AU859" i="7"/>
  <c r="AU860" i="7"/>
  <c r="AU861" i="7"/>
  <c r="AU862" i="7"/>
  <c r="AU863" i="7"/>
  <c r="AU864" i="7"/>
  <c r="AU865" i="7"/>
  <c r="AU866" i="7"/>
  <c r="AU867" i="7"/>
  <c r="AU868" i="7"/>
  <c r="AU869" i="7"/>
  <c r="AU870" i="7"/>
  <c r="AU871" i="7"/>
  <c r="AU872" i="7"/>
  <c r="AU873" i="7"/>
  <c r="AU874" i="7"/>
  <c r="AU875" i="7"/>
  <c r="AU876" i="7"/>
  <c r="AU877" i="7"/>
  <c r="AU878" i="7"/>
  <c r="AU879" i="7"/>
  <c r="AU880" i="7"/>
  <c r="AU881" i="7"/>
  <c r="AU882" i="7"/>
  <c r="AU883" i="7"/>
  <c r="AU884" i="7"/>
  <c r="AU885" i="7"/>
  <c r="AU886" i="7"/>
  <c r="AU887" i="7"/>
  <c r="AU888" i="7"/>
  <c r="AU889" i="7"/>
  <c r="AU890" i="7"/>
  <c r="AU891" i="7"/>
  <c r="AU892" i="7"/>
  <c r="AU893" i="7"/>
  <c r="AU894" i="7"/>
  <c r="AU895" i="7"/>
  <c r="AU896" i="7"/>
  <c r="AU897" i="7"/>
  <c r="AU898" i="7"/>
  <c r="AU899" i="7"/>
  <c r="AU900" i="7"/>
  <c r="AU901" i="7"/>
  <c r="AU902" i="7"/>
  <c r="AU903" i="7"/>
  <c r="AU904" i="7"/>
  <c r="AU905" i="7"/>
  <c r="AU906" i="7"/>
  <c r="AU907" i="7"/>
  <c r="AU908" i="7"/>
  <c r="AU909" i="7"/>
  <c r="AU910" i="7"/>
  <c r="AU911" i="7"/>
  <c r="AU912" i="7"/>
  <c r="AU913" i="7"/>
  <c r="AU914" i="7"/>
  <c r="AU915" i="7"/>
  <c r="AU916" i="7"/>
  <c r="AU917" i="7"/>
  <c r="AU918" i="7"/>
  <c r="AU919" i="7"/>
  <c r="AU920" i="7"/>
  <c r="AU921" i="7"/>
  <c r="AU922" i="7"/>
  <c r="AU923" i="7"/>
  <c r="AU924" i="7"/>
  <c r="AU925" i="7"/>
  <c r="AU926" i="7"/>
  <c r="AU927" i="7"/>
  <c r="AU928" i="7"/>
  <c r="AU929" i="7"/>
  <c r="AU930" i="7"/>
  <c r="AU931" i="7"/>
  <c r="AU932" i="7"/>
  <c r="AU933" i="7"/>
  <c r="AU934" i="7"/>
  <c r="AU935" i="7"/>
  <c r="AU936" i="7"/>
  <c r="AU937" i="7"/>
  <c r="AU938" i="7"/>
  <c r="AU939" i="7"/>
  <c r="AU940" i="7"/>
  <c r="AU941" i="7"/>
  <c r="AU942" i="7"/>
  <c r="AU943" i="7"/>
  <c r="AU944" i="7"/>
  <c r="AU945" i="7"/>
  <c r="AU946" i="7"/>
  <c r="AU947" i="7"/>
  <c r="AU948" i="7"/>
  <c r="AU949" i="7"/>
  <c r="AU950" i="7"/>
  <c r="AU951" i="7"/>
  <c r="AU952" i="7"/>
  <c r="AU953" i="7"/>
  <c r="AU954" i="7"/>
  <c r="AU955" i="7"/>
  <c r="AU956" i="7"/>
  <c r="AU957" i="7"/>
  <c r="AU958" i="7"/>
  <c r="AU959" i="7"/>
  <c r="AU960" i="7"/>
  <c r="AU961" i="7"/>
  <c r="AU962" i="7"/>
  <c r="AU963" i="7"/>
  <c r="AU964" i="7"/>
  <c r="AU965" i="7"/>
  <c r="AU966" i="7"/>
  <c r="AU967" i="7"/>
  <c r="AU968" i="7"/>
  <c r="AU969" i="7"/>
  <c r="AU970" i="7"/>
  <c r="AU971" i="7"/>
  <c r="AU972" i="7"/>
  <c r="AU973" i="7"/>
  <c r="AU974" i="7"/>
  <c r="AU975" i="7"/>
  <c r="AU976" i="7"/>
  <c r="AU977" i="7"/>
  <c r="AU978" i="7"/>
  <c r="AU979" i="7"/>
  <c r="AU980" i="7"/>
  <c r="AU981" i="7"/>
  <c r="AU982" i="7"/>
  <c r="AU983" i="7"/>
  <c r="AU984" i="7"/>
  <c r="AU985" i="7"/>
  <c r="AU986" i="7"/>
  <c r="AU987" i="7"/>
  <c r="AU988" i="7"/>
  <c r="AU989" i="7"/>
  <c r="AU990" i="7"/>
  <c r="AU991" i="7"/>
  <c r="AU992" i="7"/>
  <c r="AU993" i="7"/>
  <c r="AU994" i="7"/>
  <c r="AU995" i="7"/>
  <c r="AU996" i="7"/>
  <c r="AU997" i="7"/>
  <c r="AU998" i="7"/>
  <c r="AU999" i="7"/>
  <c r="AU1000" i="7"/>
  <c r="AU1001" i="7"/>
  <c r="AU1002" i="7"/>
  <c r="AU1003" i="7"/>
  <c r="AU1004" i="7"/>
  <c r="AU1005" i="7"/>
  <c r="AU1006" i="7"/>
  <c r="AU1007" i="7"/>
  <c r="AU1008" i="7"/>
  <c r="AU1009" i="7"/>
  <c r="AU1010" i="7"/>
  <c r="AU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N152" i="7"/>
  <c r="AN153" i="7"/>
  <c r="AN154" i="7"/>
  <c r="AN155" i="7"/>
  <c r="AN156" i="7"/>
  <c r="AN157" i="7"/>
  <c r="AN158" i="7"/>
  <c r="AN159" i="7"/>
  <c r="AN160" i="7"/>
  <c r="AN161" i="7"/>
  <c r="AN162" i="7"/>
  <c r="AN163" i="7"/>
  <c r="AN164" i="7"/>
  <c r="AN165" i="7"/>
  <c r="AN166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0" i="7"/>
  <c r="AN191" i="7"/>
  <c r="AN192" i="7"/>
  <c r="AN193" i="7"/>
  <c r="AN194" i="7"/>
  <c r="AN195" i="7"/>
  <c r="AN196" i="7"/>
  <c r="AN197" i="7"/>
  <c r="AN198" i="7"/>
  <c r="AN199" i="7"/>
  <c r="AN200" i="7"/>
  <c r="AN201" i="7"/>
  <c r="AN202" i="7"/>
  <c r="AN203" i="7"/>
  <c r="AN204" i="7"/>
  <c r="AN205" i="7"/>
  <c r="AN206" i="7"/>
  <c r="AN207" i="7"/>
  <c r="AN208" i="7"/>
  <c r="AN209" i="7"/>
  <c r="AN210" i="7"/>
  <c r="AN211" i="7"/>
  <c r="AN212" i="7"/>
  <c r="AN213" i="7"/>
  <c r="AN214" i="7"/>
  <c r="AN215" i="7"/>
  <c r="AN216" i="7"/>
  <c r="AN217" i="7"/>
  <c r="AN218" i="7"/>
  <c r="AN219" i="7"/>
  <c r="AN220" i="7"/>
  <c r="AN221" i="7"/>
  <c r="AN222" i="7"/>
  <c r="AN223" i="7"/>
  <c r="AN224" i="7"/>
  <c r="AN225" i="7"/>
  <c r="AN226" i="7"/>
  <c r="AN227" i="7"/>
  <c r="AN228" i="7"/>
  <c r="AN229" i="7"/>
  <c r="AN230" i="7"/>
  <c r="AN231" i="7"/>
  <c r="AN232" i="7"/>
  <c r="AN233" i="7"/>
  <c r="AN234" i="7"/>
  <c r="AN235" i="7"/>
  <c r="AN236" i="7"/>
  <c r="AN237" i="7"/>
  <c r="AN238" i="7"/>
  <c r="AN239" i="7"/>
  <c r="AN240" i="7"/>
  <c r="AN241" i="7"/>
  <c r="AN242" i="7"/>
  <c r="AN243" i="7"/>
  <c r="AN244" i="7"/>
  <c r="AN245" i="7"/>
  <c r="AN246" i="7"/>
  <c r="AN247" i="7"/>
  <c r="AN248" i="7"/>
  <c r="AN249" i="7"/>
  <c r="AN250" i="7"/>
  <c r="AN251" i="7"/>
  <c r="AN252" i="7"/>
  <c r="AN253" i="7"/>
  <c r="AN254" i="7"/>
  <c r="AN255" i="7"/>
  <c r="AN256" i="7"/>
  <c r="AN257" i="7"/>
  <c r="AN258" i="7"/>
  <c r="AN259" i="7"/>
  <c r="AN260" i="7"/>
  <c r="AN261" i="7"/>
  <c r="AN262" i="7"/>
  <c r="AN263" i="7"/>
  <c r="AN264" i="7"/>
  <c r="AN265" i="7"/>
  <c r="AN266" i="7"/>
  <c r="AN267" i="7"/>
  <c r="AN268" i="7"/>
  <c r="AN269" i="7"/>
  <c r="AN270" i="7"/>
  <c r="AN271" i="7"/>
  <c r="AN272" i="7"/>
  <c r="AN273" i="7"/>
  <c r="AN274" i="7"/>
  <c r="AN275" i="7"/>
  <c r="AN276" i="7"/>
  <c r="AN277" i="7"/>
  <c r="AN278" i="7"/>
  <c r="AN279" i="7"/>
  <c r="AN280" i="7"/>
  <c r="AN281" i="7"/>
  <c r="AN282" i="7"/>
  <c r="AN283" i="7"/>
  <c r="AN284" i="7"/>
  <c r="AN285" i="7"/>
  <c r="AN286" i="7"/>
  <c r="AN287" i="7"/>
  <c r="AN288" i="7"/>
  <c r="AN289" i="7"/>
  <c r="AN290" i="7"/>
  <c r="AN291" i="7"/>
  <c r="AN292" i="7"/>
  <c r="AN293" i="7"/>
  <c r="AN294" i="7"/>
  <c r="AN295" i="7"/>
  <c r="AN296" i="7"/>
  <c r="AN297" i="7"/>
  <c r="AN298" i="7"/>
  <c r="AN299" i="7"/>
  <c r="AN300" i="7"/>
  <c r="AN301" i="7"/>
  <c r="AN302" i="7"/>
  <c r="AN303" i="7"/>
  <c r="AN304" i="7"/>
  <c r="AN305" i="7"/>
  <c r="AN306" i="7"/>
  <c r="AN307" i="7"/>
  <c r="AN308" i="7"/>
  <c r="AN309" i="7"/>
  <c r="AN310" i="7"/>
  <c r="AN311" i="7"/>
  <c r="AN312" i="7"/>
  <c r="AN313" i="7"/>
  <c r="AN314" i="7"/>
  <c r="AN315" i="7"/>
  <c r="AN316" i="7"/>
  <c r="AN317" i="7"/>
  <c r="AN318" i="7"/>
  <c r="AN319" i="7"/>
  <c r="AN320" i="7"/>
  <c r="AN321" i="7"/>
  <c r="AN322" i="7"/>
  <c r="AN323" i="7"/>
  <c r="AN324" i="7"/>
  <c r="AN325" i="7"/>
  <c r="AN326" i="7"/>
  <c r="AN327" i="7"/>
  <c r="AN328" i="7"/>
  <c r="AN329" i="7"/>
  <c r="AN330" i="7"/>
  <c r="AN331" i="7"/>
  <c r="AN332" i="7"/>
  <c r="AN333" i="7"/>
  <c r="AN334" i="7"/>
  <c r="AN335" i="7"/>
  <c r="AN336" i="7"/>
  <c r="AN337" i="7"/>
  <c r="AN338" i="7"/>
  <c r="AN339" i="7"/>
  <c r="AN340" i="7"/>
  <c r="AN341" i="7"/>
  <c r="AN342" i="7"/>
  <c r="AN343" i="7"/>
  <c r="AN344" i="7"/>
  <c r="AN345" i="7"/>
  <c r="AN346" i="7"/>
  <c r="AN347" i="7"/>
  <c r="AN348" i="7"/>
  <c r="AN349" i="7"/>
  <c r="AN350" i="7"/>
  <c r="AN351" i="7"/>
  <c r="AN352" i="7"/>
  <c r="AN353" i="7"/>
  <c r="AN354" i="7"/>
  <c r="AN355" i="7"/>
  <c r="AN356" i="7"/>
  <c r="AN357" i="7"/>
  <c r="AN358" i="7"/>
  <c r="AN359" i="7"/>
  <c r="AN360" i="7"/>
  <c r="AN361" i="7"/>
  <c r="AN362" i="7"/>
  <c r="AN363" i="7"/>
  <c r="AN364" i="7"/>
  <c r="AN365" i="7"/>
  <c r="AN366" i="7"/>
  <c r="AN367" i="7"/>
  <c r="AN368" i="7"/>
  <c r="AN369" i="7"/>
  <c r="AN370" i="7"/>
  <c r="AN371" i="7"/>
  <c r="AN372" i="7"/>
  <c r="AN373" i="7"/>
  <c r="AN374" i="7"/>
  <c r="AN375" i="7"/>
  <c r="AN376" i="7"/>
  <c r="AN377" i="7"/>
  <c r="AN378" i="7"/>
  <c r="AN379" i="7"/>
  <c r="AN380" i="7"/>
  <c r="AN381" i="7"/>
  <c r="AN382" i="7"/>
  <c r="AN383" i="7"/>
  <c r="AN384" i="7"/>
  <c r="AN385" i="7"/>
  <c r="AN386" i="7"/>
  <c r="AN387" i="7"/>
  <c r="AN388" i="7"/>
  <c r="AN389" i="7"/>
  <c r="AN390" i="7"/>
  <c r="AN391" i="7"/>
  <c r="AN392" i="7"/>
  <c r="AN393" i="7"/>
  <c r="AN394" i="7"/>
  <c r="AN395" i="7"/>
  <c r="AN396" i="7"/>
  <c r="AN397" i="7"/>
  <c r="AN398" i="7"/>
  <c r="AN399" i="7"/>
  <c r="AN400" i="7"/>
  <c r="AN401" i="7"/>
  <c r="AN402" i="7"/>
  <c r="AN403" i="7"/>
  <c r="AN404" i="7"/>
  <c r="AN405" i="7"/>
  <c r="AN406" i="7"/>
  <c r="AN407" i="7"/>
  <c r="AN408" i="7"/>
  <c r="AN409" i="7"/>
  <c r="AN410" i="7"/>
  <c r="AN411" i="7"/>
  <c r="AN412" i="7"/>
  <c r="AN413" i="7"/>
  <c r="AN414" i="7"/>
  <c r="AN415" i="7"/>
  <c r="AN416" i="7"/>
  <c r="AN417" i="7"/>
  <c r="AN418" i="7"/>
  <c r="AN419" i="7"/>
  <c r="AN420" i="7"/>
  <c r="AN421" i="7"/>
  <c r="AN422" i="7"/>
  <c r="AN423" i="7"/>
  <c r="AN424" i="7"/>
  <c r="AN425" i="7"/>
  <c r="AN426" i="7"/>
  <c r="AN427" i="7"/>
  <c r="AN428" i="7"/>
  <c r="AN429" i="7"/>
  <c r="AN430" i="7"/>
  <c r="AN431" i="7"/>
  <c r="AN432" i="7"/>
  <c r="AN433" i="7"/>
  <c r="AN434" i="7"/>
  <c r="AN435" i="7"/>
  <c r="AN436" i="7"/>
  <c r="AN437" i="7"/>
  <c r="AN438" i="7"/>
  <c r="AN439" i="7"/>
  <c r="AN440" i="7"/>
  <c r="AN441" i="7"/>
  <c r="AN442" i="7"/>
  <c r="AN443" i="7"/>
  <c r="AN444" i="7"/>
  <c r="AN445" i="7"/>
  <c r="AN446" i="7"/>
  <c r="AN447" i="7"/>
  <c r="AN448" i="7"/>
  <c r="AN449" i="7"/>
  <c r="AN450" i="7"/>
  <c r="AN451" i="7"/>
  <c r="AN452" i="7"/>
  <c r="AN453" i="7"/>
  <c r="AN454" i="7"/>
  <c r="AN455" i="7"/>
  <c r="AN456" i="7"/>
  <c r="AN457" i="7"/>
  <c r="AN458" i="7"/>
  <c r="AN459" i="7"/>
  <c r="AN460" i="7"/>
  <c r="AN461" i="7"/>
  <c r="AN462" i="7"/>
  <c r="AN463" i="7"/>
  <c r="AN464" i="7"/>
  <c r="AN465" i="7"/>
  <c r="AN466" i="7"/>
  <c r="AN467" i="7"/>
  <c r="AN468" i="7"/>
  <c r="AN469" i="7"/>
  <c r="AN470" i="7"/>
  <c r="AN471" i="7"/>
  <c r="AN472" i="7"/>
  <c r="AN473" i="7"/>
  <c r="AN474" i="7"/>
  <c r="AN475" i="7"/>
  <c r="AN476" i="7"/>
  <c r="AN477" i="7"/>
  <c r="AN478" i="7"/>
  <c r="AN479" i="7"/>
  <c r="AN480" i="7"/>
  <c r="AN481" i="7"/>
  <c r="AN482" i="7"/>
  <c r="AN483" i="7"/>
  <c r="AN484" i="7"/>
  <c r="AN485" i="7"/>
  <c r="AN486" i="7"/>
  <c r="AN487" i="7"/>
  <c r="AN488" i="7"/>
  <c r="AN489" i="7"/>
  <c r="AN490" i="7"/>
  <c r="AN491" i="7"/>
  <c r="AN492" i="7"/>
  <c r="AN493" i="7"/>
  <c r="AN494" i="7"/>
  <c r="AN495" i="7"/>
  <c r="AN496" i="7"/>
  <c r="AN497" i="7"/>
  <c r="AN498" i="7"/>
  <c r="AN499" i="7"/>
  <c r="AN500" i="7"/>
  <c r="AN501" i="7"/>
  <c r="AN502" i="7"/>
  <c r="AN503" i="7"/>
  <c r="AN504" i="7"/>
  <c r="AN505" i="7"/>
  <c r="AN506" i="7"/>
  <c r="AN507" i="7"/>
  <c r="AN508" i="7"/>
  <c r="AN509" i="7"/>
  <c r="AN510" i="7"/>
  <c r="AN511" i="7"/>
  <c r="AN512" i="7"/>
  <c r="AN513" i="7"/>
  <c r="AN514" i="7"/>
  <c r="AN515" i="7"/>
  <c r="AN516" i="7"/>
  <c r="AN517" i="7"/>
  <c r="AN518" i="7"/>
  <c r="AN519" i="7"/>
  <c r="AN520" i="7"/>
  <c r="AN521" i="7"/>
  <c r="AN522" i="7"/>
  <c r="AN523" i="7"/>
  <c r="AN524" i="7"/>
  <c r="AN525" i="7"/>
  <c r="AN526" i="7"/>
  <c r="AN527" i="7"/>
  <c r="AN528" i="7"/>
  <c r="AN529" i="7"/>
  <c r="AN530" i="7"/>
  <c r="AN531" i="7"/>
  <c r="AN532" i="7"/>
  <c r="AN533" i="7"/>
  <c r="AN534" i="7"/>
  <c r="AN535" i="7"/>
  <c r="AN536" i="7"/>
  <c r="AN537" i="7"/>
  <c r="AN538" i="7"/>
  <c r="AN539" i="7"/>
  <c r="AN540" i="7"/>
  <c r="AN541" i="7"/>
  <c r="AN542" i="7"/>
  <c r="AN543" i="7"/>
  <c r="AN544" i="7"/>
  <c r="AN545" i="7"/>
  <c r="AN546" i="7"/>
  <c r="AN547" i="7"/>
  <c r="AN548" i="7"/>
  <c r="AN549" i="7"/>
  <c r="AN550" i="7"/>
  <c r="AN551" i="7"/>
  <c r="AN552" i="7"/>
  <c r="AN553" i="7"/>
  <c r="AN554" i="7"/>
  <c r="AN555" i="7"/>
  <c r="AN556" i="7"/>
  <c r="AN557" i="7"/>
  <c r="AN558" i="7"/>
  <c r="AN559" i="7"/>
  <c r="AN560" i="7"/>
  <c r="AN561" i="7"/>
  <c r="AN562" i="7"/>
  <c r="AN563" i="7"/>
  <c r="AN564" i="7"/>
  <c r="AN565" i="7"/>
  <c r="AN566" i="7"/>
  <c r="AN567" i="7"/>
  <c r="AN568" i="7"/>
  <c r="AN569" i="7"/>
  <c r="AN570" i="7"/>
  <c r="AN571" i="7"/>
  <c r="AN572" i="7"/>
  <c r="AN573" i="7"/>
  <c r="AN574" i="7"/>
  <c r="AN575" i="7"/>
  <c r="AN576" i="7"/>
  <c r="AN577" i="7"/>
  <c r="AN578" i="7"/>
  <c r="AN579" i="7"/>
  <c r="AN580" i="7"/>
  <c r="AN581" i="7"/>
  <c r="AN582" i="7"/>
  <c r="AN583" i="7"/>
  <c r="AN584" i="7"/>
  <c r="AN585" i="7"/>
  <c r="AN586" i="7"/>
  <c r="AN587" i="7"/>
  <c r="AN588" i="7"/>
  <c r="AN589" i="7"/>
  <c r="AN590" i="7"/>
  <c r="AN591" i="7"/>
  <c r="AN592" i="7"/>
  <c r="AN593" i="7"/>
  <c r="AN594" i="7"/>
  <c r="AN595" i="7"/>
  <c r="AN596" i="7"/>
  <c r="AN597" i="7"/>
  <c r="AN598" i="7"/>
  <c r="AN599" i="7"/>
  <c r="AN600" i="7"/>
  <c r="AN601" i="7"/>
  <c r="AN602" i="7"/>
  <c r="AN603" i="7"/>
  <c r="AN604" i="7"/>
  <c r="AN605" i="7"/>
  <c r="AN606" i="7"/>
  <c r="AN607" i="7"/>
  <c r="AN608" i="7"/>
  <c r="AN609" i="7"/>
  <c r="AN610" i="7"/>
  <c r="AN611" i="7"/>
  <c r="AN612" i="7"/>
  <c r="AN613" i="7"/>
  <c r="AN614" i="7"/>
  <c r="AN615" i="7"/>
  <c r="AN616" i="7"/>
  <c r="AN617" i="7"/>
  <c r="AN618" i="7"/>
  <c r="AN619" i="7"/>
  <c r="AN620" i="7"/>
  <c r="AN621" i="7"/>
  <c r="AN622" i="7"/>
  <c r="AN623" i="7"/>
  <c r="AN624" i="7"/>
  <c r="AN625" i="7"/>
  <c r="AN626" i="7"/>
  <c r="AN627" i="7"/>
  <c r="AN628" i="7"/>
  <c r="AN629" i="7"/>
  <c r="AN630" i="7"/>
  <c r="AN631" i="7"/>
  <c r="AN632" i="7"/>
  <c r="AN633" i="7"/>
  <c r="AN634" i="7"/>
  <c r="AN635" i="7"/>
  <c r="AN636" i="7"/>
  <c r="AN637" i="7"/>
  <c r="AN638" i="7"/>
  <c r="AN639" i="7"/>
  <c r="AN640" i="7"/>
  <c r="AN641" i="7"/>
  <c r="AN642" i="7"/>
  <c r="AN643" i="7"/>
  <c r="AN644" i="7"/>
  <c r="AN645" i="7"/>
  <c r="AN646" i="7"/>
  <c r="AN647" i="7"/>
  <c r="AN648" i="7"/>
  <c r="AN649" i="7"/>
  <c r="AN650" i="7"/>
  <c r="AN651" i="7"/>
  <c r="AN652" i="7"/>
  <c r="AN653" i="7"/>
  <c r="AN654" i="7"/>
  <c r="AN655" i="7"/>
  <c r="AN656" i="7"/>
  <c r="AN657" i="7"/>
  <c r="AN658" i="7"/>
  <c r="AN659" i="7"/>
  <c r="AN660" i="7"/>
  <c r="AN661" i="7"/>
  <c r="AN662" i="7"/>
  <c r="AN663" i="7"/>
  <c r="AN664" i="7"/>
  <c r="AN665" i="7"/>
  <c r="AN666" i="7"/>
  <c r="AN667" i="7"/>
  <c r="AN668" i="7"/>
  <c r="AN669" i="7"/>
  <c r="AN670" i="7"/>
  <c r="AN671" i="7"/>
  <c r="AN672" i="7"/>
  <c r="AN673" i="7"/>
  <c r="AN674" i="7"/>
  <c r="AN675" i="7"/>
  <c r="AN676" i="7"/>
  <c r="AN677" i="7"/>
  <c r="AN678" i="7"/>
  <c r="AN679" i="7"/>
  <c r="AN680" i="7"/>
  <c r="AN681" i="7"/>
  <c r="AN682" i="7"/>
  <c r="AN683" i="7"/>
  <c r="AN684" i="7"/>
  <c r="AN685" i="7"/>
  <c r="AN686" i="7"/>
  <c r="AN687" i="7"/>
  <c r="AN688" i="7"/>
  <c r="AN689" i="7"/>
  <c r="AN690" i="7"/>
  <c r="AN691" i="7"/>
  <c r="AN692" i="7"/>
  <c r="AN693" i="7"/>
  <c r="AN694" i="7"/>
  <c r="AN695" i="7"/>
  <c r="AN696" i="7"/>
  <c r="AN697" i="7"/>
  <c r="AN698" i="7"/>
  <c r="AN699" i="7"/>
  <c r="AN700" i="7"/>
  <c r="AN701" i="7"/>
  <c r="AN702" i="7"/>
  <c r="AN703" i="7"/>
  <c r="AN704" i="7"/>
  <c r="AN705" i="7"/>
  <c r="AN706" i="7"/>
  <c r="AN707" i="7"/>
  <c r="AN708" i="7"/>
  <c r="AN709" i="7"/>
  <c r="AN710" i="7"/>
  <c r="AN711" i="7"/>
  <c r="AN712" i="7"/>
  <c r="AN713" i="7"/>
  <c r="AN714" i="7"/>
  <c r="AN715" i="7"/>
  <c r="AN716" i="7"/>
  <c r="AN717" i="7"/>
  <c r="AN718" i="7"/>
  <c r="AN719" i="7"/>
  <c r="AN720" i="7"/>
  <c r="AN721" i="7"/>
  <c r="AN722" i="7"/>
  <c r="AN723" i="7"/>
  <c r="AN724" i="7"/>
  <c r="AN725" i="7"/>
  <c r="AN726" i="7"/>
  <c r="AN727" i="7"/>
  <c r="AN728" i="7"/>
  <c r="AN729" i="7"/>
  <c r="AN730" i="7"/>
  <c r="AN731" i="7"/>
  <c r="AN732" i="7"/>
  <c r="AN733" i="7"/>
  <c r="AN734" i="7"/>
  <c r="AN735" i="7"/>
  <c r="AN736" i="7"/>
  <c r="AN737" i="7"/>
  <c r="AN738" i="7"/>
  <c r="AN739" i="7"/>
  <c r="AN740" i="7"/>
  <c r="AN741" i="7"/>
  <c r="AN742" i="7"/>
  <c r="AN743" i="7"/>
  <c r="AN744" i="7"/>
  <c r="AN745" i="7"/>
  <c r="AN746" i="7"/>
  <c r="AN747" i="7"/>
  <c r="AN748" i="7"/>
  <c r="AN749" i="7"/>
  <c r="AN750" i="7"/>
  <c r="AN751" i="7"/>
  <c r="AN752" i="7"/>
  <c r="AN753" i="7"/>
  <c r="AN754" i="7"/>
  <c r="AN755" i="7"/>
  <c r="AN756" i="7"/>
  <c r="AN757" i="7"/>
  <c r="AN758" i="7"/>
  <c r="AN759" i="7"/>
  <c r="AN760" i="7"/>
  <c r="AN761" i="7"/>
  <c r="AN762" i="7"/>
  <c r="AN763" i="7"/>
  <c r="AN764" i="7"/>
  <c r="AN765" i="7"/>
  <c r="AN766" i="7"/>
  <c r="AN767" i="7"/>
  <c r="AN768" i="7"/>
  <c r="AN769" i="7"/>
  <c r="AN770" i="7"/>
  <c r="AN771" i="7"/>
  <c r="AN772" i="7"/>
  <c r="AN773" i="7"/>
  <c r="AN774" i="7"/>
  <c r="AN775" i="7"/>
  <c r="AN776" i="7"/>
  <c r="AN777" i="7"/>
  <c r="AN778" i="7"/>
  <c r="AN779" i="7"/>
  <c r="AN780" i="7"/>
  <c r="AN781" i="7"/>
  <c r="AN782" i="7"/>
  <c r="AN783" i="7"/>
  <c r="AN784" i="7"/>
  <c r="AN785" i="7"/>
  <c r="AN786" i="7"/>
  <c r="AN787" i="7"/>
  <c r="AN788" i="7"/>
  <c r="AN789" i="7"/>
  <c r="AN790" i="7"/>
  <c r="AN791" i="7"/>
  <c r="AN792" i="7"/>
  <c r="AN793" i="7"/>
  <c r="AN794" i="7"/>
  <c r="AN795" i="7"/>
  <c r="AN796" i="7"/>
  <c r="AN797" i="7"/>
  <c r="AN798" i="7"/>
  <c r="AN799" i="7"/>
  <c r="AN800" i="7"/>
  <c r="AN801" i="7"/>
  <c r="AN802" i="7"/>
  <c r="AN803" i="7"/>
  <c r="AN804" i="7"/>
  <c r="AN805" i="7"/>
  <c r="AN806" i="7"/>
  <c r="AN807" i="7"/>
  <c r="AN808" i="7"/>
  <c r="AN809" i="7"/>
  <c r="AN810" i="7"/>
  <c r="AN811" i="7"/>
  <c r="AN812" i="7"/>
  <c r="AN813" i="7"/>
  <c r="AN814" i="7"/>
  <c r="AN815" i="7"/>
  <c r="AN816" i="7"/>
  <c r="AN817" i="7"/>
  <c r="AN818" i="7"/>
  <c r="AN819" i="7"/>
  <c r="AN820" i="7"/>
  <c r="AN821" i="7"/>
  <c r="AN822" i="7"/>
  <c r="AN823" i="7"/>
  <c r="AN824" i="7"/>
  <c r="AN825" i="7"/>
  <c r="AN826" i="7"/>
  <c r="AN827" i="7"/>
  <c r="AN828" i="7"/>
  <c r="AN829" i="7"/>
  <c r="AN830" i="7"/>
  <c r="AN831" i="7"/>
  <c r="AN832" i="7"/>
  <c r="AN833" i="7"/>
  <c r="AN834" i="7"/>
  <c r="AN835" i="7"/>
  <c r="AN836" i="7"/>
  <c r="AN837" i="7"/>
  <c r="AN838" i="7"/>
  <c r="AN839" i="7"/>
  <c r="AN840" i="7"/>
  <c r="AN841" i="7"/>
  <c r="AN842" i="7"/>
  <c r="AN843" i="7"/>
  <c r="AN844" i="7"/>
  <c r="AN845" i="7"/>
  <c r="AN846" i="7"/>
  <c r="AN847" i="7"/>
  <c r="AN848" i="7"/>
  <c r="AN849" i="7"/>
  <c r="AN850" i="7"/>
  <c r="AN851" i="7"/>
  <c r="AN852" i="7"/>
  <c r="AN853" i="7"/>
  <c r="AN854" i="7"/>
  <c r="AN855" i="7"/>
  <c r="AN856" i="7"/>
  <c r="AN857" i="7"/>
  <c r="AN858" i="7"/>
  <c r="AN859" i="7"/>
  <c r="AN860" i="7"/>
  <c r="AN861" i="7"/>
  <c r="AN862" i="7"/>
  <c r="AN863" i="7"/>
  <c r="AN864" i="7"/>
  <c r="AN865" i="7"/>
  <c r="AN866" i="7"/>
  <c r="AN867" i="7"/>
  <c r="AN868" i="7"/>
  <c r="AN869" i="7"/>
  <c r="AN870" i="7"/>
  <c r="AN871" i="7"/>
  <c r="AN872" i="7"/>
  <c r="AN873" i="7"/>
  <c r="AN874" i="7"/>
  <c r="AN875" i="7"/>
  <c r="AN876" i="7"/>
  <c r="AN877" i="7"/>
  <c r="AN878" i="7"/>
  <c r="AN879" i="7"/>
  <c r="AN880" i="7"/>
  <c r="AN881" i="7"/>
  <c r="AN882" i="7"/>
  <c r="AN883" i="7"/>
  <c r="AN884" i="7"/>
  <c r="AN885" i="7"/>
  <c r="AN886" i="7"/>
  <c r="AN887" i="7"/>
  <c r="AN888" i="7"/>
  <c r="AN889" i="7"/>
  <c r="AN890" i="7"/>
  <c r="AN891" i="7"/>
  <c r="AN892" i="7"/>
  <c r="AN893" i="7"/>
  <c r="AN894" i="7"/>
  <c r="AN895" i="7"/>
  <c r="AN896" i="7"/>
  <c r="AN897" i="7"/>
  <c r="AN898" i="7"/>
  <c r="AN899" i="7"/>
  <c r="AN900" i="7"/>
  <c r="AN901" i="7"/>
  <c r="AN902" i="7"/>
  <c r="AN903" i="7"/>
  <c r="AN904" i="7"/>
  <c r="AN905" i="7"/>
  <c r="AN906" i="7"/>
  <c r="AN907" i="7"/>
  <c r="AN908" i="7"/>
  <c r="AN909" i="7"/>
  <c r="AN910" i="7"/>
  <c r="AN911" i="7"/>
  <c r="AN912" i="7"/>
  <c r="AN913" i="7"/>
  <c r="AN914" i="7"/>
  <c r="AN915" i="7"/>
  <c r="AN916" i="7"/>
  <c r="AN917" i="7"/>
  <c r="AN918" i="7"/>
  <c r="AN919" i="7"/>
  <c r="AN920" i="7"/>
  <c r="AN921" i="7"/>
  <c r="AN922" i="7"/>
  <c r="AN923" i="7"/>
  <c r="AN924" i="7"/>
  <c r="AN925" i="7"/>
  <c r="AN926" i="7"/>
  <c r="AN927" i="7"/>
  <c r="AN928" i="7"/>
  <c r="AN929" i="7"/>
  <c r="AN930" i="7"/>
  <c r="AN931" i="7"/>
  <c r="AN932" i="7"/>
  <c r="AN933" i="7"/>
  <c r="AN934" i="7"/>
  <c r="AN935" i="7"/>
  <c r="AN936" i="7"/>
  <c r="AN937" i="7"/>
  <c r="AN938" i="7"/>
  <c r="AN939" i="7"/>
  <c r="AN940" i="7"/>
  <c r="AN941" i="7"/>
  <c r="AN942" i="7"/>
  <c r="AN943" i="7"/>
  <c r="AN944" i="7"/>
  <c r="AN945" i="7"/>
  <c r="AN946" i="7"/>
  <c r="AN947" i="7"/>
  <c r="AN948" i="7"/>
  <c r="AN949" i="7"/>
  <c r="AN950" i="7"/>
  <c r="AN951" i="7"/>
  <c r="AN952" i="7"/>
  <c r="AN953" i="7"/>
  <c r="AN954" i="7"/>
  <c r="AN955" i="7"/>
  <c r="AN956" i="7"/>
  <c r="AN957" i="7"/>
  <c r="AN958" i="7"/>
  <c r="AN959" i="7"/>
  <c r="AN960" i="7"/>
  <c r="AN961" i="7"/>
  <c r="AN962" i="7"/>
  <c r="AN963" i="7"/>
  <c r="AN964" i="7"/>
  <c r="AN965" i="7"/>
  <c r="AN966" i="7"/>
  <c r="AN967" i="7"/>
  <c r="AN968" i="7"/>
  <c r="AN969" i="7"/>
  <c r="AN970" i="7"/>
  <c r="AN971" i="7"/>
  <c r="AN972" i="7"/>
  <c r="AN973" i="7"/>
  <c r="AN974" i="7"/>
  <c r="AN975" i="7"/>
  <c r="AN976" i="7"/>
  <c r="AN977" i="7"/>
  <c r="AN978" i="7"/>
  <c r="AN979" i="7"/>
  <c r="AN980" i="7"/>
  <c r="AN981" i="7"/>
  <c r="AN982" i="7"/>
  <c r="AN983" i="7"/>
  <c r="AN984" i="7"/>
  <c r="AN985" i="7"/>
  <c r="AN986" i="7"/>
  <c r="AN987" i="7"/>
  <c r="AN988" i="7"/>
  <c r="AN989" i="7"/>
  <c r="AN990" i="7"/>
  <c r="AN991" i="7"/>
  <c r="AN992" i="7"/>
  <c r="AN993" i="7"/>
  <c r="AN994" i="7"/>
  <c r="AN995" i="7"/>
  <c r="AN996" i="7"/>
  <c r="AN997" i="7"/>
  <c r="AN998" i="7"/>
  <c r="AN999" i="7"/>
  <c r="AN1000" i="7"/>
  <c r="AN1001" i="7"/>
  <c r="AN1002" i="7"/>
  <c r="AN3" i="7"/>
  <c r="AE5" i="7"/>
  <c r="X3" i="7"/>
  <c r="X4" i="7"/>
  <c r="X5" i="7"/>
  <c r="X6" i="7"/>
  <c r="X7" i="7"/>
  <c r="X8" i="7"/>
  <c r="X9" i="7"/>
  <c r="X10" i="7"/>
  <c r="X11" i="7"/>
  <c r="W3" i="7"/>
  <c r="W4" i="7"/>
  <c r="W5" i="7"/>
  <c r="W6" i="7"/>
  <c r="W7" i="7"/>
  <c r="W8" i="7"/>
  <c r="W9" i="7"/>
  <c r="W10" i="7"/>
  <c r="W11" i="7"/>
  <c r="X2" i="7"/>
  <c r="W2" i="7"/>
  <c r="V3" i="7"/>
  <c r="V4" i="7"/>
  <c r="V5" i="7"/>
  <c r="V6" i="7"/>
  <c r="V7" i="7"/>
  <c r="V9" i="7"/>
  <c r="V10" i="7"/>
  <c r="V11" i="7"/>
  <c r="V2" i="7"/>
  <c r="AQ4" i="6"/>
  <c r="AQ1001" i="6"/>
  <c r="AQ1000" i="6"/>
  <c r="AQ999" i="6"/>
  <c r="AQ998" i="6"/>
  <c r="AQ997" i="6"/>
  <c r="AQ996" i="6"/>
  <c r="AQ995" i="6"/>
  <c r="AQ994" i="6"/>
  <c r="AQ993" i="6"/>
  <c r="AQ992" i="6"/>
  <c r="AQ991" i="6"/>
  <c r="AQ990" i="6"/>
  <c r="AQ989" i="6"/>
  <c r="AQ988" i="6"/>
  <c r="AQ987" i="6"/>
  <c r="AQ986" i="6"/>
  <c r="AQ985" i="6"/>
  <c r="AQ984" i="6"/>
  <c r="AQ983" i="6"/>
  <c r="AQ982" i="6"/>
  <c r="AQ981" i="6"/>
  <c r="AQ980" i="6"/>
  <c r="AQ979" i="6"/>
  <c r="AQ978" i="6"/>
  <c r="AQ977" i="6"/>
  <c r="AQ976" i="6"/>
  <c r="AQ975" i="6"/>
  <c r="AQ974" i="6"/>
  <c r="AQ973" i="6"/>
  <c r="AQ972" i="6"/>
  <c r="AQ971" i="6"/>
  <c r="AQ970" i="6"/>
  <c r="AQ969" i="6"/>
  <c r="AQ968" i="6"/>
  <c r="AQ967" i="6"/>
  <c r="AQ966" i="6"/>
  <c r="AQ965" i="6"/>
  <c r="AQ964" i="6"/>
  <c r="AQ963" i="6"/>
  <c r="AQ962" i="6"/>
  <c r="AQ961" i="6"/>
  <c r="AQ960" i="6"/>
  <c r="AQ959" i="6"/>
  <c r="AQ958" i="6"/>
  <c r="AQ957" i="6"/>
  <c r="AQ956" i="6"/>
  <c r="AQ955" i="6"/>
  <c r="AQ954" i="6"/>
  <c r="AQ953" i="6"/>
  <c r="AQ952" i="6"/>
  <c r="AQ951" i="6"/>
  <c r="AQ950" i="6"/>
  <c r="AQ949" i="6"/>
  <c r="AQ948" i="6"/>
  <c r="AQ947" i="6"/>
  <c r="AQ946" i="6"/>
  <c r="AQ945" i="6"/>
  <c r="AQ944" i="6"/>
  <c r="AQ943" i="6"/>
  <c r="AQ942" i="6"/>
  <c r="AQ941" i="6"/>
  <c r="AQ940" i="6"/>
  <c r="AQ939" i="6"/>
  <c r="AQ938" i="6"/>
  <c r="AQ937" i="6"/>
  <c r="AQ936" i="6"/>
  <c r="AQ935" i="6"/>
  <c r="AQ934" i="6"/>
  <c r="AQ933" i="6"/>
  <c r="AQ932" i="6"/>
  <c r="AQ931" i="6"/>
  <c r="AQ930" i="6"/>
  <c r="AQ929" i="6"/>
  <c r="AQ928" i="6"/>
  <c r="AQ927" i="6"/>
  <c r="AQ926" i="6"/>
  <c r="AQ925" i="6"/>
  <c r="AQ924" i="6"/>
  <c r="AQ923" i="6"/>
  <c r="AQ922" i="6"/>
  <c r="AQ921" i="6"/>
  <c r="AQ920" i="6"/>
  <c r="AQ919" i="6"/>
  <c r="AQ918" i="6"/>
  <c r="AQ917" i="6"/>
  <c r="AQ916" i="6"/>
  <c r="AQ915" i="6"/>
  <c r="AQ914" i="6"/>
  <c r="AQ913" i="6"/>
  <c r="AQ912" i="6"/>
  <c r="AQ911" i="6"/>
  <c r="AQ910" i="6"/>
  <c r="AQ909" i="6"/>
  <c r="AQ908" i="6"/>
  <c r="AQ907" i="6"/>
  <c r="AQ906" i="6"/>
  <c r="AQ905" i="6"/>
  <c r="AQ904" i="6"/>
  <c r="AQ903" i="6"/>
  <c r="AQ902" i="6"/>
  <c r="AQ901" i="6"/>
  <c r="AQ900" i="6"/>
  <c r="AQ899" i="6"/>
  <c r="AQ898" i="6"/>
  <c r="AQ897" i="6"/>
  <c r="AQ896" i="6"/>
  <c r="AQ895" i="6"/>
  <c r="AQ894" i="6"/>
  <c r="AQ893" i="6"/>
  <c r="AQ892" i="6"/>
  <c r="AQ891" i="6"/>
  <c r="AQ890" i="6"/>
  <c r="AQ889" i="6"/>
  <c r="AQ888" i="6"/>
  <c r="AQ887" i="6"/>
  <c r="AQ886" i="6"/>
  <c r="AQ885" i="6"/>
  <c r="AQ884" i="6"/>
  <c r="AQ883" i="6"/>
  <c r="AQ882" i="6"/>
  <c r="AQ881" i="6"/>
  <c r="AQ880" i="6"/>
  <c r="AQ879" i="6"/>
  <c r="AQ878" i="6"/>
  <c r="AQ877" i="6"/>
  <c r="AQ876" i="6"/>
  <c r="AQ875" i="6"/>
  <c r="AQ874" i="6"/>
  <c r="AQ873" i="6"/>
  <c r="AQ872" i="6"/>
  <c r="AQ871" i="6"/>
  <c r="AQ870" i="6"/>
  <c r="AQ869" i="6"/>
  <c r="AQ868" i="6"/>
  <c r="AQ867" i="6"/>
  <c r="AQ866" i="6"/>
  <c r="AQ865" i="6"/>
  <c r="AQ864" i="6"/>
  <c r="AQ863" i="6"/>
  <c r="AQ862" i="6"/>
  <c r="AQ861" i="6"/>
  <c r="AQ860" i="6"/>
  <c r="AQ859" i="6"/>
  <c r="AQ858" i="6"/>
  <c r="AQ857" i="6"/>
  <c r="AQ856" i="6"/>
  <c r="AQ855" i="6"/>
  <c r="AQ854" i="6"/>
  <c r="AQ853" i="6"/>
  <c r="AQ852" i="6"/>
  <c r="AQ851" i="6"/>
  <c r="AQ850" i="6"/>
  <c r="AQ849" i="6"/>
  <c r="AQ848" i="6"/>
  <c r="AQ847" i="6"/>
  <c r="AQ846" i="6"/>
  <c r="AQ845" i="6"/>
  <c r="AQ844" i="6"/>
  <c r="AQ843" i="6"/>
  <c r="AQ842" i="6"/>
  <c r="AQ841" i="6"/>
  <c r="AQ840" i="6"/>
  <c r="AQ839" i="6"/>
  <c r="AQ838" i="6"/>
  <c r="AQ837" i="6"/>
  <c r="AQ836" i="6"/>
  <c r="AQ835" i="6"/>
  <c r="AQ834" i="6"/>
  <c r="AQ833" i="6"/>
  <c r="AQ832" i="6"/>
  <c r="AQ831" i="6"/>
  <c r="AQ830" i="6"/>
  <c r="AQ829" i="6"/>
  <c r="AQ828" i="6"/>
  <c r="AQ827" i="6"/>
  <c r="AQ826" i="6"/>
  <c r="AQ825" i="6"/>
  <c r="AQ824" i="6"/>
  <c r="AQ823" i="6"/>
  <c r="AQ822" i="6"/>
  <c r="AQ821" i="6"/>
  <c r="AQ820" i="6"/>
  <c r="AQ819" i="6"/>
  <c r="AQ818" i="6"/>
  <c r="AQ817" i="6"/>
  <c r="AQ816" i="6"/>
  <c r="AQ815" i="6"/>
  <c r="AQ814" i="6"/>
  <c r="AQ813" i="6"/>
  <c r="AQ812" i="6"/>
  <c r="AQ811" i="6"/>
  <c r="AQ810" i="6"/>
  <c r="AQ809" i="6"/>
  <c r="AQ808" i="6"/>
  <c r="AQ807" i="6"/>
  <c r="AQ806" i="6"/>
  <c r="AQ805" i="6"/>
  <c r="AQ804" i="6"/>
  <c r="AQ803" i="6"/>
  <c r="AQ802" i="6"/>
  <c r="AQ801" i="6"/>
  <c r="AQ800" i="6"/>
  <c r="AQ799" i="6"/>
  <c r="AQ798" i="6"/>
  <c r="AQ797" i="6"/>
  <c r="AQ796" i="6"/>
  <c r="AQ795" i="6"/>
  <c r="AQ794" i="6"/>
  <c r="AQ793" i="6"/>
  <c r="AQ792" i="6"/>
  <c r="AQ791" i="6"/>
  <c r="AQ790" i="6"/>
  <c r="AQ789" i="6"/>
  <c r="AQ788" i="6"/>
  <c r="AQ787" i="6"/>
  <c r="AQ786" i="6"/>
  <c r="AQ785" i="6"/>
  <c r="AQ784" i="6"/>
  <c r="AQ783" i="6"/>
  <c r="AQ782" i="6"/>
  <c r="AQ781" i="6"/>
  <c r="AQ780" i="6"/>
  <c r="AQ779" i="6"/>
  <c r="AQ778" i="6"/>
  <c r="AQ777" i="6"/>
  <c r="AQ776" i="6"/>
  <c r="AQ775" i="6"/>
  <c r="AQ774" i="6"/>
  <c r="AQ773" i="6"/>
  <c r="AQ772" i="6"/>
  <c r="AQ771" i="6"/>
  <c r="AQ770" i="6"/>
  <c r="AQ769" i="6"/>
  <c r="AQ768" i="6"/>
  <c r="AQ767" i="6"/>
  <c r="AQ766" i="6"/>
  <c r="AQ765" i="6"/>
  <c r="AQ764" i="6"/>
  <c r="AQ763" i="6"/>
  <c r="AQ762" i="6"/>
  <c r="AQ761" i="6"/>
  <c r="AQ760" i="6"/>
  <c r="AQ759" i="6"/>
  <c r="AQ758" i="6"/>
  <c r="AQ757" i="6"/>
  <c r="AQ756" i="6"/>
  <c r="AQ755" i="6"/>
  <c r="AQ754" i="6"/>
  <c r="AQ753" i="6"/>
  <c r="AQ752" i="6"/>
  <c r="AQ751" i="6"/>
  <c r="AQ750" i="6"/>
  <c r="AQ749" i="6"/>
  <c r="AQ748" i="6"/>
  <c r="AQ747" i="6"/>
  <c r="AQ746" i="6"/>
  <c r="AQ745" i="6"/>
  <c r="AQ744" i="6"/>
  <c r="AQ743" i="6"/>
  <c r="AQ742" i="6"/>
  <c r="AQ741" i="6"/>
  <c r="AQ740" i="6"/>
  <c r="AQ739" i="6"/>
  <c r="AQ738" i="6"/>
  <c r="AQ737" i="6"/>
  <c r="AQ736" i="6"/>
  <c r="AQ735" i="6"/>
  <c r="AQ734" i="6"/>
  <c r="AQ733" i="6"/>
  <c r="AQ732" i="6"/>
  <c r="AQ731" i="6"/>
  <c r="AQ730" i="6"/>
  <c r="AQ729" i="6"/>
  <c r="AQ728" i="6"/>
  <c r="AQ727" i="6"/>
  <c r="AQ726" i="6"/>
  <c r="AQ725" i="6"/>
  <c r="AQ724" i="6"/>
  <c r="AQ723" i="6"/>
  <c r="AQ722" i="6"/>
  <c r="AQ721" i="6"/>
  <c r="AQ720" i="6"/>
  <c r="AQ719" i="6"/>
  <c r="AQ718" i="6"/>
  <c r="AQ717" i="6"/>
  <c r="AQ716" i="6"/>
  <c r="AQ715" i="6"/>
  <c r="AQ714" i="6"/>
  <c r="AQ713" i="6"/>
  <c r="AQ712" i="6"/>
  <c r="AQ711" i="6"/>
  <c r="AQ710" i="6"/>
  <c r="AQ709" i="6"/>
  <c r="AQ708" i="6"/>
  <c r="AQ707" i="6"/>
  <c r="AQ706" i="6"/>
  <c r="AQ705" i="6"/>
  <c r="AQ704" i="6"/>
  <c r="AQ703" i="6"/>
  <c r="AQ702" i="6"/>
  <c r="AQ701" i="6"/>
  <c r="AQ700" i="6"/>
  <c r="AQ699" i="6"/>
  <c r="AQ698" i="6"/>
  <c r="AQ697" i="6"/>
  <c r="AQ696" i="6"/>
  <c r="AQ695" i="6"/>
  <c r="AQ694" i="6"/>
  <c r="AQ693" i="6"/>
  <c r="AQ692" i="6"/>
  <c r="AQ691" i="6"/>
  <c r="AQ690" i="6"/>
  <c r="AQ689" i="6"/>
  <c r="AQ688" i="6"/>
  <c r="AQ687" i="6"/>
  <c r="AQ686" i="6"/>
  <c r="AQ685" i="6"/>
  <c r="AQ684" i="6"/>
  <c r="AQ683" i="6"/>
  <c r="AQ682" i="6"/>
  <c r="AQ681" i="6"/>
  <c r="AQ680" i="6"/>
  <c r="AQ679" i="6"/>
  <c r="AQ678" i="6"/>
  <c r="AQ677" i="6"/>
  <c r="AQ676" i="6"/>
  <c r="AQ675" i="6"/>
  <c r="AQ674" i="6"/>
  <c r="AQ673" i="6"/>
  <c r="AQ672" i="6"/>
  <c r="AQ671" i="6"/>
  <c r="AQ670" i="6"/>
  <c r="AQ669" i="6"/>
  <c r="AQ668" i="6"/>
  <c r="AQ667" i="6"/>
  <c r="AQ666" i="6"/>
  <c r="AQ665" i="6"/>
  <c r="AQ664" i="6"/>
  <c r="AQ663" i="6"/>
  <c r="AQ662" i="6"/>
  <c r="AQ661" i="6"/>
  <c r="AQ660" i="6"/>
  <c r="AQ659" i="6"/>
  <c r="AQ658" i="6"/>
  <c r="AQ657" i="6"/>
  <c r="AQ656" i="6"/>
  <c r="AQ655" i="6"/>
  <c r="AQ654" i="6"/>
  <c r="AQ653" i="6"/>
  <c r="AQ652" i="6"/>
  <c r="AQ651" i="6"/>
  <c r="AQ650" i="6"/>
  <c r="AQ649" i="6"/>
  <c r="AQ648" i="6"/>
  <c r="AQ647" i="6"/>
  <c r="AQ646" i="6"/>
  <c r="AQ645" i="6"/>
  <c r="AQ644" i="6"/>
  <c r="AQ643" i="6"/>
  <c r="AQ642" i="6"/>
  <c r="AQ641" i="6"/>
  <c r="AQ640" i="6"/>
  <c r="AQ639" i="6"/>
  <c r="AQ638" i="6"/>
  <c r="AQ637" i="6"/>
  <c r="AQ636" i="6"/>
  <c r="AQ635" i="6"/>
  <c r="AQ634" i="6"/>
  <c r="AQ633" i="6"/>
  <c r="AQ632" i="6"/>
  <c r="AQ631" i="6"/>
  <c r="AQ630" i="6"/>
  <c r="AQ629" i="6"/>
  <c r="AQ628" i="6"/>
  <c r="AQ627" i="6"/>
  <c r="AQ626" i="6"/>
  <c r="AQ625" i="6"/>
  <c r="AQ624" i="6"/>
  <c r="AQ623" i="6"/>
  <c r="AQ622" i="6"/>
  <c r="AQ621" i="6"/>
  <c r="AQ620" i="6"/>
  <c r="AQ619" i="6"/>
  <c r="AQ618" i="6"/>
  <c r="AQ617" i="6"/>
  <c r="AQ616" i="6"/>
  <c r="AQ615" i="6"/>
  <c r="AQ614" i="6"/>
  <c r="AQ613" i="6"/>
  <c r="AQ612" i="6"/>
  <c r="AQ611" i="6"/>
  <c r="AQ610" i="6"/>
  <c r="AQ609" i="6"/>
  <c r="AQ608" i="6"/>
  <c r="AQ607" i="6"/>
  <c r="AQ606" i="6"/>
  <c r="AQ605" i="6"/>
  <c r="AQ604" i="6"/>
  <c r="AQ603" i="6"/>
  <c r="AQ602" i="6"/>
  <c r="AQ601" i="6"/>
  <c r="AQ600" i="6"/>
  <c r="AQ599" i="6"/>
  <c r="AQ598" i="6"/>
  <c r="AQ597" i="6"/>
  <c r="AQ596" i="6"/>
  <c r="AQ595" i="6"/>
  <c r="AQ594" i="6"/>
  <c r="AQ593" i="6"/>
  <c r="AQ592" i="6"/>
  <c r="AQ591" i="6"/>
  <c r="AQ590" i="6"/>
  <c r="AQ589" i="6"/>
  <c r="AQ588" i="6"/>
  <c r="AQ587" i="6"/>
  <c r="AQ586" i="6"/>
  <c r="AQ585" i="6"/>
  <c r="AQ584" i="6"/>
  <c r="AQ583" i="6"/>
  <c r="AQ582" i="6"/>
  <c r="AQ581" i="6"/>
  <c r="AQ580" i="6"/>
  <c r="AQ579" i="6"/>
  <c r="AQ578" i="6"/>
  <c r="AQ577" i="6"/>
  <c r="AQ576" i="6"/>
  <c r="AQ575" i="6"/>
  <c r="AQ574" i="6"/>
  <c r="AQ573" i="6"/>
  <c r="AQ572" i="6"/>
  <c r="AQ571" i="6"/>
  <c r="AQ570" i="6"/>
  <c r="AQ569" i="6"/>
  <c r="AQ568" i="6"/>
  <c r="AQ567" i="6"/>
  <c r="AQ566" i="6"/>
  <c r="AQ565" i="6"/>
  <c r="AQ564" i="6"/>
  <c r="AQ563" i="6"/>
  <c r="AQ562" i="6"/>
  <c r="AQ561" i="6"/>
  <c r="AQ560" i="6"/>
  <c r="AQ559" i="6"/>
  <c r="AQ558" i="6"/>
  <c r="AQ557" i="6"/>
  <c r="AQ556" i="6"/>
  <c r="AQ555" i="6"/>
  <c r="AQ554" i="6"/>
  <c r="AQ553" i="6"/>
  <c r="AQ552" i="6"/>
  <c r="AQ551" i="6"/>
  <c r="AQ550" i="6"/>
  <c r="AQ549" i="6"/>
  <c r="AQ548" i="6"/>
  <c r="AQ547" i="6"/>
  <c r="AQ546" i="6"/>
  <c r="AQ545" i="6"/>
  <c r="AQ544" i="6"/>
  <c r="AQ543" i="6"/>
  <c r="AQ542" i="6"/>
  <c r="AQ541" i="6"/>
  <c r="AQ540" i="6"/>
  <c r="AQ539" i="6"/>
  <c r="AQ538" i="6"/>
  <c r="AQ537" i="6"/>
  <c r="AQ536" i="6"/>
  <c r="AQ535" i="6"/>
  <c r="AQ534" i="6"/>
  <c r="AQ533" i="6"/>
  <c r="AQ532" i="6"/>
  <c r="AQ531" i="6"/>
  <c r="AQ530" i="6"/>
  <c r="AQ529" i="6"/>
  <c r="AQ528" i="6"/>
  <c r="AQ527" i="6"/>
  <c r="AQ526" i="6"/>
  <c r="AQ525" i="6"/>
  <c r="AQ524" i="6"/>
  <c r="AQ523" i="6"/>
  <c r="AQ522" i="6"/>
  <c r="AQ521" i="6"/>
  <c r="AQ520" i="6"/>
  <c r="AQ519" i="6"/>
  <c r="AQ518" i="6"/>
  <c r="AQ517" i="6"/>
  <c r="AQ516" i="6"/>
  <c r="AQ515" i="6"/>
  <c r="AQ514" i="6"/>
  <c r="AQ513" i="6"/>
  <c r="AQ512" i="6"/>
  <c r="AQ511" i="6"/>
  <c r="AQ510" i="6"/>
  <c r="AQ509" i="6"/>
  <c r="AQ508" i="6"/>
  <c r="AQ507" i="6"/>
  <c r="AQ506" i="6"/>
  <c r="AQ505" i="6"/>
  <c r="AQ504" i="6"/>
  <c r="AQ503" i="6"/>
  <c r="AQ502" i="6"/>
  <c r="AQ501" i="6"/>
  <c r="AQ500" i="6"/>
  <c r="AQ499" i="6"/>
  <c r="AQ498" i="6"/>
  <c r="AQ497" i="6"/>
  <c r="AQ496" i="6"/>
  <c r="AQ495" i="6"/>
  <c r="AQ494" i="6"/>
  <c r="AQ493" i="6"/>
  <c r="AQ492" i="6"/>
  <c r="AQ491" i="6"/>
  <c r="AQ490" i="6"/>
  <c r="AQ489" i="6"/>
  <c r="AQ488" i="6"/>
  <c r="AQ487" i="6"/>
  <c r="AQ486" i="6"/>
  <c r="AQ485" i="6"/>
  <c r="AQ484" i="6"/>
  <c r="AQ483" i="6"/>
  <c r="AQ482" i="6"/>
  <c r="AQ481" i="6"/>
  <c r="AQ480" i="6"/>
  <c r="AQ479" i="6"/>
  <c r="AQ478" i="6"/>
  <c r="AQ477" i="6"/>
  <c r="AQ476" i="6"/>
  <c r="AQ475" i="6"/>
  <c r="AQ474" i="6"/>
  <c r="AQ473" i="6"/>
  <c r="AQ472" i="6"/>
  <c r="AQ471" i="6"/>
  <c r="AQ470" i="6"/>
  <c r="AQ469" i="6"/>
  <c r="AQ468" i="6"/>
  <c r="AQ467" i="6"/>
  <c r="AQ466" i="6"/>
  <c r="AQ465" i="6"/>
  <c r="AQ464" i="6"/>
  <c r="AQ463" i="6"/>
  <c r="AQ462" i="6"/>
  <c r="AQ461" i="6"/>
  <c r="AQ460" i="6"/>
  <c r="AQ459" i="6"/>
  <c r="AQ458" i="6"/>
  <c r="AQ457" i="6"/>
  <c r="AQ456" i="6"/>
  <c r="AQ455" i="6"/>
  <c r="AQ454" i="6"/>
  <c r="AQ453" i="6"/>
  <c r="AQ452" i="6"/>
  <c r="AQ451" i="6"/>
  <c r="AQ450" i="6"/>
  <c r="AQ449" i="6"/>
  <c r="AQ448" i="6"/>
  <c r="AQ447" i="6"/>
  <c r="AQ446" i="6"/>
  <c r="AQ445" i="6"/>
  <c r="AQ444" i="6"/>
  <c r="AQ443" i="6"/>
  <c r="AQ442" i="6"/>
  <c r="AQ441" i="6"/>
  <c r="AQ440" i="6"/>
  <c r="AQ439" i="6"/>
  <c r="AQ438" i="6"/>
  <c r="AQ437" i="6"/>
  <c r="AQ436" i="6"/>
  <c r="AQ435" i="6"/>
  <c r="AQ434" i="6"/>
  <c r="AQ433" i="6"/>
  <c r="AQ432" i="6"/>
  <c r="AQ431" i="6"/>
  <c r="AQ430" i="6"/>
  <c r="AQ429" i="6"/>
  <c r="AQ428" i="6"/>
  <c r="AQ427" i="6"/>
  <c r="AQ426" i="6"/>
  <c r="AQ425" i="6"/>
  <c r="AQ424" i="6"/>
  <c r="AQ423" i="6"/>
  <c r="AQ422" i="6"/>
  <c r="AQ421" i="6"/>
  <c r="AQ420" i="6"/>
  <c r="AQ419" i="6"/>
  <c r="AQ418" i="6"/>
  <c r="AQ417" i="6"/>
  <c r="AQ416" i="6"/>
  <c r="AQ415" i="6"/>
  <c r="AQ414" i="6"/>
  <c r="AQ413" i="6"/>
  <c r="AQ412" i="6"/>
  <c r="AQ411" i="6"/>
  <c r="AQ410" i="6"/>
  <c r="AQ409" i="6"/>
  <c r="AQ408" i="6"/>
  <c r="AQ407" i="6"/>
  <c r="AQ406" i="6"/>
  <c r="AQ405" i="6"/>
  <c r="AQ404" i="6"/>
  <c r="AQ403" i="6"/>
  <c r="AQ402" i="6"/>
  <c r="AQ401" i="6"/>
  <c r="AQ400" i="6"/>
  <c r="AQ399" i="6"/>
  <c r="AQ398" i="6"/>
  <c r="AQ397" i="6"/>
  <c r="AQ396" i="6"/>
  <c r="AQ395" i="6"/>
  <c r="AQ394" i="6"/>
  <c r="AQ393" i="6"/>
  <c r="AQ392" i="6"/>
  <c r="AQ391" i="6"/>
  <c r="AQ390" i="6"/>
  <c r="AQ389" i="6"/>
  <c r="AQ388" i="6"/>
  <c r="AQ387" i="6"/>
  <c r="AQ386" i="6"/>
  <c r="AQ385" i="6"/>
  <c r="AQ384" i="6"/>
  <c r="AQ383" i="6"/>
  <c r="AQ382" i="6"/>
  <c r="AQ381" i="6"/>
  <c r="AQ380" i="6"/>
  <c r="AQ379" i="6"/>
  <c r="AQ378" i="6"/>
  <c r="AQ377" i="6"/>
  <c r="AQ376" i="6"/>
  <c r="AQ375" i="6"/>
  <c r="AQ374" i="6"/>
  <c r="AQ373" i="6"/>
  <c r="AQ372" i="6"/>
  <c r="AQ371" i="6"/>
  <c r="AQ370" i="6"/>
  <c r="AQ369" i="6"/>
  <c r="AQ368" i="6"/>
  <c r="AQ367" i="6"/>
  <c r="AQ366" i="6"/>
  <c r="AQ365" i="6"/>
  <c r="AQ364" i="6"/>
  <c r="AQ363" i="6"/>
  <c r="AQ362" i="6"/>
  <c r="AQ361" i="6"/>
  <c r="AQ360" i="6"/>
  <c r="AQ359" i="6"/>
  <c r="AQ358" i="6"/>
  <c r="AQ357" i="6"/>
  <c r="AQ356" i="6"/>
  <c r="AQ355" i="6"/>
  <c r="AQ354" i="6"/>
  <c r="AQ353" i="6"/>
  <c r="AQ352" i="6"/>
  <c r="AQ351" i="6"/>
  <c r="AQ350" i="6"/>
  <c r="AQ349" i="6"/>
  <c r="AQ348" i="6"/>
  <c r="AQ347" i="6"/>
  <c r="AQ346" i="6"/>
  <c r="AQ345" i="6"/>
  <c r="AQ344" i="6"/>
  <c r="AQ343" i="6"/>
  <c r="AQ342" i="6"/>
  <c r="AQ341" i="6"/>
  <c r="AQ340" i="6"/>
  <c r="AQ339" i="6"/>
  <c r="AQ338" i="6"/>
  <c r="AQ337" i="6"/>
  <c r="AQ336" i="6"/>
  <c r="AQ335" i="6"/>
  <c r="AQ334" i="6"/>
  <c r="AQ333" i="6"/>
  <c r="AQ332" i="6"/>
  <c r="AQ331" i="6"/>
  <c r="AQ330" i="6"/>
  <c r="AQ329" i="6"/>
  <c r="AQ328" i="6"/>
  <c r="AQ327" i="6"/>
  <c r="AQ326" i="6"/>
  <c r="AQ325" i="6"/>
  <c r="AQ324" i="6"/>
  <c r="AQ323" i="6"/>
  <c r="AQ322" i="6"/>
  <c r="AQ321" i="6"/>
  <c r="AQ320" i="6"/>
  <c r="AQ319" i="6"/>
  <c r="AQ318" i="6"/>
  <c r="AQ317" i="6"/>
  <c r="AQ316" i="6"/>
  <c r="AQ315" i="6"/>
  <c r="AQ314" i="6"/>
  <c r="AQ313" i="6"/>
  <c r="AQ312" i="6"/>
  <c r="AQ311" i="6"/>
  <c r="AQ310" i="6"/>
  <c r="AQ309" i="6"/>
  <c r="AQ308" i="6"/>
  <c r="AQ307" i="6"/>
  <c r="AQ306" i="6"/>
  <c r="AQ305" i="6"/>
  <c r="AQ304" i="6"/>
  <c r="AQ303" i="6"/>
  <c r="AQ302" i="6"/>
  <c r="AQ301" i="6"/>
  <c r="AQ300" i="6"/>
  <c r="AQ299" i="6"/>
  <c r="AQ298" i="6"/>
  <c r="AQ297" i="6"/>
  <c r="AQ296" i="6"/>
  <c r="AQ295" i="6"/>
  <c r="AQ294" i="6"/>
  <c r="AQ293" i="6"/>
  <c r="AQ292" i="6"/>
  <c r="AQ291" i="6"/>
  <c r="AQ290" i="6"/>
  <c r="AQ289" i="6"/>
  <c r="AQ288" i="6"/>
  <c r="AQ287" i="6"/>
  <c r="AQ286" i="6"/>
  <c r="AQ285" i="6"/>
  <c r="AQ284" i="6"/>
  <c r="AQ283" i="6"/>
  <c r="AQ282" i="6"/>
  <c r="AQ281" i="6"/>
  <c r="AQ280" i="6"/>
  <c r="AQ279" i="6"/>
  <c r="AQ278" i="6"/>
  <c r="AQ277" i="6"/>
  <c r="AQ276" i="6"/>
  <c r="AQ275" i="6"/>
  <c r="AQ274" i="6"/>
  <c r="AQ273" i="6"/>
  <c r="AQ272" i="6"/>
  <c r="AQ271" i="6"/>
  <c r="AQ270" i="6"/>
  <c r="AQ269" i="6"/>
  <c r="AQ268" i="6"/>
  <c r="AQ267" i="6"/>
  <c r="AQ266" i="6"/>
  <c r="AQ265" i="6"/>
  <c r="AQ264" i="6"/>
  <c r="AQ263" i="6"/>
  <c r="AQ262" i="6"/>
  <c r="AQ261" i="6"/>
  <c r="AQ260" i="6"/>
  <c r="AQ259" i="6"/>
  <c r="AQ258" i="6"/>
  <c r="AQ257" i="6"/>
  <c r="AQ256" i="6"/>
  <c r="AQ255" i="6"/>
  <c r="AQ254" i="6"/>
  <c r="AQ253" i="6"/>
  <c r="AQ252" i="6"/>
  <c r="AQ251" i="6"/>
  <c r="AQ250" i="6"/>
  <c r="AQ249" i="6"/>
  <c r="AQ248" i="6"/>
  <c r="AQ247" i="6"/>
  <c r="AQ246" i="6"/>
  <c r="AQ245" i="6"/>
  <c r="AQ244" i="6"/>
  <c r="AQ243" i="6"/>
  <c r="AQ242" i="6"/>
  <c r="AQ241" i="6"/>
  <c r="AQ240" i="6"/>
  <c r="AQ239" i="6"/>
  <c r="AQ238" i="6"/>
  <c r="AQ237" i="6"/>
  <c r="AQ236" i="6"/>
  <c r="AQ235" i="6"/>
  <c r="AQ234" i="6"/>
  <c r="AQ233" i="6"/>
  <c r="AQ232" i="6"/>
  <c r="AQ231" i="6"/>
  <c r="AQ230" i="6"/>
  <c r="AQ229" i="6"/>
  <c r="AQ228" i="6"/>
  <c r="AQ227" i="6"/>
  <c r="AQ226" i="6"/>
  <c r="AQ225" i="6"/>
  <c r="AQ224" i="6"/>
  <c r="AQ223" i="6"/>
  <c r="AQ222" i="6"/>
  <c r="AQ221" i="6"/>
  <c r="AQ220" i="6"/>
  <c r="AQ219" i="6"/>
  <c r="AQ218" i="6"/>
  <c r="AQ217" i="6"/>
  <c r="AQ216" i="6"/>
  <c r="AQ215" i="6"/>
  <c r="AQ214" i="6"/>
  <c r="AQ213" i="6"/>
  <c r="AQ212" i="6"/>
  <c r="AQ211" i="6"/>
  <c r="AQ210" i="6"/>
  <c r="AQ209" i="6"/>
  <c r="AQ208" i="6"/>
  <c r="AQ207" i="6"/>
  <c r="AQ206" i="6"/>
  <c r="AQ205" i="6"/>
  <c r="AQ204" i="6"/>
  <c r="AQ203" i="6"/>
  <c r="AQ202" i="6"/>
  <c r="AQ201" i="6"/>
  <c r="AQ200" i="6"/>
  <c r="AQ199" i="6"/>
  <c r="AQ198" i="6"/>
  <c r="AQ197" i="6"/>
  <c r="AQ196" i="6"/>
  <c r="AQ195" i="6"/>
  <c r="AQ194" i="6"/>
  <c r="AQ193" i="6"/>
  <c r="AQ192" i="6"/>
  <c r="AQ191" i="6"/>
  <c r="AQ190" i="6"/>
  <c r="AQ189" i="6"/>
  <c r="AQ188" i="6"/>
  <c r="AQ187" i="6"/>
  <c r="AQ186" i="6"/>
  <c r="AQ185" i="6"/>
  <c r="AQ184" i="6"/>
  <c r="AQ183" i="6"/>
  <c r="AQ182" i="6"/>
  <c r="AQ181" i="6"/>
  <c r="AQ180" i="6"/>
  <c r="AQ179" i="6"/>
  <c r="AQ178" i="6"/>
  <c r="AQ177" i="6"/>
  <c r="AQ176" i="6"/>
  <c r="AQ175" i="6"/>
  <c r="AQ174" i="6"/>
  <c r="AQ173" i="6"/>
  <c r="AQ172" i="6"/>
  <c r="AQ171" i="6"/>
  <c r="AQ170" i="6"/>
  <c r="AQ169" i="6"/>
  <c r="AQ168" i="6"/>
  <c r="AQ167" i="6"/>
  <c r="AQ166" i="6"/>
  <c r="AQ165" i="6"/>
  <c r="AQ164" i="6"/>
  <c r="AQ163" i="6"/>
  <c r="AQ162" i="6"/>
  <c r="AQ161" i="6"/>
  <c r="AQ160" i="6"/>
  <c r="AQ159" i="6"/>
  <c r="AQ158" i="6"/>
  <c r="AQ157" i="6"/>
  <c r="AQ156" i="6"/>
  <c r="AQ155" i="6"/>
  <c r="AQ154" i="6"/>
  <c r="AQ153" i="6"/>
  <c r="AQ152" i="6"/>
  <c r="AQ151" i="6"/>
  <c r="AQ150" i="6"/>
  <c r="AQ149" i="6"/>
  <c r="AQ148" i="6"/>
  <c r="AQ147" i="6"/>
  <c r="AQ146" i="6"/>
  <c r="AQ145" i="6"/>
  <c r="AQ144" i="6"/>
  <c r="AQ143" i="6"/>
  <c r="AQ142" i="6"/>
  <c r="AQ141" i="6"/>
  <c r="AQ140" i="6"/>
  <c r="AQ139" i="6"/>
  <c r="AQ138" i="6"/>
  <c r="AQ137" i="6"/>
  <c r="AQ136" i="6"/>
  <c r="AQ135" i="6"/>
  <c r="AQ134" i="6"/>
  <c r="AQ133" i="6"/>
  <c r="AQ132" i="6"/>
  <c r="AQ131" i="6"/>
  <c r="AQ130" i="6"/>
  <c r="AQ129" i="6"/>
  <c r="AQ128" i="6"/>
  <c r="AQ127" i="6"/>
  <c r="AQ126" i="6"/>
  <c r="AQ125" i="6"/>
  <c r="AQ124" i="6"/>
  <c r="AQ123" i="6"/>
  <c r="AQ122" i="6"/>
  <c r="AQ121" i="6"/>
  <c r="AQ120" i="6"/>
  <c r="AQ119" i="6"/>
  <c r="AQ118" i="6"/>
  <c r="AQ117" i="6"/>
  <c r="AQ116" i="6"/>
  <c r="AQ115" i="6"/>
  <c r="AQ114" i="6"/>
  <c r="AQ113" i="6"/>
  <c r="AQ112" i="6"/>
  <c r="AQ111" i="6"/>
  <c r="AQ110" i="6"/>
  <c r="AQ109" i="6"/>
  <c r="AQ108" i="6"/>
  <c r="AQ107" i="6"/>
  <c r="AQ106" i="6"/>
  <c r="AQ105" i="6"/>
  <c r="AQ104" i="6"/>
  <c r="AQ103" i="6"/>
  <c r="AQ102" i="6"/>
  <c r="AQ101" i="6"/>
  <c r="AQ100" i="6"/>
  <c r="AQ99" i="6"/>
  <c r="AQ98" i="6"/>
  <c r="AQ97" i="6"/>
  <c r="AQ96" i="6"/>
  <c r="AQ95" i="6"/>
  <c r="AQ94" i="6"/>
  <c r="AQ93" i="6"/>
  <c r="AQ92" i="6"/>
  <c r="AQ91" i="6"/>
  <c r="AQ90" i="6"/>
  <c r="AQ89" i="6"/>
  <c r="AQ88" i="6"/>
  <c r="AQ87" i="6"/>
  <c r="AQ86" i="6"/>
  <c r="AQ85" i="6"/>
  <c r="AQ84" i="6"/>
  <c r="AQ83" i="6"/>
  <c r="AQ82" i="6"/>
  <c r="AQ81" i="6"/>
  <c r="AQ80" i="6"/>
  <c r="AQ79" i="6"/>
  <c r="AQ78" i="6"/>
  <c r="AQ77" i="6"/>
  <c r="AQ76" i="6"/>
  <c r="AQ75" i="6"/>
  <c r="AQ74" i="6"/>
  <c r="AQ73" i="6"/>
  <c r="AQ72" i="6"/>
  <c r="AQ71" i="6"/>
  <c r="AQ70" i="6"/>
  <c r="AQ69" i="6"/>
  <c r="AQ68" i="6"/>
  <c r="AQ67" i="6"/>
  <c r="AQ66" i="6"/>
  <c r="AQ65" i="6"/>
  <c r="AQ64" i="6"/>
  <c r="AQ63" i="6"/>
  <c r="AQ62" i="6"/>
  <c r="AQ61" i="6"/>
  <c r="AQ60" i="6"/>
  <c r="AQ59" i="6"/>
  <c r="AQ58" i="6"/>
  <c r="AQ57" i="6"/>
  <c r="AQ56" i="6"/>
  <c r="AQ5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3" i="6"/>
  <c r="AQ2" i="6"/>
  <c r="AP1001" i="6"/>
  <c r="AP1000" i="6"/>
  <c r="AP999" i="6"/>
  <c r="AP998" i="6"/>
  <c r="AP997" i="6"/>
  <c r="AP996" i="6"/>
  <c r="AP995" i="6"/>
  <c r="AP994" i="6"/>
  <c r="AP993" i="6"/>
  <c r="AP992" i="6"/>
  <c r="AP991" i="6"/>
  <c r="AP990" i="6"/>
  <c r="AP989" i="6"/>
  <c r="AP988" i="6"/>
  <c r="AP987" i="6"/>
  <c r="AP986" i="6"/>
  <c r="AP985" i="6"/>
  <c r="AP984" i="6"/>
  <c r="AP983" i="6"/>
  <c r="AP982" i="6"/>
  <c r="AP981" i="6"/>
  <c r="AP980" i="6"/>
  <c r="AP979" i="6"/>
  <c r="AP978" i="6"/>
  <c r="AP977" i="6"/>
  <c r="AP976" i="6"/>
  <c r="AP975" i="6"/>
  <c r="AP974" i="6"/>
  <c r="AP973" i="6"/>
  <c r="AP972" i="6"/>
  <c r="AP971" i="6"/>
  <c r="AP970" i="6"/>
  <c r="AP969" i="6"/>
  <c r="AP968" i="6"/>
  <c r="AP967" i="6"/>
  <c r="AP966" i="6"/>
  <c r="AP965" i="6"/>
  <c r="AP964" i="6"/>
  <c r="AP963" i="6"/>
  <c r="AP962" i="6"/>
  <c r="AP961" i="6"/>
  <c r="AP960" i="6"/>
  <c r="AP959" i="6"/>
  <c r="AP958" i="6"/>
  <c r="AP957" i="6"/>
  <c r="AP956" i="6"/>
  <c r="AP955" i="6"/>
  <c r="AP954" i="6"/>
  <c r="AP953" i="6"/>
  <c r="AP952" i="6"/>
  <c r="AP951" i="6"/>
  <c r="AP950" i="6"/>
  <c r="AP949" i="6"/>
  <c r="AP948" i="6"/>
  <c r="AP947" i="6"/>
  <c r="AP946" i="6"/>
  <c r="AP945" i="6"/>
  <c r="AP944" i="6"/>
  <c r="AP943" i="6"/>
  <c r="AP942" i="6"/>
  <c r="AP941" i="6"/>
  <c r="AP940" i="6"/>
  <c r="AP939" i="6"/>
  <c r="AP938" i="6"/>
  <c r="AP937" i="6"/>
  <c r="AP936" i="6"/>
  <c r="AP935" i="6"/>
  <c r="AP934" i="6"/>
  <c r="AP933" i="6"/>
  <c r="AP932" i="6"/>
  <c r="AP931" i="6"/>
  <c r="AP930" i="6"/>
  <c r="AP929" i="6"/>
  <c r="AP928" i="6"/>
  <c r="AP927" i="6"/>
  <c r="AP926" i="6"/>
  <c r="AP925" i="6"/>
  <c r="AP924" i="6"/>
  <c r="AP923" i="6"/>
  <c r="AP922" i="6"/>
  <c r="AP921" i="6"/>
  <c r="AP920" i="6"/>
  <c r="AP919" i="6"/>
  <c r="AP918" i="6"/>
  <c r="AP917" i="6"/>
  <c r="AP916" i="6"/>
  <c r="AP915" i="6"/>
  <c r="AP914" i="6"/>
  <c r="AP913" i="6"/>
  <c r="AP912" i="6"/>
  <c r="AP911" i="6"/>
  <c r="AP910" i="6"/>
  <c r="AP909" i="6"/>
  <c r="AP908" i="6"/>
  <c r="AP907" i="6"/>
  <c r="AP906" i="6"/>
  <c r="AP905" i="6"/>
  <c r="AP904" i="6"/>
  <c r="AP903" i="6"/>
  <c r="AP902" i="6"/>
  <c r="AP901" i="6"/>
  <c r="AP900" i="6"/>
  <c r="AP899" i="6"/>
  <c r="AP898" i="6"/>
  <c r="AP897" i="6"/>
  <c r="AP896" i="6"/>
  <c r="AP895" i="6"/>
  <c r="AP894" i="6"/>
  <c r="AP893" i="6"/>
  <c r="AP892" i="6"/>
  <c r="AP891" i="6"/>
  <c r="AP890" i="6"/>
  <c r="AP889" i="6"/>
  <c r="AP888" i="6"/>
  <c r="AP887" i="6"/>
  <c r="AP886" i="6"/>
  <c r="AP885" i="6"/>
  <c r="AP884" i="6"/>
  <c r="AP883" i="6"/>
  <c r="AP882" i="6"/>
  <c r="AP881" i="6"/>
  <c r="AP880" i="6"/>
  <c r="AP879" i="6"/>
  <c r="AP878" i="6"/>
  <c r="AP877" i="6"/>
  <c r="AP876" i="6"/>
  <c r="AP875" i="6"/>
  <c r="AP874" i="6"/>
  <c r="AP873" i="6"/>
  <c r="AP872" i="6"/>
  <c r="AP871" i="6"/>
  <c r="AP870" i="6"/>
  <c r="AP869" i="6"/>
  <c r="AP868" i="6"/>
  <c r="AP867" i="6"/>
  <c r="AP866" i="6"/>
  <c r="AP865" i="6"/>
  <c r="AP864" i="6"/>
  <c r="AP863" i="6"/>
  <c r="AP862" i="6"/>
  <c r="AP861" i="6"/>
  <c r="AP860" i="6"/>
  <c r="AP859" i="6"/>
  <c r="AP858" i="6"/>
  <c r="AP857" i="6"/>
  <c r="AP856" i="6"/>
  <c r="AP855" i="6"/>
  <c r="AP854" i="6"/>
  <c r="AP853" i="6"/>
  <c r="AP852" i="6"/>
  <c r="AP851" i="6"/>
  <c r="AP850" i="6"/>
  <c r="AP849" i="6"/>
  <c r="AP848" i="6"/>
  <c r="AP847" i="6"/>
  <c r="AP846" i="6"/>
  <c r="AP845" i="6"/>
  <c r="AP844" i="6"/>
  <c r="AP843" i="6"/>
  <c r="AP842" i="6"/>
  <c r="AP841" i="6"/>
  <c r="AP840" i="6"/>
  <c r="AP839" i="6"/>
  <c r="AP838" i="6"/>
  <c r="AP837" i="6"/>
  <c r="AP836" i="6"/>
  <c r="AP835" i="6"/>
  <c r="AP834" i="6"/>
  <c r="AP833" i="6"/>
  <c r="AP832" i="6"/>
  <c r="AP831" i="6"/>
  <c r="AP830" i="6"/>
  <c r="AP829" i="6"/>
  <c r="AP828" i="6"/>
  <c r="AP827" i="6"/>
  <c r="AP826" i="6"/>
  <c r="AP825" i="6"/>
  <c r="AP824" i="6"/>
  <c r="AP823" i="6"/>
  <c r="AP822" i="6"/>
  <c r="AP821" i="6"/>
  <c r="AP820" i="6"/>
  <c r="AP819" i="6"/>
  <c r="AP818" i="6"/>
  <c r="AP817" i="6"/>
  <c r="AP816" i="6"/>
  <c r="AP815" i="6"/>
  <c r="AP814" i="6"/>
  <c r="AP813" i="6"/>
  <c r="AP812" i="6"/>
  <c r="AP811" i="6"/>
  <c r="AP810" i="6"/>
  <c r="AP809" i="6"/>
  <c r="AP808" i="6"/>
  <c r="AP807" i="6"/>
  <c r="AP806" i="6"/>
  <c r="AP805" i="6"/>
  <c r="AP804" i="6"/>
  <c r="AP803" i="6"/>
  <c r="AP802" i="6"/>
  <c r="AP801" i="6"/>
  <c r="AP800" i="6"/>
  <c r="AP799" i="6"/>
  <c r="AP798" i="6"/>
  <c r="AP797" i="6"/>
  <c r="AP796" i="6"/>
  <c r="AP795" i="6"/>
  <c r="AP794" i="6"/>
  <c r="AP793" i="6"/>
  <c r="AP792" i="6"/>
  <c r="AP791" i="6"/>
  <c r="AP790" i="6"/>
  <c r="AP789" i="6"/>
  <c r="AP788" i="6"/>
  <c r="AP787" i="6"/>
  <c r="AP786" i="6"/>
  <c r="AP785" i="6"/>
  <c r="AP784" i="6"/>
  <c r="AP783" i="6"/>
  <c r="AP782" i="6"/>
  <c r="AP781" i="6"/>
  <c r="AP780" i="6"/>
  <c r="AP779" i="6"/>
  <c r="AP778" i="6"/>
  <c r="AP777" i="6"/>
  <c r="AP776" i="6"/>
  <c r="AP775" i="6"/>
  <c r="AP774" i="6"/>
  <c r="AP773" i="6"/>
  <c r="AP772" i="6"/>
  <c r="AP771" i="6"/>
  <c r="AP770" i="6"/>
  <c r="AP769" i="6"/>
  <c r="AP768" i="6"/>
  <c r="AP767" i="6"/>
  <c r="AP766" i="6"/>
  <c r="AP765" i="6"/>
  <c r="AP764" i="6"/>
  <c r="AP763" i="6"/>
  <c r="AP762" i="6"/>
  <c r="AP761" i="6"/>
  <c r="AP760" i="6"/>
  <c r="AP759" i="6"/>
  <c r="AP758" i="6"/>
  <c r="AP757" i="6"/>
  <c r="AP756" i="6"/>
  <c r="AP755" i="6"/>
  <c r="AP754" i="6"/>
  <c r="AP753" i="6"/>
  <c r="AP752" i="6"/>
  <c r="AP751" i="6"/>
  <c r="AP750" i="6"/>
  <c r="AP749" i="6"/>
  <c r="AP748" i="6"/>
  <c r="AP747" i="6"/>
  <c r="AP746" i="6"/>
  <c r="AP745" i="6"/>
  <c r="AP744" i="6"/>
  <c r="AP743" i="6"/>
  <c r="AP742" i="6"/>
  <c r="AP741" i="6"/>
  <c r="AP740" i="6"/>
  <c r="AP739" i="6"/>
  <c r="AP738" i="6"/>
  <c r="AP737" i="6"/>
  <c r="AP736" i="6"/>
  <c r="AP735" i="6"/>
  <c r="AP734" i="6"/>
  <c r="AP733" i="6"/>
  <c r="AP732" i="6"/>
  <c r="AP731" i="6"/>
  <c r="AP730" i="6"/>
  <c r="AP729" i="6"/>
  <c r="AP728" i="6"/>
  <c r="AP727" i="6"/>
  <c r="AP726" i="6"/>
  <c r="AP725" i="6"/>
  <c r="AP724" i="6"/>
  <c r="AP723" i="6"/>
  <c r="AP722" i="6"/>
  <c r="AP721" i="6"/>
  <c r="AP720" i="6"/>
  <c r="AP719" i="6"/>
  <c r="AP718" i="6"/>
  <c r="AP717" i="6"/>
  <c r="AP716" i="6"/>
  <c r="AP715" i="6"/>
  <c r="AP714" i="6"/>
  <c r="AP713" i="6"/>
  <c r="AP712" i="6"/>
  <c r="AP711" i="6"/>
  <c r="AP710" i="6"/>
  <c r="AP709" i="6"/>
  <c r="AP708" i="6"/>
  <c r="AP707" i="6"/>
  <c r="AP706" i="6"/>
  <c r="AP705" i="6"/>
  <c r="AP704" i="6"/>
  <c r="AP703" i="6"/>
  <c r="AP702" i="6"/>
  <c r="AP701" i="6"/>
  <c r="AP700" i="6"/>
  <c r="AP699" i="6"/>
  <c r="AP698" i="6"/>
  <c r="AP697" i="6"/>
  <c r="AP696" i="6"/>
  <c r="AP695" i="6"/>
  <c r="AP694" i="6"/>
  <c r="AP693" i="6"/>
  <c r="AP692" i="6"/>
  <c r="AP691" i="6"/>
  <c r="AP690" i="6"/>
  <c r="AP689" i="6"/>
  <c r="AP688" i="6"/>
  <c r="AP687" i="6"/>
  <c r="AP686" i="6"/>
  <c r="AP685" i="6"/>
  <c r="AP684" i="6"/>
  <c r="AP683" i="6"/>
  <c r="AP682" i="6"/>
  <c r="AP681" i="6"/>
  <c r="AP680" i="6"/>
  <c r="AP679" i="6"/>
  <c r="AP678" i="6"/>
  <c r="AP677" i="6"/>
  <c r="AP676" i="6"/>
  <c r="AP675" i="6"/>
  <c r="AP674" i="6"/>
  <c r="AP673" i="6"/>
  <c r="AP672" i="6"/>
  <c r="AP671" i="6"/>
  <c r="AP670" i="6"/>
  <c r="AP669" i="6"/>
  <c r="AP668" i="6"/>
  <c r="AP667" i="6"/>
  <c r="AP666" i="6"/>
  <c r="AP665" i="6"/>
  <c r="AP664" i="6"/>
  <c r="AP663" i="6"/>
  <c r="AP662" i="6"/>
  <c r="AP661" i="6"/>
  <c r="AP660" i="6"/>
  <c r="AP659" i="6"/>
  <c r="AP658" i="6"/>
  <c r="AP657" i="6"/>
  <c r="AP656" i="6"/>
  <c r="AP655" i="6"/>
  <c r="AP654" i="6"/>
  <c r="AP653" i="6"/>
  <c r="AP652" i="6"/>
  <c r="AP651" i="6"/>
  <c r="AP650" i="6"/>
  <c r="AP649" i="6"/>
  <c r="AP648" i="6"/>
  <c r="AP647" i="6"/>
  <c r="AP646" i="6"/>
  <c r="AP645" i="6"/>
  <c r="AP644" i="6"/>
  <c r="AP643" i="6"/>
  <c r="AP642" i="6"/>
  <c r="AP641" i="6"/>
  <c r="AP640" i="6"/>
  <c r="AP639" i="6"/>
  <c r="AP638" i="6"/>
  <c r="AP637" i="6"/>
  <c r="AP636" i="6"/>
  <c r="AP635" i="6"/>
  <c r="AP634" i="6"/>
  <c r="AP633" i="6"/>
  <c r="AP632" i="6"/>
  <c r="AP631" i="6"/>
  <c r="AP630" i="6"/>
  <c r="AP629" i="6"/>
  <c r="AP628" i="6"/>
  <c r="AP627" i="6"/>
  <c r="AP626" i="6"/>
  <c r="AP625" i="6"/>
  <c r="AP624" i="6"/>
  <c r="AP623" i="6"/>
  <c r="AP622" i="6"/>
  <c r="AP621" i="6"/>
  <c r="AP620" i="6"/>
  <c r="AP619" i="6"/>
  <c r="AP618" i="6"/>
  <c r="AP617" i="6"/>
  <c r="AP616" i="6"/>
  <c r="AP615" i="6"/>
  <c r="AP614" i="6"/>
  <c r="AP613" i="6"/>
  <c r="AP612" i="6"/>
  <c r="AP611" i="6"/>
  <c r="AP610" i="6"/>
  <c r="AP609" i="6"/>
  <c r="AP608" i="6"/>
  <c r="AP607" i="6"/>
  <c r="AP606" i="6"/>
  <c r="AP605" i="6"/>
  <c r="AP604" i="6"/>
  <c r="AP603" i="6"/>
  <c r="AP602" i="6"/>
  <c r="AP601" i="6"/>
  <c r="AP600" i="6"/>
  <c r="AP599" i="6"/>
  <c r="AP598" i="6"/>
  <c r="AP597" i="6"/>
  <c r="AP596" i="6"/>
  <c r="AP595" i="6"/>
  <c r="AP594" i="6"/>
  <c r="AP593" i="6"/>
  <c r="AP592" i="6"/>
  <c r="AP591" i="6"/>
  <c r="AP590" i="6"/>
  <c r="AP589" i="6"/>
  <c r="AP588" i="6"/>
  <c r="AP587" i="6"/>
  <c r="AP586" i="6"/>
  <c r="AP585" i="6"/>
  <c r="AP584" i="6"/>
  <c r="AP583" i="6"/>
  <c r="AP582" i="6"/>
  <c r="AP581" i="6"/>
  <c r="AP580" i="6"/>
  <c r="AP579" i="6"/>
  <c r="AP578" i="6"/>
  <c r="AP577" i="6"/>
  <c r="AP576" i="6"/>
  <c r="AP575" i="6"/>
  <c r="AP574" i="6"/>
  <c r="AP573" i="6"/>
  <c r="AP572" i="6"/>
  <c r="AP571" i="6"/>
  <c r="AP570" i="6"/>
  <c r="AP569" i="6"/>
  <c r="AP568" i="6"/>
  <c r="AP567" i="6"/>
  <c r="AP566" i="6"/>
  <c r="AP565" i="6"/>
  <c r="AP564" i="6"/>
  <c r="AP563" i="6"/>
  <c r="AP562" i="6"/>
  <c r="AP561" i="6"/>
  <c r="AP560" i="6"/>
  <c r="AP559" i="6"/>
  <c r="AP558" i="6"/>
  <c r="AP557" i="6"/>
  <c r="AP556" i="6"/>
  <c r="AP555" i="6"/>
  <c r="AP554" i="6"/>
  <c r="AP553" i="6"/>
  <c r="AP552" i="6"/>
  <c r="AP551" i="6"/>
  <c r="AP550" i="6"/>
  <c r="AP549" i="6"/>
  <c r="AP548" i="6"/>
  <c r="AP547" i="6"/>
  <c r="AP546" i="6"/>
  <c r="AP545" i="6"/>
  <c r="AP544" i="6"/>
  <c r="AP543" i="6"/>
  <c r="AP542" i="6"/>
  <c r="AP541" i="6"/>
  <c r="AP540" i="6"/>
  <c r="AP539" i="6"/>
  <c r="AP538" i="6"/>
  <c r="AP537" i="6"/>
  <c r="AP536" i="6"/>
  <c r="AP535" i="6"/>
  <c r="AP534" i="6"/>
  <c r="AP533" i="6"/>
  <c r="AP532" i="6"/>
  <c r="AP531" i="6"/>
  <c r="AP530" i="6"/>
  <c r="AP529" i="6"/>
  <c r="AP528" i="6"/>
  <c r="AP527" i="6"/>
  <c r="AP526" i="6"/>
  <c r="AP525" i="6"/>
  <c r="AP524" i="6"/>
  <c r="AP523" i="6"/>
  <c r="AP522" i="6"/>
  <c r="AP521" i="6"/>
  <c r="AP520" i="6"/>
  <c r="AP519" i="6"/>
  <c r="AP518" i="6"/>
  <c r="AP517" i="6"/>
  <c r="AP516" i="6"/>
  <c r="AP515" i="6"/>
  <c r="AP514" i="6"/>
  <c r="AP513" i="6"/>
  <c r="AP512" i="6"/>
  <c r="AP511" i="6"/>
  <c r="AP510" i="6"/>
  <c r="AP509" i="6"/>
  <c r="AP508" i="6"/>
  <c r="AP507" i="6"/>
  <c r="AP506" i="6"/>
  <c r="AP505" i="6"/>
  <c r="AP504" i="6"/>
  <c r="AP503" i="6"/>
  <c r="AP502" i="6"/>
  <c r="AP501" i="6"/>
  <c r="AP500" i="6"/>
  <c r="AP499" i="6"/>
  <c r="AP498" i="6"/>
  <c r="AP497" i="6"/>
  <c r="AP496" i="6"/>
  <c r="AP495" i="6"/>
  <c r="AP494" i="6"/>
  <c r="AP493" i="6"/>
  <c r="AP492" i="6"/>
  <c r="AP491" i="6"/>
  <c r="AP490" i="6"/>
  <c r="AP489" i="6"/>
  <c r="AP488" i="6"/>
  <c r="AP487" i="6"/>
  <c r="AP486" i="6"/>
  <c r="AP485" i="6"/>
  <c r="AP484" i="6"/>
  <c r="AP483" i="6"/>
  <c r="AP482" i="6"/>
  <c r="AP481" i="6"/>
  <c r="AP480" i="6"/>
  <c r="AP479" i="6"/>
  <c r="AP478" i="6"/>
  <c r="AP477" i="6"/>
  <c r="AP476" i="6"/>
  <c r="AP475" i="6"/>
  <c r="AP474" i="6"/>
  <c r="AP473" i="6"/>
  <c r="AP472" i="6"/>
  <c r="AP471" i="6"/>
  <c r="AP470" i="6"/>
  <c r="AP469" i="6"/>
  <c r="AP468" i="6"/>
  <c r="AP467" i="6"/>
  <c r="AP466" i="6"/>
  <c r="AP465" i="6"/>
  <c r="AP464" i="6"/>
  <c r="AP463" i="6"/>
  <c r="AP462" i="6"/>
  <c r="AP461" i="6"/>
  <c r="AP460" i="6"/>
  <c r="AP459" i="6"/>
  <c r="AP458" i="6"/>
  <c r="AP457" i="6"/>
  <c r="AP456" i="6"/>
  <c r="AP455" i="6"/>
  <c r="AP454" i="6"/>
  <c r="AP453" i="6"/>
  <c r="AP452" i="6"/>
  <c r="AP451" i="6"/>
  <c r="AP450" i="6"/>
  <c r="AP449" i="6"/>
  <c r="AP448" i="6"/>
  <c r="AP447" i="6"/>
  <c r="AP446" i="6"/>
  <c r="AP445" i="6"/>
  <c r="AP444" i="6"/>
  <c r="AP443" i="6"/>
  <c r="AP442" i="6"/>
  <c r="AP441" i="6"/>
  <c r="AP440" i="6"/>
  <c r="AP439" i="6"/>
  <c r="AP438" i="6"/>
  <c r="AP437" i="6"/>
  <c r="AP436" i="6"/>
  <c r="AP435" i="6"/>
  <c r="AP434" i="6"/>
  <c r="AP433" i="6"/>
  <c r="AP432" i="6"/>
  <c r="AP431" i="6"/>
  <c r="AP430" i="6"/>
  <c r="AP429" i="6"/>
  <c r="AP428" i="6"/>
  <c r="AP427" i="6"/>
  <c r="AP426" i="6"/>
  <c r="AP425" i="6"/>
  <c r="AP424" i="6"/>
  <c r="AP423" i="6"/>
  <c r="AP422" i="6"/>
  <c r="AP421" i="6"/>
  <c r="AP420" i="6"/>
  <c r="AP419" i="6"/>
  <c r="AP418" i="6"/>
  <c r="AP417" i="6"/>
  <c r="AP416" i="6"/>
  <c r="AP415" i="6"/>
  <c r="AP414" i="6"/>
  <c r="AP413" i="6"/>
  <c r="AP412" i="6"/>
  <c r="AP411" i="6"/>
  <c r="AP410" i="6"/>
  <c r="AP409" i="6"/>
  <c r="AP408" i="6"/>
  <c r="AP407" i="6"/>
  <c r="AP406" i="6"/>
  <c r="AP405" i="6"/>
  <c r="AP404" i="6"/>
  <c r="AP403" i="6"/>
  <c r="AP402" i="6"/>
  <c r="AP401" i="6"/>
  <c r="AP400" i="6"/>
  <c r="AP399" i="6"/>
  <c r="AP398" i="6"/>
  <c r="AP397" i="6"/>
  <c r="AP396" i="6"/>
  <c r="AP395" i="6"/>
  <c r="AP394" i="6"/>
  <c r="AP393" i="6"/>
  <c r="AP392" i="6"/>
  <c r="AP391" i="6"/>
  <c r="AP390" i="6"/>
  <c r="AP389" i="6"/>
  <c r="AP388" i="6"/>
  <c r="AP387" i="6"/>
  <c r="AP386" i="6"/>
  <c r="AP385" i="6"/>
  <c r="AP384" i="6"/>
  <c r="AP383" i="6"/>
  <c r="AP382" i="6"/>
  <c r="AP381" i="6"/>
  <c r="AP380" i="6"/>
  <c r="AP379" i="6"/>
  <c r="AP378" i="6"/>
  <c r="AP377" i="6"/>
  <c r="AP376" i="6"/>
  <c r="AP375" i="6"/>
  <c r="AP374" i="6"/>
  <c r="AP373" i="6"/>
  <c r="AP372" i="6"/>
  <c r="AP371" i="6"/>
  <c r="AP370" i="6"/>
  <c r="AP369" i="6"/>
  <c r="AP368" i="6"/>
  <c r="AP367" i="6"/>
  <c r="AP366" i="6"/>
  <c r="AP365" i="6"/>
  <c r="AP364" i="6"/>
  <c r="AP363" i="6"/>
  <c r="AP362" i="6"/>
  <c r="AP361" i="6"/>
  <c r="AP360" i="6"/>
  <c r="AP359" i="6"/>
  <c r="AP358" i="6"/>
  <c r="AP357" i="6"/>
  <c r="AP356" i="6"/>
  <c r="AP355" i="6"/>
  <c r="AP354" i="6"/>
  <c r="AP353" i="6"/>
  <c r="AP352" i="6"/>
  <c r="AP351" i="6"/>
  <c r="AP350" i="6"/>
  <c r="AP349" i="6"/>
  <c r="AP348" i="6"/>
  <c r="AP347" i="6"/>
  <c r="AP346" i="6"/>
  <c r="AP345" i="6"/>
  <c r="AP344" i="6"/>
  <c r="AP343" i="6"/>
  <c r="AP342" i="6"/>
  <c r="AP341" i="6"/>
  <c r="AP340" i="6"/>
  <c r="AP339" i="6"/>
  <c r="AP338" i="6"/>
  <c r="AP337" i="6"/>
  <c r="AP336" i="6"/>
  <c r="AP335" i="6"/>
  <c r="AP334" i="6"/>
  <c r="AP333" i="6"/>
  <c r="AP332" i="6"/>
  <c r="AP331" i="6"/>
  <c r="AP330" i="6"/>
  <c r="AP329" i="6"/>
  <c r="AP328" i="6"/>
  <c r="AP327" i="6"/>
  <c r="AP326" i="6"/>
  <c r="AP325" i="6"/>
  <c r="AP324" i="6"/>
  <c r="AP323" i="6"/>
  <c r="AP322" i="6"/>
  <c r="AP321" i="6"/>
  <c r="AP320" i="6"/>
  <c r="AP319" i="6"/>
  <c r="AP318" i="6"/>
  <c r="AP317" i="6"/>
  <c r="AP316" i="6"/>
  <c r="AP315" i="6"/>
  <c r="AP314" i="6"/>
  <c r="AP313" i="6"/>
  <c r="AP312" i="6"/>
  <c r="AP311" i="6"/>
  <c r="AP310" i="6"/>
  <c r="AP309" i="6"/>
  <c r="AP308" i="6"/>
  <c r="AP307" i="6"/>
  <c r="AP306" i="6"/>
  <c r="AP305" i="6"/>
  <c r="AP304" i="6"/>
  <c r="AP303" i="6"/>
  <c r="AP302" i="6"/>
  <c r="AP301" i="6"/>
  <c r="AP300" i="6"/>
  <c r="AP299" i="6"/>
  <c r="AP298" i="6"/>
  <c r="AP297" i="6"/>
  <c r="AP296" i="6"/>
  <c r="AP295" i="6"/>
  <c r="AP294" i="6"/>
  <c r="AP293" i="6"/>
  <c r="AP292" i="6"/>
  <c r="AP291" i="6"/>
  <c r="AP290" i="6"/>
  <c r="AP289" i="6"/>
  <c r="AP288" i="6"/>
  <c r="AP287" i="6"/>
  <c r="AP286" i="6"/>
  <c r="AP285" i="6"/>
  <c r="AP284" i="6"/>
  <c r="AP283" i="6"/>
  <c r="AP282" i="6"/>
  <c r="AP281" i="6"/>
  <c r="AP280" i="6"/>
  <c r="AP279" i="6"/>
  <c r="AP278" i="6"/>
  <c r="AP277" i="6"/>
  <c r="AP276" i="6"/>
  <c r="AP275" i="6"/>
  <c r="AP274" i="6"/>
  <c r="AP273" i="6"/>
  <c r="AP272" i="6"/>
  <c r="AP271" i="6"/>
  <c r="AP270" i="6"/>
  <c r="AP269" i="6"/>
  <c r="AP268" i="6"/>
  <c r="AP267" i="6"/>
  <c r="AP266" i="6"/>
  <c r="AP265" i="6"/>
  <c r="AP264" i="6"/>
  <c r="AP263" i="6"/>
  <c r="AP262" i="6"/>
  <c r="AP261" i="6"/>
  <c r="AP260" i="6"/>
  <c r="AP259" i="6"/>
  <c r="AP258" i="6"/>
  <c r="AP257" i="6"/>
  <c r="AP256" i="6"/>
  <c r="AP255" i="6"/>
  <c r="AP254" i="6"/>
  <c r="AP253" i="6"/>
  <c r="AP252" i="6"/>
  <c r="AP251" i="6"/>
  <c r="AP250" i="6"/>
  <c r="AP249" i="6"/>
  <c r="AP248" i="6"/>
  <c r="AP247" i="6"/>
  <c r="AP246" i="6"/>
  <c r="AP245" i="6"/>
  <c r="AP244" i="6"/>
  <c r="AP243" i="6"/>
  <c r="AP242" i="6"/>
  <c r="AP241" i="6"/>
  <c r="AP240" i="6"/>
  <c r="AP239" i="6"/>
  <c r="AP238" i="6"/>
  <c r="AP237" i="6"/>
  <c r="AP236" i="6"/>
  <c r="AP235" i="6"/>
  <c r="AP234" i="6"/>
  <c r="AP233" i="6"/>
  <c r="AP232" i="6"/>
  <c r="AP231" i="6"/>
  <c r="AP230" i="6"/>
  <c r="AP229" i="6"/>
  <c r="AP228" i="6"/>
  <c r="AP227" i="6"/>
  <c r="AP226" i="6"/>
  <c r="AP225" i="6"/>
  <c r="AP224" i="6"/>
  <c r="AP223" i="6"/>
  <c r="AP222" i="6"/>
  <c r="AP221" i="6"/>
  <c r="AP220" i="6"/>
  <c r="AP219" i="6"/>
  <c r="AP218" i="6"/>
  <c r="AP217" i="6"/>
  <c r="AP216" i="6"/>
  <c r="AP215" i="6"/>
  <c r="AP214" i="6"/>
  <c r="AP213" i="6"/>
  <c r="AP212" i="6"/>
  <c r="AP211" i="6"/>
  <c r="AP210" i="6"/>
  <c r="AP209" i="6"/>
  <c r="AP208" i="6"/>
  <c r="AP207" i="6"/>
  <c r="AP206" i="6"/>
  <c r="AP205" i="6"/>
  <c r="AP204" i="6"/>
  <c r="AP203" i="6"/>
  <c r="AP202" i="6"/>
  <c r="AP201" i="6"/>
  <c r="AP200" i="6"/>
  <c r="AP199" i="6"/>
  <c r="AP198" i="6"/>
  <c r="AP197" i="6"/>
  <c r="AP196" i="6"/>
  <c r="AP195" i="6"/>
  <c r="AP194" i="6"/>
  <c r="AP193" i="6"/>
  <c r="AP192" i="6"/>
  <c r="AP191" i="6"/>
  <c r="AP190" i="6"/>
  <c r="AP189" i="6"/>
  <c r="AP188" i="6"/>
  <c r="AP187" i="6"/>
  <c r="AP186" i="6"/>
  <c r="AP185" i="6"/>
  <c r="AP184" i="6"/>
  <c r="AP183" i="6"/>
  <c r="AP182" i="6"/>
  <c r="AP181" i="6"/>
  <c r="AP180" i="6"/>
  <c r="AP179" i="6"/>
  <c r="AP178" i="6"/>
  <c r="AP177" i="6"/>
  <c r="AP176" i="6"/>
  <c r="AP175" i="6"/>
  <c r="AP174" i="6"/>
  <c r="AP173" i="6"/>
  <c r="AP172" i="6"/>
  <c r="AP171" i="6"/>
  <c r="AP170" i="6"/>
  <c r="AP169" i="6"/>
  <c r="AP168" i="6"/>
  <c r="AP167" i="6"/>
  <c r="AP166" i="6"/>
  <c r="AP165" i="6"/>
  <c r="AP164" i="6"/>
  <c r="AP163" i="6"/>
  <c r="AP162" i="6"/>
  <c r="AP161" i="6"/>
  <c r="AP160" i="6"/>
  <c r="AP159" i="6"/>
  <c r="AP158" i="6"/>
  <c r="AP157" i="6"/>
  <c r="AP156" i="6"/>
  <c r="AP155" i="6"/>
  <c r="AP154" i="6"/>
  <c r="AP153" i="6"/>
  <c r="AP152" i="6"/>
  <c r="AP151" i="6"/>
  <c r="AP150" i="6"/>
  <c r="AP149" i="6"/>
  <c r="AP148" i="6"/>
  <c r="AP147" i="6"/>
  <c r="AP146" i="6"/>
  <c r="AP145" i="6"/>
  <c r="AP144" i="6"/>
  <c r="AP143" i="6"/>
  <c r="AP142" i="6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AP4" i="6"/>
  <c r="AP3" i="6"/>
  <c r="AP2" i="6"/>
  <c r="AO1001" i="6"/>
  <c r="AO1000" i="6"/>
  <c r="AO999" i="6"/>
  <c r="AO998" i="6"/>
  <c r="AO997" i="6"/>
  <c r="AO996" i="6"/>
  <c r="AO995" i="6"/>
  <c r="AO994" i="6"/>
  <c r="AO993" i="6"/>
  <c r="AO992" i="6"/>
  <c r="AO991" i="6"/>
  <c r="AO990" i="6"/>
  <c r="AO989" i="6"/>
  <c r="AO988" i="6"/>
  <c r="AO987" i="6"/>
  <c r="AO986" i="6"/>
  <c r="AO985" i="6"/>
  <c r="AO984" i="6"/>
  <c r="AO983" i="6"/>
  <c r="AO982" i="6"/>
  <c r="AO981" i="6"/>
  <c r="AO980" i="6"/>
  <c r="AO979" i="6"/>
  <c r="AO978" i="6"/>
  <c r="AO977" i="6"/>
  <c r="AO976" i="6"/>
  <c r="AO975" i="6"/>
  <c r="AO974" i="6"/>
  <c r="AO973" i="6"/>
  <c r="AO972" i="6"/>
  <c r="AO971" i="6"/>
  <c r="AO970" i="6"/>
  <c r="AO969" i="6"/>
  <c r="AO968" i="6"/>
  <c r="AO967" i="6"/>
  <c r="AO966" i="6"/>
  <c r="AO965" i="6"/>
  <c r="AO964" i="6"/>
  <c r="AO963" i="6"/>
  <c r="AO962" i="6"/>
  <c r="AO961" i="6"/>
  <c r="AO960" i="6"/>
  <c r="AO959" i="6"/>
  <c r="AO958" i="6"/>
  <c r="AO957" i="6"/>
  <c r="AO956" i="6"/>
  <c r="AO955" i="6"/>
  <c r="AO954" i="6"/>
  <c r="AO953" i="6"/>
  <c r="AO952" i="6"/>
  <c r="AO951" i="6"/>
  <c r="AO950" i="6"/>
  <c r="AO949" i="6"/>
  <c r="AO948" i="6"/>
  <c r="AO947" i="6"/>
  <c r="AO946" i="6"/>
  <c r="AO945" i="6"/>
  <c r="AO944" i="6"/>
  <c r="AO943" i="6"/>
  <c r="AO942" i="6"/>
  <c r="AO941" i="6"/>
  <c r="AO940" i="6"/>
  <c r="AO939" i="6"/>
  <c r="AO938" i="6"/>
  <c r="AO937" i="6"/>
  <c r="AO936" i="6"/>
  <c r="AO935" i="6"/>
  <c r="AO934" i="6"/>
  <c r="AO933" i="6"/>
  <c r="AO932" i="6"/>
  <c r="AO931" i="6"/>
  <c r="AO930" i="6"/>
  <c r="AO929" i="6"/>
  <c r="AO928" i="6"/>
  <c r="AO927" i="6"/>
  <c r="AO926" i="6"/>
  <c r="AO925" i="6"/>
  <c r="AO924" i="6"/>
  <c r="AO923" i="6"/>
  <c r="AO922" i="6"/>
  <c r="AO921" i="6"/>
  <c r="AO920" i="6"/>
  <c r="AO919" i="6"/>
  <c r="AO918" i="6"/>
  <c r="AO917" i="6"/>
  <c r="AO916" i="6"/>
  <c r="AO915" i="6"/>
  <c r="AO914" i="6"/>
  <c r="AO913" i="6"/>
  <c r="AO912" i="6"/>
  <c r="AO911" i="6"/>
  <c r="AO910" i="6"/>
  <c r="AO909" i="6"/>
  <c r="AO908" i="6"/>
  <c r="AO907" i="6"/>
  <c r="AO906" i="6"/>
  <c r="AO905" i="6"/>
  <c r="AO904" i="6"/>
  <c r="AO903" i="6"/>
  <c r="AO902" i="6"/>
  <c r="AO901" i="6"/>
  <c r="AO900" i="6"/>
  <c r="AO899" i="6"/>
  <c r="AO898" i="6"/>
  <c r="AO897" i="6"/>
  <c r="AO896" i="6"/>
  <c r="AO895" i="6"/>
  <c r="AO894" i="6"/>
  <c r="AO893" i="6"/>
  <c r="AO892" i="6"/>
  <c r="AO891" i="6"/>
  <c r="AO890" i="6"/>
  <c r="AO889" i="6"/>
  <c r="AO888" i="6"/>
  <c r="AO887" i="6"/>
  <c r="AO886" i="6"/>
  <c r="AO885" i="6"/>
  <c r="AO884" i="6"/>
  <c r="AO883" i="6"/>
  <c r="AO882" i="6"/>
  <c r="AO881" i="6"/>
  <c r="AO880" i="6"/>
  <c r="AO879" i="6"/>
  <c r="AO878" i="6"/>
  <c r="AO877" i="6"/>
  <c r="AO876" i="6"/>
  <c r="AO875" i="6"/>
  <c r="AO874" i="6"/>
  <c r="AO873" i="6"/>
  <c r="AO872" i="6"/>
  <c r="AO871" i="6"/>
  <c r="AO870" i="6"/>
  <c r="AO869" i="6"/>
  <c r="AO868" i="6"/>
  <c r="AO867" i="6"/>
  <c r="AO866" i="6"/>
  <c r="AO865" i="6"/>
  <c r="AO864" i="6"/>
  <c r="AO863" i="6"/>
  <c r="AO862" i="6"/>
  <c r="AO861" i="6"/>
  <c r="AO860" i="6"/>
  <c r="AO859" i="6"/>
  <c r="AO858" i="6"/>
  <c r="AO857" i="6"/>
  <c r="AO856" i="6"/>
  <c r="AO855" i="6"/>
  <c r="AO854" i="6"/>
  <c r="AO853" i="6"/>
  <c r="AO852" i="6"/>
  <c r="AO851" i="6"/>
  <c r="AO850" i="6"/>
  <c r="AO849" i="6"/>
  <c r="AO848" i="6"/>
  <c r="AO847" i="6"/>
  <c r="AO846" i="6"/>
  <c r="AO845" i="6"/>
  <c r="AO844" i="6"/>
  <c r="AO843" i="6"/>
  <c r="AO842" i="6"/>
  <c r="AO841" i="6"/>
  <c r="AO840" i="6"/>
  <c r="AO839" i="6"/>
  <c r="AO838" i="6"/>
  <c r="AO837" i="6"/>
  <c r="AO836" i="6"/>
  <c r="AO835" i="6"/>
  <c r="AO834" i="6"/>
  <c r="AO833" i="6"/>
  <c r="AO832" i="6"/>
  <c r="AO831" i="6"/>
  <c r="AO830" i="6"/>
  <c r="AO829" i="6"/>
  <c r="AO828" i="6"/>
  <c r="AO827" i="6"/>
  <c r="AO826" i="6"/>
  <c r="AO825" i="6"/>
  <c r="AO824" i="6"/>
  <c r="AO823" i="6"/>
  <c r="AO822" i="6"/>
  <c r="AO821" i="6"/>
  <c r="AO820" i="6"/>
  <c r="AO819" i="6"/>
  <c r="AO818" i="6"/>
  <c r="AO817" i="6"/>
  <c r="AO816" i="6"/>
  <c r="AO815" i="6"/>
  <c r="AO814" i="6"/>
  <c r="AO813" i="6"/>
  <c r="AO812" i="6"/>
  <c r="AO811" i="6"/>
  <c r="AO810" i="6"/>
  <c r="AO809" i="6"/>
  <c r="AO808" i="6"/>
  <c r="AO807" i="6"/>
  <c r="AO806" i="6"/>
  <c r="AO805" i="6"/>
  <c r="AO804" i="6"/>
  <c r="AO803" i="6"/>
  <c r="AO802" i="6"/>
  <c r="AO801" i="6"/>
  <c r="AO800" i="6"/>
  <c r="AO799" i="6"/>
  <c r="AO798" i="6"/>
  <c r="AO797" i="6"/>
  <c r="AO796" i="6"/>
  <c r="AO795" i="6"/>
  <c r="AO794" i="6"/>
  <c r="AO793" i="6"/>
  <c r="AO792" i="6"/>
  <c r="AO791" i="6"/>
  <c r="AO790" i="6"/>
  <c r="AO789" i="6"/>
  <c r="AO788" i="6"/>
  <c r="AO787" i="6"/>
  <c r="AO786" i="6"/>
  <c r="AO785" i="6"/>
  <c r="AO784" i="6"/>
  <c r="AO783" i="6"/>
  <c r="AO782" i="6"/>
  <c r="AO781" i="6"/>
  <c r="AO780" i="6"/>
  <c r="AO779" i="6"/>
  <c r="AO778" i="6"/>
  <c r="AO777" i="6"/>
  <c r="AO776" i="6"/>
  <c r="AO775" i="6"/>
  <c r="AO774" i="6"/>
  <c r="AO773" i="6"/>
  <c r="AO772" i="6"/>
  <c r="AO771" i="6"/>
  <c r="AO770" i="6"/>
  <c r="AO769" i="6"/>
  <c r="AO768" i="6"/>
  <c r="AO767" i="6"/>
  <c r="AO766" i="6"/>
  <c r="AO765" i="6"/>
  <c r="AO764" i="6"/>
  <c r="AO763" i="6"/>
  <c r="AO762" i="6"/>
  <c r="AO761" i="6"/>
  <c r="AO760" i="6"/>
  <c r="AO759" i="6"/>
  <c r="AO758" i="6"/>
  <c r="AO757" i="6"/>
  <c r="AO756" i="6"/>
  <c r="AO755" i="6"/>
  <c r="AO754" i="6"/>
  <c r="AO753" i="6"/>
  <c r="AO752" i="6"/>
  <c r="AO751" i="6"/>
  <c r="AO750" i="6"/>
  <c r="AO749" i="6"/>
  <c r="AO748" i="6"/>
  <c r="AO747" i="6"/>
  <c r="AO746" i="6"/>
  <c r="AO745" i="6"/>
  <c r="AO744" i="6"/>
  <c r="AO743" i="6"/>
  <c r="AO742" i="6"/>
  <c r="AO741" i="6"/>
  <c r="AO740" i="6"/>
  <c r="AO739" i="6"/>
  <c r="AO738" i="6"/>
  <c r="AO737" i="6"/>
  <c r="AO736" i="6"/>
  <c r="AO735" i="6"/>
  <c r="AO734" i="6"/>
  <c r="AO733" i="6"/>
  <c r="AO732" i="6"/>
  <c r="AO731" i="6"/>
  <c r="AO730" i="6"/>
  <c r="AO729" i="6"/>
  <c r="AO728" i="6"/>
  <c r="AO727" i="6"/>
  <c r="AO726" i="6"/>
  <c r="AO725" i="6"/>
  <c r="AO724" i="6"/>
  <c r="AO723" i="6"/>
  <c r="AO722" i="6"/>
  <c r="AO721" i="6"/>
  <c r="AO720" i="6"/>
  <c r="AO719" i="6"/>
  <c r="AO718" i="6"/>
  <c r="AO717" i="6"/>
  <c r="AO716" i="6"/>
  <c r="AO715" i="6"/>
  <c r="AO714" i="6"/>
  <c r="AO713" i="6"/>
  <c r="AO712" i="6"/>
  <c r="AO711" i="6"/>
  <c r="AO710" i="6"/>
  <c r="AO709" i="6"/>
  <c r="AO708" i="6"/>
  <c r="AO707" i="6"/>
  <c r="AO706" i="6"/>
  <c r="AO705" i="6"/>
  <c r="AO704" i="6"/>
  <c r="AO703" i="6"/>
  <c r="AO702" i="6"/>
  <c r="AO701" i="6"/>
  <c r="AO700" i="6"/>
  <c r="AO699" i="6"/>
  <c r="AO698" i="6"/>
  <c r="AO697" i="6"/>
  <c r="AO696" i="6"/>
  <c r="AO695" i="6"/>
  <c r="AO694" i="6"/>
  <c r="AO693" i="6"/>
  <c r="AO692" i="6"/>
  <c r="AO691" i="6"/>
  <c r="AO690" i="6"/>
  <c r="AO689" i="6"/>
  <c r="AO688" i="6"/>
  <c r="AO687" i="6"/>
  <c r="AO686" i="6"/>
  <c r="AO685" i="6"/>
  <c r="AO684" i="6"/>
  <c r="AO683" i="6"/>
  <c r="AO682" i="6"/>
  <c r="AO681" i="6"/>
  <c r="AO680" i="6"/>
  <c r="AO679" i="6"/>
  <c r="AO678" i="6"/>
  <c r="AO677" i="6"/>
  <c r="AO676" i="6"/>
  <c r="AO675" i="6"/>
  <c r="AO674" i="6"/>
  <c r="AO673" i="6"/>
  <c r="AO672" i="6"/>
  <c r="AO671" i="6"/>
  <c r="AO670" i="6"/>
  <c r="AO669" i="6"/>
  <c r="AO668" i="6"/>
  <c r="AO667" i="6"/>
  <c r="AO666" i="6"/>
  <c r="AO665" i="6"/>
  <c r="AO664" i="6"/>
  <c r="AO663" i="6"/>
  <c r="AO662" i="6"/>
  <c r="AO661" i="6"/>
  <c r="AO660" i="6"/>
  <c r="AO659" i="6"/>
  <c r="AO658" i="6"/>
  <c r="AO657" i="6"/>
  <c r="AO656" i="6"/>
  <c r="AO655" i="6"/>
  <c r="AO654" i="6"/>
  <c r="AO653" i="6"/>
  <c r="AO652" i="6"/>
  <c r="AO651" i="6"/>
  <c r="AO650" i="6"/>
  <c r="AO649" i="6"/>
  <c r="AO648" i="6"/>
  <c r="AO647" i="6"/>
  <c r="AO646" i="6"/>
  <c r="AO645" i="6"/>
  <c r="AO644" i="6"/>
  <c r="AO643" i="6"/>
  <c r="AO642" i="6"/>
  <c r="AO641" i="6"/>
  <c r="AO640" i="6"/>
  <c r="AO639" i="6"/>
  <c r="AO638" i="6"/>
  <c r="AO637" i="6"/>
  <c r="AO636" i="6"/>
  <c r="AO635" i="6"/>
  <c r="AO634" i="6"/>
  <c r="AO633" i="6"/>
  <c r="AO632" i="6"/>
  <c r="AO631" i="6"/>
  <c r="AO630" i="6"/>
  <c r="AO629" i="6"/>
  <c r="AO628" i="6"/>
  <c r="AO627" i="6"/>
  <c r="AO626" i="6"/>
  <c r="AO625" i="6"/>
  <c r="AO624" i="6"/>
  <c r="AO623" i="6"/>
  <c r="AO622" i="6"/>
  <c r="AO621" i="6"/>
  <c r="AO620" i="6"/>
  <c r="AO619" i="6"/>
  <c r="AO618" i="6"/>
  <c r="AO617" i="6"/>
  <c r="AO616" i="6"/>
  <c r="AO615" i="6"/>
  <c r="AO614" i="6"/>
  <c r="AO613" i="6"/>
  <c r="AO612" i="6"/>
  <c r="AO611" i="6"/>
  <c r="AO610" i="6"/>
  <c r="AO609" i="6"/>
  <c r="AO608" i="6"/>
  <c r="AO607" i="6"/>
  <c r="AO606" i="6"/>
  <c r="AO605" i="6"/>
  <c r="AO604" i="6"/>
  <c r="AO603" i="6"/>
  <c r="AO602" i="6"/>
  <c r="AO601" i="6"/>
  <c r="AO600" i="6"/>
  <c r="AO599" i="6"/>
  <c r="AO598" i="6"/>
  <c r="AO597" i="6"/>
  <c r="AO596" i="6"/>
  <c r="AO595" i="6"/>
  <c r="AO594" i="6"/>
  <c r="AO593" i="6"/>
  <c r="AO592" i="6"/>
  <c r="AO591" i="6"/>
  <c r="AO590" i="6"/>
  <c r="AO589" i="6"/>
  <c r="AO588" i="6"/>
  <c r="AO587" i="6"/>
  <c r="AO586" i="6"/>
  <c r="AO585" i="6"/>
  <c r="AO584" i="6"/>
  <c r="AO583" i="6"/>
  <c r="AO582" i="6"/>
  <c r="AO581" i="6"/>
  <c r="AO580" i="6"/>
  <c r="AO579" i="6"/>
  <c r="AO578" i="6"/>
  <c r="AO577" i="6"/>
  <c r="AO576" i="6"/>
  <c r="AO575" i="6"/>
  <c r="AO574" i="6"/>
  <c r="AO573" i="6"/>
  <c r="AO572" i="6"/>
  <c r="AO571" i="6"/>
  <c r="AO570" i="6"/>
  <c r="AO569" i="6"/>
  <c r="AO568" i="6"/>
  <c r="AO567" i="6"/>
  <c r="AO566" i="6"/>
  <c r="AO565" i="6"/>
  <c r="AO564" i="6"/>
  <c r="AO563" i="6"/>
  <c r="AO562" i="6"/>
  <c r="AO561" i="6"/>
  <c r="AO560" i="6"/>
  <c r="AO559" i="6"/>
  <c r="AO558" i="6"/>
  <c r="AO557" i="6"/>
  <c r="AO556" i="6"/>
  <c r="AO555" i="6"/>
  <c r="AO554" i="6"/>
  <c r="AO553" i="6"/>
  <c r="AO552" i="6"/>
  <c r="AO551" i="6"/>
  <c r="AO550" i="6"/>
  <c r="AO549" i="6"/>
  <c r="AO548" i="6"/>
  <c r="AO547" i="6"/>
  <c r="AO546" i="6"/>
  <c r="AO545" i="6"/>
  <c r="AO544" i="6"/>
  <c r="AO543" i="6"/>
  <c r="AO542" i="6"/>
  <c r="AO541" i="6"/>
  <c r="AO540" i="6"/>
  <c r="AO539" i="6"/>
  <c r="AO538" i="6"/>
  <c r="AO537" i="6"/>
  <c r="AO536" i="6"/>
  <c r="AO535" i="6"/>
  <c r="AO534" i="6"/>
  <c r="AO533" i="6"/>
  <c r="AO532" i="6"/>
  <c r="AO531" i="6"/>
  <c r="AO530" i="6"/>
  <c r="AO529" i="6"/>
  <c r="AO528" i="6"/>
  <c r="AO527" i="6"/>
  <c r="AO526" i="6"/>
  <c r="AO525" i="6"/>
  <c r="AO524" i="6"/>
  <c r="AO523" i="6"/>
  <c r="AO522" i="6"/>
  <c r="AO521" i="6"/>
  <c r="AO520" i="6"/>
  <c r="AO519" i="6"/>
  <c r="AO518" i="6"/>
  <c r="AO517" i="6"/>
  <c r="AO516" i="6"/>
  <c r="AO515" i="6"/>
  <c r="AO514" i="6"/>
  <c r="AO513" i="6"/>
  <c r="AO512" i="6"/>
  <c r="AO511" i="6"/>
  <c r="AO510" i="6"/>
  <c r="AO509" i="6"/>
  <c r="AO508" i="6"/>
  <c r="AO507" i="6"/>
  <c r="AO506" i="6"/>
  <c r="AO505" i="6"/>
  <c r="AO504" i="6"/>
  <c r="AO503" i="6"/>
  <c r="AO502" i="6"/>
  <c r="AO501" i="6"/>
  <c r="AO500" i="6"/>
  <c r="AO499" i="6"/>
  <c r="AO498" i="6"/>
  <c r="AO497" i="6"/>
  <c r="AO496" i="6"/>
  <c r="AO495" i="6"/>
  <c r="AO494" i="6"/>
  <c r="AO493" i="6"/>
  <c r="AO492" i="6"/>
  <c r="AO491" i="6"/>
  <c r="AO490" i="6"/>
  <c r="AO489" i="6"/>
  <c r="AO488" i="6"/>
  <c r="AO487" i="6"/>
  <c r="AO486" i="6"/>
  <c r="AO485" i="6"/>
  <c r="AO484" i="6"/>
  <c r="AO483" i="6"/>
  <c r="AO482" i="6"/>
  <c r="AO481" i="6"/>
  <c r="AO480" i="6"/>
  <c r="AO479" i="6"/>
  <c r="AO478" i="6"/>
  <c r="AO477" i="6"/>
  <c r="AO476" i="6"/>
  <c r="AO475" i="6"/>
  <c r="AO474" i="6"/>
  <c r="AO473" i="6"/>
  <c r="AO472" i="6"/>
  <c r="AO471" i="6"/>
  <c r="AO470" i="6"/>
  <c r="AO469" i="6"/>
  <c r="AO468" i="6"/>
  <c r="AO467" i="6"/>
  <c r="AO466" i="6"/>
  <c r="AO465" i="6"/>
  <c r="AO464" i="6"/>
  <c r="AO463" i="6"/>
  <c r="AO462" i="6"/>
  <c r="AO461" i="6"/>
  <c r="AO460" i="6"/>
  <c r="AO459" i="6"/>
  <c r="AO458" i="6"/>
  <c r="AO457" i="6"/>
  <c r="AO456" i="6"/>
  <c r="AO455" i="6"/>
  <c r="AO454" i="6"/>
  <c r="AO453" i="6"/>
  <c r="AO452" i="6"/>
  <c r="AO451" i="6"/>
  <c r="AO450" i="6"/>
  <c r="AO449" i="6"/>
  <c r="AO448" i="6"/>
  <c r="AO447" i="6"/>
  <c r="AO446" i="6"/>
  <c r="AO445" i="6"/>
  <c r="AO444" i="6"/>
  <c r="AO443" i="6"/>
  <c r="AO442" i="6"/>
  <c r="AO441" i="6"/>
  <c r="AO440" i="6"/>
  <c r="AO439" i="6"/>
  <c r="AO438" i="6"/>
  <c r="AO437" i="6"/>
  <c r="AO436" i="6"/>
  <c r="AO435" i="6"/>
  <c r="AO434" i="6"/>
  <c r="AO433" i="6"/>
  <c r="AO432" i="6"/>
  <c r="AO431" i="6"/>
  <c r="AO430" i="6"/>
  <c r="AO429" i="6"/>
  <c r="AO428" i="6"/>
  <c r="AO427" i="6"/>
  <c r="AO426" i="6"/>
  <c r="AO425" i="6"/>
  <c r="AO424" i="6"/>
  <c r="AO423" i="6"/>
  <c r="AO422" i="6"/>
  <c r="AO421" i="6"/>
  <c r="AO420" i="6"/>
  <c r="AO419" i="6"/>
  <c r="AO418" i="6"/>
  <c r="AO417" i="6"/>
  <c r="AO416" i="6"/>
  <c r="AO415" i="6"/>
  <c r="AO414" i="6"/>
  <c r="AO413" i="6"/>
  <c r="AO412" i="6"/>
  <c r="AO411" i="6"/>
  <c r="AO410" i="6"/>
  <c r="AO409" i="6"/>
  <c r="AO408" i="6"/>
  <c r="AO407" i="6"/>
  <c r="AO406" i="6"/>
  <c r="AO405" i="6"/>
  <c r="AO404" i="6"/>
  <c r="AO403" i="6"/>
  <c r="AO402" i="6"/>
  <c r="AO401" i="6"/>
  <c r="AO400" i="6"/>
  <c r="AO399" i="6"/>
  <c r="AO398" i="6"/>
  <c r="AO397" i="6"/>
  <c r="AO396" i="6"/>
  <c r="AO395" i="6"/>
  <c r="AO394" i="6"/>
  <c r="AO393" i="6"/>
  <c r="AO392" i="6"/>
  <c r="AO391" i="6"/>
  <c r="AO390" i="6"/>
  <c r="AO389" i="6"/>
  <c r="AO388" i="6"/>
  <c r="AO387" i="6"/>
  <c r="AO386" i="6"/>
  <c r="AO385" i="6"/>
  <c r="AO384" i="6"/>
  <c r="AO383" i="6"/>
  <c r="AO382" i="6"/>
  <c r="AO381" i="6"/>
  <c r="AO380" i="6"/>
  <c r="AO379" i="6"/>
  <c r="AO378" i="6"/>
  <c r="AO377" i="6"/>
  <c r="AO376" i="6"/>
  <c r="AO375" i="6"/>
  <c r="AO374" i="6"/>
  <c r="AO373" i="6"/>
  <c r="AO372" i="6"/>
  <c r="AO371" i="6"/>
  <c r="AO370" i="6"/>
  <c r="AO369" i="6"/>
  <c r="AO368" i="6"/>
  <c r="AO367" i="6"/>
  <c r="AO366" i="6"/>
  <c r="AO365" i="6"/>
  <c r="AO364" i="6"/>
  <c r="AO363" i="6"/>
  <c r="AO362" i="6"/>
  <c r="AO361" i="6"/>
  <c r="AO360" i="6"/>
  <c r="AO359" i="6"/>
  <c r="AO358" i="6"/>
  <c r="AO357" i="6"/>
  <c r="AO356" i="6"/>
  <c r="AO355" i="6"/>
  <c r="AO354" i="6"/>
  <c r="AO353" i="6"/>
  <c r="AO352" i="6"/>
  <c r="AO351" i="6"/>
  <c r="AO350" i="6"/>
  <c r="AO349" i="6"/>
  <c r="AO348" i="6"/>
  <c r="AO347" i="6"/>
  <c r="AO346" i="6"/>
  <c r="AO345" i="6"/>
  <c r="AO344" i="6"/>
  <c r="AO343" i="6"/>
  <c r="AO342" i="6"/>
  <c r="AO341" i="6"/>
  <c r="AO340" i="6"/>
  <c r="AO339" i="6"/>
  <c r="AO338" i="6"/>
  <c r="AO337" i="6"/>
  <c r="AO336" i="6"/>
  <c r="AO335" i="6"/>
  <c r="AO334" i="6"/>
  <c r="AO333" i="6"/>
  <c r="AO332" i="6"/>
  <c r="AO331" i="6"/>
  <c r="AO330" i="6"/>
  <c r="AO329" i="6"/>
  <c r="AO328" i="6"/>
  <c r="AO327" i="6"/>
  <c r="AO326" i="6"/>
  <c r="AO325" i="6"/>
  <c r="AO324" i="6"/>
  <c r="AO323" i="6"/>
  <c r="AO322" i="6"/>
  <c r="AO321" i="6"/>
  <c r="AO320" i="6"/>
  <c r="AO319" i="6"/>
  <c r="AO318" i="6"/>
  <c r="AO317" i="6"/>
  <c r="AO316" i="6"/>
  <c r="AO315" i="6"/>
  <c r="AO314" i="6"/>
  <c r="AO313" i="6"/>
  <c r="AO312" i="6"/>
  <c r="AO311" i="6"/>
  <c r="AO310" i="6"/>
  <c r="AO309" i="6"/>
  <c r="AO308" i="6"/>
  <c r="AO307" i="6"/>
  <c r="AO306" i="6"/>
  <c r="AO305" i="6"/>
  <c r="AO304" i="6"/>
  <c r="AO303" i="6"/>
  <c r="AO302" i="6"/>
  <c r="AO301" i="6"/>
  <c r="AO300" i="6"/>
  <c r="AO299" i="6"/>
  <c r="AO298" i="6"/>
  <c r="AO297" i="6"/>
  <c r="AO296" i="6"/>
  <c r="AO295" i="6"/>
  <c r="AO294" i="6"/>
  <c r="AO293" i="6"/>
  <c r="AO292" i="6"/>
  <c r="AO291" i="6"/>
  <c r="AO290" i="6"/>
  <c r="AO289" i="6"/>
  <c r="AO288" i="6"/>
  <c r="AO287" i="6"/>
  <c r="AO286" i="6"/>
  <c r="AO285" i="6"/>
  <c r="AO284" i="6"/>
  <c r="AO283" i="6"/>
  <c r="AO282" i="6"/>
  <c r="AO281" i="6"/>
  <c r="AO280" i="6"/>
  <c r="AO279" i="6"/>
  <c r="AO278" i="6"/>
  <c r="AO277" i="6"/>
  <c r="AO276" i="6"/>
  <c r="AO275" i="6"/>
  <c r="AO274" i="6"/>
  <c r="AO273" i="6"/>
  <c r="AO272" i="6"/>
  <c r="AO271" i="6"/>
  <c r="AO270" i="6"/>
  <c r="AO269" i="6"/>
  <c r="AO268" i="6"/>
  <c r="AO267" i="6"/>
  <c r="AO266" i="6"/>
  <c r="AO265" i="6"/>
  <c r="AO264" i="6"/>
  <c r="AO263" i="6"/>
  <c r="AO262" i="6"/>
  <c r="AO261" i="6"/>
  <c r="AO260" i="6"/>
  <c r="AO259" i="6"/>
  <c r="AO258" i="6"/>
  <c r="AO257" i="6"/>
  <c r="AO256" i="6"/>
  <c r="AO255" i="6"/>
  <c r="AO254" i="6"/>
  <c r="AO253" i="6"/>
  <c r="AO252" i="6"/>
  <c r="AO251" i="6"/>
  <c r="AO250" i="6"/>
  <c r="AO249" i="6"/>
  <c r="AO248" i="6"/>
  <c r="AO247" i="6"/>
  <c r="AO246" i="6"/>
  <c r="AO245" i="6"/>
  <c r="AO244" i="6"/>
  <c r="AO243" i="6"/>
  <c r="AO242" i="6"/>
  <c r="AO241" i="6"/>
  <c r="AO240" i="6"/>
  <c r="AO239" i="6"/>
  <c r="AO238" i="6"/>
  <c r="AO237" i="6"/>
  <c r="AO236" i="6"/>
  <c r="AO235" i="6"/>
  <c r="AO234" i="6"/>
  <c r="AO233" i="6"/>
  <c r="AO232" i="6"/>
  <c r="AO231" i="6"/>
  <c r="AO230" i="6"/>
  <c r="AO229" i="6"/>
  <c r="AO228" i="6"/>
  <c r="AO227" i="6"/>
  <c r="AO226" i="6"/>
  <c r="AO225" i="6"/>
  <c r="AO224" i="6"/>
  <c r="AO223" i="6"/>
  <c r="AO222" i="6"/>
  <c r="AO221" i="6"/>
  <c r="AO220" i="6"/>
  <c r="AO219" i="6"/>
  <c r="AO218" i="6"/>
  <c r="AO217" i="6"/>
  <c r="AO216" i="6"/>
  <c r="AO215" i="6"/>
  <c r="AO214" i="6"/>
  <c r="AO213" i="6"/>
  <c r="AO212" i="6"/>
  <c r="AO211" i="6"/>
  <c r="AO210" i="6"/>
  <c r="AO209" i="6"/>
  <c r="AO208" i="6"/>
  <c r="AO207" i="6"/>
  <c r="AO206" i="6"/>
  <c r="AO205" i="6"/>
  <c r="AO204" i="6"/>
  <c r="AO203" i="6"/>
  <c r="AO202" i="6"/>
  <c r="AO201" i="6"/>
  <c r="AO200" i="6"/>
  <c r="AO199" i="6"/>
  <c r="AO198" i="6"/>
  <c r="AO197" i="6"/>
  <c r="AO196" i="6"/>
  <c r="AO195" i="6"/>
  <c r="AO194" i="6"/>
  <c r="AO193" i="6"/>
  <c r="AO192" i="6"/>
  <c r="AO191" i="6"/>
  <c r="AO190" i="6"/>
  <c r="AO189" i="6"/>
  <c r="AO188" i="6"/>
  <c r="AO187" i="6"/>
  <c r="AO186" i="6"/>
  <c r="AO185" i="6"/>
  <c r="AO184" i="6"/>
  <c r="AO183" i="6"/>
  <c r="AO182" i="6"/>
  <c r="AO181" i="6"/>
  <c r="AO180" i="6"/>
  <c r="AO179" i="6"/>
  <c r="AO178" i="6"/>
  <c r="AO177" i="6"/>
  <c r="AO176" i="6"/>
  <c r="AO175" i="6"/>
  <c r="AO174" i="6"/>
  <c r="AO173" i="6"/>
  <c r="AO172" i="6"/>
  <c r="AO171" i="6"/>
  <c r="AO170" i="6"/>
  <c r="AO169" i="6"/>
  <c r="AO168" i="6"/>
  <c r="AO167" i="6"/>
  <c r="AO166" i="6"/>
  <c r="AO165" i="6"/>
  <c r="AO164" i="6"/>
  <c r="AO163" i="6"/>
  <c r="AO162" i="6"/>
  <c r="AO161" i="6"/>
  <c r="AO160" i="6"/>
  <c r="AO159" i="6"/>
  <c r="AO158" i="6"/>
  <c r="AO157" i="6"/>
  <c r="AO156" i="6"/>
  <c r="AO155" i="6"/>
  <c r="AO154" i="6"/>
  <c r="AO153" i="6"/>
  <c r="AO152" i="6"/>
  <c r="AO151" i="6"/>
  <c r="AO150" i="6"/>
  <c r="AO149" i="6"/>
  <c r="AO148" i="6"/>
  <c r="AO147" i="6"/>
  <c r="AO146" i="6"/>
  <c r="AO145" i="6"/>
  <c r="AO144" i="6"/>
  <c r="AO143" i="6"/>
  <c r="AO142" i="6"/>
  <c r="AO141" i="6"/>
  <c r="AO140" i="6"/>
  <c r="AO139" i="6"/>
  <c r="AO138" i="6"/>
  <c r="AO137" i="6"/>
  <c r="AO136" i="6"/>
  <c r="AO135" i="6"/>
  <c r="AO134" i="6"/>
  <c r="AO133" i="6"/>
  <c r="AO132" i="6"/>
  <c r="AO131" i="6"/>
  <c r="AO130" i="6"/>
  <c r="AO129" i="6"/>
  <c r="AO128" i="6"/>
  <c r="AO127" i="6"/>
  <c r="AO126" i="6"/>
  <c r="AO125" i="6"/>
  <c r="AO124" i="6"/>
  <c r="AO123" i="6"/>
  <c r="AO122" i="6"/>
  <c r="AO121" i="6"/>
  <c r="AO120" i="6"/>
  <c r="AO119" i="6"/>
  <c r="AO118" i="6"/>
  <c r="AO117" i="6"/>
  <c r="AO116" i="6"/>
  <c r="AO115" i="6"/>
  <c r="AO114" i="6"/>
  <c r="AO113" i="6"/>
  <c r="AO112" i="6"/>
  <c r="AO111" i="6"/>
  <c r="AO110" i="6"/>
  <c r="AO109" i="6"/>
  <c r="AO108" i="6"/>
  <c r="AO107" i="6"/>
  <c r="AO106" i="6"/>
  <c r="AO105" i="6"/>
  <c r="AO104" i="6"/>
  <c r="AO103" i="6"/>
  <c r="AO102" i="6"/>
  <c r="AO101" i="6"/>
  <c r="AO100" i="6"/>
  <c r="AO99" i="6"/>
  <c r="AO98" i="6"/>
  <c r="AO97" i="6"/>
  <c r="AO96" i="6"/>
  <c r="AO95" i="6"/>
  <c r="AO94" i="6"/>
  <c r="AO93" i="6"/>
  <c r="AO92" i="6"/>
  <c r="AO91" i="6"/>
  <c r="AO90" i="6"/>
  <c r="AO89" i="6"/>
  <c r="AO88" i="6"/>
  <c r="AO87" i="6"/>
  <c r="AO86" i="6"/>
  <c r="AO85" i="6"/>
  <c r="AO84" i="6"/>
  <c r="AO83" i="6"/>
  <c r="AO82" i="6"/>
  <c r="AO81" i="6"/>
  <c r="AO80" i="6"/>
  <c r="AO79" i="6"/>
  <c r="AO78" i="6"/>
  <c r="AO77" i="6"/>
  <c r="AO76" i="6"/>
  <c r="AO75" i="6"/>
  <c r="AO74" i="6"/>
  <c r="AO73" i="6"/>
  <c r="AO72" i="6"/>
  <c r="AO71" i="6"/>
  <c r="AO70" i="6"/>
  <c r="AO69" i="6"/>
  <c r="AO68" i="6"/>
  <c r="AO67" i="6"/>
  <c r="AO66" i="6"/>
  <c r="AO65" i="6"/>
  <c r="AO64" i="6"/>
  <c r="AO63" i="6"/>
  <c r="AO62" i="6"/>
  <c r="AO61" i="6"/>
  <c r="AO60" i="6"/>
  <c r="AO59" i="6"/>
  <c r="AO58" i="6"/>
  <c r="AO57" i="6"/>
  <c r="AO56" i="6"/>
  <c r="AO55" i="6"/>
  <c r="AO54" i="6"/>
  <c r="AO53" i="6"/>
  <c r="AO52" i="6"/>
  <c r="AO51" i="6"/>
  <c r="AO50" i="6"/>
  <c r="AO49" i="6"/>
  <c r="AO48" i="6"/>
  <c r="AO47" i="6"/>
  <c r="AO46" i="6"/>
  <c r="AO45" i="6"/>
  <c r="AO44" i="6"/>
  <c r="AO43" i="6"/>
  <c r="AO42" i="6"/>
  <c r="AO41" i="6"/>
  <c r="AO40" i="6"/>
  <c r="AO39" i="6"/>
  <c r="AO38" i="6"/>
  <c r="AO37" i="6"/>
  <c r="AO36" i="6"/>
  <c r="AO35" i="6"/>
  <c r="AO34" i="6"/>
  <c r="AO33" i="6"/>
  <c r="AO32" i="6"/>
  <c r="AO31" i="6"/>
  <c r="AO30" i="6"/>
  <c r="AO29" i="6"/>
  <c r="AO28" i="6"/>
  <c r="AO27" i="6"/>
  <c r="AO26" i="6"/>
  <c r="AO25" i="6"/>
  <c r="AO24" i="6"/>
  <c r="AO23" i="6"/>
  <c r="AO22" i="6"/>
  <c r="AO21" i="6"/>
  <c r="AO20" i="6"/>
  <c r="AO19" i="6"/>
  <c r="AO18" i="6"/>
  <c r="AO17" i="6"/>
  <c r="AO16" i="6"/>
  <c r="AO15" i="6"/>
  <c r="AO14" i="6"/>
  <c r="AO13" i="6"/>
  <c r="AO12" i="6"/>
  <c r="AO11" i="6"/>
  <c r="AO10" i="6"/>
  <c r="AO9" i="6"/>
  <c r="AO8" i="6"/>
  <c r="AO7" i="6"/>
  <c r="AO6" i="6"/>
  <c r="AO5" i="6"/>
  <c r="AO4" i="6"/>
  <c r="AO3" i="6"/>
  <c r="AO2" i="6"/>
  <c r="AN1001" i="6" a="1"/>
  <c r="AN1001" i="6" s="1"/>
  <c r="AN1000" i="6" a="1"/>
  <c r="AN1000" i="6" s="1"/>
  <c r="AN999" i="6" a="1"/>
  <c r="AN999" i="6" s="1"/>
  <c r="AN998" i="6" a="1"/>
  <c r="AN998" i="6" s="1"/>
  <c r="AN997" i="6" a="1"/>
  <c r="AN997" i="6" s="1"/>
  <c r="AN996" i="6" a="1"/>
  <c r="AN996" i="6" s="1"/>
  <c r="AN995" i="6" a="1"/>
  <c r="AN995" i="6" s="1"/>
  <c r="AN994" i="6" a="1"/>
  <c r="AN994" i="6" s="1"/>
  <c r="AN993" i="6" a="1"/>
  <c r="AN993" i="6" s="1"/>
  <c r="AN992" i="6" a="1"/>
  <c r="AN992" i="6" s="1"/>
  <c r="AN991" i="6" a="1"/>
  <c r="AN991" i="6" s="1"/>
  <c r="AN990" i="6" a="1"/>
  <c r="AN990" i="6" s="1"/>
  <c r="AN989" i="6" a="1"/>
  <c r="AN989" i="6" s="1"/>
  <c r="AN988" i="6" a="1"/>
  <c r="AN988" i="6" s="1"/>
  <c r="AN987" i="6" a="1"/>
  <c r="AN987" i="6" s="1"/>
  <c r="AN986" i="6" a="1"/>
  <c r="AN986" i="6" s="1"/>
  <c r="AN985" i="6" a="1"/>
  <c r="AN985" i="6" s="1"/>
  <c r="AN984" i="6" a="1"/>
  <c r="AN984" i="6" s="1"/>
  <c r="AN983" i="6" a="1"/>
  <c r="AN983" i="6" s="1"/>
  <c r="AN982" i="6" a="1"/>
  <c r="AN982" i="6" s="1"/>
  <c r="AN981" i="6" a="1"/>
  <c r="AN981" i="6" s="1"/>
  <c r="AN980" i="6" a="1"/>
  <c r="AN980" i="6" s="1"/>
  <c r="AN979" i="6" a="1"/>
  <c r="AN979" i="6" s="1"/>
  <c r="AN978" i="6" a="1"/>
  <c r="AN978" i="6" s="1"/>
  <c r="AN977" i="6" a="1"/>
  <c r="AN977" i="6" s="1"/>
  <c r="AN976" i="6" a="1"/>
  <c r="AN976" i="6" s="1"/>
  <c r="AN975" i="6" a="1"/>
  <c r="AN975" i="6" s="1"/>
  <c r="AN974" i="6" a="1"/>
  <c r="AN974" i="6" s="1"/>
  <c r="AN973" i="6" a="1"/>
  <c r="AN973" i="6" s="1"/>
  <c r="AN972" i="6" a="1"/>
  <c r="AN972" i="6" s="1"/>
  <c r="AN971" i="6" a="1"/>
  <c r="AN971" i="6" s="1"/>
  <c r="AN970" i="6" a="1"/>
  <c r="AN970" i="6" s="1"/>
  <c r="AN969" i="6" a="1"/>
  <c r="AN969" i="6" s="1"/>
  <c r="AN968" i="6" a="1"/>
  <c r="AN968" i="6" s="1"/>
  <c r="AN967" i="6" a="1"/>
  <c r="AN967" i="6" s="1"/>
  <c r="AN966" i="6" a="1"/>
  <c r="AN966" i="6" s="1"/>
  <c r="AN965" i="6" a="1"/>
  <c r="AN965" i="6" s="1"/>
  <c r="AN964" i="6" a="1"/>
  <c r="AN964" i="6" s="1"/>
  <c r="AN963" i="6" a="1"/>
  <c r="AN963" i="6" s="1"/>
  <c r="AN962" i="6" a="1"/>
  <c r="AN962" i="6" s="1"/>
  <c r="AN961" i="6" a="1"/>
  <c r="AN961" i="6" s="1"/>
  <c r="AN960" i="6" a="1"/>
  <c r="AN960" i="6" s="1"/>
  <c r="AN959" i="6" a="1"/>
  <c r="AN959" i="6" s="1"/>
  <c r="AN958" i="6" a="1"/>
  <c r="AN958" i="6" s="1"/>
  <c r="AN957" i="6" a="1"/>
  <c r="AN957" i="6" s="1"/>
  <c r="AN956" i="6" a="1"/>
  <c r="AN956" i="6" s="1"/>
  <c r="AN955" i="6" a="1"/>
  <c r="AN955" i="6" s="1"/>
  <c r="AN954" i="6" a="1"/>
  <c r="AN954" i="6" s="1"/>
  <c r="AN953" i="6" a="1"/>
  <c r="AN953" i="6" s="1"/>
  <c r="AN952" i="6" a="1"/>
  <c r="AN952" i="6" s="1"/>
  <c r="AN951" i="6" a="1"/>
  <c r="AN951" i="6" s="1"/>
  <c r="AN950" i="6" a="1"/>
  <c r="AN950" i="6" s="1"/>
  <c r="AN949" i="6" a="1"/>
  <c r="AN949" i="6" s="1"/>
  <c r="AN948" i="6" a="1"/>
  <c r="AN948" i="6" s="1"/>
  <c r="AN947" i="6" a="1"/>
  <c r="AN947" i="6" s="1"/>
  <c r="AN946" i="6" a="1"/>
  <c r="AN946" i="6" s="1"/>
  <c r="AN945" i="6" a="1"/>
  <c r="AN945" i="6" s="1"/>
  <c r="AN944" i="6" a="1"/>
  <c r="AN944" i="6" s="1"/>
  <c r="AN943" i="6" a="1"/>
  <c r="AN943" i="6" s="1"/>
  <c r="AN942" i="6" a="1"/>
  <c r="AN942" i="6" s="1"/>
  <c r="AN941" i="6" a="1"/>
  <c r="AN941" i="6" s="1"/>
  <c r="AN940" i="6" a="1"/>
  <c r="AN940" i="6" s="1"/>
  <c r="AN939" i="6" a="1"/>
  <c r="AN939" i="6" s="1"/>
  <c r="AN938" i="6" a="1"/>
  <c r="AN938" i="6" s="1"/>
  <c r="AN937" i="6" a="1"/>
  <c r="AN937" i="6" s="1"/>
  <c r="AN936" i="6" a="1"/>
  <c r="AN936" i="6" s="1"/>
  <c r="AN935" i="6" a="1"/>
  <c r="AN935" i="6" s="1"/>
  <c r="AN934" i="6" a="1"/>
  <c r="AN934" i="6" s="1"/>
  <c r="AN933" i="6" a="1"/>
  <c r="AN933" i="6" s="1"/>
  <c r="AN932" i="6" a="1"/>
  <c r="AN932" i="6" s="1"/>
  <c r="AN931" i="6" a="1"/>
  <c r="AN931" i="6" s="1"/>
  <c r="AN930" i="6" a="1"/>
  <c r="AN930" i="6" s="1"/>
  <c r="AN929" i="6" a="1"/>
  <c r="AN929" i="6" s="1"/>
  <c r="AN928" i="6" a="1"/>
  <c r="AN928" i="6" s="1"/>
  <c r="AN927" i="6" a="1"/>
  <c r="AN927" i="6" s="1"/>
  <c r="AN926" i="6" a="1"/>
  <c r="AN926" i="6" s="1"/>
  <c r="AN925" i="6" a="1"/>
  <c r="AN925" i="6" s="1"/>
  <c r="AN924" i="6" a="1"/>
  <c r="AN924" i="6" s="1"/>
  <c r="AN923" i="6" a="1"/>
  <c r="AN923" i="6" s="1"/>
  <c r="AN922" i="6" a="1"/>
  <c r="AN922" i="6" s="1"/>
  <c r="AN921" i="6" a="1"/>
  <c r="AN921" i="6" s="1"/>
  <c r="AN920" i="6" a="1"/>
  <c r="AN920" i="6" s="1"/>
  <c r="AN919" i="6" a="1"/>
  <c r="AN919" i="6" s="1"/>
  <c r="AN918" i="6" a="1"/>
  <c r="AN918" i="6" s="1"/>
  <c r="AN917" i="6" a="1"/>
  <c r="AN917" i="6" s="1"/>
  <c r="AN916" i="6" a="1"/>
  <c r="AN916" i="6" s="1"/>
  <c r="AN915" i="6" a="1"/>
  <c r="AN915" i="6" s="1"/>
  <c r="AN914" i="6" a="1"/>
  <c r="AN914" i="6" s="1"/>
  <c r="AN913" i="6" a="1"/>
  <c r="AN913" i="6" s="1"/>
  <c r="AN912" i="6" a="1"/>
  <c r="AN912" i="6" s="1"/>
  <c r="AN911" i="6" a="1"/>
  <c r="AN911" i="6" s="1"/>
  <c r="AN910" i="6" a="1"/>
  <c r="AN910" i="6" s="1"/>
  <c r="AN909" i="6" a="1"/>
  <c r="AN909" i="6" s="1"/>
  <c r="AN908" i="6" a="1"/>
  <c r="AN908" i="6" s="1"/>
  <c r="AN907" i="6" a="1"/>
  <c r="AN907" i="6" s="1"/>
  <c r="AN906" i="6" a="1"/>
  <c r="AN906" i="6" s="1"/>
  <c r="AN905" i="6" a="1"/>
  <c r="AN905" i="6" s="1"/>
  <c r="AN904" i="6" a="1"/>
  <c r="AN904" i="6" s="1"/>
  <c r="AN903" i="6" a="1"/>
  <c r="AN903" i="6" s="1"/>
  <c r="AN902" i="6" a="1"/>
  <c r="AN902" i="6" s="1"/>
  <c r="AN901" i="6" a="1"/>
  <c r="AN901" i="6" s="1"/>
  <c r="AN900" i="6" a="1"/>
  <c r="AN900" i="6" s="1"/>
  <c r="AN899" i="6" a="1"/>
  <c r="AN899" i="6" s="1"/>
  <c r="AN898" i="6" a="1"/>
  <c r="AN898" i="6" s="1"/>
  <c r="AN897" i="6" a="1"/>
  <c r="AN897" i="6" s="1"/>
  <c r="AN896" i="6" a="1"/>
  <c r="AN896" i="6" s="1"/>
  <c r="AN895" i="6" a="1"/>
  <c r="AN895" i="6" s="1"/>
  <c r="AN894" i="6" a="1"/>
  <c r="AN894" i="6" s="1"/>
  <c r="AN893" i="6" a="1"/>
  <c r="AN893" i="6" s="1"/>
  <c r="AN892" i="6" a="1"/>
  <c r="AN892" i="6" s="1"/>
  <c r="AN891" i="6" a="1"/>
  <c r="AN891" i="6" s="1"/>
  <c r="AN890" i="6" a="1"/>
  <c r="AN890" i="6" s="1"/>
  <c r="AN889" i="6" a="1"/>
  <c r="AN889" i="6" s="1"/>
  <c r="AN888" i="6" a="1"/>
  <c r="AN888" i="6" s="1"/>
  <c r="AN887" i="6" a="1"/>
  <c r="AN887" i="6" s="1"/>
  <c r="AN886" i="6" a="1"/>
  <c r="AN886" i="6" s="1"/>
  <c r="AN885" i="6" a="1"/>
  <c r="AN885" i="6" s="1"/>
  <c r="AN884" i="6" a="1"/>
  <c r="AN884" i="6" s="1"/>
  <c r="AN883" i="6" a="1"/>
  <c r="AN883" i="6" s="1"/>
  <c r="AN882" i="6" a="1"/>
  <c r="AN882" i="6" s="1"/>
  <c r="AN881" i="6" a="1"/>
  <c r="AN881" i="6" s="1"/>
  <c r="AN880" i="6" a="1"/>
  <c r="AN880" i="6" s="1"/>
  <c r="AN879" i="6" a="1"/>
  <c r="AN879" i="6" s="1"/>
  <c r="AN878" i="6" a="1"/>
  <c r="AN878" i="6" s="1"/>
  <c r="AN877" i="6" a="1"/>
  <c r="AN877" i="6" s="1"/>
  <c r="AN876" i="6" a="1"/>
  <c r="AN876" i="6" s="1"/>
  <c r="AN875" i="6" a="1"/>
  <c r="AN875" i="6" s="1"/>
  <c r="AN874" i="6" a="1"/>
  <c r="AN874" i="6" s="1"/>
  <c r="AN873" i="6" a="1"/>
  <c r="AN873" i="6" s="1"/>
  <c r="AN872" i="6" a="1"/>
  <c r="AN872" i="6" s="1"/>
  <c r="AN871" i="6" a="1"/>
  <c r="AN871" i="6" s="1"/>
  <c r="AN870" i="6" a="1"/>
  <c r="AN870" i="6" s="1"/>
  <c r="AN869" i="6" a="1"/>
  <c r="AN869" i="6" s="1"/>
  <c r="AN868" i="6" a="1"/>
  <c r="AN868" i="6" s="1"/>
  <c r="AN867" i="6" a="1"/>
  <c r="AN867" i="6" s="1"/>
  <c r="AN866" i="6" a="1"/>
  <c r="AN866" i="6" s="1"/>
  <c r="AN865" i="6" a="1"/>
  <c r="AN865" i="6" s="1"/>
  <c r="AN864" i="6" a="1"/>
  <c r="AN864" i="6" s="1"/>
  <c r="AN863" i="6" a="1"/>
  <c r="AN863" i="6" s="1"/>
  <c r="AN862" i="6" a="1"/>
  <c r="AN862" i="6" s="1"/>
  <c r="AN861" i="6" a="1"/>
  <c r="AN861" i="6" s="1"/>
  <c r="AN860" i="6" a="1"/>
  <c r="AN860" i="6" s="1"/>
  <c r="AN859" i="6" a="1"/>
  <c r="AN859" i="6" s="1"/>
  <c r="AN858" i="6" a="1"/>
  <c r="AN858" i="6" s="1"/>
  <c r="AN857" i="6" a="1"/>
  <c r="AN857" i="6" s="1"/>
  <c r="AN856" i="6" a="1"/>
  <c r="AN856" i="6" s="1"/>
  <c r="AN855" i="6" a="1"/>
  <c r="AN855" i="6" s="1"/>
  <c r="AN854" i="6" a="1"/>
  <c r="AN854" i="6" s="1"/>
  <c r="AN853" i="6" a="1"/>
  <c r="AN853" i="6" s="1"/>
  <c r="AN852" i="6" a="1"/>
  <c r="AN852" i="6" s="1"/>
  <c r="AN851" i="6" a="1"/>
  <c r="AN851" i="6" s="1"/>
  <c r="AN850" i="6" a="1"/>
  <c r="AN850" i="6" s="1"/>
  <c r="AN849" i="6" a="1"/>
  <c r="AN849" i="6" s="1"/>
  <c r="AN848" i="6" a="1"/>
  <c r="AN848" i="6" s="1"/>
  <c r="AN847" i="6" a="1"/>
  <c r="AN847" i="6" s="1"/>
  <c r="AN846" i="6" a="1"/>
  <c r="AN846" i="6" s="1"/>
  <c r="AN845" i="6" a="1"/>
  <c r="AN845" i="6" s="1"/>
  <c r="AN844" i="6" a="1"/>
  <c r="AN844" i="6" s="1"/>
  <c r="AN843" i="6" a="1"/>
  <c r="AN843" i="6" s="1"/>
  <c r="AN842" i="6" a="1"/>
  <c r="AN842" i="6" s="1"/>
  <c r="AN841" i="6" a="1"/>
  <c r="AN841" i="6" s="1"/>
  <c r="AN840" i="6" a="1"/>
  <c r="AN840" i="6" s="1"/>
  <c r="AN839" i="6" a="1"/>
  <c r="AN839" i="6" s="1"/>
  <c r="AN838" i="6" a="1"/>
  <c r="AN838" i="6" s="1"/>
  <c r="AN837" i="6" a="1"/>
  <c r="AN837" i="6" s="1"/>
  <c r="AN836" i="6" a="1"/>
  <c r="AN836" i="6" s="1"/>
  <c r="AN835" i="6" a="1"/>
  <c r="AN835" i="6" s="1"/>
  <c r="AN834" i="6" a="1"/>
  <c r="AN834" i="6" s="1"/>
  <c r="AN833" i="6" a="1"/>
  <c r="AN833" i="6" s="1"/>
  <c r="AN832" i="6" a="1"/>
  <c r="AN832" i="6" s="1"/>
  <c r="AN831" i="6" a="1"/>
  <c r="AN831" i="6" s="1"/>
  <c r="AN830" i="6" a="1"/>
  <c r="AN830" i="6" s="1"/>
  <c r="AN829" i="6" a="1"/>
  <c r="AN829" i="6" s="1"/>
  <c r="AN828" i="6" a="1"/>
  <c r="AN828" i="6" s="1"/>
  <c r="AN827" i="6" a="1"/>
  <c r="AN827" i="6" s="1"/>
  <c r="AN826" i="6" a="1"/>
  <c r="AN826" i="6" s="1"/>
  <c r="AN825" i="6" a="1"/>
  <c r="AN825" i="6" s="1"/>
  <c r="AN824" i="6" a="1"/>
  <c r="AN824" i="6" s="1"/>
  <c r="AN823" i="6" a="1"/>
  <c r="AN823" i="6" s="1"/>
  <c r="AN822" i="6" a="1"/>
  <c r="AN822" i="6" s="1"/>
  <c r="AN821" i="6" a="1"/>
  <c r="AN821" i="6" s="1"/>
  <c r="AN820" i="6" a="1"/>
  <c r="AN820" i="6" s="1"/>
  <c r="AN819" i="6" a="1"/>
  <c r="AN819" i="6" s="1"/>
  <c r="AN818" i="6" a="1"/>
  <c r="AN818" i="6" s="1"/>
  <c r="AN817" i="6" a="1"/>
  <c r="AN817" i="6" s="1"/>
  <c r="AN816" i="6" a="1"/>
  <c r="AN816" i="6" s="1"/>
  <c r="AN815" i="6" a="1"/>
  <c r="AN815" i="6" s="1"/>
  <c r="AN814" i="6" a="1"/>
  <c r="AN814" i="6" s="1"/>
  <c r="AN813" i="6" a="1"/>
  <c r="AN813" i="6" s="1"/>
  <c r="AN812" i="6" a="1"/>
  <c r="AN812" i="6" s="1"/>
  <c r="AN811" i="6" a="1"/>
  <c r="AN811" i="6" s="1"/>
  <c r="AN810" i="6" a="1"/>
  <c r="AN810" i="6" s="1"/>
  <c r="AN809" i="6" a="1"/>
  <c r="AN809" i="6" s="1"/>
  <c r="AN808" i="6" a="1"/>
  <c r="AN808" i="6" s="1"/>
  <c r="AN807" i="6" a="1"/>
  <c r="AN807" i="6" s="1"/>
  <c r="AN806" i="6" a="1"/>
  <c r="AN806" i="6" s="1"/>
  <c r="AN805" i="6" a="1"/>
  <c r="AN805" i="6" s="1"/>
  <c r="AN804" i="6" a="1"/>
  <c r="AN804" i="6" s="1"/>
  <c r="AN803" i="6" a="1"/>
  <c r="AN803" i="6" s="1"/>
  <c r="AN802" i="6" a="1"/>
  <c r="AN802" i="6" s="1"/>
  <c r="AN801" i="6" a="1"/>
  <c r="AN801" i="6" s="1"/>
  <c r="AN800" i="6" a="1"/>
  <c r="AN800" i="6" s="1"/>
  <c r="AN799" i="6" a="1"/>
  <c r="AN799" i="6" s="1"/>
  <c r="AN798" i="6" a="1"/>
  <c r="AN798" i="6" s="1"/>
  <c r="AN797" i="6" a="1"/>
  <c r="AN797" i="6" s="1"/>
  <c r="AN796" i="6" a="1"/>
  <c r="AN796" i="6" s="1"/>
  <c r="AN795" i="6" a="1"/>
  <c r="AN795" i="6" s="1"/>
  <c r="AN794" i="6" a="1"/>
  <c r="AN794" i="6" s="1"/>
  <c r="AN793" i="6" a="1"/>
  <c r="AN793" i="6" s="1"/>
  <c r="AN792" i="6" a="1"/>
  <c r="AN792" i="6" s="1"/>
  <c r="AN791" i="6" a="1"/>
  <c r="AN791" i="6" s="1"/>
  <c r="AN790" i="6" a="1"/>
  <c r="AN790" i="6" s="1"/>
  <c r="AN789" i="6" a="1"/>
  <c r="AN789" i="6" s="1"/>
  <c r="AN788" i="6" a="1"/>
  <c r="AN788" i="6" s="1"/>
  <c r="AN787" i="6" a="1"/>
  <c r="AN787" i="6" s="1"/>
  <c r="AN786" i="6" a="1"/>
  <c r="AN786" i="6" s="1"/>
  <c r="AN785" i="6" a="1"/>
  <c r="AN785" i="6" s="1"/>
  <c r="AN784" i="6" a="1"/>
  <c r="AN784" i="6" s="1"/>
  <c r="AN783" i="6" a="1"/>
  <c r="AN783" i="6" s="1"/>
  <c r="AN782" i="6" a="1"/>
  <c r="AN782" i="6" s="1"/>
  <c r="AN781" i="6" a="1"/>
  <c r="AN781" i="6" s="1"/>
  <c r="AN780" i="6" a="1"/>
  <c r="AN780" i="6" s="1"/>
  <c r="AN779" i="6" a="1"/>
  <c r="AN779" i="6" s="1"/>
  <c r="AN778" i="6" a="1"/>
  <c r="AN778" i="6" s="1"/>
  <c r="AN777" i="6" a="1"/>
  <c r="AN777" i="6" s="1"/>
  <c r="AN776" i="6" a="1"/>
  <c r="AN776" i="6" s="1"/>
  <c r="AN775" i="6" a="1"/>
  <c r="AN775" i="6" s="1"/>
  <c r="AN774" i="6" a="1"/>
  <c r="AN774" i="6" s="1"/>
  <c r="AN773" i="6" a="1"/>
  <c r="AN773" i="6" s="1"/>
  <c r="AN772" i="6" a="1"/>
  <c r="AN772" i="6" s="1"/>
  <c r="AN771" i="6" a="1"/>
  <c r="AN771" i="6" s="1"/>
  <c r="AN770" i="6" a="1"/>
  <c r="AN770" i="6" s="1"/>
  <c r="AN769" i="6" a="1"/>
  <c r="AN769" i="6" s="1"/>
  <c r="AN768" i="6" a="1"/>
  <c r="AN768" i="6" s="1"/>
  <c r="AN767" i="6" a="1"/>
  <c r="AN767" i="6" s="1"/>
  <c r="AN766" i="6" a="1"/>
  <c r="AN766" i="6" s="1"/>
  <c r="AN765" i="6" a="1"/>
  <c r="AN765" i="6" s="1"/>
  <c r="AN764" i="6" a="1"/>
  <c r="AN764" i="6" s="1"/>
  <c r="AN763" i="6" a="1"/>
  <c r="AN763" i="6" s="1"/>
  <c r="AN762" i="6" a="1"/>
  <c r="AN762" i="6" s="1"/>
  <c r="AN761" i="6" a="1"/>
  <c r="AN761" i="6" s="1"/>
  <c r="AN760" i="6" a="1"/>
  <c r="AN760" i="6" s="1"/>
  <c r="AN759" i="6" a="1"/>
  <c r="AN759" i="6" s="1"/>
  <c r="AN758" i="6" a="1"/>
  <c r="AN758" i="6" s="1"/>
  <c r="AN757" i="6" a="1"/>
  <c r="AN757" i="6" s="1"/>
  <c r="AN756" i="6" a="1"/>
  <c r="AN756" i="6" s="1"/>
  <c r="AN755" i="6" a="1"/>
  <c r="AN755" i="6" s="1"/>
  <c r="AN754" i="6" a="1"/>
  <c r="AN754" i="6" s="1"/>
  <c r="AN753" i="6" a="1"/>
  <c r="AN753" i="6" s="1"/>
  <c r="AN752" i="6" a="1"/>
  <c r="AN752" i="6" s="1"/>
  <c r="AN751" i="6" a="1"/>
  <c r="AN751" i="6" s="1"/>
  <c r="AN750" i="6" a="1"/>
  <c r="AN750" i="6" s="1"/>
  <c r="AN749" i="6" a="1"/>
  <c r="AN749" i="6" s="1"/>
  <c r="AN748" i="6" a="1"/>
  <c r="AN748" i="6" s="1"/>
  <c r="AN747" i="6" a="1"/>
  <c r="AN747" i="6" s="1"/>
  <c r="AN746" i="6" a="1"/>
  <c r="AN746" i="6" s="1"/>
  <c r="AN745" i="6" a="1"/>
  <c r="AN745" i="6" s="1"/>
  <c r="AN744" i="6" a="1"/>
  <c r="AN744" i="6" s="1"/>
  <c r="AN743" i="6" a="1"/>
  <c r="AN743" i="6" s="1"/>
  <c r="AN742" i="6" a="1"/>
  <c r="AN742" i="6" s="1"/>
  <c r="AN741" i="6" a="1"/>
  <c r="AN741" i="6" s="1"/>
  <c r="AN740" i="6" a="1"/>
  <c r="AN740" i="6" s="1"/>
  <c r="AN739" i="6" a="1"/>
  <c r="AN739" i="6" s="1"/>
  <c r="AN738" i="6" a="1"/>
  <c r="AN738" i="6" s="1"/>
  <c r="AN737" i="6" a="1"/>
  <c r="AN737" i="6" s="1"/>
  <c r="AN736" i="6" a="1"/>
  <c r="AN736" i="6" s="1"/>
  <c r="AN735" i="6" a="1"/>
  <c r="AN735" i="6" s="1"/>
  <c r="AN734" i="6" a="1"/>
  <c r="AN734" i="6" s="1"/>
  <c r="AN733" i="6" a="1"/>
  <c r="AN733" i="6" s="1"/>
  <c r="AN732" i="6" a="1"/>
  <c r="AN732" i="6" s="1"/>
  <c r="AN731" i="6" a="1"/>
  <c r="AN731" i="6" s="1"/>
  <c r="AN730" i="6" a="1"/>
  <c r="AN730" i="6" s="1"/>
  <c r="AN729" i="6" a="1"/>
  <c r="AN729" i="6" s="1"/>
  <c r="AN728" i="6" a="1"/>
  <c r="AN728" i="6" s="1"/>
  <c r="AN727" i="6" a="1"/>
  <c r="AN727" i="6" s="1"/>
  <c r="AN726" i="6" a="1"/>
  <c r="AN726" i="6" s="1"/>
  <c r="AN725" i="6" a="1"/>
  <c r="AN725" i="6" s="1"/>
  <c r="AN724" i="6" a="1"/>
  <c r="AN724" i="6" s="1"/>
  <c r="AN723" i="6" a="1"/>
  <c r="AN723" i="6" s="1"/>
  <c r="AN722" i="6" a="1"/>
  <c r="AN722" i="6" s="1"/>
  <c r="AN721" i="6" a="1"/>
  <c r="AN721" i="6" s="1"/>
  <c r="AN720" i="6" a="1"/>
  <c r="AN720" i="6" s="1"/>
  <c r="AN719" i="6" a="1"/>
  <c r="AN719" i="6" s="1"/>
  <c r="AN718" i="6" a="1"/>
  <c r="AN718" i="6" s="1"/>
  <c r="AN717" i="6" a="1"/>
  <c r="AN717" i="6" s="1"/>
  <c r="AN716" i="6" a="1"/>
  <c r="AN716" i="6" s="1"/>
  <c r="AN715" i="6" a="1"/>
  <c r="AN715" i="6" s="1"/>
  <c r="AN714" i="6" a="1"/>
  <c r="AN714" i="6" s="1"/>
  <c r="AN713" i="6" a="1"/>
  <c r="AN713" i="6" s="1"/>
  <c r="AN712" i="6" a="1"/>
  <c r="AN712" i="6" s="1"/>
  <c r="AN711" i="6" a="1"/>
  <c r="AN711" i="6" s="1"/>
  <c r="AN710" i="6" a="1"/>
  <c r="AN710" i="6" s="1"/>
  <c r="AN709" i="6" a="1"/>
  <c r="AN709" i="6" s="1"/>
  <c r="AN708" i="6" a="1"/>
  <c r="AN708" i="6" s="1"/>
  <c r="AN707" i="6" a="1"/>
  <c r="AN707" i="6" s="1"/>
  <c r="AN706" i="6" a="1"/>
  <c r="AN706" i="6" s="1"/>
  <c r="AN705" i="6" a="1"/>
  <c r="AN705" i="6" s="1"/>
  <c r="AN704" i="6" a="1"/>
  <c r="AN704" i="6" s="1"/>
  <c r="AN703" i="6" a="1"/>
  <c r="AN703" i="6" s="1"/>
  <c r="AN702" i="6" a="1"/>
  <c r="AN702" i="6" s="1"/>
  <c r="AN701" i="6" a="1"/>
  <c r="AN701" i="6" s="1"/>
  <c r="AN700" i="6" a="1"/>
  <c r="AN700" i="6" s="1"/>
  <c r="AN699" i="6" a="1"/>
  <c r="AN699" i="6" s="1"/>
  <c r="AN698" i="6" a="1"/>
  <c r="AN698" i="6" s="1"/>
  <c r="AN697" i="6" a="1"/>
  <c r="AN697" i="6" s="1"/>
  <c r="AN696" i="6" a="1"/>
  <c r="AN696" i="6" s="1"/>
  <c r="AN695" i="6" a="1"/>
  <c r="AN695" i="6" s="1"/>
  <c r="AN694" i="6" a="1"/>
  <c r="AN694" i="6" s="1"/>
  <c r="AN693" i="6" a="1"/>
  <c r="AN693" i="6" s="1"/>
  <c r="AN692" i="6" a="1"/>
  <c r="AN692" i="6" s="1"/>
  <c r="AN691" i="6" a="1"/>
  <c r="AN691" i="6" s="1"/>
  <c r="AN690" i="6" a="1"/>
  <c r="AN690" i="6" s="1"/>
  <c r="AN689" i="6" a="1"/>
  <c r="AN689" i="6" s="1"/>
  <c r="AN688" i="6" a="1"/>
  <c r="AN688" i="6" s="1"/>
  <c r="AN687" i="6" a="1"/>
  <c r="AN687" i="6" s="1"/>
  <c r="AN686" i="6" a="1"/>
  <c r="AN686" i="6" s="1"/>
  <c r="AN685" i="6" a="1"/>
  <c r="AN685" i="6" s="1"/>
  <c r="AN684" i="6" a="1"/>
  <c r="AN684" i="6" s="1"/>
  <c r="AN683" i="6" a="1"/>
  <c r="AN683" i="6" s="1"/>
  <c r="AN682" i="6" a="1"/>
  <c r="AN682" i="6" s="1"/>
  <c r="AN681" i="6" a="1"/>
  <c r="AN681" i="6" s="1"/>
  <c r="AN680" i="6" a="1"/>
  <c r="AN680" i="6" s="1"/>
  <c r="AN679" i="6" a="1"/>
  <c r="AN679" i="6" s="1"/>
  <c r="AN678" i="6" a="1"/>
  <c r="AN678" i="6" s="1"/>
  <c r="AN677" i="6" a="1"/>
  <c r="AN677" i="6" s="1"/>
  <c r="AN676" i="6" a="1"/>
  <c r="AN676" i="6" s="1"/>
  <c r="AN675" i="6" a="1"/>
  <c r="AN675" i="6" s="1"/>
  <c r="AN674" i="6" a="1"/>
  <c r="AN674" i="6" s="1"/>
  <c r="AN673" i="6" a="1"/>
  <c r="AN673" i="6" s="1"/>
  <c r="AN672" i="6" a="1"/>
  <c r="AN672" i="6" s="1"/>
  <c r="AN671" i="6" a="1"/>
  <c r="AN671" i="6" s="1"/>
  <c r="AN670" i="6" a="1"/>
  <c r="AN670" i="6" s="1"/>
  <c r="AN669" i="6" a="1"/>
  <c r="AN669" i="6" s="1"/>
  <c r="AN668" i="6" a="1"/>
  <c r="AN668" i="6" s="1"/>
  <c r="AN667" i="6" a="1"/>
  <c r="AN667" i="6" s="1"/>
  <c r="AN666" i="6" a="1"/>
  <c r="AN666" i="6" s="1"/>
  <c r="AN665" i="6" a="1"/>
  <c r="AN665" i="6" s="1"/>
  <c r="AN664" i="6" a="1"/>
  <c r="AN664" i="6" s="1"/>
  <c r="AN663" i="6" a="1"/>
  <c r="AN663" i="6" s="1"/>
  <c r="AN662" i="6" a="1"/>
  <c r="AN662" i="6" s="1"/>
  <c r="AN661" i="6" a="1"/>
  <c r="AN661" i="6" s="1"/>
  <c r="AN660" i="6" a="1"/>
  <c r="AN660" i="6" s="1"/>
  <c r="AN659" i="6" a="1"/>
  <c r="AN659" i="6" s="1"/>
  <c r="AN658" i="6" a="1"/>
  <c r="AN658" i="6" s="1"/>
  <c r="AN657" i="6" a="1"/>
  <c r="AN657" i="6" s="1"/>
  <c r="AN656" i="6" a="1"/>
  <c r="AN656" i="6" s="1"/>
  <c r="AN655" i="6" a="1"/>
  <c r="AN655" i="6" s="1"/>
  <c r="AN654" i="6" a="1"/>
  <c r="AN654" i="6" s="1"/>
  <c r="AN653" i="6" a="1"/>
  <c r="AN653" i="6" s="1"/>
  <c r="AN652" i="6" a="1"/>
  <c r="AN652" i="6" s="1"/>
  <c r="AN651" i="6" a="1"/>
  <c r="AN651" i="6" s="1"/>
  <c r="AN650" i="6" a="1"/>
  <c r="AN650" i="6" s="1"/>
  <c r="AN649" i="6" a="1"/>
  <c r="AN649" i="6" s="1"/>
  <c r="AN648" i="6" a="1"/>
  <c r="AN648" i="6" s="1"/>
  <c r="AN647" i="6" a="1"/>
  <c r="AN647" i="6" s="1"/>
  <c r="AN646" i="6" a="1"/>
  <c r="AN646" i="6" s="1"/>
  <c r="AN645" i="6" a="1"/>
  <c r="AN645" i="6" s="1"/>
  <c r="AN644" i="6" a="1"/>
  <c r="AN644" i="6" s="1"/>
  <c r="AN643" i="6" a="1"/>
  <c r="AN643" i="6" s="1"/>
  <c r="AN642" i="6" a="1"/>
  <c r="AN642" i="6" s="1"/>
  <c r="AN641" i="6" a="1"/>
  <c r="AN641" i="6" s="1"/>
  <c r="AN640" i="6" a="1"/>
  <c r="AN640" i="6" s="1"/>
  <c r="AN639" i="6" a="1"/>
  <c r="AN639" i="6" s="1"/>
  <c r="AN638" i="6" a="1"/>
  <c r="AN638" i="6" s="1"/>
  <c r="AN637" i="6" a="1"/>
  <c r="AN637" i="6" s="1"/>
  <c r="AN636" i="6" a="1"/>
  <c r="AN636" i="6" s="1"/>
  <c r="AN635" i="6" a="1"/>
  <c r="AN635" i="6" s="1"/>
  <c r="AN634" i="6" a="1"/>
  <c r="AN634" i="6" s="1"/>
  <c r="AN633" i="6" a="1"/>
  <c r="AN633" i="6" s="1"/>
  <c r="AN632" i="6" a="1"/>
  <c r="AN632" i="6" s="1"/>
  <c r="AN631" i="6" a="1"/>
  <c r="AN631" i="6" s="1"/>
  <c r="AN630" i="6" a="1"/>
  <c r="AN630" i="6" s="1"/>
  <c r="AN629" i="6" a="1"/>
  <c r="AN629" i="6" s="1"/>
  <c r="AN628" i="6" a="1"/>
  <c r="AN628" i="6" s="1"/>
  <c r="AN627" i="6" a="1"/>
  <c r="AN627" i="6" s="1"/>
  <c r="AN626" i="6" a="1"/>
  <c r="AN626" i="6" s="1"/>
  <c r="AN625" i="6" a="1"/>
  <c r="AN625" i="6" s="1"/>
  <c r="AN624" i="6" a="1"/>
  <c r="AN624" i="6" s="1"/>
  <c r="AN623" i="6" a="1"/>
  <c r="AN623" i="6" s="1"/>
  <c r="AN622" i="6" a="1"/>
  <c r="AN622" i="6" s="1"/>
  <c r="AN621" i="6" a="1"/>
  <c r="AN621" i="6" s="1"/>
  <c r="AN620" i="6" a="1"/>
  <c r="AN620" i="6" s="1"/>
  <c r="AN619" i="6" a="1"/>
  <c r="AN619" i="6" s="1"/>
  <c r="AN618" i="6" a="1"/>
  <c r="AN618" i="6" s="1"/>
  <c r="AN617" i="6" a="1"/>
  <c r="AN617" i="6" s="1"/>
  <c r="AN616" i="6" a="1"/>
  <c r="AN616" i="6" s="1"/>
  <c r="AN615" i="6" a="1"/>
  <c r="AN615" i="6" s="1"/>
  <c r="AN614" i="6" a="1"/>
  <c r="AN614" i="6" s="1"/>
  <c r="AN613" i="6" a="1"/>
  <c r="AN613" i="6" s="1"/>
  <c r="AN612" i="6" a="1"/>
  <c r="AN612" i="6" s="1"/>
  <c r="AN611" i="6" a="1"/>
  <c r="AN611" i="6" s="1"/>
  <c r="AN610" i="6" a="1"/>
  <c r="AN610" i="6" s="1"/>
  <c r="AN609" i="6" a="1"/>
  <c r="AN609" i="6" s="1"/>
  <c r="AN608" i="6" a="1"/>
  <c r="AN608" i="6" s="1"/>
  <c r="AN607" i="6" a="1"/>
  <c r="AN607" i="6" s="1"/>
  <c r="AN606" i="6" a="1"/>
  <c r="AN606" i="6" s="1"/>
  <c r="AN605" i="6" a="1"/>
  <c r="AN605" i="6" s="1"/>
  <c r="AN604" i="6" a="1"/>
  <c r="AN604" i="6" s="1"/>
  <c r="AN603" i="6" a="1"/>
  <c r="AN603" i="6" s="1"/>
  <c r="AN602" i="6" a="1"/>
  <c r="AN602" i="6" s="1"/>
  <c r="AN601" i="6" a="1"/>
  <c r="AN601" i="6" s="1"/>
  <c r="AN600" i="6" a="1"/>
  <c r="AN600" i="6" s="1"/>
  <c r="AN599" i="6" a="1"/>
  <c r="AN599" i="6" s="1"/>
  <c r="AN598" i="6" a="1"/>
  <c r="AN598" i="6" s="1"/>
  <c r="AN597" i="6" a="1"/>
  <c r="AN597" i="6" s="1"/>
  <c r="AN596" i="6" a="1"/>
  <c r="AN596" i="6" s="1"/>
  <c r="AN595" i="6" a="1"/>
  <c r="AN595" i="6" s="1"/>
  <c r="AN594" i="6" a="1"/>
  <c r="AN594" i="6" s="1"/>
  <c r="AN593" i="6" a="1"/>
  <c r="AN593" i="6" s="1"/>
  <c r="AN592" i="6" a="1"/>
  <c r="AN592" i="6" s="1"/>
  <c r="AN591" i="6" a="1"/>
  <c r="AN591" i="6" s="1"/>
  <c r="AN590" i="6" a="1"/>
  <c r="AN590" i="6" s="1"/>
  <c r="AN589" i="6" a="1"/>
  <c r="AN589" i="6" s="1"/>
  <c r="AN588" i="6" a="1"/>
  <c r="AN588" i="6" s="1"/>
  <c r="AN587" i="6" a="1"/>
  <c r="AN587" i="6" s="1"/>
  <c r="AN586" i="6" a="1"/>
  <c r="AN586" i="6" s="1"/>
  <c r="AN585" i="6" a="1"/>
  <c r="AN585" i="6" s="1"/>
  <c r="AN584" i="6" a="1"/>
  <c r="AN584" i="6" s="1"/>
  <c r="AN583" i="6" a="1"/>
  <c r="AN583" i="6" s="1"/>
  <c r="AN582" i="6" a="1"/>
  <c r="AN582" i="6" s="1"/>
  <c r="AN581" i="6" a="1"/>
  <c r="AN581" i="6" s="1"/>
  <c r="AN580" i="6" a="1"/>
  <c r="AN580" i="6" s="1"/>
  <c r="AN579" i="6" a="1"/>
  <c r="AN579" i="6" s="1"/>
  <c r="AN578" i="6" a="1"/>
  <c r="AN578" i="6" s="1"/>
  <c r="AN577" i="6" a="1"/>
  <c r="AN577" i="6" s="1"/>
  <c r="AN576" i="6" a="1"/>
  <c r="AN576" i="6" s="1"/>
  <c r="AN575" i="6" a="1"/>
  <c r="AN575" i="6" s="1"/>
  <c r="AN574" i="6" a="1"/>
  <c r="AN574" i="6" s="1"/>
  <c r="AN573" i="6" a="1"/>
  <c r="AN573" i="6" s="1"/>
  <c r="AN572" i="6" a="1"/>
  <c r="AN572" i="6" s="1"/>
  <c r="AN571" i="6" a="1"/>
  <c r="AN571" i="6" s="1"/>
  <c r="AN570" i="6" a="1"/>
  <c r="AN570" i="6" s="1"/>
  <c r="AN569" i="6" a="1"/>
  <c r="AN569" i="6" s="1"/>
  <c r="AN568" i="6" a="1"/>
  <c r="AN568" i="6" s="1"/>
  <c r="AN567" i="6" a="1"/>
  <c r="AN567" i="6" s="1"/>
  <c r="AN566" i="6" a="1"/>
  <c r="AN566" i="6" s="1"/>
  <c r="AN565" i="6" a="1"/>
  <c r="AN565" i="6" s="1"/>
  <c r="AN564" i="6" a="1"/>
  <c r="AN564" i="6" s="1"/>
  <c r="AN563" i="6" a="1"/>
  <c r="AN563" i="6" s="1"/>
  <c r="AN562" i="6" a="1"/>
  <c r="AN562" i="6" s="1"/>
  <c r="AN561" i="6" a="1"/>
  <c r="AN561" i="6" s="1"/>
  <c r="AN560" i="6" a="1"/>
  <c r="AN560" i="6" s="1"/>
  <c r="AN559" i="6" a="1"/>
  <c r="AN559" i="6" s="1"/>
  <c r="AN558" i="6" a="1"/>
  <c r="AN558" i="6" s="1"/>
  <c r="AN557" i="6" a="1"/>
  <c r="AN557" i="6" s="1"/>
  <c r="AN556" i="6" a="1"/>
  <c r="AN556" i="6" s="1"/>
  <c r="AN555" i="6" a="1"/>
  <c r="AN555" i="6" s="1"/>
  <c r="AN554" i="6" a="1"/>
  <c r="AN554" i="6" s="1"/>
  <c r="AN553" i="6" a="1"/>
  <c r="AN553" i="6" s="1"/>
  <c r="AN552" i="6" a="1"/>
  <c r="AN552" i="6" s="1"/>
  <c r="AN551" i="6" a="1"/>
  <c r="AN551" i="6" s="1"/>
  <c r="AN550" i="6" a="1"/>
  <c r="AN550" i="6" s="1"/>
  <c r="AN549" i="6" a="1"/>
  <c r="AN549" i="6" s="1"/>
  <c r="AN548" i="6" a="1"/>
  <c r="AN548" i="6" s="1"/>
  <c r="AN547" i="6" a="1"/>
  <c r="AN547" i="6" s="1"/>
  <c r="AN546" i="6" a="1"/>
  <c r="AN546" i="6" s="1"/>
  <c r="AN545" i="6" a="1"/>
  <c r="AN545" i="6" s="1"/>
  <c r="AN544" i="6" a="1"/>
  <c r="AN544" i="6" s="1"/>
  <c r="AN543" i="6" a="1"/>
  <c r="AN543" i="6" s="1"/>
  <c r="AN542" i="6" a="1"/>
  <c r="AN542" i="6" s="1"/>
  <c r="AN541" i="6" a="1"/>
  <c r="AN541" i="6" s="1"/>
  <c r="AN540" i="6" a="1"/>
  <c r="AN540" i="6" s="1"/>
  <c r="AN539" i="6" a="1"/>
  <c r="AN539" i="6" s="1"/>
  <c r="AN538" i="6" a="1"/>
  <c r="AN538" i="6" s="1"/>
  <c r="AN537" i="6" a="1"/>
  <c r="AN537" i="6" s="1"/>
  <c r="AN536" i="6" a="1"/>
  <c r="AN536" i="6" s="1"/>
  <c r="AN535" i="6" a="1"/>
  <c r="AN535" i="6" s="1"/>
  <c r="AN534" i="6" a="1"/>
  <c r="AN534" i="6" s="1"/>
  <c r="AN533" i="6" a="1"/>
  <c r="AN533" i="6" s="1"/>
  <c r="AN532" i="6" a="1"/>
  <c r="AN532" i="6" s="1"/>
  <c r="AN531" i="6" a="1"/>
  <c r="AN531" i="6" s="1"/>
  <c r="AN530" i="6" a="1"/>
  <c r="AN530" i="6" s="1"/>
  <c r="AN529" i="6" a="1"/>
  <c r="AN529" i="6" s="1"/>
  <c r="AN528" i="6" a="1"/>
  <c r="AN528" i="6" s="1"/>
  <c r="AN527" i="6" a="1"/>
  <c r="AN527" i="6" s="1"/>
  <c r="AN526" i="6" a="1"/>
  <c r="AN526" i="6" s="1"/>
  <c r="AN525" i="6" a="1"/>
  <c r="AN525" i="6" s="1"/>
  <c r="AN524" i="6" a="1"/>
  <c r="AN524" i="6" s="1"/>
  <c r="AN523" i="6" a="1"/>
  <c r="AN523" i="6" s="1"/>
  <c r="AN522" i="6" a="1"/>
  <c r="AN522" i="6" s="1"/>
  <c r="AN521" i="6" a="1"/>
  <c r="AN521" i="6" s="1"/>
  <c r="AN520" i="6" a="1"/>
  <c r="AN520" i="6" s="1"/>
  <c r="AN519" i="6" a="1"/>
  <c r="AN519" i="6" s="1"/>
  <c r="AN518" i="6" a="1"/>
  <c r="AN518" i="6" s="1"/>
  <c r="AN517" i="6" a="1"/>
  <c r="AN517" i="6" s="1"/>
  <c r="AN516" i="6" a="1"/>
  <c r="AN516" i="6" s="1"/>
  <c r="AN515" i="6" a="1"/>
  <c r="AN515" i="6" s="1"/>
  <c r="AN514" i="6" a="1"/>
  <c r="AN514" i="6" s="1"/>
  <c r="AN513" i="6" a="1"/>
  <c r="AN513" i="6" s="1"/>
  <c r="AN512" i="6" a="1"/>
  <c r="AN512" i="6" s="1"/>
  <c r="AN511" i="6" a="1"/>
  <c r="AN511" i="6" s="1"/>
  <c r="AN510" i="6" a="1"/>
  <c r="AN510" i="6" s="1"/>
  <c r="AN509" i="6" a="1"/>
  <c r="AN509" i="6" s="1"/>
  <c r="AN508" i="6" a="1"/>
  <c r="AN508" i="6" s="1"/>
  <c r="AN507" i="6" a="1"/>
  <c r="AN507" i="6" s="1"/>
  <c r="AN506" i="6" a="1"/>
  <c r="AN506" i="6" s="1"/>
  <c r="AN505" i="6" a="1"/>
  <c r="AN505" i="6" s="1"/>
  <c r="AN504" i="6" a="1"/>
  <c r="AN504" i="6" s="1"/>
  <c r="AN503" i="6" a="1"/>
  <c r="AN503" i="6" s="1"/>
  <c r="AN502" i="6" a="1"/>
  <c r="AN502" i="6" s="1"/>
  <c r="AN501" i="6" a="1"/>
  <c r="AN501" i="6" s="1"/>
  <c r="AN500" i="6" a="1"/>
  <c r="AN500" i="6" s="1"/>
  <c r="AN499" i="6" a="1"/>
  <c r="AN499" i="6" s="1"/>
  <c r="AN498" i="6" a="1"/>
  <c r="AN498" i="6" s="1"/>
  <c r="AN497" i="6" a="1"/>
  <c r="AN497" i="6" s="1"/>
  <c r="AN496" i="6" a="1"/>
  <c r="AN496" i="6" s="1"/>
  <c r="AN495" i="6" a="1"/>
  <c r="AN495" i="6" s="1"/>
  <c r="AN494" i="6" a="1"/>
  <c r="AN494" i="6" s="1"/>
  <c r="AN493" i="6" a="1"/>
  <c r="AN493" i="6" s="1"/>
  <c r="AN492" i="6" a="1"/>
  <c r="AN492" i="6" s="1"/>
  <c r="AN491" i="6" a="1"/>
  <c r="AN491" i="6" s="1"/>
  <c r="AN490" i="6" a="1"/>
  <c r="AN490" i="6" s="1"/>
  <c r="AN489" i="6" a="1"/>
  <c r="AN489" i="6" s="1"/>
  <c r="AN488" i="6" a="1"/>
  <c r="AN488" i="6" s="1"/>
  <c r="AN487" i="6" a="1"/>
  <c r="AN487" i="6" s="1"/>
  <c r="AN486" i="6" a="1"/>
  <c r="AN486" i="6" s="1"/>
  <c r="AN485" i="6" a="1"/>
  <c r="AN485" i="6" s="1"/>
  <c r="AN484" i="6" a="1"/>
  <c r="AN484" i="6" s="1"/>
  <c r="AN483" i="6" a="1"/>
  <c r="AN483" i="6" s="1"/>
  <c r="AN482" i="6" a="1"/>
  <c r="AN482" i="6" s="1"/>
  <c r="AN481" i="6" a="1"/>
  <c r="AN481" i="6" s="1"/>
  <c r="AN480" i="6" a="1"/>
  <c r="AN480" i="6" s="1"/>
  <c r="AN479" i="6" a="1"/>
  <c r="AN479" i="6" s="1"/>
  <c r="AN478" i="6" a="1"/>
  <c r="AN478" i="6" s="1"/>
  <c r="AN477" i="6" a="1"/>
  <c r="AN477" i="6" s="1"/>
  <c r="AN476" i="6" a="1"/>
  <c r="AN476" i="6" s="1"/>
  <c r="AN475" i="6" a="1"/>
  <c r="AN475" i="6" s="1"/>
  <c r="AN474" i="6" a="1"/>
  <c r="AN474" i="6" s="1"/>
  <c r="AN473" i="6" a="1"/>
  <c r="AN473" i="6" s="1"/>
  <c r="AN472" i="6" a="1"/>
  <c r="AN472" i="6" s="1"/>
  <c r="AN471" i="6" a="1"/>
  <c r="AN471" i="6" s="1"/>
  <c r="AN470" i="6" a="1"/>
  <c r="AN470" i="6" s="1"/>
  <c r="AN469" i="6" a="1"/>
  <c r="AN469" i="6" s="1"/>
  <c r="AN468" i="6" a="1"/>
  <c r="AN468" i="6" s="1"/>
  <c r="AN467" i="6" a="1"/>
  <c r="AN467" i="6" s="1"/>
  <c r="AN466" i="6" a="1"/>
  <c r="AN466" i="6" s="1"/>
  <c r="AN465" i="6" a="1"/>
  <c r="AN465" i="6" s="1"/>
  <c r="AN464" i="6" a="1"/>
  <c r="AN464" i="6" s="1"/>
  <c r="AN463" i="6" a="1"/>
  <c r="AN463" i="6" s="1"/>
  <c r="AN462" i="6" a="1"/>
  <c r="AN462" i="6" s="1"/>
  <c r="AN461" i="6" a="1"/>
  <c r="AN461" i="6" s="1"/>
  <c r="AN460" i="6" a="1"/>
  <c r="AN460" i="6" s="1"/>
  <c r="AN459" i="6" a="1"/>
  <c r="AN459" i="6" s="1"/>
  <c r="AN458" i="6" a="1"/>
  <c r="AN458" i="6" s="1"/>
  <c r="AN457" i="6" a="1"/>
  <c r="AN457" i="6" s="1"/>
  <c r="AN456" i="6" a="1"/>
  <c r="AN456" i="6" s="1"/>
  <c r="AN455" i="6" a="1"/>
  <c r="AN455" i="6" s="1"/>
  <c r="AN454" i="6" a="1"/>
  <c r="AN454" i="6" s="1"/>
  <c r="AN453" i="6" a="1"/>
  <c r="AN453" i="6" s="1"/>
  <c r="AN452" i="6" a="1"/>
  <c r="AN452" i="6" s="1"/>
  <c r="AN451" i="6" a="1"/>
  <c r="AN451" i="6" s="1"/>
  <c r="AN450" i="6" a="1"/>
  <c r="AN450" i="6" s="1"/>
  <c r="AN449" i="6" a="1"/>
  <c r="AN449" i="6" s="1"/>
  <c r="AN448" i="6" a="1"/>
  <c r="AN448" i="6" s="1"/>
  <c r="AN447" i="6" a="1"/>
  <c r="AN447" i="6" s="1"/>
  <c r="AN446" i="6" a="1"/>
  <c r="AN446" i="6" s="1"/>
  <c r="AN445" i="6" a="1"/>
  <c r="AN445" i="6" s="1"/>
  <c r="AN444" i="6" a="1"/>
  <c r="AN444" i="6" s="1"/>
  <c r="AN443" i="6" a="1"/>
  <c r="AN443" i="6" s="1"/>
  <c r="AN442" i="6" a="1"/>
  <c r="AN442" i="6" s="1"/>
  <c r="AN441" i="6" a="1"/>
  <c r="AN441" i="6" s="1"/>
  <c r="AN440" i="6" a="1"/>
  <c r="AN440" i="6" s="1"/>
  <c r="AN439" i="6" a="1"/>
  <c r="AN439" i="6" s="1"/>
  <c r="AN438" i="6" a="1"/>
  <c r="AN438" i="6" s="1"/>
  <c r="AN437" i="6" a="1"/>
  <c r="AN437" i="6" s="1"/>
  <c r="AN436" i="6" a="1"/>
  <c r="AN436" i="6" s="1"/>
  <c r="AN435" i="6" a="1"/>
  <c r="AN435" i="6" s="1"/>
  <c r="AN434" i="6" a="1"/>
  <c r="AN434" i="6" s="1"/>
  <c r="AN433" i="6" a="1"/>
  <c r="AN433" i="6" s="1"/>
  <c r="AN432" i="6" a="1"/>
  <c r="AN432" i="6" s="1"/>
  <c r="AN431" i="6" a="1"/>
  <c r="AN431" i="6" s="1"/>
  <c r="AN430" i="6" a="1"/>
  <c r="AN430" i="6" s="1"/>
  <c r="AN429" i="6" a="1"/>
  <c r="AN429" i="6" s="1"/>
  <c r="AN428" i="6" a="1"/>
  <c r="AN428" i="6" s="1"/>
  <c r="AN427" i="6" a="1"/>
  <c r="AN427" i="6" s="1"/>
  <c r="AN426" i="6" a="1"/>
  <c r="AN426" i="6" s="1"/>
  <c r="AN425" i="6" a="1"/>
  <c r="AN425" i="6" s="1"/>
  <c r="AN424" i="6" a="1"/>
  <c r="AN424" i="6" s="1"/>
  <c r="AN423" i="6" a="1"/>
  <c r="AN423" i="6" s="1"/>
  <c r="AN422" i="6" a="1"/>
  <c r="AN422" i="6" s="1"/>
  <c r="AN421" i="6" a="1"/>
  <c r="AN421" i="6" s="1"/>
  <c r="AN420" i="6" a="1"/>
  <c r="AN420" i="6" s="1"/>
  <c r="AN419" i="6" a="1"/>
  <c r="AN419" i="6" s="1"/>
  <c r="AN418" i="6" a="1"/>
  <c r="AN418" i="6" s="1"/>
  <c r="AN417" i="6" a="1"/>
  <c r="AN417" i="6" s="1"/>
  <c r="AN416" i="6" a="1"/>
  <c r="AN416" i="6" s="1"/>
  <c r="AN415" i="6" a="1"/>
  <c r="AN415" i="6" s="1"/>
  <c r="AN414" i="6" a="1"/>
  <c r="AN414" i="6" s="1"/>
  <c r="AN413" i="6" a="1"/>
  <c r="AN413" i="6" s="1"/>
  <c r="AN412" i="6" a="1"/>
  <c r="AN412" i="6" s="1"/>
  <c r="AN411" i="6" a="1"/>
  <c r="AN411" i="6" s="1"/>
  <c r="AN410" i="6" a="1"/>
  <c r="AN410" i="6" s="1"/>
  <c r="AN409" i="6" a="1"/>
  <c r="AN409" i="6" s="1"/>
  <c r="AN408" i="6" a="1"/>
  <c r="AN408" i="6" s="1"/>
  <c r="AN407" i="6" a="1"/>
  <c r="AN407" i="6" s="1"/>
  <c r="AN406" i="6" a="1"/>
  <c r="AN406" i="6" s="1"/>
  <c r="AN405" i="6" a="1"/>
  <c r="AN405" i="6" s="1"/>
  <c r="AN404" i="6" a="1"/>
  <c r="AN404" i="6" s="1"/>
  <c r="AN403" i="6" a="1"/>
  <c r="AN403" i="6" s="1"/>
  <c r="AN402" i="6" a="1"/>
  <c r="AN402" i="6" s="1"/>
  <c r="AN401" i="6" a="1"/>
  <c r="AN401" i="6" s="1"/>
  <c r="AN400" i="6" a="1"/>
  <c r="AN400" i="6" s="1"/>
  <c r="AN399" i="6" a="1"/>
  <c r="AN399" i="6" s="1"/>
  <c r="AN398" i="6" a="1"/>
  <c r="AN398" i="6" s="1"/>
  <c r="AN397" i="6" a="1"/>
  <c r="AN397" i="6" s="1"/>
  <c r="AN396" i="6" a="1"/>
  <c r="AN396" i="6" s="1"/>
  <c r="AN395" i="6" a="1"/>
  <c r="AN395" i="6" s="1"/>
  <c r="AN394" i="6" a="1"/>
  <c r="AN394" i="6" s="1"/>
  <c r="AN393" i="6" a="1"/>
  <c r="AN393" i="6" s="1"/>
  <c r="AN392" i="6" a="1"/>
  <c r="AN392" i="6" s="1"/>
  <c r="AN391" i="6" a="1"/>
  <c r="AN391" i="6" s="1"/>
  <c r="AN390" i="6" a="1"/>
  <c r="AN390" i="6" s="1"/>
  <c r="AN389" i="6" a="1"/>
  <c r="AN389" i="6" s="1"/>
  <c r="AN388" i="6" a="1"/>
  <c r="AN388" i="6" s="1"/>
  <c r="AN387" i="6" a="1"/>
  <c r="AN387" i="6" s="1"/>
  <c r="AN386" i="6" a="1"/>
  <c r="AN386" i="6" s="1"/>
  <c r="AN385" i="6" a="1"/>
  <c r="AN385" i="6" s="1"/>
  <c r="AN384" i="6" a="1"/>
  <c r="AN384" i="6" s="1"/>
  <c r="AN383" i="6" a="1"/>
  <c r="AN383" i="6" s="1"/>
  <c r="AN382" i="6" a="1"/>
  <c r="AN382" i="6" s="1"/>
  <c r="AN381" i="6" a="1"/>
  <c r="AN381" i="6" s="1"/>
  <c r="AN380" i="6" a="1"/>
  <c r="AN380" i="6" s="1"/>
  <c r="AN379" i="6" a="1"/>
  <c r="AN379" i="6" s="1"/>
  <c r="AN378" i="6" a="1"/>
  <c r="AN378" i="6" s="1"/>
  <c r="AN377" i="6" a="1"/>
  <c r="AN377" i="6" s="1"/>
  <c r="AN376" i="6" a="1"/>
  <c r="AN376" i="6" s="1"/>
  <c r="AN375" i="6" a="1"/>
  <c r="AN375" i="6" s="1"/>
  <c r="AN374" i="6" a="1"/>
  <c r="AN374" i="6" s="1"/>
  <c r="AN373" i="6" a="1"/>
  <c r="AN373" i="6" s="1"/>
  <c r="AN372" i="6" a="1"/>
  <c r="AN372" i="6" s="1"/>
  <c r="AN371" i="6" a="1"/>
  <c r="AN371" i="6" s="1"/>
  <c r="AN370" i="6" a="1"/>
  <c r="AN370" i="6" s="1"/>
  <c r="AN369" i="6" a="1"/>
  <c r="AN369" i="6" s="1"/>
  <c r="AN368" i="6" a="1"/>
  <c r="AN368" i="6" s="1"/>
  <c r="AN367" i="6" a="1"/>
  <c r="AN367" i="6" s="1"/>
  <c r="AN366" i="6" a="1"/>
  <c r="AN366" i="6" s="1"/>
  <c r="AN365" i="6" a="1"/>
  <c r="AN365" i="6" s="1"/>
  <c r="AN364" i="6" a="1"/>
  <c r="AN364" i="6" s="1"/>
  <c r="AN363" i="6" a="1"/>
  <c r="AN363" i="6" s="1"/>
  <c r="AN362" i="6" a="1"/>
  <c r="AN362" i="6" s="1"/>
  <c r="AN361" i="6" a="1"/>
  <c r="AN361" i="6" s="1"/>
  <c r="AN360" i="6" a="1"/>
  <c r="AN360" i="6" s="1"/>
  <c r="AN359" i="6" a="1"/>
  <c r="AN359" i="6" s="1"/>
  <c r="AN358" i="6" a="1"/>
  <c r="AN358" i="6" s="1"/>
  <c r="AN357" i="6" a="1"/>
  <c r="AN357" i="6" s="1"/>
  <c r="AN356" i="6" a="1"/>
  <c r="AN356" i="6" s="1"/>
  <c r="AN355" i="6" a="1"/>
  <c r="AN355" i="6" s="1"/>
  <c r="AN354" i="6" a="1"/>
  <c r="AN354" i="6" s="1"/>
  <c r="AN353" i="6" a="1"/>
  <c r="AN353" i="6" s="1"/>
  <c r="AN352" i="6" a="1"/>
  <c r="AN352" i="6" s="1"/>
  <c r="AN351" i="6" a="1"/>
  <c r="AN351" i="6" s="1"/>
  <c r="AN350" i="6" a="1"/>
  <c r="AN350" i="6" s="1"/>
  <c r="AN349" i="6" a="1"/>
  <c r="AN349" i="6" s="1"/>
  <c r="AN348" i="6" a="1"/>
  <c r="AN348" i="6" s="1"/>
  <c r="AN347" i="6" a="1"/>
  <c r="AN347" i="6" s="1"/>
  <c r="AN346" i="6" a="1"/>
  <c r="AN346" i="6" s="1"/>
  <c r="AN345" i="6" a="1"/>
  <c r="AN345" i="6" s="1"/>
  <c r="AN344" i="6" a="1"/>
  <c r="AN344" i="6" s="1"/>
  <c r="AN343" i="6" a="1"/>
  <c r="AN343" i="6" s="1"/>
  <c r="AN342" i="6" a="1"/>
  <c r="AN342" i="6" s="1"/>
  <c r="AN341" i="6" a="1"/>
  <c r="AN341" i="6" s="1"/>
  <c r="AN340" i="6" a="1"/>
  <c r="AN340" i="6" s="1"/>
  <c r="AN339" i="6" a="1"/>
  <c r="AN339" i="6" s="1"/>
  <c r="AN338" i="6" a="1"/>
  <c r="AN338" i="6" s="1"/>
  <c r="AN337" i="6" a="1"/>
  <c r="AN337" i="6" s="1"/>
  <c r="AN336" i="6" a="1"/>
  <c r="AN336" i="6" s="1"/>
  <c r="AN335" i="6" a="1"/>
  <c r="AN335" i="6" s="1"/>
  <c r="AN334" i="6" a="1"/>
  <c r="AN334" i="6" s="1"/>
  <c r="AN333" i="6" a="1"/>
  <c r="AN333" i="6" s="1"/>
  <c r="AN332" i="6" a="1"/>
  <c r="AN332" i="6" s="1"/>
  <c r="AN331" i="6" a="1"/>
  <c r="AN331" i="6" s="1"/>
  <c r="AN330" i="6" a="1"/>
  <c r="AN330" i="6" s="1"/>
  <c r="AN329" i="6" a="1"/>
  <c r="AN329" i="6" s="1"/>
  <c r="AN328" i="6" a="1"/>
  <c r="AN328" i="6" s="1"/>
  <c r="AN327" i="6" a="1"/>
  <c r="AN327" i="6" s="1"/>
  <c r="AN326" i="6" a="1"/>
  <c r="AN326" i="6" s="1"/>
  <c r="AN325" i="6" a="1"/>
  <c r="AN325" i="6" s="1"/>
  <c r="AN324" i="6" a="1"/>
  <c r="AN324" i="6" s="1"/>
  <c r="AN323" i="6" a="1"/>
  <c r="AN323" i="6" s="1"/>
  <c r="AN322" i="6" a="1"/>
  <c r="AN322" i="6" s="1"/>
  <c r="AN321" i="6" a="1"/>
  <c r="AN321" i="6" s="1"/>
  <c r="AN320" i="6" a="1"/>
  <c r="AN320" i="6" s="1"/>
  <c r="AN319" i="6" a="1"/>
  <c r="AN319" i="6" s="1"/>
  <c r="AN318" i="6" a="1"/>
  <c r="AN318" i="6" s="1"/>
  <c r="AN317" i="6" a="1"/>
  <c r="AN317" i="6" s="1"/>
  <c r="AN316" i="6" a="1"/>
  <c r="AN316" i="6" s="1"/>
  <c r="AN315" i="6" a="1"/>
  <c r="AN315" i="6" s="1"/>
  <c r="AN314" i="6" a="1"/>
  <c r="AN314" i="6" s="1"/>
  <c r="AN313" i="6" a="1"/>
  <c r="AN313" i="6" s="1"/>
  <c r="AN312" i="6" a="1"/>
  <c r="AN312" i="6" s="1"/>
  <c r="AN311" i="6" a="1"/>
  <c r="AN311" i="6" s="1"/>
  <c r="AN310" i="6" a="1"/>
  <c r="AN310" i="6" s="1"/>
  <c r="AN309" i="6" a="1"/>
  <c r="AN309" i="6" s="1"/>
  <c r="AN308" i="6" a="1"/>
  <c r="AN308" i="6" s="1"/>
  <c r="AN307" i="6" a="1"/>
  <c r="AN307" i="6" s="1"/>
  <c r="AN306" i="6" a="1"/>
  <c r="AN306" i="6" s="1"/>
  <c r="AN305" i="6" a="1"/>
  <c r="AN305" i="6" s="1"/>
  <c r="AN304" i="6" a="1"/>
  <c r="AN304" i="6" s="1"/>
  <c r="AN303" i="6" a="1"/>
  <c r="AN303" i="6" s="1"/>
  <c r="AN302" i="6" a="1"/>
  <c r="AN302" i="6" s="1"/>
  <c r="AN301" i="6" a="1"/>
  <c r="AN301" i="6" s="1"/>
  <c r="AN300" i="6" a="1"/>
  <c r="AN300" i="6" s="1"/>
  <c r="AN299" i="6" a="1"/>
  <c r="AN299" i="6" s="1"/>
  <c r="AN298" i="6" a="1"/>
  <c r="AN298" i="6" s="1"/>
  <c r="AN297" i="6" a="1"/>
  <c r="AN297" i="6" s="1"/>
  <c r="AN296" i="6" a="1"/>
  <c r="AN296" i="6" s="1"/>
  <c r="AN295" i="6" a="1"/>
  <c r="AN295" i="6" s="1"/>
  <c r="AN294" i="6" a="1"/>
  <c r="AN294" i="6" s="1"/>
  <c r="AN293" i="6" a="1"/>
  <c r="AN293" i="6" s="1"/>
  <c r="AN292" i="6" a="1"/>
  <c r="AN292" i="6" s="1"/>
  <c r="AN291" i="6" a="1"/>
  <c r="AN291" i="6" s="1"/>
  <c r="AN290" i="6" a="1"/>
  <c r="AN290" i="6" s="1"/>
  <c r="AN289" i="6" a="1"/>
  <c r="AN289" i="6" s="1"/>
  <c r="AN288" i="6" a="1"/>
  <c r="AN288" i="6" s="1"/>
  <c r="AN287" i="6" a="1"/>
  <c r="AN287" i="6" s="1"/>
  <c r="AN286" i="6" a="1"/>
  <c r="AN286" i="6" s="1"/>
  <c r="AN285" i="6" a="1"/>
  <c r="AN285" i="6" s="1"/>
  <c r="AN284" i="6" a="1"/>
  <c r="AN284" i="6" s="1"/>
  <c r="AN283" i="6" a="1"/>
  <c r="AN283" i="6" s="1"/>
  <c r="AN282" i="6" a="1"/>
  <c r="AN282" i="6" s="1"/>
  <c r="AN281" i="6" a="1"/>
  <c r="AN281" i="6" s="1"/>
  <c r="AN280" i="6" a="1"/>
  <c r="AN280" i="6" s="1"/>
  <c r="AN279" i="6" a="1"/>
  <c r="AN279" i="6" s="1"/>
  <c r="AN278" i="6" a="1"/>
  <c r="AN278" i="6" s="1"/>
  <c r="AN277" i="6" a="1"/>
  <c r="AN277" i="6" s="1"/>
  <c r="AN276" i="6" a="1"/>
  <c r="AN276" i="6" s="1"/>
  <c r="AN275" i="6" a="1"/>
  <c r="AN275" i="6" s="1"/>
  <c r="AN274" i="6" a="1"/>
  <c r="AN274" i="6" s="1"/>
  <c r="AN273" i="6" a="1"/>
  <c r="AN273" i="6" s="1"/>
  <c r="AN272" i="6" a="1"/>
  <c r="AN272" i="6" s="1"/>
  <c r="AN271" i="6" a="1"/>
  <c r="AN271" i="6" s="1"/>
  <c r="AN270" i="6" a="1"/>
  <c r="AN270" i="6" s="1"/>
  <c r="AN269" i="6" a="1"/>
  <c r="AN269" i="6" s="1"/>
  <c r="AN268" i="6" a="1"/>
  <c r="AN268" i="6" s="1"/>
  <c r="AN267" i="6" a="1"/>
  <c r="AN267" i="6" s="1"/>
  <c r="AN266" i="6" a="1"/>
  <c r="AN266" i="6" s="1"/>
  <c r="AN265" i="6" a="1"/>
  <c r="AN265" i="6" s="1"/>
  <c r="AN264" i="6" a="1"/>
  <c r="AN264" i="6" s="1"/>
  <c r="AN263" i="6" a="1"/>
  <c r="AN263" i="6" s="1"/>
  <c r="AN262" i="6" a="1"/>
  <c r="AN262" i="6" s="1"/>
  <c r="AN261" i="6" a="1"/>
  <c r="AN261" i="6" s="1"/>
  <c r="AN260" i="6" a="1"/>
  <c r="AN260" i="6" s="1"/>
  <c r="AN259" i="6" a="1"/>
  <c r="AN259" i="6" s="1"/>
  <c r="AN258" i="6" a="1"/>
  <c r="AN258" i="6" s="1"/>
  <c r="AN257" i="6" a="1"/>
  <c r="AN257" i="6" s="1"/>
  <c r="AN256" i="6" a="1"/>
  <c r="AN256" i="6" s="1"/>
  <c r="AN255" i="6" a="1"/>
  <c r="AN255" i="6" s="1"/>
  <c r="AN254" i="6" a="1"/>
  <c r="AN254" i="6" s="1"/>
  <c r="AN253" i="6" a="1"/>
  <c r="AN253" i="6" s="1"/>
  <c r="AN252" i="6" a="1"/>
  <c r="AN252" i="6" s="1"/>
  <c r="AN251" i="6" a="1"/>
  <c r="AN251" i="6" s="1"/>
  <c r="AN250" i="6" a="1"/>
  <c r="AN250" i="6" s="1"/>
  <c r="AN249" i="6" a="1"/>
  <c r="AN249" i="6" s="1"/>
  <c r="AN248" i="6" a="1"/>
  <c r="AN248" i="6" s="1"/>
  <c r="AN247" i="6" a="1"/>
  <c r="AN247" i="6" s="1"/>
  <c r="AN246" i="6" a="1"/>
  <c r="AN246" i="6" s="1"/>
  <c r="AN245" i="6" a="1"/>
  <c r="AN245" i="6" s="1"/>
  <c r="AN244" i="6" a="1"/>
  <c r="AN244" i="6" s="1"/>
  <c r="AN243" i="6" a="1"/>
  <c r="AN243" i="6" s="1"/>
  <c r="AN242" i="6" a="1"/>
  <c r="AN242" i="6" s="1"/>
  <c r="AN241" i="6" a="1"/>
  <c r="AN241" i="6" s="1"/>
  <c r="AN240" i="6" a="1"/>
  <c r="AN240" i="6" s="1"/>
  <c r="AN239" i="6" a="1"/>
  <c r="AN239" i="6" s="1"/>
  <c r="AN238" i="6" a="1"/>
  <c r="AN238" i="6" s="1"/>
  <c r="AN237" i="6" a="1"/>
  <c r="AN237" i="6" s="1"/>
  <c r="AN236" i="6" a="1"/>
  <c r="AN236" i="6" s="1"/>
  <c r="AN235" i="6" a="1"/>
  <c r="AN235" i="6" s="1"/>
  <c r="AN234" i="6" a="1"/>
  <c r="AN234" i="6" s="1"/>
  <c r="AN233" i="6" a="1"/>
  <c r="AN233" i="6" s="1"/>
  <c r="AN232" i="6" a="1"/>
  <c r="AN232" i="6" s="1"/>
  <c r="AN231" i="6" a="1"/>
  <c r="AN231" i="6" s="1"/>
  <c r="AN230" i="6" a="1"/>
  <c r="AN230" i="6" s="1"/>
  <c r="AN229" i="6" a="1"/>
  <c r="AN229" i="6" s="1"/>
  <c r="AN228" i="6" a="1"/>
  <c r="AN228" i="6" s="1"/>
  <c r="AN227" i="6" a="1"/>
  <c r="AN227" i="6" s="1"/>
  <c r="AN226" i="6" a="1"/>
  <c r="AN226" i="6" s="1"/>
  <c r="AN225" i="6" a="1"/>
  <c r="AN225" i="6" s="1"/>
  <c r="AN224" i="6" a="1"/>
  <c r="AN224" i="6" s="1"/>
  <c r="AN223" i="6" a="1"/>
  <c r="AN223" i="6" s="1"/>
  <c r="AN222" i="6" a="1"/>
  <c r="AN222" i="6" s="1"/>
  <c r="AN221" i="6" a="1"/>
  <c r="AN221" i="6" s="1"/>
  <c r="AN220" i="6" a="1"/>
  <c r="AN220" i="6" s="1"/>
  <c r="AN219" i="6" a="1"/>
  <c r="AN219" i="6" s="1"/>
  <c r="AN218" i="6" a="1"/>
  <c r="AN218" i="6" s="1"/>
  <c r="AN217" i="6" a="1"/>
  <c r="AN217" i="6" s="1"/>
  <c r="AN216" i="6" a="1"/>
  <c r="AN216" i="6" s="1"/>
  <c r="AN215" i="6" a="1"/>
  <c r="AN215" i="6" s="1"/>
  <c r="AN214" i="6" a="1"/>
  <c r="AN214" i="6" s="1"/>
  <c r="AN213" i="6" a="1"/>
  <c r="AN213" i="6" s="1"/>
  <c r="AN212" i="6" a="1"/>
  <c r="AN212" i="6" s="1"/>
  <c r="AN211" i="6" a="1"/>
  <c r="AN211" i="6" s="1"/>
  <c r="AN210" i="6" a="1"/>
  <c r="AN210" i="6" s="1"/>
  <c r="AN209" i="6" a="1"/>
  <c r="AN209" i="6" s="1"/>
  <c r="AN208" i="6" a="1"/>
  <c r="AN208" i="6" s="1"/>
  <c r="AN207" i="6" a="1"/>
  <c r="AN207" i="6" s="1"/>
  <c r="AN206" i="6" a="1"/>
  <c r="AN206" i="6" s="1"/>
  <c r="AN205" i="6" a="1"/>
  <c r="AN205" i="6" s="1"/>
  <c r="AN204" i="6" a="1"/>
  <c r="AN204" i="6" s="1"/>
  <c r="AN203" i="6" a="1"/>
  <c r="AN203" i="6" s="1"/>
  <c r="AN202" i="6" a="1"/>
  <c r="AN202" i="6" s="1"/>
  <c r="AN201" i="6" a="1"/>
  <c r="AN201" i="6" s="1"/>
  <c r="AN200" i="6" a="1"/>
  <c r="AN200" i="6" s="1"/>
  <c r="AN199" i="6" a="1"/>
  <c r="AN199" i="6" s="1"/>
  <c r="AN198" i="6" a="1"/>
  <c r="AN198" i="6" s="1"/>
  <c r="AN197" i="6" a="1"/>
  <c r="AN197" i="6" s="1"/>
  <c r="AN196" i="6" a="1"/>
  <c r="AN196" i="6" s="1"/>
  <c r="AN195" i="6" a="1"/>
  <c r="AN195" i="6" s="1"/>
  <c r="AN194" i="6" a="1"/>
  <c r="AN194" i="6" s="1"/>
  <c r="AN193" i="6" a="1"/>
  <c r="AN193" i="6" s="1"/>
  <c r="AN192" i="6" a="1"/>
  <c r="AN192" i="6" s="1"/>
  <c r="AN191" i="6" a="1"/>
  <c r="AN191" i="6" s="1"/>
  <c r="AN190" i="6" a="1"/>
  <c r="AN190" i="6" s="1"/>
  <c r="AN189" i="6" a="1"/>
  <c r="AN189" i="6" s="1"/>
  <c r="AN188" i="6" a="1"/>
  <c r="AN188" i="6" s="1"/>
  <c r="AN187" i="6" a="1"/>
  <c r="AN187" i="6" s="1"/>
  <c r="AN186" i="6" a="1"/>
  <c r="AN186" i="6" s="1"/>
  <c r="AN185" i="6" a="1"/>
  <c r="AN185" i="6" s="1"/>
  <c r="AN184" i="6" a="1"/>
  <c r="AN184" i="6" s="1"/>
  <c r="AN183" i="6" a="1"/>
  <c r="AN183" i="6" s="1"/>
  <c r="AN182" i="6" a="1"/>
  <c r="AN182" i="6" s="1"/>
  <c r="AN181" i="6" a="1"/>
  <c r="AN181" i="6" s="1"/>
  <c r="AN180" i="6" a="1"/>
  <c r="AN180" i="6" s="1"/>
  <c r="AN179" i="6" a="1"/>
  <c r="AN179" i="6" s="1"/>
  <c r="AN178" i="6" a="1"/>
  <c r="AN178" i="6" s="1"/>
  <c r="AN177" i="6" a="1"/>
  <c r="AN177" i="6" s="1"/>
  <c r="AN176" i="6" a="1"/>
  <c r="AN176" i="6" s="1"/>
  <c r="AN175" i="6" a="1"/>
  <c r="AN175" i="6" s="1"/>
  <c r="AN174" i="6" a="1"/>
  <c r="AN174" i="6" s="1"/>
  <c r="AN173" i="6" a="1"/>
  <c r="AN173" i="6" s="1"/>
  <c r="AN172" i="6" a="1"/>
  <c r="AN172" i="6" s="1"/>
  <c r="AN171" i="6" a="1"/>
  <c r="AN171" i="6" s="1"/>
  <c r="AN170" i="6" a="1"/>
  <c r="AN170" i="6" s="1"/>
  <c r="AN169" i="6" a="1"/>
  <c r="AN169" i="6" s="1"/>
  <c r="AN168" i="6" a="1"/>
  <c r="AN168" i="6" s="1"/>
  <c r="AN167" i="6" a="1"/>
  <c r="AN167" i="6" s="1"/>
  <c r="AN166" i="6" a="1"/>
  <c r="AN166" i="6" s="1"/>
  <c r="AN165" i="6" a="1"/>
  <c r="AN165" i="6" s="1"/>
  <c r="AN164" i="6" a="1"/>
  <c r="AN164" i="6" s="1"/>
  <c r="AN163" i="6" a="1"/>
  <c r="AN163" i="6" s="1"/>
  <c r="AN162" i="6" a="1"/>
  <c r="AN162" i="6" s="1"/>
  <c r="AN161" i="6" a="1"/>
  <c r="AN161" i="6" s="1"/>
  <c r="AN160" i="6" a="1"/>
  <c r="AN160" i="6" s="1"/>
  <c r="AN159" i="6" a="1"/>
  <c r="AN159" i="6" s="1"/>
  <c r="AN158" i="6" a="1"/>
  <c r="AN158" i="6" s="1"/>
  <c r="AN157" i="6" a="1"/>
  <c r="AN157" i="6" s="1"/>
  <c r="AN156" i="6" a="1"/>
  <c r="AN156" i="6" s="1"/>
  <c r="AN155" i="6" a="1"/>
  <c r="AN155" i="6" s="1"/>
  <c r="AN154" i="6" a="1"/>
  <c r="AN154" i="6" s="1"/>
  <c r="AN153" i="6" a="1"/>
  <c r="AN153" i="6" s="1"/>
  <c r="AN152" i="6" a="1"/>
  <c r="AN152" i="6" s="1"/>
  <c r="AN151" i="6" a="1"/>
  <c r="AN151" i="6" s="1"/>
  <c r="AN150" i="6" a="1"/>
  <c r="AN150" i="6" s="1"/>
  <c r="AN149" i="6" a="1"/>
  <c r="AN149" i="6" s="1"/>
  <c r="AN148" i="6" a="1"/>
  <c r="AN148" i="6" s="1"/>
  <c r="AN147" i="6" a="1"/>
  <c r="AN147" i="6" s="1"/>
  <c r="AN146" i="6" a="1"/>
  <c r="AN146" i="6" s="1"/>
  <c r="AN145" i="6" a="1"/>
  <c r="AN145" i="6" s="1"/>
  <c r="AN144" i="6" a="1"/>
  <c r="AN144" i="6" s="1"/>
  <c r="AN143" i="6" a="1"/>
  <c r="AN143" i="6" s="1"/>
  <c r="AN142" i="6" a="1"/>
  <c r="AN142" i="6" s="1"/>
  <c r="AN141" i="6" a="1"/>
  <c r="AN141" i="6" s="1"/>
  <c r="AN140" i="6" a="1"/>
  <c r="AN140" i="6" s="1"/>
  <c r="AN139" i="6" a="1"/>
  <c r="AN139" i="6" s="1"/>
  <c r="AN138" i="6" a="1"/>
  <c r="AN138" i="6" s="1"/>
  <c r="AN137" i="6" a="1"/>
  <c r="AN137" i="6" s="1"/>
  <c r="AN136" i="6" a="1"/>
  <c r="AN136" i="6" s="1"/>
  <c r="AN135" i="6" a="1"/>
  <c r="AN135" i="6" s="1"/>
  <c r="AN134" i="6" a="1"/>
  <c r="AN134" i="6" s="1"/>
  <c r="AN133" i="6" a="1"/>
  <c r="AN133" i="6" s="1"/>
  <c r="AN132" i="6" a="1"/>
  <c r="AN132" i="6" s="1"/>
  <c r="AN131" i="6" a="1"/>
  <c r="AN131" i="6" s="1"/>
  <c r="AN130" i="6" a="1"/>
  <c r="AN130" i="6" s="1"/>
  <c r="AN129" i="6" a="1"/>
  <c r="AN129" i="6" s="1"/>
  <c r="AN128" i="6" a="1"/>
  <c r="AN128" i="6" s="1"/>
  <c r="AN127" i="6" a="1"/>
  <c r="AN127" i="6" s="1"/>
  <c r="AN126" i="6" a="1"/>
  <c r="AN126" i="6" s="1"/>
  <c r="AN125" i="6" a="1"/>
  <c r="AN125" i="6" s="1"/>
  <c r="AN124" i="6" a="1"/>
  <c r="AN124" i="6" s="1"/>
  <c r="AN123" i="6" a="1"/>
  <c r="AN123" i="6" s="1"/>
  <c r="AN122" i="6" a="1"/>
  <c r="AN122" i="6" s="1"/>
  <c r="AN121" i="6" a="1"/>
  <c r="AN121" i="6" s="1"/>
  <c r="AN120" i="6" a="1"/>
  <c r="AN120" i="6" s="1"/>
  <c r="AN119" i="6" a="1"/>
  <c r="AN119" i="6" s="1"/>
  <c r="AN118" i="6" a="1"/>
  <c r="AN118" i="6" s="1"/>
  <c r="AN117" i="6" a="1"/>
  <c r="AN117" i="6" s="1"/>
  <c r="AN116" i="6" a="1"/>
  <c r="AN116" i="6" s="1"/>
  <c r="AN115" i="6" a="1"/>
  <c r="AN115" i="6" s="1"/>
  <c r="AN114" i="6" a="1"/>
  <c r="AN114" i="6" s="1"/>
  <c r="AN113" i="6" a="1"/>
  <c r="AN113" i="6" s="1"/>
  <c r="AN112" i="6" a="1"/>
  <c r="AN112" i="6" s="1"/>
  <c r="AN111" i="6" a="1"/>
  <c r="AN111" i="6" s="1"/>
  <c r="AN110" i="6" a="1"/>
  <c r="AN110" i="6" s="1"/>
  <c r="AN109" i="6" a="1"/>
  <c r="AN109" i="6" s="1"/>
  <c r="AN108" i="6" a="1"/>
  <c r="AN108" i="6" s="1"/>
  <c r="AN107" i="6" a="1"/>
  <c r="AN107" i="6" s="1"/>
  <c r="AN106" i="6" a="1"/>
  <c r="AN106" i="6" s="1"/>
  <c r="AN105" i="6" a="1"/>
  <c r="AN105" i="6" s="1"/>
  <c r="AN104" i="6" a="1"/>
  <c r="AN104" i="6" s="1"/>
  <c r="AN103" i="6" a="1"/>
  <c r="AN103" i="6" s="1"/>
  <c r="AN102" i="6" a="1"/>
  <c r="AN102" i="6" s="1"/>
  <c r="AN101" i="6" a="1"/>
  <c r="AN101" i="6" s="1"/>
  <c r="AN100" i="6" a="1"/>
  <c r="AN100" i="6" s="1"/>
  <c r="AN99" i="6" a="1"/>
  <c r="AN99" i="6" s="1"/>
  <c r="AN98" i="6" a="1"/>
  <c r="AN98" i="6" s="1"/>
  <c r="AN97" i="6" a="1"/>
  <c r="AN97" i="6" s="1"/>
  <c r="AN96" i="6" a="1"/>
  <c r="AN96" i="6" s="1"/>
  <c r="AN95" i="6" a="1"/>
  <c r="AN95" i="6" s="1"/>
  <c r="AN94" i="6" a="1"/>
  <c r="AN94" i="6" s="1"/>
  <c r="AN93" i="6" a="1"/>
  <c r="AN93" i="6" s="1"/>
  <c r="AN92" i="6" a="1"/>
  <c r="AN92" i="6" s="1"/>
  <c r="AN91" i="6" a="1"/>
  <c r="AN91" i="6" s="1"/>
  <c r="AN90" i="6" a="1"/>
  <c r="AN90" i="6" s="1"/>
  <c r="AN89" i="6" a="1"/>
  <c r="AN89" i="6" s="1"/>
  <c r="AN88" i="6" a="1"/>
  <c r="AN88" i="6" s="1"/>
  <c r="AN87" i="6" a="1"/>
  <c r="AN87" i="6" s="1"/>
  <c r="AN86" i="6" a="1"/>
  <c r="AN86" i="6" s="1"/>
  <c r="AN85" i="6" a="1"/>
  <c r="AN85" i="6" s="1"/>
  <c r="AN84" i="6" a="1"/>
  <c r="AN84" i="6" s="1"/>
  <c r="AN83" i="6" a="1"/>
  <c r="AN83" i="6" s="1"/>
  <c r="AN82" i="6" a="1"/>
  <c r="AN82" i="6" s="1"/>
  <c r="AN81" i="6" a="1"/>
  <c r="AN81" i="6" s="1"/>
  <c r="AN80" i="6" a="1"/>
  <c r="AN80" i="6" s="1"/>
  <c r="AN79" i="6" a="1"/>
  <c r="AN79" i="6" s="1"/>
  <c r="AN78" i="6" a="1"/>
  <c r="AN78" i="6" s="1"/>
  <c r="AN77" i="6" a="1"/>
  <c r="AN77" i="6" s="1"/>
  <c r="AN76" i="6" a="1"/>
  <c r="AN76" i="6" s="1"/>
  <c r="AN75" i="6" a="1"/>
  <c r="AN75" i="6" s="1"/>
  <c r="AN74" i="6" a="1"/>
  <c r="AN74" i="6" s="1"/>
  <c r="AN73" i="6" a="1"/>
  <c r="AN73" i="6" s="1"/>
  <c r="AN72" i="6" a="1"/>
  <c r="AN72" i="6" s="1"/>
  <c r="AN71" i="6" a="1"/>
  <c r="AN71" i="6" s="1"/>
  <c r="AN70" i="6" a="1"/>
  <c r="AN70" i="6" s="1"/>
  <c r="AN69" i="6" a="1"/>
  <c r="AN69" i="6" s="1"/>
  <c r="AN68" i="6" a="1"/>
  <c r="AN68" i="6" s="1"/>
  <c r="AN67" i="6" a="1"/>
  <c r="AN67" i="6" s="1"/>
  <c r="AN66" i="6" a="1"/>
  <c r="AN66" i="6" s="1"/>
  <c r="AN65" i="6" a="1"/>
  <c r="AN65" i="6" s="1"/>
  <c r="AN64" i="6" a="1"/>
  <c r="AN64" i="6" s="1"/>
  <c r="AN63" i="6" a="1"/>
  <c r="AN63" i="6" s="1"/>
  <c r="AN62" i="6" a="1"/>
  <c r="AN62" i="6" s="1"/>
  <c r="AN61" i="6" a="1"/>
  <c r="AN61" i="6" s="1"/>
  <c r="AN60" i="6" a="1"/>
  <c r="AN60" i="6" s="1"/>
  <c r="AN59" i="6" a="1"/>
  <c r="AN59" i="6" s="1"/>
  <c r="AN58" i="6" a="1"/>
  <c r="AN58" i="6" s="1"/>
  <c r="AN57" i="6" a="1"/>
  <c r="AN57" i="6" s="1"/>
  <c r="AN56" i="6" a="1"/>
  <c r="AN56" i="6" s="1"/>
  <c r="AN55" i="6" a="1"/>
  <c r="AN55" i="6" s="1"/>
  <c r="AN54" i="6" a="1"/>
  <c r="AN54" i="6" s="1"/>
  <c r="AN53" i="6" a="1"/>
  <c r="AN53" i="6" s="1"/>
  <c r="AN52" i="6" a="1"/>
  <c r="AN52" i="6" s="1"/>
  <c r="AN51" i="6" a="1"/>
  <c r="AN51" i="6" s="1"/>
  <c r="AN50" i="6" a="1"/>
  <c r="AN50" i="6" s="1"/>
  <c r="AN49" i="6" a="1"/>
  <c r="AN49" i="6" s="1"/>
  <c r="AN48" i="6" a="1"/>
  <c r="AN48" i="6" s="1"/>
  <c r="AN47" i="6" a="1"/>
  <c r="AN47" i="6" s="1"/>
  <c r="AN46" i="6" a="1"/>
  <c r="AN46" i="6" s="1"/>
  <c r="AN45" i="6" a="1"/>
  <c r="AN45" i="6" s="1"/>
  <c r="AN44" i="6" a="1"/>
  <c r="AN44" i="6" s="1"/>
  <c r="AN43" i="6" a="1"/>
  <c r="AN43" i="6" s="1"/>
  <c r="AN42" i="6" a="1"/>
  <c r="AN42" i="6" s="1"/>
  <c r="AN41" i="6" a="1"/>
  <c r="AN41" i="6" s="1"/>
  <c r="AN40" i="6" a="1"/>
  <c r="AN40" i="6" s="1"/>
  <c r="AN39" i="6" a="1"/>
  <c r="AN39" i="6" s="1"/>
  <c r="AN38" i="6" a="1"/>
  <c r="AN38" i="6" s="1"/>
  <c r="AN37" i="6" a="1"/>
  <c r="AN37" i="6" s="1"/>
  <c r="AN36" i="6" a="1"/>
  <c r="AN36" i="6" s="1"/>
  <c r="AN35" i="6" a="1"/>
  <c r="AN35" i="6" s="1"/>
  <c r="AN34" i="6" a="1"/>
  <c r="AN34" i="6" s="1"/>
  <c r="AN33" i="6" a="1"/>
  <c r="AN33" i="6" s="1"/>
  <c r="AN32" i="6" a="1"/>
  <c r="AN32" i="6" s="1"/>
  <c r="AN31" i="6" a="1"/>
  <c r="AN31" i="6" s="1"/>
  <c r="AN30" i="6" a="1"/>
  <c r="AN30" i="6" s="1"/>
  <c r="AN29" i="6" a="1"/>
  <c r="AN29" i="6" s="1"/>
  <c r="AN28" i="6" a="1"/>
  <c r="AN28" i="6" s="1"/>
  <c r="AN27" i="6" a="1"/>
  <c r="AN27" i="6" s="1"/>
  <c r="AN26" i="6" a="1"/>
  <c r="AN26" i="6" s="1"/>
  <c r="AN25" i="6" a="1"/>
  <c r="AN25" i="6" s="1"/>
  <c r="AN24" i="6" a="1"/>
  <c r="AN24" i="6" s="1"/>
  <c r="AN23" i="6" a="1"/>
  <c r="AN23" i="6" s="1"/>
  <c r="AN22" i="6" a="1"/>
  <c r="AN22" i="6" s="1"/>
  <c r="AN21" i="6" a="1"/>
  <c r="AN21" i="6" s="1"/>
  <c r="AN20" i="6" a="1"/>
  <c r="AN20" i="6" s="1"/>
  <c r="AN19" i="6" a="1"/>
  <c r="AN19" i="6" s="1"/>
  <c r="AN18" i="6" a="1"/>
  <c r="AN18" i="6" s="1"/>
  <c r="AN17" i="6" a="1"/>
  <c r="AN17" i="6" s="1"/>
  <c r="AN16" i="6" a="1"/>
  <c r="AN16" i="6" s="1"/>
  <c r="AN15" i="6" a="1"/>
  <c r="AN15" i="6" s="1"/>
  <c r="AN14" i="6" a="1"/>
  <c r="AN14" i="6" s="1"/>
  <c r="AN13" i="6" a="1"/>
  <c r="AN13" i="6" s="1"/>
  <c r="AN12" i="6" a="1"/>
  <c r="AN12" i="6" s="1"/>
  <c r="AN11" i="6" a="1"/>
  <c r="AN11" i="6" s="1"/>
  <c r="AN10" i="6" a="1"/>
  <c r="AN10" i="6" s="1"/>
  <c r="AN9" i="6" a="1"/>
  <c r="AN9" i="6" s="1"/>
  <c r="AN8" i="6" a="1"/>
  <c r="AN8" i="6" s="1"/>
  <c r="AN7" i="6" a="1"/>
  <c r="AN7" i="6" s="1"/>
  <c r="AN6" i="6" a="1"/>
  <c r="AN6" i="6" s="1"/>
  <c r="AN5" i="6" a="1"/>
  <c r="AN5" i="6" s="1"/>
  <c r="AN4" i="6" a="1"/>
  <c r="AN4" i="6" s="1"/>
  <c r="AN3" i="6" a="1"/>
  <c r="AN3" i="6" s="1"/>
  <c r="AN2" i="6" a="1"/>
  <c r="AN2" i="6" s="1"/>
  <c r="AM1001" i="6"/>
  <c r="AM1000" i="6"/>
  <c r="AM999" i="6"/>
  <c r="AM998" i="6"/>
  <c r="AM997" i="6"/>
  <c r="AM996" i="6"/>
  <c r="AM995" i="6"/>
  <c r="AM994" i="6"/>
  <c r="AM993" i="6"/>
  <c r="AM992" i="6"/>
  <c r="AM991" i="6"/>
  <c r="AM990" i="6"/>
  <c r="AM989" i="6"/>
  <c r="AM988" i="6"/>
  <c r="AM987" i="6"/>
  <c r="AM986" i="6"/>
  <c r="AM985" i="6"/>
  <c r="AM984" i="6"/>
  <c r="AM983" i="6"/>
  <c r="AM982" i="6"/>
  <c r="AM981" i="6"/>
  <c r="AM980" i="6"/>
  <c r="AM979" i="6"/>
  <c r="AM978" i="6"/>
  <c r="AM977" i="6"/>
  <c r="AM976" i="6"/>
  <c r="AM975" i="6"/>
  <c r="AM974" i="6"/>
  <c r="AM973" i="6"/>
  <c r="AM972" i="6"/>
  <c r="AM971" i="6"/>
  <c r="AM970" i="6"/>
  <c r="AM969" i="6"/>
  <c r="AM968" i="6"/>
  <c r="AM967" i="6"/>
  <c r="AM966" i="6"/>
  <c r="AM965" i="6"/>
  <c r="AM964" i="6"/>
  <c r="AM963" i="6"/>
  <c r="AM962" i="6"/>
  <c r="AM961" i="6"/>
  <c r="AM960" i="6"/>
  <c r="AM959" i="6"/>
  <c r="AM958" i="6"/>
  <c r="AM957" i="6"/>
  <c r="AM956" i="6"/>
  <c r="AM955" i="6"/>
  <c r="AM954" i="6"/>
  <c r="AM953" i="6"/>
  <c r="AM952" i="6"/>
  <c r="AM951" i="6"/>
  <c r="AM950" i="6"/>
  <c r="AM949" i="6"/>
  <c r="AM948" i="6"/>
  <c r="AM947" i="6"/>
  <c r="AM946" i="6"/>
  <c r="AM945" i="6"/>
  <c r="AM944" i="6"/>
  <c r="AM943" i="6"/>
  <c r="AM942" i="6"/>
  <c r="AM941" i="6"/>
  <c r="AM940" i="6"/>
  <c r="AM939" i="6"/>
  <c r="AM938" i="6"/>
  <c r="AM937" i="6"/>
  <c r="AM936" i="6"/>
  <c r="AM935" i="6"/>
  <c r="AM934" i="6"/>
  <c r="AM933" i="6"/>
  <c r="AM932" i="6"/>
  <c r="AM931" i="6"/>
  <c r="AM930" i="6"/>
  <c r="AM929" i="6"/>
  <c r="AM928" i="6"/>
  <c r="AM927" i="6"/>
  <c r="AM926" i="6"/>
  <c r="AM925" i="6"/>
  <c r="AM924" i="6"/>
  <c r="AM923" i="6"/>
  <c r="AM922" i="6"/>
  <c r="AM921" i="6"/>
  <c r="AM920" i="6"/>
  <c r="AM919" i="6"/>
  <c r="AM918" i="6"/>
  <c r="AM917" i="6"/>
  <c r="AM916" i="6"/>
  <c r="AM915" i="6"/>
  <c r="AM914" i="6"/>
  <c r="AM913" i="6"/>
  <c r="AM912" i="6"/>
  <c r="AM911" i="6"/>
  <c r="AM910" i="6"/>
  <c r="AM909" i="6"/>
  <c r="AM908" i="6"/>
  <c r="AM907" i="6"/>
  <c r="AM906" i="6"/>
  <c r="AM905" i="6"/>
  <c r="AM904" i="6"/>
  <c r="AM903" i="6"/>
  <c r="AM902" i="6"/>
  <c r="AM901" i="6"/>
  <c r="AM900" i="6"/>
  <c r="AM899" i="6"/>
  <c r="AM898" i="6"/>
  <c r="AM897" i="6"/>
  <c r="AM896" i="6"/>
  <c r="AM895" i="6"/>
  <c r="AM894" i="6"/>
  <c r="AM893" i="6"/>
  <c r="AM892" i="6"/>
  <c r="AM891" i="6"/>
  <c r="AM890" i="6"/>
  <c r="AM889" i="6"/>
  <c r="AM888" i="6"/>
  <c r="AM887" i="6"/>
  <c r="AM886" i="6"/>
  <c r="AM885" i="6"/>
  <c r="AM884" i="6"/>
  <c r="AM883" i="6"/>
  <c r="AM882" i="6"/>
  <c r="AM881" i="6"/>
  <c r="AM880" i="6"/>
  <c r="AM879" i="6"/>
  <c r="AM878" i="6"/>
  <c r="AM877" i="6"/>
  <c r="AM876" i="6"/>
  <c r="AM875" i="6"/>
  <c r="AM874" i="6"/>
  <c r="AM873" i="6"/>
  <c r="AM872" i="6"/>
  <c r="AM871" i="6"/>
  <c r="AM870" i="6"/>
  <c r="AM869" i="6"/>
  <c r="AM868" i="6"/>
  <c r="AM867" i="6"/>
  <c r="AM866" i="6"/>
  <c r="AM865" i="6"/>
  <c r="AM864" i="6"/>
  <c r="AM863" i="6"/>
  <c r="AM862" i="6"/>
  <c r="AM861" i="6"/>
  <c r="AM860" i="6"/>
  <c r="AM859" i="6"/>
  <c r="AM858" i="6"/>
  <c r="AM857" i="6"/>
  <c r="AM856" i="6"/>
  <c r="AM855" i="6"/>
  <c r="AM854" i="6"/>
  <c r="AM853" i="6"/>
  <c r="AM852" i="6"/>
  <c r="AM851" i="6"/>
  <c r="AM850" i="6"/>
  <c r="AM849" i="6"/>
  <c r="AM848" i="6"/>
  <c r="AM847" i="6"/>
  <c r="AM846" i="6"/>
  <c r="AM845" i="6"/>
  <c r="AM844" i="6"/>
  <c r="AM843" i="6"/>
  <c r="AM842" i="6"/>
  <c r="AM841" i="6"/>
  <c r="AM840" i="6"/>
  <c r="AM839" i="6"/>
  <c r="AM838" i="6"/>
  <c r="AM837" i="6"/>
  <c r="AM836" i="6"/>
  <c r="AM835" i="6"/>
  <c r="AM834" i="6"/>
  <c r="AM833" i="6"/>
  <c r="AM832" i="6"/>
  <c r="AM831" i="6"/>
  <c r="AM830" i="6"/>
  <c r="AM829" i="6"/>
  <c r="AM828" i="6"/>
  <c r="AM827" i="6"/>
  <c r="AM826" i="6"/>
  <c r="AM825" i="6"/>
  <c r="AM824" i="6"/>
  <c r="AM823" i="6"/>
  <c r="AM822" i="6"/>
  <c r="AM821" i="6"/>
  <c r="AM820" i="6"/>
  <c r="AM819" i="6"/>
  <c r="AM818" i="6"/>
  <c r="AM817" i="6"/>
  <c r="AM816" i="6"/>
  <c r="AM815" i="6"/>
  <c r="AM814" i="6"/>
  <c r="AM813" i="6"/>
  <c r="AM812" i="6"/>
  <c r="AM811" i="6"/>
  <c r="AM810" i="6"/>
  <c r="AM809" i="6"/>
  <c r="AM808" i="6"/>
  <c r="AM807" i="6"/>
  <c r="AM806" i="6"/>
  <c r="AM805" i="6"/>
  <c r="AM804" i="6"/>
  <c r="AM803" i="6"/>
  <c r="AM802" i="6"/>
  <c r="AM801" i="6"/>
  <c r="AM800" i="6"/>
  <c r="AM799" i="6"/>
  <c r="AM798" i="6"/>
  <c r="AM797" i="6"/>
  <c r="AM796" i="6"/>
  <c r="AM795" i="6"/>
  <c r="AM794" i="6"/>
  <c r="AM793" i="6"/>
  <c r="AM792" i="6"/>
  <c r="AM791" i="6"/>
  <c r="AM790" i="6"/>
  <c r="AM789" i="6"/>
  <c r="AM788" i="6"/>
  <c r="AM787" i="6"/>
  <c r="AM786" i="6"/>
  <c r="AM785" i="6"/>
  <c r="AM784" i="6"/>
  <c r="AM783" i="6"/>
  <c r="AM782" i="6"/>
  <c r="AM781" i="6"/>
  <c r="AM780" i="6"/>
  <c r="AM779" i="6"/>
  <c r="AM778" i="6"/>
  <c r="AM777" i="6"/>
  <c r="AM776" i="6"/>
  <c r="AM775" i="6"/>
  <c r="AM774" i="6"/>
  <c r="AM773" i="6"/>
  <c r="AM772" i="6"/>
  <c r="AM771" i="6"/>
  <c r="AM770" i="6"/>
  <c r="AM769" i="6"/>
  <c r="AM768" i="6"/>
  <c r="AM767" i="6"/>
  <c r="AM766" i="6"/>
  <c r="AM765" i="6"/>
  <c r="AM764" i="6"/>
  <c r="AM763" i="6"/>
  <c r="AM762" i="6"/>
  <c r="AM761" i="6"/>
  <c r="AM760" i="6"/>
  <c r="AM759" i="6"/>
  <c r="AM758" i="6"/>
  <c r="AM757" i="6"/>
  <c r="AM756" i="6"/>
  <c r="AM755" i="6"/>
  <c r="AM754" i="6"/>
  <c r="AM753" i="6"/>
  <c r="AM752" i="6"/>
  <c r="AM751" i="6"/>
  <c r="AM750" i="6"/>
  <c r="AM749" i="6"/>
  <c r="AM748" i="6"/>
  <c r="AM747" i="6"/>
  <c r="AM746" i="6"/>
  <c r="AM745" i="6"/>
  <c r="AM744" i="6"/>
  <c r="AM743" i="6"/>
  <c r="AM742" i="6"/>
  <c r="AM741" i="6"/>
  <c r="AM740" i="6"/>
  <c r="AM739" i="6"/>
  <c r="AM738" i="6"/>
  <c r="AM737" i="6"/>
  <c r="AM736" i="6"/>
  <c r="AM735" i="6"/>
  <c r="AM734" i="6"/>
  <c r="AM733" i="6"/>
  <c r="AM732" i="6"/>
  <c r="AM731" i="6"/>
  <c r="AM730" i="6"/>
  <c r="AM729" i="6"/>
  <c r="AM728" i="6"/>
  <c r="AM727" i="6"/>
  <c r="AM726" i="6"/>
  <c r="AM725" i="6"/>
  <c r="AM724" i="6"/>
  <c r="AM723" i="6"/>
  <c r="AM722" i="6"/>
  <c r="AM721" i="6"/>
  <c r="AM720" i="6"/>
  <c r="AM719" i="6"/>
  <c r="AM718" i="6"/>
  <c r="AM717" i="6"/>
  <c r="AM716" i="6"/>
  <c r="AM715" i="6"/>
  <c r="AM714" i="6"/>
  <c r="AM713" i="6"/>
  <c r="AM712" i="6"/>
  <c r="AM711" i="6"/>
  <c r="AM710" i="6"/>
  <c r="AM709" i="6"/>
  <c r="AM708" i="6"/>
  <c r="AM707" i="6"/>
  <c r="AM706" i="6"/>
  <c r="AM705" i="6"/>
  <c r="AM704" i="6"/>
  <c r="AM703" i="6"/>
  <c r="AM702" i="6"/>
  <c r="AM701" i="6"/>
  <c r="AM700" i="6"/>
  <c r="AM699" i="6"/>
  <c r="AM698" i="6"/>
  <c r="AM697" i="6"/>
  <c r="AM696" i="6"/>
  <c r="AM695" i="6"/>
  <c r="AM694" i="6"/>
  <c r="AM693" i="6"/>
  <c r="AM692" i="6"/>
  <c r="AM691" i="6"/>
  <c r="AM690" i="6"/>
  <c r="AM689" i="6"/>
  <c r="AM688" i="6"/>
  <c r="AM687" i="6"/>
  <c r="AM686" i="6"/>
  <c r="AM685" i="6"/>
  <c r="AM684" i="6"/>
  <c r="AM683" i="6"/>
  <c r="AM682" i="6"/>
  <c r="AM681" i="6"/>
  <c r="AM680" i="6"/>
  <c r="AM679" i="6"/>
  <c r="AM678" i="6"/>
  <c r="AM677" i="6"/>
  <c r="AM676" i="6"/>
  <c r="AM675" i="6"/>
  <c r="AM674" i="6"/>
  <c r="AM673" i="6"/>
  <c r="AM672" i="6"/>
  <c r="AM671" i="6"/>
  <c r="AM670" i="6"/>
  <c r="AM669" i="6"/>
  <c r="AM668" i="6"/>
  <c r="AM667" i="6"/>
  <c r="AM666" i="6"/>
  <c r="AM665" i="6"/>
  <c r="AM664" i="6"/>
  <c r="AM663" i="6"/>
  <c r="AM662" i="6"/>
  <c r="AM661" i="6"/>
  <c r="AM660" i="6"/>
  <c r="AM659" i="6"/>
  <c r="AM658" i="6"/>
  <c r="AM657" i="6"/>
  <c r="AM656" i="6"/>
  <c r="AM655" i="6"/>
  <c r="AM654" i="6"/>
  <c r="AM653" i="6"/>
  <c r="AM652" i="6"/>
  <c r="AM651" i="6"/>
  <c r="AM650" i="6"/>
  <c r="AM649" i="6"/>
  <c r="AM648" i="6"/>
  <c r="AM647" i="6"/>
  <c r="AM646" i="6"/>
  <c r="AM645" i="6"/>
  <c r="AM644" i="6"/>
  <c r="AM643" i="6"/>
  <c r="AM642" i="6"/>
  <c r="AM641" i="6"/>
  <c r="AM640" i="6"/>
  <c r="AM639" i="6"/>
  <c r="AM638" i="6"/>
  <c r="AM637" i="6"/>
  <c r="AM636" i="6"/>
  <c r="AM635" i="6"/>
  <c r="AM634" i="6"/>
  <c r="AM633" i="6"/>
  <c r="AM632" i="6"/>
  <c r="AM631" i="6"/>
  <c r="AM630" i="6"/>
  <c r="AM629" i="6"/>
  <c r="AM628" i="6"/>
  <c r="AM627" i="6"/>
  <c r="AM626" i="6"/>
  <c r="AM625" i="6"/>
  <c r="AM624" i="6"/>
  <c r="AM623" i="6"/>
  <c r="AM622" i="6"/>
  <c r="AM621" i="6"/>
  <c r="AM620" i="6"/>
  <c r="AM619" i="6"/>
  <c r="AM618" i="6"/>
  <c r="AM617" i="6"/>
  <c r="AM616" i="6"/>
  <c r="AM615" i="6"/>
  <c r="AM614" i="6"/>
  <c r="AM613" i="6"/>
  <c r="AM612" i="6"/>
  <c r="AM611" i="6"/>
  <c r="AM610" i="6"/>
  <c r="AM609" i="6"/>
  <c r="AM608" i="6"/>
  <c r="AM607" i="6"/>
  <c r="AM606" i="6"/>
  <c r="AM605" i="6"/>
  <c r="AM604" i="6"/>
  <c r="AM603" i="6"/>
  <c r="AM602" i="6"/>
  <c r="AM601" i="6"/>
  <c r="AM600" i="6"/>
  <c r="AM599" i="6"/>
  <c r="AM598" i="6"/>
  <c r="AM597" i="6"/>
  <c r="AM596" i="6"/>
  <c r="AM595" i="6"/>
  <c r="AM594" i="6"/>
  <c r="AM593" i="6"/>
  <c r="AM592" i="6"/>
  <c r="AM591" i="6"/>
  <c r="AM590" i="6"/>
  <c r="AM589" i="6"/>
  <c r="AM588" i="6"/>
  <c r="AM587" i="6"/>
  <c r="AM586" i="6"/>
  <c r="AM585" i="6"/>
  <c r="AM584" i="6"/>
  <c r="AM583" i="6"/>
  <c r="AM582" i="6"/>
  <c r="AM581" i="6"/>
  <c r="AM580" i="6"/>
  <c r="AM579" i="6"/>
  <c r="AM578" i="6"/>
  <c r="AM577" i="6"/>
  <c r="AM576" i="6"/>
  <c r="AM575" i="6"/>
  <c r="AM574" i="6"/>
  <c r="AM573" i="6"/>
  <c r="AM572" i="6"/>
  <c r="AM571" i="6"/>
  <c r="AM570" i="6"/>
  <c r="AM569" i="6"/>
  <c r="AM568" i="6"/>
  <c r="AM567" i="6"/>
  <c r="AM566" i="6"/>
  <c r="AM565" i="6"/>
  <c r="AM564" i="6"/>
  <c r="AM563" i="6"/>
  <c r="AM562" i="6"/>
  <c r="AM561" i="6"/>
  <c r="AM560" i="6"/>
  <c r="AM559" i="6"/>
  <c r="AM558" i="6"/>
  <c r="AM557" i="6"/>
  <c r="AM556" i="6"/>
  <c r="AM555" i="6"/>
  <c r="AM554" i="6"/>
  <c r="AM553" i="6"/>
  <c r="AM552" i="6"/>
  <c r="AM551" i="6"/>
  <c r="AM550" i="6"/>
  <c r="AM549" i="6"/>
  <c r="AM548" i="6"/>
  <c r="AM547" i="6"/>
  <c r="AM546" i="6"/>
  <c r="AM545" i="6"/>
  <c r="AM544" i="6"/>
  <c r="AM543" i="6"/>
  <c r="AM542" i="6"/>
  <c r="AM541" i="6"/>
  <c r="AM540" i="6"/>
  <c r="AM539" i="6"/>
  <c r="AM538" i="6"/>
  <c r="AM537" i="6"/>
  <c r="AM536" i="6"/>
  <c r="AM535" i="6"/>
  <c r="AM534" i="6"/>
  <c r="AM533" i="6"/>
  <c r="AM532" i="6"/>
  <c r="AM531" i="6"/>
  <c r="AM530" i="6"/>
  <c r="AM529" i="6"/>
  <c r="AM528" i="6"/>
  <c r="AM527" i="6"/>
  <c r="AM526" i="6"/>
  <c r="AM525" i="6"/>
  <c r="AM524" i="6"/>
  <c r="AM523" i="6"/>
  <c r="AM522" i="6"/>
  <c r="AM521" i="6"/>
  <c r="AM520" i="6"/>
  <c r="AM519" i="6"/>
  <c r="AM518" i="6"/>
  <c r="AM517" i="6"/>
  <c r="AM516" i="6"/>
  <c r="AM515" i="6"/>
  <c r="AM514" i="6"/>
  <c r="AM513" i="6"/>
  <c r="AM512" i="6"/>
  <c r="AM511" i="6"/>
  <c r="AM510" i="6"/>
  <c r="AM509" i="6"/>
  <c r="AM508" i="6"/>
  <c r="AM507" i="6"/>
  <c r="AM506" i="6"/>
  <c r="AM505" i="6"/>
  <c r="AM504" i="6"/>
  <c r="AM503" i="6"/>
  <c r="AM502" i="6"/>
  <c r="AM501" i="6"/>
  <c r="AM500" i="6"/>
  <c r="AM499" i="6"/>
  <c r="AM498" i="6"/>
  <c r="AM497" i="6"/>
  <c r="AM496" i="6"/>
  <c r="AM495" i="6"/>
  <c r="AM494" i="6"/>
  <c r="AM493" i="6"/>
  <c r="AM492" i="6"/>
  <c r="AM491" i="6"/>
  <c r="AM490" i="6"/>
  <c r="AM489" i="6"/>
  <c r="AM488" i="6"/>
  <c r="AM487" i="6"/>
  <c r="AM486" i="6"/>
  <c r="AM485" i="6"/>
  <c r="AM484" i="6"/>
  <c r="AM483" i="6"/>
  <c r="AM482" i="6"/>
  <c r="AM481" i="6"/>
  <c r="AM480" i="6"/>
  <c r="AM479" i="6"/>
  <c r="AM478" i="6"/>
  <c r="AM477" i="6"/>
  <c r="AM476" i="6"/>
  <c r="AM475" i="6"/>
  <c r="AM474" i="6"/>
  <c r="AM473" i="6"/>
  <c r="AM472" i="6"/>
  <c r="AM471" i="6"/>
  <c r="AM470" i="6"/>
  <c r="AM469" i="6"/>
  <c r="AM468" i="6"/>
  <c r="AM467" i="6"/>
  <c r="AM466" i="6"/>
  <c r="AM465" i="6"/>
  <c r="AM464" i="6"/>
  <c r="AM463" i="6"/>
  <c r="AM462" i="6"/>
  <c r="AM461" i="6"/>
  <c r="AM460" i="6"/>
  <c r="AM459" i="6"/>
  <c r="AM458" i="6"/>
  <c r="AM457" i="6"/>
  <c r="AM456" i="6"/>
  <c r="AM455" i="6"/>
  <c r="AM454" i="6"/>
  <c r="AM453" i="6"/>
  <c r="AM452" i="6"/>
  <c r="AM451" i="6"/>
  <c r="AM450" i="6"/>
  <c r="AM449" i="6"/>
  <c r="AM448" i="6"/>
  <c r="AM447" i="6"/>
  <c r="AM446" i="6"/>
  <c r="AM445" i="6"/>
  <c r="AM444" i="6"/>
  <c r="AM443" i="6"/>
  <c r="AM442" i="6"/>
  <c r="AM441" i="6"/>
  <c r="AM440" i="6"/>
  <c r="AM439" i="6"/>
  <c r="AM438" i="6"/>
  <c r="AM437" i="6"/>
  <c r="AM436" i="6"/>
  <c r="AM435" i="6"/>
  <c r="AM434" i="6"/>
  <c r="AM433" i="6"/>
  <c r="AM432" i="6"/>
  <c r="AM431" i="6"/>
  <c r="AM430" i="6"/>
  <c r="AM429" i="6"/>
  <c r="AM428" i="6"/>
  <c r="AM427" i="6"/>
  <c r="AM426" i="6"/>
  <c r="AM425" i="6"/>
  <c r="AM424" i="6"/>
  <c r="AM423" i="6"/>
  <c r="AM422" i="6"/>
  <c r="AM421" i="6"/>
  <c r="AM420" i="6"/>
  <c r="AM419" i="6"/>
  <c r="AM418" i="6"/>
  <c r="AM417" i="6"/>
  <c r="AM416" i="6"/>
  <c r="AM415" i="6"/>
  <c r="AM414" i="6"/>
  <c r="AM413" i="6"/>
  <c r="AM412" i="6"/>
  <c r="AM411" i="6"/>
  <c r="AM410" i="6"/>
  <c r="AM409" i="6"/>
  <c r="AM408" i="6"/>
  <c r="AM407" i="6"/>
  <c r="AM406" i="6"/>
  <c r="AM405" i="6"/>
  <c r="AM404" i="6"/>
  <c r="AM403" i="6"/>
  <c r="AM402" i="6"/>
  <c r="AM401" i="6"/>
  <c r="AM400" i="6"/>
  <c r="AM399" i="6"/>
  <c r="AM398" i="6"/>
  <c r="AM397" i="6"/>
  <c r="AM396" i="6"/>
  <c r="AM395" i="6"/>
  <c r="AM394" i="6"/>
  <c r="AM393" i="6"/>
  <c r="AM392" i="6"/>
  <c r="AM391" i="6"/>
  <c r="AM390" i="6"/>
  <c r="AM389" i="6"/>
  <c r="AM388" i="6"/>
  <c r="AM387" i="6"/>
  <c r="AM386" i="6"/>
  <c r="AM385" i="6"/>
  <c r="AM384" i="6"/>
  <c r="AM383" i="6"/>
  <c r="AM382" i="6"/>
  <c r="AM381" i="6"/>
  <c r="AM380" i="6"/>
  <c r="AM379" i="6"/>
  <c r="AM378" i="6"/>
  <c r="AM377" i="6"/>
  <c r="AM376" i="6"/>
  <c r="AM375" i="6"/>
  <c r="AM374" i="6"/>
  <c r="AM373" i="6"/>
  <c r="AM372" i="6"/>
  <c r="AM371" i="6"/>
  <c r="AM370" i="6"/>
  <c r="AM369" i="6"/>
  <c r="AM368" i="6"/>
  <c r="AM367" i="6"/>
  <c r="AM366" i="6"/>
  <c r="AM365" i="6"/>
  <c r="AM364" i="6"/>
  <c r="AM363" i="6"/>
  <c r="AM362" i="6"/>
  <c r="AM361" i="6"/>
  <c r="AM360" i="6"/>
  <c r="AM359" i="6"/>
  <c r="AM358" i="6"/>
  <c r="AM357" i="6"/>
  <c r="AM356" i="6"/>
  <c r="AM355" i="6"/>
  <c r="AM354" i="6"/>
  <c r="AM353" i="6"/>
  <c r="AM352" i="6"/>
  <c r="AM351" i="6"/>
  <c r="AM350" i="6"/>
  <c r="AM349" i="6"/>
  <c r="AM348" i="6"/>
  <c r="AM347" i="6"/>
  <c r="AM346" i="6"/>
  <c r="AM345" i="6"/>
  <c r="AM344" i="6"/>
  <c r="AM343" i="6"/>
  <c r="AM342" i="6"/>
  <c r="AM341" i="6"/>
  <c r="AM340" i="6"/>
  <c r="AM339" i="6"/>
  <c r="AM338" i="6"/>
  <c r="AM337" i="6"/>
  <c r="AM336" i="6"/>
  <c r="AM335" i="6"/>
  <c r="AM334" i="6"/>
  <c r="AM333" i="6"/>
  <c r="AM332" i="6"/>
  <c r="AM331" i="6"/>
  <c r="AM330" i="6"/>
  <c r="AM329" i="6"/>
  <c r="AM328" i="6"/>
  <c r="AM327" i="6"/>
  <c r="AM326" i="6"/>
  <c r="AM325" i="6"/>
  <c r="AM324" i="6"/>
  <c r="AM323" i="6"/>
  <c r="AM322" i="6"/>
  <c r="AM321" i="6"/>
  <c r="AM320" i="6"/>
  <c r="AM319" i="6"/>
  <c r="AM318" i="6"/>
  <c r="AM317" i="6"/>
  <c r="AM316" i="6"/>
  <c r="AM315" i="6"/>
  <c r="AM314" i="6"/>
  <c r="AM313" i="6"/>
  <c r="AM312" i="6"/>
  <c r="AM311" i="6"/>
  <c r="AM310" i="6"/>
  <c r="AM309" i="6"/>
  <c r="AM308" i="6"/>
  <c r="AM307" i="6"/>
  <c r="AM306" i="6"/>
  <c r="AM305" i="6"/>
  <c r="AM304" i="6"/>
  <c r="AM303" i="6"/>
  <c r="AM302" i="6"/>
  <c r="AM301" i="6"/>
  <c r="AM300" i="6"/>
  <c r="AM299" i="6"/>
  <c r="AM298" i="6"/>
  <c r="AM297" i="6"/>
  <c r="AM296" i="6"/>
  <c r="AM295" i="6"/>
  <c r="AM294" i="6"/>
  <c r="AM293" i="6"/>
  <c r="AM292" i="6"/>
  <c r="AM291" i="6"/>
  <c r="AM290" i="6"/>
  <c r="AM289" i="6"/>
  <c r="AM288" i="6"/>
  <c r="AM287" i="6"/>
  <c r="AM286" i="6"/>
  <c r="AM285" i="6"/>
  <c r="AM284" i="6"/>
  <c r="AM283" i="6"/>
  <c r="AM282" i="6"/>
  <c r="AM281" i="6"/>
  <c r="AM280" i="6"/>
  <c r="AM279" i="6"/>
  <c r="AM278" i="6"/>
  <c r="AM277" i="6"/>
  <c r="AM276" i="6"/>
  <c r="AM275" i="6"/>
  <c r="AM274" i="6"/>
  <c r="AM273" i="6"/>
  <c r="AM272" i="6"/>
  <c r="AM271" i="6"/>
  <c r="AM270" i="6"/>
  <c r="AM269" i="6"/>
  <c r="AM268" i="6"/>
  <c r="AM267" i="6"/>
  <c r="AM266" i="6"/>
  <c r="AM265" i="6"/>
  <c r="AM264" i="6"/>
  <c r="AM263" i="6"/>
  <c r="AM262" i="6"/>
  <c r="AM261" i="6"/>
  <c r="AM260" i="6"/>
  <c r="AM259" i="6"/>
  <c r="AM258" i="6"/>
  <c r="AM257" i="6"/>
  <c r="AM256" i="6"/>
  <c r="AM255" i="6"/>
  <c r="AM254" i="6"/>
  <c r="AM253" i="6"/>
  <c r="AM252" i="6"/>
  <c r="AM251" i="6"/>
  <c r="AM250" i="6"/>
  <c r="AM249" i="6"/>
  <c r="AM248" i="6"/>
  <c r="AM247" i="6"/>
  <c r="AM246" i="6"/>
  <c r="AM245" i="6"/>
  <c r="AM244" i="6"/>
  <c r="AM243" i="6"/>
  <c r="AM242" i="6"/>
  <c r="AM241" i="6"/>
  <c r="AM240" i="6"/>
  <c r="AM239" i="6"/>
  <c r="AM238" i="6"/>
  <c r="AM237" i="6"/>
  <c r="AM236" i="6"/>
  <c r="AM235" i="6"/>
  <c r="AM234" i="6"/>
  <c r="AM233" i="6"/>
  <c r="AM232" i="6"/>
  <c r="AM231" i="6"/>
  <c r="AM230" i="6"/>
  <c r="AM229" i="6"/>
  <c r="AM228" i="6"/>
  <c r="AM227" i="6"/>
  <c r="AM226" i="6"/>
  <c r="AM225" i="6"/>
  <c r="AM224" i="6"/>
  <c r="AM223" i="6"/>
  <c r="AM222" i="6"/>
  <c r="AM221" i="6"/>
  <c r="AM220" i="6"/>
  <c r="AM219" i="6"/>
  <c r="AM218" i="6"/>
  <c r="AM217" i="6"/>
  <c r="AM216" i="6"/>
  <c r="AM215" i="6"/>
  <c r="AM214" i="6"/>
  <c r="AM213" i="6"/>
  <c r="AM212" i="6"/>
  <c r="AM211" i="6"/>
  <c r="AM210" i="6"/>
  <c r="AM209" i="6"/>
  <c r="AM208" i="6"/>
  <c r="AM207" i="6"/>
  <c r="AM206" i="6"/>
  <c r="AM205" i="6"/>
  <c r="AM204" i="6"/>
  <c r="AM203" i="6"/>
  <c r="AM202" i="6"/>
  <c r="AM201" i="6"/>
  <c r="AM200" i="6"/>
  <c r="AM199" i="6"/>
  <c r="AM198" i="6"/>
  <c r="AM197" i="6"/>
  <c r="AM196" i="6"/>
  <c r="AM195" i="6"/>
  <c r="AM194" i="6"/>
  <c r="AM193" i="6"/>
  <c r="AM192" i="6"/>
  <c r="AM191" i="6"/>
  <c r="AM190" i="6"/>
  <c r="AM189" i="6"/>
  <c r="AM188" i="6"/>
  <c r="AM187" i="6"/>
  <c r="AM186" i="6"/>
  <c r="AM185" i="6"/>
  <c r="AM184" i="6"/>
  <c r="AM183" i="6"/>
  <c r="AM182" i="6"/>
  <c r="AM181" i="6"/>
  <c r="AM180" i="6"/>
  <c r="AM179" i="6"/>
  <c r="AM178" i="6"/>
  <c r="AM177" i="6"/>
  <c r="AM176" i="6"/>
  <c r="AM175" i="6"/>
  <c r="AM174" i="6"/>
  <c r="AM173" i="6"/>
  <c r="AM172" i="6"/>
  <c r="AM171" i="6"/>
  <c r="AM170" i="6"/>
  <c r="AM169" i="6"/>
  <c r="AM168" i="6"/>
  <c r="AM167" i="6"/>
  <c r="AM166" i="6"/>
  <c r="AM165" i="6"/>
  <c r="AM164" i="6"/>
  <c r="AM163" i="6"/>
  <c r="AM162" i="6"/>
  <c r="AM161" i="6"/>
  <c r="AM160" i="6"/>
  <c r="AM159" i="6"/>
  <c r="AM158" i="6"/>
  <c r="AM157" i="6"/>
  <c r="AM156" i="6"/>
  <c r="AM155" i="6"/>
  <c r="AM154" i="6"/>
  <c r="AM153" i="6"/>
  <c r="AM152" i="6"/>
  <c r="AM151" i="6"/>
  <c r="AM150" i="6"/>
  <c r="AM149" i="6"/>
  <c r="AM148" i="6"/>
  <c r="AM147" i="6"/>
  <c r="AM146" i="6"/>
  <c r="AM145" i="6"/>
  <c r="AM144" i="6"/>
  <c r="AM143" i="6"/>
  <c r="AM142" i="6"/>
  <c r="AM141" i="6"/>
  <c r="AM140" i="6"/>
  <c r="AM139" i="6"/>
  <c r="AM138" i="6"/>
  <c r="AM137" i="6"/>
  <c r="AM136" i="6"/>
  <c r="AM135" i="6"/>
  <c r="AM134" i="6"/>
  <c r="AM133" i="6"/>
  <c r="AM132" i="6"/>
  <c r="AM131" i="6"/>
  <c r="AM130" i="6"/>
  <c r="AM129" i="6"/>
  <c r="AM128" i="6"/>
  <c r="AM127" i="6"/>
  <c r="AM126" i="6"/>
  <c r="AM125" i="6"/>
  <c r="AM124" i="6"/>
  <c r="AM123" i="6"/>
  <c r="AM122" i="6"/>
  <c r="AM121" i="6"/>
  <c r="AM120" i="6"/>
  <c r="AM119" i="6"/>
  <c r="AM118" i="6"/>
  <c r="AM117" i="6"/>
  <c r="AM116" i="6"/>
  <c r="AM115" i="6"/>
  <c r="AM114" i="6"/>
  <c r="AM113" i="6"/>
  <c r="AM112" i="6"/>
  <c r="AM111" i="6"/>
  <c r="AM110" i="6"/>
  <c r="AM109" i="6"/>
  <c r="AM108" i="6"/>
  <c r="AM107" i="6"/>
  <c r="AM106" i="6"/>
  <c r="AM105" i="6"/>
  <c r="AM104" i="6"/>
  <c r="AM103" i="6"/>
  <c r="AM102" i="6"/>
  <c r="AM101" i="6"/>
  <c r="AM100" i="6"/>
  <c r="AM99" i="6"/>
  <c r="AM98" i="6"/>
  <c r="AM97" i="6"/>
  <c r="AM96" i="6"/>
  <c r="AM95" i="6"/>
  <c r="AM94" i="6"/>
  <c r="AM93" i="6"/>
  <c r="AM92" i="6"/>
  <c r="AM91" i="6"/>
  <c r="AM90" i="6"/>
  <c r="AM89" i="6"/>
  <c r="AM88" i="6"/>
  <c r="AM87" i="6"/>
  <c r="AM86" i="6"/>
  <c r="AM85" i="6"/>
  <c r="AM84" i="6"/>
  <c r="AM83" i="6"/>
  <c r="AM82" i="6"/>
  <c r="AM81" i="6"/>
  <c r="AM80" i="6"/>
  <c r="AM79" i="6"/>
  <c r="AM78" i="6"/>
  <c r="AM77" i="6"/>
  <c r="AM76" i="6"/>
  <c r="AM75" i="6"/>
  <c r="AM74" i="6"/>
  <c r="AM73" i="6"/>
  <c r="AM72" i="6"/>
  <c r="AM71" i="6"/>
  <c r="AM70" i="6"/>
  <c r="AM69" i="6"/>
  <c r="AM68" i="6"/>
  <c r="AM67" i="6"/>
  <c r="AM66" i="6"/>
  <c r="AM65" i="6"/>
  <c r="AM64" i="6"/>
  <c r="AM63" i="6"/>
  <c r="AM62" i="6"/>
  <c r="AM61" i="6"/>
  <c r="AM60" i="6"/>
  <c r="AM59" i="6"/>
  <c r="AM58" i="6"/>
  <c r="AM57" i="6"/>
  <c r="AM56" i="6"/>
  <c r="AM55" i="6"/>
  <c r="AM54" i="6"/>
  <c r="AM53" i="6"/>
  <c r="AM52" i="6"/>
  <c r="AM51" i="6"/>
  <c r="AM50" i="6"/>
  <c r="AM49" i="6"/>
  <c r="AM48" i="6"/>
  <c r="AM47" i="6"/>
  <c r="AM46" i="6"/>
  <c r="AM45" i="6"/>
  <c r="AM44" i="6"/>
  <c r="AM43" i="6"/>
  <c r="AM42" i="6"/>
  <c r="AM41" i="6"/>
  <c r="AM40" i="6"/>
  <c r="AM39" i="6"/>
  <c r="AM38" i="6"/>
  <c r="AM37" i="6"/>
  <c r="AM36" i="6"/>
  <c r="AM35" i="6"/>
  <c r="AM34" i="6"/>
  <c r="AM33" i="6"/>
  <c r="AM32" i="6"/>
  <c r="AM31" i="6"/>
  <c r="AM30" i="6"/>
  <c r="AM29" i="6"/>
  <c r="AM28" i="6"/>
  <c r="AM27" i="6"/>
  <c r="AM26" i="6"/>
  <c r="AM25" i="6"/>
  <c r="AM24" i="6"/>
  <c r="AM23" i="6"/>
  <c r="AM22" i="6"/>
  <c r="AM21" i="6"/>
  <c r="AM20" i="6"/>
  <c r="AM19" i="6"/>
  <c r="AM18" i="6"/>
  <c r="AM17" i="6"/>
  <c r="AM16" i="6"/>
  <c r="AM15" i="6"/>
  <c r="AM14" i="6"/>
  <c r="AM13" i="6"/>
  <c r="AM12" i="6"/>
  <c r="AM11" i="6"/>
  <c r="AM10" i="6"/>
  <c r="AM9" i="6"/>
  <c r="AM8" i="6"/>
  <c r="AM7" i="6"/>
  <c r="AM6" i="6"/>
  <c r="AM5" i="6"/>
  <c r="AM4" i="6"/>
  <c r="AM3" i="6"/>
  <c r="AM2" i="6"/>
  <c r="AB3" i="7" l="1"/>
  <c r="AB4" i="7"/>
  <c r="AB5" i="7"/>
  <c r="AB6" i="7"/>
  <c r="AB7" i="7"/>
  <c r="AB9" i="7"/>
  <c r="AB10" i="7"/>
  <c r="AB11" i="7"/>
  <c r="AA3" i="7"/>
  <c r="AA4" i="7"/>
  <c r="AA5" i="7"/>
  <c r="AA6" i="7"/>
  <c r="AA7" i="7"/>
  <c r="AA9" i="7"/>
  <c r="AA10" i="7"/>
  <c r="AA11" i="7"/>
  <c r="AB2" i="7"/>
  <c r="AA2" i="7"/>
  <c r="AR3" i="7"/>
  <c r="AQ3" i="7"/>
  <c r="AP3" i="7"/>
  <c r="AO842" i="7"/>
  <c r="AO128" i="7"/>
  <c r="AO50" i="7"/>
  <c r="AO3" i="7"/>
  <c r="AR1002" i="7"/>
  <c r="AQ1002" i="7"/>
  <c r="AP1002" i="7"/>
  <c r="AR1001" i="7"/>
  <c r="AQ1001" i="7"/>
  <c r="AP1001" i="7"/>
  <c r="AR1000" i="7"/>
  <c r="AQ1000" i="7"/>
  <c r="AP1000" i="7"/>
  <c r="AR999" i="7"/>
  <c r="AQ999" i="7"/>
  <c r="AP999" i="7"/>
  <c r="AR998" i="7"/>
  <c r="AQ998" i="7"/>
  <c r="AP998" i="7"/>
  <c r="AR997" i="7"/>
  <c r="AQ997" i="7"/>
  <c r="AP997" i="7"/>
  <c r="AR996" i="7"/>
  <c r="AQ996" i="7"/>
  <c r="AP996" i="7"/>
  <c r="AR995" i="7"/>
  <c r="AQ995" i="7"/>
  <c r="AP995" i="7"/>
  <c r="AR994" i="7"/>
  <c r="AQ994" i="7"/>
  <c r="AP994" i="7"/>
  <c r="AR993" i="7"/>
  <c r="AQ993" i="7"/>
  <c r="AP993" i="7"/>
  <c r="AR992" i="7"/>
  <c r="AQ992" i="7"/>
  <c r="AP992" i="7"/>
  <c r="AR991" i="7"/>
  <c r="AQ991" i="7"/>
  <c r="AP991" i="7"/>
  <c r="AR990" i="7"/>
  <c r="AQ990" i="7"/>
  <c r="AP990" i="7"/>
  <c r="AR989" i="7"/>
  <c r="AQ989" i="7"/>
  <c r="AP989" i="7"/>
  <c r="AR988" i="7"/>
  <c r="AQ988" i="7"/>
  <c r="AP988" i="7"/>
  <c r="AR987" i="7"/>
  <c r="AQ987" i="7"/>
  <c r="AP987" i="7"/>
  <c r="AR986" i="7"/>
  <c r="AQ986" i="7"/>
  <c r="AP986" i="7"/>
  <c r="AR985" i="7"/>
  <c r="AQ985" i="7"/>
  <c r="AP985" i="7"/>
  <c r="AR984" i="7"/>
  <c r="AQ984" i="7"/>
  <c r="AP984" i="7"/>
  <c r="AR983" i="7"/>
  <c r="AQ983" i="7"/>
  <c r="AP983" i="7"/>
  <c r="AR982" i="7"/>
  <c r="AQ982" i="7"/>
  <c r="AP982" i="7"/>
  <c r="AR981" i="7"/>
  <c r="AQ981" i="7"/>
  <c r="AP981" i="7"/>
  <c r="AR980" i="7"/>
  <c r="AQ980" i="7"/>
  <c r="AP980" i="7"/>
  <c r="AR979" i="7"/>
  <c r="AQ979" i="7"/>
  <c r="AP979" i="7"/>
  <c r="AR978" i="7"/>
  <c r="AQ978" i="7"/>
  <c r="AP978" i="7"/>
  <c r="AR977" i="7"/>
  <c r="AQ977" i="7"/>
  <c r="AP977" i="7"/>
  <c r="AR976" i="7"/>
  <c r="AQ976" i="7"/>
  <c r="AP976" i="7"/>
  <c r="AR975" i="7"/>
  <c r="AQ975" i="7"/>
  <c r="AP975" i="7"/>
  <c r="AR974" i="7"/>
  <c r="AQ974" i="7"/>
  <c r="AP974" i="7"/>
  <c r="AR973" i="7"/>
  <c r="AQ973" i="7"/>
  <c r="AP973" i="7"/>
  <c r="AR972" i="7"/>
  <c r="AQ972" i="7"/>
  <c r="AP972" i="7"/>
  <c r="AR971" i="7"/>
  <c r="AQ971" i="7"/>
  <c r="AP971" i="7"/>
  <c r="AR970" i="7"/>
  <c r="AQ970" i="7"/>
  <c r="AP970" i="7"/>
  <c r="AR969" i="7"/>
  <c r="AQ969" i="7"/>
  <c r="AP969" i="7"/>
  <c r="AR968" i="7"/>
  <c r="AQ968" i="7"/>
  <c r="AP968" i="7"/>
  <c r="AR967" i="7"/>
  <c r="AQ967" i="7"/>
  <c r="AP967" i="7"/>
  <c r="AR966" i="7"/>
  <c r="AQ966" i="7"/>
  <c r="AP966" i="7"/>
  <c r="AR965" i="7"/>
  <c r="AQ965" i="7"/>
  <c r="AP965" i="7"/>
  <c r="AR964" i="7"/>
  <c r="AQ964" i="7"/>
  <c r="AP964" i="7"/>
  <c r="AR963" i="7"/>
  <c r="AQ963" i="7"/>
  <c r="AP963" i="7"/>
  <c r="AR962" i="7"/>
  <c r="AQ962" i="7"/>
  <c r="AP962" i="7"/>
  <c r="AR961" i="7"/>
  <c r="AQ961" i="7"/>
  <c r="AP961" i="7"/>
  <c r="AR960" i="7"/>
  <c r="AQ960" i="7"/>
  <c r="AP960" i="7"/>
  <c r="AR959" i="7"/>
  <c r="AQ959" i="7"/>
  <c r="AP959" i="7"/>
  <c r="AR958" i="7"/>
  <c r="AQ958" i="7"/>
  <c r="AP958" i="7"/>
  <c r="AR957" i="7"/>
  <c r="AQ957" i="7"/>
  <c r="AP957" i="7"/>
  <c r="AR956" i="7"/>
  <c r="AQ956" i="7"/>
  <c r="AP956" i="7"/>
  <c r="AR955" i="7"/>
  <c r="AQ955" i="7"/>
  <c r="AP955" i="7"/>
  <c r="AR954" i="7"/>
  <c r="AQ954" i="7"/>
  <c r="AP954" i="7"/>
  <c r="AR953" i="7"/>
  <c r="AQ953" i="7"/>
  <c r="AP953" i="7"/>
  <c r="AR952" i="7"/>
  <c r="AQ952" i="7"/>
  <c r="AP952" i="7"/>
  <c r="AR951" i="7"/>
  <c r="AQ951" i="7"/>
  <c r="AP951" i="7"/>
  <c r="AR950" i="7"/>
  <c r="AQ950" i="7"/>
  <c r="AP950" i="7"/>
  <c r="AR949" i="7"/>
  <c r="AQ949" i="7"/>
  <c r="AP949" i="7"/>
  <c r="AR948" i="7"/>
  <c r="AQ948" i="7"/>
  <c r="AP948" i="7"/>
  <c r="AR947" i="7"/>
  <c r="AQ947" i="7"/>
  <c r="AP947" i="7"/>
  <c r="AR946" i="7"/>
  <c r="AQ946" i="7"/>
  <c r="AP946" i="7"/>
  <c r="AR945" i="7"/>
  <c r="AQ945" i="7"/>
  <c r="AP945" i="7"/>
  <c r="AR944" i="7"/>
  <c r="AQ944" i="7"/>
  <c r="AP944" i="7"/>
  <c r="AR943" i="7"/>
  <c r="AQ943" i="7"/>
  <c r="AP943" i="7"/>
  <c r="AR942" i="7"/>
  <c r="AQ942" i="7"/>
  <c r="AP942" i="7"/>
  <c r="AR941" i="7"/>
  <c r="AQ941" i="7"/>
  <c r="AP941" i="7"/>
  <c r="AR940" i="7"/>
  <c r="AQ940" i="7"/>
  <c r="AP940" i="7"/>
  <c r="AR939" i="7"/>
  <c r="AQ939" i="7"/>
  <c r="AP939" i="7"/>
  <c r="AR938" i="7"/>
  <c r="AQ938" i="7"/>
  <c r="AP938" i="7"/>
  <c r="AR937" i="7"/>
  <c r="AQ937" i="7"/>
  <c r="AP937" i="7"/>
  <c r="AR936" i="7"/>
  <c r="AQ936" i="7"/>
  <c r="AP936" i="7"/>
  <c r="AR935" i="7"/>
  <c r="AQ935" i="7"/>
  <c r="AP935" i="7"/>
  <c r="AR934" i="7"/>
  <c r="AQ934" i="7"/>
  <c r="AP934" i="7"/>
  <c r="AR933" i="7"/>
  <c r="AQ933" i="7"/>
  <c r="AP933" i="7"/>
  <c r="AR932" i="7"/>
  <c r="AQ932" i="7"/>
  <c r="AP932" i="7"/>
  <c r="AR931" i="7"/>
  <c r="AQ931" i="7"/>
  <c r="AP931" i="7"/>
  <c r="AR930" i="7"/>
  <c r="AQ930" i="7"/>
  <c r="AP930" i="7"/>
  <c r="AR929" i="7"/>
  <c r="AQ929" i="7"/>
  <c r="AP929" i="7"/>
  <c r="AR928" i="7"/>
  <c r="AQ928" i="7"/>
  <c r="AP928" i="7"/>
  <c r="AR927" i="7"/>
  <c r="AQ927" i="7"/>
  <c r="AP927" i="7"/>
  <c r="AR926" i="7"/>
  <c r="AQ926" i="7"/>
  <c r="AP926" i="7"/>
  <c r="AR925" i="7"/>
  <c r="AQ925" i="7"/>
  <c r="AP925" i="7"/>
  <c r="AR924" i="7"/>
  <c r="AQ924" i="7"/>
  <c r="AP924" i="7"/>
  <c r="AR923" i="7"/>
  <c r="AQ923" i="7"/>
  <c r="AP923" i="7"/>
  <c r="AR922" i="7"/>
  <c r="AQ922" i="7"/>
  <c r="AP922" i="7"/>
  <c r="AR921" i="7"/>
  <c r="AQ921" i="7"/>
  <c r="AP921" i="7"/>
  <c r="AR920" i="7"/>
  <c r="AQ920" i="7"/>
  <c r="AP920" i="7"/>
  <c r="AR919" i="7"/>
  <c r="AQ919" i="7"/>
  <c r="AP919" i="7"/>
  <c r="AR918" i="7"/>
  <c r="AQ918" i="7"/>
  <c r="AP918" i="7"/>
  <c r="AR917" i="7"/>
  <c r="AQ917" i="7"/>
  <c r="AP917" i="7"/>
  <c r="AR916" i="7"/>
  <c r="AQ916" i="7"/>
  <c r="AP916" i="7"/>
  <c r="AR915" i="7"/>
  <c r="AQ915" i="7"/>
  <c r="AP915" i="7"/>
  <c r="AR914" i="7"/>
  <c r="AQ914" i="7"/>
  <c r="AP914" i="7"/>
  <c r="AR913" i="7"/>
  <c r="AQ913" i="7"/>
  <c r="AP913" i="7"/>
  <c r="AR912" i="7"/>
  <c r="AQ912" i="7"/>
  <c r="AP912" i="7"/>
  <c r="AR911" i="7"/>
  <c r="AQ911" i="7"/>
  <c r="AP911" i="7"/>
  <c r="AR910" i="7"/>
  <c r="AQ910" i="7"/>
  <c r="AP910" i="7"/>
  <c r="AR909" i="7"/>
  <c r="AQ909" i="7"/>
  <c r="AP909" i="7"/>
  <c r="AR908" i="7"/>
  <c r="AQ908" i="7"/>
  <c r="AP908" i="7"/>
  <c r="AR907" i="7"/>
  <c r="AQ907" i="7"/>
  <c r="AP907" i="7"/>
  <c r="AR906" i="7"/>
  <c r="AQ906" i="7"/>
  <c r="AP906" i="7"/>
  <c r="AR905" i="7"/>
  <c r="AQ905" i="7"/>
  <c r="AP905" i="7"/>
  <c r="AR904" i="7"/>
  <c r="AQ904" i="7"/>
  <c r="AP904" i="7"/>
  <c r="AR903" i="7"/>
  <c r="AQ903" i="7"/>
  <c r="AP903" i="7"/>
  <c r="AR902" i="7"/>
  <c r="AQ902" i="7"/>
  <c r="AP902" i="7"/>
  <c r="AR901" i="7"/>
  <c r="AQ901" i="7"/>
  <c r="AP901" i="7"/>
  <c r="AR900" i="7"/>
  <c r="AQ900" i="7"/>
  <c r="AP900" i="7"/>
  <c r="AR899" i="7"/>
  <c r="AQ899" i="7"/>
  <c r="AP899" i="7"/>
  <c r="AR898" i="7"/>
  <c r="AQ898" i="7"/>
  <c r="AP898" i="7"/>
  <c r="AR897" i="7"/>
  <c r="AQ897" i="7"/>
  <c r="AP897" i="7"/>
  <c r="AR896" i="7"/>
  <c r="AQ896" i="7"/>
  <c r="AP896" i="7"/>
  <c r="AR895" i="7"/>
  <c r="AQ895" i="7"/>
  <c r="AP895" i="7"/>
  <c r="AR894" i="7"/>
  <c r="AQ894" i="7"/>
  <c r="AP894" i="7"/>
  <c r="AR893" i="7"/>
  <c r="AQ893" i="7"/>
  <c r="AP893" i="7"/>
  <c r="AR892" i="7"/>
  <c r="AQ892" i="7"/>
  <c r="AP892" i="7"/>
  <c r="AR891" i="7"/>
  <c r="AQ891" i="7"/>
  <c r="AP891" i="7"/>
  <c r="AR890" i="7"/>
  <c r="AQ890" i="7"/>
  <c r="AP890" i="7"/>
  <c r="AR889" i="7"/>
  <c r="AQ889" i="7"/>
  <c r="AP889" i="7"/>
  <c r="AR888" i="7"/>
  <c r="AQ888" i="7"/>
  <c r="AP888" i="7"/>
  <c r="AR887" i="7"/>
  <c r="AQ887" i="7"/>
  <c r="AP887" i="7"/>
  <c r="AR886" i="7"/>
  <c r="AQ886" i="7"/>
  <c r="AP886" i="7"/>
  <c r="AR885" i="7"/>
  <c r="AQ885" i="7"/>
  <c r="AP885" i="7"/>
  <c r="AR884" i="7"/>
  <c r="AQ884" i="7"/>
  <c r="AP884" i="7"/>
  <c r="AR883" i="7"/>
  <c r="AQ883" i="7"/>
  <c r="AP883" i="7"/>
  <c r="AR882" i="7"/>
  <c r="AQ882" i="7"/>
  <c r="AP882" i="7"/>
  <c r="AR881" i="7"/>
  <c r="AQ881" i="7"/>
  <c r="AP881" i="7"/>
  <c r="AR880" i="7"/>
  <c r="AQ880" i="7"/>
  <c r="AP880" i="7"/>
  <c r="AR879" i="7"/>
  <c r="AQ879" i="7"/>
  <c r="AP879" i="7"/>
  <c r="AR878" i="7"/>
  <c r="AQ878" i="7"/>
  <c r="AP878" i="7"/>
  <c r="AR877" i="7"/>
  <c r="AQ877" i="7"/>
  <c r="AP877" i="7"/>
  <c r="AR876" i="7"/>
  <c r="AQ876" i="7"/>
  <c r="AP876" i="7"/>
  <c r="AR875" i="7"/>
  <c r="AQ875" i="7"/>
  <c r="AP875" i="7"/>
  <c r="AR874" i="7"/>
  <c r="AQ874" i="7"/>
  <c r="AP874" i="7"/>
  <c r="AR873" i="7"/>
  <c r="AQ873" i="7"/>
  <c r="AP873" i="7"/>
  <c r="AR872" i="7"/>
  <c r="AQ872" i="7"/>
  <c r="AP872" i="7"/>
  <c r="AR871" i="7"/>
  <c r="AQ871" i="7"/>
  <c r="AP871" i="7"/>
  <c r="AR870" i="7"/>
  <c r="AQ870" i="7"/>
  <c r="AP870" i="7"/>
  <c r="AR869" i="7"/>
  <c r="AQ869" i="7"/>
  <c r="AP869" i="7"/>
  <c r="AR868" i="7"/>
  <c r="AQ868" i="7"/>
  <c r="AP868" i="7"/>
  <c r="AR867" i="7"/>
  <c r="AQ867" i="7"/>
  <c r="AP867" i="7"/>
  <c r="AR866" i="7"/>
  <c r="AQ866" i="7"/>
  <c r="AP866" i="7"/>
  <c r="AR865" i="7"/>
  <c r="AQ865" i="7"/>
  <c r="AP865" i="7"/>
  <c r="AR864" i="7"/>
  <c r="AQ864" i="7"/>
  <c r="AP864" i="7"/>
  <c r="AR863" i="7"/>
  <c r="AQ863" i="7"/>
  <c r="AP863" i="7"/>
  <c r="AR862" i="7"/>
  <c r="AQ862" i="7"/>
  <c r="AP862" i="7"/>
  <c r="AR861" i="7"/>
  <c r="AQ861" i="7"/>
  <c r="AP861" i="7"/>
  <c r="AR860" i="7"/>
  <c r="AQ860" i="7"/>
  <c r="AP860" i="7"/>
  <c r="AR859" i="7"/>
  <c r="AQ859" i="7"/>
  <c r="AP859" i="7"/>
  <c r="AR858" i="7"/>
  <c r="AQ858" i="7"/>
  <c r="AP858" i="7"/>
  <c r="AR857" i="7"/>
  <c r="AQ857" i="7"/>
  <c r="AP857" i="7"/>
  <c r="AR856" i="7"/>
  <c r="AQ856" i="7"/>
  <c r="AP856" i="7"/>
  <c r="AR855" i="7"/>
  <c r="AQ855" i="7"/>
  <c r="AP855" i="7"/>
  <c r="AR854" i="7"/>
  <c r="AQ854" i="7"/>
  <c r="AP854" i="7"/>
  <c r="AR853" i="7"/>
  <c r="AQ853" i="7"/>
  <c r="AP853" i="7"/>
  <c r="AR852" i="7"/>
  <c r="AQ852" i="7"/>
  <c r="AP852" i="7"/>
  <c r="AR851" i="7"/>
  <c r="AQ851" i="7"/>
  <c r="AP851" i="7"/>
  <c r="AR850" i="7"/>
  <c r="AQ850" i="7"/>
  <c r="AP850" i="7"/>
  <c r="AR849" i="7"/>
  <c r="AQ849" i="7"/>
  <c r="AP849" i="7"/>
  <c r="AR848" i="7"/>
  <c r="AQ848" i="7"/>
  <c r="AP848" i="7"/>
  <c r="AR847" i="7"/>
  <c r="AQ847" i="7"/>
  <c r="AP847" i="7"/>
  <c r="AR846" i="7"/>
  <c r="AQ846" i="7"/>
  <c r="AP846" i="7"/>
  <c r="AR845" i="7"/>
  <c r="AQ845" i="7"/>
  <c r="AP845" i="7"/>
  <c r="AR844" i="7"/>
  <c r="AQ844" i="7"/>
  <c r="AP844" i="7"/>
  <c r="AR843" i="7"/>
  <c r="AQ843" i="7"/>
  <c r="AP843" i="7"/>
  <c r="AR842" i="7"/>
  <c r="AQ842" i="7"/>
  <c r="AP842" i="7"/>
  <c r="AR841" i="7"/>
  <c r="AQ841" i="7"/>
  <c r="AP841" i="7"/>
  <c r="AR840" i="7"/>
  <c r="AQ840" i="7"/>
  <c r="AP840" i="7"/>
  <c r="AR839" i="7"/>
  <c r="AQ839" i="7"/>
  <c r="AP839" i="7"/>
  <c r="AR838" i="7"/>
  <c r="AQ838" i="7"/>
  <c r="AP838" i="7"/>
  <c r="AR837" i="7"/>
  <c r="AQ837" i="7"/>
  <c r="AP837" i="7"/>
  <c r="AR836" i="7"/>
  <c r="AQ836" i="7"/>
  <c r="AP836" i="7"/>
  <c r="AR835" i="7"/>
  <c r="AQ835" i="7"/>
  <c r="AP835" i="7"/>
  <c r="AR834" i="7"/>
  <c r="AQ834" i="7"/>
  <c r="AP834" i="7"/>
  <c r="AR833" i="7"/>
  <c r="AQ833" i="7"/>
  <c r="AP833" i="7"/>
  <c r="AR832" i="7"/>
  <c r="AQ832" i="7"/>
  <c r="AP832" i="7"/>
  <c r="AR831" i="7"/>
  <c r="AQ831" i="7"/>
  <c r="AP831" i="7"/>
  <c r="AR830" i="7"/>
  <c r="AQ830" i="7"/>
  <c r="AP830" i="7"/>
  <c r="AR829" i="7"/>
  <c r="AQ829" i="7"/>
  <c r="AP829" i="7"/>
  <c r="AR828" i="7"/>
  <c r="AQ828" i="7"/>
  <c r="AP828" i="7"/>
  <c r="AR827" i="7"/>
  <c r="AQ827" i="7"/>
  <c r="AP827" i="7"/>
  <c r="AR826" i="7"/>
  <c r="AQ826" i="7"/>
  <c r="AP826" i="7"/>
  <c r="AR825" i="7"/>
  <c r="AQ825" i="7"/>
  <c r="AP825" i="7"/>
  <c r="AR824" i="7"/>
  <c r="AQ824" i="7"/>
  <c r="AP824" i="7"/>
  <c r="AR823" i="7"/>
  <c r="AQ823" i="7"/>
  <c r="AP823" i="7"/>
  <c r="AR822" i="7"/>
  <c r="AQ822" i="7"/>
  <c r="AP822" i="7"/>
  <c r="AR821" i="7"/>
  <c r="AQ821" i="7"/>
  <c r="AP821" i="7"/>
  <c r="AR820" i="7"/>
  <c r="AQ820" i="7"/>
  <c r="AP820" i="7"/>
  <c r="AR819" i="7"/>
  <c r="AQ819" i="7"/>
  <c r="AP819" i="7"/>
  <c r="AR818" i="7"/>
  <c r="AQ818" i="7"/>
  <c r="AP818" i="7"/>
  <c r="AR817" i="7"/>
  <c r="AQ817" i="7"/>
  <c r="AP817" i="7"/>
  <c r="AR816" i="7"/>
  <c r="AQ816" i="7"/>
  <c r="AP816" i="7"/>
  <c r="AR815" i="7"/>
  <c r="AQ815" i="7"/>
  <c r="AP815" i="7"/>
  <c r="AR814" i="7"/>
  <c r="AQ814" i="7"/>
  <c r="AP814" i="7"/>
  <c r="AR813" i="7"/>
  <c r="AQ813" i="7"/>
  <c r="AP813" i="7"/>
  <c r="AR812" i="7"/>
  <c r="AQ812" i="7"/>
  <c r="AP812" i="7"/>
  <c r="AR811" i="7"/>
  <c r="AQ811" i="7"/>
  <c r="AP811" i="7"/>
  <c r="AR810" i="7"/>
  <c r="AQ810" i="7"/>
  <c r="AP810" i="7"/>
  <c r="AR809" i="7"/>
  <c r="AQ809" i="7"/>
  <c r="AP809" i="7"/>
  <c r="AR808" i="7"/>
  <c r="AQ808" i="7"/>
  <c r="AP808" i="7"/>
  <c r="AR807" i="7"/>
  <c r="AQ807" i="7"/>
  <c r="AP807" i="7"/>
  <c r="AR806" i="7"/>
  <c r="AQ806" i="7"/>
  <c r="AP806" i="7"/>
  <c r="AR805" i="7"/>
  <c r="AQ805" i="7"/>
  <c r="AP805" i="7"/>
  <c r="AR804" i="7"/>
  <c r="AQ804" i="7"/>
  <c r="AP804" i="7"/>
  <c r="AR803" i="7"/>
  <c r="AQ803" i="7"/>
  <c r="AP803" i="7"/>
  <c r="AR802" i="7"/>
  <c r="AQ802" i="7"/>
  <c r="AP802" i="7"/>
  <c r="AR801" i="7"/>
  <c r="AQ801" i="7"/>
  <c r="AP801" i="7"/>
  <c r="AR800" i="7"/>
  <c r="AQ800" i="7"/>
  <c r="AP800" i="7"/>
  <c r="AR799" i="7"/>
  <c r="AQ799" i="7"/>
  <c r="AP799" i="7"/>
  <c r="AR798" i="7"/>
  <c r="AQ798" i="7"/>
  <c r="AP798" i="7"/>
  <c r="AR797" i="7"/>
  <c r="AQ797" i="7"/>
  <c r="AP797" i="7"/>
  <c r="AR796" i="7"/>
  <c r="AQ796" i="7"/>
  <c r="AP796" i="7"/>
  <c r="AR795" i="7"/>
  <c r="AQ795" i="7"/>
  <c r="AP795" i="7"/>
  <c r="AR794" i="7"/>
  <c r="AQ794" i="7"/>
  <c r="AP794" i="7"/>
  <c r="AR793" i="7"/>
  <c r="AQ793" i="7"/>
  <c r="AP793" i="7"/>
  <c r="AR792" i="7"/>
  <c r="AQ792" i="7"/>
  <c r="AP792" i="7"/>
  <c r="AR791" i="7"/>
  <c r="AQ791" i="7"/>
  <c r="AP791" i="7"/>
  <c r="AR790" i="7"/>
  <c r="AQ790" i="7"/>
  <c r="AP790" i="7"/>
  <c r="AR789" i="7"/>
  <c r="AQ789" i="7"/>
  <c r="AP789" i="7"/>
  <c r="AR788" i="7"/>
  <c r="AQ788" i="7"/>
  <c r="AP788" i="7"/>
  <c r="AR787" i="7"/>
  <c r="AQ787" i="7"/>
  <c r="AP787" i="7"/>
  <c r="AR786" i="7"/>
  <c r="AQ786" i="7"/>
  <c r="AP786" i="7"/>
  <c r="AR785" i="7"/>
  <c r="AQ785" i="7"/>
  <c r="AP785" i="7"/>
  <c r="AR784" i="7"/>
  <c r="AQ784" i="7"/>
  <c r="AP784" i="7"/>
  <c r="AR783" i="7"/>
  <c r="AQ783" i="7"/>
  <c r="AP783" i="7"/>
  <c r="AR782" i="7"/>
  <c r="AQ782" i="7"/>
  <c r="AP782" i="7"/>
  <c r="AR781" i="7"/>
  <c r="AQ781" i="7"/>
  <c r="AP781" i="7"/>
  <c r="AR780" i="7"/>
  <c r="AQ780" i="7"/>
  <c r="AP780" i="7"/>
  <c r="AR779" i="7"/>
  <c r="AQ779" i="7"/>
  <c r="AP779" i="7"/>
  <c r="AR778" i="7"/>
  <c r="AQ778" i="7"/>
  <c r="AP778" i="7"/>
  <c r="AR777" i="7"/>
  <c r="AQ777" i="7"/>
  <c r="AP777" i="7"/>
  <c r="AR776" i="7"/>
  <c r="AQ776" i="7"/>
  <c r="AP776" i="7"/>
  <c r="AR775" i="7"/>
  <c r="AQ775" i="7"/>
  <c r="AP775" i="7"/>
  <c r="AR774" i="7"/>
  <c r="AQ774" i="7"/>
  <c r="AP774" i="7"/>
  <c r="AR773" i="7"/>
  <c r="AQ773" i="7"/>
  <c r="AP773" i="7"/>
  <c r="AR772" i="7"/>
  <c r="AQ772" i="7"/>
  <c r="AP772" i="7"/>
  <c r="AR771" i="7"/>
  <c r="AQ771" i="7"/>
  <c r="AP771" i="7"/>
  <c r="AR770" i="7"/>
  <c r="AQ770" i="7"/>
  <c r="AP770" i="7"/>
  <c r="AR769" i="7"/>
  <c r="AQ769" i="7"/>
  <c r="AP769" i="7"/>
  <c r="AR768" i="7"/>
  <c r="AQ768" i="7"/>
  <c r="AP768" i="7"/>
  <c r="AR767" i="7"/>
  <c r="AQ767" i="7"/>
  <c r="AP767" i="7"/>
  <c r="AR766" i="7"/>
  <c r="AQ766" i="7"/>
  <c r="AP766" i="7"/>
  <c r="AR765" i="7"/>
  <c r="AQ765" i="7"/>
  <c r="AP765" i="7"/>
  <c r="AR764" i="7"/>
  <c r="AQ764" i="7"/>
  <c r="AP764" i="7"/>
  <c r="AR763" i="7"/>
  <c r="AQ763" i="7"/>
  <c r="AP763" i="7"/>
  <c r="AR762" i="7"/>
  <c r="AQ762" i="7"/>
  <c r="AP762" i="7"/>
  <c r="AR761" i="7"/>
  <c r="AQ761" i="7"/>
  <c r="AP761" i="7"/>
  <c r="AR760" i="7"/>
  <c r="AQ760" i="7"/>
  <c r="AP760" i="7"/>
  <c r="AR759" i="7"/>
  <c r="AQ759" i="7"/>
  <c r="AP759" i="7"/>
  <c r="AR758" i="7"/>
  <c r="AQ758" i="7"/>
  <c r="AP758" i="7"/>
  <c r="AR757" i="7"/>
  <c r="AQ757" i="7"/>
  <c r="AP757" i="7"/>
  <c r="AR756" i="7"/>
  <c r="AQ756" i="7"/>
  <c r="AP756" i="7"/>
  <c r="AR755" i="7"/>
  <c r="AQ755" i="7"/>
  <c r="AP755" i="7"/>
  <c r="AR754" i="7"/>
  <c r="AQ754" i="7"/>
  <c r="AP754" i="7"/>
  <c r="AR753" i="7"/>
  <c r="AQ753" i="7"/>
  <c r="AP753" i="7"/>
  <c r="AR752" i="7"/>
  <c r="AQ752" i="7"/>
  <c r="AP752" i="7"/>
  <c r="AR751" i="7"/>
  <c r="AQ751" i="7"/>
  <c r="AP751" i="7"/>
  <c r="AR750" i="7"/>
  <c r="AQ750" i="7"/>
  <c r="AP750" i="7"/>
  <c r="AR749" i="7"/>
  <c r="AQ749" i="7"/>
  <c r="AP749" i="7"/>
  <c r="AR748" i="7"/>
  <c r="AQ748" i="7"/>
  <c r="AP748" i="7"/>
  <c r="AR747" i="7"/>
  <c r="AQ747" i="7"/>
  <c r="AP747" i="7"/>
  <c r="AR746" i="7"/>
  <c r="AQ746" i="7"/>
  <c r="AP746" i="7"/>
  <c r="AR745" i="7"/>
  <c r="AQ745" i="7"/>
  <c r="AP745" i="7"/>
  <c r="AR744" i="7"/>
  <c r="AQ744" i="7"/>
  <c r="AP744" i="7"/>
  <c r="AR743" i="7"/>
  <c r="AQ743" i="7"/>
  <c r="AP743" i="7"/>
  <c r="AR742" i="7"/>
  <c r="AQ742" i="7"/>
  <c r="AP742" i="7"/>
  <c r="AR741" i="7"/>
  <c r="AQ741" i="7"/>
  <c r="AP741" i="7"/>
  <c r="AR740" i="7"/>
  <c r="AQ740" i="7"/>
  <c r="AP740" i="7"/>
  <c r="AR739" i="7"/>
  <c r="AQ739" i="7"/>
  <c r="AP739" i="7"/>
  <c r="AR738" i="7"/>
  <c r="AQ738" i="7"/>
  <c r="AP738" i="7"/>
  <c r="AR737" i="7"/>
  <c r="AQ737" i="7"/>
  <c r="AP737" i="7"/>
  <c r="AR736" i="7"/>
  <c r="AQ736" i="7"/>
  <c r="AP736" i="7"/>
  <c r="AR735" i="7"/>
  <c r="AQ735" i="7"/>
  <c r="AP735" i="7"/>
  <c r="AR734" i="7"/>
  <c r="AQ734" i="7"/>
  <c r="AP734" i="7"/>
  <c r="AR733" i="7"/>
  <c r="AQ733" i="7"/>
  <c r="AP733" i="7"/>
  <c r="AR732" i="7"/>
  <c r="AQ732" i="7"/>
  <c r="AP732" i="7"/>
  <c r="AR731" i="7"/>
  <c r="AQ731" i="7"/>
  <c r="AP731" i="7"/>
  <c r="AR730" i="7"/>
  <c r="AQ730" i="7"/>
  <c r="AP730" i="7"/>
  <c r="AR729" i="7"/>
  <c r="AQ729" i="7"/>
  <c r="AP729" i="7"/>
  <c r="AR728" i="7"/>
  <c r="AQ728" i="7"/>
  <c r="AP728" i="7"/>
  <c r="AR727" i="7"/>
  <c r="AQ727" i="7"/>
  <c r="AP727" i="7"/>
  <c r="AR726" i="7"/>
  <c r="AQ726" i="7"/>
  <c r="AP726" i="7"/>
  <c r="AR725" i="7"/>
  <c r="AQ725" i="7"/>
  <c r="AP725" i="7"/>
  <c r="AR724" i="7"/>
  <c r="AQ724" i="7"/>
  <c r="AP724" i="7"/>
  <c r="AR723" i="7"/>
  <c r="AQ723" i="7"/>
  <c r="AP723" i="7"/>
  <c r="AR722" i="7"/>
  <c r="AQ722" i="7"/>
  <c r="AP722" i="7"/>
  <c r="AR721" i="7"/>
  <c r="AQ721" i="7"/>
  <c r="AP721" i="7"/>
  <c r="AR720" i="7"/>
  <c r="AQ720" i="7"/>
  <c r="AP720" i="7"/>
  <c r="AR719" i="7"/>
  <c r="AQ719" i="7"/>
  <c r="AP719" i="7"/>
  <c r="AR718" i="7"/>
  <c r="AQ718" i="7"/>
  <c r="AP718" i="7"/>
  <c r="AR717" i="7"/>
  <c r="AQ717" i="7"/>
  <c r="AP717" i="7"/>
  <c r="AR716" i="7"/>
  <c r="AQ716" i="7"/>
  <c r="AP716" i="7"/>
  <c r="AO841" i="7"/>
  <c r="AR715" i="7"/>
  <c r="AQ715" i="7"/>
  <c r="AP715" i="7"/>
  <c r="AO840" i="7"/>
  <c r="AR714" i="7"/>
  <c r="AQ714" i="7"/>
  <c r="AP714" i="7"/>
  <c r="AO839" i="7"/>
  <c r="AR713" i="7"/>
  <c r="AQ713" i="7"/>
  <c r="AP713" i="7"/>
  <c r="AO838" i="7"/>
  <c r="AR712" i="7"/>
  <c r="AQ712" i="7"/>
  <c r="AP712" i="7"/>
  <c r="AO837" i="7"/>
  <c r="AR711" i="7"/>
  <c r="AQ711" i="7"/>
  <c r="AP711" i="7"/>
  <c r="AO836" i="7"/>
  <c r="AR710" i="7"/>
  <c r="AQ710" i="7"/>
  <c r="AP710" i="7"/>
  <c r="AO835" i="7"/>
  <c r="AR709" i="7"/>
  <c r="AQ709" i="7"/>
  <c r="AP709" i="7"/>
  <c r="AO834" i="7"/>
  <c r="AR708" i="7"/>
  <c r="AQ708" i="7"/>
  <c r="AP708" i="7"/>
  <c r="AO833" i="7"/>
  <c r="AR707" i="7"/>
  <c r="AQ707" i="7"/>
  <c r="AP707" i="7"/>
  <c r="AO832" i="7"/>
  <c r="AR706" i="7"/>
  <c r="AQ706" i="7"/>
  <c r="AP706" i="7"/>
  <c r="AO831" i="7"/>
  <c r="AR705" i="7"/>
  <c r="AQ705" i="7"/>
  <c r="AP705" i="7"/>
  <c r="AO830" i="7"/>
  <c r="AR704" i="7"/>
  <c r="AQ704" i="7"/>
  <c r="AP704" i="7"/>
  <c r="AO829" i="7"/>
  <c r="AR703" i="7"/>
  <c r="AQ703" i="7"/>
  <c r="AP703" i="7"/>
  <c r="AO828" i="7"/>
  <c r="AR702" i="7"/>
  <c r="AQ702" i="7"/>
  <c r="AP702" i="7"/>
  <c r="AO827" i="7"/>
  <c r="AR701" i="7"/>
  <c r="AQ701" i="7"/>
  <c r="AP701" i="7"/>
  <c r="AO826" i="7"/>
  <c r="AR700" i="7"/>
  <c r="AQ700" i="7"/>
  <c r="AP700" i="7"/>
  <c r="AO825" i="7"/>
  <c r="AR699" i="7"/>
  <c r="AQ699" i="7"/>
  <c r="AP699" i="7"/>
  <c r="AO824" i="7"/>
  <c r="AR698" i="7"/>
  <c r="AQ698" i="7"/>
  <c r="AP698" i="7"/>
  <c r="AO823" i="7"/>
  <c r="AR697" i="7"/>
  <c r="AQ697" i="7"/>
  <c r="AP697" i="7"/>
  <c r="AO822" i="7"/>
  <c r="AR696" i="7"/>
  <c r="AQ696" i="7"/>
  <c r="AP696" i="7"/>
  <c r="AO821" i="7"/>
  <c r="AR695" i="7"/>
  <c r="AQ695" i="7"/>
  <c r="AP695" i="7"/>
  <c r="AO820" i="7"/>
  <c r="AR694" i="7"/>
  <c r="AQ694" i="7"/>
  <c r="AP694" i="7"/>
  <c r="AO819" i="7"/>
  <c r="AR693" i="7"/>
  <c r="AQ693" i="7"/>
  <c r="AP693" i="7"/>
  <c r="AO818" i="7"/>
  <c r="AR692" i="7"/>
  <c r="AQ692" i="7"/>
  <c r="AP692" i="7"/>
  <c r="AO817" i="7"/>
  <c r="AR691" i="7"/>
  <c r="AQ691" i="7"/>
  <c r="AP691" i="7"/>
  <c r="AO816" i="7"/>
  <c r="AR690" i="7"/>
  <c r="AQ690" i="7"/>
  <c r="AP690" i="7"/>
  <c r="AO815" i="7"/>
  <c r="AR689" i="7"/>
  <c r="AQ689" i="7"/>
  <c r="AP689" i="7"/>
  <c r="AO814" i="7"/>
  <c r="AR688" i="7"/>
  <c r="AQ688" i="7"/>
  <c r="AP688" i="7"/>
  <c r="AO813" i="7"/>
  <c r="AR687" i="7"/>
  <c r="AQ687" i="7"/>
  <c r="AP687" i="7"/>
  <c r="AO812" i="7"/>
  <c r="AR686" i="7"/>
  <c r="AQ686" i="7"/>
  <c r="AP686" i="7"/>
  <c r="AO811" i="7"/>
  <c r="AR685" i="7"/>
  <c r="AQ685" i="7"/>
  <c r="AP685" i="7"/>
  <c r="AO810" i="7"/>
  <c r="AR684" i="7"/>
  <c r="AQ684" i="7"/>
  <c r="AP684" i="7"/>
  <c r="AO809" i="7"/>
  <c r="AR683" i="7"/>
  <c r="AQ683" i="7"/>
  <c r="AP683" i="7"/>
  <c r="AO808" i="7"/>
  <c r="AR682" i="7"/>
  <c r="AQ682" i="7"/>
  <c r="AP682" i="7"/>
  <c r="AO807" i="7"/>
  <c r="AR681" i="7"/>
  <c r="AQ681" i="7"/>
  <c r="AP681" i="7"/>
  <c r="AO806" i="7"/>
  <c r="AR680" i="7"/>
  <c r="AQ680" i="7"/>
  <c r="AP680" i="7"/>
  <c r="AO805" i="7"/>
  <c r="AR679" i="7"/>
  <c r="AQ679" i="7"/>
  <c r="AP679" i="7"/>
  <c r="AO804" i="7"/>
  <c r="AR678" i="7"/>
  <c r="AQ678" i="7"/>
  <c r="AP678" i="7"/>
  <c r="AO803" i="7"/>
  <c r="AR677" i="7"/>
  <c r="AQ677" i="7"/>
  <c r="AP677" i="7"/>
  <c r="AO802" i="7"/>
  <c r="AR676" i="7"/>
  <c r="AQ676" i="7"/>
  <c r="AP676" i="7"/>
  <c r="AO801" i="7"/>
  <c r="AR675" i="7"/>
  <c r="AQ675" i="7"/>
  <c r="AP675" i="7"/>
  <c r="AO800" i="7"/>
  <c r="AR674" i="7"/>
  <c r="AQ674" i="7"/>
  <c r="AP674" i="7"/>
  <c r="AO799" i="7"/>
  <c r="AR673" i="7"/>
  <c r="AQ673" i="7"/>
  <c r="AP673" i="7"/>
  <c r="AO798" i="7"/>
  <c r="AR672" i="7"/>
  <c r="AQ672" i="7"/>
  <c r="AP672" i="7"/>
  <c r="AO797" i="7"/>
  <c r="AR671" i="7"/>
  <c r="AQ671" i="7"/>
  <c r="AP671" i="7"/>
  <c r="AO796" i="7"/>
  <c r="AR670" i="7"/>
  <c r="AQ670" i="7"/>
  <c r="AP670" i="7"/>
  <c r="AO795" i="7"/>
  <c r="AR669" i="7"/>
  <c r="AQ669" i="7"/>
  <c r="AP669" i="7"/>
  <c r="AO794" i="7"/>
  <c r="AR668" i="7"/>
  <c r="AQ668" i="7"/>
  <c r="AP668" i="7"/>
  <c r="AO793" i="7"/>
  <c r="AR667" i="7"/>
  <c r="AQ667" i="7"/>
  <c r="AP667" i="7"/>
  <c r="AO792" i="7"/>
  <c r="AR666" i="7"/>
  <c r="AQ666" i="7"/>
  <c r="AP666" i="7"/>
  <c r="AO791" i="7"/>
  <c r="AR665" i="7"/>
  <c r="AQ665" i="7"/>
  <c r="AP665" i="7"/>
  <c r="AO790" i="7"/>
  <c r="AR664" i="7"/>
  <c r="AQ664" i="7"/>
  <c r="AP664" i="7"/>
  <c r="AO789" i="7"/>
  <c r="AR663" i="7"/>
  <c r="AQ663" i="7"/>
  <c r="AP663" i="7"/>
  <c r="AO788" i="7"/>
  <c r="AR662" i="7"/>
  <c r="AQ662" i="7"/>
  <c r="AP662" i="7"/>
  <c r="AO787" i="7"/>
  <c r="AR661" i="7"/>
  <c r="AQ661" i="7"/>
  <c r="AP661" i="7"/>
  <c r="AO786" i="7"/>
  <c r="AR660" i="7"/>
  <c r="AQ660" i="7"/>
  <c r="AP660" i="7"/>
  <c r="AO785" i="7"/>
  <c r="AR659" i="7"/>
  <c r="AQ659" i="7"/>
  <c r="AP659" i="7"/>
  <c r="AO784" i="7"/>
  <c r="AR658" i="7"/>
  <c r="AQ658" i="7"/>
  <c r="AP658" i="7"/>
  <c r="AO783" i="7"/>
  <c r="AR657" i="7"/>
  <c r="AQ657" i="7"/>
  <c r="AP657" i="7"/>
  <c r="AO782" i="7"/>
  <c r="AR656" i="7"/>
  <c r="AQ656" i="7"/>
  <c r="AP656" i="7"/>
  <c r="AO781" i="7"/>
  <c r="AR655" i="7"/>
  <c r="AQ655" i="7"/>
  <c r="AP655" i="7"/>
  <c r="AO780" i="7"/>
  <c r="AR654" i="7"/>
  <c r="AQ654" i="7"/>
  <c r="AP654" i="7"/>
  <c r="AO779" i="7"/>
  <c r="AR653" i="7"/>
  <c r="AQ653" i="7"/>
  <c r="AP653" i="7"/>
  <c r="AO778" i="7"/>
  <c r="AR652" i="7"/>
  <c r="AQ652" i="7"/>
  <c r="AP652" i="7"/>
  <c r="AO777" i="7"/>
  <c r="AR651" i="7"/>
  <c r="AQ651" i="7"/>
  <c r="AP651" i="7"/>
  <c r="AO776" i="7"/>
  <c r="AR650" i="7"/>
  <c r="AQ650" i="7"/>
  <c r="AP650" i="7"/>
  <c r="AO775" i="7"/>
  <c r="AR649" i="7"/>
  <c r="AQ649" i="7"/>
  <c r="AP649" i="7"/>
  <c r="AO774" i="7"/>
  <c r="AR648" i="7"/>
  <c r="AQ648" i="7"/>
  <c r="AP648" i="7"/>
  <c r="AO773" i="7"/>
  <c r="AR647" i="7"/>
  <c r="AQ647" i="7"/>
  <c r="AP647" i="7"/>
  <c r="AO772" i="7"/>
  <c r="AR646" i="7"/>
  <c r="AQ646" i="7"/>
  <c r="AP646" i="7"/>
  <c r="AO771" i="7"/>
  <c r="AR645" i="7"/>
  <c r="AQ645" i="7"/>
  <c r="AP645" i="7"/>
  <c r="AO770" i="7"/>
  <c r="AR644" i="7"/>
  <c r="AQ644" i="7"/>
  <c r="AP644" i="7"/>
  <c r="AO769" i="7"/>
  <c r="AR643" i="7"/>
  <c r="AQ643" i="7"/>
  <c r="AP643" i="7"/>
  <c r="AO768" i="7"/>
  <c r="AR642" i="7"/>
  <c r="AQ642" i="7"/>
  <c r="AP642" i="7"/>
  <c r="AO767" i="7"/>
  <c r="AR641" i="7"/>
  <c r="AQ641" i="7"/>
  <c r="AP641" i="7"/>
  <c r="AO766" i="7"/>
  <c r="AR640" i="7"/>
  <c r="AQ640" i="7"/>
  <c r="AP640" i="7"/>
  <c r="AO765" i="7"/>
  <c r="AR639" i="7"/>
  <c r="AQ639" i="7"/>
  <c r="AP639" i="7"/>
  <c r="AO764" i="7"/>
  <c r="AR638" i="7"/>
  <c r="AQ638" i="7"/>
  <c r="AP638" i="7"/>
  <c r="AO763" i="7"/>
  <c r="AR637" i="7"/>
  <c r="AQ637" i="7"/>
  <c r="AP637" i="7"/>
  <c r="AO762" i="7"/>
  <c r="AR636" i="7"/>
  <c r="AQ636" i="7"/>
  <c r="AP636" i="7"/>
  <c r="AO761" i="7"/>
  <c r="AR635" i="7"/>
  <c r="AQ635" i="7"/>
  <c r="AP635" i="7"/>
  <c r="AO760" i="7"/>
  <c r="AR634" i="7"/>
  <c r="AQ634" i="7"/>
  <c r="AP634" i="7"/>
  <c r="AO759" i="7"/>
  <c r="AR633" i="7"/>
  <c r="AQ633" i="7"/>
  <c r="AP633" i="7"/>
  <c r="AO758" i="7"/>
  <c r="AR632" i="7"/>
  <c r="AQ632" i="7"/>
  <c r="AP632" i="7"/>
  <c r="AO757" i="7"/>
  <c r="AR631" i="7"/>
  <c r="AQ631" i="7"/>
  <c r="AP631" i="7"/>
  <c r="AO756" i="7"/>
  <c r="AR630" i="7"/>
  <c r="AQ630" i="7"/>
  <c r="AP630" i="7"/>
  <c r="AO755" i="7"/>
  <c r="AR629" i="7"/>
  <c r="AQ629" i="7"/>
  <c r="AP629" i="7"/>
  <c r="AO754" i="7"/>
  <c r="AR628" i="7"/>
  <c r="AQ628" i="7"/>
  <c r="AP628" i="7"/>
  <c r="AO753" i="7"/>
  <c r="AR627" i="7"/>
  <c r="AQ627" i="7"/>
  <c r="AP627" i="7"/>
  <c r="AO752" i="7"/>
  <c r="AR626" i="7"/>
  <c r="AQ626" i="7"/>
  <c r="AP626" i="7"/>
  <c r="AO751" i="7"/>
  <c r="AR625" i="7"/>
  <c r="AQ625" i="7"/>
  <c r="AP625" i="7"/>
  <c r="AO750" i="7"/>
  <c r="AR624" i="7"/>
  <c r="AQ624" i="7"/>
  <c r="AP624" i="7"/>
  <c r="AO749" i="7"/>
  <c r="AR623" i="7"/>
  <c r="AQ623" i="7"/>
  <c r="AP623" i="7"/>
  <c r="AO748" i="7"/>
  <c r="AR622" i="7"/>
  <c r="AQ622" i="7"/>
  <c r="AP622" i="7"/>
  <c r="AO747" i="7"/>
  <c r="AR621" i="7"/>
  <c r="AQ621" i="7"/>
  <c r="AP621" i="7"/>
  <c r="AO746" i="7"/>
  <c r="AR620" i="7"/>
  <c r="AQ620" i="7"/>
  <c r="AP620" i="7"/>
  <c r="AO745" i="7"/>
  <c r="AR619" i="7"/>
  <c r="AQ619" i="7"/>
  <c r="AP619" i="7"/>
  <c r="AO744" i="7"/>
  <c r="AR618" i="7"/>
  <c r="AQ618" i="7"/>
  <c r="AP618" i="7"/>
  <c r="AO743" i="7"/>
  <c r="AR617" i="7"/>
  <c r="AQ617" i="7"/>
  <c r="AP617" i="7"/>
  <c r="AO742" i="7"/>
  <c r="AR616" i="7"/>
  <c r="AQ616" i="7"/>
  <c r="AP616" i="7"/>
  <c r="AO741" i="7"/>
  <c r="AR615" i="7"/>
  <c r="AQ615" i="7"/>
  <c r="AP615" i="7"/>
  <c r="AO740" i="7"/>
  <c r="AR614" i="7"/>
  <c r="AQ614" i="7"/>
  <c r="AP614" i="7"/>
  <c r="AO739" i="7"/>
  <c r="AR613" i="7"/>
  <c r="AQ613" i="7"/>
  <c r="AP613" i="7"/>
  <c r="AO738" i="7"/>
  <c r="AR612" i="7"/>
  <c r="AQ612" i="7"/>
  <c r="AP612" i="7"/>
  <c r="AO737" i="7"/>
  <c r="AR611" i="7"/>
  <c r="AQ611" i="7"/>
  <c r="AP611" i="7"/>
  <c r="AO736" i="7"/>
  <c r="AR610" i="7"/>
  <c r="AQ610" i="7"/>
  <c r="AP610" i="7"/>
  <c r="AO735" i="7"/>
  <c r="AR609" i="7"/>
  <c r="AQ609" i="7"/>
  <c r="AP609" i="7"/>
  <c r="AO734" i="7"/>
  <c r="AR608" i="7"/>
  <c r="AQ608" i="7"/>
  <c r="AP608" i="7"/>
  <c r="AO733" i="7"/>
  <c r="AR607" i="7"/>
  <c r="AQ607" i="7"/>
  <c r="AP607" i="7"/>
  <c r="AO732" i="7"/>
  <c r="AR606" i="7"/>
  <c r="AQ606" i="7"/>
  <c r="AP606" i="7"/>
  <c r="AO731" i="7"/>
  <c r="AR605" i="7"/>
  <c r="AQ605" i="7"/>
  <c r="AP605" i="7"/>
  <c r="AO730" i="7"/>
  <c r="AR604" i="7"/>
  <c r="AQ604" i="7"/>
  <c r="AP604" i="7"/>
  <c r="AO729" i="7"/>
  <c r="AR603" i="7"/>
  <c r="AQ603" i="7"/>
  <c r="AP603" i="7"/>
  <c r="AO728" i="7"/>
  <c r="AR602" i="7"/>
  <c r="AQ602" i="7"/>
  <c r="AP602" i="7"/>
  <c r="AO727" i="7"/>
  <c r="AR601" i="7"/>
  <c r="AQ601" i="7"/>
  <c r="AP601" i="7"/>
  <c r="AO726" i="7"/>
  <c r="AR600" i="7"/>
  <c r="AQ600" i="7"/>
  <c r="AP600" i="7"/>
  <c r="AO725" i="7"/>
  <c r="AR599" i="7"/>
  <c r="AQ599" i="7"/>
  <c r="AP599" i="7"/>
  <c r="AO724" i="7"/>
  <c r="AR598" i="7"/>
  <c r="AQ598" i="7"/>
  <c r="AP598" i="7"/>
  <c r="AO723" i="7"/>
  <c r="AR597" i="7"/>
  <c r="AQ597" i="7"/>
  <c r="AP597" i="7"/>
  <c r="AO722" i="7"/>
  <c r="AR596" i="7"/>
  <c r="AQ596" i="7"/>
  <c r="AP596" i="7"/>
  <c r="AO721" i="7"/>
  <c r="AR595" i="7"/>
  <c r="AQ595" i="7"/>
  <c r="AP595" i="7"/>
  <c r="AO720" i="7"/>
  <c r="AR594" i="7"/>
  <c r="AQ594" i="7"/>
  <c r="AP594" i="7"/>
  <c r="AO719" i="7"/>
  <c r="AR593" i="7"/>
  <c r="AQ593" i="7"/>
  <c r="AP593" i="7"/>
  <c r="AO718" i="7"/>
  <c r="AR592" i="7"/>
  <c r="AQ592" i="7"/>
  <c r="AP592" i="7"/>
  <c r="AO717" i="7"/>
  <c r="AR591" i="7"/>
  <c r="AQ591" i="7"/>
  <c r="AP591" i="7"/>
  <c r="AO716" i="7"/>
  <c r="AR590" i="7"/>
  <c r="AQ590" i="7"/>
  <c r="AP590" i="7"/>
  <c r="AO715" i="7"/>
  <c r="AR589" i="7"/>
  <c r="AQ589" i="7"/>
  <c r="AP589" i="7"/>
  <c r="AO714" i="7"/>
  <c r="AR588" i="7"/>
  <c r="AQ588" i="7"/>
  <c r="AP588" i="7"/>
  <c r="AO713" i="7"/>
  <c r="AR587" i="7"/>
  <c r="AQ587" i="7"/>
  <c r="AP587" i="7"/>
  <c r="AO712" i="7"/>
  <c r="AR586" i="7"/>
  <c r="AQ586" i="7"/>
  <c r="AP586" i="7"/>
  <c r="AO711" i="7"/>
  <c r="AR585" i="7"/>
  <c r="AQ585" i="7"/>
  <c r="AP585" i="7"/>
  <c r="AO710" i="7"/>
  <c r="AR584" i="7"/>
  <c r="AQ584" i="7"/>
  <c r="AP584" i="7"/>
  <c r="AO709" i="7"/>
  <c r="AR583" i="7"/>
  <c r="AQ583" i="7"/>
  <c r="AP583" i="7"/>
  <c r="AO708" i="7"/>
  <c r="AR582" i="7"/>
  <c r="AQ582" i="7"/>
  <c r="AP582" i="7"/>
  <c r="AO707" i="7"/>
  <c r="AR581" i="7"/>
  <c r="AQ581" i="7"/>
  <c r="AP581" i="7"/>
  <c r="AO706" i="7"/>
  <c r="AR580" i="7"/>
  <c r="AQ580" i="7"/>
  <c r="AP580" i="7"/>
  <c r="AO705" i="7"/>
  <c r="AR579" i="7"/>
  <c r="AQ579" i="7"/>
  <c r="AP579" i="7"/>
  <c r="AO704" i="7"/>
  <c r="AR578" i="7"/>
  <c r="AQ578" i="7"/>
  <c r="AP578" i="7"/>
  <c r="AO703" i="7"/>
  <c r="AR577" i="7"/>
  <c r="AQ577" i="7"/>
  <c r="AP577" i="7"/>
  <c r="AO702" i="7"/>
  <c r="AR576" i="7"/>
  <c r="AQ576" i="7"/>
  <c r="AP576" i="7"/>
  <c r="AO701" i="7"/>
  <c r="AR575" i="7"/>
  <c r="AQ575" i="7"/>
  <c r="AP575" i="7"/>
  <c r="AO700" i="7"/>
  <c r="AR574" i="7"/>
  <c r="AQ574" i="7"/>
  <c r="AP574" i="7"/>
  <c r="AO699" i="7"/>
  <c r="AR573" i="7"/>
  <c r="AQ573" i="7"/>
  <c r="AP573" i="7"/>
  <c r="AO698" i="7"/>
  <c r="AR572" i="7"/>
  <c r="AQ572" i="7"/>
  <c r="AP572" i="7"/>
  <c r="AO697" i="7"/>
  <c r="AR571" i="7"/>
  <c r="AQ571" i="7"/>
  <c r="AP571" i="7"/>
  <c r="AO696" i="7"/>
  <c r="AR570" i="7"/>
  <c r="AQ570" i="7"/>
  <c r="AP570" i="7"/>
  <c r="AO695" i="7"/>
  <c r="AR569" i="7"/>
  <c r="AQ569" i="7"/>
  <c r="AP569" i="7"/>
  <c r="AO694" i="7"/>
  <c r="AR568" i="7"/>
  <c r="AQ568" i="7"/>
  <c r="AP568" i="7"/>
  <c r="AO693" i="7"/>
  <c r="AR567" i="7"/>
  <c r="AQ567" i="7"/>
  <c r="AP567" i="7"/>
  <c r="AO692" i="7"/>
  <c r="AR566" i="7"/>
  <c r="AQ566" i="7"/>
  <c r="AP566" i="7"/>
  <c r="AO691" i="7"/>
  <c r="AR565" i="7"/>
  <c r="AQ565" i="7"/>
  <c r="AP565" i="7"/>
  <c r="AO690" i="7"/>
  <c r="AR564" i="7"/>
  <c r="AQ564" i="7"/>
  <c r="AP564" i="7"/>
  <c r="AO689" i="7"/>
  <c r="AR563" i="7"/>
  <c r="AQ563" i="7"/>
  <c r="AP563" i="7"/>
  <c r="AO688" i="7"/>
  <c r="AR562" i="7"/>
  <c r="AQ562" i="7"/>
  <c r="AP562" i="7"/>
  <c r="AO687" i="7"/>
  <c r="AR561" i="7"/>
  <c r="AQ561" i="7"/>
  <c r="AP561" i="7"/>
  <c r="AO686" i="7"/>
  <c r="AR560" i="7"/>
  <c r="AQ560" i="7"/>
  <c r="AP560" i="7"/>
  <c r="AO685" i="7"/>
  <c r="AR559" i="7"/>
  <c r="AQ559" i="7"/>
  <c r="AP559" i="7"/>
  <c r="AO684" i="7"/>
  <c r="AR558" i="7"/>
  <c r="AQ558" i="7"/>
  <c r="AP558" i="7"/>
  <c r="AO683" i="7"/>
  <c r="AR557" i="7"/>
  <c r="AQ557" i="7"/>
  <c r="AP557" i="7"/>
  <c r="AO682" i="7"/>
  <c r="AR556" i="7"/>
  <c r="AQ556" i="7"/>
  <c r="AP556" i="7"/>
  <c r="AO681" i="7"/>
  <c r="AR555" i="7"/>
  <c r="AQ555" i="7"/>
  <c r="AP555" i="7"/>
  <c r="AO680" i="7"/>
  <c r="AR554" i="7"/>
  <c r="AQ554" i="7"/>
  <c r="AP554" i="7"/>
  <c r="AO679" i="7"/>
  <c r="AR553" i="7"/>
  <c r="AQ553" i="7"/>
  <c r="AP553" i="7"/>
  <c r="AO678" i="7"/>
  <c r="AR552" i="7"/>
  <c r="AQ552" i="7"/>
  <c r="AP552" i="7"/>
  <c r="AO677" i="7"/>
  <c r="AR551" i="7"/>
  <c r="AQ551" i="7"/>
  <c r="AP551" i="7"/>
  <c r="AO676" i="7"/>
  <c r="AR550" i="7"/>
  <c r="AQ550" i="7"/>
  <c r="AP550" i="7"/>
  <c r="AO675" i="7"/>
  <c r="AR549" i="7"/>
  <c r="AQ549" i="7"/>
  <c r="AP549" i="7"/>
  <c r="AO674" i="7"/>
  <c r="AR548" i="7"/>
  <c r="AQ548" i="7"/>
  <c r="AP548" i="7"/>
  <c r="AO673" i="7"/>
  <c r="AR547" i="7"/>
  <c r="AQ547" i="7"/>
  <c r="AP547" i="7"/>
  <c r="AO672" i="7"/>
  <c r="AR546" i="7"/>
  <c r="AQ546" i="7"/>
  <c r="AP546" i="7"/>
  <c r="AO671" i="7"/>
  <c r="AR545" i="7"/>
  <c r="AQ545" i="7"/>
  <c r="AP545" i="7"/>
  <c r="AO670" i="7"/>
  <c r="AR544" i="7"/>
  <c r="AQ544" i="7"/>
  <c r="AP544" i="7"/>
  <c r="AO669" i="7"/>
  <c r="AR543" i="7"/>
  <c r="AQ543" i="7"/>
  <c r="AP543" i="7"/>
  <c r="AO668" i="7"/>
  <c r="AR542" i="7"/>
  <c r="AQ542" i="7"/>
  <c r="AP542" i="7"/>
  <c r="AO667" i="7"/>
  <c r="AR541" i="7"/>
  <c r="AQ541" i="7"/>
  <c r="AP541" i="7"/>
  <c r="AO666" i="7"/>
  <c r="AR540" i="7"/>
  <c r="AQ540" i="7"/>
  <c r="AP540" i="7"/>
  <c r="AO665" i="7"/>
  <c r="AR539" i="7"/>
  <c r="AQ539" i="7"/>
  <c r="AP539" i="7"/>
  <c r="AO664" i="7"/>
  <c r="AR538" i="7"/>
  <c r="AQ538" i="7"/>
  <c r="AP538" i="7"/>
  <c r="AO663" i="7"/>
  <c r="AR537" i="7"/>
  <c r="AQ537" i="7"/>
  <c r="AP537" i="7"/>
  <c r="AO662" i="7"/>
  <c r="AR536" i="7"/>
  <c r="AQ536" i="7"/>
  <c r="AP536" i="7"/>
  <c r="AO661" i="7"/>
  <c r="AR535" i="7"/>
  <c r="AQ535" i="7"/>
  <c r="AP535" i="7"/>
  <c r="AO660" i="7"/>
  <c r="AR534" i="7"/>
  <c r="AQ534" i="7"/>
  <c r="AP534" i="7"/>
  <c r="AO659" i="7"/>
  <c r="AR533" i="7"/>
  <c r="AQ533" i="7"/>
  <c r="AP533" i="7"/>
  <c r="AO658" i="7"/>
  <c r="AR532" i="7"/>
  <c r="AQ532" i="7"/>
  <c r="AP532" i="7"/>
  <c r="AO657" i="7"/>
  <c r="AR531" i="7"/>
  <c r="AQ531" i="7"/>
  <c r="AP531" i="7"/>
  <c r="AO656" i="7"/>
  <c r="AR530" i="7"/>
  <c r="AQ530" i="7"/>
  <c r="AP530" i="7"/>
  <c r="AO655" i="7"/>
  <c r="AR529" i="7"/>
  <c r="AQ529" i="7"/>
  <c r="AP529" i="7"/>
  <c r="AO654" i="7"/>
  <c r="AR528" i="7"/>
  <c r="AQ528" i="7"/>
  <c r="AP528" i="7"/>
  <c r="AO653" i="7"/>
  <c r="AR527" i="7"/>
  <c r="AQ527" i="7"/>
  <c r="AP527" i="7"/>
  <c r="AO652" i="7"/>
  <c r="AR526" i="7"/>
  <c r="AQ526" i="7"/>
  <c r="AP526" i="7"/>
  <c r="AO651" i="7"/>
  <c r="AR525" i="7"/>
  <c r="AQ525" i="7"/>
  <c r="AP525" i="7"/>
  <c r="AO650" i="7"/>
  <c r="AR524" i="7"/>
  <c r="AQ524" i="7"/>
  <c r="AP524" i="7"/>
  <c r="AO649" i="7"/>
  <c r="AR523" i="7"/>
  <c r="AQ523" i="7"/>
  <c r="AP523" i="7"/>
  <c r="AO648" i="7"/>
  <c r="AR522" i="7"/>
  <c r="AQ522" i="7"/>
  <c r="AP522" i="7"/>
  <c r="AO647" i="7"/>
  <c r="AR521" i="7"/>
  <c r="AQ521" i="7"/>
  <c r="AP521" i="7"/>
  <c r="AO646" i="7"/>
  <c r="AR520" i="7"/>
  <c r="AQ520" i="7"/>
  <c r="AP520" i="7"/>
  <c r="AO645" i="7"/>
  <c r="AR519" i="7"/>
  <c r="AQ519" i="7"/>
  <c r="AP519" i="7"/>
  <c r="AO644" i="7"/>
  <c r="AR518" i="7"/>
  <c r="AQ518" i="7"/>
  <c r="AP518" i="7"/>
  <c r="AO643" i="7"/>
  <c r="AR517" i="7"/>
  <c r="AQ517" i="7"/>
  <c r="AP517" i="7"/>
  <c r="AO642" i="7"/>
  <c r="AR516" i="7"/>
  <c r="AQ516" i="7"/>
  <c r="AP516" i="7"/>
  <c r="AO641" i="7"/>
  <c r="AR515" i="7"/>
  <c r="AQ515" i="7"/>
  <c r="AP515" i="7"/>
  <c r="AO640" i="7"/>
  <c r="AR514" i="7"/>
  <c r="AQ514" i="7"/>
  <c r="AP514" i="7"/>
  <c r="AO639" i="7"/>
  <c r="AR513" i="7"/>
  <c r="AQ513" i="7"/>
  <c r="AP513" i="7"/>
  <c r="AO638" i="7"/>
  <c r="AR512" i="7"/>
  <c r="AQ512" i="7"/>
  <c r="AP512" i="7"/>
  <c r="AO637" i="7"/>
  <c r="AR511" i="7"/>
  <c r="AQ511" i="7"/>
  <c r="AP511" i="7"/>
  <c r="AO636" i="7"/>
  <c r="AR510" i="7"/>
  <c r="AQ510" i="7"/>
  <c r="AP510" i="7"/>
  <c r="AO635" i="7"/>
  <c r="AR509" i="7"/>
  <c r="AQ509" i="7"/>
  <c r="AP509" i="7"/>
  <c r="AO634" i="7"/>
  <c r="AR508" i="7"/>
  <c r="AQ508" i="7"/>
  <c r="AP508" i="7"/>
  <c r="AO633" i="7"/>
  <c r="AR507" i="7"/>
  <c r="AQ507" i="7"/>
  <c r="AP507" i="7"/>
  <c r="AO632" i="7"/>
  <c r="AR506" i="7"/>
  <c r="AQ506" i="7"/>
  <c r="AP506" i="7"/>
  <c r="AO631" i="7"/>
  <c r="AR505" i="7"/>
  <c r="AQ505" i="7"/>
  <c r="AP505" i="7"/>
  <c r="AO630" i="7"/>
  <c r="AR504" i="7"/>
  <c r="AQ504" i="7"/>
  <c r="AP504" i="7"/>
  <c r="AO629" i="7"/>
  <c r="AR503" i="7"/>
  <c r="AQ503" i="7"/>
  <c r="AP503" i="7"/>
  <c r="AO628" i="7"/>
  <c r="AR502" i="7"/>
  <c r="AQ502" i="7"/>
  <c r="AP502" i="7"/>
  <c r="AO627" i="7"/>
  <c r="AR501" i="7"/>
  <c r="AQ501" i="7"/>
  <c r="AP501" i="7"/>
  <c r="AO626" i="7"/>
  <c r="AR500" i="7"/>
  <c r="AQ500" i="7"/>
  <c r="AP500" i="7"/>
  <c r="AO625" i="7"/>
  <c r="AR499" i="7"/>
  <c r="AQ499" i="7"/>
  <c r="AP499" i="7"/>
  <c r="AO624" i="7"/>
  <c r="AR498" i="7"/>
  <c r="AQ498" i="7"/>
  <c r="AP498" i="7"/>
  <c r="AO623" i="7"/>
  <c r="AR497" i="7"/>
  <c r="AQ497" i="7"/>
  <c r="AP497" i="7"/>
  <c r="AO622" i="7"/>
  <c r="AR496" i="7"/>
  <c r="AQ496" i="7"/>
  <c r="AP496" i="7"/>
  <c r="AO621" i="7"/>
  <c r="AR495" i="7"/>
  <c r="AQ495" i="7"/>
  <c r="AP495" i="7"/>
  <c r="AO620" i="7"/>
  <c r="AR494" i="7"/>
  <c r="AQ494" i="7"/>
  <c r="AP494" i="7"/>
  <c r="AO619" i="7"/>
  <c r="AR493" i="7"/>
  <c r="AQ493" i="7"/>
  <c r="AP493" i="7"/>
  <c r="AO618" i="7"/>
  <c r="AR492" i="7"/>
  <c r="AQ492" i="7"/>
  <c r="AP492" i="7"/>
  <c r="AO617" i="7"/>
  <c r="AR491" i="7"/>
  <c r="AQ491" i="7"/>
  <c r="AP491" i="7"/>
  <c r="AO616" i="7"/>
  <c r="AR490" i="7"/>
  <c r="AQ490" i="7"/>
  <c r="AP490" i="7"/>
  <c r="AO615" i="7"/>
  <c r="AR489" i="7"/>
  <c r="AQ489" i="7"/>
  <c r="AP489" i="7"/>
  <c r="AO614" i="7"/>
  <c r="AR488" i="7"/>
  <c r="AQ488" i="7"/>
  <c r="AP488" i="7"/>
  <c r="AO613" i="7"/>
  <c r="AR487" i="7"/>
  <c r="AQ487" i="7"/>
  <c r="AP487" i="7"/>
  <c r="AO612" i="7"/>
  <c r="AR486" i="7"/>
  <c r="AQ486" i="7"/>
  <c r="AP486" i="7"/>
  <c r="AO611" i="7"/>
  <c r="AR485" i="7"/>
  <c r="AQ485" i="7"/>
  <c r="AP485" i="7"/>
  <c r="AO610" i="7"/>
  <c r="AR484" i="7"/>
  <c r="AQ484" i="7"/>
  <c r="AP484" i="7"/>
  <c r="AO609" i="7"/>
  <c r="AR483" i="7"/>
  <c r="AQ483" i="7"/>
  <c r="AP483" i="7"/>
  <c r="AO608" i="7"/>
  <c r="AR482" i="7"/>
  <c r="AQ482" i="7"/>
  <c r="AP482" i="7"/>
  <c r="AO607" i="7"/>
  <c r="AR481" i="7"/>
  <c r="AQ481" i="7"/>
  <c r="AP481" i="7"/>
  <c r="AO606" i="7"/>
  <c r="AR480" i="7"/>
  <c r="AQ480" i="7"/>
  <c r="AP480" i="7"/>
  <c r="AO605" i="7"/>
  <c r="AR479" i="7"/>
  <c r="AQ479" i="7"/>
  <c r="AP479" i="7"/>
  <c r="AO604" i="7"/>
  <c r="AR478" i="7"/>
  <c r="AQ478" i="7"/>
  <c r="AP478" i="7"/>
  <c r="AO603" i="7"/>
  <c r="AR477" i="7"/>
  <c r="AQ477" i="7"/>
  <c r="AP477" i="7"/>
  <c r="AO602" i="7"/>
  <c r="AR476" i="7"/>
  <c r="AQ476" i="7"/>
  <c r="AP476" i="7"/>
  <c r="AO601" i="7"/>
  <c r="AR475" i="7"/>
  <c r="AQ475" i="7"/>
  <c r="AP475" i="7"/>
  <c r="AO600" i="7"/>
  <c r="AR474" i="7"/>
  <c r="AQ474" i="7"/>
  <c r="AP474" i="7"/>
  <c r="AO599" i="7"/>
  <c r="AR473" i="7"/>
  <c r="AQ473" i="7"/>
  <c r="AP473" i="7"/>
  <c r="AO598" i="7"/>
  <c r="AR472" i="7"/>
  <c r="AQ472" i="7"/>
  <c r="AP472" i="7"/>
  <c r="AO597" i="7"/>
  <c r="AR471" i="7"/>
  <c r="AQ471" i="7"/>
  <c r="AP471" i="7"/>
  <c r="AO596" i="7"/>
  <c r="AR470" i="7"/>
  <c r="AQ470" i="7"/>
  <c r="AP470" i="7"/>
  <c r="AO595" i="7"/>
  <c r="AR469" i="7"/>
  <c r="AQ469" i="7"/>
  <c r="AP469" i="7"/>
  <c r="AO594" i="7"/>
  <c r="AR468" i="7"/>
  <c r="AQ468" i="7"/>
  <c r="AP468" i="7"/>
  <c r="AO593" i="7"/>
  <c r="AR467" i="7"/>
  <c r="AQ467" i="7"/>
  <c r="AP467" i="7"/>
  <c r="AO592" i="7"/>
  <c r="AR466" i="7"/>
  <c r="AQ466" i="7"/>
  <c r="AP466" i="7"/>
  <c r="AO591" i="7"/>
  <c r="AR465" i="7"/>
  <c r="AQ465" i="7"/>
  <c r="AP465" i="7"/>
  <c r="AO590" i="7"/>
  <c r="AR464" i="7"/>
  <c r="AQ464" i="7"/>
  <c r="AP464" i="7"/>
  <c r="AO589" i="7"/>
  <c r="AR463" i="7"/>
  <c r="AQ463" i="7"/>
  <c r="AP463" i="7"/>
  <c r="AO588" i="7"/>
  <c r="AR462" i="7"/>
  <c r="AQ462" i="7"/>
  <c r="AP462" i="7"/>
  <c r="AO587" i="7"/>
  <c r="AR461" i="7"/>
  <c r="AQ461" i="7"/>
  <c r="AP461" i="7"/>
  <c r="AO586" i="7"/>
  <c r="AR460" i="7"/>
  <c r="AQ460" i="7"/>
  <c r="AP460" i="7"/>
  <c r="AO585" i="7"/>
  <c r="AR459" i="7"/>
  <c r="AQ459" i="7"/>
  <c r="AP459" i="7"/>
  <c r="AO584" i="7"/>
  <c r="AR458" i="7"/>
  <c r="AQ458" i="7"/>
  <c r="AP458" i="7"/>
  <c r="AO583" i="7"/>
  <c r="AR457" i="7"/>
  <c r="AQ457" i="7"/>
  <c r="AP457" i="7"/>
  <c r="AO582" i="7"/>
  <c r="AR456" i="7"/>
  <c r="AQ456" i="7"/>
  <c r="AP456" i="7"/>
  <c r="AO581" i="7"/>
  <c r="AR455" i="7"/>
  <c r="AQ455" i="7"/>
  <c r="AP455" i="7"/>
  <c r="AO580" i="7"/>
  <c r="AR454" i="7"/>
  <c r="AQ454" i="7"/>
  <c r="AP454" i="7"/>
  <c r="AO579" i="7"/>
  <c r="AR453" i="7"/>
  <c r="AQ453" i="7"/>
  <c r="AP453" i="7"/>
  <c r="AO578" i="7"/>
  <c r="AR452" i="7"/>
  <c r="AQ452" i="7"/>
  <c r="AP452" i="7"/>
  <c r="AO577" i="7"/>
  <c r="AR451" i="7"/>
  <c r="AQ451" i="7"/>
  <c r="AP451" i="7"/>
  <c r="AO576" i="7"/>
  <c r="AR450" i="7"/>
  <c r="AQ450" i="7"/>
  <c r="AP450" i="7"/>
  <c r="AO575" i="7"/>
  <c r="AR449" i="7"/>
  <c r="AQ449" i="7"/>
  <c r="AP449" i="7"/>
  <c r="AO574" i="7"/>
  <c r="AR448" i="7"/>
  <c r="AQ448" i="7"/>
  <c r="AP448" i="7"/>
  <c r="AO573" i="7"/>
  <c r="AR447" i="7"/>
  <c r="AQ447" i="7"/>
  <c r="AP447" i="7"/>
  <c r="AO572" i="7"/>
  <c r="AR446" i="7"/>
  <c r="AQ446" i="7"/>
  <c r="AP446" i="7"/>
  <c r="AO571" i="7"/>
  <c r="AR445" i="7"/>
  <c r="AQ445" i="7"/>
  <c r="AP445" i="7"/>
  <c r="AO570" i="7"/>
  <c r="AR444" i="7"/>
  <c r="AQ444" i="7"/>
  <c r="AP444" i="7"/>
  <c r="AO569" i="7"/>
  <c r="AR443" i="7"/>
  <c r="AQ443" i="7"/>
  <c r="AP443" i="7"/>
  <c r="AO568" i="7"/>
  <c r="AR442" i="7"/>
  <c r="AQ442" i="7"/>
  <c r="AP442" i="7"/>
  <c r="AO567" i="7"/>
  <c r="AR441" i="7"/>
  <c r="AQ441" i="7"/>
  <c r="AP441" i="7"/>
  <c r="AO566" i="7"/>
  <c r="AR440" i="7"/>
  <c r="AQ440" i="7"/>
  <c r="AP440" i="7"/>
  <c r="AO565" i="7"/>
  <c r="AR439" i="7"/>
  <c r="AQ439" i="7"/>
  <c r="AP439" i="7"/>
  <c r="AO564" i="7"/>
  <c r="AR438" i="7"/>
  <c r="AQ438" i="7"/>
  <c r="AP438" i="7"/>
  <c r="AO563" i="7"/>
  <c r="AR437" i="7"/>
  <c r="AQ437" i="7"/>
  <c r="AP437" i="7"/>
  <c r="AO562" i="7"/>
  <c r="AR436" i="7"/>
  <c r="AQ436" i="7"/>
  <c r="AP436" i="7"/>
  <c r="AO561" i="7"/>
  <c r="AR435" i="7"/>
  <c r="AQ435" i="7"/>
  <c r="AP435" i="7"/>
  <c r="AO560" i="7"/>
  <c r="AR434" i="7"/>
  <c r="AQ434" i="7"/>
  <c r="AP434" i="7"/>
  <c r="AO559" i="7"/>
  <c r="AR433" i="7"/>
  <c r="AQ433" i="7"/>
  <c r="AP433" i="7"/>
  <c r="AO558" i="7"/>
  <c r="AR432" i="7"/>
  <c r="AQ432" i="7"/>
  <c r="AP432" i="7"/>
  <c r="AO557" i="7"/>
  <c r="AR431" i="7"/>
  <c r="AQ431" i="7"/>
  <c r="AP431" i="7"/>
  <c r="AO556" i="7"/>
  <c r="AR430" i="7"/>
  <c r="AQ430" i="7"/>
  <c r="AP430" i="7"/>
  <c r="AO555" i="7"/>
  <c r="AR429" i="7"/>
  <c r="AQ429" i="7"/>
  <c r="AP429" i="7"/>
  <c r="AO554" i="7"/>
  <c r="AR428" i="7"/>
  <c r="AQ428" i="7"/>
  <c r="AP428" i="7"/>
  <c r="AO553" i="7"/>
  <c r="AR427" i="7"/>
  <c r="AQ427" i="7"/>
  <c r="AP427" i="7"/>
  <c r="AO552" i="7"/>
  <c r="AR426" i="7"/>
  <c r="AQ426" i="7"/>
  <c r="AP426" i="7"/>
  <c r="AO551" i="7"/>
  <c r="AR425" i="7"/>
  <c r="AQ425" i="7"/>
  <c r="AP425" i="7"/>
  <c r="AO550" i="7"/>
  <c r="AR424" i="7"/>
  <c r="AQ424" i="7"/>
  <c r="AP424" i="7"/>
  <c r="AO549" i="7"/>
  <c r="AR423" i="7"/>
  <c r="AQ423" i="7"/>
  <c r="AP423" i="7"/>
  <c r="AO548" i="7"/>
  <c r="AR422" i="7"/>
  <c r="AQ422" i="7"/>
  <c r="AP422" i="7"/>
  <c r="AO547" i="7"/>
  <c r="AR421" i="7"/>
  <c r="AQ421" i="7"/>
  <c r="AP421" i="7"/>
  <c r="AO546" i="7"/>
  <c r="AR420" i="7"/>
  <c r="AQ420" i="7"/>
  <c r="AP420" i="7"/>
  <c r="AO545" i="7"/>
  <c r="AR419" i="7"/>
  <c r="AQ419" i="7"/>
  <c r="AP419" i="7"/>
  <c r="AO544" i="7"/>
  <c r="AR418" i="7"/>
  <c r="AQ418" i="7"/>
  <c r="AP418" i="7"/>
  <c r="AO543" i="7"/>
  <c r="AR417" i="7"/>
  <c r="AQ417" i="7"/>
  <c r="AP417" i="7"/>
  <c r="AO542" i="7"/>
  <c r="AR416" i="7"/>
  <c r="AQ416" i="7"/>
  <c r="AP416" i="7"/>
  <c r="AO541" i="7"/>
  <c r="AR415" i="7"/>
  <c r="AQ415" i="7"/>
  <c r="AP415" i="7"/>
  <c r="AO540" i="7"/>
  <c r="AR414" i="7"/>
  <c r="AQ414" i="7"/>
  <c r="AP414" i="7"/>
  <c r="AO539" i="7"/>
  <c r="AR413" i="7"/>
  <c r="AQ413" i="7"/>
  <c r="AP413" i="7"/>
  <c r="AO538" i="7"/>
  <c r="AR412" i="7"/>
  <c r="AQ412" i="7"/>
  <c r="AP412" i="7"/>
  <c r="AO537" i="7"/>
  <c r="AR411" i="7"/>
  <c r="AQ411" i="7"/>
  <c r="AP411" i="7"/>
  <c r="AO536" i="7"/>
  <c r="AR410" i="7"/>
  <c r="AQ410" i="7"/>
  <c r="AP410" i="7"/>
  <c r="AO535" i="7"/>
  <c r="AR409" i="7"/>
  <c r="AQ409" i="7"/>
  <c r="AP409" i="7"/>
  <c r="AO534" i="7"/>
  <c r="AR408" i="7"/>
  <c r="AQ408" i="7"/>
  <c r="AP408" i="7"/>
  <c r="AO533" i="7"/>
  <c r="AR407" i="7"/>
  <c r="AQ407" i="7"/>
  <c r="AP407" i="7"/>
  <c r="AO532" i="7"/>
  <c r="AR406" i="7"/>
  <c r="AQ406" i="7"/>
  <c r="AP406" i="7"/>
  <c r="AO531" i="7"/>
  <c r="AR405" i="7"/>
  <c r="AQ405" i="7"/>
  <c r="AP405" i="7"/>
  <c r="AO530" i="7"/>
  <c r="AR404" i="7"/>
  <c r="AQ404" i="7"/>
  <c r="AP404" i="7"/>
  <c r="AO529" i="7"/>
  <c r="AR403" i="7"/>
  <c r="AQ403" i="7"/>
  <c r="AP403" i="7"/>
  <c r="AO528" i="7"/>
  <c r="AR402" i="7"/>
  <c r="AQ402" i="7"/>
  <c r="AP402" i="7"/>
  <c r="AO527" i="7"/>
  <c r="AR401" i="7"/>
  <c r="AQ401" i="7"/>
  <c r="AP401" i="7"/>
  <c r="AO526" i="7"/>
  <c r="AR400" i="7"/>
  <c r="AQ400" i="7"/>
  <c r="AP400" i="7"/>
  <c r="AO525" i="7"/>
  <c r="AR399" i="7"/>
  <c r="AQ399" i="7"/>
  <c r="AP399" i="7"/>
  <c r="AO524" i="7"/>
  <c r="AR398" i="7"/>
  <c r="AQ398" i="7"/>
  <c r="AP398" i="7"/>
  <c r="AO523" i="7"/>
  <c r="AR397" i="7"/>
  <c r="AQ397" i="7"/>
  <c r="AP397" i="7"/>
  <c r="AO522" i="7"/>
  <c r="AR396" i="7"/>
  <c r="AQ396" i="7"/>
  <c r="AP396" i="7"/>
  <c r="AO521" i="7"/>
  <c r="AR395" i="7"/>
  <c r="AQ395" i="7"/>
  <c r="AP395" i="7"/>
  <c r="AO520" i="7"/>
  <c r="AR394" i="7"/>
  <c r="AQ394" i="7"/>
  <c r="AP394" i="7"/>
  <c r="AO519" i="7"/>
  <c r="AR393" i="7"/>
  <c r="AQ393" i="7"/>
  <c r="AP393" i="7"/>
  <c r="AO518" i="7"/>
  <c r="AR392" i="7"/>
  <c r="AQ392" i="7"/>
  <c r="AP392" i="7"/>
  <c r="AO517" i="7"/>
  <c r="AR391" i="7"/>
  <c r="AQ391" i="7"/>
  <c r="AP391" i="7"/>
  <c r="AO516" i="7"/>
  <c r="AR390" i="7"/>
  <c r="AQ390" i="7"/>
  <c r="AP390" i="7"/>
  <c r="AO515" i="7"/>
  <c r="AR389" i="7"/>
  <c r="AQ389" i="7"/>
  <c r="AP389" i="7"/>
  <c r="AO514" i="7"/>
  <c r="AR388" i="7"/>
  <c r="AQ388" i="7"/>
  <c r="AP388" i="7"/>
  <c r="AO513" i="7"/>
  <c r="AR387" i="7"/>
  <c r="AQ387" i="7"/>
  <c r="AP387" i="7"/>
  <c r="AO512" i="7"/>
  <c r="AR386" i="7"/>
  <c r="AQ386" i="7"/>
  <c r="AP386" i="7"/>
  <c r="AO511" i="7"/>
  <c r="AR385" i="7"/>
  <c r="AQ385" i="7"/>
  <c r="AP385" i="7"/>
  <c r="AO510" i="7"/>
  <c r="AR384" i="7"/>
  <c r="AQ384" i="7"/>
  <c r="AP384" i="7"/>
  <c r="AO509" i="7"/>
  <c r="AR383" i="7"/>
  <c r="AQ383" i="7"/>
  <c r="AP383" i="7"/>
  <c r="AO508" i="7"/>
  <c r="AR382" i="7"/>
  <c r="AQ382" i="7"/>
  <c r="AP382" i="7"/>
  <c r="AO507" i="7"/>
  <c r="AR381" i="7"/>
  <c r="AQ381" i="7"/>
  <c r="AP381" i="7"/>
  <c r="AO506" i="7"/>
  <c r="AR380" i="7"/>
  <c r="AQ380" i="7"/>
  <c r="AP380" i="7"/>
  <c r="AO505" i="7"/>
  <c r="AR379" i="7"/>
  <c r="AQ379" i="7"/>
  <c r="AP379" i="7"/>
  <c r="AO504" i="7"/>
  <c r="AR378" i="7"/>
  <c r="AQ378" i="7"/>
  <c r="AP378" i="7"/>
  <c r="AO503" i="7"/>
  <c r="AR377" i="7"/>
  <c r="AQ377" i="7"/>
  <c r="AP377" i="7"/>
  <c r="AO502" i="7"/>
  <c r="AR376" i="7"/>
  <c r="AQ376" i="7"/>
  <c r="AP376" i="7"/>
  <c r="AO501" i="7"/>
  <c r="AR375" i="7"/>
  <c r="AQ375" i="7"/>
  <c r="AP375" i="7"/>
  <c r="AO500" i="7"/>
  <c r="AR374" i="7"/>
  <c r="AQ374" i="7"/>
  <c r="AP374" i="7"/>
  <c r="AO499" i="7"/>
  <c r="AR373" i="7"/>
  <c r="AQ373" i="7"/>
  <c r="AP373" i="7"/>
  <c r="AO498" i="7"/>
  <c r="AR372" i="7"/>
  <c r="AQ372" i="7"/>
  <c r="AP372" i="7"/>
  <c r="AO497" i="7"/>
  <c r="AR371" i="7"/>
  <c r="AQ371" i="7"/>
  <c r="AP371" i="7"/>
  <c r="AO496" i="7"/>
  <c r="AR370" i="7"/>
  <c r="AQ370" i="7"/>
  <c r="AP370" i="7"/>
  <c r="AO495" i="7"/>
  <c r="AR369" i="7"/>
  <c r="AQ369" i="7"/>
  <c r="AP369" i="7"/>
  <c r="AO494" i="7"/>
  <c r="AR368" i="7"/>
  <c r="AQ368" i="7"/>
  <c r="AP368" i="7"/>
  <c r="AO493" i="7"/>
  <c r="AR367" i="7"/>
  <c r="AQ367" i="7"/>
  <c r="AP367" i="7"/>
  <c r="AO492" i="7"/>
  <c r="AR366" i="7"/>
  <c r="AQ366" i="7"/>
  <c r="AP366" i="7"/>
  <c r="AO491" i="7"/>
  <c r="AR365" i="7"/>
  <c r="AQ365" i="7"/>
  <c r="AP365" i="7"/>
  <c r="AO490" i="7"/>
  <c r="AR364" i="7"/>
  <c r="AQ364" i="7"/>
  <c r="AP364" i="7"/>
  <c r="AO489" i="7"/>
  <c r="AR363" i="7"/>
  <c r="AQ363" i="7"/>
  <c r="AP363" i="7"/>
  <c r="AO488" i="7"/>
  <c r="AR362" i="7"/>
  <c r="AQ362" i="7"/>
  <c r="AP362" i="7"/>
  <c r="AO487" i="7"/>
  <c r="AR361" i="7"/>
  <c r="AQ361" i="7"/>
  <c r="AP361" i="7"/>
  <c r="AO486" i="7"/>
  <c r="AR360" i="7"/>
  <c r="AQ360" i="7"/>
  <c r="AP360" i="7"/>
  <c r="AO485" i="7"/>
  <c r="AR359" i="7"/>
  <c r="AQ359" i="7"/>
  <c r="AP359" i="7"/>
  <c r="AO484" i="7"/>
  <c r="AR358" i="7"/>
  <c r="AQ358" i="7"/>
  <c r="AP358" i="7"/>
  <c r="AO483" i="7"/>
  <c r="AR357" i="7"/>
  <c r="AQ357" i="7"/>
  <c r="AP357" i="7"/>
  <c r="AO482" i="7"/>
  <c r="AR356" i="7"/>
  <c r="AQ356" i="7"/>
  <c r="AP356" i="7"/>
  <c r="AO481" i="7"/>
  <c r="AR355" i="7"/>
  <c r="AQ355" i="7"/>
  <c r="AP355" i="7"/>
  <c r="AO480" i="7"/>
  <c r="AR354" i="7"/>
  <c r="AQ354" i="7"/>
  <c r="AP354" i="7"/>
  <c r="AO479" i="7"/>
  <c r="AR353" i="7"/>
  <c r="AQ353" i="7"/>
  <c r="AP353" i="7"/>
  <c r="AO478" i="7"/>
  <c r="AR352" i="7"/>
  <c r="AQ352" i="7"/>
  <c r="AP352" i="7"/>
  <c r="AO477" i="7"/>
  <c r="AR351" i="7"/>
  <c r="AQ351" i="7"/>
  <c r="AP351" i="7"/>
  <c r="AO476" i="7"/>
  <c r="AR350" i="7"/>
  <c r="AQ350" i="7"/>
  <c r="AP350" i="7"/>
  <c r="AO475" i="7"/>
  <c r="AR349" i="7"/>
  <c r="AQ349" i="7"/>
  <c r="AP349" i="7"/>
  <c r="AO474" i="7"/>
  <c r="AR348" i="7"/>
  <c r="AQ348" i="7"/>
  <c r="AP348" i="7"/>
  <c r="AO473" i="7"/>
  <c r="AR347" i="7"/>
  <c r="AQ347" i="7"/>
  <c r="AP347" i="7"/>
  <c r="AO472" i="7"/>
  <c r="AR346" i="7"/>
  <c r="AQ346" i="7"/>
  <c r="AP346" i="7"/>
  <c r="AO471" i="7"/>
  <c r="AR345" i="7"/>
  <c r="AQ345" i="7"/>
  <c r="AP345" i="7"/>
  <c r="AO470" i="7"/>
  <c r="AR344" i="7"/>
  <c r="AQ344" i="7"/>
  <c r="AP344" i="7"/>
  <c r="AO469" i="7"/>
  <c r="AR343" i="7"/>
  <c r="AQ343" i="7"/>
  <c r="AP343" i="7"/>
  <c r="AO468" i="7"/>
  <c r="AR342" i="7"/>
  <c r="AQ342" i="7"/>
  <c r="AP342" i="7"/>
  <c r="AO467" i="7"/>
  <c r="AR341" i="7"/>
  <c r="AQ341" i="7"/>
  <c r="AP341" i="7"/>
  <c r="AO466" i="7"/>
  <c r="AR340" i="7"/>
  <c r="AQ340" i="7"/>
  <c r="AP340" i="7"/>
  <c r="AO465" i="7"/>
  <c r="AR339" i="7"/>
  <c r="AQ339" i="7"/>
  <c r="AP339" i="7"/>
  <c r="AO464" i="7"/>
  <c r="AR338" i="7"/>
  <c r="AQ338" i="7"/>
  <c r="AP338" i="7"/>
  <c r="AO463" i="7"/>
  <c r="AR337" i="7"/>
  <c r="AQ337" i="7"/>
  <c r="AP337" i="7"/>
  <c r="AO462" i="7"/>
  <c r="AR336" i="7"/>
  <c r="AQ336" i="7"/>
  <c r="AP336" i="7"/>
  <c r="AO461" i="7"/>
  <c r="AR335" i="7"/>
  <c r="AQ335" i="7"/>
  <c r="AP335" i="7"/>
  <c r="AO460" i="7"/>
  <c r="AR334" i="7"/>
  <c r="AQ334" i="7"/>
  <c r="AP334" i="7"/>
  <c r="AO459" i="7"/>
  <c r="AR333" i="7"/>
  <c r="AQ333" i="7"/>
  <c r="AP333" i="7"/>
  <c r="AO458" i="7"/>
  <c r="AR332" i="7"/>
  <c r="AQ332" i="7"/>
  <c r="AP332" i="7"/>
  <c r="AO457" i="7"/>
  <c r="AR331" i="7"/>
  <c r="AQ331" i="7"/>
  <c r="AP331" i="7"/>
  <c r="AO456" i="7"/>
  <c r="AR330" i="7"/>
  <c r="AQ330" i="7"/>
  <c r="AP330" i="7"/>
  <c r="AO455" i="7"/>
  <c r="AR329" i="7"/>
  <c r="AQ329" i="7"/>
  <c r="AP329" i="7"/>
  <c r="AO454" i="7"/>
  <c r="AR328" i="7"/>
  <c r="AQ328" i="7"/>
  <c r="AP328" i="7"/>
  <c r="AO453" i="7"/>
  <c r="AR327" i="7"/>
  <c r="AQ327" i="7"/>
  <c r="AP327" i="7"/>
  <c r="AO452" i="7"/>
  <c r="AR326" i="7"/>
  <c r="AQ326" i="7"/>
  <c r="AP326" i="7"/>
  <c r="AO451" i="7"/>
  <c r="AR325" i="7"/>
  <c r="AQ325" i="7"/>
  <c r="AP325" i="7"/>
  <c r="AO450" i="7"/>
  <c r="AR324" i="7"/>
  <c r="AQ324" i="7"/>
  <c r="AP324" i="7"/>
  <c r="AO449" i="7"/>
  <c r="AR323" i="7"/>
  <c r="AQ323" i="7"/>
  <c r="AP323" i="7"/>
  <c r="AO448" i="7"/>
  <c r="AR322" i="7"/>
  <c r="AQ322" i="7"/>
  <c r="AP322" i="7"/>
  <c r="AO447" i="7"/>
  <c r="AR321" i="7"/>
  <c r="AQ321" i="7"/>
  <c r="AP321" i="7"/>
  <c r="AO446" i="7"/>
  <c r="AR320" i="7"/>
  <c r="AQ320" i="7"/>
  <c r="AP320" i="7"/>
  <c r="AO445" i="7"/>
  <c r="AR319" i="7"/>
  <c r="AQ319" i="7"/>
  <c r="AP319" i="7"/>
  <c r="AO444" i="7"/>
  <c r="AR318" i="7"/>
  <c r="AQ318" i="7"/>
  <c r="AP318" i="7"/>
  <c r="AO443" i="7"/>
  <c r="AR317" i="7"/>
  <c r="AQ317" i="7"/>
  <c r="AP317" i="7"/>
  <c r="AO442" i="7"/>
  <c r="AR316" i="7"/>
  <c r="AQ316" i="7"/>
  <c r="AP316" i="7"/>
  <c r="AO441" i="7"/>
  <c r="AR315" i="7"/>
  <c r="AQ315" i="7"/>
  <c r="AP315" i="7"/>
  <c r="AO440" i="7"/>
  <c r="AR314" i="7"/>
  <c r="AQ314" i="7"/>
  <c r="AP314" i="7"/>
  <c r="AO439" i="7"/>
  <c r="AR313" i="7"/>
  <c r="AQ313" i="7"/>
  <c r="AP313" i="7"/>
  <c r="AO438" i="7"/>
  <c r="AR312" i="7"/>
  <c r="AQ312" i="7"/>
  <c r="AP312" i="7"/>
  <c r="AO437" i="7"/>
  <c r="AR311" i="7"/>
  <c r="AQ311" i="7"/>
  <c r="AP311" i="7"/>
  <c r="AO436" i="7"/>
  <c r="AR310" i="7"/>
  <c r="AQ310" i="7"/>
  <c r="AP310" i="7"/>
  <c r="AO435" i="7"/>
  <c r="AR309" i="7"/>
  <c r="AQ309" i="7"/>
  <c r="AP309" i="7"/>
  <c r="AO434" i="7"/>
  <c r="AR308" i="7"/>
  <c r="AQ308" i="7"/>
  <c r="AP308" i="7"/>
  <c r="AO433" i="7"/>
  <c r="AR307" i="7"/>
  <c r="AQ307" i="7"/>
  <c r="AP307" i="7"/>
  <c r="AO432" i="7"/>
  <c r="AR306" i="7"/>
  <c r="AQ306" i="7"/>
  <c r="AP306" i="7"/>
  <c r="AO431" i="7"/>
  <c r="AR305" i="7"/>
  <c r="AQ305" i="7"/>
  <c r="AP305" i="7"/>
  <c r="AO430" i="7"/>
  <c r="AR304" i="7"/>
  <c r="AQ304" i="7"/>
  <c r="AP304" i="7"/>
  <c r="AO429" i="7"/>
  <c r="AR303" i="7"/>
  <c r="AQ303" i="7"/>
  <c r="AP303" i="7"/>
  <c r="AO428" i="7"/>
  <c r="AR302" i="7"/>
  <c r="AQ302" i="7"/>
  <c r="AP302" i="7"/>
  <c r="AO427" i="7"/>
  <c r="AR301" i="7"/>
  <c r="AQ301" i="7"/>
  <c r="AP301" i="7"/>
  <c r="AO426" i="7"/>
  <c r="AR300" i="7"/>
  <c r="AQ300" i="7"/>
  <c r="AP300" i="7"/>
  <c r="AO425" i="7"/>
  <c r="AR299" i="7"/>
  <c r="AQ299" i="7"/>
  <c r="AP299" i="7"/>
  <c r="AO424" i="7"/>
  <c r="AR298" i="7"/>
  <c r="AQ298" i="7"/>
  <c r="AP298" i="7"/>
  <c r="AO423" i="7"/>
  <c r="AR297" i="7"/>
  <c r="AQ297" i="7"/>
  <c r="AP297" i="7"/>
  <c r="AO422" i="7"/>
  <c r="AR296" i="7"/>
  <c r="AQ296" i="7"/>
  <c r="AP296" i="7"/>
  <c r="AO421" i="7"/>
  <c r="AR295" i="7"/>
  <c r="AQ295" i="7"/>
  <c r="AP295" i="7"/>
  <c r="AO420" i="7"/>
  <c r="AR294" i="7"/>
  <c r="AQ294" i="7"/>
  <c r="AP294" i="7"/>
  <c r="AO419" i="7"/>
  <c r="AR293" i="7"/>
  <c r="AQ293" i="7"/>
  <c r="AP293" i="7"/>
  <c r="AO418" i="7"/>
  <c r="AR292" i="7"/>
  <c r="AQ292" i="7"/>
  <c r="AP292" i="7"/>
  <c r="AO417" i="7"/>
  <c r="AR291" i="7"/>
  <c r="AQ291" i="7"/>
  <c r="AP291" i="7"/>
  <c r="AO416" i="7"/>
  <c r="AR290" i="7"/>
  <c r="AQ290" i="7"/>
  <c r="AP290" i="7"/>
  <c r="AO415" i="7"/>
  <c r="AR289" i="7"/>
  <c r="AQ289" i="7"/>
  <c r="AP289" i="7"/>
  <c r="AO414" i="7"/>
  <c r="AR288" i="7"/>
  <c r="AQ288" i="7"/>
  <c r="AP288" i="7"/>
  <c r="AO413" i="7"/>
  <c r="AR287" i="7"/>
  <c r="AQ287" i="7"/>
  <c r="AP287" i="7"/>
  <c r="AO412" i="7"/>
  <c r="AR286" i="7"/>
  <c r="AQ286" i="7"/>
  <c r="AP286" i="7"/>
  <c r="AO411" i="7"/>
  <c r="AR285" i="7"/>
  <c r="AQ285" i="7"/>
  <c r="AP285" i="7"/>
  <c r="AO410" i="7"/>
  <c r="AR284" i="7"/>
  <c r="AQ284" i="7"/>
  <c r="AP284" i="7"/>
  <c r="AO409" i="7"/>
  <c r="AR283" i="7"/>
  <c r="AQ283" i="7"/>
  <c r="AP283" i="7"/>
  <c r="AO408" i="7"/>
  <c r="AR282" i="7"/>
  <c r="AQ282" i="7"/>
  <c r="AP282" i="7"/>
  <c r="AO407" i="7"/>
  <c r="AR281" i="7"/>
  <c r="AQ281" i="7"/>
  <c r="AP281" i="7"/>
  <c r="AO406" i="7"/>
  <c r="AR280" i="7"/>
  <c r="AQ280" i="7"/>
  <c r="AP280" i="7"/>
  <c r="AO405" i="7"/>
  <c r="AR279" i="7"/>
  <c r="AQ279" i="7"/>
  <c r="AP279" i="7"/>
  <c r="AO404" i="7"/>
  <c r="AR278" i="7"/>
  <c r="AQ278" i="7"/>
  <c r="AP278" i="7"/>
  <c r="AO403" i="7"/>
  <c r="AR277" i="7"/>
  <c r="AQ277" i="7"/>
  <c r="AP277" i="7"/>
  <c r="AO402" i="7"/>
  <c r="AR276" i="7"/>
  <c r="AQ276" i="7"/>
  <c r="AP276" i="7"/>
  <c r="AO401" i="7"/>
  <c r="AR275" i="7"/>
  <c r="AQ275" i="7"/>
  <c r="AP275" i="7"/>
  <c r="AO400" i="7"/>
  <c r="AR274" i="7"/>
  <c r="AQ274" i="7"/>
  <c r="AP274" i="7"/>
  <c r="AO399" i="7"/>
  <c r="AR273" i="7"/>
  <c r="AQ273" i="7"/>
  <c r="AP273" i="7"/>
  <c r="AO398" i="7"/>
  <c r="AR272" i="7"/>
  <c r="AQ272" i="7"/>
  <c r="AP272" i="7"/>
  <c r="AO397" i="7"/>
  <c r="AR271" i="7"/>
  <c r="AQ271" i="7"/>
  <c r="AP271" i="7"/>
  <c r="AO396" i="7"/>
  <c r="AR270" i="7"/>
  <c r="AQ270" i="7"/>
  <c r="AP270" i="7"/>
  <c r="AO395" i="7"/>
  <c r="AR269" i="7"/>
  <c r="AQ269" i="7"/>
  <c r="AP269" i="7"/>
  <c r="AO394" i="7"/>
  <c r="AR268" i="7"/>
  <c r="AQ268" i="7"/>
  <c r="AP268" i="7"/>
  <c r="AO393" i="7"/>
  <c r="AR267" i="7"/>
  <c r="AQ267" i="7"/>
  <c r="AP267" i="7"/>
  <c r="AO392" i="7"/>
  <c r="AR266" i="7"/>
  <c r="AQ266" i="7"/>
  <c r="AP266" i="7"/>
  <c r="AO391" i="7"/>
  <c r="AR265" i="7"/>
  <c r="AQ265" i="7"/>
  <c r="AP265" i="7"/>
  <c r="AO390" i="7"/>
  <c r="AR264" i="7"/>
  <c r="AQ264" i="7"/>
  <c r="AP264" i="7"/>
  <c r="AO389" i="7"/>
  <c r="AR263" i="7"/>
  <c r="AQ263" i="7"/>
  <c r="AP263" i="7"/>
  <c r="AO388" i="7"/>
  <c r="AR262" i="7"/>
  <c r="AQ262" i="7"/>
  <c r="AP262" i="7"/>
  <c r="AO387" i="7"/>
  <c r="AR261" i="7"/>
  <c r="AQ261" i="7"/>
  <c r="AP261" i="7"/>
  <c r="AO386" i="7"/>
  <c r="AR260" i="7"/>
  <c r="AQ260" i="7"/>
  <c r="AP260" i="7"/>
  <c r="AO385" i="7"/>
  <c r="AR259" i="7"/>
  <c r="AQ259" i="7"/>
  <c r="AP259" i="7"/>
  <c r="AO384" i="7"/>
  <c r="AR258" i="7"/>
  <c r="AQ258" i="7"/>
  <c r="AP258" i="7"/>
  <c r="AO383" i="7"/>
  <c r="AR257" i="7"/>
  <c r="AQ257" i="7"/>
  <c r="AP257" i="7"/>
  <c r="AO382" i="7"/>
  <c r="AR256" i="7"/>
  <c r="AQ256" i="7"/>
  <c r="AP256" i="7"/>
  <c r="AO381" i="7"/>
  <c r="AR255" i="7"/>
  <c r="AQ255" i="7"/>
  <c r="AP255" i="7"/>
  <c r="AO380" i="7"/>
  <c r="AR254" i="7"/>
  <c r="AQ254" i="7"/>
  <c r="AP254" i="7"/>
  <c r="AO379" i="7"/>
  <c r="AR253" i="7"/>
  <c r="AQ253" i="7"/>
  <c r="AP253" i="7"/>
  <c r="AO378" i="7"/>
  <c r="AR252" i="7"/>
  <c r="AQ252" i="7"/>
  <c r="AP252" i="7"/>
  <c r="AO377" i="7"/>
  <c r="AR251" i="7"/>
  <c r="AQ251" i="7"/>
  <c r="AP251" i="7"/>
  <c r="AO376" i="7"/>
  <c r="AR250" i="7"/>
  <c r="AQ250" i="7"/>
  <c r="AP250" i="7"/>
  <c r="AO375" i="7"/>
  <c r="AR249" i="7"/>
  <c r="AQ249" i="7"/>
  <c r="AP249" i="7"/>
  <c r="AO374" i="7"/>
  <c r="AR248" i="7"/>
  <c r="AQ248" i="7"/>
  <c r="AP248" i="7"/>
  <c r="AO373" i="7"/>
  <c r="AR247" i="7"/>
  <c r="AQ247" i="7"/>
  <c r="AP247" i="7"/>
  <c r="AO372" i="7"/>
  <c r="AR246" i="7"/>
  <c r="AQ246" i="7"/>
  <c r="AP246" i="7"/>
  <c r="AO371" i="7"/>
  <c r="AR245" i="7"/>
  <c r="AQ245" i="7"/>
  <c r="AP245" i="7"/>
  <c r="AO370" i="7"/>
  <c r="AR244" i="7"/>
  <c r="AQ244" i="7"/>
  <c r="AP244" i="7"/>
  <c r="AO369" i="7"/>
  <c r="AR243" i="7"/>
  <c r="AQ243" i="7"/>
  <c r="AP243" i="7"/>
  <c r="AO368" i="7"/>
  <c r="AR242" i="7"/>
  <c r="AQ242" i="7"/>
  <c r="AP242" i="7"/>
  <c r="AO367" i="7"/>
  <c r="AR241" i="7"/>
  <c r="AQ241" i="7"/>
  <c r="AP241" i="7"/>
  <c r="AO366" i="7"/>
  <c r="AR240" i="7"/>
  <c r="AQ240" i="7"/>
  <c r="AP240" i="7"/>
  <c r="AO365" i="7"/>
  <c r="AR239" i="7"/>
  <c r="AQ239" i="7"/>
  <c r="AP239" i="7"/>
  <c r="AO364" i="7"/>
  <c r="AR238" i="7"/>
  <c r="AQ238" i="7"/>
  <c r="AP238" i="7"/>
  <c r="AO363" i="7"/>
  <c r="AR237" i="7"/>
  <c r="AQ237" i="7"/>
  <c r="AP237" i="7"/>
  <c r="AO362" i="7"/>
  <c r="AR236" i="7"/>
  <c r="AQ236" i="7"/>
  <c r="AP236" i="7"/>
  <c r="AO361" i="7"/>
  <c r="AR235" i="7"/>
  <c r="AQ235" i="7"/>
  <c r="AP235" i="7"/>
  <c r="AO360" i="7"/>
  <c r="AR234" i="7"/>
  <c r="AQ234" i="7"/>
  <c r="AP234" i="7"/>
  <c r="AO359" i="7"/>
  <c r="AR233" i="7"/>
  <c r="AQ233" i="7"/>
  <c r="AP233" i="7"/>
  <c r="AO358" i="7"/>
  <c r="AR232" i="7"/>
  <c r="AQ232" i="7"/>
  <c r="AP232" i="7"/>
  <c r="AO357" i="7"/>
  <c r="AR231" i="7"/>
  <c r="AQ231" i="7"/>
  <c r="AP231" i="7"/>
  <c r="AO356" i="7"/>
  <c r="AR230" i="7"/>
  <c r="AQ230" i="7"/>
  <c r="AP230" i="7"/>
  <c r="AO355" i="7"/>
  <c r="AR229" i="7"/>
  <c r="AQ229" i="7"/>
  <c r="AP229" i="7"/>
  <c r="AO354" i="7"/>
  <c r="AR228" i="7"/>
  <c r="AQ228" i="7"/>
  <c r="AP228" i="7"/>
  <c r="AO353" i="7"/>
  <c r="AR227" i="7"/>
  <c r="AQ227" i="7"/>
  <c r="AP227" i="7"/>
  <c r="AO352" i="7"/>
  <c r="AR226" i="7"/>
  <c r="AQ226" i="7"/>
  <c r="AP226" i="7"/>
  <c r="AO351" i="7"/>
  <c r="AR225" i="7"/>
  <c r="AQ225" i="7"/>
  <c r="AP225" i="7"/>
  <c r="AO350" i="7"/>
  <c r="AR224" i="7"/>
  <c r="AQ224" i="7"/>
  <c r="AP224" i="7"/>
  <c r="AO349" i="7"/>
  <c r="AR223" i="7"/>
  <c r="AQ223" i="7"/>
  <c r="AP223" i="7"/>
  <c r="AO348" i="7"/>
  <c r="AR222" i="7"/>
  <c r="AQ222" i="7"/>
  <c r="AP222" i="7"/>
  <c r="AO347" i="7"/>
  <c r="AR221" i="7"/>
  <c r="AQ221" i="7"/>
  <c r="AP221" i="7"/>
  <c r="AO346" i="7"/>
  <c r="AR220" i="7"/>
  <c r="AQ220" i="7"/>
  <c r="AP220" i="7"/>
  <c r="AO345" i="7"/>
  <c r="AR219" i="7"/>
  <c r="AQ219" i="7"/>
  <c r="AP219" i="7"/>
  <c r="AO344" i="7"/>
  <c r="AR218" i="7"/>
  <c r="AQ218" i="7"/>
  <c r="AP218" i="7"/>
  <c r="AO343" i="7"/>
  <c r="AR217" i="7"/>
  <c r="AQ217" i="7"/>
  <c r="AP217" i="7"/>
  <c r="AO342" i="7"/>
  <c r="AR216" i="7"/>
  <c r="AQ216" i="7"/>
  <c r="AP216" i="7"/>
  <c r="AO341" i="7"/>
  <c r="AR215" i="7"/>
  <c r="AQ215" i="7"/>
  <c r="AP215" i="7"/>
  <c r="AO340" i="7"/>
  <c r="AR214" i="7"/>
  <c r="AQ214" i="7"/>
  <c r="AP214" i="7"/>
  <c r="AO339" i="7"/>
  <c r="AR213" i="7"/>
  <c r="AQ213" i="7"/>
  <c r="AP213" i="7"/>
  <c r="AO338" i="7"/>
  <c r="AR212" i="7"/>
  <c r="AQ212" i="7"/>
  <c r="AP212" i="7"/>
  <c r="AO337" i="7"/>
  <c r="AR211" i="7"/>
  <c r="AQ211" i="7"/>
  <c r="AP211" i="7"/>
  <c r="AO336" i="7"/>
  <c r="AR210" i="7"/>
  <c r="AQ210" i="7"/>
  <c r="AP210" i="7"/>
  <c r="AO335" i="7"/>
  <c r="AR209" i="7"/>
  <c r="AQ209" i="7"/>
  <c r="AP209" i="7"/>
  <c r="AO334" i="7"/>
  <c r="AR208" i="7"/>
  <c r="AQ208" i="7"/>
  <c r="AP208" i="7"/>
  <c r="AO333" i="7"/>
  <c r="AR207" i="7"/>
  <c r="AQ207" i="7"/>
  <c r="AP207" i="7"/>
  <c r="AO332" i="7"/>
  <c r="AR206" i="7"/>
  <c r="AQ206" i="7"/>
  <c r="AP206" i="7"/>
  <c r="AO331" i="7"/>
  <c r="AR205" i="7"/>
  <c r="AQ205" i="7"/>
  <c r="AP205" i="7"/>
  <c r="AO330" i="7"/>
  <c r="AR204" i="7"/>
  <c r="AQ204" i="7"/>
  <c r="AP204" i="7"/>
  <c r="AO329" i="7"/>
  <c r="AR203" i="7"/>
  <c r="AQ203" i="7"/>
  <c r="AP203" i="7"/>
  <c r="AO328" i="7"/>
  <c r="AR202" i="7"/>
  <c r="AQ202" i="7"/>
  <c r="AP202" i="7"/>
  <c r="AO327" i="7"/>
  <c r="AR201" i="7"/>
  <c r="AQ201" i="7"/>
  <c r="AP201" i="7"/>
  <c r="AO326" i="7"/>
  <c r="AR200" i="7"/>
  <c r="AQ200" i="7"/>
  <c r="AP200" i="7"/>
  <c r="AO325" i="7"/>
  <c r="AR199" i="7"/>
  <c r="AQ199" i="7"/>
  <c r="AP199" i="7"/>
  <c r="AO324" i="7"/>
  <c r="AR198" i="7"/>
  <c r="AQ198" i="7"/>
  <c r="AP198" i="7"/>
  <c r="AO323" i="7"/>
  <c r="AR197" i="7"/>
  <c r="AQ197" i="7"/>
  <c r="AP197" i="7"/>
  <c r="AO322" i="7"/>
  <c r="AR196" i="7"/>
  <c r="AQ196" i="7"/>
  <c r="AP196" i="7"/>
  <c r="AO321" i="7"/>
  <c r="AR195" i="7"/>
  <c r="AQ195" i="7"/>
  <c r="AP195" i="7"/>
  <c r="AO320" i="7"/>
  <c r="AR194" i="7"/>
  <c r="AQ194" i="7"/>
  <c r="AP194" i="7"/>
  <c r="AO319" i="7"/>
  <c r="AR193" i="7"/>
  <c r="AQ193" i="7"/>
  <c r="AP193" i="7"/>
  <c r="AO318" i="7"/>
  <c r="AR192" i="7"/>
  <c r="AQ192" i="7"/>
  <c r="AP192" i="7"/>
  <c r="AO317" i="7"/>
  <c r="AR191" i="7"/>
  <c r="AQ191" i="7"/>
  <c r="AP191" i="7"/>
  <c r="AO316" i="7"/>
  <c r="AR190" i="7"/>
  <c r="AQ190" i="7"/>
  <c r="AP190" i="7"/>
  <c r="AO315" i="7"/>
  <c r="AR189" i="7"/>
  <c r="AQ189" i="7"/>
  <c r="AP189" i="7"/>
  <c r="AO314" i="7"/>
  <c r="AR188" i="7"/>
  <c r="AQ188" i="7"/>
  <c r="AP188" i="7"/>
  <c r="AO313" i="7"/>
  <c r="AR187" i="7"/>
  <c r="AQ187" i="7"/>
  <c r="AP187" i="7"/>
  <c r="AO312" i="7"/>
  <c r="AR186" i="7"/>
  <c r="AQ186" i="7"/>
  <c r="AP186" i="7"/>
  <c r="AO311" i="7"/>
  <c r="AR185" i="7"/>
  <c r="AQ185" i="7"/>
  <c r="AP185" i="7"/>
  <c r="AO310" i="7"/>
  <c r="AR184" i="7"/>
  <c r="AQ184" i="7"/>
  <c r="AP184" i="7"/>
  <c r="AO309" i="7"/>
  <c r="AR183" i="7"/>
  <c r="AQ183" i="7"/>
  <c r="AP183" i="7"/>
  <c r="AO308" i="7"/>
  <c r="AR182" i="7"/>
  <c r="AQ182" i="7"/>
  <c r="AP182" i="7"/>
  <c r="AO307" i="7"/>
  <c r="AR181" i="7"/>
  <c r="AQ181" i="7"/>
  <c r="AP181" i="7"/>
  <c r="AO306" i="7"/>
  <c r="AR180" i="7"/>
  <c r="AQ180" i="7"/>
  <c r="AP180" i="7"/>
  <c r="AO305" i="7"/>
  <c r="AR179" i="7"/>
  <c r="AQ179" i="7"/>
  <c r="AP179" i="7"/>
  <c r="AO304" i="7"/>
  <c r="AR178" i="7"/>
  <c r="AQ178" i="7"/>
  <c r="AP178" i="7"/>
  <c r="AO303" i="7"/>
  <c r="AR177" i="7"/>
  <c r="AQ177" i="7"/>
  <c r="AP177" i="7"/>
  <c r="AO302" i="7"/>
  <c r="AR176" i="7"/>
  <c r="AQ176" i="7"/>
  <c r="AP176" i="7"/>
  <c r="AO301" i="7"/>
  <c r="AR175" i="7"/>
  <c r="AQ175" i="7"/>
  <c r="AP175" i="7"/>
  <c r="AO300" i="7"/>
  <c r="AR174" i="7"/>
  <c r="AQ174" i="7"/>
  <c r="AP174" i="7"/>
  <c r="AO299" i="7"/>
  <c r="AR173" i="7"/>
  <c r="AQ173" i="7"/>
  <c r="AP173" i="7"/>
  <c r="AO298" i="7"/>
  <c r="AR172" i="7"/>
  <c r="AQ172" i="7"/>
  <c r="AP172" i="7"/>
  <c r="AO297" i="7"/>
  <c r="AR171" i="7"/>
  <c r="AQ171" i="7"/>
  <c r="AP171" i="7"/>
  <c r="AO296" i="7"/>
  <c r="AR170" i="7"/>
  <c r="AQ170" i="7"/>
  <c r="AP170" i="7"/>
  <c r="AO295" i="7"/>
  <c r="AR169" i="7"/>
  <c r="AQ169" i="7"/>
  <c r="AP169" i="7"/>
  <c r="AO294" i="7"/>
  <c r="AR168" i="7"/>
  <c r="AQ168" i="7"/>
  <c r="AP168" i="7"/>
  <c r="AO293" i="7"/>
  <c r="AR167" i="7"/>
  <c r="AQ167" i="7"/>
  <c r="AP167" i="7"/>
  <c r="AO292" i="7"/>
  <c r="AR166" i="7"/>
  <c r="AQ166" i="7"/>
  <c r="AP166" i="7"/>
  <c r="AO291" i="7"/>
  <c r="AR165" i="7"/>
  <c r="AQ165" i="7"/>
  <c r="AP165" i="7"/>
  <c r="AO290" i="7"/>
  <c r="AR164" i="7"/>
  <c r="AQ164" i="7"/>
  <c r="AP164" i="7"/>
  <c r="AO289" i="7"/>
  <c r="AR163" i="7"/>
  <c r="AQ163" i="7"/>
  <c r="AP163" i="7"/>
  <c r="AO1002" i="7"/>
  <c r="AO288" i="7"/>
  <c r="AR162" i="7"/>
  <c r="AQ162" i="7"/>
  <c r="AP162" i="7"/>
  <c r="AO1001" i="7"/>
  <c r="AO287" i="7"/>
  <c r="AR161" i="7"/>
  <c r="AQ161" i="7"/>
  <c r="AP161" i="7"/>
  <c r="AO1000" i="7"/>
  <c r="AO286" i="7"/>
  <c r="AR160" i="7"/>
  <c r="AQ160" i="7"/>
  <c r="AP160" i="7"/>
  <c r="AO999" i="7"/>
  <c r="AO285" i="7"/>
  <c r="AR159" i="7"/>
  <c r="AQ159" i="7"/>
  <c r="AP159" i="7"/>
  <c r="AO998" i="7"/>
  <c r="AO284" i="7"/>
  <c r="AR158" i="7"/>
  <c r="AQ158" i="7"/>
  <c r="AP158" i="7"/>
  <c r="AO997" i="7"/>
  <c r="AO283" i="7"/>
  <c r="AR157" i="7"/>
  <c r="AQ157" i="7"/>
  <c r="AP157" i="7"/>
  <c r="AO996" i="7"/>
  <c r="AO282" i="7"/>
  <c r="AR156" i="7"/>
  <c r="AQ156" i="7"/>
  <c r="AP156" i="7"/>
  <c r="AO995" i="7"/>
  <c r="AO281" i="7"/>
  <c r="AR155" i="7"/>
  <c r="AQ155" i="7"/>
  <c r="AP155" i="7"/>
  <c r="AO994" i="7"/>
  <c r="AO280" i="7"/>
  <c r="AR154" i="7"/>
  <c r="AQ154" i="7"/>
  <c r="AP154" i="7"/>
  <c r="AO993" i="7"/>
  <c r="AO279" i="7"/>
  <c r="AR153" i="7"/>
  <c r="AQ153" i="7"/>
  <c r="AP153" i="7"/>
  <c r="AO992" i="7"/>
  <c r="AO278" i="7"/>
  <c r="AR152" i="7"/>
  <c r="AQ152" i="7"/>
  <c r="AP152" i="7"/>
  <c r="AO991" i="7"/>
  <c r="AO277" i="7"/>
  <c r="AR151" i="7"/>
  <c r="AQ151" i="7"/>
  <c r="AP151" i="7"/>
  <c r="AO990" i="7"/>
  <c r="AO276" i="7"/>
  <c r="AR150" i="7"/>
  <c r="AQ150" i="7"/>
  <c r="AP150" i="7"/>
  <c r="AO989" i="7"/>
  <c r="AO275" i="7"/>
  <c r="AR149" i="7"/>
  <c r="AQ149" i="7"/>
  <c r="AP149" i="7"/>
  <c r="AO988" i="7"/>
  <c r="AO274" i="7"/>
  <c r="AR148" i="7"/>
  <c r="AQ148" i="7"/>
  <c r="AP148" i="7"/>
  <c r="AO987" i="7"/>
  <c r="AO273" i="7"/>
  <c r="AR147" i="7"/>
  <c r="AQ147" i="7"/>
  <c r="AP147" i="7"/>
  <c r="AO986" i="7"/>
  <c r="AO272" i="7"/>
  <c r="AR146" i="7"/>
  <c r="AQ146" i="7"/>
  <c r="AP146" i="7"/>
  <c r="AO985" i="7"/>
  <c r="AO271" i="7"/>
  <c r="AR145" i="7"/>
  <c r="AQ145" i="7"/>
  <c r="AP145" i="7"/>
  <c r="AO984" i="7"/>
  <c r="AO270" i="7"/>
  <c r="AR144" i="7"/>
  <c r="AQ144" i="7"/>
  <c r="AP144" i="7"/>
  <c r="AO983" i="7"/>
  <c r="AO269" i="7"/>
  <c r="AR143" i="7"/>
  <c r="AQ143" i="7"/>
  <c r="AP143" i="7"/>
  <c r="AO982" i="7"/>
  <c r="AO268" i="7"/>
  <c r="AR142" i="7"/>
  <c r="AQ142" i="7"/>
  <c r="AP142" i="7"/>
  <c r="AO981" i="7"/>
  <c r="AO267" i="7"/>
  <c r="AR141" i="7"/>
  <c r="AQ141" i="7"/>
  <c r="AP141" i="7"/>
  <c r="AO980" i="7"/>
  <c r="AO266" i="7"/>
  <c r="AR140" i="7"/>
  <c r="AQ140" i="7"/>
  <c r="AP140" i="7"/>
  <c r="AO979" i="7"/>
  <c r="AO265" i="7"/>
  <c r="AR139" i="7"/>
  <c r="AQ139" i="7"/>
  <c r="AP139" i="7"/>
  <c r="AO978" i="7"/>
  <c r="AO264" i="7"/>
  <c r="AR138" i="7"/>
  <c r="AQ138" i="7"/>
  <c r="AP138" i="7"/>
  <c r="AO977" i="7"/>
  <c r="AO263" i="7"/>
  <c r="AR137" i="7"/>
  <c r="AQ137" i="7"/>
  <c r="AP137" i="7"/>
  <c r="AO976" i="7"/>
  <c r="AO262" i="7"/>
  <c r="AR136" i="7"/>
  <c r="AQ136" i="7"/>
  <c r="AP136" i="7"/>
  <c r="AO975" i="7"/>
  <c r="AO261" i="7"/>
  <c r="AR135" i="7"/>
  <c r="AQ135" i="7"/>
  <c r="AP135" i="7"/>
  <c r="AO974" i="7"/>
  <c r="AO260" i="7"/>
  <c r="AR134" i="7"/>
  <c r="AQ134" i="7"/>
  <c r="AP134" i="7"/>
  <c r="AO973" i="7"/>
  <c r="AO259" i="7"/>
  <c r="AR133" i="7"/>
  <c r="AQ133" i="7"/>
  <c r="AP133" i="7"/>
  <c r="AO972" i="7"/>
  <c r="AO258" i="7"/>
  <c r="AR132" i="7"/>
  <c r="AQ132" i="7"/>
  <c r="AP132" i="7"/>
  <c r="AO971" i="7"/>
  <c r="AO257" i="7"/>
  <c r="AR131" i="7"/>
  <c r="AQ131" i="7"/>
  <c r="AP131" i="7"/>
  <c r="AO970" i="7"/>
  <c r="AO256" i="7"/>
  <c r="AR130" i="7"/>
  <c r="AQ130" i="7"/>
  <c r="AP130" i="7"/>
  <c r="AO969" i="7"/>
  <c r="AO255" i="7"/>
  <c r="AR129" i="7"/>
  <c r="AQ129" i="7"/>
  <c r="AP129" i="7"/>
  <c r="AO968" i="7"/>
  <c r="AO254" i="7"/>
  <c r="AR128" i="7"/>
  <c r="AQ128" i="7"/>
  <c r="AP128" i="7"/>
  <c r="AO967" i="7"/>
  <c r="AO253" i="7"/>
  <c r="AR127" i="7"/>
  <c r="AQ127" i="7"/>
  <c r="AP127" i="7"/>
  <c r="AO966" i="7"/>
  <c r="AO252" i="7"/>
  <c r="AR126" i="7"/>
  <c r="AQ126" i="7"/>
  <c r="AP126" i="7"/>
  <c r="AO965" i="7"/>
  <c r="AO251" i="7"/>
  <c r="AR125" i="7"/>
  <c r="AQ125" i="7"/>
  <c r="AP125" i="7"/>
  <c r="AO964" i="7"/>
  <c r="AO250" i="7"/>
  <c r="AR124" i="7"/>
  <c r="AQ124" i="7"/>
  <c r="AP124" i="7"/>
  <c r="AO963" i="7"/>
  <c r="AO249" i="7"/>
  <c r="AR123" i="7"/>
  <c r="AQ123" i="7"/>
  <c r="AP123" i="7"/>
  <c r="AO962" i="7"/>
  <c r="AO248" i="7"/>
  <c r="AR122" i="7"/>
  <c r="AQ122" i="7"/>
  <c r="AP122" i="7"/>
  <c r="AO961" i="7"/>
  <c r="AO247" i="7"/>
  <c r="AR121" i="7"/>
  <c r="AQ121" i="7"/>
  <c r="AP121" i="7"/>
  <c r="AO960" i="7"/>
  <c r="AO246" i="7"/>
  <c r="AR120" i="7"/>
  <c r="AQ120" i="7"/>
  <c r="AP120" i="7"/>
  <c r="AO959" i="7"/>
  <c r="AO245" i="7"/>
  <c r="AR119" i="7"/>
  <c r="AQ119" i="7"/>
  <c r="AP119" i="7"/>
  <c r="AO958" i="7"/>
  <c r="AO244" i="7"/>
  <c r="AR118" i="7"/>
  <c r="AQ118" i="7"/>
  <c r="AP118" i="7"/>
  <c r="AO957" i="7"/>
  <c r="AO243" i="7"/>
  <c r="AR117" i="7"/>
  <c r="AQ117" i="7"/>
  <c r="AP117" i="7"/>
  <c r="AO956" i="7"/>
  <c r="AO242" i="7"/>
  <c r="AR116" i="7"/>
  <c r="AQ116" i="7"/>
  <c r="AP116" i="7"/>
  <c r="AO955" i="7"/>
  <c r="AO241" i="7"/>
  <c r="AR115" i="7"/>
  <c r="AQ115" i="7"/>
  <c r="AP115" i="7"/>
  <c r="AO954" i="7"/>
  <c r="AO240" i="7"/>
  <c r="AR114" i="7"/>
  <c r="AQ114" i="7"/>
  <c r="AP114" i="7"/>
  <c r="AO953" i="7"/>
  <c r="AO239" i="7"/>
  <c r="AR113" i="7"/>
  <c r="AQ113" i="7"/>
  <c r="AP113" i="7"/>
  <c r="AO952" i="7"/>
  <c r="AO238" i="7"/>
  <c r="AR112" i="7"/>
  <c r="AQ112" i="7"/>
  <c r="AP112" i="7"/>
  <c r="AO951" i="7"/>
  <c r="AO237" i="7"/>
  <c r="AR111" i="7"/>
  <c r="AQ111" i="7"/>
  <c r="AP111" i="7"/>
  <c r="AO950" i="7"/>
  <c r="AO236" i="7"/>
  <c r="AR110" i="7"/>
  <c r="AQ110" i="7"/>
  <c r="AP110" i="7"/>
  <c r="AO949" i="7"/>
  <c r="AO235" i="7"/>
  <c r="AR109" i="7"/>
  <c r="AQ109" i="7"/>
  <c r="AP109" i="7"/>
  <c r="AO948" i="7"/>
  <c r="AO234" i="7"/>
  <c r="AR108" i="7"/>
  <c r="AQ108" i="7"/>
  <c r="AP108" i="7"/>
  <c r="AO947" i="7"/>
  <c r="AO233" i="7"/>
  <c r="AR107" i="7"/>
  <c r="AQ107" i="7"/>
  <c r="AP107" i="7"/>
  <c r="AO946" i="7"/>
  <c r="AO232" i="7"/>
  <c r="AR106" i="7"/>
  <c r="AQ106" i="7"/>
  <c r="AP106" i="7"/>
  <c r="AO945" i="7"/>
  <c r="AO231" i="7"/>
  <c r="AR105" i="7"/>
  <c r="AQ105" i="7"/>
  <c r="AP105" i="7"/>
  <c r="AO944" i="7"/>
  <c r="AO230" i="7"/>
  <c r="AR104" i="7"/>
  <c r="AQ104" i="7"/>
  <c r="AP104" i="7"/>
  <c r="AO943" i="7"/>
  <c r="AO229" i="7"/>
  <c r="AR103" i="7"/>
  <c r="AQ103" i="7"/>
  <c r="AP103" i="7"/>
  <c r="AO942" i="7"/>
  <c r="AO228" i="7"/>
  <c r="AR102" i="7"/>
  <c r="AQ102" i="7"/>
  <c r="AP102" i="7"/>
  <c r="AO941" i="7"/>
  <c r="AO227" i="7"/>
  <c r="AR101" i="7"/>
  <c r="AQ101" i="7"/>
  <c r="AP101" i="7"/>
  <c r="AO940" i="7"/>
  <c r="AO226" i="7"/>
  <c r="AR100" i="7"/>
  <c r="AQ100" i="7"/>
  <c r="AP100" i="7"/>
  <c r="AO939" i="7"/>
  <c r="AO225" i="7"/>
  <c r="AR99" i="7"/>
  <c r="AQ99" i="7"/>
  <c r="AP99" i="7"/>
  <c r="AO938" i="7"/>
  <c r="AO224" i="7"/>
  <c r="AR98" i="7"/>
  <c r="AQ98" i="7"/>
  <c r="AP98" i="7"/>
  <c r="AO937" i="7"/>
  <c r="AO223" i="7"/>
  <c r="AR97" i="7"/>
  <c r="AQ97" i="7"/>
  <c r="AP97" i="7"/>
  <c r="AO936" i="7"/>
  <c r="AO222" i="7"/>
  <c r="AR96" i="7"/>
  <c r="AQ96" i="7"/>
  <c r="AP96" i="7"/>
  <c r="AO935" i="7"/>
  <c r="AO221" i="7"/>
  <c r="AR95" i="7"/>
  <c r="AQ95" i="7"/>
  <c r="AP95" i="7"/>
  <c r="AO934" i="7"/>
  <c r="AO220" i="7"/>
  <c r="AR94" i="7"/>
  <c r="AQ94" i="7"/>
  <c r="AP94" i="7"/>
  <c r="AO933" i="7"/>
  <c r="AO219" i="7"/>
  <c r="AR93" i="7"/>
  <c r="AQ93" i="7"/>
  <c r="AP93" i="7"/>
  <c r="AO932" i="7"/>
  <c r="AO218" i="7"/>
  <c r="AR92" i="7"/>
  <c r="AQ92" i="7"/>
  <c r="AP92" i="7"/>
  <c r="AO931" i="7"/>
  <c r="AO217" i="7"/>
  <c r="AR91" i="7"/>
  <c r="AQ91" i="7"/>
  <c r="AP91" i="7"/>
  <c r="AO930" i="7"/>
  <c r="AO216" i="7"/>
  <c r="AR90" i="7"/>
  <c r="AQ90" i="7"/>
  <c r="AP90" i="7"/>
  <c r="AO929" i="7"/>
  <c r="AO215" i="7"/>
  <c r="AR89" i="7"/>
  <c r="AQ89" i="7"/>
  <c r="AP89" i="7"/>
  <c r="AO928" i="7"/>
  <c r="AO214" i="7"/>
  <c r="AR88" i="7"/>
  <c r="AQ88" i="7"/>
  <c r="AP88" i="7"/>
  <c r="AO927" i="7"/>
  <c r="AO213" i="7"/>
  <c r="AR87" i="7"/>
  <c r="AQ87" i="7"/>
  <c r="AP87" i="7"/>
  <c r="AO926" i="7"/>
  <c r="AO212" i="7"/>
  <c r="AR86" i="7"/>
  <c r="AQ86" i="7"/>
  <c r="AP86" i="7"/>
  <c r="AO925" i="7"/>
  <c r="AO211" i="7"/>
  <c r="AR85" i="7"/>
  <c r="AQ85" i="7"/>
  <c r="AP85" i="7"/>
  <c r="AO924" i="7"/>
  <c r="AO210" i="7"/>
  <c r="AR84" i="7"/>
  <c r="AQ84" i="7"/>
  <c r="AP84" i="7"/>
  <c r="AO923" i="7"/>
  <c r="AO209" i="7"/>
  <c r="AR83" i="7"/>
  <c r="AQ83" i="7"/>
  <c r="AP83" i="7"/>
  <c r="AO922" i="7"/>
  <c r="AO208" i="7"/>
  <c r="AR82" i="7"/>
  <c r="AQ82" i="7"/>
  <c r="AP82" i="7"/>
  <c r="AO921" i="7"/>
  <c r="AO207" i="7"/>
  <c r="AR81" i="7"/>
  <c r="AQ81" i="7"/>
  <c r="AP81" i="7"/>
  <c r="AO920" i="7"/>
  <c r="AO206" i="7"/>
  <c r="AR80" i="7"/>
  <c r="AQ80" i="7"/>
  <c r="AP80" i="7"/>
  <c r="AO919" i="7"/>
  <c r="AO205" i="7"/>
  <c r="AO127" i="7"/>
  <c r="AR79" i="7"/>
  <c r="AQ79" i="7"/>
  <c r="AP79" i="7"/>
  <c r="AO918" i="7"/>
  <c r="AO204" i="7"/>
  <c r="AO126" i="7"/>
  <c r="AR78" i="7"/>
  <c r="AQ78" i="7"/>
  <c r="AP78" i="7"/>
  <c r="AO917" i="7"/>
  <c r="AO203" i="7"/>
  <c r="AO125" i="7"/>
  <c r="AR77" i="7"/>
  <c r="AQ77" i="7"/>
  <c r="AP77" i="7"/>
  <c r="AO916" i="7"/>
  <c r="AO202" i="7"/>
  <c r="AO124" i="7"/>
  <c r="AR76" i="7"/>
  <c r="AQ76" i="7"/>
  <c r="AP76" i="7"/>
  <c r="AO915" i="7"/>
  <c r="AO201" i="7"/>
  <c r="AO123" i="7"/>
  <c r="AR75" i="7"/>
  <c r="AQ75" i="7"/>
  <c r="AP75" i="7"/>
  <c r="AO914" i="7"/>
  <c r="AO200" i="7"/>
  <c r="AO122" i="7"/>
  <c r="AR74" i="7"/>
  <c r="AQ74" i="7"/>
  <c r="AP74" i="7"/>
  <c r="AO913" i="7"/>
  <c r="AO199" i="7"/>
  <c r="AO121" i="7"/>
  <c r="AR73" i="7"/>
  <c r="AQ73" i="7"/>
  <c r="AP73" i="7"/>
  <c r="AO912" i="7"/>
  <c r="AO198" i="7"/>
  <c r="AO120" i="7"/>
  <c r="AR72" i="7"/>
  <c r="AQ72" i="7"/>
  <c r="AP72" i="7"/>
  <c r="AO911" i="7"/>
  <c r="AO197" i="7"/>
  <c r="AO119" i="7"/>
  <c r="AR71" i="7"/>
  <c r="AQ71" i="7"/>
  <c r="AP71" i="7"/>
  <c r="AO910" i="7"/>
  <c r="AO196" i="7"/>
  <c r="AO118" i="7"/>
  <c r="AR70" i="7"/>
  <c r="AQ70" i="7"/>
  <c r="AP70" i="7"/>
  <c r="AO909" i="7"/>
  <c r="AO195" i="7"/>
  <c r="AO117" i="7"/>
  <c r="AR69" i="7"/>
  <c r="AQ69" i="7"/>
  <c r="AP69" i="7"/>
  <c r="AO908" i="7"/>
  <c r="AO194" i="7"/>
  <c r="AO116" i="7"/>
  <c r="AR68" i="7"/>
  <c r="AQ68" i="7"/>
  <c r="AP68" i="7"/>
  <c r="AO907" i="7"/>
  <c r="AO193" i="7"/>
  <c r="AO115" i="7"/>
  <c r="AR67" i="7"/>
  <c r="AQ67" i="7"/>
  <c r="AP67" i="7"/>
  <c r="AO906" i="7"/>
  <c r="AO192" i="7"/>
  <c r="AO114" i="7"/>
  <c r="AR66" i="7"/>
  <c r="AQ66" i="7"/>
  <c r="AP66" i="7"/>
  <c r="AO905" i="7"/>
  <c r="AO191" i="7"/>
  <c r="AO113" i="7"/>
  <c r="AR65" i="7"/>
  <c r="AQ65" i="7"/>
  <c r="AP65" i="7"/>
  <c r="AO904" i="7"/>
  <c r="AO190" i="7"/>
  <c r="AO112" i="7"/>
  <c r="AR64" i="7"/>
  <c r="AQ64" i="7"/>
  <c r="AP64" i="7"/>
  <c r="AO903" i="7"/>
  <c r="AO189" i="7"/>
  <c r="AO111" i="7"/>
  <c r="AR63" i="7"/>
  <c r="AQ63" i="7"/>
  <c r="AP63" i="7"/>
  <c r="AO902" i="7"/>
  <c r="AO188" i="7"/>
  <c r="AO110" i="7"/>
  <c r="AR62" i="7"/>
  <c r="AQ62" i="7"/>
  <c r="AP62" i="7"/>
  <c r="AO901" i="7"/>
  <c r="AO187" i="7"/>
  <c r="AO109" i="7"/>
  <c r="AR61" i="7"/>
  <c r="AQ61" i="7"/>
  <c r="AP61" i="7"/>
  <c r="AO900" i="7"/>
  <c r="AO186" i="7"/>
  <c r="AO108" i="7"/>
  <c r="AR60" i="7"/>
  <c r="AQ60" i="7"/>
  <c r="AP60" i="7"/>
  <c r="AO899" i="7"/>
  <c r="AO185" i="7"/>
  <c r="AO107" i="7"/>
  <c r="AR59" i="7"/>
  <c r="AQ59" i="7"/>
  <c r="AP59" i="7"/>
  <c r="AO898" i="7"/>
  <c r="AO184" i="7"/>
  <c r="AO106" i="7"/>
  <c r="AR58" i="7"/>
  <c r="AQ58" i="7"/>
  <c r="AP58" i="7"/>
  <c r="AO897" i="7"/>
  <c r="AO183" i="7"/>
  <c r="AO105" i="7"/>
  <c r="AR57" i="7"/>
  <c r="AQ57" i="7"/>
  <c r="AP57" i="7"/>
  <c r="AO896" i="7"/>
  <c r="AO182" i="7"/>
  <c r="AO104" i="7"/>
  <c r="AR56" i="7"/>
  <c r="AQ56" i="7"/>
  <c r="AP56" i="7"/>
  <c r="AO895" i="7"/>
  <c r="AO181" i="7"/>
  <c r="AO103" i="7"/>
  <c r="AR55" i="7"/>
  <c r="AQ55" i="7"/>
  <c r="AP55" i="7"/>
  <c r="AO894" i="7"/>
  <c r="AO180" i="7"/>
  <c r="AO102" i="7"/>
  <c r="AR54" i="7"/>
  <c r="AQ54" i="7"/>
  <c r="AP54" i="7"/>
  <c r="AO893" i="7"/>
  <c r="AO179" i="7"/>
  <c r="AO101" i="7"/>
  <c r="AR53" i="7"/>
  <c r="AQ53" i="7"/>
  <c r="AP53" i="7"/>
  <c r="AO892" i="7"/>
  <c r="AO178" i="7"/>
  <c r="AO100" i="7"/>
  <c r="AR52" i="7"/>
  <c r="AQ52" i="7"/>
  <c r="AP52" i="7"/>
  <c r="AO891" i="7"/>
  <c r="AO177" i="7"/>
  <c r="AO99" i="7"/>
  <c r="AR51" i="7"/>
  <c r="AQ51" i="7"/>
  <c r="AP51" i="7"/>
  <c r="AO890" i="7"/>
  <c r="AO176" i="7"/>
  <c r="AO98" i="7"/>
  <c r="AR50" i="7"/>
  <c r="AQ50" i="7"/>
  <c r="AP50" i="7"/>
  <c r="AO889" i="7"/>
  <c r="AO175" i="7"/>
  <c r="AO97" i="7"/>
  <c r="AR49" i="7"/>
  <c r="AQ49" i="7"/>
  <c r="AP49" i="7"/>
  <c r="AO888" i="7"/>
  <c r="AO174" i="7"/>
  <c r="AO96" i="7"/>
  <c r="AO49" i="7"/>
  <c r="AR48" i="7"/>
  <c r="AQ48" i="7"/>
  <c r="AP48" i="7"/>
  <c r="AO887" i="7"/>
  <c r="AO173" i="7"/>
  <c r="AO95" i="7"/>
  <c r="AO48" i="7"/>
  <c r="AR47" i="7"/>
  <c r="AQ47" i="7"/>
  <c r="AP47" i="7"/>
  <c r="AO886" i="7"/>
  <c r="AO172" i="7"/>
  <c r="AO94" i="7"/>
  <c r="AO47" i="7"/>
  <c r="AR46" i="7"/>
  <c r="AQ46" i="7"/>
  <c r="AP46" i="7"/>
  <c r="AO885" i="7"/>
  <c r="AO171" i="7"/>
  <c r="AO93" i="7"/>
  <c r="AO46" i="7"/>
  <c r="AR45" i="7"/>
  <c r="AQ45" i="7"/>
  <c r="AP45" i="7"/>
  <c r="AO884" i="7"/>
  <c r="AO170" i="7"/>
  <c r="AO92" i="7"/>
  <c r="AO45" i="7"/>
  <c r="AR44" i="7"/>
  <c r="AQ44" i="7"/>
  <c r="AP44" i="7"/>
  <c r="AO883" i="7"/>
  <c r="AO169" i="7"/>
  <c r="AO91" i="7"/>
  <c r="AO44" i="7"/>
  <c r="AR43" i="7"/>
  <c r="AQ43" i="7"/>
  <c r="AP43" i="7"/>
  <c r="AO882" i="7"/>
  <c r="AO168" i="7"/>
  <c r="AO90" i="7"/>
  <c r="AO43" i="7"/>
  <c r="AR42" i="7"/>
  <c r="AQ42" i="7"/>
  <c r="AP42" i="7"/>
  <c r="AO881" i="7"/>
  <c r="AO167" i="7"/>
  <c r="AO89" i="7"/>
  <c r="AO42" i="7"/>
  <c r="AR41" i="7"/>
  <c r="AQ41" i="7"/>
  <c r="AP41" i="7"/>
  <c r="AO880" i="7"/>
  <c r="AO166" i="7"/>
  <c r="AO88" i="7"/>
  <c r="AO41" i="7"/>
  <c r="AR40" i="7"/>
  <c r="AQ40" i="7"/>
  <c r="AP40" i="7"/>
  <c r="AO879" i="7"/>
  <c r="AO165" i="7"/>
  <c r="AO87" i="7"/>
  <c r="AO40" i="7"/>
  <c r="AR39" i="7"/>
  <c r="AQ39" i="7"/>
  <c r="AP39" i="7"/>
  <c r="AO878" i="7"/>
  <c r="AO164" i="7"/>
  <c r="AO86" i="7"/>
  <c r="AO39" i="7"/>
  <c r="AR38" i="7"/>
  <c r="AQ38" i="7"/>
  <c r="AP38" i="7"/>
  <c r="AO877" i="7"/>
  <c r="AO163" i="7"/>
  <c r="AO85" i="7"/>
  <c r="AO38" i="7"/>
  <c r="AR37" i="7"/>
  <c r="AQ37" i="7"/>
  <c r="AP37" i="7"/>
  <c r="AO876" i="7"/>
  <c r="AO162" i="7"/>
  <c r="AO84" i="7"/>
  <c r="AO37" i="7"/>
  <c r="AR36" i="7"/>
  <c r="AQ36" i="7"/>
  <c r="AP36" i="7"/>
  <c r="AO875" i="7"/>
  <c r="AO161" i="7"/>
  <c r="AO83" i="7"/>
  <c r="AO36" i="7"/>
  <c r="AR35" i="7"/>
  <c r="AQ35" i="7"/>
  <c r="AP35" i="7"/>
  <c r="AO874" i="7"/>
  <c r="AO160" i="7"/>
  <c r="AO82" i="7"/>
  <c r="AO35" i="7"/>
  <c r="AR34" i="7"/>
  <c r="AQ34" i="7"/>
  <c r="AP34" i="7"/>
  <c r="AO873" i="7"/>
  <c r="AO159" i="7"/>
  <c r="AO81" i="7"/>
  <c r="AO34" i="7"/>
  <c r="AR33" i="7"/>
  <c r="AQ33" i="7"/>
  <c r="AP33" i="7"/>
  <c r="AO872" i="7"/>
  <c r="AO158" i="7"/>
  <c r="AO80" i="7"/>
  <c r="AO33" i="7"/>
  <c r="AR32" i="7"/>
  <c r="AQ32" i="7"/>
  <c r="AP32" i="7"/>
  <c r="AO871" i="7"/>
  <c r="AO157" i="7"/>
  <c r="AO79" i="7"/>
  <c r="AO32" i="7"/>
  <c r="AR31" i="7"/>
  <c r="AQ31" i="7"/>
  <c r="AP31" i="7"/>
  <c r="AO870" i="7"/>
  <c r="AO156" i="7"/>
  <c r="AO78" i="7"/>
  <c r="AO31" i="7"/>
  <c r="AR30" i="7"/>
  <c r="AQ30" i="7"/>
  <c r="AP30" i="7"/>
  <c r="AO869" i="7"/>
  <c r="AO155" i="7"/>
  <c r="AO77" i="7"/>
  <c r="AO30" i="7"/>
  <c r="AR29" i="7"/>
  <c r="AQ29" i="7"/>
  <c r="AP29" i="7"/>
  <c r="AO868" i="7"/>
  <c r="AO154" i="7"/>
  <c r="AO76" i="7"/>
  <c r="AO29" i="7"/>
  <c r="AR28" i="7"/>
  <c r="AQ28" i="7"/>
  <c r="AP28" i="7"/>
  <c r="AO867" i="7"/>
  <c r="AO153" i="7"/>
  <c r="AO75" i="7"/>
  <c r="AO28" i="7"/>
  <c r="AR27" i="7"/>
  <c r="AQ27" i="7"/>
  <c r="AP27" i="7"/>
  <c r="AO866" i="7"/>
  <c r="AO152" i="7"/>
  <c r="AO74" i="7"/>
  <c r="AO27" i="7"/>
  <c r="AR26" i="7"/>
  <c r="AQ26" i="7"/>
  <c r="AP26" i="7"/>
  <c r="AO865" i="7"/>
  <c r="AO151" i="7"/>
  <c r="AO73" i="7"/>
  <c r="AO26" i="7"/>
  <c r="AR25" i="7"/>
  <c r="AQ25" i="7"/>
  <c r="AP25" i="7"/>
  <c r="AO864" i="7"/>
  <c r="AO150" i="7"/>
  <c r="AO72" i="7"/>
  <c r="AO25" i="7"/>
  <c r="AR24" i="7"/>
  <c r="AQ24" i="7"/>
  <c r="AP24" i="7"/>
  <c r="AO863" i="7"/>
  <c r="AO149" i="7"/>
  <c r="AO71" i="7"/>
  <c r="AO24" i="7"/>
  <c r="AR23" i="7"/>
  <c r="AQ23" i="7"/>
  <c r="AP23" i="7"/>
  <c r="AO862" i="7"/>
  <c r="AO148" i="7"/>
  <c r="AO70" i="7"/>
  <c r="AO23" i="7"/>
  <c r="AR22" i="7"/>
  <c r="AQ22" i="7"/>
  <c r="AP22" i="7"/>
  <c r="AO861" i="7"/>
  <c r="AO147" i="7"/>
  <c r="AO69" i="7"/>
  <c r="AO22" i="7"/>
  <c r="AR21" i="7"/>
  <c r="AQ21" i="7"/>
  <c r="AP21" i="7"/>
  <c r="AO860" i="7"/>
  <c r="AO146" i="7"/>
  <c r="AO68" i="7"/>
  <c r="AO21" i="7"/>
  <c r="AR20" i="7"/>
  <c r="AQ20" i="7"/>
  <c r="AP20" i="7"/>
  <c r="AO859" i="7"/>
  <c r="AO145" i="7"/>
  <c r="AO67" i="7"/>
  <c r="AO20" i="7"/>
  <c r="AR19" i="7"/>
  <c r="AQ19" i="7"/>
  <c r="AP19" i="7"/>
  <c r="AO858" i="7"/>
  <c r="AO144" i="7"/>
  <c r="AO66" i="7"/>
  <c r="AO19" i="7"/>
  <c r="AR18" i="7"/>
  <c r="AQ18" i="7"/>
  <c r="AP18" i="7"/>
  <c r="AO857" i="7"/>
  <c r="AO143" i="7"/>
  <c r="AO65" i="7"/>
  <c r="AO18" i="7"/>
  <c r="AR17" i="7"/>
  <c r="AQ17" i="7"/>
  <c r="AP17" i="7"/>
  <c r="AO856" i="7"/>
  <c r="AO142" i="7"/>
  <c r="AO64" i="7"/>
  <c r="AO17" i="7"/>
  <c r="AR16" i="7"/>
  <c r="AQ16" i="7"/>
  <c r="AP16" i="7"/>
  <c r="AO855" i="7"/>
  <c r="AO141" i="7"/>
  <c r="AO63" i="7"/>
  <c r="AO16" i="7"/>
  <c r="AR15" i="7"/>
  <c r="AQ15" i="7"/>
  <c r="AP15" i="7"/>
  <c r="AO854" i="7"/>
  <c r="AO140" i="7"/>
  <c r="AO62" i="7"/>
  <c r="AO15" i="7"/>
  <c r="AR14" i="7"/>
  <c r="AQ14" i="7"/>
  <c r="AP14" i="7"/>
  <c r="AO853" i="7"/>
  <c r="AO139" i="7"/>
  <c r="AO61" i="7"/>
  <c r="AO14" i="7"/>
  <c r="AR13" i="7"/>
  <c r="AQ13" i="7"/>
  <c r="AP13" i="7"/>
  <c r="AO852" i="7"/>
  <c r="AO138" i="7"/>
  <c r="AO60" i="7"/>
  <c r="AO13" i="7"/>
  <c r="AR12" i="7"/>
  <c r="AQ12" i="7"/>
  <c r="AP12" i="7"/>
  <c r="AO851" i="7"/>
  <c r="AO137" i="7"/>
  <c r="AO59" i="7"/>
  <c r="AO12" i="7"/>
  <c r="AR11" i="7"/>
  <c r="AQ11" i="7"/>
  <c r="AP11" i="7"/>
  <c r="AO850" i="7"/>
  <c r="AO136" i="7"/>
  <c r="AO58" i="7"/>
  <c r="AO11" i="7"/>
  <c r="AR10" i="7"/>
  <c r="AQ10" i="7"/>
  <c r="AP10" i="7"/>
  <c r="AO849" i="7"/>
  <c r="AO135" i="7"/>
  <c r="AO57" i="7"/>
  <c r="AO10" i="7"/>
  <c r="AR9" i="7"/>
  <c r="AQ9" i="7"/>
  <c r="AP9" i="7"/>
  <c r="AO848" i="7"/>
  <c r="AO134" i="7"/>
  <c r="AO56" i="7"/>
  <c r="AO9" i="7"/>
  <c r="AR8" i="7"/>
  <c r="AQ8" i="7"/>
  <c r="AP8" i="7"/>
  <c r="AO847" i="7"/>
  <c r="AO133" i="7"/>
  <c r="AO55" i="7"/>
  <c r="AO8" i="7"/>
  <c r="AR7" i="7"/>
  <c r="AQ7" i="7"/>
  <c r="AP7" i="7"/>
  <c r="AO846" i="7"/>
  <c r="AO132" i="7"/>
  <c r="AO54" i="7"/>
  <c r="AO7" i="7"/>
  <c r="AR6" i="7"/>
  <c r="AQ6" i="7"/>
  <c r="AP6" i="7"/>
  <c r="AO845" i="7"/>
  <c r="AO131" i="7"/>
  <c r="AO53" i="7"/>
  <c r="AO6" i="7"/>
  <c r="AR5" i="7"/>
  <c r="AQ5" i="7"/>
  <c r="AP5" i="7"/>
  <c r="AO844" i="7"/>
  <c r="AO130" i="7"/>
  <c r="AO52" i="7"/>
  <c r="AO5" i="7"/>
  <c r="AR4" i="7"/>
  <c r="AQ4" i="7"/>
  <c r="AP4" i="7"/>
  <c r="AO843" i="7"/>
  <c r="AO129" i="7"/>
  <c r="AO51" i="7"/>
  <c r="AO4" i="7"/>
  <c r="AS4" i="7" l="1"/>
  <c r="AT4" i="7" s="1"/>
  <c r="AS5" i="7"/>
  <c r="AT5" i="7" s="1"/>
  <c r="AS6" i="7"/>
  <c r="AT6" i="7" s="1"/>
  <c r="AS7" i="7"/>
  <c r="AT7" i="7" s="1"/>
  <c r="AS8" i="7"/>
  <c r="AT8" i="7" s="1"/>
  <c r="AS9" i="7"/>
  <c r="AT9" i="7" s="1"/>
  <c r="AS10" i="7"/>
  <c r="AT10" i="7" s="1"/>
  <c r="AS11" i="7"/>
  <c r="AT11" i="7" s="1"/>
  <c r="AS12" i="7"/>
  <c r="AT12" i="7" s="1"/>
  <c r="AS13" i="7"/>
  <c r="AT13" i="7" s="1"/>
  <c r="AS14" i="7"/>
  <c r="AT14" i="7" s="1"/>
  <c r="AS15" i="7"/>
  <c r="AT15" i="7" s="1"/>
  <c r="AS16" i="7"/>
  <c r="AT16" i="7" s="1"/>
  <c r="AS17" i="7"/>
  <c r="AT17" i="7" s="1"/>
  <c r="AS18" i="7"/>
  <c r="AT18" i="7" s="1"/>
  <c r="AS19" i="7"/>
  <c r="AT19" i="7" s="1"/>
  <c r="AS20" i="7"/>
  <c r="AT20" i="7" s="1"/>
  <c r="AS21" i="7"/>
  <c r="AT21" i="7" s="1"/>
  <c r="AS22" i="7"/>
  <c r="AT22" i="7" s="1"/>
  <c r="AS23" i="7"/>
  <c r="AT23" i="7" s="1"/>
  <c r="AS24" i="7"/>
  <c r="AT24" i="7" s="1"/>
  <c r="AS25" i="7"/>
  <c r="AT25" i="7" s="1"/>
  <c r="AS26" i="7"/>
  <c r="AT26" i="7" s="1"/>
  <c r="AS27" i="7"/>
  <c r="AT27" i="7" s="1"/>
  <c r="AS28" i="7"/>
  <c r="AT28" i="7" s="1"/>
  <c r="AS29" i="7"/>
  <c r="AT29" i="7" s="1"/>
  <c r="AS30" i="7"/>
  <c r="AT30" i="7" s="1"/>
  <c r="AS31" i="7"/>
  <c r="AT31" i="7" s="1"/>
  <c r="AS32" i="7"/>
  <c r="AT32" i="7" s="1"/>
  <c r="AS33" i="7"/>
  <c r="AT33" i="7" s="1"/>
  <c r="AS34" i="7"/>
  <c r="AT34" i="7" s="1"/>
  <c r="AS35" i="7"/>
  <c r="AT35" i="7" s="1"/>
  <c r="AS36" i="7"/>
  <c r="AT36" i="7" s="1"/>
  <c r="AS37" i="7"/>
  <c r="AT37" i="7" s="1"/>
  <c r="AS38" i="7"/>
  <c r="AT38" i="7" s="1"/>
  <c r="AS39" i="7"/>
  <c r="AT39" i="7" s="1"/>
  <c r="AS40" i="7"/>
  <c r="AT40" i="7" s="1"/>
  <c r="AS41" i="7"/>
  <c r="AT41" i="7" s="1"/>
  <c r="AS42" i="7"/>
  <c r="AT42" i="7" s="1"/>
  <c r="AS43" i="7"/>
  <c r="AT43" i="7" s="1"/>
  <c r="AS44" i="7"/>
  <c r="AT44" i="7" s="1"/>
  <c r="AS45" i="7"/>
  <c r="AT45" i="7" s="1"/>
  <c r="AS46" i="7"/>
  <c r="AT46" i="7" s="1"/>
  <c r="AS47" i="7"/>
  <c r="AT47" i="7" s="1"/>
  <c r="AS48" i="7"/>
  <c r="AT48" i="7" s="1"/>
  <c r="AS49" i="7"/>
  <c r="AT49" i="7" s="1"/>
  <c r="AS50" i="7"/>
  <c r="AT50" i="7" s="1"/>
  <c r="AS51" i="7"/>
  <c r="AT51" i="7" s="1"/>
  <c r="AS52" i="7"/>
  <c r="AT52" i="7" s="1"/>
  <c r="AS53" i="7"/>
  <c r="AT53" i="7" s="1"/>
  <c r="AS54" i="7"/>
  <c r="AT54" i="7" s="1"/>
  <c r="AS55" i="7"/>
  <c r="AT55" i="7" s="1"/>
  <c r="AS56" i="7"/>
  <c r="AT56" i="7" s="1"/>
  <c r="AS57" i="7"/>
  <c r="AT57" i="7" s="1"/>
  <c r="AS58" i="7"/>
  <c r="AT58" i="7" s="1"/>
  <c r="AS59" i="7"/>
  <c r="AT59" i="7" s="1"/>
  <c r="AS60" i="7"/>
  <c r="AT60" i="7" s="1"/>
  <c r="AS61" i="7"/>
  <c r="AT61" i="7" s="1"/>
  <c r="AS62" i="7"/>
  <c r="AT62" i="7" s="1"/>
  <c r="AS63" i="7"/>
  <c r="AT63" i="7" s="1"/>
  <c r="AS64" i="7"/>
  <c r="AT64" i="7" s="1"/>
  <c r="AS65" i="7"/>
  <c r="AT65" i="7" s="1"/>
  <c r="AS66" i="7"/>
  <c r="AT66" i="7" s="1"/>
  <c r="AS67" i="7"/>
  <c r="AT67" i="7" s="1"/>
  <c r="AS68" i="7"/>
  <c r="AT68" i="7" s="1"/>
  <c r="AS69" i="7"/>
  <c r="AT69" i="7" s="1"/>
  <c r="AS70" i="7"/>
  <c r="AT70" i="7" s="1"/>
  <c r="AS71" i="7"/>
  <c r="AT71" i="7" s="1"/>
  <c r="AS72" i="7"/>
  <c r="AT72" i="7" s="1"/>
  <c r="AS73" i="7"/>
  <c r="AT73" i="7" s="1"/>
  <c r="AS74" i="7"/>
  <c r="AT74" i="7" s="1"/>
  <c r="AS75" i="7"/>
  <c r="AT75" i="7" s="1"/>
  <c r="AS76" i="7"/>
  <c r="AT76" i="7" s="1"/>
  <c r="AS77" i="7"/>
  <c r="AT77" i="7" s="1"/>
  <c r="AS78" i="7"/>
  <c r="AT78" i="7" s="1"/>
  <c r="AS79" i="7"/>
  <c r="AT79" i="7" s="1"/>
  <c r="AS80" i="7"/>
  <c r="AT80" i="7" s="1"/>
  <c r="AS81" i="7"/>
  <c r="AT81" i="7" s="1"/>
  <c r="AS82" i="7"/>
  <c r="AT82" i="7" s="1"/>
  <c r="AS83" i="7"/>
  <c r="AT83" i="7" s="1"/>
  <c r="AS84" i="7"/>
  <c r="AT84" i="7" s="1"/>
  <c r="AS85" i="7"/>
  <c r="AT85" i="7" s="1"/>
  <c r="AS86" i="7"/>
  <c r="AT86" i="7" s="1"/>
  <c r="AS87" i="7"/>
  <c r="AT87" i="7" s="1"/>
  <c r="AS88" i="7"/>
  <c r="AT88" i="7" s="1"/>
  <c r="AS89" i="7"/>
  <c r="AT89" i="7" s="1"/>
  <c r="AS90" i="7"/>
  <c r="AT90" i="7" s="1"/>
  <c r="AS91" i="7"/>
  <c r="AT91" i="7" s="1"/>
  <c r="AS92" i="7"/>
  <c r="AT92" i="7" s="1"/>
  <c r="AS93" i="7"/>
  <c r="AT93" i="7" s="1"/>
  <c r="AS94" i="7"/>
  <c r="AT94" i="7" s="1"/>
  <c r="AS95" i="7"/>
  <c r="AT95" i="7" s="1"/>
  <c r="AS96" i="7"/>
  <c r="AT96" i="7" s="1"/>
  <c r="AS97" i="7"/>
  <c r="AT97" i="7" s="1"/>
  <c r="AS98" i="7"/>
  <c r="AT98" i="7" s="1"/>
  <c r="AS99" i="7"/>
  <c r="AT99" i="7" s="1"/>
  <c r="AS100" i="7"/>
  <c r="AT100" i="7" s="1"/>
  <c r="AS101" i="7"/>
  <c r="AT101" i="7" s="1"/>
  <c r="AS102" i="7"/>
  <c r="AT102" i="7" s="1"/>
  <c r="AS103" i="7"/>
  <c r="AT103" i="7" s="1"/>
  <c r="AS104" i="7"/>
  <c r="AT104" i="7" s="1"/>
  <c r="AS105" i="7"/>
  <c r="AT105" i="7" s="1"/>
  <c r="AS106" i="7"/>
  <c r="AT106" i="7" s="1"/>
  <c r="AS107" i="7"/>
  <c r="AT107" i="7" s="1"/>
  <c r="AS108" i="7"/>
  <c r="AT108" i="7" s="1"/>
  <c r="AS109" i="7"/>
  <c r="AT109" i="7" s="1"/>
  <c r="AS110" i="7"/>
  <c r="AT110" i="7" s="1"/>
  <c r="AS111" i="7"/>
  <c r="AT111" i="7" s="1"/>
  <c r="AS112" i="7"/>
  <c r="AT112" i="7" s="1"/>
  <c r="AS113" i="7"/>
  <c r="AT113" i="7" s="1"/>
  <c r="AS114" i="7"/>
  <c r="AT114" i="7" s="1"/>
  <c r="AS115" i="7"/>
  <c r="AT115" i="7" s="1"/>
  <c r="AS116" i="7"/>
  <c r="AT116" i="7" s="1"/>
  <c r="AS117" i="7"/>
  <c r="AT117" i="7" s="1"/>
  <c r="AS118" i="7"/>
  <c r="AT118" i="7" s="1"/>
  <c r="AS119" i="7"/>
  <c r="AT119" i="7" s="1"/>
  <c r="AS120" i="7"/>
  <c r="AT120" i="7" s="1"/>
  <c r="AS121" i="7"/>
  <c r="AT121" i="7" s="1"/>
  <c r="AS122" i="7"/>
  <c r="AT122" i="7" s="1"/>
  <c r="AS123" i="7"/>
  <c r="AT123" i="7" s="1"/>
  <c r="AS124" i="7"/>
  <c r="AT124" i="7" s="1"/>
  <c r="AS125" i="7"/>
  <c r="AT125" i="7" s="1"/>
  <c r="AS126" i="7"/>
  <c r="AT126" i="7" s="1"/>
  <c r="AS127" i="7"/>
  <c r="AT127" i="7" s="1"/>
  <c r="AS128" i="7"/>
  <c r="AT128" i="7" s="1"/>
  <c r="AS129" i="7"/>
  <c r="AT129" i="7" s="1"/>
  <c r="AS130" i="7"/>
  <c r="AT130" i="7" s="1"/>
  <c r="AS131" i="7"/>
  <c r="AT131" i="7" s="1"/>
  <c r="AS132" i="7"/>
  <c r="AT132" i="7" s="1"/>
  <c r="AS133" i="7"/>
  <c r="AT133" i="7" s="1"/>
  <c r="AS134" i="7"/>
  <c r="AT134" i="7" s="1"/>
  <c r="AS135" i="7"/>
  <c r="AT135" i="7" s="1"/>
  <c r="AS136" i="7"/>
  <c r="AT136" i="7" s="1"/>
  <c r="AS137" i="7"/>
  <c r="AT137" i="7" s="1"/>
  <c r="AS138" i="7"/>
  <c r="AT138" i="7" s="1"/>
  <c r="AS139" i="7"/>
  <c r="AT139" i="7" s="1"/>
  <c r="AS140" i="7"/>
  <c r="AT140" i="7" s="1"/>
  <c r="AS141" i="7"/>
  <c r="AT141" i="7" s="1"/>
  <c r="AS142" i="7"/>
  <c r="AT142" i="7" s="1"/>
  <c r="AS143" i="7"/>
  <c r="AT143" i="7" s="1"/>
  <c r="AS144" i="7"/>
  <c r="AT144" i="7" s="1"/>
  <c r="AS145" i="7"/>
  <c r="AT145" i="7" s="1"/>
  <c r="AS146" i="7"/>
  <c r="AT146" i="7" s="1"/>
  <c r="AS147" i="7"/>
  <c r="AT147" i="7" s="1"/>
  <c r="AS148" i="7"/>
  <c r="AT148" i="7" s="1"/>
  <c r="AS149" i="7"/>
  <c r="AT149" i="7" s="1"/>
  <c r="AS150" i="7"/>
  <c r="AT150" i="7" s="1"/>
  <c r="AS151" i="7"/>
  <c r="AT151" i="7" s="1"/>
  <c r="AS152" i="7"/>
  <c r="AT152" i="7" s="1"/>
  <c r="AS153" i="7"/>
  <c r="AT153" i="7" s="1"/>
  <c r="AS154" i="7"/>
  <c r="AT154" i="7" s="1"/>
  <c r="AS155" i="7"/>
  <c r="AT155" i="7" s="1"/>
  <c r="AS156" i="7"/>
  <c r="AT156" i="7" s="1"/>
  <c r="AS157" i="7"/>
  <c r="AT157" i="7" s="1"/>
  <c r="AS158" i="7"/>
  <c r="AT158" i="7" s="1"/>
  <c r="AS159" i="7"/>
  <c r="AT159" i="7" s="1"/>
  <c r="AS160" i="7"/>
  <c r="AT160" i="7" s="1"/>
  <c r="AS161" i="7"/>
  <c r="AT161" i="7" s="1"/>
  <c r="AS162" i="7"/>
  <c r="AT162" i="7" s="1"/>
  <c r="AS163" i="7"/>
  <c r="AT163" i="7" s="1"/>
  <c r="AS164" i="7"/>
  <c r="AT164" i="7" s="1"/>
  <c r="AS165" i="7"/>
  <c r="AT165" i="7" s="1"/>
  <c r="AS166" i="7"/>
  <c r="AT166" i="7" s="1"/>
  <c r="AS167" i="7"/>
  <c r="AT167" i="7" s="1"/>
  <c r="AS168" i="7"/>
  <c r="AT168" i="7" s="1"/>
  <c r="AS169" i="7"/>
  <c r="AT169" i="7" s="1"/>
  <c r="AS170" i="7"/>
  <c r="AT170" i="7" s="1"/>
  <c r="AS171" i="7"/>
  <c r="AT171" i="7" s="1"/>
  <c r="AS172" i="7"/>
  <c r="AT172" i="7" s="1"/>
  <c r="AS173" i="7"/>
  <c r="AT173" i="7" s="1"/>
  <c r="AS174" i="7"/>
  <c r="AT174" i="7" s="1"/>
  <c r="AS175" i="7"/>
  <c r="AT175" i="7" s="1"/>
  <c r="AS176" i="7"/>
  <c r="AT176" i="7" s="1"/>
  <c r="AS177" i="7"/>
  <c r="AT177" i="7" s="1"/>
  <c r="AS178" i="7"/>
  <c r="AT178" i="7" s="1"/>
  <c r="AS179" i="7"/>
  <c r="AT179" i="7" s="1"/>
  <c r="AS180" i="7"/>
  <c r="AT180" i="7" s="1"/>
  <c r="AS181" i="7"/>
  <c r="AT181" i="7" s="1"/>
  <c r="AS182" i="7"/>
  <c r="AT182" i="7" s="1"/>
  <c r="AS183" i="7"/>
  <c r="AT183" i="7" s="1"/>
  <c r="AS184" i="7"/>
  <c r="AT184" i="7" s="1"/>
  <c r="AS185" i="7"/>
  <c r="AT185" i="7" s="1"/>
  <c r="AS186" i="7"/>
  <c r="AT186" i="7" s="1"/>
  <c r="AS187" i="7"/>
  <c r="AT187" i="7" s="1"/>
  <c r="AS188" i="7"/>
  <c r="AT188" i="7" s="1"/>
  <c r="AS189" i="7"/>
  <c r="AT189" i="7" s="1"/>
  <c r="AS190" i="7"/>
  <c r="AT190" i="7" s="1"/>
  <c r="AS191" i="7"/>
  <c r="AT191" i="7" s="1"/>
  <c r="AS192" i="7"/>
  <c r="AT192" i="7" s="1"/>
  <c r="AS193" i="7"/>
  <c r="AT193" i="7" s="1"/>
  <c r="AS194" i="7"/>
  <c r="AT194" i="7" s="1"/>
  <c r="AS195" i="7"/>
  <c r="AT195" i="7" s="1"/>
  <c r="AS196" i="7"/>
  <c r="AT196" i="7" s="1"/>
  <c r="AS197" i="7"/>
  <c r="AT197" i="7" s="1"/>
  <c r="AS198" i="7"/>
  <c r="AT198" i="7" s="1"/>
  <c r="AS199" i="7"/>
  <c r="AT199" i="7" s="1"/>
  <c r="AS200" i="7"/>
  <c r="AT200" i="7" s="1"/>
  <c r="AS201" i="7"/>
  <c r="AT201" i="7" s="1"/>
  <c r="AS202" i="7"/>
  <c r="AT202" i="7" s="1"/>
  <c r="AS203" i="7"/>
  <c r="AT203" i="7" s="1"/>
  <c r="AS204" i="7"/>
  <c r="AT204" i="7" s="1"/>
  <c r="AS205" i="7"/>
  <c r="AT205" i="7" s="1"/>
  <c r="AS206" i="7"/>
  <c r="AT206" i="7" s="1"/>
  <c r="AS207" i="7"/>
  <c r="AT207" i="7" s="1"/>
  <c r="AS208" i="7"/>
  <c r="AT208" i="7" s="1"/>
  <c r="AS209" i="7"/>
  <c r="AT209" i="7" s="1"/>
  <c r="AS210" i="7"/>
  <c r="AT210" i="7" s="1"/>
  <c r="AS211" i="7"/>
  <c r="AT211" i="7" s="1"/>
  <c r="AS212" i="7"/>
  <c r="AT212" i="7" s="1"/>
  <c r="AS213" i="7"/>
  <c r="AT213" i="7" s="1"/>
  <c r="AS214" i="7"/>
  <c r="AT214" i="7" s="1"/>
  <c r="AS215" i="7"/>
  <c r="AT215" i="7" s="1"/>
  <c r="AS216" i="7"/>
  <c r="AT216" i="7" s="1"/>
  <c r="AS217" i="7"/>
  <c r="AT217" i="7" s="1"/>
  <c r="AS218" i="7"/>
  <c r="AT218" i="7" s="1"/>
  <c r="AS219" i="7"/>
  <c r="AT219" i="7" s="1"/>
  <c r="AS220" i="7"/>
  <c r="AT220" i="7" s="1"/>
  <c r="AS221" i="7"/>
  <c r="AT221" i="7" s="1"/>
  <c r="AS222" i="7"/>
  <c r="AT222" i="7" s="1"/>
  <c r="AS223" i="7"/>
  <c r="AT223" i="7" s="1"/>
  <c r="AS224" i="7"/>
  <c r="AT224" i="7" s="1"/>
  <c r="AS225" i="7"/>
  <c r="AT225" i="7" s="1"/>
  <c r="AS226" i="7"/>
  <c r="AT226" i="7" s="1"/>
  <c r="AS227" i="7"/>
  <c r="AT227" i="7" s="1"/>
  <c r="AS228" i="7"/>
  <c r="AT228" i="7" s="1"/>
  <c r="AS229" i="7"/>
  <c r="AT229" i="7" s="1"/>
  <c r="AS230" i="7"/>
  <c r="AT230" i="7" s="1"/>
  <c r="AS231" i="7"/>
  <c r="AT231" i="7" s="1"/>
  <c r="AS232" i="7"/>
  <c r="AT232" i="7" s="1"/>
  <c r="AS233" i="7"/>
  <c r="AT233" i="7" s="1"/>
  <c r="AS234" i="7"/>
  <c r="AT234" i="7" s="1"/>
  <c r="AS235" i="7"/>
  <c r="AT235" i="7" s="1"/>
  <c r="AS236" i="7"/>
  <c r="AT236" i="7" s="1"/>
  <c r="AS237" i="7"/>
  <c r="AT237" i="7" s="1"/>
  <c r="AS238" i="7"/>
  <c r="AT238" i="7" s="1"/>
  <c r="AS239" i="7"/>
  <c r="AT239" i="7" s="1"/>
  <c r="AS240" i="7"/>
  <c r="AT240" i="7" s="1"/>
  <c r="AS241" i="7"/>
  <c r="AT241" i="7" s="1"/>
  <c r="AS242" i="7"/>
  <c r="AT242" i="7" s="1"/>
  <c r="AS243" i="7"/>
  <c r="AT243" i="7" s="1"/>
  <c r="AS244" i="7"/>
  <c r="AT244" i="7" s="1"/>
  <c r="AS245" i="7"/>
  <c r="AT245" i="7" s="1"/>
  <c r="AS246" i="7"/>
  <c r="AT246" i="7" s="1"/>
  <c r="AS247" i="7"/>
  <c r="AT247" i="7" s="1"/>
  <c r="AS248" i="7"/>
  <c r="AT248" i="7" s="1"/>
  <c r="AS249" i="7"/>
  <c r="AT249" i="7" s="1"/>
  <c r="AS250" i="7"/>
  <c r="AT250" i="7" s="1"/>
  <c r="AS251" i="7"/>
  <c r="AT251" i="7" s="1"/>
  <c r="AS252" i="7"/>
  <c r="AT252" i="7" s="1"/>
  <c r="AS253" i="7"/>
  <c r="AT253" i="7" s="1"/>
  <c r="AS254" i="7"/>
  <c r="AT254" i="7" s="1"/>
  <c r="AS255" i="7"/>
  <c r="AT255" i="7" s="1"/>
  <c r="AS256" i="7"/>
  <c r="AT256" i="7" s="1"/>
  <c r="AS257" i="7"/>
  <c r="AT257" i="7" s="1"/>
  <c r="AS258" i="7"/>
  <c r="AT258" i="7" s="1"/>
  <c r="AS259" i="7"/>
  <c r="AT259" i="7" s="1"/>
  <c r="AS260" i="7"/>
  <c r="AT260" i="7" s="1"/>
  <c r="AS261" i="7"/>
  <c r="AT261" i="7" s="1"/>
  <c r="AS262" i="7"/>
  <c r="AT262" i="7" s="1"/>
  <c r="AS263" i="7"/>
  <c r="AT263" i="7" s="1"/>
  <c r="AS264" i="7"/>
  <c r="AT264" i="7" s="1"/>
  <c r="AS265" i="7"/>
  <c r="AT265" i="7" s="1"/>
  <c r="AS266" i="7"/>
  <c r="AT266" i="7" s="1"/>
  <c r="AS267" i="7"/>
  <c r="AT267" i="7" s="1"/>
  <c r="AS268" i="7"/>
  <c r="AT268" i="7" s="1"/>
  <c r="AS269" i="7"/>
  <c r="AT269" i="7" s="1"/>
  <c r="AS270" i="7"/>
  <c r="AT270" i="7" s="1"/>
  <c r="AS271" i="7"/>
  <c r="AT271" i="7" s="1"/>
  <c r="AS272" i="7"/>
  <c r="AT272" i="7" s="1"/>
  <c r="AS273" i="7"/>
  <c r="AT273" i="7" s="1"/>
  <c r="AS274" i="7"/>
  <c r="AT274" i="7" s="1"/>
  <c r="AS275" i="7"/>
  <c r="AT275" i="7" s="1"/>
  <c r="AS276" i="7"/>
  <c r="AT276" i="7" s="1"/>
  <c r="AS277" i="7"/>
  <c r="AT277" i="7" s="1"/>
  <c r="AS278" i="7"/>
  <c r="AT278" i="7" s="1"/>
  <c r="AS279" i="7"/>
  <c r="AT279" i="7" s="1"/>
  <c r="AS280" i="7"/>
  <c r="AT280" i="7" s="1"/>
  <c r="AS281" i="7"/>
  <c r="AT281" i="7" s="1"/>
  <c r="AS282" i="7"/>
  <c r="AT282" i="7" s="1"/>
  <c r="AS283" i="7"/>
  <c r="AT283" i="7" s="1"/>
  <c r="AS284" i="7"/>
  <c r="AT284" i="7" s="1"/>
  <c r="AS285" i="7"/>
  <c r="AT285" i="7" s="1"/>
  <c r="AS286" i="7"/>
  <c r="AT286" i="7" s="1"/>
  <c r="AS287" i="7"/>
  <c r="AT287" i="7" s="1"/>
  <c r="AS288" i="7"/>
  <c r="AT288" i="7" s="1"/>
  <c r="AS289" i="7"/>
  <c r="AT289" i="7" s="1"/>
  <c r="AS290" i="7"/>
  <c r="AT290" i="7" s="1"/>
  <c r="AS291" i="7"/>
  <c r="AT291" i="7" s="1"/>
  <c r="AS292" i="7"/>
  <c r="AT292" i="7" s="1"/>
  <c r="AS293" i="7"/>
  <c r="AT293" i="7" s="1"/>
  <c r="AS294" i="7"/>
  <c r="AT294" i="7" s="1"/>
  <c r="AS295" i="7"/>
  <c r="AT295" i="7" s="1"/>
  <c r="AS296" i="7"/>
  <c r="AT296" i="7" s="1"/>
  <c r="AS297" i="7"/>
  <c r="AT297" i="7" s="1"/>
  <c r="AS298" i="7"/>
  <c r="AT298" i="7" s="1"/>
  <c r="AS299" i="7"/>
  <c r="AT299" i="7" s="1"/>
  <c r="AS300" i="7"/>
  <c r="AT300" i="7" s="1"/>
  <c r="AS301" i="7"/>
  <c r="AT301" i="7" s="1"/>
  <c r="AS302" i="7"/>
  <c r="AT302" i="7" s="1"/>
  <c r="AS303" i="7"/>
  <c r="AT303" i="7" s="1"/>
  <c r="AS304" i="7"/>
  <c r="AT304" i="7" s="1"/>
  <c r="AS305" i="7"/>
  <c r="AT305" i="7" s="1"/>
  <c r="AS306" i="7"/>
  <c r="AT306" i="7" s="1"/>
  <c r="AS307" i="7"/>
  <c r="AT307" i="7" s="1"/>
  <c r="AS308" i="7"/>
  <c r="AT308" i="7" s="1"/>
  <c r="AS309" i="7"/>
  <c r="AT309" i="7" s="1"/>
  <c r="AS310" i="7"/>
  <c r="AT310" i="7" s="1"/>
  <c r="AS311" i="7"/>
  <c r="AT311" i="7" s="1"/>
  <c r="AS312" i="7"/>
  <c r="AT312" i="7" s="1"/>
  <c r="AS313" i="7"/>
  <c r="AT313" i="7" s="1"/>
  <c r="AS314" i="7"/>
  <c r="AT314" i="7" s="1"/>
  <c r="AS315" i="7"/>
  <c r="AT315" i="7" s="1"/>
  <c r="AS316" i="7"/>
  <c r="AT316" i="7" s="1"/>
  <c r="AS317" i="7"/>
  <c r="AT317" i="7" s="1"/>
  <c r="AS318" i="7"/>
  <c r="AT318" i="7" s="1"/>
  <c r="AS319" i="7"/>
  <c r="AT319" i="7" s="1"/>
  <c r="AS320" i="7"/>
  <c r="AT320" i="7" s="1"/>
  <c r="AS321" i="7"/>
  <c r="AT321" i="7" s="1"/>
  <c r="AS322" i="7"/>
  <c r="AT322" i="7" s="1"/>
  <c r="AS323" i="7"/>
  <c r="AT323" i="7" s="1"/>
  <c r="AS324" i="7"/>
  <c r="AT324" i="7" s="1"/>
  <c r="AS325" i="7"/>
  <c r="AT325" i="7" s="1"/>
  <c r="AS326" i="7"/>
  <c r="AT326" i="7" s="1"/>
  <c r="AS327" i="7"/>
  <c r="AT327" i="7" s="1"/>
  <c r="AS328" i="7"/>
  <c r="AT328" i="7" s="1"/>
  <c r="AS329" i="7"/>
  <c r="AT329" i="7" s="1"/>
  <c r="AS330" i="7"/>
  <c r="AT330" i="7" s="1"/>
  <c r="AS331" i="7"/>
  <c r="AT331" i="7" s="1"/>
  <c r="AS332" i="7"/>
  <c r="AT332" i="7" s="1"/>
  <c r="AS333" i="7"/>
  <c r="AT333" i="7" s="1"/>
  <c r="AS334" i="7"/>
  <c r="AT334" i="7" s="1"/>
  <c r="AS335" i="7"/>
  <c r="AT335" i="7" s="1"/>
  <c r="AS336" i="7"/>
  <c r="AT336" i="7" s="1"/>
  <c r="AS337" i="7"/>
  <c r="AT337" i="7" s="1"/>
  <c r="AS338" i="7"/>
  <c r="AT338" i="7" s="1"/>
  <c r="AS339" i="7"/>
  <c r="AT339" i="7" s="1"/>
  <c r="AS340" i="7"/>
  <c r="AT340" i="7" s="1"/>
  <c r="AS341" i="7"/>
  <c r="AT341" i="7" s="1"/>
  <c r="AS342" i="7"/>
  <c r="AT342" i="7" s="1"/>
  <c r="AS343" i="7"/>
  <c r="AT343" i="7" s="1"/>
  <c r="AS344" i="7"/>
  <c r="AT344" i="7" s="1"/>
  <c r="AS345" i="7"/>
  <c r="AT345" i="7" s="1"/>
  <c r="AS346" i="7"/>
  <c r="AT346" i="7" s="1"/>
  <c r="AS347" i="7"/>
  <c r="AT347" i="7" s="1"/>
  <c r="AS348" i="7"/>
  <c r="AT348" i="7" s="1"/>
  <c r="AS349" i="7"/>
  <c r="AT349" i="7" s="1"/>
  <c r="AS350" i="7"/>
  <c r="AT350" i="7" s="1"/>
  <c r="AS351" i="7"/>
  <c r="AT351" i="7" s="1"/>
  <c r="AS352" i="7"/>
  <c r="AT352" i="7" s="1"/>
  <c r="AS353" i="7"/>
  <c r="AT353" i="7" s="1"/>
  <c r="AS354" i="7"/>
  <c r="AT354" i="7" s="1"/>
  <c r="AS355" i="7"/>
  <c r="AT355" i="7" s="1"/>
  <c r="AS356" i="7"/>
  <c r="AT356" i="7" s="1"/>
  <c r="AS357" i="7"/>
  <c r="AT357" i="7" s="1"/>
  <c r="AS358" i="7"/>
  <c r="AT358" i="7" s="1"/>
  <c r="AS359" i="7"/>
  <c r="AT359" i="7" s="1"/>
  <c r="AS360" i="7"/>
  <c r="AT360" i="7" s="1"/>
  <c r="AS361" i="7"/>
  <c r="AT361" i="7" s="1"/>
  <c r="AS362" i="7"/>
  <c r="AT362" i="7" s="1"/>
  <c r="AS363" i="7"/>
  <c r="AT363" i="7" s="1"/>
  <c r="AS364" i="7"/>
  <c r="AT364" i="7" s="1"/>
  <c r="AS365" i="7"/>
  <c r="AT365" i="7" s="1"/>
  <c r="AS366" i="7"/>
  <c r="AT366" i="7" s="1"/>
  <c r="AS367" i="7"/>
  <c r="AT367" i="7" s="1"/>
  <c r="AS368" i="7"/>
  <c r="AT368" i="7" s="1"/>
  <c r="AS369" i="7"/>
  <c r="AT369" i="7" s="1"/>
  <c r="AS370" i="7"/>
  <c r="AT370" i="7" s="1"/>
  <c r="AS371" i="7"/>
  <c r="AT371" i="7" s="1"/>
  <c r="AS372" i="7"/>
  <c r="AT372" i="7" s="1"/>
  <c r="AS373" i="7"/>
  <c r="AT373" i="7" s="1"/>
  <c r="AS374" i="7"/>
  <c r="AT374" i="7" s="1"/>
  <c r="AS375" i="7"/>
  <c r="AT375" i="7" s="1"/>
  <c r="AS376" i="7"/>
  <c r="AT376" i="7" s="1"/>
  <c r="AS377" i="7"/>
  <c r="AT377" i="7" s="1"/>
  <c r="AS378" i="7"/>
  <c r="AT378" i="7" s="1"/>
  <c r="AS379" i="7"/>
  <c r="AT379" i="7" s="1"/>
  <c r="AS380" i="7"/>
  <c r="AT380" i="7" s="1"/>
  <c r="AS381" i="7"/>
  <c r="AT381" i="7" s="1"/>
  <c r="AS382" i="7"/>
  <c r="AT382" i="7" s="1"/>
  <c r="AS383" i="7"/>
  <c r="AT383" i="7" s="1"/>
  <c r="AS384" i="7"/>
  <c r="AT384" i="7" s="1"/>
  <c r="AS385" i="7"/>
  <c r="AT385" i="7" s="1"/>
  <c r="AS386" i="7"/>
  <c r="AT386" i="7" s="1"/>
  <c r="AS387" i="7"/>
  <c r="AT387" i="7" s="1"/>
  <c r="AS388" i="7"/>
  <c r="AT388" i="7" s="1"/>
  <c r="AS389" i="7"/>
  <c r="AT389" i="7" s="1"/>
  <c r="AS390" i="7"/>
  <c r="AT390" i="7" s="1"/>
  <c r="AS391" i="7"/>
  <c r="AT391" i="7" s="1"/>
  <c r="AS392" i="7"/>
  <c r="AT392" i="7" s="1"/>
  <c r="AS393" i="7"/>
  <c r="AT393" i="7" s="1"/>
  <c r="AS394" i="7"/>
  <c r="AT394" i="7" s="1"/>
  <c r="AS395" i="7"/>
  <c r="AT395" i="7" s="1"/>
  <c r="AS396" i="7"/>
  <c r="AT396" i="7" s="1"/>
  <c r="AS397" i="7"/>
  <c r="AT397" i="7" s="1"/>
  <c r="AS398" i="7"/>
  <c r="AT398" i="7" s="1"/>
  <c r="AS399" i="7"/>
  <c r="AT399" i="7" s="1"/>
  <c r="AS400" i="7"/>
  <c r="AT400" i="7" s="1"/>
  <c r="AS401" i="7"/>
  <c r="AT401" i="7" s="1"/>
  <c r="AS402" i="7"/>
  <c r="AT402" i="7" s="1"/>
  <c r="AS403" i="7"/>
  <c r="AT403" i="7" s="1"/>
  <c r="AS404" i="7"/>
  <c r="AT404" i="7" s="1"/>
  <c r="AS405" i="7"/>
  <c r="AT405" i="7" s="1"/>
  <c r="AS406" i="7"/>
  <c r="AT406" i="7" s="1"/>
  <c r="AS407" i="7"/>
  <c r="AT407" i="7" s="1"/>
  <c r="AS408" i="7"/>
  <c r="AT408" i="7" s="1"/>
  <c r="AS409" i="7"/>
  <c r="AT409" i="7" s="1"/>
  <c r="AS410" i="7"/>
  <c r="AT410" i="7" s="1"/>
  <c r="AS411" i="7"/>
  <c r="AT411" i="7" s="1"/>
  <c r="AS412" i="7"/>
  <c r="AT412" i="7" s="1"/>
  <c r="AS413" i="7"/>
  <c r="AT413" i="7" s="1"/>
  <c r="AS414" i="7"/>
  <c r="AT414" i="7" s="1"/>
  <c r="AS415" i="7"/>
  <c r="AT415" i="7" s="1"/>
  <c r="AS416" i="7"/>
  <c r="AT416" i="7" s="1"/>
  <c r="AS417" i="7"/>
  <c r="AT417" i="7" s="1"/>
  <c r="AS418" i="7"/>
  <c r="AT418" i="7" s="1"/>
  <c r="AS419" i="7"/>
  <c r="AT419" i="7" s="1"/>
  <c r="AS420" i="7"/>
  <c r="AT420" i="7" s="1"/>
  <c r="AS421" i="7"/>
  <c r="AT421" i="7" s="1"/>
  <c r="AS422" i="7"/>
  <c r="AT422" i="7" s="1"/>
  <c r="AS423" i="7"/>
  <c r="AT423" i="7" s="1"/>
  <c r="AS424" i="7"/>
  <c r="AT424" i="7" s="1"/>
  <c r="AS425" i="7"/>
  <c r="AT425" i="7" s="1"/>
  <c r="AS426" i="7"/>
  <c r="AT426" i="7" s="1"/>
  <c r="AS427" i="7"/>
  <c r="AT427" i="7" s="1"/>
  <c r="AS428" i="7"/>
  <c r="AT428" i="7" s="1"/>
  <c r="AS429" i="7"/>
  <c r="AT429" i="7" s="1"/>
  <c r="AS430" i="7"/>
  <c r="AT430" i="7" s="1"/>
  <c r="AS431" i="7"/>
  <c r="AT431" i="7" s="1"/>
  <c r="AS432" i="7"/>
  <c r="AT432" i="7" s="1"/>
  <c r="AS433" i="7"/>
  <c r="AT433" i="7" s="1"/>
  <c r="AS434" i="7"/>
  <c r="AT434" i="7" s="1"/>
  <c r="AS435" i="7"/>
  <c r="AT435" i="7" s="1"/>
  <c r="AS436" i="7"/>
  <c r="AT436" i="7" s="1"/>
  <c r="AS437" i="7"/>
  <c r="AT437" i="7" s="1"/>
  <c r="AS438" i="7"/>
  <c r="AT438" i="7" s="1"/>
  <c r="AS439" i="7"/>
  <c r="AT439" i="7" s="1"/>
  <c r="AS440" i="7"/>
  <c r="AT440" i="7" s="1"/>
  <c r="AS441" i="7"/>
  <c r="AT441" i="7" s="1"/>
  <c r="AS442" i="7"/>
  <c r="AT442" i="7" s="1"/>
  <c r="AS443" i="7"/>
  <c r="AT443" i="7" s="1"/>
  <c r="AS444" i="7"/>
  <c r="AT444" i="7" s="1"/>
  <c r="AS445" i="7"/>
  <c r="AT445" i="7" s="1"/>
  <c r="AS446" i="7"/>
  <c r="AT446" i="7" s="1"/>
  <c r="AS447" i="7"/>
  <c r="AT447" i="7" s="1"/>
  <c r="AS448" i="7"/>
  <c r="AT448" i="7" s="1"/>
  <c r="AS449" i="7"/>
  <c r="AT449" i="7" s="1"/>
  <c r="AS450" i="7"/>
  <c r="AT450" i="7" s="1"/>
  <c r="AS451" i="7"/>
  <c r="AT451" i="7" s="1"/>
  <c r="AS452" i="7"/>
  <c r="AT452" i="7" s="1"/>
  <c r="AS453" i="7"/>
  <c r="AT453" i="7" s="1"/>
  <c r="AS454" i="7"/>
  <c r="AT454" i="7" s="1"/>
  <c r="AS455" i="7"/>
  <c r="AT455" i="7" s="1"/>
  <c r="AS456" i="7"/>
  <c r="AT456" i="7" s="1"/>
  <c r="AS457" i="7"/>
  <c r="AT457" i="7" s="1"/>
  <c r="AS458" i="7"/>
  <c r="AT458" i="7" s="1"/>
  <c r="AS459" i="7"/>
  <c r="AT459" i="7" s="1"/>
  <c r="AS460" i="7"/>
  <c r="AT460" i="7" s="1"/>
  <c r="AS461" i="7"/>
  <c r="AT461" i="7" s="1"/>
  <c r="AS462" i="7"/>
  <c r="AT462" i="7" s="1"/>
  <c r="AS463" i="7"/>
  <c r="AT463" i="7" s="1"/>
  <c r="AS464" i="7"/>
  <c r="AT464" i="7" s="1"/>
  <c r="AS465" i="7"/>
  <c r="AT465" i="7" s="1"/>
  <c r="AS466" i="7"/>
  <c r="AT466" i="7" s="1"/>
  <c r="AS467" i="7"/>
  <c r="AT467" i="7" s="1"/>
  <c r="AS468" i="7"/>
  <c r="AT468" i="7" s="1"/>
  <c r="AS469" i="7"/>
  <c r="AT469" i="7" s="1"/>
  <c r="AS470" i="7"/>
  <c r="AT470" i="7" s="1"/>
  <c r="AS471" i="7"/>
  <c r="AT471" i="7" s="1"/>
  <c r="AS472" i="7"/>
  <c r="AT472" i="7" s="1"/>
  <c r="AS473" i="7"/>
  <c r="AT473" i="7" s="1"/>
  <c r="AS474" i="7"/>
  <c r="AT474" i="7" s="1"/>
  <c r="AS475" i="7"/>
  <c r="AT475" i="7" s="1"/>
  <c r="AS476" i="7"/>
  <c r="AT476" i="7" s="1"/>
  <c r="AS477" i="7"/>
  <c r="AT477" i="7" s="1"/>
  <c r="AS478" i="7"/>
  <c r="AT478" i="7" s="1"/>
  <c r="AS479" i="7"/>
  <c r="AT479" i="7" s="1"/>
  <c r="AS480" i="7"/>
  <c r="AT480" i="7" s="1"/>
  <c r="AS481" i="7"/>
  <c r="AT481" i="7" s="1"/>
  <c r="AS482" i="7"/>
  <c r="AT482" i="7" s="1"/>
  <c r="AS483" i="7"/>
  <c r="AT483" i="7" s="1"/>
  <c r="AS484" i="7"/>
  <c r="AT484" i="7" s="1"/>
  <c r="AS485" i="7"/>
  <c r="AT485" i="7" s="1"/>
  <c r="AS486" i="7"/>
  <c r="AT486" i="7" s="1"/>
  <c r="AS487" i="7"/>
  <c r="AT487" i="7" s="1"/>
  <c r="AS488" i="7"/>
  <c r="AT488" i="7" s="1"/>
  <c r="AS489" i="7"/>
  <c r="AT489" i="7" s="1"/>
  <c r="AS490" i="7"/>
  <c r="AT490" i="7" s="1"/>
  <c r="AS491" i="7"/>
  <c r="AT491" i="7" s="1"/>
  <c r="AS492" i="7"/>
  <c r="AT492" i="7" s="1"/>
  <c r="AS493" i="7"/>
  <c r="AT493" i="7" s="1"/>
  <c r="AS494" i="7"/>
  <c r="AT494" i="7" s="1"/>
  <c r="AS495" i="7"/>
  <c r="AT495" i="7" s="1"/>
  <c r="AS496" i="7"/>
  <c r="AT496" i="7" s="1"/>
  <c r="AS497" i="7"/>
  <c r="AT497" i="7" s="1"/>
  <c r="AS498" i="7"/>
  <c r="AT498" i="7" s="1"/>
  <c r="AS499" i="7"/>
  <c r="AT499" i="7" s="1"/>
  <c r="AS500" i="7"/>
  <c r="AT500" i="7" s="1"/>
  <c r="AS501" i="7"/>
  <c r="AT501" i="7" s="1"/>
  <c r="AS502" i="7"/>
  <c r="AT502" i="7" s="1"/>
  <c r="AS503" i="7"/>
  <c r="AT503" i="7" s="1"/>
  <c r="AS504" i="7"/>
  <c r="AT504" i="7" s="1"/>
  <c r="AS505" i="7"/>
  <c r="AT505" i="7" s="1"/>
  <c r="AS506" i="7"/>
  <c r="AT506" i="7" s="1"/>
  <c r="AS507" i="7"/>
  <c r="AT507" i="7" s="1"/>
  <c r="AS508" i="7"/>
  <c r="AT508" i="7" s="1"/>
  <c r="AS509" i="7"/>
  <c r="AT509" i="7" s="1"/>
  <c r="AS510" i="7"/>
  <c r="AT510" i="7" s="1"/>
  <c r="AS511" i="7"/>
  <c r="AT511" i="7" s="1"/>
  <c r="AS512" i="7"/>
  <c r="AT512" i="7" s="1"/>
  <c r="AS513" i="7"/>
  <c r="AT513" i="7" s="1"/>
  <c r="AS514" i="7"/>
  <c r="AT514" i="7" s="1"/>
  <c r="AS515" i="7"/>
  <c r="AT515" i="7" s="1"/>
  <c r="AS516" i="7"/>
  <c r="AT516" i="7" s="1"/>
  <c r="AS517" i="7"/>
  <c r="AT517" i="7" s="1"/>
  <c r="AS518" i="7"/>
  <c r="AT518" i="7" s="1"/>
  <c r="AS519" i="7"/>
  <c r="AT519" i="7" s="1"/>
  <c r="AS520" i="7"/>
  <c r="AT520" i="7" s="1"/>
  <c r="AS521" i="7"/>
  <c r="AT521" i="7" s="1"/>
  <c r="AS522" i="7"/>
  <c r="AT522" i="7" s="1"/>
  <c r="AS523" i="7"/>
  <c r="AT523" i="7" s="1"/>
  <c r="AS524" i="7"/>
  <c r="AT524" i="7" s="1"/>
  <c r="AS525" i="7"/>
  <c r="AT525" i="7" s="1"/>
  <c r="AS526" i="7"/>
  <c r="AT526" i="7" s="1"/>
  <c r="AS527" i="7"/>
  <c r="AT527" i="7" s="1"/>
  <c r="AS528" i="7"/>
  <c r="AT528" i="7" s="1"/>
  <c r="AS529" i="7"/>
  <c r="AT529" i="7" s="1"/>
  <c r="AS530" i="7"/>
  <c r="AT530" i="7" s="1"/>
  <c r="AS531" i="7"/>
  <c r="AT531" i="7" s="1"/>
  <c r="AS532" i="7"/>
  <c r="AT532" i="7" s="1"/>
  <c r="AS533" i="7"/>
  <c r="AT533" i="7" s="1"/>
  <c r="AS534" i="7"/>
  <c r="AT534" i="7" s="1"/>
  <c r="AS535" i="7"/>
  <c r="AT535" i="7" s="1"/>
  <c r="AS536" i="7"/>
  <c r="AT536" i="7" s="1"/>
  <c r="AS537" i="7"/>
  <c r="AT537" i="7" s="1"/>
  <c r="AS538" i="7"/>
  <c r="AT538" i="7" s="1"/>
  <c r="AS539" i="7"/>
  <c r="AT539" i="7" s="1"/>
  <c r="AS540" i="7"/>
  <c r="AT540" i="7" s="1"/>
  <c r="AS541" i="7"/>
  <c r="AT541" i="7" s="1"/>
  <c r="AS542" i="7"/>
  <c r="AT542" i="7" s="1"/>
  <c r="AS543" i="7"/>
  <c r="AT543" i="7" s="1"/>
  <c r="AS544" i="7"/>
  <c r="AT544" i="7" s="1"/>
  <c r="AS545" i="7"/>
  <c r="AT545" i="7" s="1"/>
  <c r="AS546" i="7"/>
  <c r="AT546" i="7" s="1"/>
  <c r="AS547" i="7"/>
  <c r="AT547" i="7" s="1"/>
  <c r="AS548" i="7"/>
  <c r="AT548" i="7" s="1"/>
  <c r="AS549" i="7"/>
  <c r="AT549" i="7" s="1"/>
  <c r="AS550" i="7"/>
  <c r="AT550" i="7" s="1"/>
  <c r="AS551" i="7"/>
  <c r="AT551" i="7" s="1"/>
  <c r="AS552" i="7"/>
  <c r="AT552" i="7" s="1"/>
  <c r="AS553" i="7"/>
  <c r="AT553" i="7" s="1"/>
  <c r="AS554" i="7"/>
  <c r="AT554" i="7" s="1"/>
  <c r="AS555" i="7"/>
  <c r="AT555" i="7" s="1"/>
  <c r="AS556" i="7"/>
  <c r="AT556" i="7" s="1"/>
  <c r="AS557" i="7"/>
  <c r="AT557" i="7" s="1"/>
  <c r="AS558" i="7"/>
  <c r="AT558" i="7" s="1"/>
  <c r="AS559" i="7"/>
  <c r="AT559" i="7" s="1"/>
  <c r="AS560" i="7"/>
  <c r="AT560" i="7" s="1"/>
  <c r="AS561" i="7"/>
  <c r="AT561" i="7" s="1"/>
  <c r="AS562" i="7"/>
  <c r="AT562" i="7" s="1"/>
  <c r="AS563" i="7"/>
  <c r="AT563" i="7" s="1"/>
  <c r="AS564" i="7"/>
  <c r="AT564" i="7" s="1"/>
  <c r="AS565" i="7"/>
  <c r="AT565" i="7" s="1"/>
  <c r="AS566" i="7"/>
  <c r="AT566" i="7" s="1"/>
  <c r="AS567" i="7"/>
  <c r="AT567" i="7" s="1"/>
  <c r="AS568" i="7"/>
  <c r="AT568" i="7" s="1"/>
  <c r="AS569" i="7"/>
  <c r="AT569" i="7" s="1"/>
  <c r="AS570" i="7"/>
  <c r="AT570" i="7" s="1"/>
  <c r="AS571" i="7"/>
  <c r="AT571" i="7" s="1"/>
  <c r="AS572" i="7"/>
  <c r="AT572" i="7" s="1"/>
  <c r="AS573" i="7"/>
  <c r="AT573" i="7" s="1"/>
  <c r="AS574" i="7"/>
  <c r="AT574" i="7" s="1"/>
  <c r="AS575" i="7"/>
  <c r="AT575" i="7" s="1"/>
  <c r="AS576" i="7"/>
  <c r="AT576" i="7" s="1"/>
  <c r="AS577" i="7"/>
  <c r="AT577" i="7" s="1"/>
  <c r="AS578" i="7"/>
  <c r="AT578" i="7" s="1"/>
  <c r="AS579" i="7"/>
  <c r="AT579" i="7" s="1"/>
  <c r="AS580" i="7"/>
  <c r="AT580" i="7" s="1"/>
  <c r="AS581" i="7"/>
  <c r="AT581" i="7" s="1"/>
  <c r="AS582" i="7"/>
  <c r="AT582" i="7" s="1"/>
  <c r="AS583" i="7"/>
  <c r="AT583" i="7" s="1"/>
  <c r="AS584" i="7"/>
  <c r="AT584" i="7" s="1"/>
  <c r="AS585" i="7"/>
  <c r="AT585" i="7" s="1"/>
  <c r="AS586" i="7"/>
  <c r="AT586" i="7" s="1"/>
  <c r="AS587" i="7"/>
  <c r="AT587" i="7" s="1"/>
  <c r="AS588" i="7"/>
  <c r="AT588" i="7" s="1"/>
  <c r="AS589" i="7"/>
  <c r="AT589" i="7" s="1"/>
  <c r="AS590" i="7"/>
  <c r="AT590" i="7" s="1"/>
  <c r="AS591" i="7"/>
  <c r="AT591" i="7" s="1"/>
  <c r="AS592" i="7"/>
  <c r="AT592" i="7" s="1"/>
  <c r="AS593" i="7"/>
  <c r="AT593" i="7" s="1"/>
  <c r="AS594" i="7"/>
  <c r="AT594" i="7" s="1"/>
  <c r="AS595" i="7"/>
  <c r="AT595" i="7" s="1"/>
  <c r="AS596" i="7"/>
  <c r="AT596" i="7" s="1"/>
  <c r="AS597" i="7"/>
  <c r="AT597" i="7" s="1"/>
  <c r="AS598" i="7"/>
  <c r="AT598" i="7" s="1"/>
  <c r="AS599" i="7"/>
  <c r="AT599" i="7" s="1"/>
  <c r="AS600" i="7"/>
  <c r="AT600" i="7" s="1"/>
  <c r="AS601" i="7"/>
  <c r="AT601" i="7" s="1"/>
  <c r="AS602" i="7"/>
  <c r="AT602" i="7" s="1"/>
  <c r="AS603" i="7"/>
  <c r="AT603" i="7" s="1"/>
  <c r="AS604" i="7"/>
  <c r="AT604" i="7" s="1"/>
  <c r="AS605" i="7"/>
  <c r="AT605" i="7" s="1"/>
  <c r="AS606" i="7"/>
  <c r="AT606" i="7" s="1"/>
  <c r="AS607" i="7"/>
  <c r="AT607" i="7" s="1"/>
  <c r="AS608" i="7"/>
  <c r="AT608" i="7" s="1"/>
  <c r="AS609" i="7"/>
  <c r="AT609" i="7" s="1"/>
  <c r="AS610" i="7"/>
  <c r="AT610" i="7" s="1"/>
  <c r="AS611" i="7"/>
  <c r="AT611" i="7" s="1"/>
  <c r="AS612" i="7"/>
  <c r="AT612" i="7" s="1"/>
  <c r="AS613" i="7"/>
  <c r="AT613" i="7" s="1"/>
  <c r="AS614" i="7"/>
  <c r="AT614" i="7" s="1"/>
  <c r="AS615" i="7"/>
  <c r="AT615" i="7" s="1"/>
  <c r="AS616" i="7"/>
  <c r="AT616" i="7" s="1"/>
  <c r="AS617" i="7"/>
  <c r="AT617" i="7" s="1"/>
  <c r="AS618" i="7"/>
  <c r="AT618" i="7" s="1"/>
  <c r="AS619" i="7"/>
  <c r="AT619" i="7" s="1"/>
  <c r="AS620" i="7"/>
  <c r="AT620" i="7" s="1"/>
  <c r="AS621" i="7"/>
  <c r="AT621" i="7" s="1"/>
  <c r="AS622" i="7"/>
  <c r="AT622" i="7" s="1"/>
  <c r="AS623" i="7"/>
  <c r="AT623" i="7" s="1"/>
  <c r="AS624" i="7"/>
  <c r="AT624" i="7" s="1"/>
  <c r="AS625" i="7"/>
  <c r="AT625" i="7" s="1"/>
  <c r="AS626" i="7"/>
  <c r="AT626" i="7" s="1"/>
  <c r="AS627" i="7"/>
  <c r="AT627" i="7" s="1"/>
  <c r="AS628" i="7"/>
  <c r="AT628" i="7" s="1"/>
  <c r="AS629" i="7"/>
  <c r="AT629" i="7" s="1"/>
  <c r="AS630" i="7"/>
  <c r="AT630" i="7" s="1"/>
  <c r="AS631" i="7"/>
  <c r="AT631" i="7" s="1"/>
  <c r="AS632" i="7"/>
  <c r="AT632" i="7" s="1"/>
  <c r="AS633" i="7"/>
  <c r="AT633" i="7" s="1"/>
  <c r="AS634" i="7"/>
  <c r="AT634" i="7" s="1"/>
  <c r="AS635" i="7"/>
  <c r="AT635" i="7" s="1"/>
  <c r="AS636" i="7"/>
  <c r="AT636" i="7" s="1"/>
  <c r="AS637" i="7"/>
  <c r="AT637" i="7" s="1"/>
  <c r="AS638" i="7"/>
  <c r="AT638" i="7" s="1"/>
  <c r="AS639" i="7"/>
  <c r="AT639" i="7" s="1"/>
  <c r="AS640" i="7"/>
  <c r="AT640" i="7" s="1"/>
  <c r="AS641" i="7"/>
  <c r="AT641" i="7" s="1"/>
  <c r="AS642" i="7"/>
  <c r="AT642" i="7" s="1"/>
  <c r="AS643" i="7"/>
  <c r="AT643" i="7" s="1"/>
  <c r="AS644" i="7"/>
  <c r="AT644" i="7" s="1"/>
  <c r="AS645" i="7"/>
  <c r="AT645" i="7" s="1"/>
  <c r="AS646" i="7"/>
  <c r="AT646" i="7" s="1"/>
  <c r="AS647" i="7"/>
  <c r="AT647" i="7" s="1"/>
  <c r="AS648" i="7"/>
  <c r="AT648" i="7" s="1"/>
  <c r="AS649" i="7"/>
  <c r="AT649" i="7" s="1"/>
  <c r="AS650" i="7"/>
  <c r="AT650" i="7" s="1"/>
  <c r="AS651" i="7"/>
  <c r="AT651" i="7" s="1"/>
  <c r="AS652" i="7"/>
  <c r="AT652" i="7" s="1"/>
  <c r="AS653" i="7"/>
  <c r="AT653" i="7" s="1"/>
  <c r="AS654" i="7"/>
  <c r="AT654" i="7" s="1"/>
  <c r="AS655" i="7"/>
  <c r="AT655" i="7" s="1"/>
  <c r="AS656" i="7"/>
  <c r="AT656" i="7" s="1"/>
  <c r="AS657" i="7"/>
  <c r="AT657" i="7" s="1"/>
  <c r="AS658" i="7"/>
  <c r="AT658" i="7" s="1"/>
  <c r="AS659" i="7"/>
  <c r="AT659" i="7" s="1"/>
  <c r="AS660" i="7"/>
  <c r="AT660" i="7" s="1"/>
  <c r="AS661" i="7"/>
  <c r="AT661" i="7" s="1"/>
  <c r="AS662" i="7"/>
  <c r="AT662" i="7" s="1"/>
  <c r="AS663" i="7"/>
  <c r="AT663" i="7" s="1"/>
  <c r="AS664" i="7"/>
  <c r="AT664" i="7" s="1"/>
  <c r="AS665" i="7"/>
  <c r="AT665" i="7" s="1"/>
  <c r="AS666" i="7"/>
  <c r="AT666" i="7" s="1"/>
  <c r="AS667" i="7"/>
  <c r="AT667" i="7" s="1"/>
  <c r="AS668" i="7"/>
  <c r="AT668" i="7" s="1"/>
  <c r="AS669" i="7"/>
  <c r="AT669" i="7" s="1"/>
  <c r="AS670" i="7"/>
  <c r="AT670" i="7" s="1"/>
  <c r="AS671" i="7"/>
  <c r="AT671" i="7" s="1"/>
  <c r="AS672" i="7"/>
  <c r="AT672" i="7" s="1"/>
  <c r="AS673" i="7"/>
  <c r="AT673" i="7" s="1"/>
  <c r="AS674" i="7"/>
  <c r="AT674" i="7" s="1"/>
  <c r="AS675" i="7"/>
  <c r="AT675" i="7" s="1"/>
  <c r="AS676" i="7"/>
  <c r="AT676" i="7" s="1"/>
  <c r="AS677" i="7"/>
  <c r="AT677" i="7" s="1"/>
  <c r="AS678" i="7"/>
  <c r="AT678" i="7" s="1"/>
  <c r="AS679" i="7"/>
  <c r="AT679" i="7" s="1"/>
  <c r="AS680" i="7"/>
  <c r="AT680" i="7" s="1"/>
  <c r="AS681" i="7"/>
  <c r="AT681" i="7" s="1"/>
  <c r="AS682" i="7"/>
  <c r="AT682" i="7" s="1"/>
  <c r="AS683" i="7"/>
  <c r="AT683" i="7" s="1"/>
  <c r="AS684" i="7"/>
  <c r="AT684" i="7" s="1"/>
  <c r="AS685" i="7"/>
  <c r="AT685" i="7" s="1"/>
  <c r="AS686" i="7"/>
  <c r="AT686" i="7" s="1"/>
  <c r="AS687" i="7"/>
  <c r="AT687" i="7" s="1"/>
  <c r="AS688" i="7"/>
  <c r="AT688" i="7" s="1"/>
  <c r="AS689" i="7"/>
  <c r="AT689" i="7" s="1"/>
  <c r="AS690" i="7"/>
  <c r="AT690" i="7" s="1"/>
  <c r="AS691" i="7"/>
  <c r="AT691" i="7" s="1"/>
  <c r="AS692" i="7"/>
  <c r="AT692" i="7" s="1"/>
  <c r="AS693" i="7"/>
  <c r="AT693" i="7" s="1"/>
  <c r="AS694" i="7"/>
  <c r="AT694" i="7" s="1"/>
  <c r="AS695" i="7"/>
  <c r="AT695" i="7" s="1"/>
  <c r="AS696" i="7"/>
  <c r="AT696" i="7" s="1"/>
  <c r="AS697" i="7"/>
  <c r="AT697" i="7" s="1"/>
  <c r="AS698" i="7"/>
  <c r="AT698" i="7" s="1"/>
  <c r="AS699" i="7"/>
  <c r="AT699" i="7" s="1"/>
  <c r="AS700" i="7"/>
  <c r="AT700" i="7" s="1"/>
  <c r="AS701" i="7"/>
  <c r="AT701" i="7" s="1"/>
  <c r="AS702" i="7"/>
  <c r="AT702" i="7" s="1"/>
  <c r="AS703" i="7"/>
  <c r="AT703" i="7" s="1"/>
  <c r="AS704" i="7"/>
  <c r="AT704" i="7" s="1"/>
  <c r="AS705" i="7"/>
  <c r="AT705" i="7" s="1"/>
  <c r="AS706" i="7"/>
  <c r="AT706" i="7" s="1"/>
  <c r="AS707" i="7"/>
  <c r="AT707" i="7" s="1"/>
  <c r="AS708" i="7"/>
  <c r="AT708" i="7" s="1"/>
  <c r="AS709" i="7"/>
  <c r="AT709" i="7" s="1"/>
  <c r="AS710" i="7"/>
  <c r="AT710" i="7" s="1"/>
  <c r="AS711" i="7"/>
  <c r="AT711" i="7" s="1"/>
  <c r="AS712" i="7"/>
  <c r="AT712" i="7" s="1"/>
  <c r="AS713" i="7"/>
  <c r="AT713" i="7" s="1"/>
  <c r="AS714" i="7"/>
  <c r="AT714" i="7" s="1"/>
  <c r="AS715" i="7"/>
  <c r="AT715" i="7" s="1"/>
  <c r="AS716" i="7"/>
  <c r="AT716" i="7" s="1"/>
  <c r="AS717" i="7"/>
  <c r="AT717" i="7" s="1"/>
  <c r="AS718" i="7"/>
  <c r="AT718" i="7" s="1"/>
  <c r="AS719" i="7"/>
  <c r="AT719" i="7" s="1"/>
  <c r="AS720" i="7"/>
  <c r="AT720" i="7" s="1"/>
  <c r="AS721" i="7"/>
  <c r="AT721" i="7" s="1"/>
  <c r="AS722" i="7"/>
  <c r="AT722" i="7" s="1"/>
  <c r="AS723" i="7"/>
  <c r="AT723" i="7" s="1"/>
  <c r="AS724" i="7"/>
  <c r="AT724" i="7" s="1"/>
  <c r="AS725" i="7"/>
  <c r="AT725" i="7" s="1"/>
  <c r="AS726" i="7"/>
  <c r="AT726" i="7" s="1"/>
  <c r="AS727" i="7"/>
  <c r="AT727" i="7" s="1"/>
  <c r="AS728" i="7"/>
  <c r="AT728" i="7" s="1"/>
  <c r="AS729" i="7"/>
  <c r="AT729" i="7" s="1"/>
  <c r="AS730" i="7"/>
  <c r="AT730" i="7" s="1"/>
  <c r="AS731" i="7"/>
  <c r="AT731" i="7" s="1"/>
  <c r="AS732" i="7"/>
  <c r="AT732" i="7" s="1"/>
  <c r="AS733" i="7"/>
  <c r="AT733" i="7" s="1"/>
  <c r="AS734" i="7"/>
  <c r="AT734" i="7" s="1"/>
  <c r="AS735" i="7"/>
  <c r="AT735" i="7" s="1"/>
  <c r="AS736" i="7"/>
  <c r="AT736" i="7" s="1"/>
  <c r="AS737" i="7"/>
  <c r="AT737" i="7" s="1"/>
  <c r="AS738" i="7"/>
  <c r="AT738" i="7" s="1"/>
  <c r="AS739" i="7"/>
  <c r="AT739" i="7" s="1"/>
  <c r="AS740" i="7"/>
  <c r="AT740" i="7" s="1"/>
  <c r="AS741" i="7"/>
  <c r="AT741" i="7" s="1"/>
  <c r="AS742" i="7"/>
  <c r="AT742" i="7" s="1"/>
  <c r="AS743" i="7"/>
  <c r="AT743" i="7" s="1"/>
  <c r="AS744" i="7"/>
  <c r="AT744" i="7" s="1"/>
  <c r="AS745" i="7"/>
  <c r="AT745" i="7" s="1"/>
  <c r="AS746" i="7"/>
  <c r="AT746" i="7" s="1"/>
  <c r="AS747" i="7"/>
  <c r="AT747" i="7" s="1"/>
  <c r="AS748" i="7"/>
  <c r="AT748" i="7" s="1"/>
  <c r="AS749" i="7"/>
  <c r="AT749" i="7" s="1"/>
  <c r="AS750" i="7"/>
  <c r="AT750" i="7" s="1"/>
  <c r="AS751" i="7"/>
  <c r="AT751" i="7" s="1"/>
  <c r="AS752" i="7"/>
  <c r="AT752" i="7" s="1"/>
  <c r="AS753" i="7"/>
  <c r="AT753" i="7" s="1"/>
  <c r="AS754" i="7"/>
  <c r="AT754" i="7" s="1"/>
  <c r="AS755" i="7"/>
  <c r="AT755" i="7" s="1"/>
  <c r="AS756" i="7"/>
  <c r="AT756" i="7" s="1"/>
  <c r="AS757" i="7"/>
  <c r="AT757" i="7" s="1"/>
  <c r="AS758" i="7"/>
  <c r="AT758" i="7" s="1"/>
  <c r="AS759" i="7"/>
  <c r="AT759" i="7" s="1"/>
  <c r="AS760" i="7"/>
  <c r="AT760" i="7" s="1"/>
  <c r="AS761" i="7"/>
  <c r="AT761" i="7" s="1"/>
  <c r="AS762" i="7"/>
  <c r="AT762" i="7" s="1"/>
  <c r="AS763" i="7"/>
  <c r="AT763" i="7" s="1"/>
  <c r="AS764" i="7"/>
  <c r="AT764" i="7" s="1"/>
  <c r="AS765" i="7"/>
  <c r="AT765" i="7" s="1"/>
  <c r="AS766" i="7"/>
  <c r="AT766" i="7" s="1"/>
  <c r="AS767" i="7"/>
  <c r="AT767" i="7" s="1"/>
  <c r="AS768" i="7"/>
  <c r="AT768" i="7" s="1"/>
  <c r="AS769" i="7"/>
  <c r="AT769" i="7" s="1"/>
  <c r="AS770" i="7"/>
  <c r="AT770" i="7" s="1"/>
  <c r="AS771" i="7"/>
  <c r="AT771" i="7" s="1"/>
  <c r="AS772" i="7"/>
  <c r="AT772" i="7" s="1"/>
  <c r="AS773" i="7"/>
  <c r="AT773" i="7" s="1"/>
  <c r="AS774" i="7"/>
  <c r="AT774" i="7" s="1"/>
  <c r="AS775" i="7"/>
  <c r="AT775" i="7" s="1"/>
  <c r="AS776" i="7"/>
  <c r="AT776" i="7" s="1"/>
  <c r="AS777" i="7"/>
  <c r="AT777" i="7" s="1"/>
  <c r="AS778" i="7"/>
  <c r="AT778" i="7" s="1"/>
  <c r="AS779" i="7"/>
  <c r="AT779" i="7" s="1"/>
  <c r="AS780" i="7"/>
  <c r="AT780" i="7" s="1"/>
  <c r="AS781" i="7"/>
  <c r="AT781" i="7" s="1"/>
  <c r="AS782" i="7"/>
  <c r="AT782" i="7" s="1"/>
  <c r="AS783" i="7"/>
  <c r="AT783" i="7" s="1"/>
  <c r="AS784" i="7"/>
  <c r="AT784" i="7" s="1"/>
  <c r="AS785" i="7"/>
  <c r="AT785" i="7" s="1"/>
  <c r="AS786" i="7"/>
  <c r="AT786" i="7" s="1"/>
  <c r="AS787" i="7"/>
  <c r="AT787" i="7" s="1"/>
  <c r="AS788" i="7"/>
  <c r="AT788" i="7" s="1"/>
  <c r="AS789" i="7"/>
  <c r="AT789" i="7" s="1"/>
  <c r="AS790" i="7"/>
  <c r="AT790" i="7" s="1"/>
  <c r="AS791" i="7"/>
  <c r="AT791" i="7" s="1"/>
  <c r="AS792" i="7"/>
  <c r="AT792" i="7" s="1"/>
  <c r="AS793" i="7"/>
  <c r="AT793" i="7" s="1"/>
  <c r="AS794" i="7"/>
  <c r="AT794" i="7" s="1"/>
  <c r="AS795" i="7"/>
  <c r="AT795" i="7" s="1"/>
  <c r="AS796" i="7"/>
  <c r="AT796" i="7" s="1"/>
  <c r="AS797" i="7"/>
  <c r="AT797" i="7" s="1"/>
  <c r="AS798" i="7"/>
  <c r="AT798" i="7" s="1"/>
  <c r="AS799" i="7"/>
  <c r="AT799" i="7" s="1"/>
  <c r="AS800" i="7"/>
  <c r="AT800" i="7" s="1"/>
  <c r="AS801" i="7"/>
  <c r="AT801" i="7" s="1"/>
  <c r="AS802" i="7"/>
  <c r="AT802" i="7" s="1"/>
  <c r="AS803" i="7"/>
  <c r="AT803" i="7" s="1"/>
  <c r="AS804" i="7"/>
  <c r="AT804" i="7" s="1"/>
  <c r="AS805" i="7"/>
  <c r="AT805" i="7" s="1"/>
  <c r="AS806" i="7"/>
  <c r="AT806" i="7" s="1"/>
  <c r="AS807" i="7"/>
  <c r="AT807" i="7" s="1"/>
  <c r="AS808" i="7"/>
  <c r="AT808" i="7" s="1"/>
  <c r="AS809" i="7"/>
  <c r="AT809" i="7" s="1"/>
  <c r="AS810" i="7"/>
  <c r="AT810" i="7" s="1"/>
  <c r="AS811" i="7"/>
  <c r="AT811" i="7" s="1"/>
  <c r="AS812" i="7"/>
  <c r="AT812" i="7" s="1"/>
  <c r="AS813" i="7"/>
  <c r="AT813" i="7" s="1"/>
  <c r="AS814" i="7"/>
  <c r="AT814" i="7" s="1"/>
  <c r="AS815" i="7"/>
  <c r="AT815" i="7" s="1"/>
  <c r="AS816" i="7"/>
  <c r="AT816" i="7" s="1"/>
  <c r="AS817" i="7"/>
  <c r="AT817" i="7" s="1"/>
  <c r="AS818" i="7"/>
  <c r="AT818" i="7" s="1"/>
  <c r="AS819" i="7"/>
  <c r="AT819" i="7" s="1"/>
  <c r="AS820" i="7"/>
  <c r="AT820" i="7" s="1"/>
  <c r="AS821" i="7"/>
  <c r="AT821" i="7" s="1"/>
  <c r="AS822" i="7"/>
  <c r="AT822" i="7" s="1"/>
  <c r="AS823" i="7"/>
  <c r="AT823" i="7" s="1"/>
  <c r="AS824" i="7"/>
  <c r="AT824" i="7" s="1"/>
  <c r="AS825" i="7"/>
  <c r="AT825" i="7" s="1"/>
  <c r="AS826" i="7"/>
  <c r="AT826" i="7" s="1"/>
  <c r="AS827" i="7"/>
  <c r="AT827" i="7" s="1"/>
  <c r="AS828" i="7"/>
  <c r="AT828" i="7" s="1"/>
  <c r="AS829" i="7"/>
  <c r="AT829" i="7" s="1"/>
  <c r="AS830" i="7"/>
  <c r="AT830" i="7" s="1"/>
  <c r="AS831" i="7"/>
  <c r="AT831" i="7" s="1"/>
  <c r="AS832" i="7"/>
  <c r="AT832" i="7" s="1"/>
  <c r="AS833" i="7"/>
  <c r="AT833" i="7" s="1"/>
  <c r="AS834" i="7"/>
  <c r="AT834" i="7" s="1"/>
  <c r="AS835" i="7"/>
  <c r="AT835" i="7" s="1"/>
  <c r="AS836" i="7"/>
  <c r="AT836" i="7" s="1"/>
  <c r="AS837" i="7"/>
  <c r="AT837" i="7" s="1"/>
  <c r="AS838" i="7"/>
  <c r="AT838" i="7" s="1"/>
  <c r="AS839" i="7"/>
  <c r="AT839" i="7" s="1"/>
  <c r="AS840" i="7"/>
  <c r="AT840" i="7" s="1"/>
  <c r="AS841" i="7"/>
  <c r="AT841" i="7" s="1"/>
  <c r="AS842" i="7"/>
  <c r="AT842" i="7" s="1"/>
  <c r="AS843" i="7"/>
  <c r="AT843" i="7" s="1"/>
  <c r="AS844" i="7"/>
  <c r="AT844" i="7" s="1"/>
  <c r="AS845" i="7"/>
  <c r="AT845" i="7" s="1"/>
  <c r="AS846" i="7"/>
  <c r="AT846" i="7" s="1"/>
  <c r="AS847" i="7"/>
  <c r="AT847" i="7" s="1"/>
  <c r="AS848" i="7"/>
  <c r="AT848" i="7" s="1"/>
  <c r="AS849" i="7"/>
  <c r="AT849" i="7" s="1"/>
  <c r="AS850" i="7"/>
  <c r="AT850" i="7" s="1"/>
  <c r="AS851" i="7"/>
  <c r="AT851" i="7" s="1"/>
  <c r="AS852" i="7"/>
  <c r="AT852" i="7" s="1"/>
  <c r="AS853" i="7"/>
  <c r="AT853" i="7" s="1"/>
  <c r="AS854" i="7"/>
  <c r="AT854" i="7" s="1"/>
  <c r="AS855" i="7"/>
  <c r="AT855" i="7" s="1"/>
  <c r="AS856" i="7"/>
  <c r="AT856" i="7" s="1"/>
  <c r="AS857" i="7"/>
  <c r="AT857" i="7" s="1"/>
  <c r="AS858" i="7"/>
  <c r="AT858" i="7" s="1"/>
  <c r="AS859" i="7"/>
  <c r="AT859" i="7" s="1"/>
  <c r="AS860" i="7"/>
  <c r="AT860" i="7" s="1"/>
  <c r="AS861" i="7"/>
  <c r="AT861" i="7" s="1"/>
  <c r="AS862" i="7"/>
  <c r="AT862" i="7" s="1"/>
  <c r="AS863" i="7"/>
  <c r="AT863" i="7" s="1"/>
  <c r="AS864" i="7"/>
  <c r="AT864" i="7" s="1"/>
  <c r="AS865" i="7"/>
  <c r="AT865" i="7" s="1"/>
  <c r="AS866" i="7"/>
  <c r="AT866" i="7" s="1"/>
  <c r="AS867" i="7"/>
  <c r="AT867" i="7" s="1"/>
  <c r="AS868" i="7"/>
  <c r="AT868" i="7" s="1"/>
  <c r="AS869" i="7"/>
  <c r="AT869" i="7" s="1"/>
  <c r="AS870" i="7"/>
  <c r="AT870" i="7" s="1"/>
  <c r="AS871" i="7"/>
  <c r="AT871" i="7" s="1"/>
  <c r="AS872" i="7"/>
  <c r="AT872" i="7" s="1"/>
  <c r="AS873" i="7"/>
  <c r="AT873" i="7" s="1"/>
  <c r="AS874" i="7"/>
  <c r="AT874" i="7" s="1"/>
  <c r="AS875" i="7"/>
  <c r="AT875" i="7" s="1"/>
  <c r="AS876" i="7"/>
  <c r="AT876" i="7" s="1"/>
  <c r="AS877" i="7"/>
  <c r="AT877" i="7" s="1"/>
  <c r="AS878" i="7"/>
  <c r="AT878" i="7" s="1"/>
  <c r="AS879" i="7"/>
  <c r="AT879" i="7" s="1"/>
  <c r="AS880" i="7"/>
  <c r="AT880" i="7" s="1"/>
  <c r="AS881" i="7"/>
  <c r="AT881" i="7" s="1"/>
  <c r="AS882" i="7"/>
  <c r="AT882" i="7" s="1"/>
  <c r="AS883" i="7"/>
  <c r="AT883" i="7" s="1"/>
  <c r="AS884" i="7"/>
  <c r="AT884" i="7" s="1"/>
  <c r="AS885" i="7"/>
  <c r="AT885" i="7" s="1"/>
  <c r="AS886" i="7"/>
  <c r="AT886" i="7" s="1"/>
  <c r="AS887" i="7"/>
  <c r="AT887" i="7" s="1"/>
  <c r="AS888" i="7"/>
  <c r="AT888" i="7" s="1"/>
  <c r="AS889" i="7"/>
  <c r="AT889" i="7" s="1"/>
  <c r="AS890" i="7"/>
  <c r="AT890" i="7" s="1"/>
  <c r="AS891" i="7"/>
  <c r="AT891" i="7" s="1"/>
  <c r="AS892" i="7"/>
  <c r="AT892" i="7" s="1"/>
  <c r="AS893" i="7"/>
  <c r="AT893" i="7" s="1"/>
  <c r="AS894" i="7"/>
  <c r="AT894" i="7" s="1"/>
  <c r="AS895" i="7"/>
  <c r="AT895" i="7" s="1"/>
  <c r="AS896" i="7"/>
  <c r="AT896" i="7" s="1"/>
  <c r="AS897" i="7"/>
  <c r="AT897" i="7" s="1"/>
  <c r="AS898" i="7"/>
  <c r="AT898" i="7" s="1"/>
  <c r="AS899" i="7"/>
  <c r="AT899" i="7" s="1"/>
  <c r="AS900" i="7"/>
  <c r="AT900" i="7" s="1"/>
  <c r="AS901" i="7"/>
  <c r="AT901" i="7" s="1"/>
  <c r="AS902" i="7"/>
  <c r="AT902" i="7" s="1"/>
  <c r="AS903" i="7"/>
  <c r="AT903" i="7" s="1"/>
  <c r="AS904" i="7"/>
  <c r="AT904" i="7" s="1"/>
  <c r="AS905" i="7"/>
  <c r="AT905" i="7" s="1"/>
  <c r="AS906" i="7"/>
  <c r="AT906" i="7" s="1"/>
  <c r="AS907" i="7"/>
  <c r="AT907" i="7" s="1"/>
  <c r="AS908" i="7"/>
  <c r="AT908" i="7" s="1"/>
  <c r="AS909" i="7"/>
  <c r="AT909" i="7" s="1"/>
  <c r="AS910" i="7"/>
  <c r="AT910" i="7" s="1"/>
  <c r="AS911" i="7"/>
  <c r="AT911" i="7" s="1"/>
  <c r="AS912" i="7"/>
  <c r="AT912" i="7" s="1"/>
  <c r="AS913" i="7"/>
  <c r="AT913" i="7" s="1"/>
  <c r="AS914" i="7"/>
  <c r="AT914" i="7" s="1"/>
  <c r="AS915" i="7"/>
  <c r="AT915" i="7" s="1"/>
  <c r="AS916" i="7"/>
  <c r="AT916" i="7" s="1"/>
  <c r="AS917" i="7"/>
  <c r="AT917" i="7" s="1"/>
  <c r="AS918" i="7"/>
  <c r="AT918" i="7" s="1"/>
  <c r="AS919" i="7"/>
  <c r="AT919" i="7" s="1"/>
  <c r="AS920" i="7"/>
  <c r="AT920" i="7" s="1"/>
  <c r="AS921" i="7"/>
  <c r="AT921" i="7" s="1"/>
  <c r="AS922" i="7"/>
  <c r="AT922" i="7" s="1"/>
  <c r="AS923" i="7"/>
  <c r="AT923" i="7" s="1"/>
  <c r="AS924" i="7"/>
  <c r="AT924" i="7" s="1"/>
  <c r="AS925" i="7"/>
  <c r="AT925" i="7" s="1"/>
  <c r="AS926" i="7"/>
  <c r="AT926" i="7" s="1"/>
  <c r="AS927" i="7"/>
  <c r="AT927" i="7" s="1"/>
  <c r="AS928" i="7"/>
  <c r="AT928" i="7" s="1"/>
  <c r="AS929" i="7"/>
  <c r="AT929" i="7" s="1"/>
  <c r="AS930" i="7"/>
  <c r="AT930" i="7" s="1"/>
  <c r="AS931" i="7"/>
  <c r="AT931" i="7" s="1"/>
  <c r="AS932" i="7"/>
  <c r="AT932" i="7" s="1"/>
  <c r="AS933" i="7"/>
  <c r="AT933" i="7" s="1"/>
  <c r="AS934" i="7"/>
  <c r="AT934" i="7" s="1"/>
  <c r="AS935" i="7"/>
  <c r="AT935" i="7" s="1"/>
  <c r="AS936" i="7"/>
  <c r="AT936" i="7" s="1"/>
  <c r="AS937" i="7"/>
  <c r="AT937" i="7" s="1"/>
  <c r="AS938" i="7"/>
  <c r="AT938" i="7" s="1"/>
  <c r="AS939" i="7"/>
  <c r="AT939" i="7" s="1"/>
  <c r="AS940" i="7"/>
  <c r="AT940" i="7" s="1"/>
  <c r="AS941" i="7"/>
  <c r="AT941" i="7" s="1"/>
  <c r="AS942" i="7"/>
  <c r="AT942" i="7" s="1"/>
  <c r="AS943" i="7"/>
  <c r="AT943" i="7" s="1"/>
  <c r="AS944" i="7"/>
  <c r="AT944" i="7" s="1"/>
  <c r="AS945" i="7"/>
  <c r="AT945" i="7" s="1"/>
  <c r="AS946" i="7"/>
  <c r="AT946" i="7" s="1"/>
  <c r="AS947" i="7"/>
  <c r="AT947" i="7" s="1"/>
  <c r="AS948" i="7"/>
  <c r="AT948" i="7" s="1"/>
  <c r="AS949" i="7"/>
  <c r="AT949" i="7" s="1"/>
  <c r="AS950" i="7"/>
  <c r="AT950" i="7" s="1"/>
  <c r="AS951" i="7"/>
  <c r="AT951" i="7" s="1"/>
  <c r="AS952" i="7"/>
  <c r="AT952" i="7" s="1"/>
  <c r="AS953" i="7"/>
  <c r="AT953" i="7" s="1"/>
  <c r="AS954" i="7"/>
  <c r="AT954" i="7" s="1"/>
  <c r="AS955" i="7"/>
  <c r="AT955" i="7" s="1"/>
  <c r="AS956" i="7"/>
  <c r="AT956" i="7" s="1"/>
  <c r="AS957" i="7"/>
  <c r="AT957" i="7" s="1"/>
  <c r="AS958" i="7"/>
  <c r="AT958" i="7" s="1"/>
  <c r="AS959" i="7"/>
  <c r="AT959" i="7" s="1"/>
  <c r="AS960" i="7"/>
  <c r="AT960" i="7" s="1"/>
  <c r="AS961" i="7"/>
  <c r="AT961" i="7" s="1"/>
  <c r="AS962" i="7"/>
  <c r="AT962" i="7" s="1"/>
  <c r="AS963" i="7"/>
  <c r="AT963" i="7" s="1"/>
  <c r="AS964" i="7"/>
  <c r="AT964" i="7" s="1"/>
  <c r="AS965" i="7"/>
  <c r="AT965" i="7" s="1"/>
  <c r="AS966" i="7"/>
  <c r="AT966" i="7" s="1"/>
  <c r="AS967" i="7"/>
  <c r="AT967" i="7" s="1"/>
  <c r="AS968" i="7"/>
  <c r="AT968" i="7" s="1"/>
  <c r="AS969" i="7"/>
  <c r="AT969" i="7" s="1"/>
  <c r="AS970" i="7"/>
  <c r="AT970" i="7" s="1"/>
  <c r="AS971" i="7"/>
  <c r="AT971" i="7" s="1"/>
  <c r="AS972" i="7"/>
  <c r="AT972" i="7" s="1"/>
  <c r="AS973" i="7"/>
  <c r="AT973" i="7" s="1"/>
  <c r="AS974" i="7"/>
  <c r="AT974" i="7" s="1"/>
  <c r="AS975" i="7"/>
  <c r="AT975" i="7" s="1"/>
  <c r="AS976" i="7"/>
  <c r="AT976" i="7" s="1"/>
  <c r="AS977" i="7"/>
  <c r="AT977" i="7" s="1"/>
  <c r="AS978" i="7"/>
  <c r="AT978" i="7" s="1"/>
  <c r="AS979" i="7"/>
  <c r="AT979" i="7" s="1"/>
  <c r="AS980" i="7"/>
  <c r="AT980" i="7" s="1"/>
  <c r="AS981" i="7"/>
  <c r="AT981" i="7" s="1"/>
  <c r="AS982" i="7"/>
  <c r="AT982" i="7" s="1"/>
  <c r="AS983" i="7"/>
  <c r="AT983" i="7" s="1"/>
  <c r="AS984" i="7"/>
  <c r="AT984" i="7" s="1"/>
  <c r="AS985" i="7"/>
  <c r="AT985" i="7" s="1"/>
  <c r="AS986" i="7"/>
  <c r="AT986" i="7" s="1"/>
  <c r="AS987" i="7"/>
  <c r="AT987" i="7" s="1"/>
  <c r="AS988" i="7"/>
  <c r="AT988" i="7" s="1"/>
  <c r="AS989" i="7"/>
  <c r="AT989" i="7" s="1"/>
  <c r="AS990" i="7"/>
  <c r="AT990" i="7" s="1"/>
  <c r="AS991" i="7"/>
  <c r="AT991" i="7" s="1"/>
  <c r="AS992" i="7"/>
  <c r="AT992" i="7" s="1"/>
  <c r="AS993" i="7"/>
  <c r="AT993" i="7" s="1"/>
  <c r="AS994" i="7"/>
  <c r="AT994" i="7" s="1"/>
  <c r="AS995" i="7"/>
  <c r="AT995" i="7" s="1"/>
  <c r="AS996" i="7"/>
  <c r="AT996" i="7" s="1"/>
  <c r="AS997" i="7"/>
  <c r="AT997" i="7" s="1"/>
  <c r="AS998" i="7"/>
  <c r="AT998" i="7" s="1"/>
  <c r="AS999" i="7"/>
  <c r="AT999" i="7" s="1"/>
  <c r="AS1000" i="7"/>
  <c r="AT1000" i="7" s="1"/>
  <c r="AS1001" i="7"/>
  <c r="AT1001" i="7" s="1"/>
  <c r="AS1002" i="7"/>
  <c r="AT1002" i="7" s="1"/>
  <c r="AS3" i="7"/>
  <c r="AT3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<sst xmlns="http://schemas.openxmlformats.org/spreadsheetml/2006/main" count="42051" uniqueCount="2285">
  <si>
    <t>Order_ID</t>
  </si>
  <si>
    <t>Order_Date</t>
  </si>
  <si>
    <t>Customer_ID</t>
  </si>
  <si>
    <t>Customer_Name</t>
  </si>
  <si>
    <t>Customer_Segment</t>
  </si>
  <si>
    <t>City</t>
  </si>
  <si>
    <t>State</t>
  </si>
  <si>
    <t>Region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</si>
  <si>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</si>
  <si>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</si>
  <si>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</si>
  <si>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</si>
  <si>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</si>
  <si>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</si>
  <si>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</si>
  <si>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</si>
  <si>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Profit_Margin_%</t>
  </si>
  <si>
    <t>Payment_Method</t>
  </si>
  <si>
    <t>Sales_Channel</t>
  </si>
  <si>
    <t>Salesperson</t>
  </si>
  <si>
    <t>Month</t>
  </si>
  <si>
    <t>Year</t>
  </si>
  <si>
    <t>Day_Name</t>
  </si>
  <si>
    <t>Delivery_Days</t>
  </si>
  <si>
    <t>Delivery_Date</t>
  </si>
  <si>
    <t>Order_Status</t>
  </si>
  <si>
    <t>Customer_Type</t>
  </si>
  <si>
    <t>Priority</t>
  </si>
  <si>
    <t>Return_Requested</t>
  </si>
  <si>
    <t>Rating</t>
  </si>
  <si>
    <t>Column1</t>
  </si>
  <si>
    <t>ORD10002</t>
  </si>
  <si>
    <t>14-04-2024</t>
  </si>
  <si>
    <t>CUST1017</t>
  </si>
  <si>
    <t>Aarav Verma</t>
  </si>
  <si>
    <t>Consumer</t>
  </si>
  <si>
    <t>Mumbai</t>
  </si>
  <si>
    <t>Maharashtra</t>
  </si>
  <si>
    <t>South</t>
  </si>
  <si>
    <t>Electronics</t>
  </si>
  <si>
    <t>Tablet</t>
  </si>
  <si>
    <t>Net Banking</t>
  </si>
  <si>
    <t>Marketplace</t>
  </si>
  <si>
    <t>Amit</t>
  </si>
  <si>
    <t>April</t>
  </si>
  <si>
    <t>Sunday</t>
  </si>
  <si>
    <t>23-04-2024</t>
  </si>
  <si>
    <t>Completed</t>
  </si>
  <si>
    <t>VIP</t>
  </si>
  <si>
    <t>Low</t>
  </si>
  <si>
    <t>No</t>
  </si>
  <si>
    <t>ORD10003</t>
  </si>
  <si>
    <t>14-12-2024</t>
  </si>
  <si>
    <t>CUST1173</t>
  </si>
  <si>
    <t>Arjun Verma</t>
  </si>
  <si>
    <t>Corporate</t>
  </si>
  <si>
    <t>Jaipur</t>
  </si>
  <si>
    <t>Rajasthan</t>
  </si>
  <si>
    <t>North</t>
  </si>
  <si>
    <t>Accessories</t>
  </si>
  <si>
    <t>Wallet</t>
  </si>
  <si>
    <t>UPI</t>
  </si>
  <si>
    <t>Retail Store</t>
  </si>
  <si>
    <t>Manish</t>
  </si>
  <si>
    <t>December</t>
  </si>
  <si>
    <t>Saturday</t>
  </si>
  <si>
    <t>19-12-2024</t>
  </si>
  <si>
    <t>Returning</t>
  </si>
  <si>
    <t>ORD10004</t>
  </si>
  <si>
    <t>CUST1024</t>
  </si>
  <si>
    <t>Vikram Agarwal</t>
  </si>
  <si>
    <t>Clothing</t>
  </si>
  <si>
    <t>Shirt</t>
  </si>
  <si>
    <t>Debit Card</t>
  </si>
  <si>
    <t>Online</t>
  </si>
  <si>
    <t>Kavita</t>
  </si>
  <si>
    <t>January</t>
  </si>
  <si>
    <t>15-01-2025</t>
  </si>
  <si>
    <t>Medium</t>
  </si>
  <si>
    <t>ORD10005</t>
  </si>
  <si>
    <t>CUST1084</t>
  </si>
  <si>
    <t>Riya Mehta</t>
  </si>
  <si>
    <t>Chennai</t>
  </si>
  <si>
    <t>Tamil Nadu</t>
  </si>
  <si>
    <t>Office Supplies</t>
  </si>
  <si>
    <t>Printer Paper</t>
  </si>
  <si>
    <t>Rahul</t>
  </si>
  <si>
    <t>October</t>
  </si>
  <si>
    <t>15-10-2025</t>
  </si>
  <si>
    <t>Cancelled</t>
  </si>
  <si>
    <t>New</t>
  </si>
  <si>
    <t>ORD10006</t>
  </si>
  <si>
    <t>CUST1127</t>
  </si>
  <si>
    <t>Aditi Kapoor</t>
  </si>
  <si>
    <t>West</t>
  </si>
  <si>
    <t>Furniture</t>
  </si>
  <si>
    <t>Table</t>
  </si>
  <si>
    <t>Vikas</t>
  </si>
  <si>
    <t>February</t>
  </si>
  <si>
    <t>17-02-2025</t>
  </si>
  <si>
    <t>ORD10007</t>
  </si>
  <si>
    <t>CUST1240</t>
  </si>
  <si>
    <t>Meera Kumar</t>
  </si>
  <si>
    <t>Small Business</t>
  </si>
  <si>
    <t>Delhi</t>
  </si>
  <si>
    <t>Smartphone</t>
  </si>
  <si>
    <t>Credit Card</t>
  </si>
  <si>
    <t>Anjali</t>
  </si>
  <si>
    <t>September</t>
  </si>
  <si>
    <t>Tuesday</t>
  </si>
  <si>
    <t>Pending</t>
  </si>
  <si>
    <t>High</t>
  </si>
  <si>
    <t>ORD10008</t>
  </si>
  <si>
    <t>27-05-2025</t>
  </si>
  <si>
    <t>CUST1321</t>
  </si>
  <si>
    <t>Priya Chopra</t>
  </si>
  <si>
    <t>Pune</t>
  </si>
  <si>
    <t>Jeans</t>
  </si>
  <si>
    <t>Pooja</t>
  </si>
  <si>
    <t>May</t>
  </si>
  <si>
    <t>30-05-2025</t>
  </si>
  <si>
    <t>Yes</t>
  </si>
  <si>
    <t>a</t>
  </si>
  <si>
    <t>ORD10009</t>
  </si>
  <si>
    <t>CUST1041</t>
  </si>
  <si>
    <t>Aditya Yadav</t>
  </si>
  <si>
    <t>Monday</t>
  </si>
  <si>
    <t>ORD10010</t>
  </si>
  <si>
    <t>31-12-2025</t>
  </si>
  <si>
    <t>CUST1333</t>
  </si>
  <si>
    <t>Sneha Malhotra</t>
  </si>
  <si>
    <t>Ahmedabad</t>
  </si>
  <si>
    <t>Gujarat</t>
  </si>
  <si>
    <t>Sunglasses</t>
  </si>
  <si>
    <t>Wednesday</t>
  </si>
  <si>
    <t>ORD10011</t>
  </si>
  <si>
    <t>25-12-2025</t>
  </si>
  <si>
    <t>Neha Verma</t>
  </si>
  <si>
    <t>Rohit</t>
  </si>
  <si>
    <t>Thursday</t>
  </si>
  <si>
    <t>26-12-2025</t>
  </si>
  <si>
    <t>ORD10012</t>
  </si>
  <si>
    <t>CUST1211</t>
  </si>
  <si>
    <t>Riya Chopra</t>
  </si>
  <si>
    <t>Lucknow</t>
  </si>
  <si>
    <t>Uttar Pradesh</t>
  </si>
  <si>
    <t>ORD10013</t>
  </si>
  <si>
    <t>CUST1039</t>
  </si>
  <si>
    <t>Riya Agarwal</t>
  </si>
  <si>
    <t>Hyderabad</t>
  </si>
  <si>
    <t>Telangana</t>
  </si>
  <si>
    <t>July</t>
  </si>
  <si>
    <t>ORD10014</t>
  </si>
  <si>
    <t>17-06-2024</t>
  </si>
  <si>
    <t>CUST1136</t>
  </si>
  <si>
    <t>Riya Kumar</t>
  </si>
  <si>
    <t>Kolkata</t>
  </si>
  <si>
    <t>West Bengal</t>
  </si>
  <si>
    <t>Shoes</t>
  </si>
  <si>
    <t>Sneha</t>
  </si>
  <si>
    <t>June</t>
  </si>
  <si>
    <t>24-06-2024</t>
  </si>
  <si>
    <t>ORD10015</t>
  </si>
  <si>
    <t>CUST1096</t>
  </si>
  <si>
    <t>Aditya Bansal</t>
  </si>
  <si>
    <t>Monitor</t>
  </si>
  <si>
    <t>Cash</t>
  </si>
  <si>
    <t>ORD10016</t>
  </si>
  <si>
    <t>24-09-2024</t>
  </si>
  <si>
    <t>CUST1203</t>
  </si>
  <si>
    <t>Rohan Mishra</t>
  </si>
  <si>
    <t>East</t>
  </si>
  <si>
    <t>T-Shirt</t>
  </si>
  <si>
    <t>Neeraj</t>
  </si>
  <si>
    <t>28-09-2024</t>
  </si>
  <si>
    <t>ORD10017</t>
  </si>
  <si>
    <t>CUST1225</t>
  </si>
  <si>
    <t>Aditi Yadav</t>
  </si>
  <si>
    <t>March</t>
  </si>
  <si>
    <t>15-03-2024</t>
  </si>
  <si>
    <t>ORD10018</t>
  </si>
  <si>
    <t>17-12-2024</t>
  </si>
  <si>
    <t>CUST1129</t>
  </si>
  <si>
    <t>Vivaan Verma</t>
  </si>
  <si>
    <t>Bookshelf</t>
  </si>
  <si>
    <t>21-12-2024</t>
  </si>
  <si>
    <t>ORD10019</t>
  </si>
  <si>
    <t>18-03-2024</t>
  </si>
  <si>
    <t>CUST1190</t>
  </si>
  <si>
    <t>Nisha Kapoor</t>
  </si>
  <si>
    <t>21-03-2024</t>
  </si>
  <si>
    <t>ORD10020</t>
  </si>
  <si>
    <t>CUST1091</t>
  </si>
  <si>
    <t>Ishita Sharma</t>
  </si>
  <si>
    <t>Friday</t>
  </si>
  <si>
    <t>ORD10021</t>
  </si>
  <si>
    <t>CUST1099</t>
  </si>
  <si>
    <t>Pooja Jain</t>
  </si>
  <si>
    <t>November</t>
  </si>
  <si>
    <t>ORD10022</t>
  </si>
  <si>
    <t>21-04-2024</t>
  </si>
  <si>
    <t>CUST1161</t>
  </si>
  <si>
    <t>Ishita Bansal</t>
  </si>
  <si>
    <t>ORD10023</t>
  </si>
  <si>
    <t>CUST1064</t>
  </si>
  <si>
    <t>Priya Kapoor</t>
  </si>
  <si>
    <t>Watch</t>
  </si>
  <si>
    <t>17-11-2025</t>
  </si>
  <si>
    <t>ORD10024</t>
  </si>
  <si>
    <t>15-07-2025</t>
  </si>
  <si>
    <t>CUST1221</t>
  </si>
  <si>
    <t>Nisha Bansal</t>
  </si>
  <si>
    <t>16-07-2025</t>
  </si>
  <si>
    <t>ORD10025</t>
  </si>
  <si>
    <t>28-08-2024</t>
  </si>
  <si>
    <t>CUST1076</t>
  </si>
  <si>
    <t>Aarav Sharma</t>
  </si>
  <si>
    <t>Stapler</t>
  </si>
  <si>
    <t>August</t>
  </si>
  <si>
    <t>ORD10026</t>
  </si>
  <si>
    <t>CUST1266</t>
  </si>
  <si>
    <t>Riya Sharma</t>
  </si>
  <si>
    <t>15-03-2025</t>
  </si>
  <si>
    <t>ORD10027</t>
  </si>
  <si>
    <t>CUST1327</t>
  </si>
  <si>
    <t>Ananya Agarwal</t>
  </si>
  <si>
    <t>ORD10028</t>
  </si>
  <si>
    <t>CUST1110</t>
  </si>
  <si>
    <t>Aditya Mehta</t>
  </si>
  <si>
    <t>Pen Set</t>
  </si>
  <si>
    <t>ORD10029</t>
  </si>
  <si>
    <t>26-12-2024</t>
  </si>
  <si>
    <t>CUST1215</t>
  </si>
  <si>
    <t>31-12-2024</t>
  </si>
  <si>
    <t>ORD10030</t>
  </si>
  <si>
    <t>30-06-2025</t>
  </si>
  <si>
    <t>CUST1340</t>
  </si>
  <si>
    <t>ORD10031</t>
  </si>
  <si>
    <t>CUST1277</t>
  </si>
  <si>
    <t>Vivaan Jain</t>
  </si>
  <si>
    <t>Jacket</t>
  </si>
  <si>
    <t>ORD10032</t>
  </si>
  <si>
    <t>17-12-2025</t>
  </si>
  <si>
    <t>CUST1311</t>
  </si>
  <si>
    <t>Arjun Agarwal</t>
  </si>
  <si>
    <t>Bengaluru</t>
  </si>
  <si>
    <t>Karnataka</t>
  </si>
  <si>
    <t>22-12-2025</t>
  </si>
  <si>
    <t>ORD10033</t>
  </si>
  <si>
    <t>CUST1290</t>
  </si>
  <si>
    <t>ORD10034</t>
  </si>
  <si>
    <t>CUST1268</t>
  </si>
  <si>
    <t>Ananya Bansal</t>
  </si>
  <si>
    <t>Headphones</t>
  </si>
  <si>
    <t>28-12-2025</t>
  </si>
  <si>
    <t>ORD10035</t>
  </si>
  <si>
    <t>15-11-2025</t>
  </si>
  <si>
    <t>CUST1167</t>
  </si>
  <si>
    <t>Karan Malhotra</t>
  </si>
  <si>
    <t>22-11-2025</t>
  </si>
  <si>
    <t>ORD10036</t>
  </si>
  <si>
    <t>15-05-2025</t>
  </si>
  <si>
    <t>CUST1331</t>
  </si>
  <si>
    <t>Kavya Malhotra</t>
  </si>
  <si>
    <t>24-05-2025</t>
  </si>
  <si>
    <t>ORD10037</t>
  </si>
  <si>
    <t>17-07-2025</t>
  </si>
  <si>
    <t>CUST1139</t>
  </si>
  <si>
    <t>Priya Kumar</t>
  </si>
  <si>
    <t>23-07-2025</t>
  </si>
  <si>
    <t>ORD10038</t>
  </si>
  <si>
    <t>16-10-2024</t>
  </si>
  <si>
    <t>CUST1185</t>
  </si>
  <si>
    <t>Karan Kumar</t>
  </si>
  <si>
    <t>18-10-2024</t>
  </si>
  <si>
    <t>ORD10039</t>
  </si>
  <si>
    <t>27-03-2025</t>
  </si>
  <si>
    <t>CUST1130</t>
  </si>
  <si>
    <t>Kavya Verma</t>
  </si>
  <si>
    <t>ORD10040</t>
  </si>
  <si>
    <t>25-07-2025</t>
  </si>
  <si>
    <t>CUST1317</t>
  </si>
  <si>
    <t>ORD10041</t>
  </si>
  <si>
    <t>27-09-2024</t>
  </si>
  <si>
    <t>CUST1283</t>
  </si>
  <si>
    <t>Aditya Gupta</t>
  </si>
  <si>
    <t>29-09-2024</t>
  </si>
  <si>
    <t>ORD10042</t>
  </si>
  <si>
    <t>CUST1279</t>
  </si>
  <si>
    <t>Vikram Mishra</t>
  </si>
  <si>
    <t>File Folder</t>
  </si>
  <si>
    <t>ORD10043</t>
  </si>
  <si>
    <t>CUST1021</t>
  </si>
  <si>
    <t>Ishita Yadav</t>
  </si>
  <si>
    <t>14-07-2025</t>
  </si>
  <si>
    <t>ORD10044</t>
  </si>
  <si>
    <t>CUST1252</t>
  </si>
  <si>
    <t>Aditya Malhotra</t>
  </si>
  <si>
    <t>14-10-2024</t>
  </si>
  <si>
    <t>ORD10045</t>
  </si>
  <si>
    <t>18-11-2024</t>
  </si>
  <si>
    <t>CUST1207</t>
  </si>
  <si>
    <t>Meera Chopra</t>
  </si>
  <si>
    <t>23-11-2024</t>
  </si>
  <si>
    <t>ORD10046</t>
  </si>
  <si>
    <t>24-03-2025</t>
  </si>
  <si>
    <t>CUST1323</t>
  </si>
  <si>
    <t>Simran Agarwal</t>
  </si>
  <si>
    <t>ORD10047</t>
  </si>
  <si>
    <t>CUST1242</t>
  </si>
  <si>
    <t>Vikram Malhotra</t>
  </si>
  <si>
    <t>ORD10048</t>
  </si>
  <si>
    <t>CUST1338</t>
  </si>
  <si>
    <t>Kavya Chopra</t>
  </si>
  <si>
    <t>21-10-2024</t>
  </si>
  <si>
    <t>ORD10049</t>
  </si>
  <si>
    <t>24-02-2025</t>
  </si>
  <si>
    <t>CUST1196</t>
  </si>
  <si>
    <t>Pooja Mishra</t>
  </si>
  <si>
    <t>Desk</t>
  </si>
  <si>
    <t>25-02-2025</t>
  </si>
  <si>
    <t>ORD10050</t>
  </si>
  <si>
    <t>23-02-2025</t>
  </si>
  <si>
    <t>Neha Bansal</t>
  </si>
  <si>
    <t>26-02-2025</t>
  </si>
  <si>
    <t>ORD10051</t>
  </si>
  <si>
    <t>CUST1052</t>
  </si>
  <si>
    <t>Riya Gupta</t>
  </si>
  <si>
    <t>Backpack</t>
  </si>
  <si>
    <t>ORD10052</t>
  </si>
  <si>
    <t>29-11-2025</t>
  </si>
  <si>
    <t>CUST1313</t>
  </si>
  <si>
    <t>Pooja Bansal</t>
  </si>
  <si>
    <t>ORD10053</t>
  </si>
  <si>
    <t>CUST1301</t>
  </si>
  <si>
    <t>Priya Mishra</t>
  </si>
  <si>
    <t>ORD10054</t>
  </si>
  <si>
    <t>23-01-2024</t>
  </si>
  <si>
    <t>CUST1026</t>
  </si>
  <si>
    <t>Simran Yadav</t>
  </si>
  <si>
    <t>30-01-2024</t>
  </si>
  <si>
    <t>ORD10055</t>
  </si>
  <si>
    <t>CUST1047</t>
  </si>
  <si>
    <t>Priya Jain</t>
  </si>
  <si>
    <t>Office Chair</t>
  </si>
  <si>
    <t>14-02-2024</t>
  </si>
  <si>
    <t>ORD10056</t>
  </si>
  <si>
    <t>CUST1346</t>
  </si>
  <si>
    <t>Pooja Chopra</t>
  </si>
  <si>
    <t>ORD10057</t>
  </si>
  <si>
    <t>CUST1288</t>
  </si>
  <si>
    <t>Neha Saxena</t>
  </si>
  <si>
    <t>26-11-2025</t>
  </si>
  <si>
    <t>ORD10058</t>
  </si>
  <si>
    <t>CUST1233</t>
  </si>
  <si>
    <t>Sneha Mishra</t>
  </si>
  <si>
    <t>Laptop</t>
  </si>
  <si>
    <t>13-04-2024</t>
  </si>
  <si>
    <t>ORD10059</t>
  </si>
  <si>
    <t>30-03-2025</t>
  </si>
  <si>
    <t>CUST1051</t>
  </si>
  <si>
    <t>Sneha Kapoor</t>
  </si>
  <si>
    <t>ORD10060</t>
  </si>
  <si>
    <t>CUST1284</t>
  </si>
  <si>
    <t>Rahul Bansal</t>
  </si>
  <si>
    <t>18-05-2024</t>
  </si>
  <si>
    <t>ORD10061</t>
  </si>
  <si>
    <t>16-01-2024</t>
  </si>
  <si>
    <t>CUST1009</t>
  </si>
  <si>
    <t>22-01-2024</t>
  </si>
  <si>
    <t>ORD10062</t>
  </si>
  <si>
    <t>14-08-2024</t>
  </si>
  <si>
    <t>Belt</t>
  </si>
  <si>
    <t>24-08-2024</t>
  </si>
  <si>
    <t>ORD10063</t>
  </si>
  <si>
    <t>CUST1300</t>
  </si>
  <si>
    <t>ORD10064</t>
  </si>
  <si>
    <t>27-02-2025</t>
  </si>
  <si>
    <t>CUST1049</t>
  </si>
  <si>
    <t>Neha Mehta</t>
  </si>
  <si>
    <t>ORD10065</t>
  </si>
  <si>
    <t>23-08-2025</t>
  </si>
  <si>
    <t>CUST1063</t>
  </si>
  <si>
    <t>Ishita Jain</t>
  </si>
  <si>
    <t>ORD10066</t>
  </si>
  <si>
    <t>24-12-2024</t>
  </si>
  <si>
    <t>CUST1143</t>
  </si>
  <si>
    <t>Nisha Singh</t>
  </si>
  <si>
    <t>ORD10067</t>
  </si>
  <si>
    <t>CUST1325</t>
  </si>
  <si>
    <t>Notebook</t>
  </si>
  <si>
    <t>ORD10068</t>
  </si>
  <si>
    <t>CUST1140</t>
  </si>
  <si>
    <t>Riya Mishra</t>
  </si>
  <si>
    <t>20-06-2024</t>
  </si>
  <si>
    <t>ORD10069</t>
  </si>
  <si>
    <t>14-11-2025</t>
  </si>
  <si>
    <t>CUST1307</t>
  </si>
  <si>
    <t>Vivaan Sharma</t>
  </si>
  <si>
    <t>19-11-2025</t>
  </si>
  <si>
    <t>ORD10070</t>
  </si>
  <si>
    <t>21-12-2025</t>
  </si>
  <si>
    <t>CUST1343</t>
  </si>
  <si>
    <t>Sneha Verma</t>
  </si>
  <si>
    <t>ORD10071</t>
  </si>
  <si>
    <t>28-11-2024</t>
  </si>
  <si>
    <t>CUST1186</t>
  </si>
  <si>
    <t>ORD10072</t>
  </si>
  <si>
    <t>CUST1179</t>
  </si>
  <si>
    <t>Sneha Yadav</t>
  </si>
  <si>
    <t>ORD10073</t>
  </si>
  <si>
    <t>16-08-2025</t>
  </si>
  <si>
    <t>CUST1320</t>
  </si>
  <si>
    <t>Neha Chopra</t>
  </si>
  <si>
    <t>24-08-2025</t>
  </si>
  <si>
    <t>ORD10074</t>
  </si>
  <si>
    <t>17-04-2025</t>
  </si>
  <si>
    <t>CUST1147</t>
  </si>
  <si>
    <t>Aditya Mishra</t>
  </si>
  <si>
    <t>25-04-2025</t>
  </si>
  <si>
    <t>ORD10075</t>
  </si>
  <si>
    <t>CUST1176</t>
  </si>
  <si>
    <t>Aditya Kapoor</t>
  </si>
  <si>
    <t>ORD10076</t>
  </si>
  <si>
    <t>23-02-2024</t>
  </si>
  <si>
    <t>CUST1286</t>
  </si>
  <si>
    <t>Pooja Kumar</t>
  </si>
  <si>
    <t>29-02-2024</t>
  </si>
  <si>
    <t>ORD10077</t>
  </si>
  <si>
    <t>20-01-2025</t>
  </si>
  <si>
    <t>CUST1270</t>
  </si>
  <si>
    <t>26-01-2025</t>
  </si>
  <si>
    <t>ORD10078</t>
  </si>
  <si>
    <t>20-03-2024</t>
  </si>
  <si>
    <t>Meera Sharma</t>
  </si>
  <si>
    <t>25-03-2024</t>
  </si>
  <si>
    <t>ORD10079</t>
  </si>
  <si>
    <t>23-11-2025</t>
  </si>
  <si>
    <t>CUST1230</t>
  </si>
  <si>
    <t>Vikram Kapoor</t>
  </si>
  <si>
    <t>Sofa</t>
  </si>
  <si>
    <t>27-11-2025</t>
  </si>
  <si>
    <t>ORD10080</t>
  </si>
  <si>
    <t>23-07-2024</t>
  </si>
  <si>
    <t>CUST1027</t>
  </si>
  <si>
    <t>ORD10081</t>
  </si>
  <si>
    <t>23-12-2024</t>
  </si>
  <si>
    <t>CUST1258</t>
  </si>
  <si>
    <t>Sneha Singh</t>
  </si>
  <si>
    <t>ORD10082</t>
  </si>
  <si>
    <t>23-12-2025</t>
  </si>
  <si>
    <t>Aarav Kumar</t>
  </si>
  <si>
    <t>ORD10083</t>
  </si>
  <si>
    <t>16-10-2025</t>
  </si>
  <si>
    <t>CUST1256</t>
  </si>
  <si>
    <t>Simran Kapoor</t>
  </si>
  <si>
    <t>26-10-2025</t>
  </si>
  <si>
    <t>ORD10084</t>
  </si>
  <si>
    <t>CUST1260</t>
  </si>
  <si>
    <t>Aditi Sharma</t>
  </si>
  <si>
    <t>19-03-2024</t>
  </si>
  <si>
    <t>ORD10085</t>
  </si>
  <si>
    <t>16-05-2024</t>
  </si>
  <si>
    <t>CUST1330</t>
  </si>
  <si>
    <t>Karan Chopra</t>
  </si>
  <si>
    <t>17-05-2024</t>
  </si>
  <si>
    <t>ORD10086</t>
  </si>
  <si>
    <t>13-11-2024</t>
  </si>
  <si>
    <t>Kavya Kumar</t>
  </si>
  <si>
    <t>22-11-2024</t>
  </si>
  <si>
    <t>ORD10087</t>
  </si>
  <si>
    <t>18-07-2024</t>
  </si>
  <si>
    <t>ORD10088</t>
  </si>
  <si>
    <t>CUST1180</t>
  </si>
  <si>
    <t>16-09-2025</t>
  </si>
  <si>
    <t>ORD10089</t>
  </si>
  <si>
    <t>25-11-2025</t>
  </si>
  <si>
    <t>CUST1121</t>
  </si>
  <si>
    <t>Sneha Jain</t>
  </si>
  <si>
    <t>ORD10090</t>
  </si>
  <si>
    <t>27-10-2025</t>
  </si>
  <si>
    <t>CUST1014</t>
  </si>
  <si>
    <t>ORD10091</t>
  </si>
  <si>
    <t>16-03-2024</t>
  </si>
  <si>
    <t>CUST1228</t>
  </si>
  <si>
    <t>Aditya Agarwal</t>
  </si>
  <si>
    <t>24-03-2024</t>
  </si>
  <si>
    <t>ORD10092</t>
  </si>
  <si>
    <t>24-07-2024</t>
  </si>
  <si>
    <t>27-07-2024</t>
  </si>
  <si>
    <t>ORD10093</t>
  </si>
  <si>
    <t>CUST1231</t>
  </si>
  <si>
    <t>ORD10094</t>
  </si>
  <si>
    <t>14-06-2024</t>
  </si>
  <si>
    <t>ORD10095</t>
  </si>
  <si>
    <t>CUST1310</t>
  </si>
  <si>
    <t>ORD10096</t>
  </si>
  <si>
    <t>23-10-2024</t>
  </si>
  <si>
    <t>CUST1208</t>
  </si>
  <si>
    <t>Priya Malhotra</t>
  </si>
  <si>
    <t>28-10-2024</t>
  </si>
  <si>
    <t>ORD10097</t>
  </si>
  <si>
    <t>13-05-2024</t>
  </si>
  <si>
    <t>CUST1164</t>
  </si>
  <si>
    <t>19-05-2024</t>
  </si>
  <si>
    <t>ORD10098</t>
  </si>
  <si>
    <t>16-11-2024</t>
  </si>
  <si>
    <t>CUST1264</t>
  </si>
  <si>
    <t>Riya Malhotra</t>
  </si>
  <si>
    <t>20-11-2024</t>
  </si>
  <si>
    <t>ORD10099</t>
  </si>
  <si>
    <t>CUST1056</t>
  </si>
  <si>
    <t>Ishita Gupta</t>
  </si>
  <si>
    <t>ORD10100</t>
  </si>
  <si>
    <t>CUST1061</t>
  </si>
  <si>
    <t>Rohan Verma</t>
  </si>
  <si>
    <t>22-07-2025</t>
  </si>
  <si>
    <t>ORD10101</t>
  </si>
  <si>
    <t>30-04-2025</t>
  </si>
  <si>
    <t>Rohan Jain</t>
  </si>
  <si>
    <t>ORD10102</t>
  </si>
  <si>
    <t>18-01-2024</t>
  </si>
  <si>
    <t>CUST1214</t>
  </si>
  <si>
    <t>Nisha Kumar</t>
  </si>
  <si>
    <t>24-01-2024</t>
  </si>
  <si>
    <t>ORD10103</t>
  </si>
  <si>
    <t>31-05-2024</t>
  </si>
  <si>
    <t>CUST1057</t>
  </si>
  <si>
    <t>Rahul Sharma</t>
  </si>
  <si>
    <t>ORD10104</t>
  </si>
  <si>
    <t>28-07-2025</t>
  </si>
  <si>
    <t>ORD10105</t>
  </si>
  <si>
    <t>Aditi Saxena</t>
  </si>
  <si>
    <t>ORD10106</t>
  </si>
  <si>
    <t>20-12-2024</t>
  </si>
  <si>
    <t>Rahul Chopra</t>
  </si>
  <si>
    <t>28-12-2024</t>
  </si>
  <si>
    <t>ORD10107</t>
  </si>
  <si>
    <t>CUST1071</t>
  </si>
  <si>
    <t>Aarav Kapoor</t>
  </si>
  <si>
    <t>ORD10108</t>
  </si>
  <si>
    <t>CUST1204</t>
  </si>
  <si>
    <t>Kavya Gupta</t>
  </si>
  <si>
    <t>ORD10109</t>
  </si>
  <si>
    <t>31-05-2025</t>
  </si>
  <si>
    <t>CUST1058</t>
  </si>
  <si>
    <t>Neha Gupta</t>
  </si>
  <si>
    <t>ORD10110</t>
  </si>
  <si>
    <t>Karan Gupta</t>
  </si>
  <si>
    <t>17-06-2025</t>
  </si>
  <si>
    <t>ORD10111</t>
  </si>
  <si>
    <t>31-10-2025</t>
  </si>
  <si>
    <t>ORD10112</t>
  </si>
  <si>
    <t>CUST1282</t>
  </si>
  <si>
    <t>Kavya Agarwal</t>
  </si>
  <si>
    <t>20-04-2025</t>
  </si>
  <si>
    <t>ORD10113</t>
  </si>
  <si>
    <t>CUST1085</t>
  </si>
  <si>
    <t>ORD10114</t>
  </si>
  <si>
    <t>CUST1237</t>
  </si>
  <si>
    <t>Priya Yadav</t>
  </si>
  <si>
    <t>ORD10115</t>
  </si>
  <si>
    <t>CUST1070</t>
  </si>
  <si>
    <t>ORD10116</t>
  </si>
  <si>
    <t>16-08-2024</t>
  </si>
  <si>
    <t>CUST1238</t>
  </si>
  <si>
    <t>Aditi Mehta</t>
  </si>
  <si>
    <t>17-08-2024</t>
  </si>
  <si>
    <t>ORD10117</t>
  </si>
  <si>
    <t>30-07-2024</t>
  </si>
  <si>
    <t>CUST1229</t>
  </si>
  <si>
    <t>Simran Mishra</t>
  </si>
  <si>
    <t>ORD10118</t>
  </si>
  <si>
    <t>CUST1345</t>
  </si>
  <si>
    <t>Neha Singh</t>
  </si>
  <si>
    <t>18-08-2025</t>
  </si>
  <si>
    <t>ORD10119</t>
  </si>
  <si>
    <t>18-12-2024</t>
  </si>
  <si>
    <t>25-12-2024</t>
  </si>
  <si>
    <t>ORD10120</t>
  </si>
  <si>
    <t>26-06-2025</t>
  </si>
  <si>
    <t>CUST1105</t>
  </si>
  <si>
    <t>Neha Mishra</t>
  </si>
  <si>
    <t>29-06-2025</t>
  </si>
  <si>
    <t>ORD10121</t>
  </si>
  <si>
    <t>CUST1171</t>
  </si>
  <si>
    <t>Priya Saxena</t>
  </si>
  <si>
    <t>ORD10122</t>
  </si>
  <si>
    <t>24-01-2025</t>
  </si>
  <si>
    <t>CUST1158</t>
  </si>
  <si>
    <t>Ananya Jain</t>
  </si>
  <si>
    <t>ORD10123</t>
  </si>
  <si>
    <t>17-01-2024</t>
  </si>
  <si>
    <t>CUST1297</t>
  </si>
  <si>
    <t>Ishita Kumar</t>
  </si>
  <si>
    <t>ORD10124</t>
  </si>
  <si>
    <t>CUST1251</t>
  </si>
  <si>
    <t>Karan Saxena</t>
  </si>
  <si>
    <t>29-12-2024</t>
  </si>
  <si>
    <t>ORD10125</t>
  </si>
  <si>
    <t>Simran Saxena</t>
  </si>
  <si>
    <t>ORD10126</t>
  </si>
  <si>
    <t>15-12-2025</t>
  </si>
  <si>
    <t>CUST1050</t>
  </si>
  <si>
    <t>Meera Gupta</t>
  </si>
  <si>
    <t>ORD10127</t>
  </si>
  <si>
    <t>CUST1195</t>
  </si>
  <si>
    <t>Pooja Kapoor</t>
  </si>
  <si>
    <t>ORD10128</t>
  </si>
  <si>
    <t>Ananya Saxena</t>
  </si>
  <si>
    <t>19-12-2025</t>
  </si>
  <si>
    <t>ORD10129</t>
  </si>
  <si>
    <t>CUST1072</t>
  </si>
  <si>
    <t>ORD10130</t>
  </si>
  <si>
    <t>CUST1193</t>
  </si>
  <si>
    <t>14-04-2025</t>
  </si>
  <si>
    <t>ORD10131</t>
  </si>
  <si>
    <t>Riya Jain</t>
  </si>
  <si>
    <t>ORD10132</t>
  </si>
  <si>
    <t>CUST1212</t>
  </si>
  <si>
    <t>Pooja Agarwal</t>
  </si>
  <si>
    <t>ORD10133</t>
  </si>
  <si>
    <t>CUST1248</t>
  </si>
  <si>
    <t>Aditya Jain</t>
  </si>
  <si>
    <t>27-06-2024</t>
  </si>
  <si>
    <t>ORD10134</t>
  </si>
  <si>
    <t>CUST1334</t>
  </si>
  <si>
    <t>Simran Gupta</t>
  </si>
  <si>
    <t>ORD10135</t>
  </si>
  <si>
    <t>CUST1289</t>
  </si>
  <si>
    <t>25-01-2025</t>
  </si>
  <si>
    <t>ORD10136</t>
  </si>
  <si>
    <t>15-09-2024</t>
  </si>
  <si>
    <t>CUST1038</t>
  </si>
  <si>
    <t>Riya Bansal</t>
  </si>
  <si>
    <t>18-09-2024</t>
  </si>
  <si>
    <t>ORD10137</t>
  </si>
  <si>
    <t>19-06-2024</t>
  </si>
  <si>
    <t>29-06-2024</t>
  </si>
  <si>
    <t>ORD10138</t>
  </si>
  <si>
    <t>CUST1213</t>
  </si>
  <si>
    <t>Aditya Verma</t>
  </si>
  <si>
    <t>ORD10139</t>
  </si>
  <si>
    <t>Arjun Mishra</t>
  </si>
  <si>
    <t>ORD10140</t>
  </si>
  <si>
    <t>CUST1220</t>
  </si>
  <si>
    <t>Pooja Sharma</t>
  </si>
  <si>
    <t>ORD10141</t>
  </si>
  <si>
    <t>24-06-2025</t>
  </si>
  <si>
    <t>CUST1201</t>
  </si>
  <si>
    <t>Nisha Verma</t>
  </si>
  <si>
    <t>ORD10142</t>
  </si>
  <si>
    <t>CUST1073</t>
  </si>
  <si>
    <t>Meera Mehta</t>
  </si>
  <si>
    <t>ORD10143</t>
  </si>
  <si>
    <t>CUST1005</t>
  </si>
  <si>
    <t>16-04-2025</t>
  </si>
  <si>
    <t>ORD10144</t>
  </si>
  <si>
    <t>13-08-2024</t>
  </si>
  <si>
    <t>CUST1276</t>
  </si>
  <si>
    <t>Priya Gupta</t>
  </si>
  <si>
    <t>18-08-2024</t>
  </si>
  <si>
    <t>ORD10145</t>
  </si>
  <si>
    <t>13-03-2025</t>
  </si>
  <si>
    <t>ORD10146</t>
  </si>
  <si>
    <t>CUST1306</t>
  </si>
  <si>
    <t>Aditi Gupta</t>
  </si>
  <si>
    <t>ORD10147</t>
  </si>
  <si>
    <t>CUST1347</t>
  </si>
  <si>
    <t>Pooja Malhotra</t>
  </si>
  <si>
    <t>ORD10148</t>
  </si>
  <si>
    <t>CUST1235</t>
  </si>
  <si>
    <t>Sneha Chopra</t>
  </si>
  <si>
    <t>19-08-2025</t>
  </si>
  <si>
    <t>ORD10149</t>
  </si>
  <si>
    <t>CUST1236</t>
  </si>
  <si>
    <t>ORD10150</t>
  </si>
  <si>
    <t>CUST1157</t>
  </si>
  <si>
    <t>Vikram Mehta</t>
  </si>
  <si>
    <t>18-01-2025</t>
  </si>
  <si>
    <t>ORD10151</t>
  </si>
  <si>
    <t>CUST1118</t>
  </si>
  <si>
    <t>Pooja Verma</t>
  </si>
  <si>
    <t>ORD10152</t>
  </si>
  <si>
    <t>Rohan Saxena</t>
  </si>
  <si>
    <t>30-10-2025</t>
  </si>
  <si>
    <t>ORD10153</t>
  </si>
  <si>
    <t>CUST1312</t>
  </si>
  <si>
    <t>Priya Agarwal</t>
  </si>
  <si>
    <t>20-09-2024</t>
  </si>
  <si>
    <t>ORD10154</t>
  </si>
  <si>
    <t>CUST1007</t>
  </si>
  <si>
    <t>Sneha Saxena</t>
  </si>
  <si>
    <t>ORD10155</t>
  </si>
  <si>
    <t>ORD10156</t>
  </si>
  <si>
    <t>Aditya Kumar</t>
  </si>
  <si>
    <t>ORD10157</t>
  </si>
  <si>
    <t>13-01-2024</t>
  </si>
  <si>
    <t>CUST1178</t>
  </si>
  <si>
    <t>Meera Kapoor</t>
  </si>
  <si>
    <t>ORD10158</t>
  </si>
  <si>
    <t>30-12-2025</t>
  </si>
  <si>
    <t>CUST1262</t>
  </si>
  <si>
    <t>Sneha Sharma</t>
  </si>
  <si>
    <t>ORD10159</t>
  </si>
  <si>
    <t>28-04-2025</t>
  </si>
  <si>
    <t>CUST1092</t>
  </si>
  <si>
    <t>Vivaan Kapoor</t>
  </si>
  <si>
    <t>ORD10160</t>
  </si>
  <si>
    <t>CUST1206</t>
  </si>
  <si>
    <t>Aditya Saxena</t>
  </si>
  <si>
    <t>ORD10161</t>
  </si>
  <si>
    <t>CUST1101</t>
  </si>
  <si>
    <t>Aditi Agarwal</t>
  </si>
  <si>
    <t>26-04-2025</t>
  </si>
  <si>
    <t>ORD10162</t>
  </si>
  <si>
    <t>CUST1031</t>
  </si>
  <si>
    <t>Rohan Yadav</t>
  </si>
  <si>
    <t>ORD10163</t>
  </si>
  <si>
    <t>17-03-2024</t>
  </si>
  <si>
    <t>Rohan Singh</t>
  </si>
  <si>
    <t>27-03-2024</t>
  </si>
  <si>
    <t>ORD10164</t>
  </si>
  <si>
    <t>18-04-2024</t>
  </si>
  <si>
    <t>CUST1209</t>
  </si>
  <si>
    <t>Arjun Kapoor</t>
  </si>
  <si>
    <t>ORD10165</t>
  </si>
  <si>
    <t>ORD10166</t>
  </si>
  <si>
    <t>15-08-2024</t>
  </si>
  <si>
    <t>CUST1191</t>
  </si>
  <si>
    <t>ORD10167</t>
  </si>
  <si>
    <t>21-06-2024</t>
  </si>
  <si>
    <t>Kavya Sharma</t>
  </si>
  <si>
    <t>ORD10168</t>
  </si>
  <si>
    <t>24-10-2025</t>
  </si>
  <si>
    <t>29-10-2025</t>
  </si>
  <si>
    <t>ORD10169</t>
  </si>
  <si>
    <t>Karan Sharma</t>
  </si>
  <si>
    <t>ORD10170</t>
  </si>
  <si>
    <t>CUST1199</t>
  </si>
  <si>
    <t>ORD10171</t>
  </si>
  <si>
    <t>19-07-2024</t>
  </si>
  <si>
    <t>ORD10172</t>
  </si>
  <si>
    <t>Arjun Chopra</t>
  </si>
  <si>
    <t>ORD10173</t>
  </si>
  <si>
    <t>CUST1115</t>
  </si>
  <si>
    <t>Nisha Chopra</t>
  </si>
  <si>
    <t>ORD10174</t>
  </si>
  <si>
    <t>18-09-2025</t>
  </si>
  <si>
    <t>CUST1255</t>
  </si>
  <si>
    <t>22-09-2025</t>
  </si>
  <si>
    <t>ORD10175</t>
  </si>
  <si>
    <t>CUST1025</t>
  </si>
  <si>
    <t>ORD10176</t>
  </si>
  <si>
    <t>CUST1054</t>
  </si>
  <si>
    <t>ORD10177</t>
  </si>
  <si>
    <t>20-03-2025</t>
  </si>
  <si>
    <t>CUST1106</t>
  </si>
  <si>
    <t>Rahul Mehta</t>
  </si>
  <si>
    <t>23-03-2025</t>
  </si>
  <si>
    <t>ORD10178</t>
  </si>
  <si>
    <t>Simran Malhotra</t>
  </si>
  <si>
    <t>ORD10179</t>
  </si>
  <si>
    <t>Sneha Gupta</t>
  </si>
  <si>
    <t>ORD10180</t>
  </si>
  <si>
    <t>ORD10181</t>
  </si>
  <si>
    <t>CUST1086</t>
  </si>
  <si>
    <t>Rahul Agarwal</t>
  </si>
  <si>
    <t>ORD10182</t>
  </si>
  <si>
    <t>CUST1142</t>
  </si>
  <si>
    <t>Meera Malhotra</t>
  </si>
  <si>
    <t>30-07-2025</t>
  </si>
  <si>
    <t>ORD10183</t>
  </si>
  <si>
    <t>CUST1243</t>
  </si>
  <si>
    <t>Vivaan Gupta</t>
  </si>
  <si>
    <t>ORD10184</t>
  </si>
  <si>
    <t>16-01-2025</t>
  </si>
  <si>
    <t>CUST1156</t>
  </si>
  <si>
    <t>17-01-2025</t>
  </si>
  <si>
    <t>ORD10185</t>
  </si>
  <si>
    <t>20-02-2025</t>
  </si>
  <si>
    <t>CUST1029</t>
  </si>
  <si>
    <t>Meera Agarwal</t>
  </si>
  <si>
    <t>28-02-2025</t>
  </si>
  <si>
    <t>ORD10186</t>
  </si>
  <si>
    <t>21-02-2024</t>
  </si>
  <si>
    <t>27-02-2024</t>
  </si>
  <si>
    <t>ORD10187</t>
  </si>
  <si>
    <t>21-09-2024</t>
  </si>
  <si>
    <t>23-09-2024</t>
  </si>
  <si>
    <t>ORD10188</t>
  </si>
  <si>
    <t>Ananya Mehta</t>
  </si>
  <si>
    <t>ORD10189</t>
  </si>
  <si>
    <t>15-09-2025</t>
  </si>
  <si>
    <t>CUST1247</t>
  </si>
  <si>
    <t>20-09-2025</t>
  </si>
  <si>
    <t>ORD10190</t>
  </si>
  <si>
    <t>29-10-2024</t>
  </si>
  <si>
    <t>CUST1019</t>
  </si>
  <si>
    <t>Nisha Yadav</t>
  </si>
  <si>
    <t>ORD10191</t>
  </si>
  <si>
    <t>CUST1287</t>
  </si>
  <si>
    <t>Karan Mishra</t>
  </si>
  <si>
    <t>17-04-2024</t>
  </si>
  <si>
    <t>ORD10192</t>
  </si>
  <si>
    <t>CUST1318</t>
  </si>
  <si>
    <t>27-04-2025</t>
  </si>
  <si>
    <t>ORD10193</t>
  </si>
  <si>
    <t>19-11-2024</t>
  </si>
  <si>
    <t>CUST1324</t>
  </si>
  <si>
    <t>Karan Jain</t>
  </si>
  <si>
    <t>ORD10194</t>
  </si>
  <si>
    <t>CUST1274</t>
  </si>
  <si>
    <t>Rahul Yadav</t>
  </si>
  <si>
    <t>ORD10195</t>
  </si>
  <si>
    <t>ORD10196</t>
  </si>
  <si>
    <t>ORD10197</t>
  </si>
  <si>
    <t>Kavya Yadav</t>
  </si>
  <si>
    <t>ORD10198</t>
  </si>
  <si>
    <t>30-04-2024</t>
  </si>
  <si>
    <t>ORD10199</t>
  </si>
  <si>
    <t>Nisha Mishra</t>
  </si>
  <si>
    <t>29-08-2024</t>
  </si>
  <si>
    <t>ORD10200</t>
  </si>
  <si>
    <t>15-04-2024</t>
  </si>
  <si>
    <t>ORD10201</t>
  </si>
  <si>
    <t>16-12-2024</t>
  </si>
  <si>
    <t>CUST1234</t>
  </si>
  <si>
    <t>Ananya Chopra</t>
  </si>
  <si>
    <t>ORD10202</t>
  </si>
  <si>
    <t>CUST1314</t>
  </si>
  <si>
    <t>Aarav Chopra</t>
  </si>
  <si>
    <t>14-07-2024</t>
  </si>
  <si>
    <t>ORD10203</t>
  </si>
  <si>
    <t>Arjun Mehta</t>
  </si>
  <si>
    <t>23-08-2024</t>
  </si>
  <si>
    <t>ORD10204</t>
  </si>
  <si>
    <t>18-05-2025</t>
  </si>
  <si>
    <t>ORD10205</t>
  </si>
  <si>
    <t>22-04-2024</t>
  </si>
  <si>
    <t>ORD10206</t>
  </si>
  <si>
    <t>26-09-2025</t>
  </si>
  <si>
    <t>CUST1187</t>
  </si>
  <si>
    <t>Riya Verma</t>
  </si>
  <si>
    <t>ORD10207</t>
  </si>
  <si>
    <t>17-09-2024</t>
  </si>
  <si>
    <t>CUST1202</t>
  </si>
  <si>
    <t>Rahul Malhotra</t>
  </si>
  <si>
    <t>ORD10208</t>
  </si>
  <si>
    <t>27-06-2025</t>
  </si>
  <si>
    <t>Kavya Saxena</t>
  </si>
  <si>
    <t>28-06-2025</t>
  </si>
  <si>
    <t>ORD10209</t>
  </si>
  <si>
    <t>22-12-2024</t>
  </si>
  <si>
    <t>ORD10210</t>
  </si>
  <si>
    <t>Kavya Bansal</t>
  </si>
  <si>
    <t>ORD10211</t>
  </si>
  <si>
    <t>13-06-2024</t>
  </si>
  <si>
    <t>CUST1032</t>
  </si>
  <si>
    <t>Priya Singh</t>
  </si>
  <si>
    <t>18-06-2024</t>
  </si>
  <si>
    <t>ORD10212</t>
  </si>
  <si>
    <t>31-01-2025</t>
  </si>
  <si>
    <t>CUST1028</t>
  </si>
  <si>
    <t>Aarav Yadav</t>
  </si>
  <si>
    <t>ORD10213</t>
  </si>
  <si>
    <t>30-06-2024</t>
  </si>
  <si>
    <t>ORD10214</t>
  </si>
  <si>
    <t>CUST1155</t>
  </si>
  <si>
    <t>ORD10215</t>
  </si>
  <si>
    <t>Neha Jain</t>
  </si>
  <si>
    <t>19-02-2025</t>
  </si>
  <si>
    <t>ORD10216</t>
  </si>
  <si>
    <t>CUST1059</t>
  </si>
  <si>
    <t>16-02-2024</t>
  </si>
  <si>
    <t>ORD10217</t>
  </si>
  <si>
    <t>Aditya Singh</t>
  </si>
  <si>
    <t>ORD10218</t>
  </si>
  <si>
    <t>ORD10219</t>
  </si>
  <si>
    <t>ORD10220</t>
  </si>
  <si>
    <t>CUST1280</t>
  </si>
  <si>
    <t>ORD10221</t>
  </si>
  <si>
    <t>28-03-2024</t>
  </si>
  <si>
    <t>CUST1177</t>
  </si>
  <si>
    <t>ORD10222</t>
  </si>
  <si>
    <t>CUST1102</t>
  </si>
  <si>
    <t>Nisha Malhotra</t>
  </si>
  <si>
    <t>ORD10223</t>
  </si>
  <si>
    <t>ORD10224</t>
  </si>
  <si>
    <t>CUST1090</t>
  </si>
  <si>
    <t>Simran Verma</t>
  </si>
  <si>
    <t>ORD10225</t>
  </si>
  <si>
    <t>27-08-2025</t>
  </si>
  <si>
    <t>Aditi Malhotra</t>
  </si>
  <si>
    <t>31-08-2025</t>
  </si>
  <si>
    <t>ORD10226</t>
  </si>
  <si>
    <t>29-05-2025</t>
  </si>
  <si>
    <t>CUST1315</t>
  </si>
  <si>
    <t>Karan Agarwal</t>
  </si>
  <si>
    <t>ORD10227</t>
  </si>
  <si>
    <t>Meera Saxena</t>
  </si>
  <si>
    <t>ORD10228</t>
  </si>
  <si>
    <t>CUST1335</t>
  </si>
  <si>
    <t>ORD10229</t>
  </si>
  <si>
    <t>CUST1109</t>
  </si>
  <si>
    <t>Rohan Gupta</t>
  </si>
  <si>
    <t>25-08-2024</t>
  </si>
  <si>
    <t>ORD10230</t>
  </si>
  <si>
    <t>CUST1066</t>
  </si>
  <si>
    <t>ORD10231</t>
  </si>
  <si>
    <t>13-11-2025</t>
  </si>
  <si>
    <t>ORD10232</t>
  </si>
  <si>
    <t>CUST1068</t>
  </si>
  <si>
    <t>Arjun Sharma</t>
  </si>
  <si>
    <t>29-08-2025</t>
  </si>
  <si>
    <t>ORD10233</t>
  </si>
  <si>
    <t>CUST1348</t>
  </si>
  <si>
    <t>Ishita Kapoor</t>
  </si>
  <si>
    <t>ORD10234</t>
  </si>
  <si>
    <t>CUST1043</t>
  </si>
  <si>
    <t>Priya Bansal</t>
  </si>
  <si>
    <t>25-09-2024</t>
  </si>
  <si>
    <t>ORD10235</t>
  </si>
  <si>
    <t>CUST1080</t>
  </si>
  <si>
    <t>Ishita Mishra</t>
  </si>
  <si>
    <t>ORD10236</t>
  </si>
  <si>
    <t>14-01-2025</t>
  </si>
  <si>
    <t>Nisha Jain</t>
  </si>
  <si>
    <t>23-01-2025</t>
  </si>
  <si>
    <t>ORD10237</t>
  </si>
  <si>
    <t>CUST1326</t>
  </si>
  <si>
    <t>Aarav Agarwal</t>
  </si>
  <si>
    <t>21-09-2025</t>
  </si>
  <si>
    <t>ORD10238</t>
  </si>
  <si>
    <t>14-02-2025</t>
  </si>
  <si>
    <t>Vivaan Agarwal</t>
  </si>
  <si>
    <t>ORD10239</t>
  </si>
  <si>
    <t>22-06-2024</t>
  </si>
  <si>
    <t>CUST1001</t>
  </si>
  <si>
    <t>Karan Verma</t>
  </si>
  <si>
    <t>23-06-2024</t>
  </si>
  <si>
    <t>ORD10240</t>
  </si>
  <si>
    <t>Vikram Bansal</t>
  </si>
  <si>
    <t>25-08-2025</t>
  </si>
  <si>
    <t>ORD10241</t>
  </si>
  <si>
    <t>29-04-2024</t>
  </si>
  <si>
    <t>CUST1295</t>
  </si>
  <si>
    <t>Ananya Yadav</t>
  </si>
  <si>
    <t>ORD10242</t>
  </si>
  <si>
    <t>14-10-2025</t>
  </si>
  <si>
    <t>ORD10243</t>
  </si>
  <si>
    <t>CUST1350</t>
  </si>
  <si>
    <t>15-08-2025</t>
  </si>
  <si>
    <t>ORD10244</t>
  </si>
  <si>
    <t>CUST1278</t>
  </si>
  <si>
    <t>Vivaan Chopra</t>
  </si>
  <si>
    <t>29-03-2024</t>
  </si>
  <si>
    <t>ORD10245</t>
  </si>
  <si>
    <t>25-02-2024</t>
  </si>
  <si>
    <t>ORD10246</t>
  </si>
  <si>
    <t>29-11-2024</t>
  </si>
  <si>
    <t>Aditi Kumar</t>
  </si>
  <si>
    <t>ORD10247</t>
  </si>
  <si>
    <t>Vikram Chopra</t>
  </si>
  <si>
    <t>ORD10248</t>
  </si>
  <si>
    <t>CUST1250</t>
  </si>
  <si>
    <t>ORD10249</t>
  </si>
  <si>
    <t>27-07-2025</t>
  </si>
  <si>
    <t>Arjun Jain</t>
  </si>
  <si>
    <t>ORD10250</t>
  </si>
  <si>
    <t>20-10-2024</t>
  </si>
  <si>
    <t>CUST1328</t>
  </si>
  <si>
    <t>ORD10251</t>
  </si>
  <si>
    <t>ORD10252</t>
  </si>
  <si>
    <t>CUST1269</t>
  </si>
  <si>
    <t>ORD10253</t>
  </si>
  <si>
    <t>ORD10254</t>
  </si>
  <si>
    <t>CUST1188</t>
  </si>
  <si>
    <t>ORD10255</t>
  </si>
  <si>
    <t>16-03-2025</t>
  </si>
  <si>
    <t>CUST1004</t>
  </si>
  <si>
    <t>Aditi Jain</t>
  </si>
  <si>
    <t>21-03-2025</t>
  </si>
  <si>
    <t>ORD10256</t>
  </si>
  <si>
    <t>19-09-2025</t>
  </si>
  <si>
    <t>CUST1273</t>
  </si>
  <si>
    <t>24-09-2025</t>
  </si>
  <si>
    <t>ORD10257</t>
  </si>
  <si>
    <t>20-01-2024</t>
  </si>
  <si>
    <t>CUST1012</t>
  </si>
  <si>
    <t>ORD10258</t>
  </si>
  <si>
    <t>15-11-2024</t>
  </si>
  <si>
    <t>ORD10259</t>
  </si>
  <si>
    <t>29-03-2025</t>
  </si>
  <si>
    <t>Meera Mishra</t>
  </si>
  <si>
    <t>ORD10260</t>
  </si>
  <si>
    <t>22-07-2024</t>
  </si>
  <si>
    <t>CUST1112</t>
  </si>
  <si>
    <t>Arjun Singh</t>
  </si>
  <si>
    <t>28-07-2024</t>
  </si>
  <si>
    <t>ORD10261</t>
  </si>
  <si>
    <t>CUST1046</t>
  </si>
  <si>
    <t>Vikram Gupta</t>
  </si>
  <si>
    <t>ORD10262</t>
  </si>
  <si>
    <t>22-10-2025</t>
  </si>
  <si>
    <t>CUST1011</t>
  </si>
  <si>
    <t>28-10-2025</t>
  </si>
  <si>
    <t>ORD10263</t>
  </si>
  <si>
    <t>27-11-2024</t>
  </si>
  <si>
    <t>ORD10264</t>
  </si>
  <si>
    <t>27-09-2025</t>
  </si>
  <si>
    <t>Aditi Chopra</t>
  </si>
  <si>
    <t>ORD10265</t>
  </si>
  <si>
    <t>CUST1104</t>
  </si>
  <si>
    <t>Arjun Malhotra</t>
  </si>
  <si>
    <t>17-02-2024</t>
  </si>
  <si>
    <t>ORD10266</t>
  </si>
  <si>
    <t>ORD10267</t>
  </si>
  <si>
    <t>ORD10268</t>
  </si>
  <si>
    <t>CUST1081</t>
  </si>
  <si>
    <t>Aditi Bansal</t>
  </si>
  <si>
    <t>24-07-2025</t>
  </si>
  <si>
    <t>ORD10269</t>
  </si>
  <si>
    <t>ORD10270</t>
  </si>
  <si>
    <t>20-07-2025</t>
  </si>
  <si>
    <t>CUST1293</t>
  </si>
  <si>
    <t>29-07-2025</t>
  </si>
  <si>
    <t>ORD10271</t>
  </si>
  <si>
    <t>CUST1089</t>
  </si>
  <si>
    <t>ORD10272</t>
  </si>
  <si>
    <t>20-08-2024</t>
  </si>
  <si>
    <t>30-08-2024</t>
  </si>
  <si>
    <t>ORD10273</t>
  </si>
  <si>
    <t>ORD10274</t>
  </si>
  <si>
    <t>26-07-2025</t>
  </si>
  <si>
    <t>Rahul Kapoor</t>
  </si>
  <si>
    <t>ORD10275</t>
  </si>
  <si>
    <t>CUST1087</t>
  </si>
  <si>
    <t>Sneha Bansal</t>
  </si>
  <si>
    <t>ORD10276</t>
  </si>
  <si>
    <t>22-10-2024</t>
  </si>
  <si>
    <t>ORD10277</t>
  </si>
  <si>
    <t>ORD10278</t>
  </si>
  <si>
    <t>Aditi Verma</t>
  </si>
  <si>
    <t>ORD10279</t>
  </si>
  <si>
    <t>19-01-2024</t>
  </si>
  <si>
    <t>25-01-2024</t>
  </si>
  <si>
    <t>ORD10280</t>
  </si>
  <si>
    <t>CUST1294</t>
  </si>
  <si>
    <t>Rohan Mehta</t>
  </si>
  <si>
    <t>ORD10281</t>
  </si>
  <si>
    <t>CUST1163</t>
  </si>
  <si>
    <t>19-03-2025</t>
  </si>
  <si>
    <t>ORD10282</t>
  </si>
  <si>
    <t>19-04-2024</t>
  </si>
  <si>
    <t>Simran Kumar</t>
  </si>
  <si>
    <t>ORD10283</t>
  </si>
  <si>
    <t>Rahul Singh</t>
  </si>
  <si>
    <t>ORD10284</t>
  </si>
  <si>
    <t>13-04-2025</t>
  </si>
  <si>
    <t>CUST1022</t>
  </si>
  <si>
    <t>ORD10285</t>
  </si>
  <si>
    <t>CUST1265</t>
  </si>
  <si>
    <t>Vivaan Singh</t>
  </si>
  <si>
    <t>ORD10286</t>
  </si>
  <si>
    <t>ORD10287</t>
  </si>
  <si>
    <t>26-04-2024</t>
  </si>
  <si>
    <t>CUST1197</t>
  </si>
  <si>
    <t>Meera Bansal</t>
  </si>
  <si>
    <t>ORD10288</t>
  </si>
  <si>
    <t>ORD10289</t>
  </si>
  <si>
    <t>Vikram Saxena</t>
  </si>
  <si>
    <t>ORD10290</t>
  </si>
  <si>
    <t>14-09-2025</t>
  </si>
  <si>
    <t>ORD10291</t>
  </si>
  <si>
    <t>19-01-2025</t>
  </si>
  <si>
    <t>ORD10292</t>
  </si>
  <si>
    <t>Priya Mehta</t>
  </si>
  <si>
    <t>ORD10293</t>
  </si>
  <si>
    <t>ORD10294</t>
  </si>
  <si>
    <t>CUST1166</t>
  </si>
  <si>
    <t>ORD10295</t>
  </si>
  <si>
    <t>CUST1275</t>
  </si>
  <si>
    <t>Neha Malhotra</t>
  </si>
  <si>
    <t>ORD10296</t>
  </si>
  <si>
    <t>CUST1016</t>
  </si>
  <si>
    <t>30-12-2024</t>
  </si>
  <si>
    <t>ORD10297</t>
  </si>
  <si>
    <t>31-08-2024</t>
  </si>
  <si>
    <t>ORD10298</t>
  </si>
  <si>
    <t>CUST1074</t>
  </si>
  <si>
    <t>19-05-2025</t>
  </si>
  <si>
    <t>ORD10299</t>
  </si>
  <si>
    <t>CUST1160</t>
  </si>
  <si>
    <t>Aarav Bansal</t>
  </si>
  <si>
    <t>19-02-2024</t>
  </si>
  <si>
    <t>ORD10300</t>
  </si>
  <si>
    <t>26-01-2024</t>
  </si>
  <si>
    <t>ORD10301</t>
  </si>
  <si>
    <t>14-05-2024</t>
  </si>
  <si>
    <t>ORD10302</t>
  </si>
  <si>
    <t>21-04-2025</t>
  </si>
  <si>
    <t>ORD10303</t>
  </si>
  <si>
    <t>31-01-2024</t>
  </si>
  <si>
    <t>CUST1246</t>
  </si>
  <si>
    <t>ORD10304</t>
  </si>
  <si>
    <t>24-04-2025</t>
  </si>
  <si>
    <t>ORD10305</t>
  </si>
  <si>
    <t>29-12-2025</t>
  </si>
  <si>
    <t>ORD10306</t>
  </si>
  <si>
    <t>22-05-2024</t>
  </si>
  <si>
    <t>CUST1339</t>
  </si>
  <si>
    <t>Rohan Malhotra</t>
  </si>
  <si>
    <t>ORD10307</t>
  </si>
  <si>
    <t>Rohan Chopra</t>
  </si>
  <si>
    <t>20-08-2025</t>
  </si>
  <si>
    <t>ORD10308</t>
  </si>
  <si>
    <t>CUST1223</t>
  </si>
  <si>
    <t>Aditi Singh</t>
  </si>
  <si>
    <t>13-02-2025</t>
  </si>
  <si>
    <t>ORD10309</t>
  </si>
  <si>
    <t>25-10-2025</t>
  </si>
  <si>
    <t>ORD10310</t>
  </si>
  <si>
    <t>19-08-2024</t>
  </si>
  <si>
    <t>CUST1296</t>
  </si>
  <si>
    <t>22-08-2024</t>
  </si>
  <si>
    <t>ORD10311</t>
  </si>
  <si>
    <t>Ananya Malhotra</t>
  </si>
  <si>
    <t>ORD10312</t>
  </si>
  <si>
    <t>CUST1241</t>
  </si>
  <si>
    <t>ORD10313</t>
  </si>
  <si>
    <t>22-02-2024</t>
  </si>
  <si>
    <t>CUST1249</t>
  </si>
  <si>
    <t>ORD10314</t>
  </si>
  <si>
    <t>CUST1134</t>
  </si>
  <si>
    <t>ORD10315</t>
  </si>
  <si>
    <t>CUST1060</t>
  </si>
  <si>
    <t>ORD10316</t>
  </si>
  <si>
    <t>CUST1162</t>
  </si>
  <si>
    <t>ORD10317</t>
  </si>
  <si>
    <t>CUST1267</t>
  </si>
  <si>
    <t>ORD10318</t>
  </si>
  <si>
    <t>CUST1018</t>
  </si>
  <si>
    <t>ORD10319</t>
  </si>
  <si>
    <t>ORD10320</t>
  </si>
  <si>
    <t>CUST1103</t>
  </si>
  <si>
    <t>Simran Mehta</t>
  </si>
  <si>
    <t>ORD10321</t>
  </si>
  <si>
    <t>13-09-2024</t>
  </si>
  <si>
    <t>CUST1077</t>
  </si>
  <si>
    <t>Aarav Saxena</t>
  </si>
  <si>
    <t>ORD10322</t>
  </si>
  <si>
    <t>Arjun Bansal</t>
  </si>
  <si>
    <t>ORD10323</t>
  </si>
  <si>
    <t>Rahul Kumar</t>
  </si>
  <si>
    <t>ORD10324</t>
  </si>
  <si>
    <t>ORD10325</t>
  </si>
  <si>
    <t>Kavya Mishra</t>
  </si>
  <si>
    <t>ORD10326</t>
  </si>
  <si>
    <t>CUST1055</t>
  </si>
  <si>
    <t>ORD10327</t>
  </si>
  <si>
    <t>CUST1062</t>
  </si>
  <si>
    <t>Ananya Gupta</t>
  </si>
  <si>
    <t>26-02-2024</t>
  </si>
  <si>
    <t>ORD10328</t>
  </si>
  <si>
    <t>23-03-2024</t>
  </si>
  <si>
    <t>Nisha Saxena</t>
  </si>
  <si>
    <t>ORD10329</t>
  </si>
  <si>
    <t>ORD10330</t>
  </si>
  <si>
    <t>ORD10331</t>
  </si>
  <si>
    <t>Meera Verma</t>
  </si>
  <si>
    <t>ORD10332</t>
  </si>
  <si>
    <t>ORD10333</t>
  </si>
  <si>
    <t>26-07-2024</t>
  </si>
  <si>
    <t>CUST1292</t>
  </si>
  <si>
    <t>Vivaan Kumar</t>
  </si>
  <si>
    <t>ORD10334</t>
  </si>
  <si>
    <t>ORD10335</t>
  </si>
  <si>
    <t>ORD10336</t>
  </si>
  <si>
    <t>ORD10337</t>
  </si>
  <si>
    <t>29-01-2025</t>
  </si>
  <si>
    <t>CUST1219</t>
  </si>
  <si>
    <t>ORD10338</t>
  </si>
  <si>
    <t>CUST1035</t>
  </si>
  <si>
    <t>ORD10339</t>
  </si>
  <si>
    <t>ORD10340</t>
  </si>
  <si>
    <t>CUST1040</t>
  </si>
  <si>
    <t>Arjun Gupta</t>
  </si>
  <si>
    <t>30-03-2024</t>
  </si>
  <si>
    <t>ORD10341</t>
  </si>
  <si>
    <t>31-03-2025</t>
  </si>
  <si>
    <t>ORD10342</t>
  </si>
  <si>
    <t>ORD10343</t>
  </si>
  <si>
    <t>Nisha Gupta</t>
  </si>
  <si>
    <t>ORD10344</t>
  </si>
  <si>
    <t>ORD10345</t>
  </si>
  <si>
    <t>ORD10346</t>
  </si>
  <si>
    <t>15-10-2024</t>
  </si>
  <si>
    <t>ORD10347</t>
  </si>
  <si>
    <t>ORD10348</t>
  </si>
  <si>
    <t>CUST1034</t>
  </si>
  <si>
    <t>Nisha Agarwal</t>
  </si>
  <si>
    <t>14-11-2024</t>
  </si>
  <si>
    <t>ORD10349</t>
  </si>
  <si>
    <t>17-05-2025</t>
  </si>
  <si>
    <t>Kavya Kapoor</t>
  </si>
  <si>
    <t>ORD10350</t>
  </si>
  <si>
    <t>ORD10351</t>
  </si>
  <si>
    <t>ORD10352</t>
  </si>
  <si>
    <t>Ananya Mishra</t>
  </si>
  <si>
    <t>ORD10353</t>
  </si>
  <si>
    <t>15-06-2024</t>
  </si>
  <si>
    <t>CUST1114</t>
  </si>
  <si>
    <t>ORD10354</t>
  </si>
  <si>
    <t>19-06-2025</t>
  </si>
  <si>
    <t>CUST1015</t>
  </si>
  <si>
    <t>25-06-2025</t>
  </si>
  <si>
    <t>ORD10355</t>
  </si>
  <si>
    <t>20-07-2024</t>
  </si>
  <si>
    <t>CUST1263</t>
  </si>
  <si>
    <t>Nisha Sharma</t>
  </si>
  <si>
    <t>ORD10356</t>
  </si>
  <si>
    <t>ORD10357</t>
  </si>
  <si>
    <t>Rahul Saxena</t>
  </si>
  <si>
    <t>ORD10358</t>
  </si>
  <si>
    <t>21-02-2025</t>
  </si>
  <si>
    <t>ORD10359</t>
  </si>
  <si>
    <t>ORD10360</t>
  </si>
  <si>
    <t>ORD10361</t>
  </si>
  <si>
    <t>ORD10362</t>
  </si>
  <si>
    <t>CUST1079</t>
  </si>
  <si>
    <t>ORD10363</t>
  </si>
  <si>
    <t>Ishita Saxena</t>
  </si>
  <si>
    <t>ORD10364</t>
  </si>
  <si>
    <t>ORD10365</t>
  </si>
  <si>
    <t>24-11-2024</t>
  </si>
  <si>
    <t>25-11-2024</t>
  </si>
  <si>
    <t>ORD10366</t>
  </si>
  <si>
    <t>ORD10367</t>
  </si>
  <si>
    <t>Arjun Yadav</t>
  </si>
  <si>
    <t>14-08-2025</t>
  </si>
  <si>
    <t>ORD10368</t>
  </si>
  <si>
    <t>CUST1153</t>
  </si>
  <si>
    <t>Nisha Mehta</t>
  </si>
  <si>
    <t>ORD10369</t>
  </si>
  <si>
    <t>CUST1222</t>
  </si>
  <si>
    <t>ORD10370</t>
  </si>
  <si>
    <t>ORD10371</t>
  </si>
  <si>
    <t>CUST1132</t>
  </si>
  <si>
    <t>Simran Singh</t>
  </si>
  <si>
    <t>ORD10372</t>
  </si>
  <si>
    <t>ORD10373</t>
  </si>
  <si>
    <t>24-04-2024</t>
  </si>
  <si>
    <t>ORD10374</t>
  </si>
  <si>
    <t>CUST1226</t>
  </si>
  <si>
    <t>ORD10375</t>
  </si>
  <si>
    <t>ORD10376</t>
  </si>
  <si>
    <t>ORD10377</t>
  </si>
  <si>
    <t>16-12-2025</t>
  </si>
  <si>
    <t>CUST1216</t>
  </si>
  <si>
    <t>ORD10378</t>
  </si>
  <si>
    <t>17-11-2024</t>
  </si>
  <si>
    <t>CUST1128</t>
  </si>
  <si>
    <t>Meera Yadav</t>
  </si>
  <si>
    <t>ORD10379</t>
  </si>
  <si>
    <t>CUST1194</t>
  </si>
  <si>
    <t>ORD10380</t>
  </si>
  <si>
    <t>CUST1189</t>
  </si>
  <si>
    <t>Karan Bansal</t>
  </si>
  <si>
    <t>25-03-2025</t>
  </si>
  <si>
    <t>ORD10381</t>
  </si>
  <si>
    <t>CUST1145</t>
  </si>
  <si>
    <t>20-05-2024</t>
  </si>
  <si>
    <t>ORD10382</t>
  </si>
  <si>
    <t>ORD10383</t>
  </si>
  <si>
    <t>16-09-2024</t>
  </si>
  <si>
    <t>ORD10384</t>
  </si>
  <si>
    <t>25-05-2024</t>
  </si>
  <si>
    <t>30-05-2024</t>
  </si>
  <si>
    <t>ORD10385</t>
  </si>
  <si>
    <t>24-02-2024</t>
  </si>
  <si>
    <t>CUST1094</t>
  </si>
  <si>
    <t>Vivaan Malhotra</t>
  </si>
  <si>
    <t>28-02-2024</t>
  </si>
  <si>
    <t>ORD10386</t>
  </si>
  <si>
    <t>CUST1146</t>
  </si>
  <si>
    <t>ORD10387</t>
  </si>
  <si>
    <t>24-11-2025</t>
  </si>
  <si>
    <t>CUST1349</t>
  </si>
  <si>
    <t>ORD10388</t>
  </si>
  <si>
    <t>ORD10389</t>
  </si>
  <si>
    <t>ORD10390</t>
  </si>
  <si>
    <t>CUST1217</t>
  </si>
  <si>
    <t>ORD10391</t>
  </si>
  <si>
    <t>23-06-2025</t>
  </si>
  <si>
    <t>CUST1224</t>
  </si>
  <si>
    <t>ORD10392</t>
  </si>
  <si>
    <t>20-04-2024</t>
  </si>
  <si>
    <t>ORD10393</t>
  </si>
  <si>
    <t>27-12-2025</t>
  </si>
  <si>
    <t>ORD10394</t>
  </si>
  <si>
    <t>14-01-2024</t>
  </si>
  <si>
    <t>ORD10395</t>
  </si>
  <si>
    <t>21-01-2024</t>
  </si>
  <si>
    <t>ORD10396</t>
  </si>
  <si>
    <t>Vikram Singh</t>
  </si>
  <si>
    <t>ORD10397</t>
  </si>
  <si>
    <t>14-05-2025</t>
  </si>
  <si>
    <t>Kavya Singh</t>
  </si>
  <si>
    <t>21-05-2025</t>
  </si>
  <si>
    <t>ORD10398</t>
  </si>
  <si>
    <t>Kavya Jain</t>
  </si>
  <si>
    <t>ORD10399</t>
  </si>
  <si>
    <t>28-09-2025</t>
  </si>
  <si>
    <t>CUST1045</t>
  </si>
  <si>
    <t>ORD10400</t>
  </si>
  <si>
    <t>30-09-2024</t>
  </si>
  <si>
    <t>ORD10401</t>
  </si>
  <si>
    <t>ORD10402</t>
  </si>
  <si>
    <t>26-10-2024</t>
  </si>
  <si>
    <t>ORD10403</t>
  </si>
  <si>
    <t>CUST1341</t>
  </si>
  <si>
    <t>ORD10404</t>
  </si>
  <si>
    <t>14-03-2024</t>
  </si>
  <si>
    <t>ORD10405</t>
  </si>
  <si>
    <t>13-10-2024</t>
  </si>
  <si>
    <t>ORD10406</t>
  </si>
  <si>
    <t>17-10-2024</t>
  </si>
  <si>
    <t>Meera Jain</t>
  </si>
  <si>
    <t>ORD10407</t>
  </si>
  <si>
    <t>13-10-2025</t>
  </si>
  <si>
    <t>ORD10408</t>
  </si>
  <si>
    <t>ORD10409</t>
  </si>
  <si>
    <t>16-02-2025</t>
  </si>
  <si>
    <t>ORD10410</t>
  </si>
  <si>
    <t>Karan Kapoor</t>
  </si>
  <si>
    <t>ORD10411</t>
  </si>
  <si>
    <t>Rohan Agarwal</t>
  </si>
  <si>
    <t>ORD10412</t>
  </si>
  <si>
    <t>ORD10413</t>
  </si>
  <si>
    <t>26-08-2024</t>
  </si>
  <si>
    <t>CUST1344</t>
  </si>
  <si>
    <t>Riya Yadav</t>
  </si>
  <si>
    <t>ORD10414</t>
  </si>
  <si>
    <t>13-08-2025</t>
  </si>
  <si>
    <t>CUST1244</t>
  </si>
  <si>
    <t>ORD10415</t>
  </si>
  <si>
    <t>26-08-2025</t>
  </si>
  <si>
    <t>ORD10416</t>
  </si>
  <si>
    <t>ORD10417</t>
  </si>
  <si>
    <t>ORD10418</t>
  </si>
  <si>
    <t>21-07-2025</t>
  </si>
  <si>
    <t>CUST1285</t>
  </si>
  <si>
    <t>Rohan Kumar</t>
  </si>
  <si>
    <t>31-07-2025</t>
  </si>
  <si>
    <t>ORD10419</t>
  </si>
  <si>
    <t>13-02-2024</t>
  </si>
  <si>
    <t>ORD10420</t>
  </si>
  <si>
    <t>ORD10421</t>
  </si>
  <si>
    <t>15-04-2025</t>
  </si>
  <si>
    <t>CUST1069</t>
  </si>
  <si>
    <t>ORD10422</t>
  </si>
  <si>
    <t>Simran Jain</t>
  </si>
  <si>
    <t>21-11-2025</t>
  </si>
  <si>
    <t>ORD10423</t>
  </si>
  <si>
    <t>CUST1253</t>
  </si>
  <si>
    <t>25-09-2025</t>
  </si>
  <si>
    <t>ORD10424</t>
  </si>
  <si>
    <t>17-07-2024</t>
  </si>
  <si>
    <t>ORD10425</t>
  </si>
  <si>
    <t>Ishita Chopra</t>
  </si>
  <si>
    <t>ORD10426</t>
  </si>
  <si>
    <t>CUST1172</t>
  </si>
  <si>
    <t>ORD10427</t>
  </si>
  <si>
    <t>18-03-2025</t>
  </si>
  <si>
    <t>Ananya Singh</t>
  </si>
  <si>
    <t>ORD10428</t>
  </si>
  <si>
    <t>ORD10429</t>
  </si>
  <si>
    <t>15-02-2025</t>
  </si>
  <si>
    <t>CUST1120</t>
  </si>
  <si>
    <t>ORD10430</t>
  </si>
  <si>
    <t>ORD10431</t>
  </si>
  <si>
    <t>21-08-2025</t>
  </si>
  <si>
    <t>CUST1184</t>
  </si>
  <si>
    <t>28-08-2025</t>
  </si>
  <si>
    <t>ORD10432</t>
  </si>
  <si>
    <t>Rahul Mishra</t>
  </si>
  <si>
    <t>ORD10433</t>
  </si>
  <si>
    <t>ORD10434</t>
  </si>
  <si>
    <t>ORD10435</t>
  </si>
  <si>
    <t>CUST1135</t>
  </si>
  <si>
    <t>ORD10436</t>
  </si>
  <si>
    <t>CUST1067</t>
  </si>
  <si>
    <t>22-03-2025</t>
  </si>
  <si>
    <t>ORD10437</t>
  </si>
  <si>
    <t>CUST1144</t>
  </si>
  <si>
    <t>ORD10438</t>
  </si>
  <si>
    <t>23-04-2025</t>
  </si>
  <si>
    <t>ORD10439</t>
  </si>
  <si>
    <t>CUST1192</t>
  </si>
  <si>
    <t>Ananya Kapoor</t>
  </si>
  <si>
    <t>ORD10440</t>
  </si>
  <si>
    <t>Neha Kumar</t>
  </si>
  <si>
    <t>ORD10441</t>
  </si>
  <si>
    <t>ORD10442</t>
  </si>
  <si>
    <t>Aarav Malhotra</t>
  </si>
  <si>
    <t>ORD10443</t>
  </si>
  <si>
    <t>Ishita Singh</t>
  </si>
  <si>
    <t>ORD10444</t>
  </si>
  <si>
    <t>ORD10445</t>
  </si>
  <si>
    <t>CUST1232</t>
  </si>
  <si>
    <t>Priya Verma</t>
  </si>
  <si>
    <t>ORD10446</t>
  </si>
  <si>
    <t>CUST1030</t>
  </si>
  <si>
    <t>ORD10447</t>
  </si>
  <si>
    <t>29-07-2024</t>
  </si>
  <si>
    <t>ORD10448</t>
  </si>
  <si>
    <t>ORD10449</t>
  </si>
  <si>
    <t>26-03-2025</t>
  </si>
  <si>
    <t>ORD10450</t>
  </si>
  <si>
    <t>Ishita Malhotra</t>
  </si>
  <si>
    <t>ORD10451</t>
  </si>
  <si>
    <t>ORD10452</t>
  </si>
  <si>
    <t>13-09-2025</t>
  </si>
  <si>
    <t>Pooja Gupta</t>
  </si>
  <si>
    <t>ORD10453</t>
  </si>
  <si>
    <t>CUST1003</t>
  </si>
  <si>
    <t>ORD10454</t>
  </si>
  <si>
    <t>CUST1023</t>
  </si>
  <si>
    <t>ORD10455</t>
  </si>
  <si>
    <t>26-06-2024</t>
  </si>
  <si>
    <t>Pooja Singh</t>
  </si>
  <si>
    <t>ORD10456</t>
  </si>
  <si>
    <t>ORD10457</t>
  </si>
  <si>
    <t>Vikram Sharma</t>
  </si>
  <si>
    <t>ORD10458</t>
  </si>
  <si>
    <t>ORD10459</t>
  </si>
  <si>
    <t>ORD10460</t>
  </si>
  <si>
    <t>ORD10461</t>
  </si>
  <si>
    <t>ORD10462</t>
  </si>
  <si>
    <t>ORD10463</t>
  </si>
  <si>
    <t>CUST1329</t>
  </si>
  <si>
    <t>ORD10464</t>
  </si>
  <si>
    <t>14-03-2025</t>
  </si>
  <si>
    <t>ORD10465</t>
  </si>
  <si>
    <t>21-10-2025</t>
  </si>
  <si>
    <t>CUST1042</t>
  </si>
  <si>
    <t>ORD10466</t>
  </si>
  <si>
    <t>26-05-2024</t>
  </si>
  <si>
    <t>Priya Sharma</t>
  </si>
  <si>
    <t>ORD10467</t>
  </si>
  <si>
    <t>21-07-2024</t>
  </si>
  <si>
    <t>ORD10468</t>
  </si>
  <si>
    <t>21-01-2025</t>
  </si>
  <si>
    <t>ORD10469</t>
  </si>
  <si>
    <t>ORD10470</t>
  </si>
  <si>
    <t>ORD10471</t>
  </si>
  <si>
    <t>Pooja Yadav</t>
  </si>
  <si>
    <t>ORD10472</t>
  </si>
  <si>
    <t>ORD10473</t>
  </si>
  <si>
    <t>CUST1113</t>
  </si>
  <si>
    <t>ORD10474</t>
  </si>
  <si>
    <t>Ananya Verma</t>
  </si>
  <si>
    <t>ORD10475</t>
  </si>
  <si>
    <t>CUST1098</t>
  </si>
  <si>
    <t>Pooja Mehta</t>
  </si>
  <si>
    <t>ORD10476</t>
  </si>
  <si>
    <t>ORD10477</t>
  </si>
  <si>
    <t>CUST1108</t>
  </si>
  <si>
    <t>Vikram Yadav</t>
  </si>
  <si>
    <t>ORD10478</t>
  </si>
  <si>
    <t>ORD10479</t>
  </si>
  <si>
    <t>28-05-2024</t>
  </si>
  <si>
    <t>Aarav Jain</t>
  </si>
  <si>
    <t>ORD10480</t>
  </si>
  <si>
    <t>ORD10481</t>
  </si>
  <si>
    <t>Meera Singh</t>
  </si>
  <si>
    <t>ORD10482</t>
  </si>
  <si>
    <t>ORD10483</t>
  </si>
  <si>
    <t>ORD10484</t>
  </si>
  <si>
    <t>Rohan Bansal</t>
  </si>
  <si>
    <t>ORD10485</t>
  </si>
  <si>
    <t>CUST1303</t>
  </si>
  <si>
    <t>Sneha Kumar</t>
  </si>
  <si>
    <t>ORD10486</t>
  </si>
  <si>
    <t>CUST1138</t>
  </si>
  <si>
    <t>ORD10487</t>
  </si>
  <si>
    <t>ORD10488</t>
  </si>
  <si>
    <t>ORD10489</t>
  </si>
  <si>
    <t>22-09-2024</t>
  </si>
  <si>
    <t>CUST1337</t>
  </si>
  <si>
    <t>ORD10490</t>
  </si>
  <si>
    <t>ORD10491</t>
  </si>
  <si>
    <t>CUST1218</t>
  </si>
  <si>
    <t>ORD10492</t>
  </si>
  <si>
    <t>ORD10493</t>
  </si>
  <si>
    <t>ORD10494</t>
  </si>
  <si>
    <t>CUST1169</t>
  </si>
  <si>
    <t>ORD10495</t>
  </si>
  <si>
    <t>ORD10496</t>
  </si>
  <si>
    <t>ORD10497</t>
  </si>
  <si>
    <t>ORD10498</t>
  </si>
  <si>
    <t>CUST1149</t>
  </si>
  <si>
    <t>ORD10499</t>
  </si>
  <si>
    <t>ORD10500</t>
  </si>
  <si>
    <t>ORD10501</t>
  </si>
  <si>
    <t>Vivaan Mishra</t>
  </si>
  <si>
    <t>ORD10502</t>
  </si>
  <si>
    <t>ORD10503</t>
  </si>
  <si>
    <t>CUST1336</t>
  </si>
  <si>
    <t>ORD10504</t>
  </si>
  <si>
    <t>ORD10505</t>
  </si>
  <si>
    <t>ORD10506</t>
  </si>
  <si>
    <t>14-12-2025</t>
  </si>
  <si>
    <t>Ananya Kumar</t>
  </si>
  <si>
    <t>ORD10507</t>
  </si>
  <si>
    <t>ORD10508</t>
  </si>
  <si>
    <t>Aditi Mishra</t>
  </si>
  <si>
    <t>ORD10509</t>
  </si>
  <si>
    <t>16-06-2024</t>
  </si>
  <si>
    <t>ORD10510</t>
  </si>
  <si>
    <t>ORD10511</t>
  </si>
  <si>
    <t>ORD10512</t>
  </si>
  <si>
    <t>13-12-2024</t>
  </si>
  <si>
    <t>ORD10513</t>
  </si>
  <si>
    <t>ORD10514</t>
  </si>
  <si>
    <t>ORD10515</t>
  </si>
  <si>
    <t>ORD10516</t>
  </si>
  <si>
    <t>ORD10517</t>
  </si>
  <si>
    <t>ORD10518</t>
  </si>
  <si>
    <t>ORD10519</t>
  </si>
  <si>
    <t>CUST1126</t>
  </si>
  <si>
    <t>Aditya Sharma</t>
  </si>
  <si>
    <t>ORD10520</t>
  </si>
  <si>
    <t>ORD10521</t>
  </si>
  <si>
    <t>CUST1065</t>
  </si>
  <si>
    <t>ORD10522</t>
  </si>
  <si>
    <t>22-01-2025</t>
  </si>
  <si>
    <t>ORD10523</t>
  </si>
  <si>
    <t>25-07-2024</t>
  </si>
  <si>
    <t>ORD10524</t>
  </si>
  <si>
    <t>ORD10525</t>
  </si>
  <si>
    <t>28-11-2025</t>
  </si>
  <si>
    <t>CUST1257</t>
  </si>
  <si>
    <t>ORD10526</t>
  </si>
  <si>
    <t>CUST1008</t>
  </si>
  <si>
    <t>ORD10527</t>
  </si>
  <si>
    <t>13-03-2024</t>
  </si>
  <si>
    <t>ORD10528</t>
  </si>
  <si>
    <t>ORD10529</t>
  </si>
  <si>
    <t>ORD10530</t>
  </si>
  <si>
    <t>Arjun Kumar</t>
  </si>
  <si>
    <t>ORD10531</t>
  </si>
  <si>
    <t>ORD10532</t>
  </si>
  <si>
    <t>Karan Singh</t>
  </si>
  <si>
    <t>ORD10533</t>
  </si>
  <si>
    <t>Neha Sharma</t>
  </si>
  <si>
    <t>ORD10534</t>
  </si>
  <si>
    <t>CUST1097</t>
  </si>
  <si>
    <t>ORD10535</t>
  </si>
  <si>
    <t>Ishita Mehta</t>
  </si>
  <si>
    <t>ORD10536</t>
  </si>
  <si>
    <t>ORD10537</t>
  </si>
  <si>
    <t>ORD10538</t>
  </si>
  <si>
    <t>ORD10539</t>
  </si>
  <si>
    <t>16-07-2024</t>
  </si>
  <si>
    <t>ORD10540</t>
  </si>
  <si>
    <t>Rahul Verma</t>
  </si>
  <si>
    <t>ORD10541</t>
  </si>
  <si>
    <t>ORD10542</t>
  </si>
  <si>
    <t>CUST1048</t>
  </si>
  <si>
    <t>ORD10543</t>
  </si>
  <si>
    <t>ORD10544</t>
  </si>
  <si>
    <t>ORD10545</t>
  </si>
  <si>
    <t>CUST1254</t>
  </si>
  <si>
    <t>ORD10546</t>
  </si>
  <si>
    <t>ORD10547</t>
  </si>
  <si>
    <t>27-10-2024</t>
  </si>
  <si>
    <t>ORD10548</t>
  </si>
  <si>
    <t>CUST1165</t>
  </si>
  <si>
    <t>ORD10549</t>
  </si>
  <si>
    <t>21-11-2024</t>
  </si>
  <si>
    <t>ORD10550</t>
  </si>
  <si>
    <t>ORD10551</t>
  </si>
  <si>
    <t>27-12-2024</t>
  </si>
  <si>
    <t>ORD10552</t>
  </si>
  <si>
    <t>24-05-2024</t>
  </si>
  <si>
    <t>ORD10553</t>
  </si>
  <si>
    <t>CUST1088</t>
  </si>
  <si>
    <t>ORD10554</t>
  </si>
  <si>
    <t>ORD10555</t>
  </si>
  <si>
    <t>ORD10556</t>
  </si>
  <si>
    <t>ORD10557</t>
  </si>
  <si>
    <t>ORD10558</t>
  </si>
  <si>
    <t>ORD10559</t>
  </si>
  <si>
    <t>CUST1116</t>
  </si>
  <si>
    <t>ORD10560</t>
  </si>
  <si>
    <t>CUST1319</t>
  </si>
  <si>
    <t>ORD10561</t>
  </si>
  <si>
    <t>ORD10562</t>
  </si>
  <si>
    <t>ORD10563</t>
  </si>
  <si>
    <t>25-04-2024</t>
  </si>
  <si>
    <t>ORD10564</t>
  </si>
  <si>
    <t>ORD10565</t>
  </si>
  <si>
    <t>ORD10566</t>
  </si>
  <si>
    <t>15-02-2024</t>
  </si>
  <si>
    <t>ORD10567</t>
  </si>
  <si>
    <t>ORD10568</t>
  </si>
  <si>
    <t>ORD10569</t>
  </si>
  <si>
    <t>28-03-2025</t>
  </si>
  <si>
    <t>ORD10570</t>
  </si>
  <si>
    <t>14-06-2025</t>
  </si>
  <si>
    <t>ORD10571</t>
  </si>
  <si>
    <t>CUST1170</t>
  </si>
  <si>
    <t>ORD10572</t>
  </si>
  <si>
    <t>30-09-2025</t>
  </si>
  <si>
    <t>ORD10573</t>
  </si>
  <si>
    <t>ORD10574</t>
  </si>
  <si>
    <t>CUST1342</t>
  </si>
  <si>
    <t>25-10-2024</t>
  </si>
  <si>
    <t>ORD10575</t>
  </si>
  <si>
    <t>CUST1182</t>
  </si>
  <si>
    <t>ORD10576</t>
  </si>
  <si>
    <t>ORD10577</t>
  </si>
  <si>
    <t>17-08-2025</t>
  </si>
  <si>
    <t>ORD10578</t>
  </si>
  <si>
    <t>CUST1020</t>
  </si>
  <si>
    <t>ORD10579</t>
  </si>
  <si>
    <t>CUST1083</t>
  </si>
  <si>
    <t>ORD10580</t>
  </si>
  <si>
    <t>13-07-2025</t>
  </si>
  <si>
    <t>ORD10581</t>
  </si>
  <si>
    <t>ORD10582</t>
  </si>
  <si>
    <t>ORD10583</t>
  </si>
  <si>
    <t>ORD10584</t>
  </si>
  <si>
    <t>Sneha Mehta</t>
  </si>
  <si>
    <t>ORD10585</t>
  </si>
  <si>
    <t>Arjun Saxena</t>
  </si>
  <si>
    <t>ORD10586</t>
  </si>
  <si>
    <t>ORD10587</t>
  </si>
  <si>
    <t>ORD10588</t>
  </si>
  <si>
    <t>ORD10589</t>
  </si>
  <si>
    <t>27-04-2024</t>
  </si>
  <si>
    <t>ORD10590</t>
  </si>
  <si>
    <t>ORD10591</t>
  </si>
  <si>
    <t>ORD10592</t>
  </si>
  <si>
    <t>CUST1141</t>
  </si>
  <si>
    <t>ORD10593</t>
  </si>
  <si>
    <t>22-04-2025</t>
  </si>
  <si>
    <t>ORD10594</t>
  </si>
  <si>
    <t>ORD10595</t>
  </si>
  <si>
    <t>CUST1308</t>
  </si>
  <si>
    <t>Vikram Jain</t>
  </si>
  <si>
    <t>ORD10596</t>
  </si>
  <si>
    <t>19-10-2024</t>
  </si>
  <si>
    <t>ORD10597</t>
  </si>
  <si>
    <t>CUST1261</t>
  </si>
  <si>
    <t>ORD10598</t>
  </si>
  <si>
    <t>ORD10599</t>
  </si>
  <si>
    <t>ORD10600</t>
  </si>
  <si>
    <t>ORD10601</t>
  </si>
  <si>
    <t>ORD10602</t>
  </si>
  <si>
    <t>ORD10603</t>
  </si>
  <si>
    <t>26-03-2024</t>
  </si>
  <si>
    <t>ORD10604</t>
  </si>
  <si>
    <t>Neha Agarwal</t>
  </si>
  <si>
    <t>ORD10605</t>
  </si>
  <si>
    <t>ORD10606</t>
  </si>
  <si>
    <t>ORD10607</t>
  </si>
  <si>
    <t>ORD10608</t>
  </si>
  <si>
    <t>ORD10609</t>
  </si>
  <si>
    <t>CUST1107</t>
  </si>
  <si>
    <t>ORD10610</t>
  </si>
  <si>
    <t>16-05-2025</t>
  </si>
  <si>
    <t>23-05-2025</t>
  </si>
  <si>
    <t>ORD10611</t>
  </si>
  <si>
    <t>ORD10612</t>
  </si>
  <si>
    <t>ORD10613</t>
  </si>
  <si>
    <t>17-09-2025</t>
  </si>
  <si>
    <t>23-09-2025</t>
  </si>
  <si>
    <t>ORD10614</t>
  </si>
  <si>
    <t>ORD10615</t>
  </si>
  <si>
    <t>ORD10616</t>
  </si>
  <si>
    <t>ORD10617</t>
  </si>
  <si>
    <t>ORD10618</t>
  </si>
  <si>
    <t>13-01-2025</t>
  </si>
  <si>
    <t>ORD10619</t>
  </si>
  <si>
    <t>27-08-2024</t>
  </si>
  <si>
    <t>ORD10620</t>
  </si>
  <si>
    <t>ORD10621</t>
  </si>
  <si>
    <t>ORD10622</t>
  </si>
  <si>
    <t>29-05-2024</t>
  </si>
  <si>
    <t>ORD10623</t>
  </si>
  <si>
    <t>ORD10624</t>
  </si>
  <si>
    <t>ORD10625</t>
  </si>
  <si>
    <t>26-09-2024</t>
  </si>
  <si>
    <t>ORD10626</t>
  </si>
  <si>
    <t>ORD10627</t>
  </si>
  <si>
    <t>Neha Kapoor</t>
  </si>
  <si>
    <t>ORD10628</t>
  </si>
  <si>
    <t>ORD10629</t>
  </si>
  <si>
    <t>ORD10630</t>
  </si>
  <si>
    <t>ORD10631</t>
  </si>
  <si>
    <t>CUST1100</t>
  </si>
  <si>
    <t>ORD10632</t>
  </si>
  <si>
    <t>28-05-2025</t>
  </si>
  <si>
    <t>ORD10633</t>
  </si>
  <si>
    <t>ORD10634</t>
  </si>
  <si>
    <t>ORD10635</t>
  </si>
  <si>
    <t>22-05-2025</t>
  </si>
  <si>
    <t>ORD10636</t>
  </si>
  <si>
    <t>CUST1133</t>
  </si>
  <si>
    <t>ORD10637</t>
  </si>
  <si>
    <t>26-11-2024</t>
  </si>
  <si>
    <t>Karan Mehta</t>
  </si>
  <si>
    <t>ORD10638</t>
  </si>
  <si>
    <t>CUST1205</t>
  </si>
  <si>
    <t>ORD10639</t>
  </si>
  <si>
    <t>ORD10640</t>
  </si>
  <si>
    <t>ORD10641</t>
  </si>
  <si>
    <t>ORD10642</t>
  </si>
  <si>
    <t>Aarav Singh</t>
  </si>
  <si>
    <t>ORD10643</t>
  </si>
  <si>
    <t>ORD10644</t>
  </si>
  <si>
    <t>ORD10645</t>
  </si>
  <si>
    <t>ORD10646</t>
  </si>
  <si>
    <t>21-06-2025</t>
  </si>
  <si>
    <t>ORD10647</t>
  </si>
  <si>
    <t>ORD10648</t>
  </si>
  <si>
    <t>18-10-2025</t>
  </si>
  <si>
    <t>ORD10649</t>
  </si>
  <si>
    <t>Karan Yadav</t>
  </si>
  <si>
    <t>ORD10650</t>
  </si>
  <si>
    <t>29-04-2025</t>
  </si>
  <si>
    <t>ORD10651</t>
  </si>
  <si>
    <t>ORD10652</t>
  </si>
  <si>
    <t>CUST1175</t>
  </si>
  <si>
    <t>ORD10653</t>
  </si>
  <si>
    <t>CUST1272</t>
  </si>
  <si>
    <t>ORD10654</t>
  </si>
  <si>
    <t>ORD10655</t>
  </si>
  <si>
    <t>ORD10656</t>
  </si>
  <si>
    <t>ORD10657</t>
  </si>
  <si>
    <t>ORD10658</t>
  </si>
  <si>
    <t>19-04-2025</t>
  </si>
  <si>
    <t>ORD10659</t>
  </si>
  <si>
    <t>CUST1036</t>
  </si>
  <si>
    <t>ORD10660</t>
  </si>
  <si>
    <t>ORD10661</t>
  </si>
  <si>
    <t>Riya Saxena</t>
  </si>
  <si>
    <t>ORD10662</t>
  </si>
  <si>
    <t>23-05-2024</t>
  </si>
  <si>
    <t>ORD10663</t>
  </si>
  <si>
    <t>ORD10664</t>
  </si>
  <si>
    <t>ORD10665</t>
  </si>
  <si>
    <t>ORD10666</t>
  </si>
  <si>
    <t>ORD10667</t>
  </si>
  <si>
    <t>CUST1033</t>
  </si>
  <si>
    <t>Rohan Kapoor</t>
  </si>
  <si>
    <t>ORD10668</t>
  </si>
  <si>
    <t>ORD10669</t>
  </si>
  <si>
    <t>14-09-2024</t>
  </si>
  <si>
    <t>ORD10670</t>
  </si>
  <si>
    <t>13-07-2024</t>
  </si>
  <si>
    <t>ORD10671</t>
  </si>
  <si>
    <t>ORD10672</t>
  </si>
  <si>
    <t>ORD10673</t>
  </si>
  <si>
    <t>ORD10674</t>
  </si>
  <si>
    <t>ORD10675</t>
  </si>
  <si>
    <t>ORD10676</t>
  </si>
  <si>
    <t>CUST1168</t>
  </si>
  <si>
    <t>ORD10677</t>
  </si>
  <si>
    <t>ORD10678</t>
  </si>
  <si>
    <t>ORD10679</t>
  </si>
  <si>
    <t>ORD10680</t>
  </si>
  <si>
    <t>ORD10681</t>
  </si>
  <si>
    <t>CUST1309</t>
  </si>
  <si>
    <t>ORD10682</t>
  </si>
  <si>
    <t>ORD10683</t>
  </si>
  <si>
    <t>ORD10684</t>
  </si>
  <si>
    <t>Aarav Mehta</t>
  </si>
  <si>
    <t>ORD10685</t>
  </si>
  <si>
    <t>ORD10686</t>
  </si>
  <si>
    <t>ORD10687</t>
  </si>
  <si>
    <t>27-01-2024</t>
  </si>
  <si>
    <t>ORD10688</t>
  </si>
  <si>
    <t>ORD10689</t>
  </si>
  <si>
    <t>ORD10690</t>
  </si>
  <si>
    <t>13-06-2025</t>
  </si>
  <si>
    <t>ORD10691</t>
  </si>
  <si>
    <t>ORD10692</t>
  </si>
  <si>
    <t>15-12-2024</t>
  </si>
  <si>
    <t>ORD10693</t>
  </si>
  <si>
    <t>Aditya Chopra</t>
  </si>
  <si>
    <t>15-05-2024</t>
  </si>
  <si>
    <t>ORD10694</t>
  </si>
  <si>
    <t>ORD10695</t>
  </si>
  <si>
    <t>ORD10696</t>
  </si>
  <si>
    <t>27-05-2024</t>
  </si>
  <si>
    <t>CUST1125</t>
  </si>
  <si>
    <t>ORD10697</t>
  </si>
  <si>
    <t>Aarav Mishra</t>
  </si>
  <si>
    <t>ORD10698</t>
  </si>
  <si>
    <t>CUST1131</t>
  </si>
  <si>
    <t>ORD10699</t>
  </si>
  <si>
    <t>ORD10700</t>
  </si>
  <si>
    <t>ORD10701</t>
  </si>
  <si>
    <t>ORD10702</t>
  </si>
  <si>
    <t>ORD10703</t>
  </si>
  <si>
    <t>ORD10704</t>
  </si>
  <si>
    <t>Sneha Agarwal</t>
  </si>
  <si>
    <t>ORD10705</t>
  </si>
  <si>
    <t>ORD10706</t>
  </si>
  <si>
    <t>Ananya Sharma</t>
  </si>
  <si>
    <t>ORD10707</t>
  </si>
  <si>
    <t>CUST1291</t>
  </si>
  <si>
    <t>ORD10708</t>
  </si>
  <si>
    <t>22-03-2024</t>
  </si>
  <si>
    <t>ORD10709</t>
  </si>
  <si>
    <t>ORD10710</t>
  </si>
  <si>
    <t>ORD10711</t>
  </si>
  <si>
    <t>Vivaan Yadav</t>
  </si>
  <si>
    <t>ORD10712</t>
  </si>
  <si>
    <t>ORD10713</t>
  </si>
  <si>
    <t>CUST1117</t>
  </si>
  <si>
    <t>ORD10714</t>
  </si>
  <si>
    <t>ORD10715</t>
  </si>
  <si>
    <t>28-01-2025</t>
  </si>
  <si>
    <t>ORD10716</t>
  </si>
  <si>
    <t>ORD10717</t>
  </si>
  <si>
    <t>ORD10718</t>
  </si>
  <si>
    <t>ORD10719</t>
  </si>
  <si>
    <t>Neha Yadav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</si>
  <si>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</si>
  <si>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</si>
  <si>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</si>
  <si>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</si>
  <si>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</si>
  <si>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</si>
  <si>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</si>
  <si>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</si>
  <si>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</si>
  <si>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</si>
  <si>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</si>
  <si>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</si>
  <si>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</si>
  <si>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Pooja Saxena</t>
  </si>
  <si>
    <t>ORD10733</t>
  </si>
  <si>
    <t>ORD10734</t>
  </si>
  <si>
    <t>CUST1078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</si>
  <si>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</si>
  <si>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</si>
  <si>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</si>
  <si>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</si>
  <si>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</si>
  <si>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</si>
  <si>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</si>
  <si>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</si>
  <si>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</si>
  <si>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</si>
  <si>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</si>
  <si>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</si>
  <si>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CUST1210</t>
  </si>
  <si>
    <t>ORD10747</t>
  </si>
  <si>
    <t>ORD10748</t>
  </si>
  <si>
    <t>ORD10749</t>
  </si>
  <si>
    <t>ORD10750</t>
  </si>
  <si>
    <t>ORD10751</t>
  </si>
  <si>
    <t>20-12-2025</t>
  </si>
  <si>
    <t>ORD10752</t>
  </si>
  <si>
    <t>CUST1137</t>
  </si>
  <si>
    <t>ORD10753</t>
  </si>
  <si>
    <t>ORD10754</t>
  </si>
  <si>
    <t>18-12-2025</t>
  </si>
  <si>
    <t>ORD10755</t>
  </si>
  <si>
    <t>ORD10756</t>
  </si>
  <si>
    <t>23-10-2025</t>
  </si>
  <si>
    <t>ORD10757</t>
  </si>
  <si>
    <t>CUST1183</t>
  </si>
  <si>
    <t>ORD10758</t>
  </si>
  <si>
    <t>28-04-2024</t>
  </si>
  <si>
    <t>ORD10759</t>
  </si>
  <si>
    <t>ORD10760</t>
  </si>
  <si>
    <t>CUST1322</t>
  </si>
  <si>
    <t>ORD10761</t>
  </si>
  <si>
    <t>ORD10762</t>
  </si>
  <si>
    <t>ORD10763</t>
  </si>
  <si>
    <t>Vikram Verma</t>
  </si>
  <si>
    <t>ORD10764</t>
  </si>
  <si>
    <t>ORD10765</t>
  </si>
  <si>
    <t>15-01-2024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</si>
  <si>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</si>
  <si>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</si>
  <si>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</si>
  <si>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</si>
  <si>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</si>
  <si>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</si>
  <si>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</si>
  <si>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</si>
  <si>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</si>
  <si>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</si>
  <si>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</si>
  <si>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</si>
  <si>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</si>
  <si>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</si>
  <si>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</si>
  <si>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</si>
  <si>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</si>
  <si>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</si>
  <si>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</si>
  <si>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</si>
  <si>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</si>
  <si>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15-07-2024</t>
  </si>
  <si>
    <t>ORD10787</t>
  </si>
  <si>
    <t>28-06-2024</t>
  </si>
  <si>
    <t>ORD10788</t>
  </si>
  <si>
    <t>ORD10789</t>
  </si>
  <si>
    <t>ORD10790</t>
  </si>
  <si>
    <t>ORD10791</t>
  </si>
  <si>
    <t>ORD10792</t>
  </si>
  <si>
    <t>ORD10793</t>
  </si>
  <si>
    <t>CUST1227</t>
  </si>
  <si>
    <t>ORD10794</t>
  </si>
  <si>
    <t>29-09-2025</t>
  </si>
  <si>
    <t>ORD10795</t>
  </si>
  <si>
    <t>ORD10796</t>
  </si>
  <si>
    <t>ORD10797</t>
  </si>
  <si>
    <t>ORD10798</t>
  </si>
  <si>
    <t>ORD10799</t>
  </si>
  <si>
    <t>ORD10800</t>
  </si>
  <si>
    <t>Riya Singh</t>
  </si>
  <si>
    <t>ORD10801</t>
  </si>
  <si>
    <t>ORD10802</t>
  </si>
  <si>
    <t>ORD10803</t>
  </si>
  <si>
    <t>ORD10804</t>
  </si>
  <si>
    <t>ORD10805</t>
  </si>
  <si>
    <t>CUST1013</t>
  </si>
  <si>
    <t>16-04-2024</t>
  </si>
  <si>
    <t>ORD10806</t>
  </si>
  <si>
    <t>22-08-2025</t>
  </si>
  <si>
    <t>ORD10807</t>
  </si>
  <si>
    <t>Aarav Gupta</t>
  </si>
  <si>
    <t>ORD10808</t>
  </si>
  <si>
    <t>ORD10809</t>
  </si>
  <si>
    <t>ORD10810</t>
  </si>
  <si>
    <t>ORD10811</t>
  </si>
  <si>
    <t>ORD10812</t>
  </si>
  <si>
    <t>30-11-2024</t>
  </si>
  <si>
    <t>ORD10813</t>
  </si>
  <si>
    <t>ORD10814</t>
  </si>
  <si>
    <t>ORD10815</t>
  </si>
  <si>
    <t>Ishita Agarwal</t>
  </si>
  <si>
    <t>ORD10816</t>
  </si>
  <si>
    <t>ORD10817</t>
  </si>
  <si>
    <t>ORD10818</t>
  </si>
  <si>
    <t>Rohan Sharma</t>
  </si>
  <si>
    <t>ORD10819</t>
  </si>
  <si>
    <t>ORD10820</t>
  </si>
  <si>
    <t>ORD10821</t>
  </si>
  <si>
    <t>ORD10822</t>
  </si>
  <si>
    <t>17-10-2025</t>
  </si>
  <si>
    <t>ORD10823</t>
  </si>
  <si>
    <t>ORD10824</t>
  </si>
  <si>
    <t>CUST1002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</si>
  <si>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</si>
  <si>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</si>
  <si>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</si>
  <si>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</si>
  <si>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</si>
  <si>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</si>
  <si>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</si>
  <si>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</si>
  <si>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</si>
  <si>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</si>
  <si>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18-02-2025</t>
  </si>
  <si>
    <t>CUST1148</t>
  </si>
  <si>
    <t>ORD10835</t>
  </si>
  <si>
    <t>ORD10836</t>
  </si>
  <si>
    <t>ORD10837</t>
  </si>
  <si>
    <t>16-11-2025</t>
  </si>
  <si>
    <t>ORD10838</t>
  </si>
  <si>
    <t>ORD10839</t>
  </si>
  <si>
    <t>ORD10840</t>
  </si>
  <si>
    <t>ORD10841</t>
  </si>
  <si>
    <t>ORD10842</t>
  </si>
  <si>
    <t>ORD10843</t>
  </si>
  <si>
    <t>ORD10844</t>
  </si>
  <si>
    <t>20-10-2025</t>
  </si>
  <si>
    <t>ORD10845</t>
  </si>
  <si>
    <t>ORD10846</t>
  </si>
  <si>
    <t>ORD10847</t>
  </si>
  <si>
    <t>ORD10848</t>
  </si>
  <si>
    <t>ORD10849</t>
  </si>
  <si>
    <t>ORD10850</t>
  </si>
  <si>
    <t>CUST1093</t>
  </si>
  <si>
    <t>ORD10851</t>
  </si>
  <si>
    <t>ORD10852</t>
  </si>
  <si>
    <t>ORD10853</t>
  </si>
  <si>
    <t>Simran Sharma</t>
  </si>
  <si>
    <t>ORD10854</t>
  </si>
  <si>
    <t>ORD10855</t>
  </si>
  <si>
    <t>ORD10856</t>
  </si>
  <si>
    <t>ORD10857</t>
  </si>
  <si>
    <t>ORD10858</t>
  </si>
  <si>
    <t>ORD10859</t>
  </si>
  <si>
    <t>ORD10860</t>
  </si>
  <si>
    <t>18-04-2025</t>
  </si>
  <si>
    <t>ORD10861</t>
  </si>
  <si>
    <t>ORD10862</t>
  </si>
  <si>
    <t>CUST1150</t>
  </si>
  <si>
    <t>ORD10863</t>
  </si>
  <si>
    <t>ORD10864</t>
  </si>
  <si>
    <t>ORD10865</t>
  </si>
  <si>
    <t>ORD10866</t>
  </si>
  <si>
    <t>ORD10867</t>
  </si>
  <si>
    <t>Rahul Gupta</t>
  </si>
  <si>
    <t>ORD10868</t>
  </si>
  <si>
    <t>CUST1151</t>
  </si>
  <si>
    <t>ORD10869</t>
  </si>
  <si>
    <t>ORD10870</t>
  </si>
  <si>
    <t>ORD10871</t>
  </si>
  <si>
    <t>ORD10872</t>
  </si>
  <si>
    <t>CUST1010</t>
  </si>
  <si>
    <t>Simran Chopra</t>
  </si>
  <si>
    <t>ORD10873</t>
  </si>
  <si>
    <t>24-12-2025</t>
  </si>
  <si>
    <t>Simran Bansal</t>
  </si>
  <si>
    <t>ORD10874</t>
  </si>
  <si>
    <t>ORD10875</t>
  </si>
  <si>
    <t>ORD10876</t>
  </si>
  <si>
    <t>ORD10877</t>
  </si>
  <si>
    <t>19-07-2025</t>
  </si>
  <si>
    <t>ORD10878</t>
  </si>
  <si>
    <t>CUST1271</t>
  </si>
  <si>
    <t>ORD10879</t>
  </si>
  <si>
    <t>25-06-2024</t>
  </si>
  <si>
    <t>ORD10880</t>
  </si>
  <si>
    <t>CUST1332</t>
  </si>
  <si>
    <t>ORD10881</t>
  </si>
  <si>
    <t>19-10-2025</t>
  </si>
  <si>
    <t>ORD10882</t>
  </si>
  <si>
    <t>ORD10883</t>
  </si>
  <si>
    <t>ORD10884</t>
  </si>
  <si>
    <t>ORD10885</t>
  </si>
  <si>
    <t>30-10-2024</t>
  </si>
  <si>
    <t>ORD10886</t>
  </si>
  <si>
    <t>ORD10887</t>
  </si>
  <si>
    <t>15-06-2025</t>
  </si>
  <si>
    <t>22-06-2025</t>
  </si>
  <si>
    <t>ORD10888</t>
  </si>
  <si>
    <t>ORD10889</t>
  </si>
  <si>
    <t>CUST1044</t>
  </si>
  <si>
    <t>ORD10890</t>
  </si>
  <si>
    <t>ORD10891</t>
  </si>
  <si>
    <t>ORD10892</t>
  </si>
  <si>
    <t>ORD10893</t>
  </si>
  <si>
    <t>ORD10894</t>
  </si>
  <si>
    <t>ORD10895</t>
  </si>
  <si>
    <t>ORD10896</t>
  </si>
  <si>
    <t>31-10-2024</t>
  </si>
  <si>
    <t>ORD10897</t>
  </si>
  <si>
    <t>ORD10898</t>
  </si>
  <si>
    <t>ORD10899</t>
  </si>
  <si>
    <t>ORD10900</t>
  </si>
  <si>
    <t>31-03-2024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</si>
  <si>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</si>
  <si>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</si>
  <si>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</si>
  <si>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</si>
  <si>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</si>
  <si>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</si>
  <si>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</si>
  <si>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</si>
  <si>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</si>
  <si>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</si>
  <si>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</si>
  <si>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</si>
  <si>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Rahul Jain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</si>
  <si>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</si>
  <si>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</si>
  <si>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</si>
  <si>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</si>
  <si>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</si>
  <si>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</si>
  <si>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</si>
  <si>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</si>
  <si>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</si>
  <si>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30-11-2025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</si>
  <si>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</si>
  <si>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</si>
  <si>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</si>
  <si>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</si>
  <si>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</si>
  <si>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</si>
  <si>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</si>
  <si>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</si>
  <si>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</si>
  <si>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</si>
  <si>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</si>
  <si>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</si>
  <si>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</si>
  <si>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</si>
  <si>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</si>
  <si>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</si>
  <si>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</si>
  <si>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</si>
  <si>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</si>
  <si>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</si>
  <si>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</si>
  <si>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</si>
  <si>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CUST1053</t>
  </si>
  <si>
    <t>ORD10944</t>
  </si>
  <si>
    <t>ORD10945</t>
  </si>
  <si>
    <t>ORD10946</t>
  </si>
  <si>
    <t>ORD10947</t>
  </si>
  <si>
    <t>ORD10948</t>
  </si>
  <si>
    <t>CUST1075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</si>
  <si>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</si>
  <si>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</si>
  <si>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</si>
  <si>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</si>
  <si>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</si>
  <si>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</si>
  <si>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</si>
  <si>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</si>
  <si>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</si>
  <si>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</si>
  <si>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</si>
  <si>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</si>
  <si>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</si>
  <si>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</si>
  <si>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</si>
  <si>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</si>
  <si>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</si>
  <si>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</si>
  <si>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</si>
  <si>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</si>
  <si>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</si>
  <si>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</si>
  <si>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</si>
  <si>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</si>
  <si>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</si>
  <si>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</si>
  <si>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</si>
  <si>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</si>
  <si>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</si>
  <si>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</si>
  <si>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</si>
  <si>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</si>
  <si>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</si>
  <si>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</si>
  <si>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19-09-2024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</si>
  <si>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</si>
  <si>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</si>
  <si>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</si>
  <si>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</si>
  <si>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</si>
  <si>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</si>
  <si>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</si>
  <si>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</si>
  <si>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</si>
  <si>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CUST1119</t>
  </si>
  <si>
    <t>ORD10992</t>
  </si>
  <si>
    <t>ORD10993</t>
  </si>
  <si>
    <t>Vivaan Mehta</t>
  </si>
  <si>
    <t>ORD10994</t>
  </si>
  <si>
    <t>13-12-2025</t>
  </si>
  <si>
    <t>ORD10995</t>
  </si>
  <si>
    <t>ORD10996</t>
  </si>
  <si>
    <t>ORD10997</t>
  </si>
  <si>
    <t>ORD10998</t>
  </si>
  <si>
    <t>ORD10999</t>
  </si>
  <si>
    <t>20-06-2025</t>
  </si>
  <si>
    <t>ORD11000</t>
  </si>
  <si>
    <t>ORD11001</t>
  </si>
  <si>
    <t>CUST1302</t>
  </si>
  <si>
    <t>Sum of Sales</t>
  </si>
  <si>
    <t>Grand Total</t>
  </si>
  <si>
    <t>Sum of Profit2</t>
  </si>
  <si>
    <t>Sum of Profit</t>
  </si>
  <si>
    <t>Details for Sum of Profit - Category: Clothing</t>
  </si>
  <si>
    <t>First_name</t>
  </si>
  <si>
    <t>Last_Name</t>
  </si>
  <si>
    <t>SUM</t>
  </si>
  <si>
    <t>Average</t>
  </si>
  <si>
    <t>Count</t>
  </si>
  <si>
    <t>Counta</t>
  </si>
  <si>
    <t>MIN</t>
  </si>
  <si>
    <t>Max</t>
  </si>
  <si>
    <t>IF</t>
  </si>
  <si>
    <t>IFS</t>
  </si>
  <si>
    <t>AND</t>
  </si>
  <si>
    <t>OR</t>
  </si>
  <si>
    <t>IFERROR</t>
  </si>
  <si>
    <t>SUMIFS</t>
  </si>
  <si>
    <t>COUNTIFS</t>
  </si>
  <si>
    <t>AVERAGEIFS</t>
  </si>
  <si>
    <t>Region-wise Sales</t>
  </si>
  <si>
    <t>Category-wise Sales</t>
  </si>
  <si>
    <t>Total Sales</t>
  </si>
  <si>
    <t>Salesperson-wise Sales</t>
  </si>
  <si>
    <t>Monthly Sales</t>
  </si>
  <si>
    <t>Year-wise Sales</t>
  </si>
  <si>
    <t>Profit Analysis</t>
  </si>
  <si>
    <t>Profit Margin Analysis</t>
  </si>
  <si>
    <t>Discount Analysis</t>
  </si>
  <si>
    <t>Region_Total_Sales</t>
  </si>
  <si>
    <t>Product_wise Sales</t>
  </si>
  <si>
    <t>Total Sales2</t>
  </si>
  <si>
    <t>Arjun</t>
  </si>
  <si>
    <t>Kapoor</t>
  </si>
  <si>
    <t>Good</t>
  </si>
  <si>
    <t>Singh</t>
  </si>
  <si>
    <t>Vikram</t>
  </si>
  <si>
    <t>Yadav</t>
  </si>
  <si>
    <t>Needs Improvement</t>
  </si>
  <si>
    <t>Neha</t>
  </si>
  <si>
    <t>Chopra</t>
  </si>
  <si>
    <t>Priya</t>
  </si>
  <si>
    <t>Malhotra</t>
  </si>
  <si>
    <t>Kavya</t>
  </si>
  <si>
    <t>Ishita</t>
  </si>
  <si>
    <t>Gupta</t>
  </si>
  <si>
    <t>Mehta</t>
  </si>
  <si>
    <t>Verma</t>
  </si>
  <si>
    <t>Ananya</t>
  </si>
  <si>
    <t>Vivaan</t>
  </si>
  <si>
    <t>Meera</t>
  </si>
  <si>
    <t>Kumar</t>
  </si>
  <si>
    <t>Nisha</t>
  </si>
  <si>
    <t>Saxena</t>
  </si>
  <si>
    <t>Sharma</t>
  </si>
  <si>
    <t>Aarav</t>
  </si>
  <si>
    <t>Rohan</t>
  </si>
  <si>
    <t>Simran</t>
  </si>
  <si>
    <t>Mishra</t>
  </si>
  <si>
    <t>Jain</t>
  </si>
  <si>
    <t>Aditya</t>
  </si>
  <si>
    <t>Agarwal</t>
  </si>
  <si>
    <t>Riya</t>
  </si>
  <si>
    <t>Aditi</t>
  </si>
  <si>
    <t xml:space="preserve">Total aprofit </t>
  </si>
  <si>
    <t>Total Orders</t>
  </si>
  <si>
    <t>Average Order Value</t>
  </si>
  <si>
    <t>Sumproduct</t>
  </si>
  <si>
    <t>Top Product</t>
  </si>
  <si>
    <t>Top salesperson</t>
  </si>
  <si>
    <t>Performance</t>
  </si>
  <si>
    <t>Karan</t>
  </si>
  <si>
    <t>Bansal</t>
  </si>
  <si>
    <t>Total sales</t>
  </si>
  <si>
    <t>Profit Analaysis</t>
  </si>
  <si>
    <t>Average Profit Margin</t>
  </si>
  <si>
    <t>Discount Analaysis</t>
  </si>
  <si>
    <t>Average Discount</t>
  </si>
  <si>
    <t>Unit price</t>
  </si>
  <si>
    <t>Search Product</t>
  </si>
  <si>
    <t>Category Result</t>
  </si>
  <si>
    <t>Unit Price Result</t>
  </si>
  <si>
    <t>Date Functions</t>
  </si>
  <si>
    <t>Search product</t>
  </si>
  <si>
    <t>Unit Price</t>
  </si>
  <si>
    <t>Filter</t>
  </si>
  <si>
    <t>Unique</t>
  </si>
  <si>
    <t xml:space="preserve">Sort </t>
  </si>
  <si>
    <t>What if Analaysis</t>
  </si>
  <si>
    <t>Goal seek</t>
  </si>
  <si>
    <t>Total Profit</t>
  </si>
  <si>
    <t>Days</t>
  </si>
  <si>
    <t>Month Number</t>
  </si>
  <si>
    <t>Month-year</t>
  </si>
  <si>
    <t>Date Created</t>
  </si>
  <si>
    <t>Days Since Order</t>
  </si>
  <si>
    <t>First 3 Letters</t>
  </si>
  <si>
    <t>Last 2 Letters</t>
  </si>
  <si>
    <t>Middle Letters</t>
  </si>
  <si>
    <t>Name Length</t>
  </si>
  <si>
    <t>Upper Name</t>
  </si>
  <si>
    <t>Lower Name</t>
  </si>
  <si>
    <t>Proper Name</t>
  </si>
  <si>
    <t>Full Name</t>
  </si>
  <si>
    <t xml:space="preserve">Current Sales </t>
  </si>
  <si>
    <t>Target Sales</t>
  </si>
  <si>
    <t>Current Sales</t>
  </si>
  <si>
    <t xml:space="preserve">Jacket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</si>
</sst>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color theme="5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164" fontId="1" fillId="0" borderId="0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2" borderId="3" xfId="0" applyFont="1" applyFill="1" applyBorder="1" applyAlignment="1"/>
    <xf numFmtId="164" fontId="1" fillId="2" borderId="4" xfId="0" applyNumberFormat="1" applyFont="1" applyFill="1" applyBorder="1" applyAlignment="1">
      <alignment horizontal="left"/>
    </xf>
    <xf numFmtId="0" fontId="1" fillId="2" borderId="4" xfId="0" applyFont="1" applyFill="1" applyBorder="1" applyAlignment="1"/>
    <xf numFmtId="0" fontId="1" fillId="2" borderId="7" xfId="0" applyFont="1" applyFill="1" applyBorder="1" applyAlignment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/>
    <xf numFmtId="164" fontId="1" fillId="2" borderId="6" xfId="0" applyNumberFormat="1" applyFont="1" applyFill="1" applyBorder="1" applyAlignment="1">
      <alignment horizontal="left"/>
    </xf>
    <xf numFmtId="0" fontId="1" fillId="2" borderId="6" xfId="0" applyFont="1" applyFill="1" applyBorder="1" applyAlignment="1"/>
    <xf numFmtId="0" fontId="4" fillId="3" borderId="1" xfId="0" applyFont="1" applyFill="1" applyBorder="1" applyAlignment="1"/>
    <xf numFmtId="0" fontId="4" fillId="3" borderId="2" xfId="0" applyFont="1" applyFill="1" applyBorder="1" applyAlignment="1"/>
    <xf numFmtId="0" fontId="4" fillId="3" borderId="0" xfId="0" applyFont="1" applyFill="1" applyAlignment="1"/>
    <xf numFmtId="2" fontId="4" fillId="3" borderId="2" xfId="0" applyNumberFormat="1" applyFont="1" applyFill="1" applyBorder="1" applyAlignment="1"/>
    <xf numFmtId="2" fontId="1" fillId="2" borderId="4" xfId="0" applyNumberFormat="1" applyFont="1" applyFill="1" applyBorder="1" applyAlignment="1"/>
    <xf numFmtId="2" fontId="1" fillId="2" borderId="6" xfId="0" applyNumberFormat="1" applyFont="1" applyFill="1" applyBorder="1" applyAlignment="1"/>
    <xf numFmtId="2" fontId="0" fillId="0" borderId="0" xfId="0" applyNumberFormat="1"/>
    <xf numFmtId="1" fontId="4" fillId="3" borderId="2" xfId="0" applyNumberFormat="1" applyFont="1" applyFill="1" applyBorder="1" applyAlignment="1"/>
    <xf numFmtId="1" fontId="1" fillId="2" borderId="4" xfId="0" applyNumberFormat="1" applyFont="1" applyFill="1" applyBorder="1" applyAlignment="1"/>
    <xf numFmtId="1" fontId="1" fillId="2" borderId="6" xfId="0" applyNumberFormat="1" applyFont="1" applyFill="1" applyBorder="1" applyAlignment="1"/>
    <xf numFmtId="1" fontId="0" fillId="0" borderId="0" xfId="0" applyNumberFormat="1"/>
    <xf numFmtId="9" fontId="4" fillId="3" borderId="2" xfId="0" applyNumberFormat="1" applyFont="1" applyFill="1" applyBorder="1" applyAlignment="1"/>
    <xf numFmtId="9" fontId="1" fillId="2" borderId="4" xfId="0" applyNumberFormat="1" applyFont="1" applyFill="1" applyBorder="1" applyAlignment="1"/>
    <xf numFmtId="9" fontId="1" fillId="2" borderId="6" xfId="0" applyNumberFormat="1" applyFont="1" applyFill="1" applyBorder="1" applyAlignment="1"/>
    <xf numFmtId="9" fontId="0" fillId="0" borderId="0" xfId="0" applyNumberFormat="1"/>
    <xf numFmtId="1" fontId="1" fillId="2" borderId="7" xfId="0" applyNumberFormat="1" applyFont="1" applyFill="1" applyBorder="1" applyAlignment="1"/>
    <xf numFmtId="0" fontId="1" fillId="2" borderId="4" xfId="0" applyNumberFormat="1" applyFont="1" applyFill="1" applyBorder="1" applyAlignment="1"/>
    <xf numFmtId="0" fontId="1" fillId="2" borderId="7" xfId="0" applyNumberFormat="1" applyFont="1" applyFill="1" applyBorder="1" applyAlignment="1"/>
    <xf numFmtId="0" fontId="1" fillId="2" borderId="6" xfId="0" applyNumberFormat="1" applyFont="1" applyFill="1" applyBorder="1" applyAlignment="1"/>
    <xf numFmtId="0" fontId="4" fillId="3" borderId="7" xfId="0" applyNumberFormat="1" applyFont="1" applyFill="1" applyBorder="1" applyAlignment="1"/>
    <xf numFmtId="0" fontId="4" fillId="3" borderId="4" xfId="0" applyNumberFormat="1" applyFont="1" applyFill="1" applyBorder="1" applyAlignment="1"/>
    <xf numFmtId="0" fontId="0" fillId="0" borderId="0" xfId="0" applyFill="1"/>
    <xf numFmtId="0" fontId="5" fillId="2" borderId="8" xfId="0" applyFont="1" applyFill="1" applyBorder="1"/>
    <xf numFmtId="0" fontId="0" fillId="0" borderId="8" xfId="0" applyBorder="1"/>
    <xf numFmtId="0" fontId="0" fillId="2" borderId="8" xfId="0" applyFill="1" applyBorder="1"/>
    <xf numFmtId="0" fontId="0" fillId="0" borderId="8" xfId="0" applyFill="1" applyBorder="1"/>
    <xf numFmtId="0" fontId="0" fillId="0" borderId="0" xfId="0" applyBorder="1"/>
    <xf numFmtId="1" fontId="0" fillId="0" borderId="8" xfId="0" applyNumberFormat="1" applyBorder="1"/>
    <xf numFmtId="0" fontId="0" fillId="5" borderId="8" xfId="0" applyFill="1" applyBorder="1"/>
    <xf numFmtId="2" fontId="0" fillId="0" borderId="8" xfId="0" applyNumberFormat="1" applyBorder="1"/>
    <xf numFmtId="9" fontId="0" fillId="0" borderId="8" xfId="0" applyNumberFormat="1" applyBorder="1"/>
    <xf numFmtId="0" fontId="0" fillId="0" borderId="0" xfId="0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2" fontId="0" fillId="0" borderId="8" xfId="0" applyNumberFormat="1" applyBorder="1" applyAlignment="1">
      <alignment horizontal="left"/>
    </xf>
    <xf numFmtId="14" fontId="0" fillId="0" borderId="8" xfId="0" applyNumberFormat="1" applyBorder="1"/>
    <xf numFmtId="164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9" xfId="0" applyFill="1" applyBorder="1"/>
    <xf numFmtId="0" fontId="0" fillId="0" borderId="0" xfId="0" pivotButton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6" borderId="8" xfId="0" applyFont="1" applyFill="1" applyBorder="1"/>
    <xf numFmtId="1" fontId="6" fillId="0" borderId="8" xfId="0" applyNumberFormat="1" applyFont="1" applyBorder="1"/>
    <xf numFmtId="0" fontId="6" fillId="0" borderId="8" xfId="0" applyFont="1" applyBorder="1"/>
    <xf numFmtId="0" fontId="0" fillId="0" borderId="8" xfId="0" pivotButton="1" applyBorder="1"/>
    <xf numFmtId="0" fontId="0" fillId="3" borderId="8" xfId="0" applyFill="1" applyBorder="1"/>
    <xf numFmtId="0" fontId="0" fillId="3" borderId="18" xfId="0" applyFill="1" applyBorder="1"/>
    <xf numFmtId="1" fontId="0" fillId="0" borderId="0" xfId="0" applyNumberFormat="1" applyBorder="1"/>
    <xf numFmtId="0" fontId="0" fillId="0" borderId="13" xfId="0" pivotButton="1" applyBorder="1"/>
    <xf numFmtId="14" fontId="0" fillId="0" borderId="0" xfId="0" applyNumberFormat="1"/>
    <xf numFmtId="0" fontId="6" fillId="0" borderId="0" xfId="0" applyFont="1"/>
    <xf numFmtId="0" fontId="0" fillId="2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</cellXfs>
  <cellStyles count="1">
    <cellStyle name="Normal" xfId="0" builtinId="0"/>
  </cellStyles>
  <dxfs count="1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\-yyyy"/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\-yyyy"/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\-mm\-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E30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0</c:formatCode>
                <c:ptCount val="4"/>
                <c:pt idx="0">
                  <c:v>7518642.5</c:v>
                </c:pt>
                <c:pt idx="1">
                  <c:v>5965332.5</c:v>
                </c:pt>
                <c:pt idx="2">
                  <c:v>8560317.5</c:v>
                </c:pt>
                <c:pt idx="3">
                  <c:v>8266957.5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3-4AED-BC3D-094084EC2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534152"/>
        <c:axId val="1920015368"/>
      </c:barChart>
      <c:catAx>
        <c:axId val="191053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15368"/>
        <c:crosses val="autoZero"/>
        <c:auto val="1"/>
        <c:lblAlgn val="ctr"/>
        <c:lblOffset val="100"/>
        <c:noMultiLvlLbl val="0"/>
      </c:catAx>
      <c:valAx>
        <c:axId val="192001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3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Sheet3!$B$4:$B$9</c:f>
              <c:numCache>
                <c:formatCode>0</c:formatCode>
                <c:ptCount val="5"/>
                <c:pt idx="0">
                  <c:v>1466745</c:v>
                </c:pt>
                <c:pt idx="1">
                  <c:v>1886370</c:v>
                </c:pt>
                <c:pt idx="2">
                  <c:v>19767000</c:v>
                </c:pt>
                <c:pt idx="3">
                  <c:v>6779800</c:v>
                </c:pt>
                <c:pt idx="4">
                  <c:v>411335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2-43FF-AEFB-0D61F5C0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507656"/>
        <c:axId val="1916509704"/>
      </c:barChart>
      <c:catAx>
        <c:axId val="191650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09704"/>
        <c:crosses val="autoZero"/>
        <c:auto val="1"/>
        <c:lblAlgn val="ctr"/>
        <c:lblOffset val="100"/>
        <c:noMultiLvlLbl val="0"/>
      </c:catAx>
      <c:valAx>
        <c:axId val="191650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0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Sheet4!$A$4:$A$29</c:f>
              <c:strCache>
                <c:ptCount val="25"/>
                <c:pt idx="0">
                  <c:v>Backpack</c:v>
                </c:pt>
                <c:pt idx="1">
                  <c:v>Belt</c:v>
                </c:pt>
                <c:pt idx="2">
                  <c:v>Bookshelf</c:v>
                </c:pt>
                <c:pt idx="3">
                  <c:v>Desk</c:v>
                </c:pt>
                <c:pt idx="4">
                  <c:v>File Folder</c:v>
                </c:pt>
                <c:pt idx="5">
                  <c:v>Headphones</c:v>
                </c:pt>
                <c:pt idx="6">
                  <c:v>Jacket</c:v>
                </c:pt>
                <c:pt idx="7">
                  <c:v>Jeans</c:v>
                </c:pt>
                <c:pt idx="8">
                  <c:v>Laptop</c:v>
                </c:pt>
                <c:pt idx="9">
                  <c:v>Monitor</c:v>
                </c:pt>
                <c:pt idx="10">
                  <c:v>Notebook</c:v>
                </c:pt>
                <c:pt idx="11">
                  <c:v>Office Chair</c:v>
                </c:pt>
                <c:pt idx="12">
                  <c:v>Pen Set</c:v>
                </c:pt>
                <c:pt idx="13">
                  <c:v>Printer Paper</c:v>
                </c:pt>
                <c:pt idx="14">
                  <c:v>Shirt</c:v>
                </c:pt>
                <c:pt idx="15">
                  <c:v>Shoes</c:v>
                </c:pt>
                <c:pt idx="16">
                  <c:v>Smartphone</c:v>
                </c:pt>
                <c:pt idx="17">
                  <c:v>Sofa</c:v>
                </c:pt>
                <c:pt idx="18">
                  <c:v>Stapler</c:v>
                </c:pt>
                <c:pt idx="19">
                  <c:v>Sunglasses</c:v>
                </c:pt>
                <c:pt idx="20">
                  <c:v>Table</c:v>
                </c:pt>
                <c:pt idx="21">
                  <c:v>Tablet</c:v>
                </c:pt>
                <c:pt idx="22">
                  <c:v>T-Shirt</c:v>
                </c:pt>
                <c:pt idx="23">
                  <c:v>Wallet</c:v>
                </c:pt>
                <c:pt idx="24">
                  <c:v>Watch</c:v>
                </c:pt>
              </c:strCache>
            </c:strRef>
          </c:cat>
          <c:val>
            <c:numRef>
              <c:f>Sheet4!$B$4:$B$29</c:f>
              <c:numCache>
                <c:formatCode>0</c:formatCode>
                <c:ptCount val="25"/>
                <c:pt idx="0">
                  <c:v>381040</c:v>
                </c:pt>
                <c:pt idx="1">
                  <c:v>331880</c:v>
                </c:pt>
                <c:pt idx="2">
                  <c:v>1141650</c:v>
                </c:pt>
                <c:pt idx="3">
                  <c:v>1791875</c:v>
                </c:pt>
                <c:pt idx="4">
                  <c:v>64612.5</c:v>
                </c:pt>
                <c:pt idx="5">
                  <c:v>2740850</c:v>
                </c:pt>
                <c:pt idx="6">
                  <c:v>420105</c:v>
                </c:pt>
                <c:pt idx="7">
                  <c:v>319065</c:v>
                </c:pt>
                <c:pt idx="8">
                  <c:v>3513350</c:v>
                </c:pt>
                <c:pt idx="9">
                  <c:v>4066900</c:v>
                </c:pt>
                <c:pt idx="10">
                  <c:v>84285</c:v>
                </c:pt>
                <c:pt idx="11">
                  <c:v>1289950</c:v>
                </c:pt>
                <c:pt idx="12">
                  <c:v>96982.5</c:v>
                </c:pt>
                <c:pt idx="13">
                  <c:v>82737.5</c:v>
                </c:pt>
                <c:pt idx="14">
                  <c:v>318170</c:v>
                </c:pt>
                <c:pt idx="15">
                  <c:v>388250</c:v>
                </c:pt>
                <c:pt idx="16">
                  <c:v>4899550</c:v>
                </c:pt>
                <c:pt idx="17">
                  <c:v>1204050</c:v>
                </c:pt>
                <c:pt idx="18">
                  <c:v>82717.5</c:v>
                </c:pt>
                <c:pt idx="19">
                  <c:v>281960</c:v>
                </c:pt>
                <c:pt idx="20">
                  <c:v>1352275</c:v>
                </c:pt>
                <c:pt idx="21">
                  <c:v>4546350</c:v>
                </c:pt>
                <c:pt idx="22">
                  <c:v>440780</c:v>
                </c:pt>
                <c:pt idx="23">
                  <c:v>150115</c:v>
                </c:pt>
                <c:pt idx="24">
                  <c:v>321750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D-4F54-B29A-CA6F16318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100"/>
        <c:axId val="1917379592"/>
        <c:axId val="1917381640"/>
      </c:barChart>
      <c:catAx>
        <c:axId val="1917379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81640"/>
        <c:crosses val="autoZero"/>
        <c:auto val="1"/>
        <c:lblAlgn val="ctr"/>
        <c:lblOffset val="100"/>
        <c:noMultiLvlLbl val="0"/>
      </c:catAx>
      <c:valAx>
        <c:axId val="191738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7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Sheet6!$B$4:$B$16</c:f>
              <c:numCache>
                <c:formatCode>0</c:formatCode>
                <c:ptCount val="12"/>
                <c:pt idx="0">
                  <c:v>1889497.5</c:v>
                </c:pt>
                <c:pt idx="1">
                  <c:v>2361560</c:v>
                </c:pt>
                <c:pt idx="2">
                  <c:v>2618520</c:v>
                </c:pt>
                <c:pt idx="3">
                  <c:v>1803637.5</c:v>
                </c:pt>
                <c:pt idx="4">
                  <c:v>1121067.5</c:v>
                </c:pt>
                <c:pt idx="5">
                  <c:v>2765790</c:v>
                </c:pt>
                <c:pt idx="6">
                  <c:v>3495020</c:v>
                </c:pt>
                <c:pt idx="7">
                  <c:v>2480745</c:v>
                </c:pt>
                <c:pt idx="8">
                  <c:v>3190750</c:v>
                </c:pt>
                <c:pt idx="9">
                  <c:v>3112707.5</c:v>
                </c:pt>
                <c:pt idx="10">
                  <c:v>2076795</c:v>
                </c:pt>
                <c:pt idx="11">
                  <c:v>3395160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B-41A3-B039-FDEA4EFAE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171912"/>
        <c:axId val="1930173960"/>
      </c:lineChart>
      <c:catAx>
        <c:axId val="193017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73960"/>
        <c:crosses val="autoZero"/>
        <c:auto val="1"/>
        <c:lblAlgn val="ctr"/>
        <c:lblOffset val="100"/>
        <c:noMultiLvlLbl val="0"/>
      </c:catAx>
      <c:valAx>
        <c:axId val="193017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7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Amit</c:v>
                </c:pt>
                <c:pt idx="1">
                  <c:v>Anjali</c:v>
                </c:pt>
                <c:pt idx="2">
                  <c:v>Kavita</c:v>
                </c:pt>
                <c:pt idx="3">
                  <c:v>Manish</c:v>
                </c:pt>
                <c:pt idx="4">
                  <c:v>Neeraj</c:v>
                </c:pt>
                <c:pt idx="5">
                  <c:v>Pooja</c:v>
                </c:pt>
                <c:pt idx="6">
                  <c:v>Rahul</c:v>
                </c:pt>
                <c:pt idx="7">
                  <c:v>Rohit</c:v>
                </c:pt>
                <c:pt idx="8">
                  <c:v>Sneha</c:v>
                </c:pt>
                <c:pt idx="9">
                  <c:v>Vikas</c:v>
                </c:pt>
              </c:strCache>
            </c:strRef>
          </c:cat>
          <c:val>
            <c:numRef>
              <c:f>Sheet7!$B$4:$B$14</c:f>
              <c:numCache>
                <c:formatCode>0</c:formatCode>
                <c:ptCount val="10"/>
                <c:pt idx="0">
                  <c:v>3295187.5</c:v>
                </c:pt>
                <c:pt idx="1">
                  <c:v>2952162.5</c:v>
                </c:pt>
                <c:pt idx="2">
                  <c:v>3337090</c:v>
                </c:pt>
                <c:pt idx="3">
                  <c:v>3934230</c:v>
                </c:pt>
                <c:pt idx="4">
                  <c:v>2937487.5</c:v>
                </c:pt>
                <c:pt idx="5">
                  <c:v>2963150</c:v>
                </c:pt>
                <c:pt idx="6">
                  <c:v>2934365</c:v>
                </c:pt>
                <c:pt idx="7">
                  <c:v>3031592.5</c:v>
                </c:pt>
                <c:pt idx="8">
                  <c:v>2992322.5</c:v>
                </c:pt>
                <c:pt idx="9">
                  <c:v>1933662.5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E-4C2C-B88C-6E8739B9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941448"/>
        <c:axId val="1986943496"/>
      </c:barChart>
      <c:catAx>
        <c:axId val="1986941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43496"/>
        <c:crosses val="autoZero"/>
        <c:auto val="1"/>
        <c:lblAlgn val="ctr"/>
        <c:lblOffset val="100"/>
        <c:noMultiLvlLbl val="0"/>
      </c:catAx>
      <c:valAx>
        <c:axId val="198694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4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B0-41C6-9F6C-6FCE3293F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B0-41C6-9F6C-6FCE3293F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B0-41C6-9F6C-6FCE3293F2A4}"/>
              </c:ext>
            </c:extLst>
          </c:dPt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Sheet8!$B$4:$B$7</c:f>
              <c:numCache>
                <c:formatCode>0</c:formatCode>
                <c:ptCount val="3"/>
                <c:pt idx="0">
                  <c:v>10446645</c:v>
                </c:pt>
                <c:pt idx="1">
                  <c:v>10315895</c:v>
                </c:pt>
                <c:pt idx="2">
                  <c:v>9548710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6-44BA-A77A-866686B33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4.xlsx]Sheet9!PivotTable8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C4-46E2-96B0-40A3B5ABDD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C4-46E2-96B0-40A3B5ABDD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C4-46E2-96B0-40A3B5ABDD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C4-46E2-96B0-40A3B5ABDD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C4-46E2-96B0-40A3B5ABDDE2}"/>
              </c:ext>
            </c:extLst>
          </c:dPt>
          <c:cat>
            <c:strRef>
              <c:f>Sheet9!$A$4:$A$9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Sheet9!$B$4:$B$9</c:f>
              <c:numCache>
                <c:formatCode>0</c:formatCode>
                <c:ptCount val="5"/>
                <c:pt idx="0">
                  <c:v>7422207.5</c:v>
                </c:pt>
                <c:pt idx="1">
                  <c:v>5132640</c:v>
                </c:pt>
                <c:pt idx="2">
                  <c:v>5321137.5</c:v>
                </c:pt>
                <c:pt idx="3">
                  <c:v>7103552.5</c:v>
                </c:pt>
                <c:pt idx="4">
                  <c:v>5331712.5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9-42D2-B553-42F590685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4.xlsx]Sheet10!PivotTable9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00-43FF-9309-9AF6B16B89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00-43FF-9309-9AF6B16B89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0-43FF-9309-9AF6B16B89E7}"/>
              </c:ext>
            </c:extLst>
          </c:dPt>
          <c:cat>
            <c:strRef>
              <c:f>Sheet10!$A$4:$A$7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Sheet10!$B$4:$B$7</c:f>
              <c:numCache>
                <c:formatCode>0</c:formatCode>
                <c:ptCount val="3"/>
                <c:pt idx="0">
                  <c:v>5967697.5</c:v>
                </c:pt>
                <c:pt idx="1">
                  <c:v>17792045</c:v>
                </c:pt>
                <c:pt idx="2">
                  <c:v>6551507.5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7-48A7-B050-79B30FF6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Profit2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Accessories</c:v>
                </c:pt>
                <c:pt idx="4">
                  <c:v>Office Supplies</c:v>
                </c:pt>
              </c:strCache>
            </c:strRef>
          </c:cat>
          <c:val>
            <c:numRef>
              <c:f>Sheet5!$B$4:$B$9</c:f>
              <c:numCache>
                <c:formatCode>0</c:formatCode>
                <c:ptCount val="5"/>
                <c:pt idx="0">
                  <c:v>1065908.1200000001</c:v>
                </c:pt>
                <c:pt idx="1">
                  <c:v>481396.73999999993</c:v>
                </c:pt>
                <c:pt idx="2">
                  <c:v>153730.63</c:v>
                </c:pt>
                <c:pt idx="3">
                  <c:v>104830.37999999998</c:v>
                </c:pt>
                <c:pt idx="4">
                  <c:v>38664.94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1-4EAC-9F8D-0D71492826E0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Accessories</c:v>
                </c:pt>
                <c:pt idx="4">
                  <c:v>Office Supplies</c:v>
                </c:pt>
              </c:strCache>
            </c:strRef>
          </c:cat>
          <c:val>
            <c:numRef>
              <c:f>Sheet5!$C$4:$C$9</c:f>
              <c:numCache>
                <c:formatCode>0</c:formatCode>
                <c:ptCount val="5"/>
                <c:pt idx="0">
                  <c:v>1065908.1200000001</c:v>
                </c:pt>
                <c:pt idx="1">
                  <c:v>481396.73999999993</c:v>
                </c:pt>
                <c:pt idx="2">
                  <c:v>153730.63</c:v>
                </c:pt>
                <c:pt idx="3">
                  <c:v>104830.37999999998</c:v>
                </c:pt>
                <c:pt idx="4">
                  <c:v>38664.94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0-4D8B-BA46-242E06D47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121416"/>
        <c:axId val="1927123464"/>
      </c:barChart>
      <c:catAx>
        <c:axId val="192712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23464"/>
        <c:crosses val="autoZero"/>
        <c:auto val="1"/>
        <c:lblAlgn val="ctr"/>
        <c:lblOffset val="100"/>
        <c:noMultiLvlLbl val="0"/>
      </c:catAx>
      <c:valAx>
        <c:axId val="192712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2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solidFill>
              <a:srgbClr val="75717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757171"/>
              </a:solidFill>
              <a:prstDash val="solid"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0</c:formatCode>
                <c:ptCount val="4"/>
                <c:pt idx="0">
                  <c:v>7518642.5</c:v>
                </c:pt>
                <c:pt idx="1">
                  <c:v>5965332.5</c:v>
                </c:pt>
                <c:pt idx="2">
                  <c:v>8560317.5</c:v>
                </c:pt>
                <c:pt idx="3">
                  <c:v>8266957.5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0B4-93E1-E401A771B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534152"/>
        <c:axId val="1920015368"/>
      </c:barChart>
      <c:catAx>
        <c:axId val="191053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15368"/>
        <c:crosses val="autoZero"/>
        <c:auto val="1"/>
        <c:lblAlgn val="ctr"/>
        <c:lblOffset val="100"/>
        <c:noMultiLvlLbl val="0"/>
      </c:catAx>
      <c:valAx>
        <c:axId val="192001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3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Sheet4!$A$4:$A$29</c:f>
              <c:strCache>
                <c:ptCount val="25"/>
                <c:pt idx="0">
                  <c:v>Backpack</c:v>
                </c:pt>
                <c:pt idx="1">
                  <c:v>Belt</c:v>
                </c:pt>
                <c:pt idx="2">
                  <c:v>Bookshelf</c:v>
                </c:pt>
                <c:pt idx="3">
                  <c:v>Desk</c:v>
                </c:pt>
                <c:pt idx="4">
                  <c:v>File Folder</c:v>
                </c:pt>
                <c:pt idx="5">
                  <c:v>Headphones</c:v>
                </c:pt>
                <c:pt idx="6">
                  <c:v>Jacket</c:v>
                </c:pt>
                <c:pt idx="7">
                  <c:v>Jeans</c:v>
                </c:pt>
                <c:pt idx="8">
                  <c:v>Laptop</c:v>
                </c:pt>
                <c:pt idx="9">
                  <c:v>Monitor</c:v>
                </c:pt>
                <c:pt idx="10">
                  <c:v>Notebook</c:v>
                </c:pt>
                <c:pt idx="11">
                  <c:v>Office Chair</c:v>
                </c:pt>
                <c:pt idx="12">
                  <c:v>Pen Set</c:v>
                </c:pt>
                <c:pt idx="13">
                  <c:v>Printer Paper</c:v>
                </c:pt>
                <c:pt idx="14">
                  <c:v>Shirt</c:v>
                </c:pt>
                <c:pt idx="15">
                  <c:v>Shoes</c:v>
                </c:pt>
                <c:pt idx="16">
                  <c:v>Smartphone</c:v>
                </c:pt>
                <c:pt idx="17">
                  <c:v>Sofa</c:v>
                </c:pt>
                <c:pt idx="18">
                  <c:v>Stapler</c:v>
                </c:pt>
                <c:pt idx="19">
                  <c:v>Sunglasses</c:v>
                </c:pt>
                <c:pt idx="20">
                  <c:v>Table</c:v>
                </c:pt>
                <c:pt idx="21">
                  <c:v>Tablet</c:v>
                </c:pt>
                <c:pt idx="22">
                  <c:v>T-Shirt</c:v>
                </c:pt>
                <c:pt idx="23">
                  <c:v>Wallet</c:v>
                </c:pt>
                <c:pt idx="24">
                  <c:v>Watch</c:v>
                </c:pt>
              </c:strCache>
            </c:strRef>
          </c:cat>
          <c:val>
            <c:numRef>
              <c:f>Sheet4!$B$4:$B$29</c:f>
              <c:numCache>
                <c:formatCode>0</c:formatCode>
                <c:ptCount val="25"/>
                <c:pt idx="0">
                  <c:v>381040</c:v>
                </c:pt>
                <c:pt idx="1">
                  <c:v>331880</c:v>
                </c:pt>
                <c:pt idx="2">
                  <c:v>1141650</c:v>
                </c:pt>
                <c:pt idx="3">
                  <c:v>1791875</c:v>
                </c:pt>
                <c:pt idx="4">
                  <c:v>64612.5</c:v>
                </c:pt>
                <c:pt idx="5">
                  <c:v>2740850</c:v>
                </c:pt>
                <c:pt idx="6">
                  <c:v>420105</c:v>
                </c:pt>
                <c:pt idx="7">
                  <c:v>319065</c:v>
                </c:pt>
                <c:pt idx="8">
                  <c:v>3513350</c:v>
                </c:pt>
                <c:pt idx="9">
                  <c:v>4066900</c:v>
                </c:pt>
                <c:pt idx="10">
                  <c:v>84285</c:v>
                </c:pt>
                <c:pt idx="11">
                  <c:v>1289950</c:v>
                </c:pt>
                <c:pt idx="12">
                  <c:v>96982.5</c:v>
                </c:pt>
                <c:pt idx="13">
                  <c:v>82737.5</c:v>
                </c:pt>
                <c:pt idx="14">
                  <c:v>318170</c:v>
                </c:pt>
                <c:pt idx="15">
                  <c:v>388250</c:v>
                </c:pt>
                <c:pt idx="16">
                  <c:v>4899550</c:v>
                </c:pt>
                <c:pt idx="17">
                  <c:v>1204050</c:v>
                </c:pt>
                <c:pt idx="18">
                  <c:v>82717.5</c:v>
                </c:pt>
                <c:pt idx="19">
                  <c:v>281960</c:v>
                </c:pt>
                <c:pt idx="20">
                  <c:v>1352275</c:v>
                </c:pt>
                <c:pt idx="21">
                  <c:v>4546350</c:v>
                </c:pt>
                <c:pt idx="22">
                  <c:v>440780</c:v>
                </c:pt>
                <c:pt idx="23">
                  <c:v>150115</c:v>
                </c:pt>
                <c:pt idx="24">
                  <c:v>321750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545-AEA8-50B93F6D5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100"/>
        <c:axId val="1917379592"/>
        <c:axId val="1917381640"/>
      </c:barChart>
      <c:catAx>
        <c:axId val="1917379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81640"/>
        <c:crosses val="autoZero"/>
        <c:auto val="1"/>
        <c:lblAlgn val="ctr"/>
        <c:lblOffset val="100"/>
        <c:noMultiLvlLbl val="0"/>
      </c:catAx>
      <c:valAx>
        <c:axId val="191738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7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4.xlsx]Sheet6!PivotTable5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Sheet6!$B$4:$B$16</c:f>
              <c:numCache>
                <c:formatCode>0</c:formatCode>
                <c:ptCount val="12"/>
                <c:pt idx="0">
                  <c:v>1889497.5</c:v>
                </c:pt>
                <c:pt idx="1">
                  <c:v>2361560</c:v>
                </c:pt>
                <c:pt idx="2">
                  <c:v>2618520</c:v>
                </c:pt>
                <c:pt idx="3">
                  <c:v>1803637.5</c:v>
                </c:pt>
                <c:pt idx="4">
                  <c:v>1121067.5</c:v>
                </c:pt>
                <c:pt idx="5">
                  <c:v>2765790</c:v>
                </c:pt>
                <c:pt idx="6">
                  <c:v>3495020</c:v>
                </c:pt>
                <c:pt idx="7">
                  <c:v>2480745</c:v>
                </c:pt>
                <c:pt idx="8">
                  <c:v>3190750</c:v>
                </c:pt>
                <c:pt idx="9">
                  <c:v>3112707.5</c:v>
                </c:pt>
                <c:pt idx="10">
                  <c:v>2076795</c:v>
                </c:pt>
                <c:pt idx="11">
                  <c:v>3395160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C-4044-9368-4869F3FDC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171912"/>
        <c:axId val="1930173960"/>
      </c:lineChart>
      <c:catAx>
        <c:axId val="193017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73960"/>
        <c:crosses val="autoZero"/>
        <c:auto val="1"/>
        <c:lblAlgn val="ctr"/>
        <c:lblOffset val="100"/>
        <c:noMultiLvlLbl val="0"/>
      </c:catAx>
      <c:valAx>
        <c:axId val="193017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7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Amit</c:v>
                </c:pt>
                <c:pt idx="1">
                  <c:v>Anjali</c:v>
                </c:pt>
                <c:pt idx="2">
                  <c:v>Kavita</c:v>
                </c:pt>
                <c:pt idx="3">
                  <c:v>Manish</c:v>
                </c:pt>
                <c:pt idx="4">
                  <c:v>Neeraj</c:v>
                </c:pt>
                <c:pt idx="5">
                  <c:v>Pooja</c:v>
                </c:pt>
                <c:pt idx="6">
                  <c:v>Rahul</c:v>
                </c:pt>
                <c:pt idx="7">
                  <c:v>Rohit</c:v>
                </c:pt>
                <c:pt idx="8">
                  <c:v>Sneha</c:v>
                </c:pt>
                <c:pt idx="9">
                  <c:v>Vikas</c:v>
                </c:pt>
              </c:strCache>
            </c:strRef>
          </c:cat>
          <c:val>
            <c:numRef>
              <c:f>Sheet7!$B$4:$B$14</c:f>
              <c:numCache>
                <c:formatCode>0</c:formatCode>
                <c:ptCount val="10"/>
                <c:pt idx="0">
                  <c:v>3295187.5</c:v>
                </c:pt>
                <c:pt idx="1">
                  <c:v>2952162.5</c:v>
                </c:pt>
                <c:pt idx="2">
                  <c:v>3337090</c:v>
                </c:pt>
                <c:pt idx="3">
                  <c:v>3934230</c:v>
                </c:pt>
                <c:pt idx="4">
                  <c:v>2937487.5</c:v>
                </c:pt>
                <c:pt idx="5">
                  <c:v>2963150</c:v>
                </c:pt>
                <c:pt idx="6">
                  <c:v>2934365</c:v>
                </c:pt>
                <c:pt idx="7">
                  <c:v>3031592.5</c:v>
                </c:pt>
                <c:pt idx="8">
                  <c:v>2992322.5</c:v>
                </c:pt>
                <c:pt idx="9">
                  <c:v>1933662.5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B-4465-875E-77609E615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941448"/>
        <c:axId val="1986943496"/>
      </c:barChart>
      <c:catAx>
        <c:axId val="1986941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43496"/>
        <c:crosses val="autoZero"/>
        <c:auto val="1"/>
        <c:lblAlgn val="ctr"/>
        <c:lblOffset val="100"/>
        <c:noMultiLvlLbl val="0"/>
      </c:catAx>
      <c:valAx>
        <c:axId val="198694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4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4.xlsx]Sheet8!PivotTable7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8-411F-837E-533C51A086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8-411F-837E-533C51A08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8-411F-837E-533C51A0860F}"/>
              </c:ext>
            </c:extLst>
          </c:dPt>
          <c:cat>
            <c:strRef>
              <c:f>Sheet8!$A$4:$A$7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Sheet8!$B$4:$B$7</c:f>
              <c:numCache>
                <c:formatCode>0</c:formatCode>
                <c:ptCount val="3"/>
                <c:pt idx="0">
                  <c:v>10446645</c:v>
                </c:pt>
                <c:pt idx="1">
                  <c:v>10315895</c:v>
                </c:pt>
                <c:pt idx="2">
                  <c:v>9548710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68-411F-837E-533C51A08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4.xlsx]Sheet9!PivotTable8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FF-42E4-B580-F0D976806C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FF-42E4-B580-F0D976806C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FF-42E4-B580-F0D976806C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FF-42E4-B580-F0D976806C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FF-42E4-B580-F0D976806C85}"/>
              </c:ext>
            </c:extLst>
          </c:dPt>
          <c:cat>
            <c:strRef>
              <c:f>Sheet9!$A$4:$A$9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Sheet9!$B$4:$B$9</c:f>
              <c:numCache>
                <c:formatCode>0</c:formatCode>
                <c:ptCount val="5"/>
                <c:pt idx="0">
                  <c:v>7422207.5</c:v>
                </c:pt>
                <c:pt idx="1">
                  <c:v>5132640</c:v>
                </c:pt>
                <c:pt idx="2">
                  <c:v>5321137.5</c:v>
                </c:pt>
                <c:pt idx="3">
                  <c:v>7103552.5</c:v>
                </c:pt>
                <c:pt idx="4">
                  <c:v>5331712.5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FF-42E4-B580-F0D976806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4.xlsx]Sheet10!PivotTable9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81-4A45-B340-54ADB7C0C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81-4A45-B340-54ADB7C0C3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81-4A45-B340-54ADB7C0C307}"/>
              </c:ext>
            </c:extLst>
          </c:dPt>
          <c:cat>
            <c:strRef>
              <c:f>Sheet10!$A$4:$A$7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Sheet10!$B$4:$B$7</c:f>
              <c:numCache>
                <c:formatCode>0</c:formatCode>
                <c:ptCount val="3"/>
                <c:pt idx="0">
                  <c:v>5967697.5</c:v>
                </c:pt>
                <c:pt idx="1">
                  <c:v>17792045</c:v>
                </c:pt>
                <c:pt idx="2">
                  <c:v>6551507.5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81-4A45-B340-54ADB7C0C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Profit2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Accessories</c:v>
                </c:pt>
                <c:pt idx="4">
                  <c:v>Office Supplies</c:v>
                </c:pt>
              </c:strCache>
            </c:strRef>
          </c:cat>
          <c:val>
            <c:numRef>
              <c:f>Sheet5!$B$4:$B$9</c:f>
              <c:numCache>
                <c:formatCode>0</c:formatCode>
                <c:ptCount val="5"/>
                <c:pt idx="0">
                  <c:v>1065908.1200000001</c:v>
                </c:pt>
                <c:pt idx="1">
                  <c:v>481396.73999999993</c:v>
                </c:pt>
                <c:pt idx="2">
                  <c:v>153730.63</c:v>
                </c:pt>
                <c:pt idx="3">
                  <c:v>104830.37999999998</c:v>
                </c:pt>
                <c:pt idx="4">
                  <c:v>38664.94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458-B1B9-40CBC1D7BE8D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Accessories</c:v>
                </c:pt>
                <c:pt idx="4">
                  <c:v>Office Supplies</c:v>
                </c:pt>
              </c:strCache>
            </c:strRef>
          </c:cat>
          <c:val>
            <c:numRef>
              <c:f>Sheet5!$C$4:$C$9</c:f>
              <c:numCache>
                <c:formatCode>0</c:formatCode>
                <c:ptCount val="5"/>
                <c:pt idx="0">
                  <c:v>1065908.1200000001</c:v>
                </c:pt>
                <c:pt idx="1">
                  <c:v>481396.73999999993</c:v>
                </c:pt>
                <c:pt idx="2">
                  <c:v>153730.63</c:v>
                </c:pt>
                <c:pt idx="3">
                  <c:v>104830.37999999998</c:v>
                </c:pt>
                <c:pt idx="4">
                  <c:v>38664.94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8-4458-B1B9-40CBC1D7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121416"/>
        <c:axId val="1927123464"/>
      </c:barChart>
      <c:catAx>
        <c:axId val="192712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23464"/>
        <c:crosses val="autoZero"/>
        <c:auto val="1"/>
        <c:lblAlgn val="ctr"/>
        <c:lblOffset val="100"/>
        <c:noMultiLvlLbl val="0"/>
      </c:catAx>
      <c:valAx>
        <c:axId val="192712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2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76200</xdr:rowOff>
    </xdr:from>
    <xdr:to>
      <xdr:col>13</xdr:col>
      <xdr:colOff>219075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0EFF6-7E20-00E1-EC35-B53A0ACF5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</xdr:row>
      <xdr:rowOff>76200</xdr:rowOff>
    </xdr:from>
    <xdr:to>
      <xdr:col>13</xdr:col>
      <xdr:colOff>57150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57856-D20C-EE48-6563-7227371F3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19050</xdr:rowOff>
    </xdr:from>
    <xdr:to>
      <xdr:col>13</xdr:col>
      <xdr:colOff>171450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BD5F7-2A83-A729-C9DD-3586E92A1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85725</xdr:rowOff>
    </xdr:from>
    <xdr:to>
      <xdr:col>10</xdr:col>
      <xdr:colOff>47625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169D9-961B-2072-B251-F78F374A1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76200</xdr:rowOff>
    </xdr:from>
    <xdr:to>
      <xdr:col>13</xdr:col>
      <xdr:colOff>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02118-3534-A29C-F8D4-8A1E1F045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180975</xdr:rowOff>
    </xdr:from>
    <xdr:to>
      <xdr:col>10</xdr:col>
      <xdr:colOff>142875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D1765-14DE-F9D2-F3E1-16A81B8B2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</xdr:row>
      <xdr:rowOff>76200</xdr:rowOff>
    </xdr:from>
    <xdr:to>
      <xdr:col>12</xdr:col>
      <xdr:colOff>228600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36372-B48D-133E-D107-7D258B7E5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152400</xdr:rowOff>
    </xdr:from>
    <xdr:to>
      <xdr:col>10</xdr:col>
      <xdr:colOff>180975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AA64D-2CC8-3F90-BB3F-F1D199B46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</xdr:row>
      <xdr:rowOff>0</xdr:rowOff>
    </xdr:from>
    <xdr:to>
      <xdr:col>8</xdr:col>
      <xdr:colOff>485775</xdr:colOff>
      <xdr:row>14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ustomer_Segment">
              <a:extLst>
                <a:ext uri="{FF2B5EF4-FFF2-40B4-BE49-F238E27FC236}">
                  <a16:creationId xmlns:a16="http://schemas.microsoft.com/office/drawing/2014/main" id="{A3F7723D-C018-FBA5-44DD-5CD5BA9F7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57150</xdr:colOff>
      <xdr:row>1</xdr:row>
      <xdr:rowOff>0</xdr:rowOff>
    </xdr:from>
    <xdr:to>
      <xdr:col>12</xdr:col>
      <xdr:colOff>57150</xdr:colOff>
      <xdr:row>14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E3FB47FF-422F-1F95-0696-8188EADB3F18}"/>
                </a:ext>
                <a:ext uri="{147F2762-F138-4A5C-976F-8EAC2B608ADB}">
                  <a16:predDERef xmlns:a16="http://schemas.microsoft.com/office/drawing/2014/main" pred="{A3F7723D-C018-FBA5-44DD-5CD5BA9F7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457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238125</xdr:colOff>
      <xdr:row>1</xdr:row>
      <xdr:rowOff>0</xdr:rowOff>
    </xdr:from>
    <xdr:to>
      <xdr:col>15</xdr:col>
      <xdr:colOff>238125</xdr:colOff>
      <xdr:row>14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C48433CE-8198-C353-A3F9-F529A7808270}"/>
                </a:ext>
                <a:ext uri="{147F2762-F138-4A5C-976F-8EAC2B608ADB}">
                  <a16:predDERef xmlns:a16="http://schemas.microsoft.com/office/drawing/2014/main" pred="{E3FB47FF-422F-1F95-0696-8188EADB3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34350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361950</xdr:colOff>
      <xdr:row>1</xdr:row>
      <xdr:rowOff>9525</xdr:rowOff>
    </xdr:from>
    <xdr:to>
      <xdr:col>18</xdr:col>
      <xdr:colOff>361950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ales_Channel">
              <a:extLst>
                <a:ext uri="{FF2B5EF4-FFF2-40B4-BE49-F238E27FC236}">
                  <a16:creationId xmlns:a16="http://schemas.microsoft.com/office/drawing/2014/main" id="{E8540846-3295-D55B-D1FA-A459E4419C71}"/>
                </a:ext>
                <a:ext uri="{147F2762-F138-4A5C-976F-8EAC2B608ADB}">
                  <a16:predDERef xmlns:a16="http://schemas.microsoft.com/office/drawing/2014/main" pred="{C48433CE-8198-C353-A3F9-F529A7808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6975" y="200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20</xdr:col>
      <xdr:colOff>447675</xdr:colOff>
      <xdr:row>1</xdr:row>
      <xdr:rowOff>0</xdr:rowOff>
    </xdr:from>
    <xdr:to>
      <xdr:col>28</xdr:col>
      <xdr:colOff>142875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48332D-5B9F-3B7E-01C0-20E6AE3E00F8}"/>
            </a:ext>
            <a:ext uri="{147F2762-F138-4A5C-976F-8EAC2B608ADB}">
              <a16:predDERef xmlns:a16="http://schemas.microsoft.com/office/drawing/2014/main" pred="{E8540846-3295-D55B-D1FA-A459E4419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0</xdr:row>
      <xdr:rowOff>76200</xdr:rowOff>
    </xdr:from>
    <xdr:to>
      <xdr:col>13</xdr:col>
      <xdr:colOff>219075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58B34-D8D1-4505-8D47-DBD6A5CA2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42</xdr:row>
      <xdr:rowOff>9525</xdr:rowOff>
    </xdr:from>
    <xdr:to>
      <xdr:col>13</xdr:col>
      <xdr:colOff>152400</xdr:colOff>
      <xdr:row>56</xdr:row>
      <xdr:rowOff>161925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69F192C-A3AE-4211-8930-7F0BB91B41D4}"/>
            </a:ext>
            <a:ext uri="{147F2762-F138-4A5C-976F-8EAC2B608ADB}">
              <a16:predDERef xmlns:a16="http://schemas.microsoft.com/office/drawing/2014/main" pred="{67258B34-D8D1-4505-8D47-DBD6A5CA2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428625</xdr:colOff>
      <xdr:row>85</xdr:row>
      <xdr:rowOff>123825</xdr:rowOff>
    </xdr:from>
    <xdr:to>
      <xdr:col>10</xdr:col>
      <xdr:colOff>123825</xdr:colOff>
      <xdr:row>100</xdr:row>
      <xdr:rowOff>9525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9CBEECF9-FCBF-4005-80D2-8E473066591B}"/>
            </a:ext>
            <a:ext uri="{147F2762-F138-4A5C-976F-8EAC2B608ADB}">
              <a16:predDERef xmlns:a16="http://schemas.microsoft.com/office/drawing/2014/main" pred="{469F192C-A3AE-4211-8930-7F0BB91B4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</xdr:colOff>
      <xdr:row>103</xdr:row>
      <xdr:rowOff>19050</xdr:rowOff>
    </xdr:from>
    <xdr:to>
      <xdr:col>10</xdr:col>
      <xdr:colOff>352425</xdr:colOff>
      <xdr:row>117</xdr:row>
      <xdr:rowOff>95250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8ABA536A-C424-44C1-B4F0-2A8148F7C7A7}"/>
            </a:ext>
            <a:ext uri="{147F2762-F138-4A5C-976F-8EAC2B608ADB}">
              <a16:predDERef xmlns:a16="http://schemas.microsoft.com/office/drawing/2014/main" pred="{9CBEECF9-FCBF-4005-80D2-8E4730665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219075</xdr:colOff>
      <xdr:row>120</xdr:row>
      <xdr:rowOff>57150</xdr:rowOff>
    </xdr:from>
    <xdr:to>
      <xdr:col>9</xdr:col>
      <xdr:colOff>523875</xdr:colOff>
      <xdr:row>134</xdr:row>
      <xdr:rowOff>133350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3A8BE47-AE14-4FD6-B551-532D068E1CB2}"/>
            </a:ext>
            <a:ext uri="{147F2762-F138-4A5C-976F-8EAC2B608ADB}">
              <a16:predDERef xmlns:a16="http://schemas.microsoft.com/office/drawing/2014/main" pred="{8ABA536A-C424-44C1-B4F0-2A8148F7C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361950</xdr:colOff>
      <xdr:row>136</xdr:row>
      <xdr:rowOff>161925</xdr:rowOff>
    </xdr:from>
    <xdr:to>
      <xdr:col>10</xdr:col>
      <xdr:colOff>57150</xdr:colOff>
      <xdr:row>151</xdr:row>
      <xdr:rowOff>47625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41B758AB-F311-4905-A54B-811FF7114FCD}"/>
            </a:ext>
            <a:ext uri="{147F2762-F138-4A5C-976F-8EAC2B608ADB}">
              <a16:predDERef xmlns:a16="http://schemas.microsoft.com/office/drawing/2014/main" pred="{03A8BE47-AE14-4FD6-B551-532D068E1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485775</xdr:colOff>
      <xdr:row>153</xdr:row>
      <xdr:rowOff>152400</xdr:rowOff>
    </xdr:from>
    <xdr:to>
      <xdr:col>10</xdr:col>
      <xdr:colOff>180975</xdr:colOff>
      <xdr:row>168</xdr:row>
      <xdr:rowOff>38100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3CA968D8-E426-48C9-B1E7-E4619337DA16}"/>
            </a:ext>
            <a:ext uri="{147F2762-F138-4A5C-976F-8EAC2B608ADB}">
              <a16:predDERef xmlns:a16="http://schemas.microsoft.com/office/drawing/2014/main" pred="{41B758AB-F311-4905-A54B-811FF711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219075</xdr:colOff>
      <xdr:row>68</xdr:row>
      <xdr:rowOff>152400</xdr:rowOff>
    </xdr:from>
    <xdr:to>
      <xdr:col>10</xdr:col>
      <xdr:colOff>523875</xdr:colOff>
      <xdr:row>81</xdr:row>
      <xdr:rowOff>152400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D383106-76A2-4BFA-A126-615452BE4315}"/>
            </a:ext>
            <a:ext uri="{147F2762-F138-4A5C-976F-8EAC2B608ADB}">
              <a16:predDERef xmlns:a16="http://schemas.microsoft.com/office/drawing/2014/main" pred="{3CA968D8-E426-48C9-B1E7-E4619337D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2.50602291667" createdVersion="8" refreshedVersion="8" minRefreshableVersion="3" recordCount="1000" xr:uid="{B13724C4-699A-4829-856F-5E3179CD8175}">
  <cacheSource type="worksheet">
    <worksheetSource name="Table2"/>
  </cacheSource>
  <cacheFields count="58">
    <cacheField name="Order_ID" numFmtId="0">
      <sharedItems/>
    </cacheField>
    <cacheField name="Order_Date" numFmtId="164">
      <sharedItems containsDate="1" containsMixedTypes="1" minDate="2024-01-03T00:00:00" maxDate="2025-12-12T00:00:00"/>
    </cacheField>
    <cacheField name="Customer_ID" numFmtId="0">
      <sharedItems/>
    </cacheField>
    <cacheField name="Customer_Name" numFmtId="0">
      <sharedItems/>
    </cacheField>
    <cacheField name="Customer_Segment" numFmtId="0">
      <sharedItems count="3">
        <s v="Corporate"/>
        <s v="Small Business"/>
        <s v="Consumer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5">
        <s v="Furniture"/>
        <s v="Clothing"/>
        <s v="Electronics"/>
        <s v="Office Supplies"/>
        <s v="Accessories"/>
      </sharedItems>
    </cacheField>
    <cacheField name="Product" numFmtId="0">
      <sharedItems count="25">
        <s v="Table"/>
        <s v="Desk"/>
        <s v="Jeans"/>
        <s v="Shirt"/>
        <s v="Smartphone"/>
        <s v="Notebook"/>
        <s v="Jacket"/>
        <s v="Laptop"/>
        <s v="Tablet"/>
        <s v="Watch"/>
        <s v="Printer Paper"/>
        <s v="Backpack"/>
        <s v="Monitor"/>
        <s v="Belt"/>
        <s v="Shoes"/>
        <s v="Office Chair"/>
        <s v="Wallet"/>
        <s v="Pen Set"/>
        <s v="File Folder"/>
        <s v="Sunglasses"/>
        <s v="T-Shirt"/>
        <s v="Headphones"/>
        <s v="Stapler"/>
        <s v="Sofa"/>
        <s v="Bookshelf"/>
      </sharedItems>
    </cacheField>
    <cacheField name="Quantity" numFmtId="1">
      <sharedItems containsSemiMixedTypes="0" containsString="0" containsNumber="1" containsInteger="1" minValue="1" maxValue="10"/>
    </cacheField>
    <cacheField name="Unit_Price" numFmtId="1">
      <sharedItems containsSemiMixedTypes="0" containsString="0" containsNumber="1" containsInteger="1" minValue="100" maxValue="50000"/>
    </cacheField>
    <cacheField name="Discount" numFmtId="9">
      <sharedItems containsSemiMixedTypes="0" containsString="0" containsNumber="1" minValue="0" maxValue="0.2"/>
    </cacheField>
    <cacheField name="Sales" numFmtId="1">
      <sharedItems containsSemiMixedTypes="0" containsString="0" containsNumber="1" minValue="95" maxValue="450000"/>
    </cacheField>
    <cacheField name="Cost" numFmtId="1">
      <sharedItems containsSemiMixedTypes="0" containsString="0" containsNumber="1" minValue="71.67" maxValue="301029.01"/>
    </cacheField>
    <cacheField name="Profit" numFmtId="1">
      <sharedItems containsSemiMixedTypes="0" containsString="0" containsNumber="1" minValue="23.33" maxValue="168424.11"/>
    </cacheField>
    <cacheField name="Profit_Margin_%" numFmtId="2">
      <sharedItems containsSemiMixedTypes="0" containsString="0" containsNumber="1" minValue="18.07" maxValue="44.97"/>
    </cacheField>
    <cacheField name="Payment_Method" numFmtId="0">
      <sharedItems count="5">
        <s v="UPI"/>
        <s v="Credit Card"/>
        <s v="Debit Card"/>
        <s v="Net Banking"/>
        <s v="Cash"/>
      </sharedItems>
    </cacheField>
    <cacheField name="Sales_Channel" numFmtId="0">
      <sharedItems count="3">
        <s v="Marketplace"/>
        <s v="Retail Store"/>
        <s v="Online"/>
      </sharedItems>
    </cacheField>
    <cacheField name="Salesperson" numFmtId="0">
      <sharedItems count="10">
        <s v="Sneha"/>
        <s v="Kavita"/>
        <s v="Neeraj"/>
        <s v="Vikas"/>
        <s v="Pooja"/>
        <s v="Manish"/>
        <s v="Rahul"/>
        <s v="Amit"/>
        <s v="Anjali"/>
        <s v="Rohit"/>
      </sharedItems>
    </cacheField>
    <cacheField name="Month" numFmtId="0">
      <sharedItems count="12">
        <s v="March"/>
        <s v="May"/>
        <s v="June"/>
        <s v="September"/>
        <s v="October"/>
        <s v="December"/>
        <s v="January"/>
        <s v="February"/>
        <s v="April"/>
        <s v="July"/>
        <s v="August"/>
        <s v="November"/>
      </sharedItems>
    </cacheField>
    <cacheField name="Year" numFmtId="0">
      <sharedItems containsSemiMixedTypes="0" containsString="0" containsNumber="1" containsInteger="1" minValue="2024" maxValue="2025"/>
    </cacheField>
    <cacheField name="Day_Name" numFmtId="0">
      <sharedItems/>
    </cacheField>
    <cacheField name="Delivery_Days" numFmtId="0">
      <sharedItems containsSemiMixedTypes="0" containsString="0" containsNumber="1" containsInteger="1" minValue="1" maxValue="10"/>
    </cacheField>
    <cacheField name="Delivery_Date" numFmtId="164">
      <sharedItems containsDate="1" containsMixedTypes="1" minDate="2024-01-02T00:00:00" maxDate="2026-09-02T00:00:00"/>
    </cacheField>
    <cacheField name="Order_Status" numFmtId="0">
      <sharedItems count="3">
        <s v="Completed"/>
        <s v="Cancelled"/>
        <s v="Pending"/>
      </sharedItems>
    </cacheField>
    <cacheField name="Customer_Type" numFmtId="0">
      <sharedItems/>
    </cacheField>
    <cacheField name="Priority" numFmtId="0">
      <sharedItems/>
    </cacheField>
    <cacheField name="Return_Requested" numFmtId="0">
      <sharedItems/>
    </cacheField>
    <cacheField name="Rating" numFmtId="0">
      <sharedItems containsSemiMixedTypes="0" containsString="0" containsNumber="1" containsInteger="1" minValue="1" maxValue="5"/>
    </cacheField>
    <cacheField name="First_name" numFmtId="0">
      <sharedItems/>
    </cacheField>
    <cacheField name="Last_Name" numFmtId="0">
      <sharedItems/>
    </cacheField>
    <cacheField name="SUM" numFmtId="1">
      <sharedItems containsString="0" containsBlank="1" containsNumber="1" containsInteger="1" minValue="30311250" maxValue="30311250"/>
    </cacheField>
    <cacheField name="Average" numFmtId="0">
      <sharedItems containsString="0" containsBlank="1" containsNumber="1" minValue="30311.25" maxValue="30311.25"/>
    </cacheField>
    <cacheField name="Count" numFmtId="0">
      <sharedItems containsString="0" containsBlank="1" containsNumber="1" containsInteger="1" minValue="1000" maxValue="1000"/>
    </cacheField>
    <cacheField name="Counta" numFmtId="0">
      <sharedItems containsString="0" containsBlank="1" containsNumber="1" containsInteger="1" minValue="1000" maxValue="1000"/>
    </cacheField>
    <cacheField name="MIN" numFmtId="0">
      <sharedItems containsString="0" containsBlank="1" containsNumber="1" containsInteger="1" minValue="95" maxValue="95"/>
    </cacheField>
    <cacheField name="Max" numFmtId="0">
      <sharedItems containsString="0" containsBlank="1" containsNumber="1" containsInteger="1" minValue="450000" maxValue="450000"/>
    </cacheField>
    <cacheField name="IF" numFmtId="0">
      <sharedItems/>
    </cacheField>
    <cacheField name="IFS" numFmtId="0">
      <sharedItems/>
    </cacheField>
    <cacheField name="AND" numFmtId="0">
      <sharedItems/>
    </cacheField>
    <cacheField name="OR" numFmtId="0">
      <sharedItems/>
    </cacheField>
    <cacheField name="IFERROR" numFmtId="0">
      <sharedItems containsSemiMixedTypes="0" containsString="0" containsNumber="1" minValue="0.18072812500000002" maxValue="0.44974000000000003"/>
    </cacheField>
    <cacheField name="SUMIFS" numFmtId="0">
      <sharedItems containsNonDate="0" containsString="0" containsBlank="1"/>
    </cacheField>
    <cacheField name="COUNTIFS" numFmtId="0">
      <sharedItems containsString="0" containsBlank="1" containsNumber="1" containsInteger="1" minValue="188" maxValue="216"/>
    </cacheField>
    <cacheField name="AVERAGEIFS" numFmtId="0">
      <sharedItems containsString="0" containsBlank="1" containsNumber="1" minValue="2098.6479591836733" maxValue="105143.6170212766"/>
    </cacheField>
    <cacheField name="Region-wise Sales" numFmtId="0">
      <sharedItems containsBlank="1"/>
    </cacheField>
    <cacheField name="Category-wise Sales" numFmtId="0">
      <sharedItems containsBlank="1"/>
    </cacheField>
    <cacheField name="Total Sales" numFmtId="0">
      <sharedItems containsString="0" containsBlank="1" containsNumber="1" containsInteger="1" minValue="411335" maxValue="19767000"/>
    </cacheField>
    <cacheField name="Salesperson-wise Sales" numFmtId="0">
      <sharedItems containsNonDate="0" containsString="0" containsBlank="1"/>
    </cacheField>
    <cacheField name="Monthly Sales" numFmtId="0">
      <sharedItems containsNonDate="0" containsString="0" containsBlank="1"/>
    </cacheField>
    <cacheField name="Year-wise Sales" numFmtId="0">
      <sharedItems containsNonDate="0" containsString="0" containsBlank="1"/>
    </cacheField>
    <cacheField name="Profit Analysis" numFmtId="0">
      <sharedItems containsNonDate="0" containsString="0" containsBlank="1"/>
    </cacheField>
    <cacheField name="Profit Margin Analysis" numFmtId="0">
      <sharedItems containsNonDate="0" containsString="0" containsBlank="1"/>
    </cacheField>
    <cacheField name="Discount Analysis" numFmtId="0">
      <sharedItems containsNonDate="0" containsString="0" containsBlank="1"/>
    </cacheField>
    <cacheField name="Region_Total_Sales" numFmtId="0">
      <sharedItems containsString="0" containsBlank="1" containsNumber="1" minValue="5965332.5" maxValue="8560317.5"/>
    </cacheField>
    <cacheField name="Product_wise Sales" numFmtId="0">
      <sharedItems containsNonDate="0" containsString="0" containsBlank="1"/>
    </cacheField>
    <cacheField name="Total Sales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741318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146"/>
    <d v="2024-01-03T00:00:00"/>
    <s v="CUST1306"/>
    <s v="Aditi Gupta"/>
    <x v="0"/>
    <s v="Kolkata"/>
    <s v="West Bengal"/>
    <x v="0"/>
    <x v="0"/>
    <x v="0"/>
    <n v="3"/>
    <n v="4000"/>
    <n v="0.05"/>
    <n v="11400"/>
    <n v="7908.36"/>
    <n v="3491.64"/>
    <n v="30.63"/>
    <x v="0"/>
    <x v="0"/>
    <x v="0"/>
    <x v="0"/>
    <n v="2024"/>
    <s v="Friday"/>
    <n v="10"/>
    <d v="2024-11-03T00:00:00"/>
    <x v="0"/>
    <s v="VIP"/>
    <s v="High"/>
    <s v="Yes"/>
    <n v="2"/>
    <s v="Aditi"/>
    <s v="Gupta"/>
    <n v="30311250"/>
    <n v="30311.25"/>
    <n v="1000"/>
    <n v="1000"/>
    <n v="95"/>
    <n v="450000"/>
    <s v="Good"/>
    <s v="Medium"/>
    <s v="No"/>
    <s v="Yes"/>
    <n v="0.30628421052631577"/>
    <m/>
    <n v="188"/>
    <n v="105143.6170212766"/>
    <s v="North"/>
    <s v="Electronics"/>
    <n v="19767000"/>
    <m/>
    <m/>
    <m/>
    <m/>
    <m/>
    <m/>
    <n v="5965332.5"/>
    <m/>
    <m/>
  </r>
  <r>
    <s v="ORD10172"/>
    <d v="2024-01-03T00:00:00"/>
    <s v="CUST1073"/>
    <s v="Arjun Chopra"/>
    <x v="1"/>
    <s v="Lucknow"/>
    <s v="Uttar Pradesh"/>
    <x v="0"/>
    <x v="0"/>
    <x v="1"/>
    <n v="6"/>
    <n v="4000"/>
    <n v="0.1"/>
    <n v="21600"/>
    <n v="15301.1"/>
    <n v="6298.9"/>
    <n v="29.16"/>
    <x v="1"/>
    <x v="1"/>
    <x v="1"/>
    <x v="0"/>
    <n v="2024"/>
    <s v="Friday"/>
    <n v="1"/>
    <d v="2024-02-03T00:00:00"/>
    <x v="0"/>
    <s v="VIP"/>
    <s v="Low"/>
    <s v="No"/>
    <n v="3"/>
    <s v="Arjun"/>
    <s v="Chopra"/>
    <m/>
    <m/>
    <m/>
    <m/>
    <m/>
    <m/>
    <s v="Needs Improvement"/>
    <s v="Medium"/>
    <s v="No"/>
    <s v="No"/>
    <n v="0.2916157407407407"/>
    <m/>
    <n v="205"/>
    <n v="33072.195121951219"/>
    <s v="South"/>
    <s v="Furniture"/>
    <n v="6779800"/>
    <m/>
    <m/>
    <m/>
    <m/>
    <m/>
    <m/>
    <n v="8560317.5"/>
    <m/>
    <m/>
  </r>
  <r>
    <s v="ORD10477"/>
    <d v="2024-01-03T00:00:00"/>
    <s v="CUST1108"/>
    <s v="Vikram Yadav"/>
    <x v="1"/>
    <s v="Lucknow"/>
    <s v="Uttar Pradesh"/>
    <x v="1"/>
    <x v="1"/>
    <x v="2"/>
    <n v="8"/>
    <n v="1800"/>
    <n v="0.15"/>
    <n v="12240"/>
    <n v="9467.99"/>
    <n v="2772.01"/>
    <n v="22.65"/>
    <x v="2"/>
    <x v="1"/>
    <x v="1"/>
    <x v="0"/>
    <n v="2024"/>
    <s v="Friday"/>
    <n v="6"/>
    <d v="2024-07-03T00:00:00"/>
    <x v="0"/>
    <s v="Returning"/>
    <s v="High"/>
    <s v="Yes"/>
    <n v="1"/>
    <s v="Vikram"/>
    <s v="Yadav"/>
    <m/>
    <m/>
    <m/>
    <m/>
    <m/>
    <m/>
    <s v="Needs Improvement"/>
    <s v="Medium"/>
    <s v="No"/>
    <s v="No"/>
    <n v="0.22647140522875819"/>
    <m/>
    <n v="196"/>
    <n v="2098.6479591836733"/>
    <s v="East"/>
    <s v="Office Supplies"/>
    <n v="411335"/>
    <m/>
    <m/>
    <m/>
    <m/>
    <m/>
    <m/>
    <n v="7518642.5"/>
    <m/>
    <m/>
  </r>
  <r>
    <s v="ORD10927"/>
    <d v="2024-01-03T00:00:00"/>
    <s v="CUST1107"/>
    <s v="Aarav Agarwal"/>
    <x v="1"/>
    <s v="Jaipur"/>
    <s v="Rajasthan"/>
    <x v="2"/>
    <x v="1"/>
    <x v="3"/>
    <n v="2"/>
    <n v="700"/>
    <n v="0.2"/>
    <n v="1120"/>
    <n v="653.09"/>
    <n v="466.91"/>
    <n v="41.69"/>
    <x v="3"/>
    <x v="2"/>
    <x v="2"/>
    <x v="0"/>
    <n v="2024"/>
    <s v="Friday"/>
    <n v="2"/>
    <d v="2024-03-03T00:00:00"/>
    <x v="1"/>
    <s v="Returning"/>
    <s v="Medium"/>
    <s v="No"/>
    <n v="1"/>
    <s v="Aarav"/>
    <s v="Agarwal"/>
    <m/>
    <m/>
    <m/>
    <m/>
    <m/>
    <m/>
    <s v="Good"/>
    <s v="Low"/>
    <s v="No"/>
    <s v="Yes"/>
    <n v="0.41688392857142859"/>
    <m/>
    <n v="195"/>
    <n v="9673.6923076923085"/>
    <s v="West"/>
    <s v="Clothing"/>
    <n v="1886370"/>
    <m/>
    <m/>
    <m/>
    <m/>
    <m/>
    <m/>
    <n v="8266957.5"/>
    <m/>
    <m/>
  </r>
  <r>
    <s v="ORD10497"/>
    <d v="2024-01-05T00:00:00"/>
    <s v="CUST1350"/>
    <s v="Rohan Jain"/>
    <x v="0"/>
    <s v="Chennai"/>
    <s v="Tamil Nadu"/>
    <x v="2"/>
    <x v="2"/>
    <x v="4"/>
    <n v="4"/>
    <n v="22000"/>
    <n v="0.1"/>
    <n v="79200"/>
    <n v="55323.839999999997"/>
    <n v="23876.16"/>
    <n v="30.15"/>
    <x v="2"/>
    <x v="2"/>
    <x v="2"/>
    <x v="1"/>
    <n v="2024"/>
    <s v="Wednesday"/>
    <n v="7"/>
    <d v="2024-08-05T00:00:00"/>
    <x v="2"/>
    <s v="New"/>
    <s v="Low"/>
    <s v="Yes"/>
    <n v="3"/>
    <s v="Rohan"/>
    <s v="Jain"/>
    <m/>
    <m/>
    <m/>
    <m/>
    <m/>
    <m/>
    <s v="Good"/>
    <s v="High"/>
    <s v="Yes"/>
    <s v="Yes"/>
    <n v="0.30146666666666666"/>
    <m/>
    <n v="216"/>
    <n v="6790.4861111111113"/>
    <m/>
    <s v="Accessories"/>
    <n v="1466745"/>
    <m/>
    <m/>
    <m/>
    <m/>
    <m/>
    <m/>
    <m/>
    <m/>
    <m/>
  </r>
  <r>
    <s v="ORD10605"/>
    <d v="2024-01-05T00:00:00"/>
    <s v="CUST1115"/>
    <s v="Karan Kumar"/>
    <x v="0"/>
    <s v="Lucknow"/>
    <s v="Uttar Pradesh"/>
    <x v="1"/>
    <x v="3"/>
    <x v="5"/>
    <n v="6"/>
    <n v="350"/>
    <n v="0.05"/>
    <n v="1995"/>
    <n v="1359.38"/>
    <n v="635.62"/>
    <n v="31.86"/>
    <x v="2"/>
    <x v="0"/>
    <x v="0"/>
    <x v="1"/>
    <n v="2024"/>
    <s v="Wednesday"/>
    <n v="5"/>
    <d v="2024-06-05T00:00:00"/>
    <x v="0"/>
    <s v="New"/>
    <s v="Low"/>
    <s v="Yes"/>
    <n v="5"/>
    <s v="Karan"/>
    <s v="Kumar"/>
    <m/>
    <m/>
    <m/>
    <m/>
    <m/>
    <m/>
    <s v="Good"/>
    <s v="Low"/>
    <s v="No"/>
    <s v="Yes"/>
    <n v="0.31860651629072684"/>
    <m/>
    <m/>
    <m/>
    <m/>
    <m/>
    <m/>
    <m/>
    <m/>
    <m/>
    <m/>
    <m/>
    <m/>
    <m/>
    <m/>
    <m/>
  </r>
  <r>
    <s v="ORD10515"/>
    <d v="2024-01-06T00:00:00"/>
    <s v="CUST1229"/>
    <s v="Kavya Chopra"/>
    <x v="2"/>
    <s v="Pune"/>
    <s v="Maharashtra"/>
    <x v="1"/>
    <x v="1"/>
    <x v="6"/>
    <n v="5"/>
    <n v="700"/>
    <n v="0"/>
    <n v="3500"/>
    <n v="2064.65"/>
    <n v="1435.35"/>
    <n v="41.01"/>
    <x v="3"/>
    <x v="1"/>
    <x v="0"/>
    <x v="2"/>
    <n v="2024"/>
    <s v="Saturday"/>
    <n v="3"/>
    <d v="2024-04-06T00:00:00"/>
    <x v="0"/>
    <s v="New"/>
    <s v="Low"/>
    <s v="No"/>
    <n v="2"/>
    <s v="Kavya"/>
    <s v="Chopra"/>
    <m/>
    <m/>
    <m/>
    <m/>
    <m/>
    <m/>
    <s v="Good"/>
    <s v="Low"/>
    <s v="No"/>
    <s v="No"/>
    <n v="0.41009999999999996"/>
    <m/>
    <m/>
    <m/>
    <m/>
    <m/>
    <m/>
    <m/>
    <m/>
    <m/>
    <m/>
    <m/>
    <m/>
    <m/>
    <m/>
    <m/>
  </r>
  <r>
    <s v="ORD10324"/>
    <d v="2024-01-09T00:00:00"/>
    <s v="CUST1277"/>
    <s v="Priya Malhotra"/>
    <x v="1"/>
    <s v="Bengaluru"/>
    <s v="Karnataka"/>
    <x v="2"/>
    <x v="2"/>
    <x v="4"/>
    <n v="1"/>
    <n v="50000"/>
    <n v="0.2"/>
    <n v="40000"/>
    <n v="22680.32"/>
    <n v="17319.68"/>
    <n v="43.3"/>
    <x v="1"/>
    <x v="2"/>
    <x v="3"/>
    <x v="3"/>
    <n v="2024"/>
    <s v="Sunday"/>
    <n v="8"/>
    <d v="2024-09-09T00:00:00"/>
    <x v="2"/>
    <s v="New"/>
    <s v="Medium"/>
    <s v="Yes"/>
    <n v="4"/>
    <s v="Priya"/>
    <s v="Malhotra"/>
    <m/>
    <m/>
    <m/>
    <m/>
    <m/>
    <m/>
    <s v="Good"/>
    <s v="High"/>
    <s v="Yes"/>
    <s v="Yes"/>
    <n v="0.43299199999999999"/>
    <m/>
    <m/>
    <m/>
    <m/>
    <m/>
    <m/>
    <m/>
    <m/>
    <m/>
    <m/>
    <m/>
    <m/>
    <m/>
    <m/>
    <m/>
  </r>
  <r>
    <s v="ORD10559"/>
    <d v="2024-01-09T00:00:00"/>
    <s v="CUST1116"/>
    <s v="Simran Yadav"/>
    <x v="1"/>
    <s v="Hyderabad"/>
    <s v="Telangana"/>
    <x v="2"/>
    <x v="2"/>
    <x v="7"/>
    <n v="1"/>
    <n v="35000"/>
    <n v="0.1"/>
    <n v="31500"/>
    <n v="18184.28"/>
    <n v="13315.72"/>
    <n v="42.27"/>
    <x v="4"/>
    <x v="1"/>
    <x v="2"/>
    <x v="3"/>
    <n v="2024"/>
    <s v="Sunday"/>
    <n v="2"/>
    <d v="2024-03-09T00:00:00"/>
    <x v="1"/>
    <s v="New"/>
    <s v="High"/>
    <s v="No"/>
    <n v="4"/>
    <s v="Simran"/>
    <s v="Yadav"/>
    <m/>
    <m/>
    <m/>
    <m/>
    <m/>
    <m/>
    <s v="Good"/>
    <s v="High"/>
    <s v="Yes"/>
    <s v="No"/>
    <n v="0.42272126984126984"/>
    <m/>
    <m/>
    <m/>
    <m/>
    <m/>
    <m/>
    <m/>
    <m/>
    <m/>
    <m/>
    <m/>
    <m/>
    <m/>
    <m/>
    <m/>
  </r>
  <r>
    <s v="ORD10370"/>
    <d v="2024-01-10T00:00:00"/>
    <s v="CUST1223"/>
    <s v="Nisha Yadav"/>
    <x v="1"/>
    <s v="Ahmedabad"/>
    <s v="Gujarat"/>
    <x v="1"/>
    <x v="0"/>
    <x v="0"/>
    <n v="8"/>
    <n v="4000"/>
    <n v="0.15"/>
    <n v="27200"/>
    <n v="21222.78"/>
    <n v="5977.22"/>
    <n v="21.98"/>
    <x v="3"/>
    <x v="2"/>
    <x v="3"/>
    <x v="4"/>
    <n v="2024"/>
    <s v="Tuesday"/>
    <n v="9"/>
    <d v="2024-10-10T00:00:00"/>
    <x v="1"/>
    <s v="Returning"/>
    <s v="Low"/>
    <s v="Yes"/>
    <n v="2"/>
    <s v="Nisha"/>
    <s v="Yadav"/>
    <m/>
    <m/>
    <m/>
    <m/>
    <m/>
    <m/>
    <s v="Needs Improvement"/>
    <s v="Medium"/>
    <s v="No"/>
    <s v="Yes"/>
    <n v="0.21975073529411765"/>
    <m/>
    <m/>
    <m/>
    <m/>
    <m/>
    <m/>
    <m/>
    <m/>
    <m/>
    <m/>
    <m/>
    <m/>
    <m/>
    <m/>
    <m/>
  </r>
  <r>
    <s v="ORD10538"/>
    <d v="2024-01-10T00:00:00"/>
    <s v="CUST1213"/>
    <s v="Vikram Sharma"/>
    <x v="0"/>
    <s v="Kolkata"/>
    <s v="West Bengal"/>
    <x v="1"/>
    <x v="2"/>
    <x v="8"/>
    <n v="4"/>
    <n v="35000"/>
    <n v="0.1"/>
    <n v="126000"/>
    <n v="97825.23"/>
    <n v="28174.77"/>
    <n v="22.36"/>
    <x v="1"/>
    <x v="2"/>
    <x v="4"/>
    <x v="4"/>
    <n v="2024"/>
    <s v="Tuesday"/>
    <n v="5"/>
    <d v="2024-06-10T00:00:00"/>
    <x v="0"/>
    <s v="Returning"/>
    <s v="High"/>
    <s v="No"/>
    <n v="3"/>
    <s v="Vikram"/>
    <s v="Sharma"/>
    <m/>
    <m/>
    <m/>
    <m/>
    <m/>
    <m/>
    <s v="Needs Improvement"/>
    <s v="High"/>
    <s v="Yes"/>
    <s v="Yes"/>
    <n v="0.2236092857142857"/>
    <m/>
    <m/>
    <m/>
    <m/>
    <m/>
    <m/>
    <m/>
    <m/>
    <m/>
    <m/>
    <m/>
    <m/>
    <m/>
    <m/>
    <m/>
  </r>
  <r>
    <s v="ORD10437"/>
    <d v="2024-01-12T00:00:00"/>
    <s v="CUST1144"/>
    <s v="Rohan Chopra"/>
    <x v="1"/>
    <s v="Lucknow"/>
    <s v="Uttar Pradesh"/>
    <x v="2"/>
    <x v="4"/>
    <x v="9"/>
    <n v="9"/>
    <n v="1200"/>
    <n v="0.05"/>
    <n v="10260"/>
    <n v="7386.73"/>
    <n v="2873.27"/>
    <n v="28"/>
    <x v="2"/>
    <x v="0"/>
    <x v="2"/>
    <x v="5"/>
    <n v="2024"/>
    <s v="Sunday"/>
    <n v="4"/>
    <d v="2024-05-12T00:00:00"/>
    <x v="0"/>
    <s v="Returning"/>
    <s v="High"/>
    <s v="Yes"/>
    <n v="2"/>
    <s v="Rohan"/>
    <s v="Chopra"/>
    <m/>
    <m/>
    <m/>
    <m/>
    <m/>
    <m/>
    <s v="Needs Improvement"/>
    <s v="Medium"/>
    <s v="No"/>
    <s v="Yes"/>
    <n v="0.2800458089668616"/>
    <m/>
    <m/>
    <m/>
    <m/>
    <m/>
    <m/>
    <m/>
    <m/>
    <m/>
    <m/>
    <m/>
    <m/>
    <m/>
    <m/>
    <m/>
  </r>
  <r>
    <s v="ORD10475"/>
    <d v="2024-02-01T00:00:00"/>
    <s v="CUST1098"/>
    <s v="Pooja Mehta"/>
    <x v="0"/>
    <s v="Lucknow"/>
    <s v="Uttar Pradesh"/>
    <x v="0"/>
    <x v="3"/>
    <x v="10"/>
    <n v="6"/>
    <n v="500"/>
    <n v="0.2"/>
    <n v="2400"/>
    <n v="1702.36"/>
    <n v="697.64"/>
    <n v="29.07"/>
    <x v="2"/>
    <x v="0"/>
    <x v="5"/>
    <x v="6"/>
    <n v="2024"/>
    <s v="Tuesday"/>
    <n v="5"/>
    <d v="2024-07-01T00:00:00"/>
    <x v="0"/>
    <s v="VIP"/>
    <s v="Low"/>
    <s v="Yes"/>
    <n v="4"/>
    <s v="Pooja"/>
    <s v="Mehta"/>
    <m/>
    <m/>
    <m/>
    <m/>
    <m/>
    <m/>
    <s v="Needs Improvement"/>
    <s v="Low"/>
    <s v="No"/>
    <s v="Yes"/>
    <n v="0.29068333333333335"/>
    <m/>
    <m/>
    <m/>
    <m/>
    <m/>
    <m/>
    <m/>
    <m/>
    <m/>
    <m/>
    <m/>
    <m/>
    <m/>
    <m/>
    <m/>
  </r>
  <r>
    <s v="ORD10714"/>
    <d v="2024-02-01T00:00:00"/>
    <s v="CUST1197"/>
    <s v="Priya Sharma"/>
    <x v="1"/>
    <s v="Delhi"/>
    <s v="Delhi"/>
    <x v="0"/>
    <x v="4"/>
    <x v="11"/>
    <n v="6"/>
    <n v="500"/>
    <n v="0.05"/>
    <n v="2850"/>
    <n v="1571.09"/>
    <n v="1278.9100000000001"/>
    <n v="44.87"/>
    <x v="1"/>
    <x v="2"/>
    <x v="6"/>
    <x v="6"/>
    <n v="2024"/>
    <s v="Tuesday"/>
    <n v="9"/>
    <d v="2024-11-01T00:00:00"/>
    <x v="0"/>
    <s v="VIP"/>
    <s v="High"/>
    <s v="No"/>
    <n v="2"/>
    <s v="Priya"/>
    <s v="Sharma"/>
    <m/>
    <m/>
    <m/>
    <m/>
    <m/>
    <m/>
    <s v="Good"/>
    <s v="Low"/>
    <s v="No"/>
    <s v="Yes"/>
    <n v="0.44874035087719299"/>
    <m/>
    <m/>
    <m/>
    <m/>
    <m/>
    <m/>
    <m/>
    <m/>
    <m/>
    <m/>
    <m/>
    <m/>
    <m/>
    <m/>
    <m/>
  </r>
  <r>
    <s v="ORD10115"/>
    <d v="2024-02-02T00:00:00"/>
    <s v="CUST1070"/>
    <s v="Ishita Jain"/>
    <x v="0"/>
    <s v="Chennai"/>
    <s v="Tamil Nadu"/>
    <x v="2"/>
    <x v="2"/>
    <x v="12"/>
    <n v="1"/>
    <n v="8000"/>
    <n v="0.15"/>
    <n v="6800"/>
    <n v="4070.45"/>
    <n v="2729.55"/>
    <n v="40.14"/>
    <x v="4"/>
    <x v="1"/>
    <x v="2"/>
    <x v="7"/>
    <n v="2024"/>
    <s v="Friday"/>
    <n v="5"/>
    <d v="2024-07-02T00:00:00"/>
    <x v="2"/>
    <s v="VIP"/>
    <s v="High"/>
    <s v="Yes"/>
    <n v="3"/>
    <s v="Ishita"/>
    <s v="Jain"/>
    <m/>
    <m/>
    <m/>
    <m/>
    <m/>
    <m/>
    <s v="Good"/>
    <s v="Low"/>
    <s v="No"/>
    <s v="No"/>
    <n v="0.40140441176470593"/>
    <m/>
    <m/>
    <m/>
    <m/>
    <m/>
    <m/>
    <m/>
    <m/>
    <m/>
    <m/>
    <m/>
    <m/>
    <m/>
    <m/>
    <m/>
  </r>
  <r>
    <s v="ORD10992"/>
    <d v="2024-02-02T00:00:00"/>
    <s v="CUST1314"/>
    <s v="Priya Verma"/>
    <x v="2"/>
    <s v="Lucknow"/>
    <s v="Uttar Pradesh"/>
    <x v="0"/>
    <x v="2"/>
    <x v="7"/>
    <n v="5"/>
    <n v="15000"/>
    <n v="0.05"/>
    <n v="71250"/>
    <n v="40064.870000000003"/>
    <n v="31185.13"/>
    <n v="43.77"/>
    <x v="3"/>
    <x v="2"/>
    <x v="6"/>
    <x v="7"/>
    <n v="2024"/>
    <s v="Friday"/>
    <n v="4"/>
    <d v="2024-06-02T00:00:00"/>
    <x v="2"/>
    <s v="VIP"/>
    <s v="Medium"/>
    <s v="Yes"/>
    <n v="5"/>
    <s v="Priya"/>
    <s v="Verma"/>
    <m/>
    <m/>
    <m/>
    <m/>
    <m/>
    <m/>
    <s v="Good"/>
    <s v="High"/>
    <s v="Yes"/>
    <s v="Yes"/>
    <n v="0.43768603508771931"/>
    <m/>
    <m/>
    <m/>
    <m/>
    <m/>
    <m/>
    <m/>
    <m/>
    <m/>
    <m/>
    <m/>
    <m/>
    <m/>
    <m/>
    <m/>
  </r>
  <r>
    <s v="ORD10660"/>
    <d v="2024-02-03T00:00:00"/>
    <s v="CUST1021"/>
    <s v="Sneha Mehta"/>
    <x v="1"/>
    <s v="Mumbai"/>
    <s v="Maharashtra"/>
    <x v="2"/>
    <x v="4"/>
    <x v="13"/>
    <n v="1"/>
    <n v="2000"/>
    <n v="0.15"/>
    <n v="1700"/>
    <n v="1315.19"/>
    <n v="384.81"/>
    <n v="22.64"/>
    <x v="4"/>
    <x v="2"/>
    <x v="2"/>
    <x v="0"/>
    <n v="2024"/>
    <s v="Saturday"/>
    <n v="5"/>
    <d v="2024-07-03T00:00:00"/>
    <x v="2"/>
    <s v="New"/>
    <s v="Medium"/>
    <s v="Yes"/>
    <n v="2"/>
    <s v="Sneha"/>
    <s v="Mehta"/>
    <m/>
    <m/>
    <m/>
    <m/>
    <m/>
    <m/>
    <s v="Needs Improvement"/>
    <s v="Low"/>
    <s v="No"/>
    <s v="Yes"/>
    <n v="0.22635882352941178"/>
    <m/>
    <m/>
    <m/>
    <m/>
    <m/>
    <m/>
    <m/>
    <m/>
    <m/>
    <m/>
    <m/>
    <m/>
    <m/>
    <m/>
    <m/>
  </r>
  <r>
    <s v="ORD10051"/>
    <d v="2024-02-04T00:00:00"/>
    <s v="CUST1052"/>
    <s v="Riya Gupta"/>
    <x v="1"/>
    <s v="Delhi"/>
    <s v="Delhi"/>
    <x v="0"/>
    <x v="4"/>
    <x v="11"/>
    <n v="4"/>
    <n v="1200"/>
    <n v="0.05"/>
    <n v="4560"/>
    <n v="3444.17"/>
    <n v="1115.83"/>
    <n v="24.47"/>
    <x v="1"/>
    <x v="2"/>
    <x v="3"/>
    <x v="8"/>
    <n v="2024"/>
    <s v="Tuesday"/>
    <n v="7"/>
    <d v="2024-09-04T00:00:00"/>
    <x v="0"/>
    <s v="New"/>
    <s v="Medium"/>
    <s v="No"/>
    <n v="3"/>
    <s v="Riya"/>
    <s v="Gupta"/>
    <m/>
    <m/>
    <m/>
    <m/>
    <m/>
    <m/>
    <s v="Needs Improvement"/>
    <s v="Low"/>
    <s v="No"/>
    <s v="Yes"/>
    <n v="0.24469956140350876"/>
    <m/>
    <m/>
    <m/>
    <m/>
    <m/>
    <m/>
    <m/>
    <m/>
    <m/>
    <m/>
    <m/>
    <m/>
    <m/>
    <m/>
    <m/>
  </r>
  <r>
    <s v="ORD10273"/>
    <d v="2024-02-04T00:00:00"/>
    <s v="CUST1202"/>
    <s v="Rohan Gupta"/>
    <x v="0"/>
    <s v="Delhi"/>
    <s v="Delhi"/>
    <x v="1"/>
    <x v="1"/>
    <x v="14"/>
    <n v="10"/>
    <n v="3500"/>
    <n v="0.2"/>
    <n v="28000"/>
    <n v="17590.759999999998"/>
    <n v="10409.24"/>
    <n v="37.18"/>
    <x v="4"/>
    <x v="0"/>
    <x v="7"/>
    <x v="8"/>
    <n v="2024"/>
    <s v="Tuesday"/>
    <n v="4"/>
    <d v="2024-06-04T00:00:00"/>
    <x v="2"/>
    <s v="VIP"/>
    <s v="Medium"/>
    <s v="No"/>
    <n v="1"/>
    <s v="Rohan"/>
    <s v="Gupta"/>
    <m/>
    <m/>
    <m/>
    <m/>
    <m/>
    <m/>
    <s v="Good"/>
    <s v="Medium"/>
    <s v="No"/>
    <s v="Yes"/>
    <n v="0.37175857142857144"/>
    <m/>
    <m/>
    <m/>
    <m/>
    <m/>
    <m/>
    <m/>
    <m/>
    <m/>
    <m/>
    <m/>
    <m/>
    <m/>
    <m/>
    <m/>
  </r>
  <r>
    <s v="ORD10286"/>
    <d v="2024-02-04T00:00:00"/>
    <s v="CUST1300"/>
    <s v="Aditi Gupta"/>
    <x v="0"/>
    <s v="Lucknow"/>
    <s v="Uttar Pradesh"/>
    <x v="2"/>
    <x v="2"/>
    <x v="12"/>
    <n v="3"/>
    <n v="22000"/>
    <n v="0.15"/>
    <n v="56100"/>
    <n v="33578"/>
    <n v="22522"/>
    <n v="40.15"/>
    <x v="0"/>
    <x v="1"/>
    <x v="7"/>
    <x v="8"/>
    <n v="2024"/>
    <s v="Tuesday"/>
    <n v="9"/>
    <d v="2024-11-04T00:00:00"/>
    <x v="0"/>
    <s v="New"/>
    <s v="Medium"/>
    <s v="Yes"/>
    <n v="4"/>
    <s v="Aditi"/>
    <s v="Gupta"/>
    <m/>
    <m/>
    <m/>
    <m/>
    <m/>
    <m/>
    <s v="Good"/>
    <s v="High"/>
    <s v="Yes"/>
    <s v="No"/>
    <n v="0.40146167557932266"/>
    <m/>
    <m/>
    <m/>
    <m/>
    <m/>
    <m/>
    <m/>
    <m/>
    <m/>
    <m/>
    <m/>
    <m/>
    <m/>
    <m/>
    <m/>
  </r>
  <r>
    <s v="ORD10713"/>
    <d v="2024-02-04T00:00:00"/>
    <s v="CUST1117"/>
    <s v="Sneha Mishra"/>
    <x v="1"/>
    <s v="Pune"/>
    <s v="Maharashtra"/>
    <x v="1"/>
    <x v="3"/>
    <x v="10"/>
    <n v="7"/>
    <n v="350"/>
    <n v="0.15"/>
    <n v="2082.5"/>
    <n v="1371.09"/>
    <n v="711.41"/>
    <n v="34.159999999999997"/>
    <x v="0"/>
    <x v="1"/>
    <x v="2"/>
    <x v="8"/>
    <n v="2024"/>
    <s v="Tuesday"/>
    <n v="3"/>
    <d v="2024-05-04T00:00:00"/>
    <x v="0"/>
    <s v="VIP"/>
    <s v="Medium"/>
    <s v="Yes"/>
    <n v="5"/>
    <s v="Sneha"/>
    <s v="Mishra"/>
    <m/>
    <m/>
    <m/>
    <m/>
    <m/>
    <m/>
    <s v="Good"/>
    <s v="Low"/>
    <s v="No"/>
    <s v="No"/>
    <n v="0.34161344537815125"/>
    <m/>
    <m/>
    <m/>
    <m/>
    <m/>
    <m/>
    <m/>
    <m/>
    <m/>
    <m/>
    <m/>
    <m/>
    <m/>
    <m/>
    <m/>
  </r>
  <r>
    <s v="ORD10734"/>
    <d v="2024-02-04T00:00:00"/>
    <s v="CUST1078"/>
    <s v="Rahul Kumar"/>
    <x v="2"/>
    <s v="Mumbai"/>
    <s v="Maharashtra"/>
    <x v="0"/>
    <x v="2"/>
    <x v="7"/>
    <n v="1"/>
    <n v="8000"/>
    <n v="0.1"/>
    <n v="7200"/>
    <n v="4354.6499999999996"/>
    <n v="2845.35"/>
    <n v="39.520000000000003"/>
    <x v="3"/>
    <x v="1"/>
    <x v="5"/>
    <x v="8"/>
    <n v="2024"/>
    <s v="Tuesday"/>
    <n v="6"/>
    <d v="2024-08-04T00:00:00"/>
    <x v="0"/>
    <s v="Returning"/>
    <s v="Medium"/>
    <s v="No"/>
    <n v="2"/>
    <s v="Rahul"/>
    <s v="Kumar"/>
    <m/>
    <m/>
    <m/>
    <m/>
    <m/>
    <m/>
    <s v="Good"/>
    <s v="Low"/>
    <s v="No"/>
    <s v="No"/>
    <n v="0.39518749999999997"/>
    <m/>
    <m/>
    <m/>
    <m/>
    <m/>
    <m/>
    <m/>
    <m/>
    <m/>
    <m/>
    <m/>
    <m/>
    <m/>
    <m/>
    <m/>
  </r>
  <r>
    <s v="ORD10908"/>
    <d v="2024-02-04T00:00:00"/>
    <s v="CUST1251"/>
    <s v="Karan Singh"/>
    <x v="1"/>
    <s v="Pune"/>
    <s v="Maharashtra"/>
    <x v="2"/>
    <x v="4"/>
    <x v="11"/>
    <n v="1"/>
    <n v="2000"/>
    <n v="0"/>
    <n v="2000"/>
    <n v="1324.3"/>
    <n v="675.7"/>
    <n v="33.79"/>
    <x v="0"/>
    <x v="2"/>
    <x v="8"/>
    <x v="8"/>
    <n v="2024"/>
    <s v="Tuesday"/>
    <n v="9"/>
    <d v="2024-11-04T00:00:00"/>
    <x v="0"/>
    <s v="New"/>
    <s v="Medium"/>
    <s v="No"/>
    <n v="5"/>
    <s v="Karan"/>
    <s v="Singh"/>
    <m/>
    <m/>
    <m/>
    <m/>
    <m/>
    <m/>
    <s v="Good"/>
    <s v="Low"/>
    <s v="No"/>
    <s v="Yes"/>
    <n v="0.33785000000000004"/>
    <m/>
    <m/>
    <m/>
    <m/>
    <m/>
    <m/>
    <m/>
    <m/>
    <m/>
    <m/>
    <m/>
    <m/>
    <m/>
    <m/>
    <m/>
  </r>
  <r>
    <s v="ORD10712"/>
    <d v="2024-02-05T00:00:00"/>
    <s v="CUST1207"/>
    <s v="Nisha Yadav"/>
    <x v="1"/>
    <s v="Hyderabad"/>
    <s v="Telangana"/>
    <x v="2"/>
    <x v="4"/>
    <x v="9"/>
    <n v="3"/>
    <n v="500"/>
    <n v="0.15"/>
    <n v="1275"/>
    <n v="733.67"/>
    <n v="541.33000000000004"/>
    <n v="42.46"/>
    <x v="4"/>
    <x v="1"/>
    <x v="9"/>
    <x v="1"/>
    <n v="2024"/>
    <s v="Thursday"/>
    <n v="6"/>
    <d v="2024-08-05T00:00:00"/>
    <x v="0"/>
    <s v="New"/>
    <s v="Medium"/>
    <s v="Yes"/>
    <n v="1"/>
    <s v="Nisha"/>
    <s v="Yadav"/>
    <m/>
    <m/>
    <m/>
    <m/>
    <m/>
    <m/>
    <s v="Good"/>
    <s v="Low"/>
    <s v="No"/>
    <s v="No"/>
    <n v="0.42457254901960789"/>
    <m/>
    <m/>
    <m/>
    <m/>
    <m/>
    <m/>
    <m/>
    <m/>
    <m/>
    <m/>
    <m/>
    <m/>
    <m/>
    <m/>
    <m/>
  </r>
  <r>
    <s v="ORD10899"/>
    <d v="2024-02-05T00:00:00"/>
    <s v="CUST1058"/>
    <s v="Kavya Bansal"/>
    <x v="0"/>
    <s v="Pune"/>
    <s v="Maharashtra"/>
    <x v="3"/>
    <x v="0"/>
    <x v="15"/>
    <n v="4"/>
    <n v="6000"/>
    <n v="0.2"/>
    <n v="19200"/>
    <n v="10946.26"/>
    <n v="8253.74"/>
    <n v="42.99"/>
    <x v="1"/>
    <x v="2"/>
    <x v="8"/>
    <x v="1"/>
    <n v="2024"/>
    <s v="Thursday"/>
    <n v="9"/>
    <d v="2024-11-05T00:00:00"/>
    <x v="1"/>
    <s v="VIP"/>
    <s v="Medium"/>
    <s v="Yes"/>
    <n v="3"/>
    <s v="Kavya"/>
    <s v="Bansal"/>
    <m/>
    <m/>
    <m/>
    <m/>
    <m/>
    <m/>
    <s v="Good"/>
    <s v="Medium"/>
    <s v="No"/>
    <s v="Yes"/>
    <n v="0.42988229166666664"/>
    <m/>
    <m/>
    <m/>
    <m/>
    <m/>
    <m/>
    <m/>
    <m/>
    <m/>
    <m/>
    <m/>
    <m/>
    <m/>
    <m/>
    <m/>
  </r>
  <r>
    <s v="ORD10623"/>
    <d v="2024-02-06T00:00:00"/>
    <s v="CUST1003"/>
    <s v="Priya Yadav"/>
    <x v="2"/>
    <s v="Ahmedabad"/>
    <s v="Gujarat"/>
    <x v="3"/>
    <x v="1"/>
    <x v="3"/>
    <n v="6"/>
    <n v="2500"/>
    <n v="0.05"/>
    <n v="14250"/>
    <n v="11659.26"/>
    <n v="2590.7399999999998"/>
    <n v="18.18"/>
    <x v="1"/>
    <x v="0"/>
    <x v="9"/>
    <x v="2"/>
    <n v="2024"/>
    <s v="Sunday"/>
    <n v="8"/>
    <d v="2024-10-06T00:00:00"/>
    <x v="0"/>
    <s v="Returning"/>
    <s v="Low"/>
    <s v="Yes"/>
    <n v="5"/>
    <s v="Priya"/>
    <s v="Yadav"/>
    <m/>
    <m/>
    <m/>
    <m/>
    <m/>
    <m/>
    <s v="Needs Improvement"/>
    <s v="Medium"/>
    <s v="No"/>
    <s v="Yes"/>
    <n v="0.18180631578947368"/>
    <m/>
    <m/>
    <m/>
    <m/>
    <m/>
    <m/>
    <m/>
    <m/>
    <m/>
    <m/>
    <m/>
    <m/>
    <m/>
    <m/>
    <m/>
  </r>
  <r>
    <s v="ORD10160"/>
    <d v="2024-02-07T00:00:00"/>
    <s v="CUST1206"/>
    <s v="Aditya Saxena"/>
    <x v="0"/>
    <s v="Mumbai"/>
    <s v="Maharashtra"/>
    <x v="0"/>
    <x v="4"/>
    <x v="16"/>
    <n v="2"/>
    <n v="3000"/>
    <n v="0"/>
    <n v="6000"/>
    <n v="4889.8900000000003"/>
    <n v="1110.1099999999999"/>
    <n v="18.5"/>
    <x v="0"/>
    <x v="1"/>
    <x v="2"/>
    <x v="9"/>
    <n v="2024"/>
    <s v="Tuesday"/>
    <n v="4"/>
    <d v="2024-06-07T00:00:00"/>
    <x v="1"/>
    <s v="VIP"/>
    <s v="Medium"/>
    <s v="Yes"/>
    <n v="3"/>
    <s v="Aditya"/>
    <s v="Saxena"/>
    <m/>
    <m/>
    <m/>
    <m/>
    <m/>
    <m/>
    <s v="Needs Improvement"/>
    <s v="Low"/>
    <s v="No"/>
    <s v="No"/>
    <n v="0.18501833333333331"/>
    <m/>
    <m/>
    <m/>
    <m/>
    <m/>
    <m/>
    <m/>
    <m/>
    <m/>
    <m/>
    <m/>
    <m/>
    <m/>
    <m/>
    <m/>
  </r>
  <r>
    <s v="ORD10362"/>
    <d v="2024-02-07T00:00:00"/>
    <s v="CUST1079"/>
    <s v="Priya Bansal"/>
    <x v="1"/>
    <s v="Mumbai"/>
    <s v="Maharashtra"/>
    <x v="1"/>
    <x v="2"/>
    <x v="7"/>
    <n v="8"/>
    <n v="50000"/>
    <n v="0"/>
    <n v="400000"/>
    <n v="293354.07"/>
    <n v="106645.93"/>
    <n v="26.66"/>
    <x v="1"/>
    <x v="0"/>
    <x v="8"/>
    <x v="9"/>
    <n v="2024"/>
    <s v="Tuesday"/>
    <n v="7"/>
    <d v="2024-09-07T00:00:00"/>
    <x v="1"/>
    <s v="Returning"/>
    <s v="Medium"/>
    <s v="Yes"/>
    <n v="3"/>
    <s v="Priya"/>
    <s v="Bansal"/>
    <m/>
    <m/>
    <m/>
    <m/>
    <m/>
    <m/>
    <s v="Needs Improvement"/>
    <s v="High"/>
    <s v="Yes"/>
    <s v="Yes"/>
    <n v="0.266614825"/>
    <m/>
    <m/>
    <m/>
    <m/>
    <m/>
    <m/>
    <m/>
    <m/>
    <m/>
    <m/>
    <m/>
    <m/>
    <m/>
    <m/>
    <m/>
  </r>
  <r>
    <s v="ORD10647"/>
    <d v="2024-02-07T00:00:00"/>
    <s v="CUST1229"/>
    <s v="Neha Kumar"/>
    <x v="1"/>
    <s v="Kolkata"/>
    <s v="West Bengal"/>
    <x v="1"/>
    <x v="3"/>
    <x v="17"/>
    <n v="1"/>
    <n v="800"/>
    <n v="0.1"/>
    <n v="720"/>
    <n v="477.08"/>
    <n v="242.92"/>
    <n v="33.74"/>
    <x v="3"/>
    <x v="2"/>
    <x v="3"/>
    <x v="9"/>
    <n v="2024"/>
    <s v="Tuesday"/>
    <n v="5"/>
    <d v="2024-07-07T00:00:00"/>
    <x v="0"/>
    <s v="VIP"/>
    <s v="Low"/>
    <s v="No"/>
    <n v="2"/>
    <s v="Neha"/>
    <s v="Kumar"/>
    <m/>
    <m/>
    <m/>
    <m/>
    <m/>
    <m/>
    <s v="Good"/>
    <s v="Low"/>
    <s v="No"/>
    <s v="Yes"/>
    <n v="0.33738888888888885"/>
    <m/>
    <m/>
    <m/>
    <m/>
    <m/>
    <m/>
    <m/>
    <m/>
    <m/>
    <m/>
    <m/>
    <m/>
    <m/>
    <m/>
    <m/>
  </r>
  <r>
    <s v="ORD10772"/>
    <d v="2024-02-08T00:00:00"/>
    <s v="CUST1098"/>
    <s v="Aarav Sharma"/>
    <x v="2"/>
    <s v="Bengaluru"/>
    <s v="Karnataka"/>
    <x v="0"/>
    <x v="2"/>
    <x v="8"/>
    <n v="4"/>
    <n v="22000"/>
    <n v="0.1"/>
    <n v="79200"/>
    <n v="63907.96"/>
    <n v="15292.04"/>
    <n v="19.309999999999999"/>
    <x v="1"/>
    <x v="2"/>
    <x v="4"/>
    <x v="10"/>
    <n v="2024"/>
    <s v="Friday"/>
    <n v="9"/>
    <d v="2024-11-08T00:00:00"/>
    <x v="0"/>
    <s v="VIP"/>
    <s v="Low"/>
    <s v="Yes"/>
    <n v="3"/>
    <s v="Aarav"/>
    <s v="Sharma"/>
    <m/>
    <m/>
    <m/>
    <m/>
    <m/>
    <m/>
    <s v="Needs Improvement"/>
    <s v="High"/>
    <s v="Yes"/>
    <s v="Yes"/>
    <n v="0.19308131313131313"/>
    <m/>
    <m/>
    <m/>
    <m/>
    <m/>
    <m/>
    <m/>
    <m/>
    <m/>
    <m/>
    <m/>
    <m/>
    <m/>
    <m/>
    <m/>
  </r>
  <r>
    <s v="ORD10009"/>
    <d v="2024-02-09T00:00:00"/>
    <s v="CUST1041"/>
    <s v="Aditya Yadav"/>
    <x v="0"/>
    <s v="Chennai"/>
    <s v="Tamil Nadu"/>
    <x v="1"/>
    <x v="1"/>
    <x v="3"/>
    <n v="2"/>
    <n v="1800"/>
    <n v="0.1"/>
    <n v="3240"/>
    <n v="2550.08"/>
    <n v="689.92"/>
    <n v="21.29"/>
    <x v="3"/>
    <x v="2"/>
    <x v="4"/>
    <x v="3"/>
    <n v="2024"/>
    <s v="Monday"/>
    <n v="1"/>
    <d v="2024-03-09T00:00:00"/>
    <x v="0"/>
    <s v="VIP"/>
    <s v="Medium"/>
    <s v="Yes"/>
    <n v="3"/>
    <s v="Aditya"/>
    <s v="Yadav"/>
    <m/>
    <m/>
    <m/>
    <m/>
    <m/>
    <m/>
    <s v="Needs Improvement"/>
    <s v="Low"/>
    <s v="No"/>
    <s v="Yes"/>
    <n v="0.21293827160493825"/>
    <m/>
    <m/>
    <m/>
    <m/>
    <m/>
    <m/>
    <m/>
    <m/>
    <m/>
    <m/>
    <m/>
    <m/>
    <m/>
    <m/>
    <m/>
  </r>
  <r>
    <s v="ORD10636"/>
    <d v="2024-02-10T00:00:00"/>
    <s v="CUST1133"/>
    <s v="Rahul Malhotra"/>
    <x v="0"/>
    <s v="Chennai"/>
    <s v="Tamil Nadu"/>
    <x v="1"/>
    <x v="3"/>
    <x v="10"/>
    <n v="6"/>
    <n v="800"/>
    <n v="0.2"/>
    <n v="3840"/>
    <n v="2913.87"/>
    <n v="926.13"/>
    <n v="24.12"/>
    <x v="1"/>
    <x v="0"/>
    <x v="4"/>
    <x v="4"/>
    <n v="2024"/>
    <s v="Wednesday"/>
    <n v="2"/>
    <d v="2024-04-10T00:00:00"/>
    <x v="1"/>
    <s v="Returning"/>
    <s v="Low"/>
    <s v="No"/>
    <n v="5"/>
    <s v="Rahul"/>
    <s v="Malhotra"/>
    <m/>
    <m/>
    <m/>
    <m/>
    <m/>
    <m/>
    <s v="Needs Improvement"/>
    <s v="Low"/>
    <s v="No"/>
    <s v="Yes"/>
    <n v="0.24117968749999999"/>
    <m/>
    <m/>
    <m/>
    <m/>
    <m/>
    <m/>
    <m/>
    <m/>
    <m/>
    <m/>
    <m/>
    <m/>
    <m/>
    <m/>
    <m/>
  </r>
  <r>
    <s v="ORD10639"/>
    <d v="2024-02-10T00:00:00"/>
    <s v="CUST1084"/>
    <s v="Meera Gupta"/>
    <x v="0"/>
    <s v="Delhi"/>
    <s v="Delhi"/>
    <x v="3"/>
    <x v="0"/>
    <x v="0"/>
    <n v="2"/>
    <n v="9000"/>
    <n v="0.15"/>
    <n v="15300"/>
    <n v="10865"/>
    <n v="4435"/>
    <n v="28.99"/>
    <x v="3"/>
    <x v="2"/>
    <x v="4"/>
    <x v="4"/>
    <n v="2024"/>
    <s v="Wednesday"/>
    <n v="10"/>
    <d v="2024-12-10T00:00:00"/>
    <x v="2"/>
    <s v="VIP"/>
    <s v="Medium"/>
    <s v="Yes"/>
    <n v="1"/>
    <s v="Meera"/>
    <s v="Gupta"/>
    <m/>
    <m/>
    <m/>
    <m/>
    <m/>
    <m/>
    <s v="Needs Improvement"/>
    <s v="Medium"/>
    <s v="No"/>
    <s v="Yes"/>
    <n v="0.28986928104575166"/>
    <m/>
    <m/>
    <m/>
    <m/>
    <m/>
    <m/>
    <m/>
    <m/>
    <m/>
    <m/>
    <m/>
    <m/>
    <m/>
    <m/>
    <m/>
  </r>
  <r>
    <s v="ORD10856"/>
    <d v="2024-02-10T00:00:00"/>
    <s v="CUST1190"/>
    <s v="Vivaan Jain"/>
    <x v="0"/>
    <s v="Kolkata"/>
    <s v="West Bengal"/>
    <x v="3"/>
    <x v="4"/>
    <x v="11"/>
    <n v="4"/>
    <n v="2000"/>
    <n v="0.05"/>
    <n v="7600"/>
    <n v="6212.85"/>
    <n v="1387.15"/>
    <n v="18.25"/>
    <x v="3"/>
    <x v="1"/>
    <x v="7"/>
    <x v="4"/>
    <n v="2024"/>
    <s v="Wednesday"/>
    <n v="9"/>
    <d v="2024-11-10T00:00:00"/>
    <x v="0"/>
    <s v="VIP"/>
    <s v="High"/>
    <s v="Yes"/>
    <n v="4"/>
    <s v="Vivaan"/>
    <s v="Jain"/>
    <m/>
    <m/>
    <m/>
    <m/>
    <m/>
    <m/>
    <s v="Needs Improvement"/>
    <s v="Low"/>
    <s v="No"/>
    <s v="No"/>
    <n v="0.18251973684210526"/>
    <m/>
    <m/>
    <m/>
    <m/>
    <m/>
    <m/>
    <m/>
    <m/>
    <m/>
    <m/>
    <m/>
    <m/>
    <m/>
    <m/>
    <m/>
  </r>
  <r>
    <s v="ORD10548"/>
    <d v="2024-02-12T00:00:00"/>
    <s v="CUST1165"/>
    <s v="Vikram Kapoor"/>
    <x v="2"/>
    <s v="Bengaluru"/>
    <s v="Karnataka"/>
    <x v="2"/>
    <x v="3"/>
    <x v="5"/>
    <n v="1"/>
    <n v="350"/>
    <n v="0"/>
    <n v="350"/>
    <n v="246.13"/>
    <n v="103.87"/>
    <n v="29.68"/>
    <x v="0"/>
    <x v="0"/>
    <x v="6"/>
    <x v="5"/>
    <n v="2024"/>
    <s v="Monday"/>
    <n v="4"/>
    <d v="2024-06-12T00:00:00"/>
    <x v="2"/>
    <s v="VIP"/>
    <s v="Low"/>
    <s v="Yes"/>
    <n v="5"/>
    <s v="Vikram"/>
    <s v="Kapoor"/>
    <m/>
    <m/>
    <m/>
    <m/>
    <m/>
    <m/>
    <s v="Needs Improvement"/>
    <s v="Low"/>
    <s v="No"/>
    <s v="Yes"/>
    <n v="0.29677142857142857"/>
    <m/>
    <m/>
    <m/>
    <m/>
    <m/>
    <m/>
    <m/>
    <m/>
    <m/>
    <m/>
    <m/>
    <m/>
    <m/>
    <m/>
    <m/>
  </r>
  <r>
    <s v="ORD10425"/>
    <d v="2024-03-01T00:00:00"/>
    <s v="CUST1166"/>
    <s v="Ishita Chopra"/>
    <x v="0"/>
    <s v="Delhi"/>
    <s v="Delhi"/>
    <x v="0"/>
    <x v="4"/>
    <x v="13"/>
    <n v="5"/>
    <n v="3000"/>
    <n v="0.15"/>
    <n v="12750"/>
    <n v="9951.91"/>
    <n v="2798.09"/>
    <n v="21.95"/>
    <x v="1"/>
    <x v="0"/>
    <x v="8"/>
    <x v="6"/>
    <n v="2024"/>
    <s v="Wednesday"/>
    <n v="7"/>
    <d v="2024-10-01T00:00:00"/>
    <x v="0"/>
    <s v="Returning"/>
    <s v="Medium"/>
    <s v="No"/>
    <n v="5"/>
    <s v="Ishita"/>
    <s v="Chopra"/>
    <m/>
    <m/>
    <m/>
    <m/>
    <m/>
    <m/>
    <s v="Needs Improvement"/>
    <s v="Medium"/>
    <s v="No"/>
    <s v="Yes"/>
    <n v="0.2194580392156863"/>
    <m/>
    <m/>
    <m/>
    <m/>
    <m/>
    <m/>
    <m/>
    <m/>
    <m/>
    <m/>
    <m/>
    <m/>
    <m/>
    <m/>
    <m/>
  </r>
  <r>
    <s v="ORD10948"/>
    <d v="2024-03-01T00:00:00"/>
    <s v="CUST1075"/>
    <s v="Arjun Kumar"/>
    <x v="2"/>
    <s v="Ahmedabad"/>
    <s v="Gujarat"/>
    <x v="2"/>
    <x v="4"/>
    <x v="13"/>
    <n v="1"/>
    <n v="3000"/>
    <n v="0.2"/>
    <n v="2400"/>
    <n v="1860"/>
    <n v="540"/>
    <n v="22.5"/>
    <x v="0"/>
    <x v="1"/>
    <x v="8"/>
    <x v="6"/>
    <n v="2024"/>
    <s v="Wednesday"/>
    <n v="7"/>
    <d v="2024-10-01T00:00:00"/>
    <x v="2"/>
    <s v="New"/>
    <s v="Low"/>
    <s v="No"/>
    <n v="5"/>
    <s v="Arjun"/>
    <s v="Kumar"/>
    <m/>
    <m/>
    <m/>
    <m/>
    <m/>
    <m/>
    <s v="Needs Improvement"/>
    <s v="Low"/>
    <s v="No"/>
    <s v="No"/>
    <n v="0.22500000000000001"/>
    <m/>
    <m/>
    <m/>
    <m/>
    <m/>
    <m/>
    <m/>
    <m/>
    <m/>
    <m/>
    <m/>
    <m/>
    <m/>
    <m/>
    <m/>
  </r>
  <r>
    <s v="ORD10505"/>
    <d v="2024-03-03T00:00:00"/>
    <s v="CUST1273"/>
    <s v="Meera Verma"/>
    <x v="2"/>
    <s v="Lucknow"/>
    <s v="Uttar Pradesh"/>
    <x v="2"/>
    <x v="3"/>
    <x v="10"/>
    <n v="5"/>
    <n v="100"/>
    <n v="0.2"/>
    <n v="400"/>
    <n v="273.45999999999998"/>
    <n v="126.54"/>
    <n v="31.64"/>
    <x v="3"/>
    <x v="1"/>
    <x v="8"/>
    <x v="0"/>
    <n v="2024"/>
    <s v="Sunday"/>
    <n v="4"/>
    <d v="2024-07-03T00:00:00"/>
    <x v="2"/>
    <s v="Returning"/>
    <s v="Medium"/>
    <s v="No"/>
    <n v="2"/>
    <s v="Meera"/>
    <s v="Verma"/>
    <m/>
    <m/>
    <m/>
    <m/>
    <m/>
    <m/>
    <s v="Good"/>
    <s v="Low"/>
    <s v="No"/>
    <s v="No"/>
    <n v="0.31635000000000002"/>
    <m/>
    <m/>
    <m/>
    <m/>
    <m/>
    <m/>
    <m/>
    <m/>
    <m/>
    <m/>
    <m/>
    <m/>
    <m/>
    <m/>
    <m/>
  </r>
  <r>
    <s v="ORD10165"/>
    <d v="2024-03-04T00:00:00"/>
    <s v="CUST1026"/>
    <s v="Priya Kumar"/>
    <x v="2"/>
    <s v="Pune"/>
    <s v="Maharashtra"/>
    <x v="1"/>
    <x v="4"/>
    <x v="11"/>
    <n v="4"/>
    <n v="1200"/>
    <n v="0.05"/>
    <n v="4560"/>
    <n v="2995.86"/>
    <n v="1564.14"/>
    <n v="34.299999999999997"/>
    <x v="4"/>
    <x v="1"/>
    <x v="8"/>
    <x v="8"/>
    <n v="2024"/>
    <s v="Wednesday"/>
    <n v="4"/>
    <d v="2024-07-04T00:00:00"/>
    <x v="0"/>
    <s v="VIP"/>
    <s v="High"/>
    <s v="Yes"/>
    <n v="1"/>
    <s v="Priya"/>
    <s v="Kumar"/>
    <m/>
    <m/>
    <m/>
    <m/>
    <m/>
    <m/>
    <s v="Good"/>
    <s v="Low"/>
    <s v="No"/>
    <s v="No"/>
    <n v="0.34301315789473685"/>
    <m/>
    <m/>
    <m/>
    <m/>
    <m/>
    <m/>
    <m/>
    <m/>
    <m/>
    <m/>
    <m/>
    <m/>
    <m/>
    <m/>
    <m/>
  </r>
  <r>
    <s v="ORD10179"/>
    <d v="2024-03-04T00:00:00"/>
    <s v="CUST1196"/>
    <s v="Sneha Gupta"/>
    <x v="0"/>
    <s v="Mumbai"/>
    <s v="Maharashtra"/>
    <x v="1"/>
    <x v="3"/>
    <x v="18"/>
    <n v="8"/>
    <n v="500"/>
    <n v="0.1"/>
    <n v="3600"/>
    <n v="2159.6999999999998"/>
    <n v="1440.3"/>
    <n v="40.01"/>
    <x v="0"/>
    <x v="1"/>
    <x v="9"/>
    <x v="8"/>
    <n v="2024"/>
    <s v="Wednesday"/>
    <n v="9"/>
    <d v="2024-12-04T00:00:00"/>
    <x v="2"/>
    <s v="Returning"/>
    <s v="Low"/>
    <s v="No"/>
    <n v="5"/>
    <s v="Sneha"/>
    <s v="Gupta"/>
    <m/>
    <m/>
    <m/>
    <m/>
    <m/>
    <m/>
    <s v="Good"/>
    <s v="Low"/>
    <s v="No"/>
    <s v="No"/>
    <n v="0.40008333333333335"/>
    <m/>
    <m/>
    <m/>
    <m/>
    <m/>
    <m/>
    <m/>
    <m/>
    <m/>
    <m/>
    <m/>
    <m/>
    <m/>
    <m/>
    <m/>
  </r>
  <r>
    <s v="ORD10151"/>
    <d v="2024-03-05T00:00:00"/>
    <s v="CUST1118"/>
    <s v="Pooja Verma"/>
    <x v="1"/>
    <s v="Hyderabad"/>
    <s v="Telangana"/>
    <x v="1"/>
    <x v="4"/>
    <x v="19"/>
    <n v="1"/>
    <n v="500"/>
    <n v="0.1"/>
    <n v="450"/>
    <n v="305.54000000000002"/>
    <n v="144.46"/>
    <n v="32.1"/>
    <x v="1"/>
    <x v="1"/>
    <x v="3"/>
    <x v="1"/>
    <n v="2024"/>
    <s v="Friday"/>
    <n v="7"/>
    <d v="2024-10-05T00:00:00"/>
    <x v="0"/>
    <s v="Returning"/>
    <s v="Low"/>
    <s v="No"/>
    <n v="2"/>
    <s v="Pooja"/>
    <s v="Verma"/>
    <m/>
    <m/>
    <m/>
    <m/>
    <m/>
    <m/>
    <s v="Good"/>
    <s v="Low"/>
    <s v="No"/>
    <s v="No"/>
    <n v="0.32102222222222226"/>
    <m/>
    <m/>
    <m/>
    <m/>
    <m/>
    <m/>
    <m/>
    <m/>
    <m/>
    <m/>
    <m/>
    <m/>
    <m/>
    <m/>
    <m/>
  </r>
  <r>
    <s v="ORD10181"/>
    <d v="2024-03-05T00:00:00"/>
    <s v="CUST1086"/>
    <s v="Rahul Agarwal"/>
    <x v="2"/>
    <s v="Ahmedabad"/>
    <s v="Gujarat"/>
    <x v="3"/>
    <x v="4"/>
    <x v="13"/>
    <n v="10"/>
    <n v="3000"/>
    <n v="0.05"/>
    <n v="28500"/>
    <n v="22978.03"/>
    <n v="5521.97"/>
    <n v="19.38"/>
    <x v="1"/>
    <x v="1"/>
    <x v="2"/>
    <x v="1"/>
    <n v="2024"/>
    <s v="Friday"/>
    <n v="8"/>
    <d v="2024-11-05T00:00:00"/>
    <x v="0"/>
    <s v="VIP"/>
    <s v="Medium"/>
    <s v="Yes"/>
    <n v="2"/>
    <s v="Rahul"/>
    <s v="Agarwal"/>
    <m/>
    <m/>
    <m/>
    <m/>
    <m/>
    <m/>
    <s v="Needs Improvement"/>
    <s v="Medium"/>
    <s v="No"/>
    <s v="No"/>
    <n v="0.19375333333333333"/>
    <m/>
    <m/>
    <m/>
    <m/>
    <m/>
    <m/>
    <m/>
    <m/>
    <m/>
    <m/>
    <m/>
    <m/>
    <m/>
    <m/>
    <m/>
  </r>
  <r>
    <s v="ORD10503"/>
    <d v="2024-03-05T00:00:00"/>
    <s v="CUST1336"/>
    <s v="Rahul Singh"/>
    <x v="1"/>
    <s v="Lucknow"/>
    <s v="Uttar Pradesh"/>
    <x v="2"/>
    <x v="1"/>
    <x v="3"/>
    <n v="2"/>
    <n v="1200"/>
    <n v="0.2"/>
    <n v="1920"/>
    <n v="1557.98"/>
    <n v="362.02"/>
    <n v="18.86"/>
    <x v="1"/>
    <x v="2"/>
    <x v="8"/>
    <x v="1"/>
    <n v="2024"/>
    <s v="Friday"/>
    <n v="1"/>
    <d v="2024-04-05T00:00:00"/>
    <x v="1"/>
    <s v="VIP"/>
    <s v="Medium"/>
    <s v="No"/>
    <n v="4"/>
    <s v="Rahul"/>
    <s v="Singh"/>
    <m/>
    <m/>
    <m/>
    <m/>
    <m/>
    <m/>
    <s v="Needs Improvement"/>
    <s v="Low"/>
    <s v="No"/>
    <s v="Yes"/>
    <n v="0.18855208333333331"/>
    <m/>
    <m/>
    <m/>
    <m/>
    <m/>
    <m/>
    <m/>
    <m/>
    <m/>
    <m/>
    <m/>
    <m/>
    <m/>
    <m/>
    <m/>
  </r>
  <r>
    <s v="ORD10028"/>
    <d v="2024-03-06T00:00:00"/>
    <s v="CUST1110"/>
    <s v="Aditya Mehta"/>
    <x v="0"/>
    <s v="Pune"/>
    <s v="Maharashtra"/>
    <x v="0"/>
    <x v="3"/>
    <x v="17"/>
    <n v="9"/>
    <n v="100"/>
    <n v="0.05"/>
    <n v="855"/>
    <n v="630.45000000000005"/>
    <n v="224.55"/>
    <n v="26.26"/>
    <x v="3"/>
    <x v="1"/>
    <x v="1"/>
    <x v="2"/>
    <n v="2024"/>
    <s v="Monday"/>
    <n v="4"/>
    <d v="2024-07-06T00:00:00"/>
    <x v="2"/>
    <s v="New"/>
    <s v="Low"/>
    <s v="No"/>
    <n v="4"/>
    <s v="Aditya"/>
    <s v="Mehta"/>
    <m/>
    <m/>
    <m/>
    <m/>
    <m/>
    <m/>
    <s v="Needs Improvement"/>
    <s v="Low"/>
    <s v="No"/>
    <s v="No"/>
    <n v="0.26263157894736844"/>
    <m/>
    <m/>
    <m/>
    <m/>
    <m/>
    <m/>
    <m/>
    <m/>
    <m/>
    <m/>
    <m/>
    <m/>
    <m/>
    <m/>
    <m/>
  </r>
  <r>
    <s v="ORD10401"/>
    <d v="2024-03-06T00:00:00"/>
    <s v="CUST1026"/>
    <s v="Riya Agarwal"/>
    <x v="0"/>
    <s v="Pune"/>
    <s v="Maharashtra"/>
    <x v="1"/>
    <x v="3"/>
    <x v="17"/>
    <n v="1"/>
    <n v="800"/>
    <n v="0.1"/>
    <n v="720"/>
    <n v="526.15"/>
    <n v="193.85"/>
    <n v="26.92"/>
    <x v="1"/>
    <x v="0"/>
    <x v="5"/>
    <x v="2"/>
    <n v="2024"/>
    <s v="Monday"/>
    <n v="9"/>
    <d v="2024-12-06T00:00:00"/>
    <x v="1"/>
    <s v="New"/>
    <s v="High"/>
    <s v="Yes"/>
    <n v="5"/>
    <s v="Riya"/>
    <s v="Agarwal"/>
    <m/>
    <m/>
    <m/>
    <m/>
    <m/>
    <m/>
    <s v="Needs Improvement"/>
    <s v="Low"/>
    <s v="No"/>
    <s v="Yes"/>
    <n v="0.26923611111111112"/>
    <m/>
    <m/>
    <m/>
    <m/>
    <m/>
    <m/>
    <m/>
    <m/>
    <m/>
    <m/>
    <m/>
    <m/>
    <m/>
    <m/>
    <m/>
  </r>
  <r>
    <s v="ORD10661"/>
    <d v="2024-03-08T00:00:00"/>
    <s v="CUST1038"/>
    <s v="Riya Saxena"/>
    <x v="1"/>
    <s v="Chennai"/>
    <s v="Tamil Nadu"/>
    <x v="2"/>
    <x v="1"/>
    <x v="6"/>
    <n v="3"/>
    <n v="1200"/>
    <n v="0.15"/>
    <n v="3060"/>
    <n v="1955.67"/>
    <n v="1104.33"/>
    <n v="36.090000000000003"/>
    <x v="2"/>
    <x v="1"/>
    <x v="3"/>
    <x v="10"/>
    <n v="2024"/>
    <s v="Saturday"/>
    <n v="5"/>
    <d v="2024-08-08T00:00:00"/>
    <x v="0"/>
    <s v="Returning"/>
    <s v="High"/>
    <s v="No"/>
    <n v="3"/>
    <s v="Riya"/>
    <s v="Saxena"/>
    <m/>
    <m/>
    <m/>
    <m/>
    <m/>
    <m/>
    <s v="Good"/>
    <s v="Low"/>
    <s v="No"/>
    <s v="No"/>
    <n v="0.36089215686274506"/>
    <m/>
    <m/>
    <m/>
    <m/>
    <m/>
    <m/>
    <m/>
    <m/>
    <m/>
    <m/>
    <m/>
    <m/>
    <m/>
    <m/>
    <m/>
  </r>
  <r>
    <s v="ORD10725"/>
    <d v="2024-03-08T00:00:00"/>
    <s v="CUST1079"/>
    <s v="Neha Chopra"/>
    <x v="0"/>
    <s v="Bengaluru"/>
    <s v="Karnataka"/>
    <x v="3"/>
    <x v="1"/>
    <x v="20"/>
    <n v="1"/>
    <n v="3500"/>
    <n v="0.05"/>
    <n v="3325"/>
    <n v="2339.39"/>
    <n v="985.61"/>
    <n v="29.64"/>
    <x v="0"/>
    <x v="1"/>
    <x v="6"/>
    <x v="10"/>
    <n v="2024"/>
    <s v="Saturday"/>
    <n v="6"/>
    <d v="2024-09-08T00:00:00"/>
    <x v="0"/>
    <s v="VIP"/>
    <s v="Low"/>
    <s v="No"/>
    <n v="4"/>
    <s v="Neha"/>
    <s v="Chopra"/>
    <m/>
    <m/>
    <m/>
    <m/>
    <m/>
    <m/>
    <s v="Needs Improvement"/>
    <s v="Low"/>
    <s v="No"/>
    <s v="No"/>
    <n v="0.29642406015037592"/>
    <m/>
    <m/>
    <m/>
    <m/>
    <m/>
    <m/>
    <m/>
    <m/>
    <m/>
    <m/>
    <m/>
    <m/>
    <m/>
    <m/>
    <m/>
  </r>
  <r>
    <s v="ORD10154"/>
    <d v="2024-03-09T00:00:00"/>
    <s v="CUST1007"/>
    <s v="Sneha Saxena"/>
    <x v="0"/>
    <s v="Pune"/>
    <s v="Maharashtra"/>
    <x v="3"/>
    <x v="2"/>
    <x v="4"/>
    <n v="8"/>
    <n v="22000"/>
    <n v="0"/>
    <n v="176000"/>
    <n v="100174.49"/>
    <n v="75825.509999999995"/>
    <n v="43.08"/>
    <x v="4"/>
    <x v="0"/>
    <x v="1"/>
    <x v="3"/>
    <n v="2024"/>
    <s v="Tuesday"/>
    <n v="8"/>
    <d v="2024-11-09T00:00:00"/>
    <x v="1"/>
    <s v="Returning"/>
    <s v="High"/>
    <s v="Yes"/>
    <n v="4"/>
    <s v="Sneha"/>
    <s v="Saxena"/>
    <m/>
    <m/>
    <m/>
    <m/>
    <m/>
    <m/>
    <s v="Good"/>
    <s v="High"/>
    <s v="Yes"/>
    <s v="Yes"/>
    <n v="0.43082676136363635"/>
    <m/>
    <m/>
    <m/>
    <m/>
    <m/>
    <m/>
    <m/>
    <m/>
    <m/>
    <m/>
    <m/>
    <m/>
    <m/>
    <m/>
    <m/>
  </r>
  <r>
    <s v="ORD10910"/>
    <d v="2024-03-09T00:00:00"/>
    <s v="CUST1094"/>
    <s v="Riya Verma"/>
    <x v="1"/>
    <s v="Lucknow"/>
    <s v="Uttar Pradesh"/>
    <x v="2"/>
    <x v="2"/>
    <x v="12"/>
    <n v="8"/>
    <n v="22000"/>
    <n v="0.2"/>
    <n v="140800"/>
    <n v="79458.52"/>
    <n v="61341.48"/>
    <n v="43.57"/>
    <x v="2"/>
    <x v="2"/>
    <x v="9"/>
    <x v="3"/>
    <n v="2024"/>
    <s v="Tuesday"/>
    <n v="2"/>
    <d v="2024-05-09T00:00:00"/>
    <x v="2"/>
    <s v="VIP"/>
    <s v="Low"/>
    <s v="Yes"/>
    <n v="4"/>
    <s v="Riya"/>
    <s v="Verma"/>
    <m/>
    <m/>
    <m/>
    <m/>
    <m/>
    <m/>
    <s v="Good"/>
    <s v="High"/>
    <s v="Yes"/>
    <s v="Yes"/>
    <n v="0.43566392045454549"/>
    <m/>
    <m/>
    <m/>
    <m/>
    <m/>
    <m/>
    <m/>
    <m/>
    <m/>
    <m/>
    <m/>
    <m/>
    <m/>
    <m/>
    <m/>
  </r>
  <r>
    <s v="ORD10507"/>
    <d v="2024-03-10T00:00:00"/>
    <s v="CUST1108"/>
    <s v="Aditi Verma"/>
    <x v="2"/>
    <s v="Hyderabad"/>
    <s v="Telangana"/>
    <x v="0"/>
    <x v="3"/>
    <x v="5"/>
    <n v="3"/>
    <n v="350"/>
    <n v="0.05"/>
    <n v="997.5"/>
    <n v="815.13"/>
    <n v="182.37"/>
    <n v="18.28"/>
    <x v="3"/>
    <x v="1"/>
    <x v="3"/>
    <x v="4"/>
    <n v="2024"/>
    <s v="Thursday"/>
    <n v="1"/>
    <d v="2024-04-10T00:00:00"/>
    <x v="0"/>
    <s v="New"/>
    <s v="High"/>
    <s v="No"/>
    <n v="2"/>
    <s v="Aditi"/>
    <s v="Verma"/>
    <m/>
    <m/>
    <m/>
    <m/>
    <m/>
    <m/>
    <s v="Needs Improvement"/>
    <s v="Low"/>
    <s v="No"/>
    <s v="No"/>
    <n v="0.18282706766917295"/>
    <m/>
    <m/>
    <m/>
    <m/>
    <m/>
    <m/>
    <m/>
    <m/>
    <m/>
    <m/>
    <m/>
    <m/>
    <m/>
    <m/>
    <m/>
  </r>
  <r>
    <s v="ORD10127"/>
    <d v="2024-03-11T00:00:00"/>
    <s v="CUST1195"/>
    <s v="Pooja Kapoor"/>
    <x v="0"/>
    <s v="Chennai"/>
    <s v="Tamil Nadu"/>
    <x v="1"/>
    <x v="1"/>
    <x v="14"/>
    <n v="10"/>
    <n v="1200"/>
    <n v="0.05"/>
    <n v="11400"/>
    <n v="6557.79"/>
    <n v="4842.21"/>
    <n v="42.48"/>
    <x v="1"/>
    <x v="0"/>
    <x v="4"/>
    <x v="11"/>
    <n v="2024"/>
    <s v="Sunday"/>
    <n v="2"/>
    <d v="2024-05-11T00:00:00"/>
    <x v="0"/>
    <s v="New"/>
    <s v="Medium"/>
    <s v="No"/>
    <n v="3"/>
    <s v="Pooja"/>
    <s v="Kapoor"/>
    <m/>
    <m/>
    <m/>
    <m/>
    <m/>
    <m/>
    <s v="Good"/>
    <s v="Medium"/>
    <s v="No"/>
    <s v="Yes"/>
    <n v="0.42475526315789475"/>
    <m/>
    <m/>
    <m/>
    <m/>
    <m/>
    <m/>
    <m/>
    <m/>
    <m/>
    <m/>
    <m/>
    <m/>
    <m/>
    <m/>
    <m/>
  </r>
  <r>
    <s v="ORD10139"/>
    <d v="2024-03-11T00:00:00"/>
    <s v="CUST1176"/>
    <s v="Arjun Mishra"/>
    <x v="2"/>
    <s v="Jaipur"/>
    <s v="Rajasthan"/>
    <x v="3"/>
    <x v="2"/>
    <x v="21"/>
    <n v="8"/>
    <n v="15000"/>
    <n v="0"/>
    <n v="120000"/>
    <n v="66731.759999999995"/>
    <n v="53268.24"/>
    <n v="44.39"/>
    <x v="3"/>
    <x v="2"/>
    <x v="8"/>
    <x v="11"/>
    <n v="2024"/>
    <s v="Sunday"/>
    <n v="1"/>
    <d v="2024-04-11T00:00:00"/>
    <x v="0"/>
    <s v="New"/>
    <s v="Medium"/>
    <s v="No"/>
    <n v="4"/>
    <s v="Arjun"/>
    <s v="Mishra"/>
    <m/>
    <m/>
    <m/>
    <m/>
    <m/>
    <m/>
    <s v="Good"/>
    <s v="High"/>
    <s v="Yes"/>
    <s v="Yes"/>
    <n v="0.44390199999999996"/>
    <m/>
    <m/>
    <m/>
    <m/>
    <m/>
    <m/>
    <m/>
    <m/>
    <m/>
    <m/>
    <m/>
    <m/>
    <m/>
    <m/>
    <m/>
  </r>
  <r>
    <s v="ORD10737"/>
    <d v="2024-03-11T00:00:00"/>
    <s v="CUST1343"/>
    <s v="Rahul Mishra"/>
    <x v="0"/>
    <s v="Mumbai"/>
    <s v="Maharashtra"/>
    <x v="0"/>
    <x v="3"/>
    <x v="5"/>
    <n v="3"/>
    <n v="200"/>
    <n v="0.2"/>
    <n v="480"/>
    <n v="278.38"/>
    <n v="201.62"/>
    <n v="42"/>
    <x v="1"/>
    <x v="1"/>
    <x v="5"/>
    <x v="11"/>
    <n v="2024"/>
    <s v="Sunday"/>
    <n v="7"/>
    <d v="2024-10-11T00:00:00"/>
    <x v="0"/>
    <s v="Returning"/>
    <s v="Low"/>
    <s v="No"/>
    <n v="2"/>
    <s v="Rahul"/>
    <s v="Mishra"/>
    <m/>
    <m/>
    <m/>
    <m/>
    <m/>
    <m/>
    <s v="Good"/>
    <s v="Low"/>
    <s v="No"/>
    <s v="No"/>
    <n v="0.4200416666666667"/>
    <m/>
    <m/>
    <m/>
    <m/>
    <m/>
    <m/>
    <m/>
    <m/>
    <m/>
    <m/>
    <m/>
    <m/>
    <m/>
    <m/>
    <m/>
  </r>
  <r>
    <s v="ORD10134"/>
    <d v="2024-03-12T00:00:00"/>
    <s v="CUST1334"/>
    <s v="Simran Gupta"/>
    <x v="0"/>
    <s v="Pune"/>
    <s v="Maharashtra"/>
    <x v="0"/>
    <x v="2"/>
    <x v="21"/>
    <n v="6"/>
    <n v="35000"/>
    <n v="0.15"/>
    <n v="178500"/>
    <n v="118928.55"/>
    <n v="59571.45"/>
    <n v="33.369999999999997"/>
    <x v="3"/>
    <x v="0"/>
    <x v="6"/>
    <x v="5"/>
    <n v="2024"/>
    <s v="Tuesday"/>
    <n v="8"/>
    <d v="2024-11-12T00:00:00"/>
    <x v="0"/>
    <s v="Returning"/>
    <s v="Medium"/>
    <s v="Yes"/>
    <n v="4"/>
    <s v="Simran"/>
    <s v="Gupta"/>
    <m/>
    <m/>
    <m/>
    <m/>
    <m/>
    <m/>
    <s v="Good"/>
    <s v="High"/>
    <s v="Yes"/>
    <s v="Yes"/>
    <n v="0.33373361344537811"/>
    <m/>
    <m/>
    <m/>
    <m/>
    <m/>
    <m/>
    <m/>
    <m/>
    <m/>
    <m/>
    <m/>
    <m/>
    <m/>
    <m/>
    <m/>
  </r>
  <r>
    <s v="ORD10742"/>
    <d v="2024-04-01T00:00:00"/>
    <s v="CUST1041"/>
    <s v="Pooja Jain"/>
    <x v="1"/>
    <s v="Hyderabad"/>
    <s v="Telangana"/>
    <x v="3"/>
    <x v="2"/>
    <x v="4"/>
    <n v="2"/>
    <n v="50000"/>
    <n v="0"/>
    <n v="100000"/>
    <n v="60675.91"/>
    <n v="39324.089999999997"/>
    <n v="39.32"/>
    <x v="4"/>
    <x v="2"/>
    <x v="9"/>
    <x v="6"/>
    <n v="2024"/>
    <s v="Thursday"/>
    <n v="7"/>
    <d v="2024-11-01T00:00:00"/>
    <x v="0"/>
    <s v="VIP"/>
    <s v="High"/>
    <s v="Yes"/>
    <n v="4"/>
    <s v="Pooja"/>
    <s v="Jain"/>
    <m/>
    <m/>
    <m/>
    <m/>
    <m/>
    <m/>
    <s v="Good"/>
    <s v="High"/>
    <s v="Yes"/>
    <s v="Yes"/>
    <n v="0.39324089999999995"/>
    <m/>
    <m/>
    <m/>
    <m/>
    <m/>
    <m/>
    <m/>
    <m/>
    <m/>
    <m/>
    <m/>
    <m/>
    <m/>
    <m/>
    <m/>
  </r>
  <r>
    <s v="ORD10055"/>
    <d v="2024-04-02T00:00:00"/>
    <s v="CUST1047"/>
    <s v="Priya Jain"/>
    <x v="1"/>
    <s v="Pune"/>
    <s v="Maharashtra"/>
    <x v="2"/>
    <x v="0"/>
    <x v="15"/>
    <n v="1"/>
    <n v="6000"/>
    <n v="0.15"/>
    <n v="5100"/>
    <n v="3813.46"/>
    <n v="1286.54"/>
    <n v="25.23"/>
    <x v="2"/>
    <x v="2"/>
    <x v="4"/>
    <x v="7"/>
    <n v="2024"/>
    <s v="Sunday"/>
    <n v="10"/>
    <s v="14-02-2024"/>
    <x v="0"/>
    <s v="VIP"/>
    <s v="Medium"/>
    <s v="No"/>
    <n v="2"/>
    <s v="Priya"/>
    <s v="Jain"/>
    <m/>
    <m/>
    <m/>
    <m/>
    <m/>
    <m/>
    <s v="Needs Improvement"/>
    <s v="Low"/>
    <s v="No"/>
    <s v="Yes"/>
    <n v="0.2522627450980392"/>
    <m/>
    <m/>
    <m/>
    <m/>
    <m/>
    <m/>
    <m/>
    <m/>
    <m/>
    <m/>
    <m/>
    <m/>
    <m/>
    <m/>
    <m/>
  </r>
  <r>
    <s v="ORD10176"/>
    <d v="2024-04-02T00:00:00"/>
    <s v="CUST1054"/>
    <s v="Aditya Jain"/>
    <x v="2"/>
    <s v="Jaipur"/>
    <s v="Rajasthan"/>
    <x v="2"/>
    <x v="4"/>
    <x v="9"/>
    <n v="3"/>
    <n v="2000"/>
    <n v="0"/>
    <n v="6000"/>
    <n v="3816.32"/>
    <n v="2183.6799999999998"/>
    <n v="36.39"/>
    <x v="2"/>
    <x v="0"/>
    <x v="2"/>
    <x v="7"/>
    <n v="2024"/>
    <s v="Sunday"/>
    <n v="5"/>
    <d v="2024-09-02T00:00:00"/>
    <x v="0"/>
    <s v="VIP"/>
    <s v="Low"/>
    <s v="No"/>
    <n v="5"/>
    <s v="Aditya"/>
    <s v="Jain"/>
    <m/>
    <m/>
    <m/>
    <m/>
    <m/>
    <m/>
    <s v="Good"/>
    <s v="Low"/>
    <s v="No"/>
    <s v="Yes"/>
    <n v="0.36394666666666664"/>
    <m/>
    <m/>
    <m/>
    <m/>
    <m/>
    <m/>
    <m/>
    <m/>
    <m/>
    <m/>
    <m/>
    <m/>
    <m/>
    <m/>
    <m/>
  </r>
  <r>
    <s v="ORD10575"/>
    <d v="2024-04-02T00:00:00"/>
    <s v="CUST1182"/>
    <s v="Rohan Malhotra"/>
    <x v="1"/>
    <s v="Mumbai"/>
    <s v="Maharashtra"/>
    <x v="2"/>
    <x v="4"/>
    <x v="19"/>
    <n v="1"/>
    <n v="3000"/>
    <n v="0.1"/>
    <n v="2700"/>
    <n v="1516.08"/>
    <n v="1183.92"/>
    <n v="43.85"/>
    <x v="0"/>
    <x v="2"/>
    <x v="4"/>
    <x v="7"/>
    <n v="2024"/>
    <s v="Sunday"/>
    <n v="10"/>
    <s v="14-02-2024"/>
    <x v="2"/>
    <s v="Returning"/>
    <s v="High"/>
    <s v="Yes"/>
    <n v="3"/>
    <s v="Rohan"/>
    <s v="Malhotra"/>
    <m/>
    <m/>
    <m/>
    <m/>
    <m/>
    <m/>
    <s v="Good"/>
    <s v="Low"/>
    <s v="No"/>
    <s v="Yes"/>
    <n v="0.43848888888888893"/>
    <m/>
    <m/>
    <m/>
    <m/>
    <m/>
    <m/>
    <m/>
    <m/>
    <m/>
    <m/>
    <m/>
    <m/>
    <m/>
    <m/>
    <m/>
  </r>
  <r>
    <s v="ORD10075"/>
    <d v="2024-04-03T00:00:00"/>
    <s v="CUST1176"/>
    <s v="Aditya Kapoor"/>
    <x v="1"/>
    <s v="Hyderabad"/>
    <s v="Telangana"/>
    <x v="3"/>
    <x v="3"/>
    <x v="22"/>
    <n v="8"/>
    <n v="800"/>
    <n v="0.05"/>
    <n v="6080"/>
    <n v="4675.28"/>
    <n v="1404.72"/>
    <n v="23.1"/>
    <x v="1"/>
    <x v="2"/>
    <x v="9"/>
    <x v="0"/>
    <n v="2024"/>
    <s v="Monday"/>
    <n v="8"/>
    <d v="2024-12-03T00:00:00"/>
    <x v="0"/>
    <s v="Returning"/>
    <s v="High"/>
    <s v="Yes"/>
    <n v="3"/>
    <s v="Aditya"/>
    <s v="Kapoor"/>
    <m/>
    <m/>
    <m/>
    <m/>
    <m/>
    <m/>
    <s v="Needs Improvement"/>
    <s v="Low"/>
    <s v="No"/>
    <s v="Yes"/>
    <n v="0.23103947368421054"/>
    <m/>
    <m/>
    <m/>
    <m/>
    <m/>
    <m/>
    <m/>
    <m/>
    <m/>
    <m/>
    <m/>
    <m/>
    <m/>
    <m/>
    <m/>
  </r>
  <r>
    <s v="ORD10521"/>
    <d v="2024-04-04T00:00:00"/>
    <s v="CUST1065"/>
    <s v="Rahul Mehta"/>
    <x v="1"/>
    <s v="Ahmedabad"/>
    <s v="Gujarat"/>
    <x v="1"/>
    <x v="3"/>
    <x v="10"/>
    <n v="7"/>
    <n v="200"/>
    <n v="0.1"/>
    <n v="1260"/>
    <n v="1025.69"/>
    <n v="234.31"/>
    <n v="18.600000000000001"/>
    <x v="2"/>
    <x v="1"/>
    <x v="4"/>
    <x v="8"/>
    <n v="2024"/>
    <s v="Thursday"/>
    <n v="9"/>
    <s v="13-04-2024"/>
    <x v="2"/>
    <s v="VIP"/>
    <s v="High"/>
    <s v="Yes"/>
    <n v="4"/>
    <s v="Rahul"/>
    <s v="Mehta"/>
    <m/>
    <m/>
    <m/>
    <m/>
    <m/>
    <m/>
    <s v="Needs Improvement"/>
    <s v="Low"/>
    <s v="No"/>
    <s v="No"/>
    <n v="0.18596031746031746"/>
    <m/>
    <m/>
    <m/>
    <m/>
    <m/>
    <m/>
    <m/>
    <m/>
    <m/>
    <m/>
    <m/>
    <m/>
    <m/>
    <m/>
    <m/>
  </r>
  <r>
    <s v="ORD10797"/>
    <d v="2024-04-04T00:00:00"/>
    <s v="CUST1041"/>
    <s v="Meera Saxena"/>
    <x v="0"/>
    <s v="Kolkata"/>
    <s v="West Bengal"/>
    <x v="2"/>
    <x v="3"/>
    <x v="5"/>
    <n v="4"/>
    <n v="100"/>
    <n v="0.05"/>
    <n v="380"/>
    <n v="214.14"/>
    <n v="165.86"/>
    <n v="43.65"/>
    <x v="2"/>
    <x v="1"/>
    <x v="4"/>
    <x v="8"/>
    <n v="2024"/>
    <s v="Thursday"/>
    <n v="10"/>
    <s v="14-04-2024"/>
    <x v="1"/>
    <s v="Returning"/>
    <s v="Medium"/>
    <s v="Yes"/>
    <n v="2"/>
    <s v="Meera"/>
    <s v="Saxena"/>
    <m/>
    <m/>
    <m/>
    <m/>
    <m/>
    <m/>
    <s v="Good"/>
    <s v="Low"/>
    <s v="No"/>
    <s v="No"/>
    <n v="0.43647368421052635"/>
    <m/>
    <m/>
    <m/>
    <m/>
    <m/>
    <m/>
    <m/>
    <m/>
    <m/>
    <m/>
    <m/>
    <m/>
    <m/>
    <m/>
    <m/>
  </r>
  <r>
    <s v="ORD10798"/>
    <d v="2024-04-04T00:00:00"/>
    <s v="CUST1091"/>
    <s v="Priya Kapoor"/>
    <x v="0"/>
    <s v="Kolkata"/>
    <s v="West Bengal"/>
    <x v="2"/>
    <x v="3"/>
    <x v="10"/>
    <n v="9"/>
    <n v="100"/>
    <n v="0.05"/>
    <n v="855"/>
    <n v="602.44000000000005"/>
    <n v="252.56"/>
    <n v="29.54"/>
    <x v="2"/>
    <x v="2"/>
    <x v="7"/>
    <x v="8"/>
    <n v="2024"/>
    <s v="Thursday"/>
    <n v="10"/>
    <s v="14-04-2024"/>
    <x v="0"/>
    <s v="New"/>
    <s v="High"/>
    <s v="Yes"/>
    <n v="1"/>
    <s v="Priya"/>
    <s v="Kapoor"/>
    <m/>
    <m/>
    <m/>
    <m/>
    <m/>
    <m/>
    <s v="Needs Improvement"/>
    <s v="Low"/>
    <s v="No"/>
    <s v="Yes"/>
    <n v="0.29539181286549709"/>
    <m/>
    <m/>
    <m/>
    <m/>
    <m/>
    <m/>
    <m/>
    <m/>
    <m/>
    <m/>
    <m/>
    <m/>
    <m/>
    <m/>
    <m/>
  </r>
  <r>
    <s v="ORD10825"/>
    <d v="2024-04-04T00:00:00"/>
    <s v="CUST1097"/>
    <s v="Aditi Kumar"/>
    <x v="1"/>
    <s v="Mumbai"/>
    <s v="Maharashtra"/>
    <x v="1"/>
    <x v="1"/>
    <x v="20"/>
    <n v="5"/>
    <n v="700"/>
    <n v="0.1"/>
    <n v="3150"/>
    <n v="2062.39"/>
    <n v="1087.6099999999999"/>
    <n v="34.53"/>
    <x v="3"/>
    <x v="2"/>
    <x v="2"/>
    <x v="8"/>
    <n v="2024"/>
    <s v="Thursday"/>
    <n v="6"/>
    <d v="2024-10-04T00:00:00"/>
    <x v="0"/>
    <s v="New"/>
    <s v="Low"/>
    <s v="No"/>
    <n v="2"/>
    <s v="Aditi"/>
    <s v="Kumar"/>
    <m/>
    <m/>
    <m/>
    <m/>
    <m/>
    <m/>
    <s v="Good"/>
    <s v="Low"/>
    <s v="No"/>
    <s v="Yes"/>
    <n v="0.34527301587301584"/>
    <m/>
    <m/>
    <m/>
    <m/>
    <m/>
    <m/>
    <m/>
    <m/>
    <m/>
    <m/>
    <m/>
    <m/>
    <m/>
    <m/>
    <m/>
  </r>
  <r>
    <s v="ORD10868"/>
    <d v="2024-04-04T00:00:00"/>
    <s v="CUST1151"/>
    <s v="Rohan Kapoor"/>
    <x v="1"/>
    <s v="Jaipur"/>
    <s v="Rajasthan"/>
    <x v="2"/>
    <x v="3"/>
    <x v="17"/>
    <n v="6"/>
    <n v="500"/>
    <n v="0"/>
    <n v="3000"/>
    <n v="2213.29"/>
    <n v="786.71"/>
    <n v="26.22"/>
    <x v="1"/>
    <x v="1"/>
    <x v="7"/>
    <x v="8"/>
    <n v="2024"/>
    <s v="Thursday"/>
    <n v="5"/>
    <d v="2024-09-04T00:00:00"/>
    <x v="0"/>
    <s v="Returning"/>
    <s v="Low"/>
    <s v="No"/>
    <n v="4"/>
    <s v="Rohan"/>
    <s v="Kapoor"/>
    <m/>
    <m/>
    <m/>
    <m/>
    <m/>
    <m/>
    <s v="Needs Improvement"/>
    <s v="Low"/>
    <s v="No"/>
    <s v="No"/>
    <n v="0.26223666666666667"/>
    <m/>
    <m/>
    <m/>
    <m/>
    <m/>
    <m/>
    <m/>
    <m/>
    <m/>
    <m/>
    <m/>
    <m/>
    <m/>
    <m/>
    <m/>
  </r>
  <r>
    <s v="ORD10202"/>
    <d v="2024-04-07T00:00:00"/>
    <s v="CUST1314"/>
    <s v="Aarav Chopra"/>
    <x v="1"/>
    <s v="Mumbai"/>
    <s v="Maharashtra"/>
    <x v="3"/>
    <x v="1"/>
    <x v="20"/>
    <n v="8"/>
    <n v="3500"/>
    <n v="0.15"/>
    <n v="23800"/>
    <n v="18096.91"/>
    <n v="5703.09"/>
    <n v="23.96"/>
    <x v="4"/>
    <x v="1"/>
    <x v="2"/>
    <x v="9"/>
    <n v="2024"/>
    <s v="Thursday"/>
    <n v="10"/>
    <s v="14-07-2024"/>
    <x v="2"/>
    <s v="Returning"/>
    <s v="Medium"/>
    <s v="Yes"/>
    <n v="1"/>
    <s v="Aarav"/>
    <s v="Chopra"/>
    <m/>
    <m/>
    <m/>
    <m/>
    <m/>
    <m/>
    <s v="Needs Improvement"/>
    <s v="Medium"/>
    <s v="No"/>
    <s v="No"/>
    <n v="0.23962563025210085"/>
    <m/>
    <m/>
    <m/>
    <m/>
    <m/>
    <m/>
    <m/>
    <m/>
    <m/>
    <m/>
    <m/>
    <m/>
    <m/>
    <m/>
    <m/>
  </r>
  <r>
    <s v="ORD10196"/>
    <d v="2024-04-08T00:00:00"/>
    <s v="CUST1064"/>
    <s v="Sneha Yadav"/>
    <x v="1"/>
    <s v="Bengaluru"/>
    <s v="Karnataka"/>
    <x v="1"/>
    <x v="1"/>
    <x v="3"/>
    <n v="4"/>
    <n v="1200"/>
    <n v="0.05"/>
    <n v="4560"/>
    <n v="3129.3"/>
    <n v="1430.7"/>
    <n v="31.38"/>
    <x v="4"/>
    <x v="0"/>
    <x v="0"/>
    <x v="10"/>
    <n v="2024"/>
    <s v="Sunday"/>
    <n v="1"/>
    <d v="2024-05-08T00:00:00"/>
    <x v="1"/>
    <s v="VIP"/>
    <s v="High"/>
    <s v="Yes"/>
    <n v="5"/>
    <s v="Sneha"/>
    <s v="Yadav"/>
    <m/>
    <m/>
    <m/>
    <m/>
    <m/>
    <m/>
    <s v="Good"/>
    <s v="Low"/>
    <s v="No"/>
    <s v="Yes"/>
    <n v="0.31375000000000003"/>
    <m/>
    <m/>
    <m/>
    <m/>
    <m/>
    <m/>
    <m/>
    <m/>
    <m/>
    <m/>
    <m/>
    <m/>
    <m/>
    <m/>
    <m/>
  </r>
  <r>
    <s v="ORD10597"/>
    <d v="2024-04-08T00:00:00"/>
    <s v="CUST1261"/>
    <s v="Nisha Yadav"/>
    <x v="0"/>
    <s v="Pune"/>
    <s v="Maharashtra"/>
    <x v="3"/>
    <x v="0"/>
    <x v="0"/>
    <n v="1"/>
    <n v="2500"/>
    <n v="0.2"/>
    <n v="2000"/>
    <n v="1486.51"/>
    <n v="513.49"/>
    <n v="25.67"/>
    <x v="4"/>
    <x v="0"/>
    <x v="7"/>
    <x v="10"/>
    <n v="2024"/>
    <s v="Sunday"/>
    <n v="6"/>
    <d v="2024-10-08T00:00:00"/>
    <x v="1"/>
    <s v="VIP"/>
    <s v="High"/>
    <s v="Yes"/>
    <n v="4"/>
    <s v="Nisha"/>
    <s v="Yadav"/>
    <m/>
    <m/>
    <m/>
    <m/>
    <m/>
    <m/>
    <s v="Needs Improvement"/>
    <s v="Low"/>
    <s v="No"/>
    <s v="Yes"/>
    <n v="0.256745"/>
    <m/>
    <m/>
    <m/>
    <m/>
    <m/>
    <m/>
    <m/>
    <m/>
    <m/>
    <m/>
    <m/>
    <m/>
    <m/>
    <m/>
    <m/>
  </r>
  <r>
    <s v="ORD10800"/>
    <d v="2024-04-09T00:00:00"/>
    <s v="CUST1143"/>
    <s v="Riya Singh"/>
    <x v="0"/>
    <s v="Bengaluru"/>
    <s v="Karnataka"/>
    <x v="3"/>
    <x v="0"/>
    <x v="15"/>
    <n v="8"/>
    <n v="4000"/>
    <n v="0.05"/>
    <n v="30400"/>
    <n v="21430.28"/>
    <n v="8969.7199999999993"/>
    <n v="29.51"/>
    <x v="1"/>
    <x v="0"/>
    <x v="6"/>
    <x v="3"/>
    <n v="2024"/>
    <s v="Wednesday"/>
    <n v="10"/>
    <s v="14-09-2024"/>
    <x v="0"/>
    <s v="New"/>
    <s v="High"/>
    <s v="Yes"/>
    <n v="1"/>
    <s v="Riya"/>
    <s v="Singh"/>
    <m/>
    <m/>
    <m/>
    <m/>
    <m/>
    <m/>
    <s v="Needs Improvement"/>
    <s v="High"/>
    <s v="No"/>
    <s v="Yes"/>
    <n v="0.29505657894736842"/>
    <m/>
    <m/>
    <m/>
    <m/>
    <m/>
    <m/>
    <m/>
    <m/>
    <m/>
    <m/>
    <m/>
    <m/>
    <m/>
    <m/>
    <m/>
  </r>
  <r>
    <s v="ORD10253"/>
    <d v="2024-05-02T00:00:00"/>
    <s v="CUST1240"/>
    <s v="Aditi Saxena"/>
    <x v="0"/>
    <s v="Jaipur"/>
    <s v="Rajasthan"/>
    <x v="2"/>
    <x v="0"/>
    <x v="1"/>
    <n v="9"/>
    <n v="4000"/>
    <n v="0"/>
    <n v="36000"/>
    <n v="28200.42"/>
    <n v="7799.58"/>
    <n v="21.67"/>
    <x v="2"/>
    <x v="0"/>
    <x v="8"/>
    <x v="7"/>
    <n v="2024"/>
    <s v="Monday"/>
    <n v="6"/>
    <d v="2024-11-02T00:00:00"/>
    <x v="0"/>
    <s v="New"/>
    <s v="High"/>
    <s v="No"/>
    <n v="5"/>
    <s v="Aditi"/>
    <s v="Saxena"/>
    <m/>
    <m/>
    <m/>
    <m/>
    <m/>
    <m/>
    <s v="Needs Improvement"/>
    <s v="High"/>
    <s v="No"/>
    <s v="Yes"/>
    <n v="0.21665499999999999"/>
    <m/>
    <m/>
    <m/>
    <m/>
    <m/>
    <m/>
    <m/>
    <m/>
    <m/>
    <m/>
    <m/>
    <m/>
    <m/>
    <m/>
    <m/>
  </r>
  <r>
    <s v="ORD10219"/>
    <d v="2024-05-03T00:00:00"/>
    <s v="CUST1038"/>
    <s v="Sneha Saxena"/>
    <x v="1"/>
    <s v="Delhi"/>
    <s v="Delhi"/>
    <x v="1"/>
    <x v="1"/>
    <x v="3"/>
    <n v="9"/>
    <n v="700"/>
    <n v="0.2"/>
    <n v="5040"/>
    <n v="3725.76"/>
    <n v="1314.24"/>
    <n v="26.08"/>
    <x v="0"/>
    <x v="0"/>
    <x v="0"/>
    <x v="0"/>
    <n v="2024"/>
    <s v="Tuesday"/>
    <n v="10"/>
    <s v="15-03-2024"/>
    <x v="0"/>
    <s v="VIP"/>
    <s v="Low"/>
    <s v="No"/>
    <n v="4"/>
    <s v="Sneha"/>
    <s v="Saxena"/>
    <m/>
    <m/>
    <m/>
    <m/>
    <m/>
    <m/>
    <s v="Needs Improvement"/>
    <s v="Low"/>
    <s v="No"/>
    <s v="Yes"/>
    <n v="0.26076190476190475"/>
    <m/>
    <m/>
    <m/>
    <m/>
    <m/>
    <m/>
    <m/>
    <m/>
    <m/>
    <m/>
    <m/>
    <m/>
    <m/>
    <m/>
    <m/>
  </r>
  <r>
    <s v="ORD10683"/>
    <d v="2024-05-04T00:00:00"/>
    <s v="CUST1265"/>
    <s v="Arjun Gupta"/>
    <x v="2"/>
    <s v="Kolkata"/>
    <s v="West Bengal"/>
    <x v="1"/>
    <x v="0"/>
    <x v="1"/>
    <n v="7"/>
    <n v="15000"/>
    <n v="0"/>
    <n v="105000"/>
    <n v="83641.58"/>
    <n v="21358.42"/>
    <n v="20.34"/>
    <x v="4"/>
    <x v="0"/>
    <x v="5"/>
    <x v="8"/>
    <n v="2024"/>
    <s v="Friday"/>
    <n v="3"/>
    <d v="2024-08-04T00:00:00"/>
    <x v="1"/>
    <s v="Returning"/>
    <s v="High"/>
    <s v="No"/>
    <n v="4"/>
    <s v="Arjun"/>
    <s v="Gupta"/>
    <m/>
    <m/>
    <m/>
    <m/>
    <m/>
    <m/>
    <s v="Needs Improvement"/>
    <s v="High"/>
    <s v="Yes"/>
    <s v="Yes"/>
    <n v="0.20341352380952379"/>
    <m/>
    <m/>
    <m/>
    <m/>
    <m/>
    <m/>
    <m/>
    <m/>
    <m/>
    <m/>
    <m/>
    <m/>
    <m/>
    <m/>
    <m/>
  </r>
  <r>
    <s v="ORD10851"/>
    <d v="2024-05-04T00:00:00"/>
    <s v="CUST1070"/>
    <s v="Karan Sharma"/>
    <x v="0"/>
    <s v="Ahmedabad"/>
    <s v="Gujarat"/>
    <x v="2"/>
    <x v="4"/>
    <x v="11"/>
    <n v="6"/>
    <n v="3000"/>
    <n v="0.2"/>
    <n v="14400"/>
    <n v="9211.11"/>
    <n v="5188.8900000000003"/>
    <n v="36.03"/>
    <x v="2"/>
    <x v="2"/>
    <x v="6"/>
    <x v="8"/>
    <n v="2024"/>
    <s v="Friday"/>
    <n v="5"/>
    <d v="2024-10-04T00:00:00"/>
    <x v="0"/>
    <s v="VIP"/>
    <s v="High"/>
    <s v="Yes"/>
    <n v="5"/>
    <s v="Karan"/>
    <s v="Sharma"/>
    <m/>
    <m/>
    <m/>
    <m/>
    <m/>
    <m/>
    <s v="Good"/>
    <s v="Medium"/>
    <s v="No"/>
    <s v="Yes"/>
    <n v="0.36033958333333338"/>
    <m/>
    <m/>
    <m/>
    <m/>
    <m/>
    <m/>
    <m/>
    <m/>
    <m/>
    <m/>
    <m/>
    <m/>
    <m/>
    <m/>
    <m/>
  </r>
  <r>
    <s v="ORD10917"/>
    <d v="2024-05-04T00:00:00"/>
    <s v="CUST1086"/>
    <s v="Nisha Yadav"/>
    <x v="0"/>
    <s v="Jaipur"/>
    <s v="Rajasthan"/>
    <x v="1"/>
    <x v="2"/>
    <x v="8"/>
    <n v="3"/>
    <n v="12000"/>
    <n v="0.2"/>
    <n v="28800"/>
    <n v="20839.28"/>
    <n v="7960.72"/>
    <n v="27.64"/>
    <x v="1"/>
    <x v="1"/>
    <x v="6"/>
    <x v="8"/>
    <n v="2024"/>
    <s v="Friday"/>
    <n v="1"/>
    <d v="2024-06-04T00:00:00"/>
    <x v="0"/>
    <s v="Returning"/>
    <s v="Medium"/>
    <s v="Yes"/>
    <n v="1"/>
    <s v="Nisha"/>
    <s v="Yadav"/>
    <m/>
    <m/>
    <m/>
    <m/>
    <m/>
    <m/>
    <s v="Needs Improvement"/>
    <s v="Medium"/>
    <s v="No"/>
    <s v="No"/>
    <n v="0.2764138888888889"/>
    <m/>
    <m/>
    <m/>
    <m/>
    <m/>
    <m/>
    <m/>
    <m/>
    <m/>
    <m/>
    <m/>
    <m/>
    <m/>
    <m/>
    <m/>
  </r>
  <r>
    <s v="ORD10526"/>
    <d v="2024-05-06T00:00:00"/>
    <s v="CUST1008"/>
    <s v="Rohan Agarwal"/>
    <x v="0"/>
    <s v="Kolkata"/>
    <s v="West Bengal"/>
    <x v="1"/>
    <x v="0"/>
    <x v="1"/>
    <n v="10"/>
    <n v="15000"/>
    <n v="0"/>
    <n v="150000"/>
    <n v="86444.94"/>
    <n v="63555.06"/>
    <n v="42.37"/>
    <x v="4"/>
    <x v="2"/>
    <x v="9"/>
    <x v="2"/>
    <n v="2024"/>
    <s v="Wednesday"/>
    <n v="10"/>
    <s v="15-06-2024"/>
    <x v="2"/>
    <s v="Returning"/>
    <s v="Low"/>
    <s v="No"/>
    <n v="2"/>
    <s v="Rohan"/>
    <s v="Agarwal"/>
    <m/>
    <m/>
    <m/>
    <m/>
    <m/>
    <m/>
    <s v="Good"/>
    <s v="High"/>
    <s v="Yes"/>
    <s v="Yes"/>
    <n v="0.42370039999999998"/>
    <m/>
    <m/>
    <m/>
    <m/>
    <m/>
    <m/>
    <m/>
    <m/>
    <m/>
    <m/>
    <m/>
    <m/>
    <m/>
    <m/>
    <m/>
  </r>
  <r>
    <s v="ORD10670"/>
    <d v="2024-05-07T00:00:00"/>
    <s v="CUST1261"/>
    <s v="Kavya Malhotra"/>
    <x v="2"/>
    <s v="Pune"/>
    <s v="Maharashtra"/>
    <x v="3"/>
    <x v="4"/>
    <x v="13"/>
    <n v="5"/>
    <n v="2000"/>
    <n v="0"/>
    <n v="10000"/>
    <n v="6361.86"/>
    <n v="3638.14"/>
    <n v="36.380000000000003"/>
    <x v="1"/>
    <x v="1"/>
    <x v="0"/>
    <x v="9"/>
    <n v="2024"/>
    <s v="Friday"/>
    <n v="8"/>
    <s v="13-07-2024"/>
    <x v="0"/>
    <s v="New"/>
    <s v="Medium"/>
    <s v="No"/>
    <n v="5"/>
    <s v="Kavya"/>
    <s v="Malhotra"/>
    <m/>
    <m/>
    <m/>
    <m/>
    <m/>
    <m/>
    <s v="Good"/>
    <s v="Medium"/>
    <s v="No"/>
    <s v="No"/>
    <n v="0.36381399999999997"/>
    <m/>
    <m/>
    <m/>
    <m/>
    <m/>
    <m/>
    <m/>
    <m/>
    <m/>
    <m/>
    <m/>
    <m/>
    <m/>
    <m/>
    <m/>
  </r>
  <r>
    <s v="ORD10911"/>
    <d v="2024-05-07T00:00:00"/>
    <s v="CUST1291"/>
    <s v="Simran Singh"/>
    <x v="1"/>
    <s v="Hyderabad"/>
    <s v="Telangana"/>
    <x v="2"/>
    <x v="4"/>
    <x v="13"/>
    <n v="3"/>
    <n v="500"/>
    <n v="0.1"/>
    <n v="1350"/>
    <n v="952.69"/>
    <n v="397.31"/>
    <n v="29.43"/>
    <x v="2"/>
    <x v="2"/>
    <x v="1"/>
    <x v="9"/>
    <n v="2024"/>
    <s v="Friday"/>
    <n v="3"/>
    <d v="2024-08-07T00:00:00"/>
    <x v="0"/>
    <s v="Returning"/>
    <s v="High"/>
    <s v="Yes"/>
    <n v="3"/>
    <s v="Simran"/>
    <s v="Singh"/>
    <m/>
    <m/>
    <m/>
    <m/>
    <m/>
    <m/>
    <s v="Needs Improvement"/>
    <s v="Low"/>
    <s v="No"/>
    <s v="Yes"/>
    <n v="0.29430370370370368"/>
    <m/>
    <m/>
    <m/>
    <m/>
    <m/>
    <m/>
    <m/>
    <m/>
    <m/>
    <m/>
    <m/>
    <m/>
    <m/>
    <m/>
    <m/>
  </r>
  <r>
    <s v="ORD10512"/>
    <d v="2024-05-12T00:00:00"/>
    <s v="CUST1279"/>
    <s v="Ananya Mishra"/>
    <x v="1"/>
    <s v="Bengaluru"/>
    <s v="Karnataka"/>
    <x v="1"/>
    <x v="1"/>
    <x v="20"/>
    <n v="8"/>
    <n v="1200"/>
    <n v="0.1"/>
    <n v="8640"/>
    <n v="5320.76"/>
    <n v="3319.24"/>
    <n v="38.42"/>
    <x v="1"/>
    <x v="2"/>
    <x v="2"/>
    <x v="5"/>
    <n v="2024"/>
    <s v="Thursday"/>
    <n v="8"/>
    <s v="13-12-2024"/>
    <x v="0"/>
    <s v="VIP"/>
    <s v="Medium"/>
    <s v="Yes"/>
    <n v="5"/>
    <s v="Ananya"/>
    <s v="Mishra"/>
    <m/>
    <m/>
    <m/>
    <m/>
    <m/>
    <m/>
    <s v="Good"/>
    <s v="Low"/>
    <s v="No"/>
    <s v="Yes"/>
    <n v="0.38417129629629626"/>
    <m/>
    <m/>
    <m/>
    <m/>
    <m/>
    <m/>
    <m/>
    <m/>
    <m/>
    <m/>
    <m/>
    <m/>
    <m/>
    <m/>
    <m/>
  </r>
  <r>
    <s v="ORD10914"/>
    <d v="2024-05-12T00:00:00"/>
    <s v="CUST1270"/>
    <s v="Kavya Yadav"/>
    <x v="2"/>
    <s v="Lucknow"/>
    <s v="Uttar Pradesh"/>
    <x v="3"/>
    <x v="0"/>
    <x v="23"/>
    <n v="2"/>
    <n v="4000"/>
    <n v="0"/>
    <n v="8000"/>
    <n v="5411.98"/>
    <n v="2588.02"/>
    <n v="32.35"/>
    <x v="4"/>
    <x v="0"/>
    <x v="3"/>
    <x v="5"/>
    <n v="2024"/>
    <s v="Thursday"/>
    <n v="4"/>
    <d v="2024-09-12T00:00:00"/>
    <x v="1"/>
    <s v="New"/>
    <s v="High"/>
    <s v="Yes"/>
    <n v="2"/>
    <s v="Kavya"/>
    <s v="Yadav"/>
    <m/>
    <m/>
    <m/>
    <m/>
    <m/>
    <m/>
    <s v="Good"/>
    <s v="Low"/>
    <s v="No"/>
    <s v="Yes"/>
    <n v="0.32350249999999997"/>
    <m/>
    <m/>
    <m/>
    <m/>
    <m/>
    <m/>
    <m/>
    <m/>
    <m/>
    <m/>
    <m/>
    <m/>
    <m/>
    <m/>
    <m/>
  </r>
  <r>
    <s v="ORD10335"/>
    <d v="2024-06-01T00:00:00"/>
    <s v="CUST1241"/>
    <s v="Meera Sharma"/>
    <x v="0"/>
    <s v="Kolkata"/>
    <s v="West Bengal"/>
    <x v="2"/>
    <x v="4"/>
    <x v="9"/>
    <n v="10"/>
    <n v="800"/>
    <n v="0.2"/>
    <n v="6400"/>
    <n v="3589.22"/>
    <n v="2810.78"/>
    <n v="43.92"/>
    <x v="4"/>
    <x v="0"/>
    <x v="2"/>
    <x v="6"/>
    <n v="2024"/>
    <s v="Saturday"/>
    <n v="7"/>
    <s v="13-01-2024"/>
    <x v="0"/>
    <s v="Returning"/>
    <s v="Medium"/>
    <s v="Yes"/>
    <n v="1"/>
    <s v="Meera"/>
    <s v="Sharma"/>
    <m/>
    <m/>
    <m/>
    <m/>
    <m/>
    <m/>
    <s v="Good"/>
    <s v="Low"/>
    <s v="No"/>
    <s v="Yes"/>
    <n v="0.43918437500000002"/>
    <m/>
    <m/>
    <m/>
    <m/>
    <m/>
    <m/>
    <m/>
    <m/>
    <m/>
    <m/>
    <m/>
    <m/>
    <m/>
    <m/>
    <m/>
  </r>
  <r>
    <s v="ORD10673"/>
    <d v="2024-06-01T00:00:00"/>
    <s v="CUST1182"/>
    <s v="Rohan Malhotra"/>
    <x v="0"/>
    <s v="Jaipur"/>
    <s v="Rajasthan"/>
    <x v="1"/>
    <x v="3"/>
    <x v="18"/>
    <n v="10"/>
    <n v="500"/>
    <n v="0.15"/>
    <n v="4250"/>
    <n v="3449.06"/>
    <n v="800.94"/>
    <n v="18.850000000000001"/>
    <x v="2"/>
    <x v="2"/>
    <x v="0"/>
    <x v="6"/>
    <n v="2024"/>
    <s v="Saturday"/>
    <n v="7"/>
    <s v="13-01-2024"/>
    <x v="0"/>
    <s v="Returning"/>
    <s v="Medium"/>
    <s v="Yes"/>
    <n v="3"/>
    <s v="Rohan"/>
    <s v="Malhotra"/>
    <m/>
    <m/>
    <m/>
    <m/>
    <m/>
    <m/>
    <s v="Needs Improvement"/>
    <s v="Low"/>
    <s v="No"/>
    <s v="Yes"/>
    <n v="0.18845647058823531"/>
    <m/>
    <m/>
    <m/>
    <m/>
    <m/>
    <m/>
    <m/>
    <m/>
    <m/>
    <m/>
    <m/>
    <m/>
    <m/>
    <m/>
    <m/>
  </r>
  <r>
    <s v="ORD10997"/>
    <d v="2024-06-01T00:00:00"/>
    <s v="CUST1262"/>
    <s v="Ananya Singh"/>
    <x v="2"/>
    <s v="Lucknow"/>
    <s v="Uttar Pradesh"/>
    <x v="3"/>
    <x v="2"/>
    <x v="21"/>
    <n v="1"/>
    <n v="15000"/>
    <n v="0.05"/>
    <n v="14250"/>
    <n v="11352.29"/>
    <n v="2897.71"/>
    <n v="20.329999999999998"/>
    <x v="1"/>
    <x v="2"/>
    <x v="1"/>
    <x v="6"/>
    <n v="2024"/>
    <s v="Saturday"/>
    <n v="9"/>
    <s v="15-01-2024"/>
    <x v="1"/>
    <s v="Returning"/>
    <s v="Medium"/>
    <s v="Yes"/>
    <n v="2"/>
    <s v="Ananya"/>
    <s v="Singh"/>
    <m/>
    <m/>
    <m/>
    <m/>
    <m/>
    <m/>
    <s v="Needs Improvement"/>
    <s v="Medium"/>
    <s v="No"/>
    <s v="Yes"/>
    <n v="0.2033480701754386"/>
    <m/>
    <m/>
    <m/>
    <m/>
    <m/>
    <m/>
    <m/>
    <m/>
    <m/>
    <m/>
    <m/>
    <m/>
    <m/>
    <m/>
    <m/>
  </r>
  <r>
    <s v="ORD10724"/>
    <d v="2024-06-02T00:00:00"/>
    <s v="CUST1118"/>
    <s v="Vivaan Chopra"/>
    <x v="0"/>
    <s v="Mumbai"/>
    <s v="Maharashtra"/>
    <x v="3"/>
    <x v="4"/>
    <x v="19"/>
    <n v="4"/>
    <n v="800"/>
    <n v="0.2"/>
    <n v="2560"/>
    <n v="1483.58"/>
    <n v="1076.42"/>
    <n v="42.05"/>
    <x v="1"/>
    <x v="0"/>
    <x v="2"/>
    <x v="7"/>
    <n v="2024"/>
    <s v="Tuesday"/>
    <n v="8"/>
    <s v="14-02-2024"/>
    <x v="2"/>
    <s v="New"/>
    <s v="Medium"/>
    <s v="No"/>
    <n v="4"/>
    <s v="Vivaan"/>
    <s v="Chopra"/>
    <m/>
    <m/>
    <m/>
    <m/>
    <m/>
    <m/>
    <s v="Good"/>
    <s v="Low"/>
    <s v="No"/>
    <s v="Yes"/>
    <n v="0.42047656250000004"/>
    <m/>
    <m/>
    <m/>
    <m/>
    <m/>
    <m/>
    <m/>
    <m/>
    <m/>
    <m/>
    <m/>
    <m/>
    <m/>
    <m/>
    <m/>
  </r>
  <r>
    <s v="ORD10482"/>
    <d v="2024-06-03T00:00:00"/>
    <s v="CUST1011"/>
    <s v="Pooja Kapoor"/>
    <x v="1"/>
    <s v="Kolkata"/>
    <s v="West Bengal"/>
    <x v="2"/>
    <x v="3"/>
    <x v="22"/>
    <n v="3"/>
    <n v="100"/>
    <n v="0.1"/>
    <n v="270"/>
    <n v="178.05"/>
    <n v="91.95"/>
    <n v="34.06"/>
    <x v="1"/>
    <x v="0"/>
    <x v="5"/>
    <x v="0"/>
    <n v="2024"/>
    <s v="Wednesday"/>
    <n v="9"/>
    <s v="15-03-2024"/>
    <x v="0"/>
    <s v="VIP"/>
    <s v="High"/>
    <s v="Yes"/>
    <n v="2"/>
    <s v="Pooja"/>
    <s v="Kapoor"/>
    <m/>
    <m/>
    <m/>
    <m/>
    <m/>
    <m/>
    <s v="Good"/>
    <s v="Low"/>
    <s v="No"/>
    <s v="Yes"/>
    <n v="0.34055555555555556"/>
    <m/>
    <m/>
    <m/>
    <m/>
    <m/>
    <m/>
    <m/>
    <m/>
    <m/>
    <m/>
    <m/>
    <m/>
    <m/>
    <m/>
    <m/>
  </r>
  <r>
    <s v="ORD10578"/>
    <d v="2024-06-03T00:00:00"/>
    <s v="CUST1020"/>
    <s v="Aditya Malhotra"/>
    <x v="0"/>
    <s v="Hyderabad"/>
    <s v="Telangana"/>
    <x v="1"/>
    <x v="0"/>
    <x v="15"/>
    <n v="3"/>
    <n v="9000"/>
    <n v="0.15"/>
    <n v="22950"/>
    <n v="14174.62"/>
    <n v="8775.3799999999992"/>
    <n v="38.24"/>
    <x v="2"/>
    <x v="1"/>
    <x v="2"/>
    <x v="0"/>
    <n v="2024"/>
    <s v="Wednesday"/>
    <n v="1"/>
    <d v="2024-07-03T00:00:00"/>
    <x v="1"/>
    <s v="VIP"/>
    <s v="Medium"/>
    <s v="No"/>
    <n v="2"/>
    <s v="Aditya"/>
    <s v="Malhotra"/>
    <m/>
    <m/>
    <m/>
    <m/>
    <m/>
    <m/>
    <s v="Good"/>
    <s v="Medium"/>
    <s v="No"/>
    <s v="No"/>
    <n v="0.38236949891067534"/>
    <m/>
    <m/>
    <m/>
    <m/>
    <m/>
    <m/>
    <m/>
    <m/>
    <m/>
    <m/>
    <m/>
    <m/>
    <m/>
    <m/>
    <m/>
  </r>
  <r>
    <s v="ORD10012"/>
    <d v="2024-06-04T00:00:00"/>
    <s v="CUST1211"/>
    <s v="Riya Chopra"/>
    <x v="1"/>
    <s v="Lucknow"/>
    <s v="Uttar Pradesh"/>
    <x v="1"/>
    <x v="1"/>
    <x v="2"/>
    <n v="8"/>
    <n v="2500"/>
    <n v="0.05"/>
    <n v="19000"/>
    <n v="12267.55"/>
    <n v="6732.45"/>
    <n v="35.43"/>
    <x v="1"/>
    <x v="2"/>
    <x v="1"/>
    <x v="8"/>
    <n v="2024"/>
    <s v="Saturday"/>
    <n v="2"/>
    <d v="2024-08-04T00:00:00"/>
    <x v="2"/>
    <s v="VIP"/>
    <s v="Medium"/>
    <s v="Yes"/>
    <n v="2"/>
    <s v="Riya"/>
    <s v="Chopra"/>
    <m/>
    <m/>
    <m/>
    <m/>
    <m/>
    <m/>
    <s v="Good"/>
    <s v="Medium"/>
    <s v="No"/>
    <s v="Yes"/>
    <n v="0.35433947368421054"/>
    <m/>
    <m/>
    <m/>
    <m/>
    <m/>
    <m/>
    <m/>
    <m/>
    <m/>
    <m/>
    <m/>
    <m/>
    <m/>
    <m/>
    <m/>
  </r>
  <r>
    <s v="ORD10562"/>
    <d v="2024-06-04T00:00:00"/>
    <s v="CUST1172"/>
    <s v="Riya Malhotra"/>
    <x v="1"/>
    <s v="Pune"/>
    <s v="Maharashtra"/>
    <x v="0"/>
    <x v="0"/>
    <x v="0"/>
    <n v="9"/>
    <n v="4000"/>
    <n v="0.05"/>
    <n v="34200"/>
    <n v="26233.14"/>
    <n v="7966.86"/>
    <n v="23.29"/>
    <x v="3"/>
    <x v="1"/>
    <x v="9"/>
    <x v="8"/>
    <n v="2024"/>
    <s v="Saturday"/>
    <n v="2"/>
    <d v="2024-08-04T00:00:00"/>
    <x v="0"/>
    <s v="Returning"/>
    <s v="Medium"/>
    <s v="No"/>
    <n v="1"/>
    <s v="Riya"/>
    <s v="Malhotra"/>
    <m/>
    <m/>
    <m/>
    <m/>
    <m/>
    <m/>
    <s v="Needs Improvement"/>
    <s v="High"/>
    <s v="No"/>
    <s v="No"/>
    <n v="0.23294912280701754"/>
    <m/>
    <m/>
    <m/>
    <m/>
    <m/>
    <m/>
    <m/>
    <m/>
    <m/>
    <m/>
    <m/>
    <m/>
    <m/>
    <m/>
    <m/>
  </r>
  <r>
    <s v="ORD10386"/>
    <d v="2024-06-05T00:00:00"/>
    <s v="CUST1146"/>
    <s v="Karan Chopra"/>
    <x v="2"/>
    <s v="Ahmedabad"/>
    <s v="Gujarat"/>
    <x v="0"/>
    <x v="1"/>
    <x v="14"/>
    <n v="8"/>
    <n v="700"/>
    <n v="0.05"/>
    <n v="5320"/>
    <n v="3218.64"/>
    <n v="2101.36"/>
    <n v="39.5"/>
    <x v="3"/>
    <x v="0"/>
    <x v="5"/>
    <x v="1"/>
    <n v="2024"/>
    <s v="Monday"/>
    <n v="6"/>
    <d v="2024-12-05T00:00:00"/>
    <x v="0"/>
    <s v="New"/>
    <s v="High"/>
    <s v="Yes"/>
    <n v="5"/>
    <s v="Karan"/>
    <s v="Chopra"/>
    <m/>
    <m/>
    <m/>
    <m/>
    <m/>
    <m/>
    <s v="Good"/>
    <s v="Low"/>
    <s v="No"/>
    <s v="Yes"/>
    <n v="0.39499248120300756"/>
    <m/>
    <m/>
    <m/>
    <m/>
    <m/>
    <m/>
    <m/>
    <m/>
    <m/>
    <m/>
    <m/>
    <m/>
    <m/>
    <m/>
    <m/>
  </r>
  <r>
    <s v="ORD10095"/>
    <d v="2024-06-06T00:00:00"/>
    <s v="CUST1310"/>
    <s v="Neha Chopra"/>
    <x v="1"/>
    <s v="Ahmedabad"/>
    <s v="Gujarat"/>
    <x v="1"/>
    <x v="2"/>
    <x v="12"/>
    <n v="3"/>
    <n v="35000"/>
    <n v="0.2"/>
    <n v="84000"/>
    <n v="62543.95"/>
    <n v="21456.05"/>
    <n v="25.54"/>
    <x v="1"/>
    <x v="2"/>
    <x v="7"/>
    <x v="2"/>
    <n v="2024"/>
    <s v="Thursday"/>
    <n v="3"/>
    <d v="2024-09-06T00:00:00"/>
    <x v="1"/>
    <s v="VIP"/>
    <s v="High"/>
    <s v="No"/>
    <n v="2"/>
    <s v="Neha"/>
    <s v="Chopra"/>
    <m/>
    <m/>
    <m/>
    <m/>
    <m/>
    <m/>
    <s v="Needs Improvement"/>
    <s v="High"/>
    <s v="Yes"/>
    <s v="Yes"/>
    <n v="0.25542916666666665"/>
    <m/>
    <m/>
    <m/>
    <m/>
    <m/>
    <m/>
    <m/>
    <m/>
    <m/>
    <m/>
    <m/>
    <m/>
    <m/>
    <m/>
    <m/>
  </r>
  <r>
    <s v="ORD10495"/>
    <d v="2024-06-06T00:00:00"/>
    <s v="CUST1004"/>
    <s v="Rohan Agarwal"/>
    <x v="1"/>
    <s v="Kolkata"/>
    <s v="West Bengal"/>
    <x v="0"/>
    <x v="1"/>
    <x v="2"/>
    <n v="2"/>
    <n v="3500"/>
    <n v="0.2"/>
    <n v="5600"/>
    <n v="4460.62"/>
    <n v="1139.3800000000001"/>
    <n v="20.350000000000001"/>
    <x v="2"/>
    <x v="1"/>
    <x v="1"/>
    <x v="2"/>
    <n v="2024"/>
    <s v="Thursday"/>
    <n v="7"/>
    <s v="13-06-2024"/>
    <x v="0"/>
    <s v="Returning"/>
    <s v="Medium"/>
    <s v="No"/>
    <n v="4"/>
    <s v="Rohan"/>
    <s v="Agarwal"/>
    <m/>
    <m/>
    <m/>
    <m/>
    <m/>
    <m/>
    <s v="Needs Improvement"/>
    <s v="Low"/>
    <s v="No"/>
    <s v="No"/>
    <n v="0.2034607142857143"/>
    <m/>
    <m/>
    <m/>
    <m/>
    <m/>
    <m/>
    <m/>
    <m/>
    <m/>
    <m/>
    <m/>
    <m/>
    <m/>
    <m/>
    <m/>
  </r>
  <r>
    <s v="ORD10894"/>
    <d v="2024-06-06T00:00:00"/>
    <s v="CUST1101"/>
    <s v="Kavya Yadav"/>
    <x v="2"/>
    <s v="Bengaluru"/>
    <s v="Karnataka"/>
    <x v="0"/>
    <x v="4"/>
    <x v="13"/>
    <n v="7"/>
    <n v="3000"/>
    <n v="0.15"/>
    <n v="17850"/>
    <n v="12304.93"/>
    <n v="5545.07"/>
    <n v="31.06"/>
    <x v="3"/>
    <x v="2"/>
    <x v="1"/>
    <x v="2"/>
    <n v="2024"/>
    <s v="Thursday"/>
    <n v="3"/>
    <d v="2024-09-06T00:00:00"/>
    <x v="0"/>
    <s v="VIP"/>
    <s v="Low"/>
    <s v="Yes"/>
    <n v="3"/>
    <s v="Kavya"/>
    <s v="Yadav"/>
    <m/>
    <m/>
    <m/>
    <m/>
    <m/>
    <m/>
    <s v="Good"/>
    <s v="Medium"/>
    <s v="No"/>
    <s v="Yes"/>
    <n v="0.31064817927170868"/>
    <m/>
    <m/>
    <m/>
    <m/>
    <m/>
    <m/>
    <m/>
    <m/>
    <m/>
    <m/>
    <m/>
    <m/>
    <m/>
    <m/>
    <m/>
  </r>
  <r>
    <s v="ORD10013"/>
    <d v="2024-06-07T00:00:00"/>
    <s v="CUST1039"/>
    <s v="Riya Agarwal"/>
    <x v="1"/>
    <s v="Hyderabad"/>
    <s v="Telangana"/>
    <x v="1"/>
    <x v="0"/>
    <x v="0"/>
    <n v="8"/>
    <n v="4000"/>
    <n v="0.15"/>
    <n v="27200"/>
    <n v="16794.580000000002"/>
    <n v="10405.42"/>
    <n v="38.26"/>
    <x v="1"/>
    <x v="0"/>
    <x v="8"/>
    <x v="9"/>
    <n v="2024"/>
    <s v="Saturday"/>
    <n v="5"/>
    <d v="2024-11-07T00:00:00"/>
    <x v="2"/>
    <s v="New"/>
    <s v="Low"/>
    <s v="Yes"/>
    <n v="2"/>
    <s v="Riya"/>
    <s v="Agarwal"/>
    <m/>
    <m/>
    <m/>
    <m/>
    <m/>
    <m/>
    <s v="Good"/>
    <s v="Medium"/>
    <s v="No"/>
    <s v="Yes"/>
    <n v="0.38255220588235295"/>
    <m/>
    <m/>
    <m/>
    <m/>
    <m/>
    <m/>
    <m/>
    <m/>
    <m/>
    <m/>
    <m/>
    <m/>
    <m/>
    <m/>
    <m/>
  </r>
  <r>
    <s v="ORD10348"/>
    <d v="2024-06-11T00:00:00"/>
    <s v="CUST1034"/>
    <s v="Nisha Agarwal"/>
    <x v="0"/>
    <s v="Bengaluru"/>
    <s v="Karnataka"/>
    <x v="1"/>
    <x v="4"/>
    <x v="13"/>
    <n v="2"/>
    <n v="800"/>
    <n v="0.05"/>
    <n v="1520"/>
    <n v="1240.92"/>
    <n v="279.08"/>
    <n v="18.36"/>
    <x v="1"/>
    <x v="1"/>
    <x v="0"/>
    <x v="11"/>
    <n v="2024"/>
    <s v="Wednesday"/>
    <n v="8"/>
    <s v="14-11-2024"/>
    <x v="1"/>
    <s v="Returning"/>
    <s v="Low"/>
    <s v="No"/>
    <n v="5"/>
    <s v="Nisha"/>
    <s v="Agarwal"/>
    <m/>
    <m/>
    <m/>
    <m/>
    <m/>
    <m/>
    <s v="Needs Improvement"/>
    <s v="Low"/>
    <s v="No"/>
    <s v="No"/>
    <n v="0.18360526315789472"/>
    <m/>
    <m/>
    <m/>
    <m/>
    <m/>
    <m/>
    <m/>
    <m/>
    <m/>
    <m/>
    <m/>
    <m/>
    <m/>
    <m/>
    <m/>
  </r>
  <r>
    <s v="ORD10411"/>
    <d v="2024-06-11T00:00:00"/>
    <s v="CUST1074"/>
    <s v="Rohan Agarwal"/>
    <x v="1"/>
    <s v="Ahmedabad"/>
    <s v="Gujarat"/>
    <x v="2"/>
    <x v="0"/>
    <x v="15"/>
    <n v="6"/>
    <n v="6000"/>
    <n v="0.1"/>
    <n v="32400"/>
    <n v="18064.75"/>
    <n v="14335.25"/>
    <n v="44.24"/>
    <x v="1"/>
    <x v="1"/>
    <x v="0"/>
    <x v="11"/>
    <n v="2024"/>
    <s v="Wednesday"/>
    <n v="5"/>
    <d v="2024-11-11T00:00:00"/>
    <x v="2"/>
    <s v="New"/>
    <s v="Low"/>
    <s v="No"/>
    <n v="1"/>
    <s v="Rohan"/>
    <s v="Agarwal"/>
    <m/>
    <m/>
    <m/>
    <m/>
    <m/>
    <m/>
    <s v="Good"/>
    <s v="High"/>
    <s v="Yes"/>
    <s v="No"/>
    <n v="0.44244598765432097"/>
    <m/>
    <m/>
    <m/>
    <m/>
    <m/>
    <m/>
    <m/>
    <m/>
    <m/>
    <m/>
    <m/>
    <m/>
    <m/>
    <m/>
    <m/>
  </r>
  <r>
    <s v="ORD10748"/>
    <d v="2024-06-11T00:00:00"/>
    <s v="CUST1250"/>
    <s v="Simran Yadav"/>
    <x v="0"/>
    <s v="Chennai"/>
    <s v="Tamil Nadu"/>
    <x v="2"/>
    <x v="0"/>
    <x v="15"/>
    <n v="8"/>
    <n v="9000"/>
    <n v="0.05"/>
    <n v="68400"/>
    <n v="41825.89"/>
    <n v="26574.11"/>
    <n v="38.85"/>
    <x v="4"/>
    <x v="2"/>
    <x v="9"/>
    <x v="11"/>
    <n v="2024"/>
    <s v="Wednesday"/>
    <n v="9"/>
    <s v="15-11-2024"/>
    <x v="0"/>
    <s v="VIP"/>
    <s v="Low"/>
    <s v="No"/>
    <n v="1"/>
    <s v="Simran"/>
    <s v="Yadav"/>
    <m/>
    <m/>
    <m/>
    <m/>
    <m/>
    <m/>
    <s v="Good"/>
    <s v="High"/>
    <s v="Yes"/>
    <s v="Yes"/>
    <n v="0.3885103801169591"/>
    <m/>
    <m/>
    <m/>
    <m/>
    <m/>
    <m/>
    <m/>
    <m/>
    <m/>
    <m/>
    <m/>
    <m/>
    <m/>
    <m/>
    <m/>
  </r>
  <r>
    <s v="ORD10984"/>
    <d v="2024-06-12T00:00:00"/>
    <s v="CUST1288"/>
    <s v="Simran Mehta"/>
    <x v="2"/>
    <s v="Ahmedabad"/>
    <s v="Gujarat"/>
    <x v="3"/>
    <x v="2"/>
    <x v="4"/>
    <n v="2"/>
    <n v="8000"/>
    <n v="0.1"/>
    <n v="14400"/>
    <n v="9287.7800000000007"/>
    <n v="5112.22"/>
    <n v="35.5"/>
    <x v="1"/>
    <x v="1"/>
    <x v="0"/>
    <x v="5"/>
    <n v="2024"/>
    <s v="Friday"/>
    <n v="1"/>
    <d v="2024-07-12T00:00:00"/>
    <x v="0"/>
    <s v="New"/>
    <s v="High"/>
    <s v="No"/>
    <n v="4"/>
    <s v="Simran"/>
    <s v="Mehta"/>
    <m/>
    <m/>
    <m/>
    <m/>
    <m/>
    <m/>
    <s v="Good"/>
    <s v="Medium"/>
    <s v="No"/>
    <s v="No"/>
    <n v="0.3550152777777778"/>
    <m/>
    <m/>
    <m/>
    <m/>
    <m/>
    <m/>
    <m/>
    <m/>
    <m/>
    <m/>
    <m/>
    <m/>
    <m/>
    <m/>
    <m/>
  </r>
  <r>
    <s v="ORD11001"/>
    <d v="2024-06-12T00:00:00"/>
    <s v="CUST1302"/>
    <s v="Neha Bansal"/>
    <x v="1"/>
    <s v="Mumbai"/>
    <s v="Maharashtra"/>
    <x v="2"/>
    <x v="4"/>
    <x v="19"/>
    <n v="4"/>
    <n v="3000"/>
    <n v="0.1"/>
    <n v="10800"/>
    <n v="6177.81"/>
    <n v="4622.1899999999996"/>
    <n v="42.8"/>
    <x v="4"/>
    <x v="2"/>
    <x v="2"/>
    <x v="5"/>
    <n v="2024"/>
    <s v="Friday"/>
    <n v="9"/>
    <s v="15-12-2024"/>
    <x v="1"/>
    <s v="Returning"/>
    <s v="High"/>
    <s v="Yes"/>
    <n v="1"/>
    <s v="Neha"/>
    <s v="Bansal"/>
    <m/>
    <m/>
    <m/>
    <m/>
    <m/>
    <m/>
    <s v="Good"/>
    <s v="Medium"/>
    <s v="No"/>
    <s v="Yes"/>
    <n v="0.42798055555555553"/>
    <m/>
    <m/>
    <m/>
    <m/>
    <m/>
    <m/>
    <m/>
    <m/>
    <m/>
    <m/>
    <m/>
    <m/>
    <m/>
    <m/>
    <m/>
  </r>
  <r>
    <s v="ORD10680"/>
    <d v="2024-07-01T00:00:00"/>
    <s v="CUST1116"/>
    <s v="Neha Mehta"/>
    <x v="2"/>
    <s v="Ahmedabad"/>
    <s v="Gujarat"/>
    <x v="0"/>
    <x v="1"/>
    <x v="3"/>
    <n v="7"/>
    <n v="3500"/>
    <n v="0.1"/>
    <n v="22050"/>
    <n v="12239.85"/>
    <n v="9810.15"/>
    <n v="44.49"/>
    <x v="2"/>
    <x v="0"/>
    <x v="3"/>
    <x v="6"/>
    <n v="2024"/>
    <s v="Sunday"/>
    <n v="10"/>
    <s v="17-01-2024"/>
    <x v="2"/>
    <s v="VIP"/>
    <s v="Medium"/>
    <s v="Yes"/>
    <n v="5"/>
    <s v="Neha"/>
    <s v="Mehta"/>
    <m/>
    <m/>
    <m/>
    <m/>
    <m/>
    <m/>
    <s v="Good"/>
    <s v="Medium"/>
    <s v="No"/>
    <s v="Yes"/>
    <n v="0.44490476190476191"/>
    <m/>
    <m/>
    <m/>
    <m/>
    <m/>
    <m/>
    <m/>
    <m/>
    <m/>
    <m/>
    <m/>
    <m/>
    <m/>
    <m/>
    <m/>
  </r>
  <r>
    <s v="ORD10743"/>
    <d v="2024-07-01T00:00:00"/>
    <s v="CUST1135"/>
    <s v="Rohan Saxena"/>
    <x v="1"/>
    <s v="Pune"/>
    <s v="Maharashtra"/>
    <x v="3"/>
    <x v="4"/>
    <x v="11"/>
    <n v="8"/>
    <n v="800"/>
    <n v="0.2"/>
    <n v="5120"/>
    <n v="4162.72"/>
    <n v="957.28"/>
    <n v="18.7"/>
    <x v="1"/>
    <x v="0"/>
    <x v="2"/>
    <x v="6"/>
    <n v="2024"/>
    <s v="Sunday"/>
    <n v="2"/>
    <d v="2024-09-01T00:00:00"/>
    <x v="0"/>
    <s v="New"/>
    <s v="Low"/>
    <s v="No"/>
    <n v="2"/>
    <s v="Rohan"/>
    <s v="Saxena"/>
    <m/>
    <m/>
    <m/>
    <m/>
    <m/>
    <m/>
    <s v="Needs Improvement"/>
    <s v="Low"/>
    <s v="No"/>
    <s v="Yes"/>
    <n v="0.18696874999999999"/>
    <m/>
    <m/>
    <m/>
    <m/>
    <m/>
    <m/>
    <m/>
    <m/>
    <m/>
    <m/>
    <m/>
    <m/>
    <m/>
    <m/>
    <m/>
  </r>
  <r>
    <s v="ORD10428"/>
    <d v="2024-07-05T00:00:00"/>
    <s v="CUST1194"/>
    <s v="Neha Saxena"/>
    <x v="1"/>
    <s v="Lucknow"/>
    <s v="Uttar Pradesh"/>
    <x v="1"/>
    <x v="4"/>
    <x v="19"/>
    <n v="2"/>
    <n v="2000"/>
    <n v="0.2"/>
    <n v="3200"/>
    <n v="2552.04"/>
    <n v="647.96"/>
    <n v="20.25"/>
    <x v="2"/>
    <x v="2"/>
    <x v="9"/>
    <x v="1"/>
    <n v="2024"/>
    <s v="Tuesday"/>
    <n v="2"/>
    <d v="2024-09-05T00:00:00"/>
    <x v="0"/>
    <s v="New"/>
    <s v="Medium"/>
    <s v="No"/>
    <n v="1"/>
    <s v="Neha"/>
    <s v="Saxena"/>
    <m/>
    <m/>
    <m/>
    <m/>
    <m/>
    <m/>
    <s v="Needs Improvement"/>
    <s v="Low"/>
    <s v="No"/>
    <s v="Yes"/>
    <n v="0.20248750000000001"/>
    <m/>
    <m/>
    <m/>
    <m/>
    <m/>
    <m/>
    <m/>
    <m/>
    <m/>
    <m/>
    <m/>
    <m/>
    <m/>
    <m/>
    <m/>
  </r>
  <r>
    <s v="ORD10950"/>
    <d v="2024-07-05T00:00:00"/>
    <s v="CUST1348"/>
    <s v="Karan Sharma"/>
    <x v="1"/>
    <s v="Chennai"/>
    <s v="Tamil Nadu"/>
    <x v="2"/>
    <x v="4"/>
    <x v="16"/>
    <n v="6"/>
    <n v="500"/>
    <n v="0"/>
    <n v="3000"/>
    <n v="2235.13"/>
    <n v="764.87"/>
    <n v="25.5"/>
    <x v="0"/>
    <x v="2"/>
    <x v="1"/>
    <x v="1"/>
    <n v="2024"/>
    <s v="Tuesday"/>
    <n v="10"/>
    <s v="17-05-2024"/>
    <x v="0"/>
    <s v="VIP"/>
    <s v="Low"/>
    <s v="No"/>
    <n v="1"/>
    <s v="Karan"/>
    <s v="Sharma"/>
    <m/>
    <m/>
    <m/>
    <m/>
    <m/>
    <m/>
    <s v="Needs Improvement"/>
    <s v="Low"/>
    <s v="No"/>
    <s v="Yes"/>
    <n v="0.25495666666666666"/>
    <m/>
    <m/>
    <m/>
    <m/>
    <m/>
    <m/>
    <m/>
    <m/>
    <m/>
    <m/>
    <m/>
    <m/>
    <m/>
    <m/>
    <m/>
  </r>
  <r>
    <s v="ORD10020"/>
    <d v="2024-07-06T00:00:00"/>
    <s v="CUST1091"/>
    <s v="Ishita Sharma"/>
    <x v="2"/>
    <s v="Hyderabad"/>
    <s v="Telangana"/>
    <x v="0"/>
    <x v="2"/>
    <x v="8"/>
    <n v="9"/>
    <n v="22000"/>
    <n v="0.2"/>
    <n v="158400"/>
    <n v="128870.38"/>
    <n v="29529.62"/>
    <n v="18.64"/>
    <x v="4"/>
    <x v="0"/>
    <x v="6"/>
    <x v="2"/>
    <n v="2024"/>
    <s v="Friday"/>
    <n v="4"/>
    <d v="2024-11-06T00:00:00"/>
    <x v="0"/>
    <s v="Returning"/>
    <s v="Low"/>
    <s v="Yes"/>
    <n v="4"/>
    <s v="Ishita"/>
    <s v="Sharma"/>
    <m/>
    <m/>
    <m/>
    <m/>
    <m/>
    <m/>
    <s v="Needs Improvement"/>
    <s v="High"/>
    <s v="Yes"/>
    <s v="Yes"/>
    <n v="0.18642436868686868"/>
    <m/>
    <m/>
    <m/>
    <m/>
    <m/>
    <m/>
    <m/>
    <m/>
    <m/>
    <m/>
    <m/>
    <m/>
    <m/>
    <m/>
    <m/>
  </r>
  <r>
    <s v="ORD10283"/>
    <d v="2024-07-07T00:00:00"/>
    <s v="CUST1084"/>
    <s v="Rahul Singh"/>
    <x v="2"/>
    <s v="Jaipur"/>
    <s v="Rajasthan"/>
    <x v="2"/>
    <x v="0"/>
    <x v="0"/>
    <n v="10"/>
    <n v="9000"/>
    <n v="0.1"/>
    <n v="81000"/>
    <n v="54913.03"/>
    <n v="26086.97"/>
    <n v="32.21"/>
    <x v="1"/>
    <x v="1"/>
    <x v="1"/>
    <x v="9"/>
    <n v="2024"/>
    <s v="Sunday"/>
    <n v="7"/>
    <s v="14-07-2024"/>
    <x v="2"/>
    <s v="New"/>
    <s v="High"/>
    <s v="Yes"/>
    <n v="2"/>
    <s v="Rahul"/>
    <s v="Singh"/>
    <m/>
    <m/>
    <m/>
    <m/>
    <m/>
    <m/>
    <s v="Good"/>
    <s v="High"/>
    <s v="Yes"/>
    <s v="No"/>
    <n v="0.32206135802469138"/>
    <m/>
    <m/>
    <m/>
    <m/>
    <m/>
    <m/>
    <m/>
    <m/>
    <m/>
    <m/>
    <m/>
    <m/>
    <m/>
    <m/>
    <m/>
  </r>
  <r>
    <s v="ORD10996"/>
    <d v="2024-07-07T00:00:00"/>
    <s v="CUST1339"/>
    <s v="Nisha Yadav"/>
    <x v="2"/>
    <s v="Bengaluru"/>
    <s v="Karnataka"/>
    <x v="3"/>
    <x v="3"/>
    <x v="5"/>
    <n v="8"/>
    <n v="800"/>
    <n v="0.1"/>
    <n v="5760"/>
    <n v="4144.26"/>
    <n v="1615.74"/>
    <n v="28.05"/>
    <x v="2"/>
    <x v="1"/>
    <x v="3"/>
    <x v="9"/>
    <n v="2024"/>
    <s v="Sunday"/>
    <n v="10"/>
    <s v="17-07-2024"/>
    <x v="0"/>
    <s v="New"/>
    <s v="Low"/>
    <s v="Yes"/>
    <n v="1"/>
    <s v="Nisha"/>
    <s v="Yadav"/>
    <m/>
    <m/>
    <m/>
    <m/>
    <m/>
    <m/>
    <s v="Needs Improvement"/>
    <s v="Low"/>
    <s v="No"/>
    <s v="No"/>
    <n v="0.28051041666666665"/>
    <m/>
    <m/>
    <m/>
    <m/>
    <m/>
    <m/>
    <m/>
    <m/>
    <m/>
    <m/>
    <m/>
    <m/>
    <m/>
    <m/>
    <m/>
  </r>
  <r>
    <s v="ORD10720"/>
    <d v="2024-07-08T00:00:00"/>
    <s v="CUST1114"/>
    <s v="Neha Verma"/>
    <x v="1"/>
    <s v="Ahmedabad"/>
    <s v="Gujarat"/>
    <x v="3"/>
    <x v="4"/>
    <x v="9"/>
    <n v="9"/>
    <n v="1200"/>
    <n v="0"/>
    <n v="10800"/>
    <n v="8710.1"/>
    <n v="2089.9"/>
    <n v="19.350000000000001"/>
    <x v="4"/>
    <x v="2"/>
    <x v="5"/>
    <x v="10"/>
    <n v="2024"/>
    <s v="Wednesday"/>
    <n v="2"/>
    <d v="2024-09-08T00:00:00"/>
    <x v="2"/>
    <s v="VIP"/>
    <s v="High"/>
    <s v="Yes"/>
    <n v="1"/>
    <s v="Neha"/>
    <s v="Verma"/>
    <m/>
    <m/>
    <m/>
    <m/>
    <m/>
    <m/>
    <s v="Needs Improvement"/>
    <s v="Medium"/>
    <s v="No"/>
    <s v="Yes"/>
    <n v="0.19350925925925927"/>
    <m/>
    <m/>
    <m/>
    <m/>
    <m/>
    <m/>
    <m/>
    <m/>
    <m/>
    <m/>
    <m/>
    <m/>
    <m/>
    <m/>
    <m/>
  </r>
  <r>
    <s v="ORD10945"/>
    <d v="2024-07-08T00:00:00"/>
    <s v="CUST1128"/>
    <s v="Sneha Mishra"/>
    <x v="1"/>
    <s v="Delhi"/>
    <s v="Delhi"/>
    <x v="3"/>
    <x v="4"/>
    <x v="11"/>
    <n v="2"/>
    <n v="1200"/>
    <n v="0"/>
    <n v="2400"/>
    <n v="1900.65"/>
    <n v="499.35"/>
    <n v="20.81"/>
    <x v="2"/>
    <x v="0"/>
    <x v="1"/>
    <x v="10"/>
    <n v="2024"/>
    <s v="Wednesday"/>
    <n v="2"/>
    <d v="2024-09-08T00:00:00"/>
    <x v="1"/>
    <s v="New"/>
    <s v="Low"/>
    <s v="Yes"/>
    <n v="4"/>
    <s v="Sneha"/>
    <s v="Mishra"/>
    <m/>
    <m/>
    <m/>
    <m/>
    <m/>
    <m/>
    <s v="Needs Improvement"/>
    <s v="Low"/>
    <s v="No"/>
    <s v="Yes"/>
    <n v="0.20806250000000001"/>
    <m/>
    <m/>
    <m/>
    <m/>
    <m/>
    <m/>
    <m/>
    <m/>
    <m/>
    <m/>
    <m/>
    <m/>
    <m/>
    <m/>
    <m/>
  </r>
  <r>
    <s v="ORD10990"/>
    <d v="2024-07-08T00:00:00"/>
    <s v="CUST1336"/>
    <s v="Nisha Kumar"/>
    <x v="0"/>
    <s v="Kolkata"/>
    <s v="West Bengal"/>
    <x v="0"/>
    <x v="2"/>
    <x v="7"/>
    <n v="6"/>
    <n v="8000"/>
    <n v="0.1"/>
    <n v="43200"/>
    <n v="35034.57"/>
    <n v="8165.43"/>
    <n v="18.899999999999999"/>
    <x v="1"/>
    <x v="1"/>
    <x v="0"/>
    <x v="10"/>
    <n v="2024"/>
    <s v="Wednesday"/>
    <n v="3"/>
    <d v="2024-10-08T00:00:00"/>
    <x v="0"/>
    <s v="New"/>
    <s v="Medium"/>
    <s v="Yes"/>
    <n v="4"/>
    <s v="Nisha"/>
    <s v="Kumar"/>
    <m/>
    <m/>
    <m/>
    <m/>
    <m/>
    <m/>
    <s v="Needs Improvement"/>
    <s v="High"/>
    <s v="No"/>
    <s v="No"/>
    <n v="0.18901458333333335"/>
    <m/>
    <m/>
    <m/>
    <m/>
    <m/>
    <m/>
    <m/>
    <m/>
    <m/>
    <m/>
    <m/>
    <m/>
    <m/>
    <m/>
    <m/>
  </r>
  <r>
    <s v="ORD10803"/>
    <d v="2024-07-09T00:00:00"/>
    <s v="CUST1225"/>
    <s v="Ananya Malhotra"/>
    <x v="0"/>
    <s v="Bengaluru"/>
    <s v="Karnataka"/>
    <x v="2"/>
    <x v="1"/>
    <x v="20"/>
    <n v="3"/>
    <n v="1800"/>
    <n v="0.15"/>
    <n v="4590"/>
    <n v="3640.49"/>
    <n v="949.51"/>
    <n v="20.69"/>
    <x v="4"/>
    <x v="1"/>
    <x v="6"/>
    <x v="3"/>
    <n v="2024"/>
    <s v="Saturday"/>
    <n v="3"/>
    <d v="2024-10-09T00:00:00"/>
    <x v="0"/>
    <s v="Returning"/>
    <s v="Low"/>
    <s v="No"/>
    <n v="1"/>
    <s v="Ananya"/>
    <s v="Malhotra"/>
    <m/>
    <m/>
    <m/>
    <m/>
    <m/>
    <m/>
    <s v="Needs Improvement"/>
    <s v="Low"/>
    <s v="No"/>
    <s v="No"/>
    <n v="0.20686492374727669"/>
    <m/>
    <m/>
    <m/>
    <m/>
    <m/>
    <m/>
    <m/>
    <m/>
    <m/>
    <m/>
    <m/>
    <m/>
    <m/>
    <m/>
    <m/>
  </r>
  <r>
    <s v="ORD10564"/>
    <d v="2024-07-10T00:00:00"/>
    <s v="CUST1270"/>
    <s v="Karan Kumar"/>
    <x v="1"/>
    <s v="Hyderabad"/>
    <s v="Telangana"/>
    <x v="0"/>
    <x v="2"/>
    <x v="4"/>
    <n v="7"/>
    <n v="50000"/>
    <n v="0"/>
    <n v="350000"/>
    <n v="285802.84000000003"/>
    <n v="64197.16"/>
    <n v="18.34"/>
    <x v="0"/>
    <x v="1"/>
    <x v="5"/>
    <x v="4"/>
    <n v="2024"/>
    <s v="Monday"/>
    <n v="9"/>
    <s v="16-10-2024"/>
    <x v="2"/>
    <s v="Returning"/>
    <s v="Medium"/>
    <s v="No"/>
    <n v="2"/>
    <s v="Karan"/>
    <s v="Kumar"/>
    <m/>
    <m/>
    <m/>
    <m/>
    <m/>
    <m/>
    <s v="Needs Improvement"/>
    <s v="High"/>
    <s v="Yes"/>
    <s v="No"/>
    <n v="0.18342045714285715"/>
    <m/>
    <m/>
    <m/>
    <m/>
    <m/>
    <m/>
    <m/>
    <m/>
    <m/>
    <m/>
    <m/>
    <m/>
    <m/>
    <m/>
    <m/>
  </r>
  <r>
    <s v="ORD10862"/>
    <d v="2024-08-02T00:00:00"/>
    <s v="CUST1150"/>
    <s v="Vikram Singh"/>
    <x v="2"/>
    <s v="Chennai"/>
    <s v="Tamil Nadu"/>
    <x v="3"/>
    <x v="0"/>
    <x v="23"/>
    <n v="10"/>
    <n v="2500"/>
    <n v="0.1"/>
    <n v="22500"/>
    <n v="18408.240000000002"/>
    <n v="4091.76"/>
    <n v="18.190000000000001"/>
    <x v="0"/>
    <x v="2"/>
    <x v="8"/>
    <x v="7"/>
    <n v="2024"/>
    <s v="Thursday"/>
    <n v="5"/>
    <s v="13-02-2024"/>
    <x v="0"/>
    <s v="Returning"/>
    <s v="High"/>
    <s v="No"/>
    <n v="1"/>
    <s v="Vikram"/>
    <s v="Singh"/>
    <m/>
    <m/>
    <m/>
    <m/>
    <m/>
    <m/>
    <s v="Needs Improvement"/>
    <s v="Medium"/>
    <s v="No"/>
    <s v="Yes"/>
    <n v="0.18185600000000002"/>
    <m/>
    <m/>
    <m/>
    <m/>
    <m/>
    <m/>
    <m/>
    <m/>
    <m/>
    <m/>
    <m/>
    <m/>
    <m/>
    <m/>
    <m/>
  </r>
  <r>
    <s v="ORD10063"/>
    <d v="2024-08-03T00:00:00"/>
    <s v="CUST1300"/>
    <s v="Aditi Yadav"/>
    <x v="0"/>
    <s v="Jaipur"/>
    <s v="Rajasthan"/>
    <x v="2"/>
    <x v="2"/>
    <x v="7"/>
    <n v="6"/>
    <n v="35000"/>
    <n v="0.05"/>
    <n v="199500"/>
    <n v="143353.85999999999"/>
    <n v="56146.14"/>
    <n v="28.14"/>
    <x v="3"/>
    <x v="0"/>
    <x v="0"/>
    <x v="0"/>
    <n v="2024"/>
    <s v="Friday"/>
    <n v="3"/>
    <d v="2024-11-03T00:00:00"/>
    <x v="0"/>
    <s v="Returning"/>
    <s v="High"/>
    <s v="No"/>
    <n v="1"/>
    <s v="Aditi"/>
    <s v="Yadav"/>
    <m/>
    <m/>
    <m/>
    <m/>
    <m/>
    <m/>
    <s v="Needs Improvement"/>
    <s v="High"/>
    <s v="Yes"/>
    <s v="Yes"/>
    <n v="0.28143428571428569"/>
    <m/>
    <m/>
    <m/>
    <m/>
    <m/>
    <m/>
    <m/>
    <m/>
    <m/>
    <m/>
    <m/>
    <m/>
    <m/>
    <m/>
    <m/>
  </r>
  <r>
    <s v="ORD10688"/>
    <d v="2024-08-03T00:00:00"/>
    <s v="CUST1213"/>
    <s v="Aditi Malhotra"/>
    <x v="2"/>
    <s v="Mumbai"/>
    <s v="Maharashtra"/>
    <x v="1"/>
    <x v="2"/>
    <x v="8"/>
    <n v="4"/>
    <n v="8000"/>
    <n v="0.15"/>
    <n v="27200"/>
    <n v="18370.8"/>
    <n v="8829.2000000000007"/>
    <n v="32.46"/>
    <x v="0"/>
    <x v="1"/>
    <x v="9"/>
    <x v="0"/>
    <n v="2024"/>
    <s v="Friday"/>
    <n v="2"/>
    <d v="2024-10-03T00:00:00"/>
    <x v="2"/>
    <s v="Returning"/>
    <s v="Low"/>
    <s v="No"/>
    <n v="5"/>
    <s v="Aditi"/>
    <s v="Malhotra"/>
    <m/>
    <m/>
    <m/>
    <m/>
    <m/>
    <m/>
    <s v="Good"/>
    <s v="Medium"/>
    <s v="No"/>
    <s v="No"/>
    <n v="0.32460294117647059"/>
    <m/>
    <m/>
    <m/>
    <m/>
    <m/>
    <m/>
    <m/>
    <m/>
    <m/>
    <m/>
    <m/>
    <m/>
    <m/>
    <m/>
    <m/>
  </r>
  <r>
    <s v="ORD10808"/>
    <d v="2024-08-03T00:00:00"/>
    <s v="CUST1085"/>
    <s v="Kavya Verma"/>
    <x v="2"/>
    <s v="Delhi"/>
    <s v="Delhi"/>
    <x v="2"/>
    <x v="2"/>
    <x v="4"/>
    <n v="1"/>
    <n v="15000"/>
    <n v="0.15"/>
    <n v="12750"/>
    <n v="10162.85"/>
    <n v="2587.15"/>
    <n v="20.29"/>
    <x v="0"/>
    <x v="0"/>
    <x v="3"/>
    <x v="0"/>
    <n v="2024"/>
    <s v="Friday"/>
    <n v="4"/>
    <d v="2024-12-03T00:00:00"/>
    <x v="2"/>
    <s v="Returning"/>
    <s v="Medium"/>
    <s v="No"/>
    <n v="3"/>
    <s v="Kavya"/>
    <s v="Verma"/>
    <m/>
    <m/>
    <m/>
    <m/>
    <m/>
    <m/>
    <s v="Needs Improvement"/>
    <s v="Medium"/>
    <s v="No"/>
    <s v="Yes"/>
    <n v="0.2029137254901961"/>
    <m/>
    <m/>
    <m/>
    <m/>
    <m/>
    <m/>
    <m/>
    <m/>
    <m/>
    <m/>
    <m/>
    <m/>
    <m/>
    <m/>
    <m/>
  </r>
  <r>
    <s v="ORD10880"/>
    <d v="2024-08-03T00:00:00"/>
    <s v="CUST1332"/>
    <s v="Ananya Verma"/>
    <x v="0"/>
    <s v="Mumbai"/>
    <s v="Maharashtra"/>
    <x v="1"/>
    <x v="0"/>
    <x v="0"/>
    <n v="6"/>
    <n v="2500"/>
    <n v="0"/>
    <n v="15000"/>
    <n v="8476.74"/>
    <n v="6523.26"/>
    <n v="43.49"/>
    <x v="0"/>
    <x v="2"/>
    <x v="9"/>
    <x v="0"/>
    <n v="2024"/>
    <s v="Friday"/>
    <n v="7"/>
    <s v="15-03-2024"/>
    <x v="1"/>
    <s v="Returning"/>
    <s v="Low"/>
    <s v="Yes"/>
    <n v="5"/>
    <s v="Ananya"/>
    <s v="Verma"/>
    <m/>
    <m/>
    <m/>
    <m/>
    <m/>
    <m/>
    <s v="Good"/>
    <s v="Medium"/>
    <s v="No"/>
    <s v="Yes"/>
    <n v="0.43488399999999999"/>
    <m/>
    <m/>
    <m/>
    <m/>
    <m/>
    <m/>
    <m/>
    <m/>
    <m/>
    <m/>
    <m/>
    <m/>
    <m/>
    <m/>
    <m/>
  </r>
  <r>
    <s v="ORD10217"/>
    <d v="2024-08-04T00:00:00"/>
    <s v="CUST1321"/>
    <s v="Aditya Singh"/>
    <x v="1"/>
    <s v="Delhi"/>
    <s v="Delhi"/>
    <x v="3"/>
    <x v="3"/>
    <x v="10"/>
    <n v="6"/>
    <n v="800"/>
    <n v="0"/>
    <n v="4800"/>
    <n v="3331.03"/>
    <n v="1468.97"/>
    <n v="30.6"/>
    <x v="4"/>
    <x v="2"/>
    <x v="6"/>
    <x v="8"/>
    <n v="2024"/>
    <s v="Monday"/>
    <n v="3"/>
    <d v="2024-11-04T00:00:00"/>
    <x v="1"/>
    <s v="VIP"/>
    <s v="High"/>
    <s v="No"/>
    <n v="1"/>
    <s v="Aditya"/>
    <s v="Singh"/>
    <m/>
    <m/>
    <m/>
    <m/>
    <m/>
    <m/>
    <s v="Good"/>
    <s v="Low"/>
    <s v="No"/>
    <s v="Yes"/>
    <n v="0.30603541666666667"/>
    <m/>
    <m/>
    <m/>
    <m/>
    <m/>
    <m/>
    <m/>
    <m/>
    <m/>
    <m/>
    <m/>
    <m/>
    <m/>
    <m/>
    <m/>
  </r>
  <r>
    <s v="ORD10060"/>
    <d v="2024-08-05T00:00:00"/>
    <s v="CUST1284"/>
    <s v="Rahul Bansal"/>
    <x v="2"/>
    <s v="Hyderabad"/>
    <s v="Telangana"/>
    <x v="3"/>
    <x v="4"/>
    <x v="11"/>
    <n v="1"/>
    <n v="1200"/>
    <n v="0.05"/>
    <n v="1140"/>
    <n v="648.12"/>
    <n v="491.88"/>
    <n v="43.15"/>
    <x v="0"/>
    <x v="2"/>
    <x v="5"/>
    <x v="1"/>
    <n v="2024"/>
    <s v="Wednesday"/>
    <n v="10"/>
    <s v="18-05-2024"/>
    <x v="0"/>
    <s v="New"/>
    <s v="Medium"/>
    <s v="Yes"/>
    <n v="2"/>
    <s v="Rahul"/>
    <s v="Bansal"/>
    <m/>
    <m/>
    <m/>
    <m/>
    <m/>
    <m/>
    <s v="Good"/>
    <s v="Low"/>
    <s v="No"/>
    <s v="Yes"/>
    <n v="0.43147368421052629"/>
    <m/>
    <m/>
    <m/>
    <m/>
    <m/>
    <m/>
    <m/>
    <m/>
    <m/>
    <m/>
    <m/>
    <m/>
    <m/>
    <m/>
    <m/>
  </r>
  <r>
    <s v="ORD10509"/>
    <d v="2024-08-06T00:00:00"/>
    <s v="CUST1223"/>
    <s v="Sneha Gupta"/>
    <x v="0"/>
    <s v="Hyderabad"/>
    <s v="Telangana"/>
    <x v="1"/>
    <x v="3"/>
    <x v="17"/>
    <n v="4"/>
    <n v="800"/>
    <n v="0.15"/>
    <n v="2720"/>
    <n v="2031.97"/>
    <n v="688.03"/>
    <n v="25.3"/>
    <x v="4"/>
    <x v="2"/>
    <x v="9"/>
    <x v="2"/>
    <n v="2024"/>
    <s v="Saturday"/>
    <n v="8"/>
    <s v="16-06-2024"/>
    <x v="0"/>
    <s v="New"/>
    <s v="Low"/>
    <s v="Yes"/>
    <n v="5"/>
    <s v="Sneha"/>
    <s v="Gupta"/>
    <m/>
    <m/>
    <m/>
    <m/>
    <m/>
    <m/>
    <s v="Needs Improvement"/>
    <s v="Low"/>
    <s v="No"/>
    <s v="Yes"/>
    <n v="0.25295220588235295"/>
    <m/>
    <m/>
    <m/>
    <m/>
    <m/>
    <m/>
    <m/>
    <m/>
    <m/>
    <m/>
    <m/>
    <m/>
    <m/>
    <m/>
    <m/>
  </r>
  <r>
    <s v="ORD10520"/>
    <d v="2024-08-06T00:00:00"/>
    <s v="CUST1089"/>
    <s v="Meera Gupta"/>
    <x v="2"/>
    <s v="Kolkata"/>
    <s v="West Bengal"/>
    <x v="2"/>
    <x v="3"/>
    <x v="18"/>
    <n v="1"/>
    <n v="350"/>
    <n v="0"/>
    <n v="350"/>
    <n v="249.59"/>
    <n v="100.41"/>
    <n v="28.69"/>
    <x v="4"/>
    <x v="0"/>
    <x v="9"/>
    <x v="2"/>
    <n v="2024"/>
    <s v="Saturday"/>
    <n v="1"/>
    <d v="2024-09-06T00:00:00"/>
    <x v="0"/>
    <s v="VIP"/>
    <s v="High"/>
    <s v="No"/>
    <n v="5"/>
    <s v="Meera"/>
    <s v="Gupta"/>
    <m/>
    <m/>
    <m/>
    <m/>
    <m/>
    <m/>
    <s v="Needs Improvement"/>
    <s v="Low"/>
    <s v="No"/>
    <s v="Yes"/>
    <n v="0.2868857142857143"/>
    <m/>
    <m/>
    <m/>
    <m/>
    <m/>
    <m/>
    <m/>
    <m/>
    <m/>
    <m/>
    <m/>
    <m/>
    <m/>
    <m/>
    <m/>
  </r>
  <r>
    <s v="ORD10155"/>
    <d v="2024-08-08T00:00:00"/>
    <s v="CUST1204"/>
    <s v="Meera Kumar"/>
    <x v="1"/>
    <s v="Mumbai"/>
    <s v="Maharashtra"/>
    <x v="2"/>
    <x v="2"/>
    <x v="12"/>
    <n v="2"/>
    <n v="8000"/>
    <n v="0.1"/>
    <n v="14400"/>
    <n v="11608.47"/>
    <n v="2791.53"/>
    <n v="19.39"/>
    <x v="4"/>
    <x v="0"/>
    <x v="1"/>
    <x v="10"/>
    <n v="2024"/>
    <s v="Thursday"/>
    <n v="1"/>
    <d v="2024-09-08T00:00:00"/>
    <x v="0"/>
    <s v="New"/>
    <s v="High"/>
    <s v="Yes"/>
    <n v="3"/>
    <s v="Meera"/>
    <s v="Kumar"/>
    <m/>
    <m/>
    <m/>
    <m/>
    <m/>
    <m/>
    <s v="Needs Improvement"/>
    <s v="Medium"/>
    <s v="No"/>
    <s v="Yes"/>
    <n v="0.19385625000000001"/>
    <m/>
    <m/>
    <m/>
    <m/>
    <m/>
    <m/>
    <m/>
    <m/>
    <m/>
    <m/>
    <m/>
    <m/>
    <m/>
    <m/>
    <m/>
  </r>
  <r>
    <s v="ORD10485"/>
    <d v="2024-08-08T00:00:00"/>
    <s v="CUST1303"/>
    <s v="Sneha Kumar"/>
    <x v="2"/>
    <s v="Delhi"/>
    <s v="Delhi"/>
    <x v="2"/>
    <x v="0"/>
    <x v="15"/>
    <n v="4"/>
    <n v="4000"/>
    <n v="0.1"/>
    <n v="14400"/>
    <n v="10066.450000000001"/>
    <n v="4333.55"/>
    <n v="30.09"/>
    <x v="1"/>
    <x v="0"/>
    <x v="0"/>
    <x v="10"/>
    <n v="2024"/>
    <s v="Thursday"/>
    <n v="3"/>
    <d v="2024-11-08T00:00:00"/>
    <x v="1"/>
    <s v="Returning"/>
    <s v="Medium"/>
    <s v="Yes"/>
    <n v="4"/>
    <s v="Sneha"/>
    <s v="Kumar"/>
    <m/>
    <m/>
    <m/>
    <m/>
    <m/>
    <m/>
    <s v="Good"/>
    <s v="Medium"/>
    <s v="No"/>
    <s v="Yes"/>
    <n v="0.30094097222222221"/>
    <m/>
    <m/>
    <m/>
    <m/>
    <m/>
    <m/>
    <m/>
    <m/>
    <m/>
    <m/>
    <m/>
    <m/>
    <m/>
    <m/>
    <m/>
  </r>
  <r>
    <s v="ORD10674"/>
    <d v="2024-08-08T00:00:00"/>
    <s v="CUST1141"/>
    <s v="Arjun Verma"/>
    <x v="2"/>
    <s v="Kolkata"/>
    <s v="West Bengal"/>
    <x v="3"/>
    <x v="1"/>
    <x v="6"/>
    <n v="9"/>
    <n v="3500"/>
    <n v="0.05"/>
    <n v="29925"/>
    <n v="20014.669999999998"/>
    <n v="9910.33"/>
    <n v="33.119999999999997"/>
    <x v="0"/>
    <x v="0"/>
    <x v="9"/>
    <x v="10"/>
    <n v="2024"/>
    <s v="Thursday"/>
    <n v="10"/>
    <s v="18-08-2024"/>
    <x v="1"/>
    <s v="VIP"/>
    <s v="High"/>
    <s v="No"/>
    <n v="1"/>
    <s v="Arjun"/>
    <s v="Verma"/>
    <m/>
    <m/>
    <m/>
    <m/>
    <m/>
    <m/>
    <s v="Good"/>
    <s v="Medium"/>
    <s v="No"/>
    <s v="Yes"/>
    <n v="0.33117226399331662"/>
    <m/>
    <m/>
    <m/>
    <m/>
    <m/>
    <m/>
    <m/>
    <m/>
    <m/>
    <m/>
    <m/>
    <m/>
    <m/>
    <m/>
    <m/>
  </r>
  <r>
    <s v="ORD10435"/>
    <d v="2024-08-09T00:00:00"/>
    <s v="CUST1135"/>
    <s v="Arjun Sharma"/>
    <x v="1"/>
    <s v="Bengaluru"/>
    <s v="Karnataka"/>
    <x v="3"/>
    <x v="0"/>
    <x v="24"/>
    <n v="3"/>
    <n v="6000"/>
    <n v="0.2"/>
    <n v="14400"/>
    <n v="8003.56"/>
    <n v="6396.44"/>
    <n v="44.42"/>
    <x v="4"/>
    <x v="0"/>
    <x v="2"/>
    <x v="3"/>
    <n v="2024"/>
    <s v="Sunday"/>
    <n v="3"/>
    <d v="2024-11-09T00:00:00"/>
    <x v="0"/>
    <s v="Returning"/>
    <s v="Low"/>
    <s v="No"/>
    <n v="4"/>
    <s v="Arjun"/>
    <s v="Sharma"/>
    <m/>
    <m/>
    <m/>
    <m/>
    <m/>
    <m/>
    <s v="Good"/>
    <s v="Medium"/>
    <s v="No"/>
    <s v="Yes"/>
    <n v="0.44419722222222219"/>
    <m/>
    <m/>
    <m/>
    <m/>
    <m/>
    <m/>
    <m/>
    <m/>
    <m/>
    <m/>
    <m/>
    <m/>
    <m/>
    <m/>
    <m/>
  </r>
  <r>
    <s v="ORD10809"/>
    <d v="2024-08-09T00:00:00"/>
    <s v="CUST1140"/>
    <s v="Neha Kapoor"/>
    <x v="0"/>
    <s v="Ahmedabad"/>
    <s v="Gujarat"/>
    <x v="2"/>
    <x v="0"/>
    <x v="0"/>
    <n v="9"/>
    <n v="6000"/>
    <n v="0.2"/>
    <n v="43200"/>
    <n v="28820.7"/>
    <n v="14379.3"/>
    <n v="33.29"/>
    <x v="4"/>
    <x v="2"/>
    <x v="5"/>
    <x v="3"/>
    <n v="2024"/>
    <s v="Sunday"/>
    <n v="4"/>
    <d v="2024-12-09T00:00:00"/>
    <x v="0"/>
    <s v="Returning"/>
    <s v="Medium"/>
    <s v="Yes"/>
    <n v="2"/>
    <s v="Neha"/>
    <s v="Kapoor"/>
    <m/>
    <m/>
    <m/>
    <m/>
    <m/>
    <m/>
    <s v="Good"/>
    <s v="High"/>
    <s v="Yes"/>
    <s v="Yes"/>
    <n v="0.33285416666666667"/>
    <m/>
    <m/>
    <m/>
    <m/>
    <m/>
    <m/>
    <m/>
    <m/>
    <m/>
    <m/>
    <m/>
    <m/>
    <m/>
    <m/>
    <m/>
  </r>
  <r>
    <s v="ORD10021"/>
    <d v="2024-08-11T00:00:00"/>
    <s v="CUST1099"/>
    <s v="Pooja Jain"/>
    <x v="0"/>
    <s v="Delhi"/>
    <s v="Delhi"/>
    <x v="1"/>
    <x v="1"/>
    <x v="2"/>
    <n v="4"/>
    <n v="2500"/>
    <n v="0.1"/>
    <n v="9000"/>
    <n v="5007.5"/>
    <n v="3992.5"/>
    <n v="44.36"/>
    <x v="0"/>
    <x v="1"/>
    <x v="8"/>
    <x v="11"/>
    <n v="2024"/>
    <s v="Friday"/>
    <n v="4"/>
    <d v="2024-12-11T00:00:00"/>
    <x v="0"/>
    <s v="Returning"/>
    <s v="High"/>
    <s v="No"/>
    <n v="1"/>
    <s v="Pooja"/>
    <s v="Jain"/>
    <m/>
    <m/>
    <m/>
    <m/>
    <m/>
    <m/>
    <s v="Good"/>
    <s v="Low"/>
    <s v="No"/>
    <s v="No"/>
    <n v="0.44361111111111112"/>
    <m/>
    <m/>
    <m/>
    <m/>
    <m/>
    <m/>
    <m/>
    <m/>
    <m/>
    <m/>
    <m/>
    <m/>
    <m/>
    <m/>
    <m/>
  </r>
  <r>
    <s v="ORD10142"/>
    <d v="2024-08-11T00:00:00"/>
    <s v="CUST1073"/>
    <s v="Meera Mehta"/>
    <x v="0"/>
    <s v="Lucknow"/>
    <s v="Uttar Pradesh"/>
    <x v="3"/>
    <x v="2"/>
    <x v="4"/>
    <n v="6"/>
    <n v="8000"/>
    <n v="0.05"/>
    <n v="45600"/>
    <n v="29676.14"/>
    <n v="15923.86"/>
    <n v="34.92"/>
    <x v="3"/>
    <x v="1"/>
    <x v="1"/>
    <x v="11"/>
    <n v="2024"/>
    <s v="Friday"/>
    <n v="2"/>
    <d v="2024-10-11T00:00:00"/>
    <x v="0"/>
    <s v="New"/>
    <s v="Medium"/>
    <s v="Yes"/>
    <n v="5"/>
    <s v="Meera"/>
    <s v="Mehta"/>
    <m/>
    <m/>
    <m/>
    <m/>
    <m/>
    <m/>
    <s v="Good"/>
    <s v="High"/>
    <s v="Yes"/>
    <s v="No"/>
    <n v="0.34920745614035087"/>
    <m/>
    <m/>
    <m/>
    <m/>
    <m/>
    <m/>
    <m/>
    <m/>
    <m/>
    <m/>
    <m/>
    <m/>
    <m/>
    <m/>
    <m/>
  </r>
  <r>
    <s v="ORD10865"/>
    <d v="2024-08-12T00:00:00"/>
    <s v="CUST1306"/>
    <s v="Meera Saxena"/>
    <x v="2"/>
    <s v="Bengaluru"/>
    <s v="Karnataka"/>
    <x v="3"/>
    <x v="0"/>
    <x v="15"/>
    <n v="1"/>
    <n v="15000"/>
    <n v="0"/>
    <n v="15000"/>
    <n v="10476.450000000001"/>
    <n v="4523.55"/>
    <n v="30.16"/>
    <x v="4"/>
    <x v="1"/>
    <x v="9"/>
    <x v="5"/>
    <n v="2024"/>
    <s v="Sunday"/>
    <n v="7"/>
    <s v="15-12-2024"/>
    <x v="0"/>
    <s v="VIP"/>
    <s v="High"/>
    <s v="No"/>
    <n v="3"/>
    <s v="Meera"/>
    <s v="Saxena"/>
    <m/>
    <m/>
    <m/>
    <m/>
    <m/>
    <m/>
    <s v="Good"/>
    <s v="Medium"/>
    <s v="No"/>
    <s v="No"/>
    <n v="0.30157"/>
    <m/>
    <m/>
    <m/>
    <m/>
    <m/>
    <m/>
    <m/>
    <m/>
    <m/>
    <m/>
    <m/>
    <m/>
    <m/>
    <m/>
    <m/>
  </r>
  <r>
    <s v="ORD10621"/>
    <d v="2024-09-02T00:00:00"/>
    <s v="CUST1269"/>
    <s v="Kavya Gupta"/>
    <x v="1"/>
    <s v="Ahmedabad"/>
    <s v="Gujarat"/>
    <x v="2"/>
    <x v="2"/>
    <x v="4"/>
    <n v="4"/>
    <n v="22000"/>
    <n v="0"/>
    <n v="88000"/>
    <n v="52456.36"/>
    <n v="35543.64"/>
    <n v="40.39"/>
    <x v="4"/>
    <x v="2"/>
    <x v="0"/>
    <x v="7"/>
    <n v="2024"/>
    <s v="Friday"/>
    <n v="7"/>
    <s v="16-02-2024"/>
    <x v="2"/>
    <s v="New"/>
    <s v="Medium"/>
    <s v="No"/>
    <n v="3"/>
    <s v="Kavya"/>
    <s v="Gupta"/>
    <m/>
    <m/>
    <m/>
    <m/>
    <m/>
    <m/>
    <s v="Good"/>
    <s v="High"/>
    <s v="Yes"/>
    <s v="Yes"/>
    <n v="0.40390500000000001"/>
    <m/>
    <m/>
    <m/>
    <m/>
    <m/>
    <m/>
    <m/>
    <m/>
    <m/>
    <m/>
    <m/>
    <m/>
    <m/>
    <m/>
    <m/>
  </r>
  <r>
    <s v="ORD10779"/>
    <d v="2024-09-03T00:00:00"/>
    <s v="CUST1341"/>
    <s v="Sneha Malhotra"/>
    <x v="0"/>
    <s v="Jaipur"/>
    <s v="Rajasthan"/>
    <x v="3"/>
    <x v="2"/>
    <x v="8"/>
    <n v="7"/>
    <n v="35000"/>
    <n v="0.15"/>
    <n v="208250"/>
    <n v="129312.71"/>
    <n v="78937.289999999994"/>
    <n v="37.909999999999997"/>
    <x v="2"/>
    <x v="2"/>
    <x v="7"/>
    <x v="0"/>
    <n v="2024"/>
    <s v="Saturday"/>
    <n v="2"/>
    <d v="2024-11-03T00:00:00"/>
    <x v="0"/>
    <s v="New"/>
    <s v="Low"/>
    <s v="Yes"/>
    <n v="2"/>
    <s v="Sneha"/>
    <s v="Malhotra"/>
    <m/>
    <m/>
    <m/>
    <m/>
    <m/>
    <m/>
    <s v="Good"/>
    <s v="High"/>
    <s v="Yes"/>
    <s v="Yes"/>
    <n v="0.37905061224489794"/>
    <m/>
    <m/>
    <m/>
    <m/>
    <m/>
    <m/>
    <m/>
    <m/>
    <m/>
    <m/>
    <m/>
    <m/>
    <m/>
    <m/>
    <m/>
  </r>
  <r>
    <s v="ORD10780"/>
    <d v="2024-09-03T00:00:00"/>
    <s v="CUST1287"/>
    <s v="Vivaan Singh"/>
    <x v="2"/>
    <s v="Jaipur"/>
    <s v="Rajasthan"/>
    <x v="3"/>
    <x v="4"/>
    <x v="16"/>
    <n v="9"/>
    <n v="1200"/>
    <n v="0.15"/>
    <n v="9180"/>
    <n v="6073.3"/>
    <n v="3106.7"/>
    <n v="33.840000000000003"/>
    <x v="0"/>
    <x v="2"/>
    <x v="1"/>
    <x v="0"/>
    <n v="2024"/>
    <s v="Saturday"/>
    <n v="3"/>
    <d v="2024-12-03T00:00:00"/>
    <x v="1"/>
    <s v="New"/>
    <s v="Medium"/>
    <s v="Yes"/>
    <n v="5"/>
    <s v="Vivaan"/>
    <s v="Singh"/>
    <m/>
    <m/>
    <m/>
    <m/>
    <m/>
    <m/>
    <s v="Good"/>
    <s v="Low"/>
    <s v="No"/>
    <s v="Yes"/>
    <n v="0.3384204793028322"/>
    <m/>
    <m/>
    <m/>
    <m/>
    <m/>
    <m/>
    <m/>
    <m/>
    <m/>
    <m/>
    <m/>
    <m/>
    <m/>
    <m/>
    <m/>
  </r>
  <r>
    <s v="ORD10956"/>
    <d v="2024-09-03T00:00:00"/>
    <s v="CUST1091"/>
    <s v="Ananya Yadav"/>
    <x v="2"/>
    <s v="Jaipur"/>
    <s v="Rajasthan"/>
    <x v="1"/>
    <x v="3"/>
    <x v="18"/>
    <n v="3"/>
    <n v="350"/>
    <n v="0.2"/>
    <n v="840"/>
    <n v="485.51"/>
    <n v="354.49"/>
    <n v="42.2"/>
    <x v="0"/>
    <x v="0"/>
    <x v="0"/>
    <x v="0"/>
    <n v="2024"/>
    <s v="Saturday"/>
    <n v="7"/>
    <s v="16-03-2024"/>
    <x v="0"/>
    <s v="VIP"/>
    <s v="High"/>
    <s v="No"/>
    <n v="1"/>
    <s v="Ananya"/>
    <s v="Yadav"/>
    <m/>
    <m/>
    <m/>
    <m/>
    <m/>
    <m/>
    <s v="Good"/>
    <s v="Low"/>
    <s v="No"/>
    <s v="Yes"/>
    <n v="0.42201190476190475"/>
    <m/>
    <m/>
    <m/>
    <m/>
    <m/>
    <m/>
    <m/>
    <m/>
    <m/>
    <m/>
    <m/>
    <m/>
    <m/>
    <m/>
    <m/>
  </r>
  <r>
    <s v="ORD10058"/>
    <d v="2024-09-04T00:00:00"/>
    <s v="CUST1233"/>
    <s v="Sneha Mishra"/>
    <x v="1"/>
    <s v="Bengaluru"/>
    <s v="Karnataka"/>
    <x v="2"/>
    <x v="2"/>
    <x v="7"/>
    <n v="5"/>
    <n v="22000"/>
    <n v="0"/>
    <n v="110000"/>
    <n v="64529.22"/>
    <n v="45470.78"/>
    <n v="41.34"/>
    <x v="3"/>
    <x v="0"/>
    <x v="4"/>
    <x v="8"/>
    <n v="2024"/>
    <s v="Tuesday"/>
    <n v="4"/>
    <s v="13-04-2024"/>
    <x v="1"/>
    <s v="Returning"/>
    <s v="High"/>
    <s v="Yes"/>
    <n v="4"/>
    <s v="Sneha"/>
    <s v="Mishra"/>
    <m/>
    <m/>
    <m/>
    <m/>
    <m/>
    <m/>
    <s v="Good"/>
    <s v="High"/>
    <s v="Yes"/>
    <s v="Yes"/>
    <n v="0.41337072727272728"/>
    <m/>
    <m/>
    <m/>
    <m/>
    <m/>
    <m/>
    <m/>
    <m/>
    <m/>
    <m/>
    <m/>
    <m/>
    <m/>
    <m/>
    <m/>
  </r>
  <r>
    <s v="ORD10191"/>
    <d v="2024-09-04T00:00:00"/>
    <s v="CUST1287"/>
    <s v="Karan Mishra"/>
    <x v="0"/>
    <s v="Ahmedabad"/>
    <s v="Gujarat"/>
    <x v="1"/>
    <x v="3"/>
    <x v="10"/>
    <n v="9"/>
    <n v="200"/>
    <n v="0.1"/>
    <n v="1620"/>
    <n v="1215.08"/>
    <n v="404.92"/>
    <n v="25"/>
    <x v="2"/>
    <x v="1"/>
    <x v="6"/>
    <x v="8"/>
    <n v="2024"/>
    <s v="Tuesday"/>
    <n v="8"/>
    <s v="17-04-2024"/>
    <x v="0"/>
    <s v="VIP"/>
    <s v="Medium"/>
    <s v="No"/>
    <n v="3"/>
    <s v="Karan"/>
    <s v="Mishra"/>
    <m/>
    <m/>
    <m/>
    <m/>
    <m/>
    <m/>
    <s v="Needs Improvement"/>
    <s v="Low"/>
    <s v="No"/>
    <s v="No"/>
    <n v="0.24995061728395063"/>
    <m/>
    <m/>
    <m/>
    <m/>
    <m/>
    <m/>
    <m/>
    <m/>
    <m/>
    <m/>
    <m/>
    <m/>
    <m/>
    <m/>
    <m/>
  </r>
  <r>
    <s v="ORD10571"/>
    <d v="2024-09-04T00:00:00"/>
    <s v="CUST1170"/>
    <s v="Vivaan Verma"/>
    <x v="1"/>
    <s v="Mumbai"/>
    <s v="Maharashtra"/>
    <x v="1"/>
    <x v="2"/>
    <x v="8"/>
    <n v="2"/>
    <n v="15000"/>
    <n v="0.2"/>
    <n v="24000"/>
    <n v="16319.91"/>
    <n v="7680.09"/>
    <n v="32"/>
    <x v="2"/>
    <x v="0"/>
    <x v="4"/>
    <x v="8"/>
    <n v="2024"/>
    <s v="Tuesday"/>
    <n v="5"/>
    <s v="14-04-2024"/>
    <x v="1"/>
    <s v="VIP"/>
    <s v="High"/>
    <s v="No"/>
    <n v="2"/>
    <s v="Vivaan"/>
    <s v="Verma"/>
    <m/>
    <m/>
    <m/>
    <m/>
    <m/>
    <m/>
    <s v="Good"/>
    <s v="Medium"/>
    <s v="No"/>
    <s v="Yes"/>
    <n v="0.32000375000000003"/>
    <m/>
    <m/>
    <m/>
    <m/>
    <m/>
    <m/>
    <m/>
    <m/>
    <m/>
    <m/>
    <m/>
    <m/>
    <m/>
    <m/>
    <m/>
  </r>
  <r>
    <s v="ORD10693"/>
    <d v="2024-09-05T00:00:00"/>
    <s v="CUST1284"/>
    <s v="Aditya Chopra"/>
    <x v="1"/>
    <s v="Hyderabad"/>
    <s v="Telangana"/>
    <x v="3"/>
    <x v="1"/>
    <x v="3"/>
    <n v="2"/>
    <n v="3500"/>
    <n v="0.1"/>
    <n v="6300"/>
    <n v="4234.8100000000004"/>
    <n v="2065.19"/>
    <n v="32.78"/>
    <x v="4"/>
    <x v="0"/>
    <x v="6"/>
    <x v="1"/>
    <n v="2024"/>
    <s v="Thursday"/>
    <n v="6"/>
    <s v="15-05-2024"/>
    <x v="0"/>
    <s v="New"/>
    <s v="High"/>
    <s v="Yes"/>
    <n v="1"/>
    <s v="Aditya"/>
    <s v="Chopra"/>
    <m/>
    <m/>
    <m/>
    <m/>
    <m/>
    <m/>
    <s v="Good"/>
    <s v="Low"/>
    <s v="No"/>
    <s v="Yes"/>
    <n v="0.32780793650793649"/>
    <m/>
    <m/>
    <m/>
    <m/>
    <m/>
    <m/>
    <m/>
    <m/>
    <m/>
    <m/>
    <m/>
    <m/>
    <m/>
    <m/>
    <m/>
  </r>
  <r>
    <s v="ORD10978"/>
    <d v="2024-09-05T00:00:00"/>
    <s v="CUST1188"/>
    <s v="Kavya Chopra"/>
    <x v="2"/>
    <s v="Chennai"/>
    <s v="Tamil Nadu"/>
    <x v="1"/>
    <x v="1"/>
    <x v="3"/>
    <n v="6"/>
    <n v="2500"/>
    <n v="0.2"/>
    <n v="12000"/>
    <n v="7058.58"/>
    <n v="4941.42"/>
    <n v="41.18"/>
    <x v="1"/>
    <x v="2"/>
    <x v="1"/>
    <x v="1"/>
    <n v="2024"/>
    <s v="Thursday"/>
    <n v="1"/>
    <d v="2024-10-05T00:00:00"/>
    <x v="1"/>
    <s v="New"/>
    <s v="High"/>
    <s v="No"/>
    <n v="4"/>
    <s v="Kavya"/>
    <s v="Chopra"/>
    <m/>
    <m/>
    <m/>
    <m/>
    <m/>
    <m/>
    <s v="Good"/>
    <s v="Medium"/>
    <s v="No"/>
    <s v="Yes"/>
    <n v="0.41178500000000001"/>
    <m/>
    <m/>
    <m/>
    <m/>
    <m/>
    <m/>
    <m/>
    <m/>
    <m/>
    <m/>
    <m/>
    <m/>
    <m/>
    <m/>
    <m/>
  </r>
  <r>
    <s v="ORD10846"/>
    <d v="2024-09-06T00:00:00"/>
    <s v="CUST1101"/>
    <s v="Rahul Singh"/>
    <x v="2"/>
    <s v="Mumbai"/>
    <s v="Maharashtra"/>
    <x v="0"/>
    <x v="4"/>
    <x v="11"/>
    <n v="5"/>
    <n v="800"/>
    <n v="0.05"/>
    <n v="3800"/>
    <n v="2841.48"/>
    <n v="958.52"/>
    <n v="25.22"/>
    <x v="4"/>
    <x v="2"/>
    <x v="9"/>
    <x v="2"/>
    <n v="2024"/>
    <s v="Sunday"/>
    <n v="4"/>
    <s v="13-06-2024"/>
    <x v="0"/>
    <s v="New"/>
    <s v="High"/>
    <s v="Yes"/>
    <n v="1"/>
    <s v="Rahul"/>
    <s v="Singh"/>
    <m/>
    <m/>
    <m/>
    <m/>
    <m/>
    <m/>
    <s v="Needs Improvement"/>
    <s v="Low"/>
    <s v="No"/>
    <s v="Yes"/>
    <n v="0.25224210526315788"/>
    <m/>
    <m/>
    <m/>
    <m/>
    <m/>
    <m/>
    <m/>
    <m/>
    <m/>
    <m/>
    <m/>
    <m/>
    <m/>
    <m/>
    <m/>
  </r>
  <r>
    <s v="ORD10931"/>
    <d v="2024-09-06T00:00:00"/>
    <s v="CUST1202"/>
    <s v="Ishita Chopra"/>
    <x v="2"/>
    <s v="Delhi"/>
    <s v="Delhi"/>
    <x v="1"/>
    <x v="3"/>
    <x v="10"/>
    <n v="4"/>
    <n v="800"/>
    <n v="0.15"/>
    <n v="2720"/>
    <n v="2111.67"/>
    <n v="608.33000000000004"/>
    <n v="22.37"/>
    <x v="0"/>
    <x v="0"/>
    <x v="2"/>
    <x v="2"/>
    <n v="2024"/>
    <s v="Sunday"/>
    <n v="8"/>
    <s v="17-06-2024"/>
    <x v="0"/>
    <s v="VIP"/>
    <s v="Low"/>
    <s v="Yes"/>
    <n v="4"/>
    <s v="Ishita"/>
    <s v="Chopra"/>
    <m/>
    <m/>
    <m/>
    <m/>
    <m/>
    <m/>
    <s v="Needs Improvement"/>
    <s v="Low"/>
    <s v="No"/>
    <s v="Yes"/>
    <n v="0.22365073529411766"/>
    <m/>
    <m/>
    <m/>
    <m/>
    <m/>
    <m/>
    <m/>
    <m/>
    <m/>
    <m/>
    <m/>
    <m/>
    <m/>
    <m/>
    <m/>
  </r>
  <r>
    <s v="ORD10995"/>
    <d v="2024-09-06T00:00:00"/>
    <s v="CUST1083"/>
    <s v="Sneha Chopra"/>
    <x v="2"/>
    <s v="Delhi"/>
    <s v="Delhi"/>
    <x v="1"/>
    <x v="2"/>
    <x v="21"/>
    <n v="8"/>
    <n v="22000"/>
    <n v="0.15"/>
    <n v="149600"/>
    <n v="82605.149999999994"/>
    <n v="66994.850000000006"/>
    <n v="44.78"/>
    <x v="4"/>
    <x v="2"/>
    <x v="1"/>
    <x v="2"/>
    <n v="2024"/>
    <s v="Sunday"/>
    <n v="6"/>
    <s v="15-06-2024"/>
    <x v="0"/>
    <s v="Returning"/>
    <s v="Medium"/>
    <s v="Yes"/>
    <n v="4"/>
    <s v="Sneha"/>
    <s v="Chopra"/>
    <m/>
    <m/>
    <m/>
    <m/>
    <m/>
    <m/>
    <s v="Good"/>
    <s v="High"/>
    <s v="Yes"/>
    <s v="Yes"/>
    <n v="0.44782653743315509"/>
    <m/>
    <m/>
    <m/>
    <m/>
    <m/>
    <m/>
    <m/>
    <m/>
    <m/>
    <m/>
    <m/>
    <m/>
    <m/>
    <m/>
    <m/>
  </r>
  <r>
    <s v="ORD10981"/>
    <d v="2024-09-07T00:00:00"/>
    <s v="CUST1023"/>
    <s v="Sneha Singh"/>
    <x v="0"/>
    <s v="Lucknow"/>
    <s v="Uttar Pradesh"/>
    <x v="1"/>
    <x v="0"/>
    <x v="23"/>
    <n v="2"/>
    <n v="2500"/>
    <n v="0.1"/>
    <n v="4500"/>
    <n v="3383.25"/>
    <n v="1116.75"/>
    <n v="24.82"/>
    <x v="3"/>
    <x v="2"/>
    <x v="6"/>
    <x v="9"/>
    <n v="2024"/>
    <s v="Tuesday"/>
    <n v="7"/>
    <s v="16-07-2024"/>
    <x v="0"/>
    <s v="New"/>
    <s v="Low"/>
    <s v="No"/>
    <n v="1"/>
    <s v="Sneha"/>
    <s v="Singh"/>
    <m/>
    <m/>
    <m/>
    <m/>
    <m/>
    <m/>
    <s v="Needs Improvement"/>
    <s v="Low"/>
    <s v="No"/>
    <s v="Yes"/>
    <n v="0.24816666666666667"/>
    <m/>
    <m/>
    <m/>
    <m/>
    <m/>
    <m/>
    <m/>
    <m/>
    <m/>
    <m/>
    <m/>
    <m/>
    <m/>
    <m/>
    <m/>
  </r>
  <r>
    <s v="ORD10845"/>
    <d v="2024-09-08T00:00:00"/>
    <s v="CUST1258"/>
    <s v="Nisha Singh"/>
    <x v="1"/>
    <s v="Jaipur"/>
    <s v="Rajasthan"/>
    <x v="0"/>
    <x v="3"/>
    <x v="22"/>
    <n v="3"/>
    <n v="100"/>
    <n v="0.15"/>
    <n v="255"/>
    <n v="147.13999999999999"/>
    <n v="107.86"/>
    <n v="42.3"/>
    <x v="1"/>
    <x v="1"/>
    <x v="3"/>
    <x v="10"/>
    <n v="2024"/>
    <s v="Friday"/>
    <n v="7"/>
    <s v="16-08-2024"/>
    <x v="0"/>
    <s v="Returning"/>
    <s v="Medium"/>
    <s v="Yes"/>
    <n v="1"/>
    <s v="Nisha"/>
    <s v="Singh"/>
    <m/>
    <m/>
    <m/>
    <m/>
    <m/>
    <m/>
    <s v="Good"/>
    <s v="Low"/>
    <s v="No"/>
    <s v="No"/>
    <n v="0.42298039215686273"/>
    <m/>
    <m/>
    <m/>
    <m/>
    <m/>
    <m/>
    <m/>
    <m/>
    <m/>
    <m/>
    <m/>
    <m/>
    <m/>
    <m/>
    <m/>
  </r>
  <r>
    <s v="ORD10501"/>
    <d v="2024-09-09T00:00:00"/>
    <s v="CUST1001"/>
    <s v="Vivaan Mishra"/>
    <x v="1"/>
    <s v="Mumbai"/>
    <s v="Maharashtra"/>
    <x v="0"/>
    <x v="3"/>
    <x v="17"/>
    <n v="5"/>
    <n v="350"/>
    <n v="0.15"/>
    <n v="1487.5"/>
    <n v="891.12"/>
    <n v="596.38"/>
    <n v="40.090000000000003"/>
    <x v="2"/>
    <x v="1"/>
    <x v="9"/>
    <x v="3"/>
    <n v="2024"/>
    <s v="Monday"/>
    <n v="6"/>
    <s v="15-09-2024"/>
    <x v="0"/>
    <s v="Returning"/>
    <s v="High"/>
    <s v="Yes"/>
    <n v="4"/>
    <s v="Vivaan"/>
    <s v="Mishra"/>
    <m/>
    <m/>
    <m/>
    <m/>
    <m/>
    <m/>
    <s v="Good"/>
    <s v="Low"/>
    <s v="No"/>
    <s v="No"/>
    <n v="0.40092773109243696"/>
    <m/>
    <m/>
    <m/>
    <m/>
    <m/>
    <m/>
    <m/>
    <m/>
    <m/>
    <m/>
    <m/>
    <m/>
    <m/>
    <m/>
    <m/>
  </r>
  <r>
    <s v="ORD10792"/>
    <d v="2024-09-09T00:00:00"/>
    <s v="CUST1313"/>
    <s v="Karan Saxena"/>
    <x v="2"/>
    <s v="Lucknow"/>
    <s v="Uttar Pradesh"/>
    <x v="3"/>
    <x v="4"/>
    <x v="16"/>
    <n v="8"/>
    <n v="500"/>
    <n v="0"/>
    <n v="4000"/>
    <n v="2461.39"/>
    <n v="1538.61"/>
    <n v="38.47"/>
    <x v="0"/>
    <x v="2"/>
    <x v="7"/>
    <x v="3"/>
    <n v="2024"/>
    <s v="Monday"/>
    <n v="7"/>
    <s v="16-09-2024"/>
    <x v="0"/>
    <s v="New"/>
    <s v="High"/>
    <s v="No"/>
    <n v="4"/>
    <s v="Karan"/>
    <s v="Saxena"/>
    <m/>
    <m/>
    <m/>
    <m/>
    <m/>
    <m/>
    <s v="Good"/>
    <s v="Low"/>
    <s v="No"/>
    <s v="Yes"/>
    <n v="0.38465249999999995"/>
    <m/>
    <m/>
    <m/>
    <m/>
    <m/>
    <m/>
    <m/>
    <m/>
    <m/>
    <m/>
    <m/>
    <m/>
    <m/>
    <m/>
    <m/>
  </r>
  <r>
    <s v="ORD10490"/>
    <d v="2024-09-10T00:00:00"/>
    <s v="CUST1118"/>
    <s v="Priya Mishra"/>
    <x v="2"/>
    <s v="Bengaluru"/>
    <s v="Karnataka"/>
    <x v="0"/>
    <x v="1"/>
    <x v="6"/>
    <n v="8"/>
    <n v="3500"/>
    <n v="0.1"/>
    <n v="25200"/>
    <n v="20267.169999999998"/>
    <n v="4932.83"/>
    <n v="19.57"/>
    <x v="4"/>
    <x v="1"/>
    <x v="2"/>
    <x v="4"/>
    <n v="2024"/>
    <s v="Wednesday"/>
    <n v="7"/>
    <s v="16-10-2024"/>
    <x v="1"/>
    <s v="VIP"/>
    <s v="Low"/>
    <s v="Yes"/>
    <n v="2"/>
    <s v="Priya"/>
    <s v="Mishra"/>
    <m/>
    <m/>
    <m/>
    <m/>
    <m/>
    <m/>
    <s v="Needs Improvement"/>
    <s v="Medium"/>
    <s v="No"/>
    <s v="No"/>
    <n v="0.19574722222222221"/>
    <m/>
    <m/>
    <m/>
    <m/>
    <m/>
    <m/>
    <m/>
    <m/>
    <m/>
    <m/>
    <m/>
    <m/>
    <m/>
    <m/>
    <m/>
  </r>
  <r>
    <s v="ORD10807"/>
    <d v="2024-09-10T00:00:00"/>
    <s v="CUST1156"/>
    <s v="Aarav Gupta"/>
    <x v="2"/>
    <s v="Bengaluru"/>
    <s v="Karnataka"/>
    <x v="2"/>
    <x v="0"/>
    <x v="1"/>
    <n v="2"/>
    <n v="15000"/>
    <n v="0.15"/>
    <n v="25500"/>
    <n v="14313.42"/>
    <n v="11186.58"/>
    <n v="43.87"/>
    <x v="3"/>
    <x v="2"/>
    <x v="1"/>
    <x v="4"/>
    <n v="2024"/>
    <s v="Wednesday"/>
    <n v="7"/>
    <s v="16-10-2024"/>
    <x v="0"/>
    <s v="New"/>
    <s v="Medium"/>
    <s v="No"/>
    <n v="2"/>
    <s v="Aarav"/>
    <s v="Gupta"/>
    <m/>
    <m/>
    <m/>
    <m/>
    <m/>
    <m/>
    <s v="Good"/>
    <s v="Medium"/>
    <s v="No"/>
    <s v="Yes"/>
    <n v="0.43868941176470588"/>
    <m/>
    <m/>
    <m/>
    <m/>
    <m/>
    <m/>
    <m/>
    <m/>
    <m/>
    <m/>
    <m/>
    <m/>
    <m/>
    <m/>
    <m/>
  </r>
  <r>
    <s v="ORD10439"/>
    <d v="2024-09-11T00:00:00"/>
    <s v="CUST1192"/>
    <s v="Ananya Kapoor"/>
    <x v="2"/>
    <s v="Hyderabad"/>
    <s v="Telangana"/>
    <x v="3"/>
    <x v="0"/>
    <x v="23"/>
    <n v="4"/>
    <n v="9000"/>
    <n v="0.05"/>
    <n v="34200"/>
    <n v="24086.03"/>
    <n v="10113.969999999999"/>
    <n v="29.57"/>
    <x v="1"/>
    <x v="1"/>
    <x v="9"/>
    <x v="11"/>
    <n v="2024"/>
    <s v="Saturday"/>
    <n v="7"/>
    <s v="16-11-2024"/>
    <x v="2"/>
    <s v="VIP"/>
    <s v="Medium"/>
    <s v="Yes"/>
    <n v="5"/>
    <s v="Ananya"/>
    <s v="Kapoor"/>
    <m/>
    <m/>
    <m/>
    <m/>
    <m/>
    <m/>
    <s v="Needs Improvement"/>
    <s v="High"/>
    <s v="Yes"/>
    <s v="No"/>
    <n v="0.29573011695906432"/>
    <m/>
    <m/>
    <m/>
    <m/>
    <m/>
    <m/>
    <m/>
    <m/>
    <m/>
    <m/>
    <m/>
    <m/>
    <m/>
    <m/>
    <m/>
  </r>
  <r>
    <s v="ORD10781"/>
    <d v="2024-10-01T00:00:00"/>
    <s v="CUST1125"/>
    <s v="Kavya Agarwal"/>
    <x v="2"/>
    <s v="Delhi"/>
    <s v="Delhi"/>
    <x v="3"/>
    <x v="2"/>
    <x v="12"/>
    <n v="5"/>
    <n v="35000"/>
    <n v="0.2"/>
    <n v="140000"/>
    <n v="89078.2"/>
    <n v="50921.8"/>
    <n v="36.369999999999997"/>
    <x v="4"/>
    <x v="1"/>
    <x v="9"/>
    <x v="6"/>
    <n v="2024"/>
    <s v="Wednesday"/>
    <n v="5"/>
    <s v="15-01-2024"/>
    <x v="0"/>
    <s v="New"/>
    <s v="Low"/>
    <s v="Yes"/>
    <n v="4"/>
    <s v="Kavya"/>
    <s v="Agarwal"/>
    <m/>
    <m/>
    <m/>
    <m/>
    <m/>
    <m/>
    <s v="Good"/>
    <s v="High"/>
    <s v="Yes"/>
    <s v="No"/>
    <n v="0.36372714285714286"/>
    <m/>
    <m/>
    <m/>
    <m/>
    <m/>
    <m/>
    <m/>
    <m/>
    <m/>
    <m/>
    <m/>
    <m/>
    <m/>
    <m/>
    <m/>
  </r>
  <r>
    <s v="ORD10216"/>
    <d v="2024-10-02T00:00:00"/>
    <s v="CUST1059"/>
    <s v="Pooja Kumar"/>
    <x v="1"/>
    <s v="Chennai"/>
    <s v="Tamil Nadu"/>
    <x v="0"/>
    <x v="1"/>
    <x v="2"/>
    <n v="10"/>
    <n v="3500"/>
    <n v="0.05"/>
    <n v="33250"/>
    <n v="26510.28"/>
    <n v="6739.72"/>
    <n v="20.27"/>
    <x v="1"/>
    <x v="0"/>
    <x v="3"/>
    <x v="7"/>
    <n v="2024"/>
    <s v="Saturday"/>
    <n v="6"/>
    <s v="16-02-2024"/>
    <x v="2"/>
    <s v="VIP"/>
    <s v="High"/>
    <s v="No"/>
    <n v="4"/>
    <s v="Pooja"/>
    <s v="Kumar"/>
    <m/>
    <m/>
    <m/>
    <m/>
    <m/>
    <m/>
    <s v="Needs Improvement"/>
    <s v="High"/>
    <s v="No"/>
    <s v="Yes"/>
    <n v="0.20269834586466165"/>
    <m/>
    <m/>
    <m/>
    <m/>
    <m/>
    <m/>
    <m/>
    <m/>
    <m/>
    <m/>
    <m/>
    <m/>
    <m/>
    <m/>
    <m/>
  </r>
  <r>
    <s v="ORD10084"/>
    <d v="2024-10-03T00:00:00"/>
    <s v="CUST1260"/>
    <s v="Aditi Sharma"/>
    <x v="0"/>
    <s v="Lucknow"/>
    <s v="Uttar Pradesh"/>
    <x v="2"/>
    <x v="1"/>
    <x v="2"/>
    <n v="2"/>
    <n v="3500"/>
    <n v="0.1"/>
    <n v="6300"/>
    <n v="4327.96"/>
    <n v="1972.04"/>
    <n v="31.3"/>
    <x v="1"/>
    <x v="0"/>
    <x v="1"/>
    <x v="0"/>
    <n v="2024"/>
    <s v="Sunday"/>
    <n v="9"/>
    <s v="19-03-2024"/>
    <x v="1"/>
    <s v="Returning"/>
    <s v="Medium"/>
    <s v="Yes"/>
    <n v="3"/>
    <s v="Aditi"/>
    <s v="Sharma"/>
    <m/>
    <m/>
    <m/>
    <m/>
    <m/>
    <m/>
    <s v="Good"/>
    <s v="Low"/>
    <s v="No"/>
    <s v="Yes"/>
    <n v="0.3130222222222222"/>
    <m/>
    <m/>
    <m/>
    <m/>
    <m/>
    <m/>
    <m/>
    <m/>
    <m/>
    <m/>
    <m/>
    <m/>
    <m/>
    <m/>
    <m/>
  </r>
  <r>
    <s v="ORD10294"/>
    <d v="2024-10-03T00:00:00"/>
    <s v="CUST1166"/>
    <s v="Aarav Verma"/>
    <x v="1"/>
    <s v="Ahmedabad"/>
    <s v="Gujarat"/>
    <x v="0"/>
    <x v="0"/>
    <x v="15"/>
    <n v="4"/>
    <n v="6000"/>
    <n v="0.1"/>
    <n v="21600"/>
    <n v="14835.01"/>
    <n v="6764.99"/>
    <n v="31.32"/>
    <x v="0"/>
    <x v="1"/>
    <x v="5"/>
    <x v="0"/>
    <n v="2024"/>
    <s v="Sunday"/>
    <n v="5"/>
    <s v="15-03-2024"/>
    <x v="0"/>
    <s v="VIP"/>
    <s v="Low"/>
    <s v="Yes"/>
    <n v="2"/>
    <s v="Aarav"/>
    <s v="Verma"/>
    <m/>
    <m/>
    <m/>
    <m/>
    <m/>
    <m/>
    <s v="Good"/>
    <s v="Medium"/>
    <s v="No"/>
    <s v="No"/>
    <n v="0.31319398148148148"/>
    <m/>
    <m/>
    <m/>
    <m/>
    <m/>
    <m/>
    <m/>
    <m/>
    <m/>
    <m/>
    <m/>
    <m/>
    <m/>
    <m/>
    <m/>
  </r>
  <r>
    <s v="ORD10810"/>
    <d v="2024-10-04T00:00:00"/>
    <s v="CUST1205"/>
    <s v="Ishita Bansal"/>
    <x v="0"/>
    <s v="Ahmedabad"/>
    <s v="Gujarat"/>
    <x v="0"/>
    <x v="0"/>
    <x v="1"/>
    <n v="4"/>
    <n v="9000"/>
    <n v="0.05"/>
    <n v="34200"/>
    <n v="22161.88"/>
    <n v="12038.12"/>
    <n v="35.200000000000003"/>
    <x v="1"/>
    <x v="2"/>
    <x v="4"/>
    <x v="8"/>
    <n v="2024"/>
    <s v="Wednesday"/>
    <n v="9"/>
    <s v="19-04-2024"/>
    <x v="1"/>
    <s v="VIP"/>
    <s v="Medium"/>
    <s v="Yes"/>
    <n v="3"/>
    <s v="Ishita"/>
    <s v="Bansal"/>
    <m/>
    <m/>
    <m/>
    <m/>
    <m/>
    <m/>
    <s v="Good"/>
    <s v="High"/>
    <s v="Yes"/>
    <s v="Yes"/>
    <n v="0.35199181286549708"/>
    <m/>
    <m/>
    <m/>
    <m/>
    <m/>
    <m/>
    <m/>
    <m/>
    <m/>
    <m/>
    <m/>
    <m/>
    <m/>
    <m/>
    <m/>
  </r>
  <r>
    <s v="ORD10853"/>
    <d v="2024-10-04T00:00:00"/>
    <s v="CUST1030"/>
    <s v="Simran Sharma"/>
    <x v="1"/>
    <s v="Bengaluru"/>
    <s v="Karnataka"/>
    <x v="3"/>
    <x v="4"/>
    <x v="11"/>
    <n v="2"/>
    <n v="800"/>
    <n v="0.15"/>
    <n v="1360"/>
    <n v="985.78"/>
    <n v="374.22"/>
    <n v="27.52"/>
    <x v="0"/>
    <x v="1"/>
    <x v="1"/>
    <x v="8"/>
    <n v="2024"/>
    <s v="Wednesday"/>
    <n v="8"/>
    <s v="18-04-2024"/>
    <x v="1"/>
    <s v="VIP"/>
    <s v="Low"/>
    <s v="No"/>
    <n v="3"/>
    <s v="Simran"/>
    <s v="Sharma"/>
    <m/>
    <m/>
    <m/>
    <m/>
    <m/>
    <m/>
    <s v="Needs Improvement"/>
    <s v="Low"/>
    <s v="No"/>
    <s v="No"/>
    <n v="0.27516176470588238"/>
    <m/>
    <m/>
    <m/>
    <m/>
    <m/>
    <m/>
    <m/>
    <m/>
    <m/>
    <m/>
    <m/>
    <m/>
    <m/>
    <m/>
    <m/>
  </r>
  <r>
    <s v="ORD10581"/>
    <d v="2024-10-05T00:00:00"/>
    <s v="CUST1256"/>
    <s v="Vikram Sharma"/>
    <x v="1"/>
    <s v="Jaipur"/>
    <s v="Rajasthan"/>
    <x v="0"/>
    <x v="1"/>
    <x v="14"/>
    <n v="2"/>
    <n v="3500"/>
    <n v="0"/>
    <n v="7000"/>
    <n v="4040.73"/>
    <n v="2959.27"/>
    <n v="42.28"/>
    <x v="1"/>
    <x v="2"/>
    <x v="0"/>
    <x v="1"/>
    <n v="2024"/>
    <s v="Friday"/>
    <n v="9"/>
    <s v="19-05-2024"/>
    <x v="0"/>
    <s v="Returning"/>
    <s v="Medium"/>
    <s v="No"/>
    <n v="1"/>
    <s v="Vikram"/>
    <s v="Sharma"/>
    <m/>
    <m/>
    <m/>
    <m/>
    <m/>
    <m/>
    <s v="Good"/>
    <s v="Low"/>
    <s v="No"/>
    <s v="Yes"/>
    <n v="0.42275285714285715"/>
    <m/>
    <m/>
    <m/>
    <m/>
    <m/>
    <m/>
    <m/>
    <m/>
    <m/>
    <m/>
    <m/>
    <m/>
    <m/>
    <m/>
    <m/>
  </r>
  <r>
    <s v="ORD10015"/>
    <d v="2024-10-06T00:00:00"/>
    <s v="CUST1096"/>
    <s v="Aditya Bansal"/>
    <x v="2"/>
    <s v="Delhi"/>
    <s v="Delhi"/>
    <x v="3"/>
    <x v="2"/>
    <x v="12"/>
    <n v="8"/>
    <n v="35000"/>
    <n v="0.2"/>
    <n v="224000"/>
    <n v="128045.14"/>
    <n v="95954.86"/>
    <n v="42.84"/>
    <x v="4"/>
    <x v="2"/>
    <x v="5"/>
    <x v="2"/>
    <n v="2024"/>
    <s v="Monday"/>
    <n v="1"/>
    <d v="2024-11-06T00:00:00"/>
    <x v="1"/>
    <s v="New"/>
    <s v="High"/>
    <s v="Yes"/>
    <n v="5"/>
    <s v="Aditya"/>
    <s v="Bansal"/>
    <m/>
    <m/>
    <m/>
    <m/>
    <m/>
    <m/>
    <s v="Good"/>
    <s v="High"/>
    <s v="Yes"/>
    <s v="Yes"/>
    <n v="0.42836991071428571"/>
    <m/>
    <m/>
    <m/>
    <m/>
    <m/>
    <m/>
    <m/>
    <m/>
    <m/>
    <m/>
    <m/>
    <m/>
    <m/>
    <m/>
    <m/>
  </r>
  <r>
    <s v="ORD10053"/>
    <d v="2024-10-06T00:00:00"/>
    <s v="CUST1301"/>
    <s v="Priya Mishra"/>
    <x v="0"/>
    <s v="Pune"/>
    <s v="Maharashtra"/>
    <x v="0"/>
    <x v="2"/>
    <x v="21"/>
    <n v="5"/>
    <n v="50000"/>
    <n v="0.2"/>
    <n v="200000"/>
    <n v="161042.72"/>
    <n v="38957.279999999999"/>
    <n v="19.48"/>
    <x v="4"/>
    <x v="1"/>
    <x v="6"/>
    <x v="2"/>
    <n v="2024"/>
    <s v="Monday"/>
    <n v="2"/>
    <d v="2024-12-06T00:00:00"/>
    <x v="2"/>
    <s v="Returning"/>
    <s v="Medium"/>
    <s v="Yes"/>
    <n v="2"/>
    <s v="Priya"/>
    <s v="Mishra"/>
    <m/>
    <m/>
    <m/>
    <m/>
    <m/>
    <m/>
    <s v="Needs Improvement"/>
    <s v="High"/>
    <s v="Yes"/>
    <s v="No"/>
    <n v="0.1947864"/>
    <m/>
    <m/>
    <m/>
    <m/>
    <m/>
    <m/>
    <m/>
    <m/>
    <m/>
    <m/>
    <m/>
    <m/>
    <m/>
    <m/>
    <m/>
  </r>
  <r>
    <s v="ORD10068"/>
    <d v="2024-10-06T00:00:00"/>
    <s v="CUST1140"/>
    <s v="Riya Mishra"/>
    <x v="0"/>
    <s v="Chennai"/>
    <s v="Tamil Nadu"/>
    <x v="2"/>
    <x v="4"/>
    <x v="13"/>
    <n v="2"/>
    <n v="500"/>
    <n v="0.05"/>
    <n v="950"/>
    <n v="695.37"/>
    <n v="254.63"/>
    <n v="26.8"/>
    <x v="3"/>
    <x v="1"/>
    <x v="1"/>
    <x v="2"/>
    <n v="2024"/>
    <s v="Monday"/>
    <n v="10"/>
    <s v="20-06-2024"/>
    <x v="0"/>
    <s v="Returning"/>
    <s v="Low"/>
    <s v="Yes"/>
    <n v="3"/>
    <s v="Riya"/>
    <s v="Mishra"/>
    <m/>
    <m/>
    <m/>
    <m/>
    <m/>
    <m/>
    <s v="Needs Improvement"/>
    <s v="Low"/>
    <s v="No"/>
    <s v="No"/>
    <n v="0.2680315789473684"/>
    <m/>
    <m/>
    <m/>
    <m/>
    <m/>
    <m/>
    <m/>
    <m/>
    <m/>
    <m/>
    <m/>
    <m/>
    <m/>
    <m/>
    <m/>
  </r>
  <r>
    <s v="ORD10686"/>
    <d v="2024-10-06T00:00:00"/>
    <s v="CUST1266"/>
    <s v="Rohan Yadav"/>
    <x v="1"/>
    <s v="Lucknow"/>
    <s v="Uttar Pradesh"/>
    <x v="3"/>
    <x v="0"/>
    <x v="24"/>
    <n v="6"/>
    <n v="15000"/>
    <n v="0.15"/>
    <n v="76500"/>
    <n v="45682.14"/>
    <n v="30817.86"/>
    <n v="40.28"/>
    <x v="0"/>
    <x v="2"/>
    <x v="4"/>
    <x v="2"/>
    <n v="2024"/>
    <s v="Monday"/>
    <n v="7"/>
    <s v="17-06-2024"/>
    <x v="0"/>
    <s v="New"/>
    <s v="Medium"/>
    <s v="Yes"/>
    <n v="3"/>
    <s v="Rohan"/>
    <s v="Yadav"/>
    <m/>
    <m/>
    <m/>
    <m/>
    <m/>
    <m/>
    <s v="Good"/>
    <s v="High"/>
    <s v="Yes"/>
    <s v="Yes"/>
    <n v="0.40284784313725491"/>
    <m/>
    <m/>
    <m/>
    <m/>
    <m/>
    <m/>
    <m/>
    <m/>
    <m/>
    <m/>
    <m/>
    <m/>
    <m/>
    <m/>
    <m/>
  </r>
  <r>
    <s v="ORD10087"/>
    <d v="2024-10-07T00:00:00"/>
    <s v="CUST1266"/>
    <s v="Ananya Agarwal"/>
    <x v="2"/>
    <s v="Chennai"/>
    <s v="Tamil Nadu"/>
    <x v="2"/>
    <x v="1"/>
    <x v="14"/>
    <n v="8"/>
    <n v="2500"/>
    <n v="0.1"/>
    <n v="18000"/>
    <n v="11685.31"/>
    <n v="6314.69"/>
    <n v="35.08"/>
    <x v="1"/>
    <x v="1"/>
    <x v="5"/>
    <x v="9"/>
    <n v="2024"/>
    <s v="Wednesday"/>
    <n v="8"/>
    <s v="18-07-2024"/>
    <x v="2"/>
    <s v="New"/>
    <s v="High"/>
    <s v="No"/>
    <n v="3"/>
    <s v="Ananya"/>
    <s v="Agarwal"/>
    <m/>
    <m/>
    <m/>
    <m/>
    <m/>
    <m/>
    <s v="Good"/>
    <s v="Medium"/>
    <s v="No"/>
    <s v="No"/>
    <n v="0.35081611111111111"/>
    <m/>
    <m/>
    <m/>
    <m/>
    <m/>
    <m/>
    <m/>
    <m/>
    <m/>
    <m/>
    <m/>
    <m/>
    <m/>
    <m/>
    <m/>
  </r>
  <r>
    <s v="ORD10541"/>
    <d v="2024-10-07T00:00:00"/>
    <s v="CUST1275"/>
    <s v="Vikram Yadav"/>
    <x v="0"/>
    <s v="Kolkata"/>
    <s v="West Bengal"/>
    <x v="0"/>
    <x v="2"/>
    <x v="4"/>
    <n v="8"/>
    <n v="50000"/>
    <n v="0.1"/>
    <n v="360000"/>
    <n v="226860.87"/>
    <n v="133139.13"/>
    <n v="36.979999999999997"/>
    <x v="1"/>
    <x v="1"/>
    <x v="2"/>
    <x v="9"/>
    <n v="2024"/>
    <s v="Wednesday"/>
    <n v="4"/>
    <s v="14-07-2024"/>
    <x v="0"/>
    <s v="New"/>
    <s v="High"/>
    <s v="Yes"/>
    <n v="5"/>
    <s v="Vikram"/>
    <s v="Yadav"/>
    <m/>
    <m/>
    <m/>
    <m/>
    <m/>
    <m/>
    <s v="Good"/>
    <s v="High"/>
    <s v="Yes"/>
    <s v="No"/>
    <n v="0.36983091666666668"/>
    <m/>
    <m/>
    <m/>
    <m/>
    <m/>
    <m/>
    <m/>
    <m/>
    <m/>
    <m/>
    <m/>
    <m/>
    <m/>
    <m/>
    <m/>
  </r>
  <r>
    <s v="ORD10271"/>
    <d v="2024-10-08T00:00:00"/>
    <s v="CUST1089"/>
    <s v="Kavya Chopra"/>
    <x v="1"/>
    <s v="Pune"/>
    <s v="Maharashtra"/>
    <x v="1"/>
    <x v="3"/>
    <x v="5"/>
    <n v="10"/>
    <n v="500"/>
    <n v="0.2"/>
    <n v="4000"/>
    <n v="3056.34"/>
    <n v="943.66"/>
    <n v="23.59"/>
    <x v="3"/>
    <x v="0"/>
    <x v="0"/>
    <x v="10"/>
    <n v="2024"/>
    <s v="Saturday"/>
    <n v="2"/>
    <d v="2024-12-08T00:00:00"/>
    <x v="0"/>
    <s v="New"/>
    <s v="High"/>
    <s v="No"/>
    <n v="1"/>
    <s v="Kavya"/>
    <s v="Chopra"/>
    <m/>
    <m/>
    <m/>
    <m/>
    <m/>
    <m/>
    <s v="Needs Improvement"/>
    <s v="Low"/>
    <s v="No"/>
    <s v="Yes"/>
    <n v="0.23591499999999999"/>
    <m/>
    <m/>
    <m/>
    <m/>
    <m/>
    <m/>
    <m/>
    <m/>
    <m/>
    <m/>
    <m/>
    <m/>
    <m/>
    <m/>
    <m/>
  </r>
  <r>
    <s v="ORD10732"/>
    <d v="2024-10-08T00:00:00"/>
    <s v="CUST1338"/>
    <s v="Pooja Saxena"/>
    <x v="1"/>
    <s v="Jaipur"/>
    <s v="Rajasthan"/>
    <x v="2"/>
    <x v="3"/>
    <x v="22"/>
    <n v="7"/>
    <n v="100"/>
    <n v="0.05"/>
    <n v="665"/>
    <n v="525.54"/>
    <n v="139.46"/>
    <n v="20.97"/>
    <x v="2"/>
    <x v="1"/>
    <x v="7"/>
    <x v="10"/>
    <n v="2024"/>
    <s v="Saturday"/>
    <n v="6"/>
    <s v="16-08-2024"/>
    <x v="1"/>
    <s v="VIP"/>
    <s v="Low"/>
    <s v="No"/>
    <n v="5"/>
    <s v="Pooja"/>
    <s v="Saxena"/>
    <m/>
    <m/>
    <m/>
    <m/>
    <m/>
    <m/>
    <s v="Needs Improvement"/>
    <s v="Low"/>
    <s v="No"/>
    <s v="No"/>
    <n v="0.20971428571428571"/>
    <m/>
    <m/>
    <m/>
    <m/>
    <m/>
    <m/>
    <m/>
    <m/>
    <m/>
    <m/>
    <m/>
    <m/>
    <m/>
    <m/>
    <m/>
  </r>
  <r>
    <s v="ORD10408"/>
    <d v="2024-10-09T00:00:00"/>
    <s v="CUST1099"/>
    <s v="Sneha Malhotra"/>
    <x v="2"/>
    <s v="Pune"/>
    <s v="Maharashtra"/>
    <x v="3"/>
    <x v="3"/>
    <x v="22"/>
    <n v="3"/>
    <n v="500"/>
    <n v="0.2"/>
    <n v="1200"/>
    <n v="827.33"/>
    <n v="372.67"/>
    <n v="31.06"/>
    <x v="4"/>
    <x v="1"/>
    <x v="2"/>
    <x v="3"/>
    <n v="2024"/>
    <s v="Tuesday"/>
    <n v="2"/>
    <d v="2024-12-09T00:00:00"/>
    <x v="0"/>
    <s v="New"/>
    <s v="Low"/>
    <s v="No"/>
    <n v="2"/>
    <s v="Sneha"/>
    <s v="Malhotra"/>
    <m/>
    <m/>
    <m/>
    <m/>
    <m/>
    <m/>
    <s v="Good"/>
    <s v="Low"/>
    <s v="No"/>
    <s v="No"/>
    <n v="0.31055833333333333"/>
    <m/>
    <m/>
    <m/>
    <m/>
    <m/>
    <m/>
    <m/>
    <m/>
    <m/>
    <m/>
    <m/>
    <m/>
    <m/>
    <m/>
    <m/>
  </r>
  <r>
    <s v="ORD10330"/>
    <d v="2024-10-10T00:00:00"/>
    <s v="CUST1077"/>
    <s v="Kavya Malhotra"/>
    <x v="2"/>
    <s v="Chennai"/>
    <s v="Tamil Nadu"/>
    <x v="3"/>
    <x v="4"/>
    <x v="13"/>
    <n v="4"/>
    <n v="2000"/>
    <n v="0.05"/>
    <n v="7600"/>
    <n v="4411.22"/>
    <n v="3188.78"/>
    <n v="41.96"/>
    <x v="1"/>
    <x v="2"/>
    <x v="3"/>
    <x v="4"/>
    <n v="2024"/>
    <s v="Thursday"/>
    <n v="1"/>
    <d v="2024-11-10T00:00:00"/>
    <x v="0"/>
    <s v="Returning"/>
    <s v="Low"/>
    <s v="No"/>
    <n v="3"/>
    <s v="Kavya"/>
    <s v="Malhotra"/>
    <m/>
    <m/>
    <m/>
    <m/>
    <m/>
    <m/>
    <s v="Good"/>
    <s v="Low"/>
    <s v="No"/>
    <s v="Yes"/>
    <n v="0.41957631578947369"/>
    <m/>
    <m/>
    <m/>
    <m/>
    <m/>
    <m/>
    <m/>
    <m/>
    <m/>
    <m/>
    <m/>
    <m/>
    <m/>
    <m/>
    <m/>
  </r>
  <r>
    <s v="ORD10441"/>
    <d v="2024-10-10T00:00:00"/>
    <s v="CUST1185"/>
    <s v="Vivaan Kapoor"/>
    <x v="2"/>
    <s v="Mumbai"/>
    <s v="Maharashtra"/>
    <x v="0"/>
    <x v="3"/>
    <x v="22"/>
    <n v="9"/>
    <n v="800"/>
    <n v="0"/>
    <n v="7200"/>
    <n v="4190.53"/>
    <n v="3009.47"/>
    <n v="41.8"/>
    <x v="2"/>
    <x v="0"/>
    <x v="3"/>
    <x v="4"/>
    <n v="2024"/>
    <s v="Thursday"/>
    <n v="4"/>
    <s v="14-10-2024"/>
    <x v="0"/>
    <s v="Returning"/>
    <s v="Medium"/>
    <s v="No"/>
    <n v="2"/>
    <s v="Vivaan"/>
    <s v="Kapoor"/>
    <m/>
    <m/>
    <m/>
    <m/>
    <m/>
    <m/>
    <s v="Good"/>
    <s v="Low"/>
    <s v="No"/>
    <s v="Yes"/>
    <n v="0.41798194444444442"/>
    <m/>
    <m/>
    <m/>
    <m/>
    <m/>
    <m/>
    <m/>
    <m/>
    <m/>
    <m/>
    <m/>
    <m/>
    <m/>
    <m/>
    <m/>
  </r>
  <r>
    <s v="ORD10719"/>
    <d v="2024-10-11T00:00:00"/>
    <s v="CUST1329"/>
    <s v="Neha Yadav"/>
    <x v="2"/>
    <s v="Pune"/>
    <s v="Maharashtra"/>
    <x v="1"/>
    <x v="2"/>
    <x v="12"/>
    <n v="1"/>
    <n v="12000"/>
    <n v="0"/>
    <n v="12000"/>
    <n v="8358.6299999999992"/>
    <n v="3641.37"/>
    <n v="30.34"/>
    <x v="1"/>
    <x v="1"/>
    <x v="1"/>
    <x v="11"/>
    <n v="2024"/>
    <s v="Sunday"/>
    <n v="10"/>
    <s v="20-11-2024"/>
    <x v="1"/>
    <s v="New"/>
    <s v="Medium"/>
    <s v="Yes"/>
    <n v="4"/>
    <s v="Neha"/>
    <s v="Yadav"/>
    <m/>
    <m/>
    <m/>
    <m/>
    <m/>
    <m/>
    <s v="Good"/>
    <s v="Medium"/>
    <s v="No"/>
    <s v="No"/>
    <n v="0.30344749999999998"/>
    <m/>
    <m/>
    <m/>
    <m/>
    <m/>
    <m/>
    <m/>
    <m/>
    <m/>
    <m/>
    <m/>
    <m/>
    <m/>
    <m/>
    <m/>
  </r>
  <r>
    <s v="ORD10434"/>
    <d v="2024-11-01T00:00:00"/>
    <s v="CUST1059"/>
    <s v="Rohan Kumar"/>
    <x v="0"/>
    <s v="Kolkata"/>
    <s v="West Bengal"/>
    <x v="3"/>
    <x v="0"/>
    <x v="23"/>
    <n v="3"/>
    <n v="2500"/>
    <n v="0.1"/>
    <n v="6750"/>
    <n v="3767.21"/>
    <n v="2982.79"/>
    <n v="44.19"/>
    <x v="3"/>
    <x v="1"/>
    <x v="7"/>
    <x v="6"/>
    <n v="2024"/>
    <s v="Thursday"/>
    <n v="2"/>
    <s v="13-01-2024"/>
    <x v="0"/>
    <s v="New"/>
    <s v="Low"/>
    <s v="Yes"/>
    <n v="3"/>
    <s v="Rohan"/>
    <s v="Kumar"/>
    <m/>
    <m/>
    <m/>
    <m/>
    <m/>
    <m/>
    <s v="Good"/>
    <s v="Low"/>
    <s v="No"/>
    <s v="No"/>
    <n v="0.4418948148148148"/>
    <m/>
    <m/>
    <m/>
    <m/>
    <m/>
    <m/>
    <m/>
    <m/>
    <m/>
    <m/>
    <m/>
    <m/>
    <m/>
    <m/>
    <m/>
  </r>
  <r>
    <s v="ORD10451"/>
    <d v="2024-11-01T00:00:00"/>
    <s v="CUST1070"/>
    <s v="Neha Mishra"/>
    <x v="1"/>
    <s v="Kolkata"/>
    <s v="West Bengal"/>
    <x v="2"/>
    <x v="3"/>
    <x v="18"/>
    <n v="4"/>
    <n v="500"/>
    <n v="0"/>
    <n v="2000"/>
    <n v="1482.91"/>
    <n v="517.09"/>
    <n v="25.85"/>
    <x v="4"/>
    <x v="1"/>
    <x v="2"/>
    <x v="6"/>
    <n v="2024"/>
    <s v="Thursday"/>
    <n v="5"/>
    <s v="16-01-2024"/>
    <x v="0"/>
    <s v="New"/>
    <s v="High"/>
    <s v="Yes"/>
    <n v="4"/>
    <s v="Neha"/>
    <s v="Mishra"/>
    <m/>
    <m/>
    <m/>
    <m/>
    <m/>
    <m/>
    <s v="Needs Improvement"/>
    <s v="Low"/>
    <s v="No"/>
    <s v="No"/>
    <n v="0.25854500000000002"/>
    <m/>
    <m/>
    <m/>
    <m/>
    <m/>
    <m/>
    <m/>
    <m/>
    <m/>
    <m/>
    <m/>
    <m/>
    <m/>
    <m/>
    <m/>
  </r>
  <r>
    <s v="ORD10773"/>
    <d v="2024-11-01T00:00:00"/>
    <s v="CUST1192"/>
    <s v="Rahul Kumar"/>
    <x v="0"/>
    <s v="Jaipur"/>
    <s v="Rajasthan"/>
    <x v="2"/>
    <x v="2"/>
    <x v="21"/>
    <n v="6"/>
    <n v="50000"/>
    <n v="0.15"/>
    <n v="255000"/>
    <n v="163877.23000000001"/>
    <n v="91122.77"/>
    <n v="35.729999999999997"/>
    <x v="3"/>
    <x v="0"/>
    <x v="7"/>
    <x v="6"/>
    <n v="2024"/>
    <s v="Thursday"/>
    <n v="10"/>
    <s v="21-01-2024"/>
    <x v="0"/>
    <s v="VIP"/>
    <s v="Medium"/>
    <s v="Yes"/>
    <n v="4"/>
    <s v="Rahul"/>
    <s v="Kumar"/>
    <m/>
    <m/>
    <m/>
    <m/>
    <m/>
    <m/>
    <s v="Good"/>
    <s v="High"/>
    <s v="Yes"/>
    <s v="Yes"/>
    <n v="0.35734419607843138"/>
    <m/>
    <m/>
    <m/>
    <m/>
    <m/>
    <m/>
    <m/>
    <m/>
    <m/>
    <m/>
    <m/>
    <m/>
    <m/>
    <m/>
    <m/>
  </r>
  <r>
    <s v="ORD10566"/>
    <d v="2024-11-02T00:00:00"/>
    <s v="CUST1064"/>
    <s v="Vivaan Malhotra"/>
    <x v="0"/>
    <s v="Jaipur"/>
    <s v="Rajasthan"/>
    <x v="1"/>
    <x v="3"/>
    <x v="5"/>
    <n v="5"/>
    <n v="100"/>
    <n v="0.15"/>
    <n v="425"/>
    <n v="328.47"/>
    <n v="96.53"/>
    <n v="22.71"/>
    <x v="4"/>
    <x v="1"/>
    <x v="7"/>
    <x v="7"/>
    <n v="2024"/>
    <s v="Sunday"/>
    <n v="4"/>
    <s v="15-02-2024"/>
    <x v="0"/>
    <s v="New"/>
    <s v="Medium"/>
    <s v="Yes"/>
    <n v="3"/>
    <s v="Vivaan"/>
    <s v="Malhotra"/>
    <m/>
    <m/>
    <m/>
    <m/>
    <m/>
    <m/>
    <s v="Needs Improvement"/>
    <s v="Low"/>
    <s v="No"/>
    <s v="No"/>
    <n v="0.22712941176470589"/>
    <m/>
    <m/>
    <m/>
    <m/>
    <m/>
    <m/>
    <m/>
    <m/>
    <m/>
    <m/>
    <m/>
    <m/>
    <m/>
    <m/>
    <m/>
  </r>
  <r>
    <s v="ORD10871"/>
    <d v="2024-11-02T00:00:00"/>
    <s v="CUST1284"/>
    <s v="Aarav Agarwal"/>
    <x v="1"/>
    <s v="Bengaluru"/>
    <s v="Karnataka"/>
    <x v="2"/>
    <x v="4"/>
    <x v="9"/>
    <n v="9"/>
    <n v="1200"/>
    <n v="0.1"/>
    <n v="9720"/>
    <n v="6143.83"/>
    <n v="3576.17"/>
    <n v="36.79"/>
    <x v="2"/>
    <x v="1"/>
    <x v="0"/>
    <x v="7"/>
    <n v="2024"/>
    <s v="Sunday"/>
    <n v="2"/>
    <s v="13-02-2024"/>
    <x v="0"/>
    <s v="New"/>
    <s v="Medium"/>
    <s v="Yes"/>
    <n v="4"/>
    <s v="Aarav"/>
    <s v="Agarwal"/>
    <m/>
    <m/>
    <m/>
    <m/>
    <m/>
    <m/>
    <s v="Good"/>
    <s v="Low"/>
    <s v="No"/>
    <s v="No"/>
    <n v="0.36791872427983541"/>
    <m/>
    <m/>
    <m/>
    <m/>
    <m/>
    <m/>
    <m/>
    <m/>
    <m/>
    <m/>
    <m/>
    <m/>
    <m/>
    <m/>
    <m/>
  </r>
  <r>
    <s v="ORD10017"/>
    <d v="2024-11-03T00:00:00"/>
    <s v="CUST1225"/>
    <s v="Aditi Yadav"/>
    <x v="0"/>
    <s v="Ahmedabad"/>
    <s v="Gujarat"/>
    <x v="1"/>
    <x v="0"/>
    <x v="0"/>
    <n v="5"/>
    <n v="4000"/>
    <n v="0.1"/>
    <n v="18000"/>
    <n v="11285.04"/>
    <n v="6714.96"/>
    <n v="37.31"/>
    <x v="3"/>
    <x v="1"/>
    <x v="2"/>
    <x v="0"/>
    <n v="2024"/>
    <s v="Monday"/>
    <n v="4"/>
    <s v="15-03-2024"/>
    <x v="0"/>
    <s v="New"/>
    <s v="Medium"/>
    <s v="Yes"/>
    <n v="1"/>
    <s v="Aditi"/>
    <s v="Yadav"/>
    <m/>
    <m/>
    <m/>
    <m/>
    <m/>
    <m/>
    <s v="Good"/>
    <s v="Medium"/>
    <s v="No"/>
    <s v="No"/>
    <n v="0.37305333333333335"/>
    <m/>
    <m/>
    <m/>
    <m/>
    <m/>
    <m/>
    <m/>
    <m/>
    <m/>
    <m/>
    <m/>
    <m/>
    <m/>
    <m/>
    <m/>
  </r>
  <r>
    <s v="ORD11000"/>
    <d v="2024-11-04T00:00:00"/>
    <s v="CUST1269"/>
    <s v="Arjun Kapoor"/>
    <x v="1"/>
    <s v="Ahmedabad"/>
    <s v="Gujarat"/>
    <x v="2"/>
    <x v="2"/>
    <x v="4"/>
    <n v="4"/>
    <n v="22000"/>
    <n v="0.05"/>
    <n v="83600"/>
    <n v="47504.18"/>
    <n v="36095.82"/>
    <n v="43.18"/>
    <x v="1"/>
    <x v="0"/>
    <x v="3"/>
    <x v="8"/>
    <n v="2024"/>
    <s v="Thursday"/>
    <n v="10"/>
    <s v="21-04-2024"/>
    <x v="0"/>
    <s v="VIP"/>
    <s v="Low"/>
    <s v="No"/>
    <n v="1"/>
    <s v="Arjun"/>
    <s v="Kapoor"/>
    <m/>
    <m/>
    <m/>
    <m/>
    <m/>
    <m/>
    <s v="Good"/>
    <s v="High"/>
    <s v="Yes"/>
    <s v="Yes"/>
    <n v="0.43176818181818183"/>
    <m/>
    <m/>
    <m/>
    <m/>
    <m/>
    <m/>
    <m/>
    <m/>
    <m/>
    <m/>
    <m/>
    <m/>
    <m/>
    <m/>
    <m/>
  </r>
  <r>
    <s v="ORD10869"/>
    <d v="2024-11-05T00:00:00"/>
    <s v="CUST1099"/>
    <s v="Vivaan Kapoor"/>
    <x v="2"/>
    <s v="Kolkata"/>
    <s v="West Bengal"/>
    <x v="0"/>
    <x v="1"/>
    <x v="3"/>
    <n v="9"/>
    <n v="700"/>
    <n v="0"/>
    <n v="6300"/>
    <n v="5061.9799999999996"/>
    <n v="1238.02"/>
    <n v="19.649999999999999"/>
    <x v="4"/>
    <x v="1"/>
    <x v="5"/>
    <x v="1"/>
    <n v="2024"/>
    <s v="Saturday"/>
    <n v="7"/>
    <s v="18-05-2024"/>
    <x v="0"/>
    <s v="New"/>
    <s v="Low"/>
    <s v="No"/>
    <n v="2"/>
    <s v="Vivaan"/>
    <s v="Kapoor"/>
    <m/>
    <m/>
    <m/>
    <m/>
    <m/>
    <m/>
    <s v="Needs Improvement"/>
    <s v="Low"/>
    <s v="No"/>
    <s v="No"/>
    <n v="0.19651111111111111"/>
    <m/>
    <m/>
    <m/>
    <m/>
    <m/>
    <m/>
    <m/>
    <m/>
    <m/>
    <m/>
    <m/>
    <m/>
    <m/>
    <m/>
    <m/>
  </r>
  <r>
    <s v="ORD10171"/>
    <d v="2024-11-07T00:00:00"/>
    <s v="CUST1252"/>
    <s v="Vivaan Verma"/>
    <x v="2"/>
    <s v="Delhi"/>
    <s v="Delhi"/>
    <x v="3"/>
    <x v="3"/>
    <x v="22"/>
    <n v="10"/>
    <n v="200"/>
    <n v="0.2"/>
    <n v="1600"/>
    <n v="1013.51"/>
    <n v="586.49"/>
    <n v="36.659999999999997"/>
    <x v="3"/>
    <x v="2"/>
    <x v="7"/>
    <x v="9"/>
    <n v="2024"/>
    <s v="Thursday"/>
    <n v="8"/>
    <s v="19-07-2024"/>
    <x v="1"/>
    <s v="VIP"/>
    <s v="Medium"/>
    <s v="Yes"/>
    <n v="3"/>
    <s v="Vivaan"/>
    <s v="Verma"/>
    <m/>
    <m/>
    <m/>
    <m/>
    <m/>
    <m/>
    <s v="Good"/>
    <s v="Low"/>
    <s v="No"/>
    <s v="Yes"/>
    <n v="0.36655625000000003"/>
    <m/>
    <m/>
    <m/>
    <m/>
    <m/>
    <m/>
    <m/>
    <m/>
    <m/>
    <m/>
    <m/>
    <m/>
    <m/>
    <m/>
    <m/>
  </r>
  <r>
    <s v="ORD10555"/>
    <d v="2024-11-07T00:00:00"/>
    <s v="CUST1303"/>
    <s v="Meera Kapoor"/>
    <x v="0"/>
    <s v="Delhi"/>
    <s v="Delhi"/>
    <x v="0"/>
    <x v="0"/>
    <x v="15"/>
    <n v="4"/>
    <n v="9000"/>
    <n v="0.15"/>
    <n v="30600"/>
    <n v="19642.8"/>
    <n v="10957.2"/>
    <n v="35.81"/>
    <x v="4"/>
    <x v="0"/>
    <x v="4"/>
    <x v="9"/>
    <n v="2024"/>
    <s v="Thursday"/>
    <n v="8"/>
    <s v="19-07-2024"/>
    <x v="0"/>
    <s v="VIP"/>
    <s v="Low"/>
    <s v="Yes"/>
    <n v="2"/>
    <s v="Meera"/>
    <s v="Kapoor"/>
    <m/>
    <m/>
    <m/>
    <m/>
    <m/>
    <m/>
    <s v="Good"/>
    <s v="High"/>
    <s v="Yes"/>
    <s v="Yes"/>
    <n v="0.35807843137254902"/>
    <m/>
    <m/>
    <m/>
    <m/>
    <m/>
    <m/>
    <m/>
    <m/>
    <m/>
    <m/>
    <m/>
    <m/>
    <m/>
    <m/>
    <m/>
  </r>
  <r>
    <s v="ORD10643"/>
    <d v="2024-11-07T00:00:00"/>
    <s v="CUST1048"/>
    <s v="Neha Mehta"/>
    <x v="1"/>
    <s v="Lucknow"/>
    <s v="Uttar Pradesh"/>
    <x v="3"/>
    <x v="1"/>
    <x v="3"/>
    <n v="4"/>
    <n v="1200"/>
    <n v="0.15"/>
    <n v="4080"/>
    <n v="2576.61"/>
    <n v="1503.39"/>
    <n v="36.85"/>
    <x v="4"/>
    <x v="2"/>
    <x v="0"/>
    <x v="9"/>
    <n v="2024"/>
    <s v="Thursday"/>
    <n v="1"/>
    <d v="2024-12-07T00:00:00"/>
    <x v="0"/>
    <s v="Returning"/>
    <s v="Medium"/>
    <s v="No"/>
    <n v="1"/>
    <s v="Neha"/>
    <s v="Mehta"/>
    <m/>
    <m/>
    <m/>
    <m/>
    <m/>
    <m/>
    <s v="Good"/>
    <s v="Low"/>
    <s v="No"/>
    <s v="Yes"/>
    <n v="0.36847794117647059"/>
    <m/>
    <m/>
    <m/>
    <m/>
    <m/>
    <m/>
    <m/>
    <m/>
    <m/>
    <m/>
    <m/>
    <m/>
    <m/>
    <m/>
    <m/>
  </r>
  <r>
    <s v="ORD10870"/>
    <d v="2024-11-08T00:00:00"/>
    <s v="CUST1221"/>
    <s v="Meera Kapoor"/>
    <x v="2"/>
    <s v="Jaipur"/>
    <s v="Rajasthan"/>
    <x v="2"/>
    <x v="2"/>
    <x v="8"/>
    <n v="4"/>
    <n v="8000"/>
    <n v="0.05"/>
    <n v="30400"/>
    <n v="19640.37"/>
    <n v="10759.63"/>
    <n v="35.39"/>
    <x v="3"/>
    <x v="2"/>
    <x v="9"/>
    <x v="10"/>
    <n v="2024"/>
    <s v="Sunday"/>
    <n v="5"/>
    <s v="16-08-2024"/>
    <x v="0"/>
    <s v="VIP"/>
    <s v="Medium"/>
    <s v="No"/>
    <n v="5"/>
    <s v="Meera"/>
    <s v="Kapoor"/>
    <m/>
    <m/>
    <m/>
    <m/>
    <m/>
    <m/>
    <s v="Good"/>
    <s v="High"/>
    <s v="Yes"/>
    <s v="Yes"/>
    <n v="0.35393519736842105"/>
    <m/>
    <m/>
    <m/>
    <m/>
    <m/>
    <m/>
    <m/>
    <m/>
    <m/>
    <m/>
    <m/>
    <m/>
    <m/>
    <m/>
    <m/>
  </r>
  <r>
    <s v="ORD10153"/>
    <d v="2024-11-09T00:00:00"/>
    <s v="CUST1312"/>
    <s v="Priya Agarwal"/>
    <x v="1"/>
    <s v="Kolkata"/>
    <s v="West Bengal"/>
    <x v="1"/>
    <x v="3"/>
    <x v="10"/>
    <n v="4"/>
    <n v="350"/>
    <n v="0"/>
    <n v="1400"/>
    <n v="996.8"/>
    <n v="403.2"/>
    <n v="28.8"/>
    <x v="0"/>
    <x v="2"/>
    <x v="8"/>
    <x v="3"/>
    <n v="2024"/>
    <s v="Wednesday"/>
    <n v="9"/>
    <s v="20-09-2024"/>
    <x v="1"/>
    <s v="VIP"/>
    <s v="High"/>
    <s v="Yes"/>
    <n v="4"/>
    <s v="Priya"/>
    <s v="Agarwal"/>
    <m/>
    <m/>
    <m/>
    <m/>
    <m/>
    <m/>
    <s v="Needs Improvement"/>
    <s v="Low"/>
    <s v="No"/>
    <s v="Yes"/>
    <n v="0.28799999999999998"/>
    <m/>
    <m/>
    <m/>
    <m/>
    <m/>
    <m/>
    <m/>
    <m/>
    <m/>
    <m/>
    <m/>
    <m/>
    <m/>
    <m/>
    <m/>
  </r>
  <r>
    <s v="ORD10044"/>
    <d v="2024-11-10T00:00:00"/>
    <s v="CUST1252"/>
    <s v="Aditya Malhotra"/>
    <x v="0"/>
    <s v="Lucknow"/>
    <s v="Uttar Pradesh"/>
    <x v="2"/>
    <x v="2"/>
    <x v="4"/>
    <n v="8"/>
    <n v="35000"/>
    <n v="0.15"/>
    <n v="238000"/>
    <n v="158909.97"/>
    <n v="79090.03"/>
    <n v="33.229999999999997"/>
    <x v="0"/>
    <x v="1"/>
    <x v="2"/>
    <x v="4"/>
    <n v="2024"/>
    <s v="Friday"/>
    <n v="3"/>
    <s v="14-10-2024"/>
    <x v="1"/>
    <s v="New"/>
    <s v="Medium"/>
    <s v="No"/>
    <n v="4"/>
    <s v="Aditya"/>
    <s v="Malhotra"/>
    <m/>
    <m/>
    <m/>
    <m/>
    <m/>
    <m/>
    <s v="Good"/>
    <s v="High"/>
    <s v="Yes"/>
    <s v="No"/>
    <n v="0.33231105042016806"/>
    <m/>
    <m/>
    <m/>
    <m/>
    <m/>
    <m/>
    <m/>
    <m/>
    <m/>
    <m/>
    <m/>
    <m/>
    <m/>
    <m/>
    <m/>
  </r>
  <r>
    <s v="ORD10346"/>
    <d v="2024-11-10T00:00:00"/>
    <s v="CUST1229"/>
    <s v="Aditya Kapoor"/>
    <x v="0"/>
    <s v="Delhi"/>
    <s v="Delhi"/>
    <x v="3"/>
    <x v="4"/>
    <x v="9"/>
    <n v="10"/>
    <n v="3000"/>
    <n v="0.05"/>
    <n v="28500"/>
    <n v="16318.22"/>
    <n v="12181.78"/>
    <n v="42.74"/>
    <x v="4"/>
    <x v="1"/>
    <x v="5"/>
    <x v="4"/>
    <n v="2024"/>
    <s v="Friday"/>
    <n v="4"/>
    <s v="15-10-2024"/>
    <x v="0"/>
    <s v="VIP"/>
    <s v="High"/>
    <s v="Yes"/>
    <n v="3"/>
    <s v="Aditya"/>
    <s v="Kapoor"/>
    <m/>
    <m/>
    <m/>
    <m/>
    <m/>
    <m/>
    <s v="Good"/>
    <s v="Medium"/>
    <s v="No"/>
    <s v="No"/>
    <n v="0.42743087719298251"/>
    <m/>
    <m/>
    <m/>
    <m/>
    <m/>
    <m/>
    <m/>
    <m/>
    <m/>
    <m/>
    <m/>
    <m/>
    <m/>
    <m/>
    <m/>
  </r>
  <r>
    <s v="ORD10667"/>
    <d v="2024-11-10T00:00:00"/>
    <s v="CUST1033"/>
    <s v="Rohan Kapoor"/>
    <x v="0"/>
    <s v="Jaipur"/>
    <s v="Rajasthan"/>
    <x v="1"/>
    <x v="0"/>
    <x v="15"/>
    <n v="10"/>
    <n v="6000"/>
    <n v="0.2"/>
    <n v="48000"/>
    <n v="35904.050000000003"/>
    <n v="12095.95"/>
    <n v="25.2"/>
    <x v="2"/>
    <x v="2"/>
    <x v="6"/>
    <x v="4"/>
    <n v="2024"/>
    <s v="Friday"/>
    <n v="2"/>
    <s v="13-10-2024"/>
    <x v="0"/>
    <s v="VIP"/>
    <s v="High"/>
    <s v="No"/>
    <n v="4"/>
    <s v="Rohan"/>
    <s v="Kapoor"/>
    <m/>
    <m/>
    <m/>
    <m/>
    <m/>
    <m/>
    <s v="Needs Improvement"/>
    <s v="High"/>
    <s v="Yes"/>
    <s v="Yes"/>
    <n v="0.25199895833333336"/>
    <m/>
    <m/>
    <m/>
    <m/>
    <m/>
    <m/>
    <m/>
    <m/>
    <m/>
    <m/>
    <m/>
    <m/>
    <m/>
    <m/>
    <m/>
  </r>
  <r>
    <s v="ORD10634"/>
    <d v="2024-11-11T00:00:00"/>
    <s v="CUST1195"/>
    <s v="Priya Gupta"/>
    <x v="0"/>
    <s v="Delhi"/>
    <s v="Delhi"/>
    <x v="3"/>
    <x v="0"/>
    <x v="24"/>
    <n v="8"/>
    <n v="2500"/>
    <n v="0.05"/>
    <n v="19000"/>
    <n v="12042.8"/>
    <n v="6957.2"/>
    <n v="36.619999999999997"/>
    <x v="3"/>
    <x v="1"/>
    <x v="1"/>
    <x v="11"/>
    <n v="2024"/>
    <s v="Monday"/>
    <n v="4"/>
    <s v="15-11-2024"/>
    <x v="0"/>
    <s v="New"/>
    <s v="Low"/>
    <s v="No"/>
    <n v="2"/>
    <s v="Priya"/>
    <s v="Gupta"/>
    <m/>
    <m/>
    <m/>
    <m/>
    <m/>
    <m/>
    <s v="Good"/>
    <s v="Medium"/>
    <s v="No"/>
    <s v="No"/>
    <n v="0.36616842105263159"/>
    <m/>
    <m/>
    <m/>
    <m/>
    <m/>
    <m/>
    <m/>
    <m/>
    <m/>
    <m/>
    <m/>
    <m/>
    <m/>
    <m/>
    <m/>
  </r>
  <r>
    <s v="ORD10681"/>
    <d v="2024-11-11T00:00:00"/>
    <s v="CUST1309"/>
    <s v="Vivaan Agarwal"/>
    <x v="2"/>
    <s v="Chennai"/>
    <s v="Tamil Nadu"/>
    <x v="0"/>
    <x v="4"/>
    <x v="9"/>
    <n v="4"/>
    <n v="800"/>
    <n v="0.05"/>
    <n v="3040"/>
    <n v="1693.53"/>
    <n v="1346.47"/>
    <n v="44.29"/>
    <x v="1"/>
    <x v="1"/>
    <x v="3"/>
    <x v="11"/>
    <n v="2024"/>
    <s v="Monday"/>
    <n v="3"/>
    <s v="14-11-2024"/>
    <x v="0"/>
    <s v="New"/>
    <s v="High"/>
    <s v="Yes"/>
    <n v="2"/>
    <s v="Vivaan"/>
    <s v="Agarwal"/>
    <m/>
    <m/>
    <m/>
    <m/>
    <m/>
    <m/>
    <s v="Good"/>
    <s v="Low"/>
    <s v="No"/>
    <s v="No"/>
    <n v="0.44291776315789477"/>
    <m/>
    <m/>
    <m/>
    <m/>
    <m/>
    <m/>
    <m/>
    <m/>
    <m/>
    <m/>
    <m/>
    <m/>
    <m/>
    <m/>
    <m/>
  </r>
  <r>
    <s v="ORD10592"/>
    <d v="2024-11-12T00:00:00"/>
    <s v="CUST1141"/>
    <s v="Sneha Kumar"/>
    <x v="1"/>
    <s v="Pune"/>
    <s v="Maharashtra"/>
    <x v="0"/>
    <x v="3"/>
    <x v="5"/>
    <n v="4"/>
    <n v="800"/>
    <n v="0.1"/>
    <n v="2880"/>
    <n v="1614.02"/>
    <n v="1265.98"/>
    <n v="43.96"/>
    <x v="3"/>
    <x v="2"/>
    <x v="2"/>
    <x v="5"/>
    <n v="2024"/>
    <s v="Wednesday"/>
    <n v="10"/>
    <s v="21-12-2024"/>
    <x v="2"/>
    <s v="Returning"/>
    <s v="High"/>
    <s v="No"/>
    <n v="3"/>
    <s v="Sneha"/>
    <s v="Kumar"/>
    <m/>
    <m/>
    <m/>
    <m/>
    <m/>
    <m/>
    <s v="Good"/>
    <s v="Low"/>
    <s v="No"/>
    <s v="Yes"/>
    <n v="0.43957638888888889"/>
    <m/>
    <m/>
    <m/>
    <m/>
    <m/>
    <m/>
    <m/>
    <m/>
    <m/>
    <m/>
    <m/>
    <m/>
    <m/>
    <m/>
    <m/>
  </r>
  <r>
    <s v="ORD10775"/>
    <d v="2024-11-12T00:00:00"/>
    <s v="CUST1018"/>
    <s v="Neha Kumar"/>
    <x v="1"/>
    <s v="Mumbai"/>
    <s v="Maharashtra"/>
    <x v="2"/>
    <x v="2"/>
    <x v="4"/>
    <n v="2"/>
    <n v="22000"/>
    <n v="0.15"/>
    <n v="37400"/>
    <n v="30506.43"/>
    <n v="6893.57"/>
    <n v="18.43"/>
    <x v="2"/>
    <x v="0"/>
    <x v="1"/>
    <x v="5"/>
    <n v="2024"/>
    <s v="Wednesday"/>
    <n v="4"/>
    <s v="15-12-2024"/>
    <x v="1"/>
    <s v="New"/>
    <s v="Low"/>
    <s v="Yes"/>
    <n v="5"/>
    <s v="Neha"/>
    <s v="Kumar"/>
    <m/>
    <m/>
    <m/>
    <m/>
    <m/>
    <m/>
    <s v="Needs Improvement"/>
    <s v="High"/>
    <s v="No"/>
    <s v="Yes"/>
    <n v="0.18432005347593583"/>
    <m/>
    <m/>
    <m/>
    <m/>
    <m/>
    <m/>
    <m/>
    <m/>
    <m/>
    <m/>
    <m/>
    <m/>
    <m/>
    <m/>
    <m/>
  </r>
  <r>
    <s v="ORD10819"/>
    <d v="2024-11-12T00:00:00"/>
    <s v="CUST1257"/>
    <s v="Rahul Singh"/>
    <x v="2"/>
    <s v="Delhi"/>
    <s v="Delhi"/>
    <x v="0"/>
    <x v="2"/>
    <x v="8"/>
    <n v="6"/>
    <n v="35000"/>
    <n v="0.1"/>
    <n v="189000"/>
    <n v="128587.2"/>
    <n v="60412.800000000003"/>
    <n v="31.96"/>
    <x v="3"/>
    <x v="1"/>
    <x v="8"/>
    <x v="5"/>
    <n v="2024"/>
    <s v="Wednesday"/>
    <n v="1"/>
    <d v="2024-12-12T00:00:00"/>
    <x v="0"/>
    <s v="Returning"/>
    <s v="High"/>
    <s v="Yes"/>
    <n v="4"/>
    <s v="Rahul"/>
    <s v="Singh"/>
    <m/>
    <m/>
    <m/>
    <m/>
    <m/>
    <m/>
    <s v="Good"/>
    <s v="High"/>
    <s v="Yes"/>
    <s v="No"/>
    <n v="0.31964444444444445"/>
    <m/>
    <m/>
    <m/>
    <m/>
    <m/>
    <m/>
    <m/>
    <m/>
    <m/>
    <m/>
    <m/>
    <m/>
    <m/>
    <m/>
    <m/>
  </r>
  <r>
    <s v="ORD10312"/>
    <d v="2024-12-01T00:00:00"/>
    <s v="CUST1241"/>
    <s v="Nisha Yadav"/>
    <x v="0"/>
    <s v="Lucknow"/>
    <s v="Uttar Pradesh"/>
    <x v="2"/>
    <x v="3"/>
    <x v="22"/>
    <n v="1"/>
    <n v="350"/>
    <n v="0.2"/>
    <n v="280"/>
    <n v="192.76"/>
    <n v="87.24"/>
    <n v="31.16"/>
    <x v="0"/>
    <x v="1"/>
    <x v="0"/>
    <x v="6"/>
    <n v="2024"/>
    <s v="Friday"/>
    <n v="8"/>
    <s v="20-01-2024"/>
    <x v="2"/>
    <s v="New"/>
    <s v="Low"/>
    <s v="No"/>
    <n v="5"/>
    <s v="Nisha"/>
    <s v="Yadav"/>
    <m/>
    <m/>
    <m/>
    <m/>
    <m/>
    <m/>
    <s v="Good"/>
    <s v="Low"/>
    <s v="No"/>
    <s v="No"/>
    <n v="0.31157142857142855"/>
    <m/>
    <m/>
    <m/>
    <m/>
    <m/>
    <m/>
    <m/>
    <m/>
    <m/>
    <m/>
    <m/>
    <m/>
    <m/>
    <m/>
    <m/>
  </r>
  <r>
    <s v="ORD10481"/>
    <d v="2024-12-01T00:00:00"/>
    <s v="CUST1251"/>
    <s v="Meera Singh"/>
    <x v="2"/>
    <s v="Mumbai"/>
    <s v="Maharashtra"/>
    <x v="2"/>
    <x v="1"/>
    <x v="14"/>
    <n v="5"/>
    <n v="2500"/>
    <n v="0.1"/>
    <n v="11250"/>
    <n v="6438.51"/>
    <n v="4811.49"/>
    <n v="42.77"/>
    <x v="0"/>
    <x v="0"/>
    <x v="2"/>
    <x v="6"/>
    <n v="2024"/>
    <s v="Friday"/>
    <n v="2"/>
    <s v="14-01-2024"/>
    <x v="0"/>
    <s v="VIP"/>
    <s v="Low"/>
    <s v="No"/>
    <n v="4"/>
    <s v="Meera"/>
    <s v="Singh"/>
    <m/>
    <m/>
    <m/>
    <m/>
    <m/>
    <m/>
    <s v="Good"/>
    <s v="Medium"/>
    <s v="No"/>
    <s v="Yes"/>
    <n v="0.42768799999999996"/>
    <m/>
    <m/>
    <m/>
    <m/>
    <m/>
    <m/>
    <m/>
    <m/>
    <m/>
    <m/>
    <m/>
    <m/>
    <m/>
    <m/>
    <m/>
  </r>
  <r>
    <s v="ORD10419"/>
    <d v="2024-12-02T00:00:00"/>
    <s v="CUST1318"/>
    <s v="Priya Mishra"/>
    <x v="2"/>
    <s v="Bengaluru"/>
    <s v="Karnataka"/>
    <x v="1"/>
    <x v="0"/>
    <x v="0"/>
    <n v="7"/>
    <n v="15000"/>
    <n v="0.15"/>
    <n v="89250"/>
    <n v="72247.960000000006"/>
    <n v="17002.04"/>
    <n v="19.05"/>
    <x v="1"/>
    <x v="1"/>
    <x v="0"/>
    <x v="7"/>
    <n v="2024"/>
    <s v="Monday"/>
    <n v="1"/>
    <s v="13-02-2024"/>
    <x v="2"/>
    <s v="VIP"/>
    <s v="Medium"/>
    <s v="No"/>
    <n v="3"/>
    <s v="Priya"/>
    <s v="Mishra"/>
    <m/>
    <m/>
    <m/>
    <m/>
    <m/>
    <m/>
    <s v="Needs Improvement"/>
    <s v="High"/>
    <s v="Yes"/>
    <s v="No"/>
    <n v="0.19049904761904762"/>
    <m/>
    <m/>
    <m/>
    <m/>
    <m/>
    <m/>
    <m/>
    <m/>
    <m/>
    <m/>
    <m/>
    <m/>
    <m/>
    <m/>
    <m/>
  </r>
  <r>
    <s v="ORD10584"/>
    <d v="2024-12-02T00:00:00"/>
    <s v="CUST1116"/>
    <s v="Sneha Mehta"/>
    <x v="0"/>
    <s v="Lucknow"/>
    <s v="Uttar Pradesh"/>
    <x v="0"/>
    <x v="2"/>
    <x v="12"/>
    <n v="8"/>
    <n v="12000"/>
    <n v="0.1"/>
    <n v="86400"/>
    <n v="59104.61"/>
    <n v="27295.39"/>
    <n v="31.59"/>
    <x v="2"/>
    <x v="2"/>
    <x v="7"/>
    <x v="7"/>
    <n v="2024"/>
    <s v="Monday"/>
    <n v="2"/>
    <s v="14-02-2024"/>
    <x v="0"/>
    <s v="New"/>
    <s v="Low"/>
    <s v="No"/>
    <n v="1"/>
    <s v="Sneha"/>
    <s v="Mehta"/>
    <m/>
    <m/>
    <m/>
    <m/>
    <m/>
    <m/>
    <s v="Good"/>
    <s v="High"/>
    <s v="Yes"/>
    <s v="Yes"/>
    <n v="0.31591886574074074"/>
    <m/>
    <m/>
    <m/>
    <m/>
    <m/>
    <m/>
    <m/>
    <m/>
    <m/>
    <m/>
    <m/>
    <m/>
    <m/>
    <m/>
    <m/>
  </r>
  <r>
    <s v="ORD10404"/>
    <d v="2024-12-03T00:00:00"/>
    <s v="CUST1085"/>
    <s v="Ishita Sharma"/>
    <x v="0"/>
    <s v="Chennai"/>
    <s v="Tamil Nadu"/>
    <x v="1"/>
    <x v="2"/>
    <x v="21"/>
    <n v="3"/>
    <n v="8000"/>
    <n v="0.2"/>
    <n v="19200"/>
    <n v="12191.95"/>
    <n v="7008.05"/>
    <n v="36.5"/>
    <x v="2"/>
    <x v="0"/>
    <x v="7"/>
    <x v="0"/>
    <n v="2024"/>
    <s v="Tuesday"/>
    <n v="2"/>
    <s v="14-03-2024"/>
    <x v="0"/>
    <s v="VIP"/>
    <s v="High"/>
    <s v="No"/>
    <n v="4"/>
    <s v="Ishita"/>
    <s v="Sharma"/>
    <m/>
    <m/>
    <m/>
    <m/>
    <m/>
    <m/>
    <s v="Good"/>
    <s v="Medium"/>
    <s v="No"/>
    <s v="Yes"/>
    <n v="0.36500260416666669"/>
    <m/>
    <m/>
    <m/>
    <m/>
    <m/>
    <m/>
    <m/>
    <m/>
    <m/>
    <m/>
    <m/>
    <m/>
    <m/>
    <m/>
    <m/>
  </r>
  <r>
    <s v="ORD10200"/>
    <d v="2024-12-04T00:00:00"/>
    <s v="CUST1185"/>
    <s v="Neha Mehta"/>
    <x v="1"/>
    <s v="Hyderabad"/>
    <s v="Telangana"/>
    <x v="1"/>
    <x v="1"/>
    <x v="6"/>
    <n v="5"/>
    <n v="2500"/>
    <n v="0"/>
    <n v="12500"/>
    <n v="9751.34"/>
    <n v="2748.66"/>
    <n v="21.99"/>
    <x v="1"/>
    <x v="2"/>
    <x v="7"/>
    <x v="8"/>
    <n v="2024"/>
    <s v="Friday"/>
    <n v="3"/>
    <s v="15-04-2024"/>
    <x v="0"/>
    <s v="New"/>
    <s v="High"/>
    <s v="Yes"/>
    <n v="3"/>
    <s v="Neha"/>
    <s v="Mehta"/>
    <m/>
    <m/>
    <m/>
    <m/>
    <m/>
    <m/>
    <s v="Needs Improvement"/>
    <s v="Medium"/>
    <s v="No"/>
    <s v="Yes"/>
    <n v="0.2198928"/>
    <m/>
    <m/>
    <m/>
    <m/>
    <m/>
    <m/>
    <m/>
    <m/>
    <m/>
    <m/>
    <m/>
    <m/>
    <m/>
    <m/>
    <m/>
  </r>
  <r>
    <s v="ORD10641"/>
    <d v="2024-12-04T00:00:00"/>
    <s v="CUST1109"/>
    <s v="Kavya Mishra"/>
    <x v="0"/>
    <s v="Ahmedabad"/>
    <s v="Gujarat"/>
    <x v="2"/>
    <x v="3"/>
    <x v="5"/>
    <n v="8"/>
    <n v="200"/>
    <n v="0.1"/>
    <n v="1440"/>
    <n v="1059.02"/>
    <n v="380.98"/>
    <n v="26.46"/>
    <x v="2"/>
    <x v="2"/>
    <x v="1"/>
    <x v="8"/>
    <n v="2024"/>
    <s v="Friday"/>
    <n v="8"/>
    <s v="20-04-2024"/>
    <x v="1"/>
    <s v="New"/>
    <s v="Medium"/>
    <s v="Yes"/>
    <n v="4"/>
    <s v="Kavya"/>
    <s v="Mishra"/>
    <m/>
    <m/>
    <m/>
    <m/>
    <m/>
    <m/>
    <s v="Needs Improvement"/>
    <s v="Low"/>
    <s v="No"/>
    <s v="Yes"/>
    <n v="0.26456944444444447"/>
    <m/>
    <m/>
    <m/>
    <m/>
    <m/>
    <m/>
    <m/>
    <m/>
    <m/>
    <m/>
    <m/>
    <m/>
    <m/>
    <m/>
    <m/>
  </r>
  <r>
    <s v="ORD10793"/>
    <d v="2024-12-04T00:00:00"/>
    <s v="CUST1227"/>
    <s v="Rohan Yadav"/>
    <x v="0"/>
    <s v="Lucknow"/>
    <s v="Uttar Pradesh"/>
    <x v="2"/>
    <x v="4"/>
    <x v="19"/>
    <n v="8"/>
    <n v="800"/>
    <n v="0.05"/>
    <n v="6080"/>
    <n v="4513.5200000000004"/>
    <n v="1566.48"/>
    <n v="25.76"/>
    <x v="1"/>
    <x v="0"/>
    <x v="0"/>
    <x v="8"/>
    <n v="2024"/>
    <s v="Friday"/>
    <n v="2"/>
    <s v="14-04-2024"/>
    <x v="2"/>
    <s v="New"/>
    <s v="High"/>
    <s v="No"/>
    <n v="4"/>
    <s v="Rohan"/>
    <s v="Yadav"/>
    <m/>
    <m/>
    <m/>
    <m/>
    <m/>
    <m/>
    <s v="Needs Improvement"/>
    <s v="Low"/>
    <s v="No"/>
    <s v="Yes"/>
    <n v="0.25764473684210526"/>
    <m/>
    <m/>
    <m/>
    <m/>
    <m/>
    <m/>
    <m/>
    <m/>
    <m/>
    <m/>
    <m/>
    <m/>
    <m/>
    <m/>
    <m/>
  </r>
  <r>
    <s v="ORD10988"/>
    <d v="2024-12-04T00:00:00"/>
    <s v="CUST1049"/>
    <s v="Simran Mishra"/>
    <x v="2"/>
    <s v="Delhi"/>
    <s v="Delhi"/>
    <x v="3"/>
    <x v="4"/>
    <x v="11"/>
    <n v="4"/>
    <n v="500"/>
    <n v="0"/>
    <n v="2000"/>
    <n v="1608.36"/>
    <n v="391.64"/>
    <n v="19.579999999999998"/>
    <x v="0"/>
    <x v="1"/>
    <x v="9"/>
    <x v="8"/>
    <n v="2024"/>
    <s v="Friday"/>
    <n v="8"/>
    <s v="20-04-2024"/>
    <x v="1"/>
    <s v="VIP"/>
    <s v="Medium"/>
    <s v="Yes"/>
    <n v="2"/>
    <s v="Simran"/>
    <s v="Mishra"/>
    <m/>
    <m/>
    <m/>
    <m/>
    <m/>
    <m/>
    <s v="Needs Improvement"/>
    <s v="Low"/>
    <s v="No"/>
    <s v="No"/>
    <n v="0.19581999999999999"/>
    <m/>
    <m/>
    <m/>
    <m/>
    <m/>
    <m/>
    <m/>
    <m/>
    <m/>
    <m/>
    <m/>
    <m/>
    <m/>
    <m/>
    <m/>
  </r>
  <r>
    <s v="ORD10372"/>
    <d v="2024-12-06T00:00:00"/>
    <s v="CUST1143"/>
    <s v="Aditi Gupta"/>
    <x v="1"/>
    <s v="Jaipur"/>
    <s v="Rajasthan"/>
    <x v="1"/>
    <x v="4"/>
    <x v="19"/>
    <n v="7"/>
    <n v="500"/>
    <n v="0.05"/>
    <n v="3325"/>
    <n v="1854.91"/>
    <n v="1470.09"/>
    <n v="44.21"/>
    <x v="4"/>
    <x v="2"/>
    <x v="7"/>
    <x v="2"/>
    <n v="2024"/>
    <s v="Wednesday"/>
    <n v="5"/>
    <s v="17-06-2024"/>
    <x v="0"/>
    <s v="New"/>
    <s v="Medium"/>
    <s v="No"/>
    <n v="1"/>
    <s v="Aditi"/>
    <s v="Gupta"/>
    <m/>
    <m/>
    <m/>
    <m/>
    <m/>
    <m/>
    <s v="Good"/>
    <s v="Low"/>
    <s v="No"/>
    <s v="Yes"/>
    <n v="0.44213233082706765"/>
    <m/>
    <m/>
    <m/>
    <m/>
    <m/>
    <m/>
    <m/>
    <m/>
    <m/>
    <m/>
    <m/>
    <m/>
    <m/>
    <m/>
    <m/>
  </r>
  <r>
    <s v="ORD10476"/>
    <d v="2024-12-08T00:00:00"/>
    <s v="CUST1146"/>
    <s v="Rohan Yadav"/>
    <x v="1"/>
    <s v="Delhi"/>
    <s v="Delhi"/>
    <x v="1"/>
    <x v="4"/>
    <x v="19"/>
    <n v="6"/>
    <n v="800"/>
    <n v="0.1"/>
    <n v="4320"/>
    <n v="2547.96"/>
    <n v="1772.04"/>
    <n v="41.02"/>
    <x v="3"/>
    <x v="1"/>
    <x v="0"/>
    <x v="10"/>
    <n v="2024"/>
    <s v="Monday"/>
    <n v="8"/>
    <s v="20-08-2024"/>
    <x v="2"/>
    <s v="VIP"/>
    <s v="High"/>
    <s v="Yes"/>
    <n v="3"/>
    <s v="Rohan"/>
    <s v="Yadav"/>
    <m/>
    <m/>
    <m/>
    <m/>
    <m/>
    <m/>
    <s v="Good"/>
    <s v="Low"/>
    <s v="No"/>
    <s v="No"/>
    <n v="0.41019444444444442"/>
    <m/>
    <m/>
    <m/>
    <m/>
    <m/>
    <m/>
    <m/>
    <m/>
    <m/>
    <m/>
    <m/>
    <m/>
    <m/>
    <m/>
    <m/>
  </r>
  <r>
    <s v="ORD10147"/>
    <d v="2024-12-09T00:00:00"/>
    <s v="CUST1347"/>
    <s v="Pooja Malhotra"/>
    <x v="2"/>
    <s v="Kolkata"/>
    <s v="West Bengal"/>
    <x v="0"/>
    <x v="2"/>
    <x v="8"/>
    <n v="3"/>
    <n v="50000"/>
    <n v="0.05"/>
    <n v="142500"/>
    <n v="110250.84"/>
    <n v="32249.16"/>
    <n v="22.63"/>
    <x v="4"/>
    <x v="1"/>
    <x v="9"/>
    <x v="3"/>
    <n v="2024"/>
    <s v="Thursday"/>
    <n v="3"/>
    <s v="15-09-2024"/>
    <x v="0"/>
    <s v="New"/>
    <s v="High"/>
    <s v="Yes"/>
    <n v="4"/>
    <s v="Pooja"/>
    <s v="Malhotra"/>
    <m/>
    <m/>
    <m/>
    <m/>
    <m/>
    <m/>
    <s v="Needs Improvement"/>
    <s v="High"/>
    <s v="Yes"/>
    <s v="No"/>
    <n v="0.2263098947368421"/>
    <m/>
    <m/>
    <m/>
    <m/>
    <m/>
    <m/>
    <m/>
    <m/>
    <m/>
    <m/>
    <m/>
    <m/>
    <m/>
    <m/>
    <m/>
  </r>
  <r>
    <s v="ORD10607"/>
    <d v="2024-12-10T00:00:00"/>
    <s v="CUST1114"/>
    <s v="Aditya Jain"/>
    <x v="2"/>
    <s v="Jaipur"/>
    <s v="Rajasthan"/>
    <x v="0"/>
    <x v="1"/>
    <x v="14"/>
    <n v="5"/>
    <n v="700"/>
    <n v="0.05"/>
    <n v="3325"/>
    <n v="2550.2199999999998"/>
    <n v="774.78"/>
    <n v="23.3"/>
    <x v="0"/>
    <x v="1"/>
    <x v="8"/>
    <x v="4"/>
    <n v="2024"/>
    <s v="Saturday"/>
    <n v="2"/>
    <s v="14-10-2024"/>
    <x v="0"/>
    <s v="VIP"/>
    <s v="Low"/>
    <s v="No"/>
    <n v="1"/>
    <s v="Aditya"/>
    <s v="Jain"/>
    <m/>
    <m/>
    <m/>
    <m/>
    <m/>
    <m/>
    <s v="Needs Improvement"/>
    <s v="Low"/>
    <s v="No"/>
    <s v="No"/>
    <n v="0.23301654135338346"/>
    <m/>
    <m/>
    <m/>
    <m/>
    <m/>
    <m/>
    <m/>
    <m/>
    <m/>
    <m/>
    <m/>
    <m/>
    <m/>
    <m/>
    <m/>
  </r>
  <r>
    <s v="ORD10979"/>
    <d v="2024-12-10T00:00:00"/>
    <s v="CUST1287"/>
    <s v="Simran Jain"/>
    <x v="1"/>
    <s v="Pune"/>
    <s v="Maharashtra"/>
    <x v="0"/>
    <x v="2"/>
    <x v="21"/>
    <n v="3"/>
    <n v="12000"/>
    <n v="0.05"/>
    <n v="34200"/>
    <n v="23455.61"/>
    <n v="10744.39"/>
    <n v="31.42"/>
    <x v="1"/>
    <x v="2"/>
    <x v="2"/>
    <x v="4"/>
    <n v="2024"/>
    <s v="Saturday"/>
    <n v="8"/>
    <s v="20-10-2024"/>
    <x v="0"/>
    <s v="Returning"/>
    <s v="High"/>
    <s v="Yes"/>
    <n v="2"/>
    <s v="Simran"/>
    <s v="Jain"/>
    <m/>
    <m/>
    <m/>
    <m/>
    <m/>
    <m/>
    <s v="Good"/>
    <s v="High"/>
    <s v="Yes"/>
    <s v="Yes"/>
    <n v="0.31416345029239762"/>
    <m/>
    <m/>
    <m/>
    <m/>
    <m/>
    <m/>
    <m/>
    <m/>
    <m/>
    <m/>
    <m/>
    <m/>
    <m/>
    <m/>
    <m/>
  </r>
  <r>
    <s v="ORD10345"/>
    <d v="2024-12-12T00:00:00"/>
    <s v="CUST1072"/>
    <s v="Aditi Verma"/>
    <x v="0"/>
    <s v="Jaipur"/>
    <s v="Rajasthan"/>
    <x v="1"/>
    <x v="3"/>
    <x v="22"/>
    <n v="3"/>
    <n v="800"/>
    <n v="0.15"/>
    <n v="2040"/>
    <n v="1617.82"/>
    <n v="422.18"/>
    <n v="20.7"/>
    <x v="4"/>
    <x v="0"/>
    <x v="6"/>
    <x v="5"/>
    <n v="2024"/>
    <s v="Thursday"/>
    <n v="2"/>
    <s v="14-12-2024"/>
    <x v="2"/>
    <s v="Returning"/>
    <s v="Medium"/>
    <s v="Yes"/>
    <n v="3"/>
    <s v="Aditi"/>
    <s v="Verma"/>
    <m/>
    <m/>
    <m/>
    <m/>
    <m/>
    <m/>
    <s v="Needs Improvement"/>
    <s v="Low"/>
    <s v="No"/>
    <s v="Yes"/>
    <n v="0.20695098039215687"/>
    <m/>
    <m/>
    <m/>
    <m/>
    <m/>
    <m/>
    <m/>
    <m/>
    <m/>
    <m/>
    <m/>
    <m/>
    <m/>
    <m/>
    <m/>
  </r>
  <r>
    <s v="ORD10493"/>
    <d v="2024-12-12T00:00:00"/>
    <s v="CUST1061"/>
    <s v="Priya Kumar"/>
    <x v="0"/>
    <s v="Kolkata"/>
    <s v="West Bengal"/>
    <x v="0"/>
    <x v="1"/>
    <x v="14"/>
    <n v="3"/>
    <n v="1800"/>
    <n v="0"/>
    <n v="5400"/>
    <n v="4210.43"/>
    <n v="1189.57"/>
    <n v="22.03"/>
    <x v="0"/>
    <x v="2"/>
    <x v="7"/>
    <x v="5"/>
    <n v="2024"/>
    <s v="Thursday"/>
    <n v="4"/>
    <s v="16-12-2024"/>
    <x v="1"/>
    <s v="VIP"/>
    <s v="High"/>
    <s v="No"/>
    <n v="2"/>
    <s v="Priya"/>
    <s v="Kumar"/>
    <m/>
    <m/>
    <m/>
    <m/>
    <m/>
    <m/>
    <s v="Needs Improvement"/>
    <s v="Low"/>
    <s v="No"/>
    <s v="Yes"/>
    <n v="0.22029074074074073"/>
    <m/>
    <m/>
    <m/>
    <m/>
    <m/>
    <m/>
    <m/>
    <m/>
    <m/>
    <m/>
    <m/>
    <m/>
    <m/>
    <m/>
    <m/>
  </r>
  <r>
    <s v="ORD10717"/>
    <d v="2025-01-01T00:00:00"/>
    <s v="CUST1338"/>
    <s v="Nisha Verma"/>
    <x v="1"/>
    <s v="Bengaluru"/>
    <s v="Karnataka"/>
    <x v="1"/>
    <x v="0"/>
    <x v="23"/>
    <n v="4"/>
    <n v="9000"/>
    <n v="0"/>
    <n v="36000"/>
    <n v="27682.02"/>
    <n v="8317.98"/>
    <n v="23.11"/>
    <x v="0"/>
    <x v="0"/>
    <x v="5"/>
    <x v="6"/>
    <n v="2025"/>
    <s v="Wednesday"/>
    <n v="1"/>
    <d v="2025-02-01T00:00:00"/>
    <x v="2"/>
    <s v="VIP"/>
    <s v="High"/>
    <s v="No"/>
    <n v="5"/>
    <s v="Nisha"/>
    <s v="Verma"/>
    <m/>
    <m/>
    <m/>
    <m/>
    <m/>
    <m/>
    <s v="Needs Improvement"/>
    <s v="High"/>
    <s v="No"/>
    <s v="Yes"/>
    <n v="0.23105499999999998"/>
    <m/>
    <m/>
    <m/>
    <m/>
    <m/>
    <m/>
    <m/>
    <m/>
    <m/>
    <m/>
    <m/>
    <m/>
    <m/>
    <m/>
    <m/>
  </r>
  <r>
    <s v="ORD10389"/>
    <d v="2025-01-02T00:00:00"/>
    <s v="CUST1335"/>
    <s v="Rohan Verma"/>
    <x v="0"/>
    <s v="Hyderabad"/>
    <s v="Telangana"/>
    <x v="2"/>
    <x v="1"/>
    <x v="3"/>
    <n v="1"/>
    <n v="1200"/>
    <n v="0.05"/>
    <n v="1140"/>
    <n v="826.2"/>
    <n v="313.8"/>
    <n v="27.53"/>
    <x v="4"/>
    <x v="0"/>
    <x v="0"/>
    <x v="7"/>
    <n v="2025"/>
    <s v="Saturday"/>
    <n v="7"/>
    <d v="2025-08-02T00:00:00"/>
    <x v="0"/>
    <s v="VIP"/>
    <s v="High"/>
    <s v="Yes"/>
    <n v="3"/>
    <s v="Rohan"/>
    <s v="Verma"/>
    <m/>
    <m/>
    <m/>
    <m/>
    <m/>
    <m/>
    <s v="Needs Improvement"/>
    <s v="Low"/>
    <s v="No"/>
    <s v="Yes"/>
    <n v="0.27526315789473688"/>
    <m/>
    <m/>
    <m/>
    <m/>
    <m/>
    <m/>
    <m/>
    <m/>
    <m/>
    <m/>
    <m/>
    <m/>
    <m/>
    <m/>
    <m/>
  </r>
  <r>
    <s v="ORD10390"/>
    <d v="2025-01-02T00:00:00"/>
    <s v="CUST1217"/>
    <s v="Aditya Agarwal"/>
    <x v="0"/>
    <s v="Mumbai"/>
    <s v="Maharashtra"/>
    <x v="0"/>
    <x v="3"/>
    <x v="22"/>
    <n v="4"/>
    <n v="500"/>
    <n v="0.15"/>
    <n v="1700"/>
    <n v="1193.44"/>
    <n v="506.56"/>
    <n v="29.8"/>
    <x v="3"/>
    <x v="2"/>
    <x v="1"/>
    <x v="7"/>
    <n v="2025"/>
    <s v="Saturday"/>
    <n v="8"/>
    <d v="2025-09-02T00:00:00"/>
    <x v="0"/>
    <s v="VIP"/>
    <s v="Medium"/>
    <s v="Yes"/>
    <n v="1"/>
    <s v="Aditya"/>
    <s v="Agarwal"/>
    <m/>
    <m/>
    <m/>
    <m/>
    <m/>
    <m/>
    <s v="Needs Improvement"/>
    <s v="Low"/>
    <s v="No"/>
    <s v="Yes"/>
    <n v="0.29797647058823529"/>
    <m/>
    <m/>
    <m/>
    <m/>
    <m/>
    <m/>
    <m/>
    <m/>
    <m/>
    <m/>
    <m/>
    <m/>
    <m/>
    <m/>
    <m/>
  </r>
  <r>
    <s v="ORD10114"/>
    <d v="2025-01-03T00:00:00"/>
    <s v="CUST1237"/>
    <s v="Priya Yadav"/>
    <x v="2"/>
    <s v="Ahmedabad"/>
    <s v="Gujarat"/>
    <x v="2"/>
    <x v="1"/>
    <x v="3"/>
    <n v="8"/>
    <n v="1200"/>
    <n v="0.2"/>
    <n v="7680"/>
    <n v="4343.72"/>
    <n v="3336.28"/>
    <n v="43.44"/>
    <x v="0"/>
    <x v="2"/>
    <x v="6"/>
    <x v="0"/>
    <n v="2025"/>
    <s v="Saturday"/>
    <n v="8"/>
    <d v="2025-09-03T00:00:00"/>
    <x v="1"/>
    <s v="VIP"/>
    <s v="Low"/>
    <s v="Yes"/>
    <n v="4"/>
    <s v="Priya"/>
    <s v="Yadav"/>
    <m/>
    <m/>
    <m/>
    <m/>
    <m/>
    <m/>
    <s v="Good"/>
    <s v="Low"/>
    <s v="No"/>
    <s v="Yes"/>
    <n v="0.43441145833333333"/>
    <m/>
    <m/>
    <m/>
    <m/>
    <m/>
    <m/>
    <m/>
    <m/>
    <m/>
    <m/>
    <m/>
    <m/>
    <m/>
    <m/>
    <m/>
  </r>
  <r>
    <s v="ORD10722"/>
    <d v="2025-01-03T00:00:00"/>
    <s v="CUST1098"/>
    <s v="Kavya Kumar"/>
    <x v="1"/>
    <s v="Lucknow"/>
    <s v="Uttar Pradesh"/>
    <x v="1"/>
    <x v="3"/>
    <x v="10"/>
    <n v="5"/>
    <n v="500"/>
    <n v="0"/>
    <n v="2500"/>
    <n v="1562.71"/>
    <n v="937.29"/>
    <n v="37.49"/>
    <x v="4"/>
    <x v="2"/>
    <x v="9"/>
    <x v="0"/>
    <n v="2025"/>
    <s v="Saturday"/>
    <n v="7"/>
    <d v="2025-08-03T00:00:00"/>
    <x v="2"/>
    <s v="New"/>
    <s v="High"/>
    <s v="Yes"/>
    <n v="1"/>
    <s v="Kavya"/>
    <s v="Kumar"/>
    <m/>
    <m/>
    <m/>
    <m/>
    <m/>
    <m/>
    <s v="Good"/>
    <s v="Low"/>
    <s v="No"/>
    <s v="Yes"/>
    <n v="0.37491599999999997"/>
    <m/>
    <m/>
    <m/>
    <m/>
    <m/>
    <m/>
    <m/>
    <m/>
    <m/>
    <m/>
    <m/>
    <m/>
    <m/>
    <m/>
    <m/>
  </r>
  <r>
    <s v="ORD10818"/>
    <d v="2025-01-03T00:00:00"/>
    <s v="CUST1172"/>
    <s v="Rohan Sharma"/>
    <x v="2"/>
    <s v="Chennai"/>
    <s v="Tamil Nadu"/>
    <x v="3"/>
    <x v="4"/>
    <x v="9"/>
    <n v="1"/>
    <n v="800"/>
    <n v="0.1"/>
    <n v="720"/>
    <n v="566.20000000000005"/>
    <n v="153.80000000000001"/>
    <n v="21.36"/>
    <x v="3"/>
    <x v="0"/>
    <x v="9"/>
    <x v="0"/>
    <n v="2025"/>
    <s v="Saturday"/>
    <n v="2"/>
    <d v="2025-03-03T00:00:00"/>
    <x v="2"/>
    <s v="Returning"/>
    <s v="Low"/>
    <s v="Yes"/>
    <n v="4"/>
    <s v="Rohan"/>
    <s v="Sharma"/>
    <m/>
    <m/>
    <m/>
    <m/>
    <m/>
    <m/>
    <s v="Needs Improvement"/>
    <s v="Low"/>
    <s v="No"/>
    <s v="Yes"/>
    <n v="0.21361111111111114"/>
    <m/>
    <m/>
    <m/>
    <m/>
    <m/>
    <m/>
    <m/>
    <m/>
    <m/>
    <m/>
    <m/>
    <m/>
    <m/>
    <m/>
    <m/>
  </r>
  <r>
    <s v="ORD10288"/>
    <d v="2025-01-04T00:00:00"/>
    <s v="CUST1068"/>
    <s v="Rahul Sharma"/>
    <x v="1"/>
    <s v="Bengaluru"/>
    <s v="Karnataka"/>
    <x v="0"/>
    <x v="0"/>
    <x v="15"/>
    <n v="7"/>
    <n v="6000"/>
    <n v="0.1"/>
    <n v="37800"/>
    <n v="21989.759999999998"/>
    <n v="15810.24"/>
    <n v="41.83"/>
    <x v="1"/>
    <x v="1"/>
    <x v="9"/>
    <x v="8"/>
    <n v="2025"/>
    <s v="Tuesday"/>
    <n v="5"/>
    <d v="2025-06-04T00:00:00"/>
    <x v="0"/>
    <s v="Returning"/>
    <s v="High"/>
    <s v="Yes"/>
    <n v="5"/>
    <s v="Rahul"/>
    <s v="Sharma"/>
    <m/>
    <m/>
    <m/>
    <m/>
    <m/>
    <m/>
    <s v="Good"/>
    <s v="High"/>
    <s v="Yes"/>
    <s v="No"/>
    <n v="0.41826031746031744"/>
    <m/>
    <m/>
    <m/>
    <m/>
    <m/>
    <m/>
    <m/>
    <m/>
    <m/>
    <m/>
    <m/>
    <m/>
    <m/>
    <m/>
    <m/>
  </r>
  <r>
    <s v="ORD10027"/>
    <d v="2025-01-05T00:00:00"/>
    <s v="CUST1327"/>
    <s v="Ananya Agarwal"/>
    <x v="1"/>
    <s v="Lucknow"/>
    <s v="Uttar Pradesh"/>
    <x v="2"/>
    <x v="4"/>
    <x v="19"/>
    <n v="9"/>
    <n v="2000"/>
    <n v="0.05"/>
    <n v="17100"/>
    <n v="12875.95"/>
    <n v="4224.05"/>
    <n v="24.7"/>
    <x v="2"/>
    <x v="1"/>
    <x v="9"/>
    <x v="1"/>
    <n v="2025"/>
    <s v="Thursday"/>
    <n v="8"/>
    <d v="2025-09-05T00:00:00"/>
    <x v="0"/>
    <s v="New"/>
    <s v="High"/>
    <s v="No"/>
    <n v="2"/>
    <s v="Ananya"/>
    <s v="Agarwal"/>
    <m/>
    <m/>
    <m/>
    <m/>
    <m/>
    <m/>
    <s v="Needs Improvement"/>
    <s v="Medium"/>
    <s v="No"/>
    <s v="No"/>
    <n v="0.24702046783625731"/>
    <m/>
    <m/>
    <m/>
    <m/>
    <m/>
    <m/>
    <m/>
    <m/>
    <m/>
    <m/>
    <m/>
    <m/>
    <m/>
    <m/>
    <m/>
  </r>
  <r>
    <s v="ORD10375"/>
    <d v="2025-01-05T00:00:00"/>
    <s v="CUST1311"/>
    <s v="Vivaan Chopra"/>
    <x v="1"/>
    <s v="Kolkata"/>
    <s v="West Bengal"/>
    <x v="1"/>
    <x v="1"/>
    <x v="2"/>
    <n v="5"/>
    <n v="1200"/>
    <n v="0.1"/>
    <n v="5400"/>
    <n v="3000.73"/>
    <n v="2399.27"/>
    <n v="44.43"/>
    <x v="2"/>
    <x v="1"/>
    <x v="8"/>
    <x v="1"/>
    <n v="2025"/>
    <s v="Thursday"/>
    <n v="6"/>
    <d v="2025-07-05T00:00:00"/>
    <x v="0"/>
    <s v="Returning"/>
    <s v="Medium"/>
    <s v="No"/>
    <n v="1"/>
    <s v="Vivaan"/>
    <s v="Chopra"/>
    <m/>
    <m/>
    <m/>
    <m/>
    <m/>
    <m/>
    <s v="Good"/>
    <s v="Low"/>
    <s v="No"/>
    <s v="No"/>
    <n v="0.44430925925925924"/>
    <m/>
    <m/>
    <m/>
    <m/>
    <m/>
    <m/>
    <m/>
    <m/>
    <m/>
    <m/>
    <m/>
    <m/>
    <m/>
    <m/>
    <m/>
  </r>
  <r>
    <s v="ORD10445"/>
    <d v="2025-01-05T00:00:00"/>
    <s v="CUST1232"/>
    <s v="Priya Verma"/>
    <x v="2"/>
    <s v="Hyderabad"/>
    <s v="Telangana"/>
    <x v="1"/>
    <x v="1"/>
    <x v="3"/>
    <n v="9"/>
    <n v="2500"/>
    <n v="0.05"/>
    <n v="21375"/>
    <n v="15043.06"/>
    <n v="6331.94"/>
    <n v="29.62"/>
    <x v="3"/>
    <x v="2"/>
    <x v="7"/>
    <x v="1"/>
    <n v="2025"/>
    <s v="Thursday"/>
    <n v="2"/>
    <d v="2025-03-05T00:00:00"/>
    <x v="0"/>
    <s v="VIP"/>
    <s v="High"/>
    <s v="No"/>
    <n v="1"/>
    <s v="Priya"/>
    <s v="Verma"/>
    <m/>
    <m/>
    <m/>
    <m/>
    <m/>
    <m/>
    <s v="Needs Improvement"/>
    <s v="Medium"/>
    <s v="No"/>
    <s v="Yes"/>
    <n v="0.29623111111111111"/>
    <m/>
    <m/>
    <m/>
    <m/>
    <m/>
    <m/>
    <m/>
    <m/>
    <m/>
    <m/>
    <m/>
    <m/>
    <m/>
    <m/>
    <m/>
  </r>
  <r>
    <s v="ORD10113"/>
    <d v="2025-01-06T00:00:00"/>
    <s v="CUST1085"/>
    <s v="Neha Chopra"/>
    <x v="1"/>
    <s v="Chennai"/>
    <s v="Tamil Nadu"/>
    <x v="2"/>
    <x v="2"/>
    <x v="12"/>
    <n v="2"/>
    <n v="8000"/>
    <n v="0.2"/>
    <n v="12800"/>
    <n v="8894.7000000000007"/>
    <n v="3905.3"/>
    <n v="30.51"/>
    <x v="1"/>
    <x v="0"/>
    <x v="6"/>
    <x v="2"/>
    <n v="2025"/>
    <s v="Sunday"/>
    <n v="4"/>
    <d v="2025-05-06T00:00:00"/>
    <x v="1"/>
    <s v="VIP"/>
    <s v="High"/>
    <s v="No"/>
    <n v="1"/>
    <s v="Neha"/>
    <s v="Chopra"/>
    <m/>
    <m/>
    <m/>
    <m/>
    <m/>
    <m/>
    <s v="Good"/>
    <s v="Medium"/>
    <s v="No"/>
    <s v="Yes"/>
    <n v="0.30510156250000003"/>
    <m/>
    <m/>
    <m/>
    <m/>
    <m/>
    <m/>
    <m/>
    <m/>
    <m/>
    <m/>
    <m/>
    <m/>
    <m/>
    <m/>
    <m/>
  </r>
  <r>
    <s v="ORD10125"/>
    <d v="2025-01-06T00:00:00"/>
    <s v="CUST1327"/>
    <s v="Simran Saxena"/>
    <x v="0"/>
    <s v="Bengaluru"/>
    <s v="Karnataka"/>
    <x v="2"/>
    <x v="0"/>
    <x v="15"/>
    <n v="3"/>
    <n v="2500"/>
    <n v="0.05"/>
    <n v="7125"/>
    <n v="4035.04"/>
    <n v="3089.96"/>
    <n v="43.37"/>
    <x v="1"/>
    <x v="2"/>
    <x v="8"/>
    <x v="2"/>
    <n v="2025"/>
    <s v="Sunday"/>
    <n v="8"/>
    <d v="2025-09-06T00:00:00"/>
    <x v="0"/>
    <s v="VIP"/>
    <s v="Medium"/>
    <s v="Yes"/>
    <n v="1"/>
    <s v="Simran"/>
    <s v="Saxena"/>
    <m/>
    <m/>
    <m/>
    <m/>
    <m/>
    <m/>
    <s v="Good"/>
    <s v="Low"/>
    <s v="No"/>
    <s v="Yes"/>
    <n v="0.43367859649122809"/>
    <m/>
    <m/>
    <m/>
    <m/>
    <m/>
    <m/>
    <m/>
    <m/>
    <m/>
    <m/>
    <m/>
    <m/>
    <m/>
    <m/>
    <m/>
  </r>
  <r>
    <s v="ORD10666"/>
    <d v="2025-01-07T00:00:00"/>
    <s v="CUST1029"/>
    <s v="Riya Bansal"/>
    <x v="1"/>
    <s v="Mumbai"/>
    <s v="Maharashtra"/>
    <x v="3"/>
    <x v="3"/>
    <x v="22"/>
    <n v="2"/>
    <n v="350"/>
    <n v="0.2"/>
    <n v="560"/>
    <n v="454.73"/>
    <n v="105.27"/>
    <n v="18.8"/>
    <x v="2"/>
    <x v="1"/>
    <x v="4"/>
    <x v="9"/>
    <n v="2025"/>
    <s v="Tuesday"/>
    <n v="9"/>
    <d v="2025-10-07T00:00:00"/>
    <x v="0"/>
    <s v="VIP"/>
    <s v="High"/>
    <s v="Yes"/>
    <n v="2"/>
    <s v="Riya"/>
    <s v="Bansal"/>
    <m/>
    <m/>
    <m/>
    <m/>
    <m/>
    <m/>
    <s v="Needs Improvement"/>
    <s v="Low"/>
    <s v="No"/>
    <s v="No"/>
    <n v="0.18798214285714285"/>
    <m/>
    <m/>
    <m/>
    <m/>
    <m/>
    <m/>
    <m/>
    <m/>
    <m/>
    <m/>
    <m/>
    <m/>
    <m/>
    <m/>
    <m/>
  </r>
  <r>
    <s v="ORD10938"/>
    <d v="2025-01-07T00:00:00"/>
    <s v="CUST1232"/>
    <s v="Sneha Kapoor"/>
    <x v="1"/>
    <s v="Delhi"/>
    <s v="Delhi"/>
    <x v="3"/>
    <x v="2"/>
    <x v="12"/>
    <n v="7"/>
    <n v="15000"/>
    <n v="0.1"/>
    <n v="94500"/>
    <n v="71311.100000000006"/>
    <n v="23188.9"/>
    <n v="24.54"/>
    <x v="3"/>
    <x v="1"/>
    <x v="8"/>
    <x v="9"/>
    <n v="2025"/>
    <s v="Tuesday"/>
    <n v="3"/>
    <d v="2025-04-07T00:00:00"/>
    <x v="0"/>
    <s v="Returning"/>
    <s v="Medium"/>
    <s v="Yes"/>
    <n v="5"/>
    <s v="Sneha"/>
    <s v="Kapoor"/>
    <m/>
    <m/>
    <m/>
    <m/>
    <m/>
    <m/>
    <s v="Needs Improvement"/>
    <s v="High"/>
    <s v="Yes"/>
    <s v="No"/>
    <n v="0.24538518518518521"/>
    <m/>
    <m/>
    <m/>
    <m/>
    <m/>
    <m/>
    <m/>
    <m/>
    <m/>
    <m/>
    <m/>
    <m/>
    <m/>
    <m/>
    <m/>
  </r>
  <r>
    <s v="ORD10528"/>
    <d v="2025-01-10T00:00:00"/>
    <s v="CUST1212"/>
    <s v="Meera Malhotra"/>
    <x v="0"/>
    <s v="Kolkata"/>
    <s v="West Bengal"/>
    <x v="1"/>
    <x v="4"/>
    <x v="9"/>
    <n v="8"/>
    <n v="1200"/>
    <n v="0.2"/>
    <n v="7680"/>
    <n v="4397.13"/>
    <n v="3282.87"/>
    <n v="42.75"/>
    <x v="3"/>
    <x v="0"/>
    <x v="7"/>
    <x v="4"/>
    <n v="2025"/>
    <s v="Wednesday"/>
    <n v="6"/>
    <d v="2025-07-10T00:00:00"/>
    <x v="0"/>
    <s v="VIP"/>
    <s v="Low"/>
    <s v="Yes"/>
    <n v="2"/>
    <s v="Meera"/>
    <s v="Malhotra"/>
    <m/>
    <m/>
    <m/>
    <m/>
    <m/>
    <m/>
    <s v="Good"/>
    <s v="Low"/>
    <s v="No"/>
    <s v="Yes"/>
    <n v="0.42745703125000001"/>
    <m/>
    <m/>
    <m/>
    <m/>
    <m/>
    <m/>
    <m/>
    <m/>
    <m/>
    <m/>
    <m/>
    <m/>
    <m/>
    <m/>
    <m/>
  </r>
  <r>
    <s v="ORD10842"/>
    <d v="2025-01-10T00:00:00"/>
    <s v="CUST1173"/>
    <s v="Sneha Malhotra"/>
    <x v="2"/>
    <s v="Lucknow"/>
    <s v="Uttar Pradesh"/>
    <x v="0"/>
    <x v="4"/>
    <x v="16"/>
    <n v="2"/>
    <n v="2000"/>
    <n v="0.15"/>
    <n v="3400"/>
    <n v="2168.09"/>
    <n v="1231.9100000000001"/>
    <n v="36.229999999999997"/>
    <x v="4"/>
    <x v="2"/>
    <x v="1"/>
    <x v="4"/>
    <n v="2025"/>
    <s v="Wednesday"/>
    <n v="4"/>
    <d v="2025-05-10T00:00:00"/>
    <x v="0"/>
    <s v="VIP"/>
    <s v="Low"/>
    <s v="Yes"/>
    <n v="1"/>
    <s v="Sneha"/>
    <s v="Malhotra"/>
    <m/>
    <m/>
    <m/>
    <m/>
    <m/>
    <m/>
    <s v="Good"/>
    <s v="Low"/>
    <s v="No"/>
    <s v="Yes"/>
    <n v="0.36232647058823531"/>
    <m/>
    <m/>
    <m/>
    <m/>
    <m/>
    <m/>
    <m/>
    <m/>
    <m/>
    <m/>
    <m/>
    <m/>
    <m/>
    <m/>
    <m/>
  </r>
  <r>
    <s v="ORD10922"/>
    <d v="2025-01-11T00:00:00"/>
    <s v="CUST1292"/>
    <s v="Simran Jain"/>
    <x v="2"/>
    <s v="Lucknow"/>
    <s v="Uttar Pradesh"/>
    <x v="2"/>
    <x v="0"/>
    <x v="24"/>
    <n v="6"/>
    <n v="9000"/>
    <n v="0"/>
    <n v="54000"/>
    <n v="40134.519999999997"/>
    <n v="13865.48"/>
    <n v="25.68"/>
    <x v="1"/>
    <x v="2"/>
    <x v="6"/>
    <x v="11"/>
    <n v="2025"/>
    <s v="Saturday"/>
    <n v="1"/>
    <d v="2025-02-11T00:00:00"/>
    <x v="0"/>
    <s v="Returning"/>
    <s v="Low"/>
    <s v="Yes"/>
    <n v="3"/>
    <s v="Simran"/>
    <s v="Jain"/>
    <m/>
    <m/>
    <m/>
    <m/>
    <m/>
    <m/>
    <s v="Needs Improvement"/>
    <s v="High"/>
    <s v="Yes"/>
    <s v="Yes"/>
    <n v="0.25676814814814813"/>
    <m/>
    <m/>
    <m/>
    <m/>
    <m/>
    <m/>
    <m/>
    <m/>
    <m/>
    <m/>
    <m/>
    <m/>
    <m/>
    <m/>
    <m/>
  </r>
  <r>
    <s v="ORD10033"/>
    <d v="2025-01-12T00:00:00"/>
    <s v="CUST1290"/>
    <s v="Vivaan Jain"/>
    <x v="1"/>
    <s v="Hyderabad"/>
    <s v="Telangana"/>
    <x v="2"/>
    <x v="2"/>
    <x v="12"/>
    <n v="4"/>
    <n v="8000"/>
    <n v="0.1"/>
    <n v="28800"/>
    <n v="22031.46"/>
    <n v="6768.54"/>
    <n v="23.5"/>
    <x v="0"/>
    <x v="2"/>
    <x v="8"/>
    <x v="5"/>
    <n v="2025"/>
    <s v="Monday"/>
    <n v="10"/>
    <d v="2025-11-12T00:00:00"/>
    <x v="0"/>
    <s v="VIP"/>
    <s v="Medium"/>
    <s v="Yes"/>
    <n v="4"/>
    <s v="Vivaan"/>
    <s v="Jain"/>
    <m/>
    <m/>
    <m/>
    <m/>
    <m/>
    <m/>
    <s v="Needs Improvement"/>
    <s v="Medium"/>
    <s v="No"/>
    <s v="Yes"/>
    <n v="0.23501875"/>
    <m/>
    <m/>
    <m/>
    <m/>
    <m/>
    <m/>
    <m/>
    <m/>
    <m/>
    <m/>
    <m/>
    <m/>
    <m/>
    <m/>
    <m/>
  </r>
  <r>
    <s v="ORD10487"/>
    <d v="2025-01-12T00:00:00"/>
    <s v="CUST1328"/>
    <s v="Aditya Jain"/>
    <x v="0"/>
    <s v="Hyderabad"/>
    <s v="Telangana"/>
    <x v="0"/>
    <x v="2"/>
    <x v="8"/>
    <n v="2"/>
    <n v="35000"/>
    <n v="0"/>
    <n v="70000"/>
    <n v="39746.629999999997"/>
    <n v="30253.37"/>
    <n v="43.22"/>
    <x v="2"/>
    <x v="2"/>
    <x v="0"/>
    <x v="5"/>
    <n v="2025"/>
    <s v="Monday"/>
    <n v="9"/>
    <d v="2025-10-12T00:00:00"/>
    <x v="2"/>
    <s v="New"/>
    <s v="Low"/>
    <s v="No"/>
    <n v="2"/>
    <s v="Aditya"/>
    <s v="Jain"/>
    <m/>
    <m/>
    <m/>
    <m/>
    <m/>
    <m/>
    <s v="Good"/>
    <s v="High"/>
    <s v="Yes"/>
    <s v="Yes"/>
    <n v="0.43219099999999999"/>
    <m/>
    <m/>
    <m/>
    <m/>
    <m/>
    <m/>
    <m/>
    <m/>
    <m/>
    <m/>
    <m/>
    <m/>
    <m/>
    <m/>
    <m/>
  </r>
  <r>
    <s v="ORD10224"/>
    <d v="2025-02-01T00:00:00"/>
    <s v="CUST1090"/>
    <s v="Simran Verma"/>
    <x v="0"/>
    <s v="Chennai"/>
    <s v="Tamil Nadu"/>
    <x v="3"/>
    <x v="0"/>
    <x v="24"/>
    <n v="8"/>
    <n v="9000"/>
    <n v="0.15"/>
    <n v="61200"/>
    <n v="42775.83"/>
    <n v="18424.169999999998"/>
    <n v="30.1"/>
    <x v="3"/>
    <x v="2"/>
    <x v="0"/>
    <x v="6"/>
    <n v="2025"/>
    <s v="Thursday"/>
    <n v="5"/>
    <d v="2025-07-01T00:00:00"/>
    <x v="2"/>
    <s v="VIP"/>
    <s v="High"/>
    <s v="Yes"/>
    <n v="1"/>
    <s v="Simran"/>
    <s v="Verma"/>
    <m/>
    <m/>
    <m/>
    <m/>
    <m/>
    <m/>
    <s v="Good"/>
    <s v="High"/>
    <s v="Yes"/>
    <s v="Yes"/>
    <n v="0.30104852941176469"/>
    <m/>
    <m/>
    <m/>
    <m/>
    <m/>
    <m/>
    <m/>
    <m/>
    <m/>
    <m/>
    <m/>
    <m/>
    <m/>
    <m/>
    <m/>
  </r>
  <r>
    <s v="ORD10815"/>
    <d v="2025-02-01T00:00:00"/>
    <s v="CUST1206"/>
    <s v="Ishita Agarwal"/>
    <x v="2"/>
    <s v="Delhi"/>
    <s v="Delhi"/>
    <x v="0"/>
    <x v="1"/>
    <x v="6"/>
    <n v="3"/>
    <n v="2500"/>
    <n v="0.15"/>
    <n v="6375"/>
    <n v="4011.7"/>
    <n v="2363.3000000000002"/>
    <n v="37.07"/>
    <x v="0"/>
    <x v="2"/>
    <x v="6"/>
    <x v="6"/>
    <n v="2025"/>
    <s v="Thursday"/>
    <n v="9"/>
    <d v="2025-11-01T00:00:00"/>
    <x v="0"/>
    <s v="Returning"/>
    <s v="Low"/>
    <s v="Yes"/>
    <n v="1"/>
    <s v="Ishita"/>
    <s v="Agarwal"/>
    <m/>
    <m/>
    <m/>
    <m/>
    <m/>
    <m/>
    <s v="Good"/>
    <s v="Low"/>
    <s v="No"/>
    <s v="Yes"/>
    <n v="0.3707137254901961"/>
    <m/>
    <m/>
    <m/>
    <m/>
    <m/>
    <m/>
    <m/>
    <m/>
    <m/>
    <m/>
    <m/>
    <m/>
    <m/>
    <m/>
    <m/>
  </r>
  <r>
    <s v="ORD10129"/>
    <d v="2025-02-02T00:00:00"/>
    <s v="CUST1072"/>
    <s v="Aditya Kapoor"/>
    <x v="1"/>
    <s v="Mumbai"/>
    <s v="Maharashtra"/>
    <x v="0"/>
    <x v="3"/>
    <x v="10"/>
    <n v="10"/>
    <n v="200"/>
    <n v="0.2"/>
    <n v="1600"/>
    <n v="1045.82"/>
    <n v="554.17999999999995"/>
    <n v="34.64"/>
    <x v="1"/>
    <x v="2"/>
    <x v="1"/>
    <x v="7"/>
    <n v="2025"/>
    <s v="Sunday"/>
    <n v="9"/>
    <d v="2025-11-02T00:00:00"/>
    <x v="0"/>
    <s v="New"/>
    <s v="Low"/>
    <s v="No"/>
    <n v="5"/>
    <s v="Aditya"/>
    <s v="Kapoor"/>
    <m/>
    <m/>
    <m/>
    <m/>
    <m/>
    <m/>
    <s v="Good"/>
    <s v="Low"/>
    <s v="No"/>
    <s v="Yes"/>
    <n v="0.34636249999999996"/>
    <m/>
    <m/>
    <m/>
    <m/>
    <m/>
    <m/>
    <m/>
    <m/>
    <m/>
    <m/>
    <m/>
    <m/>
    <m/>
    <m/>
    <m/>
  </r>
  <r>
    <s v="ORD10652"/>
    <d v="2025-02-02T00:00:00"/>
    <s v="CUST1175"/>
    <s v="Neha Jain"/>
    <x v="0"/>
    <s v="Jaipur"/>
    <s v="Rajasthan"/>
    <x v="3"/>
    <x v="4"/>
    <x v="19"/>
    <n v="10"/>
    <n v="1200"/>
    <n v="0.2"/>
    <n v="9600"/>
    <n v="5312.57"/>
    <n v="4287.43"/>
    <n v="44.66"/>
    <x v="4"/>
    <x v="0"/>
    <x v="9"/>
    <x v="7"/>
    <n v="2025"/>
    <s v="Sunday"/>
    <n v="8"/>
    <d v="2025-10-02T00:00:00"/>
    <x v="1"/>
    <s v="New"/>
    <s v="High"/>
    <s v="Yes"/>
    <n v="4"/>
    <s v="Neha"/>
    <s v="Jain"/>
    <m/>
    <m/>
    <m/>
    <m/>
    <m/>
    <m/>
    <s v="Good"/>
    <s v="Low"/>
    <s v="No"/>
    <s v="Yes"/>
    <n v="0.44660729166666668"/>
    <m/>
    <m/>
    <m/>
    <m/>
    <m/>
    <m/>
    <m/>
    <m/>
    <m/>
    <m/>
    <m/>
    <m/>
    <m/>
    <m/>
    <m/>
  </r>
  <r>
    <s v="ORD10197"/>
    <d v="2025-02-03T00:00:00"/>
    <s v="CUST1130"/>
    <s v="Kavya Yadav"/>
    <x v="2"/>
    <s v="Delhi"/>
    <s v="Delhi"/>
    <x v="3"/>
    <x v="2"/>
    <x v="7"/>
    <n v="1"/>
    <n v="50000"/>
    <n v="0"/>
    <n v="50000"/>
    <n v="29168.53"/>
    <n v="20831.47"/>
    <n v="41.66"/>
    <x v="1"/>
    <x v="1"/>
    <x v="1"/>
    <x v="0"/>
    <n v="2025"/>
    <s v="Sunday"/>
    <n v="8"/>
    <d v="2025-10-03T00:00:00"/>
    <x v="2"/>
    <s v="VIP"/>
    <s v="Low"/>
    <s v="No"/>
    <n v="5"/>
    <s v="Kavya"/>
    <s v="Yadav"/>
    <m/>
    <m/>
    <m/>
    <m/>
    <m/>
    <m/>
    <s v="Good"/>
    <s v="High"/>
    <s v="Yes"/>
    <s v="No"/>
    <n v="0.41662940000000004"/>
    <m/>
    <m/>
    <m/>
    <m/>
    <m/>
    <m/>
    <m/>
    <m/>
    <m/>
    <m/>
    <m/>
    <m/>
    <m/>
    <m/>
    <m/>
  </r>
  <r>
    <s v="ORD10483"/>
    <d v="2025-02-04T00:00:00"/>
    <s v="CUST1295"/>
    <s v="Rahul Mishra"/>
    <x v="2"/>
    <s v="Mumbai"/>
    <s v="Maharashtra"/>
    <x v="1"/>
    <x v="0"/>
    <x v="0"/>
    <n v="3"/>
    <n v="2500"/>
    <n v="0.2"/>
    <n v="6000"/>
    <n v="3363.41"/>
    <n v="2636.59"/>
    <n v="43.94"/>
    <x v="3"/>
    <x v="1"/>
    <x v="7"/>
    <x v="8"/>
    <n v="2025"/>
    <s v="Wednesday"/>
    <n v="6"/>
    <d v="2025-08-04T00:00:00"/>
    <x v="0"/>
    <s v="New"/>
    <s v="Low"/>
    <s v="No"/>
    <n v="3"/>
    <s v="Rahul"/>
    <s v="Mishra"/>
    <m/>
    <m/>
    <m/>
    <m/>
    <m/>
    <m/>
    <s v="Good"/>
    <s v="Low"/>
    <s v="No"/>
    <s v="No"/>
    <n v="0.43943166666666666"/>
    <m/>
    <m/>
    <m/>
    <m/>
    <m/>
    <m/>
    <m/>
    <m/>
    <m/>
    <m/>
    <m/>
    <m/>
    <m/>
    <m/>
    <m/>
  </r>
  <r>
    <s v="ORD10361"/>
    <d v="2025-02-05T00:00:00"/>
    <s v="CUST1262"/>
    <s v="Ananya Gupta"/>
    <x v="0"/>
    <s v="Pune"/>
    <s v="Maharashtra"/>
    <x v="1"/>
    <x v="4"/>
    <x v="13"/>
    <n v="5"/>
    <n v="2000"/>
    <n v="0.1"/>
    <n v="9000"/>
    <n v="7349.68"/>
    <n v="1650.32"/>
    <n v="18.34"/>
    <x v="1"/>
    <x v="1"/>
    <x v="9"/>
    <x v="1"/>
    <n v="2025"/>
    <s v="Friday"/>
    <n v="10"/>
    <d v="2025-12-05T00:00:00"/>
    <x v="2"/>
    <s v="Returning"/>
    <s v="Low"/>
    <s v="Yes"/>
    <n v="1"/>
    <s v="Ananya"/>
    <s v="Gupta"/>
    <m/>
    <m/>
    <m/>
    <m/>
    <m/>
    <m/>
    <s v="Needs Improvement"/>
    <s v="Low"/>
    <s v="No"/>
    <s v="No"/>
    <n v="0.18336888888888889"/>
    <m/>
    <m/>
    <m/>
    <m/>
    <m/>
    <m/>
    <m/>
    <m/>
    <m/>
    <m/>
    <m/>
    <m/>
    <m/>
    <m/>
    <m/>
  </r>
  <r>
    <s v="ORD10744"/>
    <d v="2025-02-06T00:00:00"/>
    <s v="CUST1177"/>
    <s v="Vikram Kapoor"/>
    <x v="2"/>
    <s v="Bengaluru"/>
    <s v="Karnataka"/>
    <x v="0"/>
    <x v="1"/>
    <x v="20"/>
    <n v="5"/>
    <n v="3500"/>
    <n v="0.15"/>
    <n v="14875"/>
    <n v="9894.27"/>
    <n v="4980.7299999999996"/>
    <n v="33.479999999999997"/>
    <x v="0"/>
    <x v="2"/>
    <x v="2"/>
    <x v="2"/>
    <n v="2025"/>
    <s v="Monday"/>
    <n v="5"/>
    <d v="2025-07-06T00:00:00"/>
    <x v="0"/>
    <s v="New"/>
    <s v="Low"/>
    <s v="No"/>
    <n v="3"/>
    <s v="Vikram"/>
    <s v="Kapoor"/>
    <m/>
    <m/>
    <m/>
    <m/>
    <m/>
    <m/>
    <s v="Good"/>
    <s v="Medium"/>
    <s v="No"/>
    <s v="Yes"/>
    <n v="0.3348389915966386"/>
    <m/>
    <m/>
    <m/>
    <m/>
    <m/>
    <m/>
    <m/>
    <m/>
    <m/>
    <m/>
    <m/>
    <m/>
    <m/>
    <m/>
    <m/>
  </r>
  <r>
    <s v="ORD10368"/>
    <d v="2025-02-07T00:00:00"/>
    <s v="CUST1153"/>
    <s v="Nisha Mehta"/>
    <x v="2"/>
    <s v="Pune"/>
    <s v="Maharashtra"/>
    <x v="1"/>
    <x v="3"/>
    <x v="18"/>
    <n v="4"/>
    <n v="500"/>
    <n v="0"/>
    <n v="2000"/>
    <n v="1243.18"/>
    <n v="756.82"/>
    <n v="37.840000000000003"/>
    <x v="3"/>
    <x v="2"/>
    <x v="5"/>
    <x v="9"/>
    <n v="2025"/>
    <s v="Wednesday"/>
    <n v="4"/>
    <d v="2025-06-07T00:00:00"/>
    <x v="0"/>
    <s v="Returning"/>
    <s v="Medium"/>
    <s v="Yes"/>
    <n v="5"/>
    <s v="Nisha"/>
    <s v="Mehta"/>
    <m/>
    <m/>
    <m/>
    <m/>
    <m/>
    <m/>
    <s v="Good"/>
    <s v="Low"/>
    <s v="No"/>
    <s v="Yes"/>
    <n v="0.37841000000000002"/>
    <m/>
    <m/>
    <m/>
    <m/>
    <m/>
    <m/>
    <m/>
    <m/>
    <m/>
    <m/>
    <m/>
    <m/>
    <m/>
    <m/>
    <m/>
  </r>
  <r>
    <s v="ORD10486"/>
    <d v="2025-02-07T00:00:00"/>
    <s v="CUST1138"/>
    <s v="Rahul Yadav"/>
    <x v="0"/>
    <s v="Jaipur"/>
    <s v="Rajasthan"/>
    <x v="3"/>
    <x v="2"/>
    <x v="8"/>
    <n v="7"/>
    <n v="50000"/>
    <n v="0.05"/>
    <n v="332500"/>
    <n v="239394.49"/>
    <n v="93105.51"/>
    <n v="28"/>
    <x v="4"/>
    <x v="2"/>
    <x v="3"/>
    <x v="9"/>
    <n v="2025"/>
    <s v="Wednesday"/>
    <n v="4"/>
    <d v="2025-06-07T00:00:00"/>
    <x v="0"/>
    <s v="Returning"/>
    <s v="Medium"/>
    <s v="Yes"/>
    <n v="5"/>
    <s v="Rahul"/>
    <s v="Yadav"/>
    <m/>
    <m/>
    <m/>
    <m/>
    <m/>
    <m/>
    <s v="Needs Improvement"/>
    <s v="High"/>
    <s v="Yes"/>
    <s v="Yes"/>
    <n v="0.28001657142857139"/>
    <m/>
    <m/>
    <m/>
    <m/>
    <m/>
    <m/>
    <m/>
    <m/>
    <m/>
    <m/>
    <m/>
    <m/>
    <m/>
    <m/>
    <m/>
  </r>
  <r>
    <s v="ORD10544"/>
    <d v="2025-02-07T00:00:00"/>
    <s v="CUST1079"/>
    <s v="Rahul Chopra"/>
    <x v="0"/>
    <s v="Ahmedabad"/>
    <s v="Gujarat"/>
    <x v="1"/>
    <x v="3"/>
    <x v="5"/>
    <n v="4"/>
    <n v="800"/>
    <n v="0"/>
    <n v="3200"/>
    <n v="2202.15"/>
    <n v="997.85"/>
    <n v="31.18"/>
    <x v="2"/>
    <x v="2"/>
    <x v="3"/>
    <x v="9"/>
    <n v="2025"/>
    <s v="Wednesday"/>
    <n v="1"/>
    <d v="2025-03-07T00:00:00"/>
    <x v="1"/>
    <s v="New"/>
    <s v="Low"/>
    <s v="Yes"/>
    <n v="2"/>
    <s v="Rahul"/>
    <s v="Chopra"/>
    <m/>
    <m/>
    <m/>
    <m/>
    <m/>
    <m/>
    <s v="Good"/>
    <s v="Low"/>
    <s v="No"/>
    <s v="Yes"/>
    <n v="0.31182812500000001"/>
    <m/>
    <m/>
    <m/>
    <m/>
    <m/>
    <m/>
    <m/>
    <m/>
    <m/>
    <m/>
    <m/>
    <m/>
    <m/>
    <m/>
    <m/>
  </r>
  <r>
    <s v="ORD10007"/>
    <d v="2025-02-09T00:00:00"/>
    <s v="CUST1240"/>
    <s v="Meera Kumar"/>
    <x v="1"/>
    <s v="Delhi"/>
    <s v="Delhi"/>
    <x v="1"/>
    <x v="2"/>
    <x v="4"/>
    <n v="3"/>
    <n v="50000"/>
    <n v="0.15"/>
    <n v="127500"/>
    <n v="83262.240000000005"/>
    <n v="44237.760000000002"/>
    <n v="34.700000000000003"/>
    <x v="1"/>
    <x v="0"/>
    <x v="8"/>
    <x v="3"/>
    <n v="2025"/>
    <s v="Tuesday"/>
    <n v="2"/>
    <d v="2025-04-09T00:00:00"/>
    <x v="2"/>
    <s v="Returning"/>
    <s v="High"/>
    <s v="No"/>
    <n v="1"/>
    <s v="Meera"/>
    <s v="Kumar"/>
    <m/>
    <m/>
    <m/>
    <m/>
    <m/>
    <m/>
    <s v="Good"/>
    <s v="High"/>
    <s v="Yes"/>
    <s v="Yes"/>
    <n v="0.34696282352941177"/>
    <m/>
    <m/>
    <m/>
    <m/>
    <m/>
    <m/>
    <m/>
    <m/>
    <m/>
    <m/>
    <m/>
    <m/>
    <m/>
    <m/>
    <m/>
  </r>
  <r>
    <s v="ORD10329"/>
    <d v="2025-02-09T00:00:00"/>
    <s v="CUST1046"/>
    <s v="Priya Jain"/>
    <x v="0"/>
    <s v="Jaipur"/>
    <s v="Rajasthan"/>
    <x v="1"/>
    <x v="1"/>
    <x v="2"/>
    <n v="3"/>
    <n v="3500"/>
    <n v="0"/>
    <n v="10500"/>
    <n v="7510.16"/>
    <n v="2989.84"/>
    <n v="28.47"/>
    <x v="3"/>
    <x v="2"/>
    <x v="6"/>
    <x v="3"/>
    <n v="2025"/>
    <s v="Tuesday"/>
    <n v="3"/>
    <d v="2025-05-09T00:00:00"/>
    <x v="2"/>
    <s v="New"/>
    <s v="High"/>
    <s v="Yes"/>
    <n v="5"/>
    <s v="Priya"/>
    <s v="Jain"/>
    <m/>
    <m/>
    <m/>
    <m/>
    <m/>
    <m/>
    <s v="Needs Improvement"/>
    <s v="Medium"/>
    <s v="No"/>
    <s v="Yes"/>
    <n v="0.2847466666666667"/>
    <m/>
    <m/>
    <m/>
    <m/>
    <m/>
    <m/>
    <m/>
    <m/>
    <m/>
    <m/>
    <m/>
    <m/>
    <m/>
    <m/>
    <m/>
  </r>
  <r>
    <s v="ORD10951"/>
    <d v="2025-02-09T00:00:00"/>
    <s v="CUST1107"/>
    <s v="Ishita Jain"/>
    <x v="2"/>
    <s v="Mumbai"/>
    <s v="Maharashtra"/>
    <x v="2"/>
    <x v="1"/>
    <x v="3"/>
    <n v="7"/>
    <n v="700"/>
    <n v="0.05"/>
    <n v="4655"/>
    <n v="3575.16"/>
    <n v="1079.8399999999999"/>
    <n v="23.2"/>
    <x v="2"/>
    <x v="2"/>
    <x v="8"/>
    <x v="3"/>
    <n v="2025"/>
    <s v="Tuesday"/>
    <n v="9"/>
    <d v="2025-11-09T00:00:00"/>
    <x v="1"/>
    <s v="VIP"/>
    <s v="Medium"/>
    <s v="No"/>
    <n v="3"/>
    <s v="Ishita"/>
    <s v="Jain"/>
    <m/>
    <m/>
    <m/>
    <m/>
    <m/>
    <m/>
    <s v="Needs Improvement"/>
    <s v="Low"/>
    <s v="No"/>
    <s v="Yes"/>
    <n v="0.23197422126745434"/>
    <m/>
    <m/>
    <m/>
    <m/>
    <m/>
    <m/>
    <m/>
    <m/>
    <m/>
    <m/>
    <m/>
    <m/>
    <m/>
    <m/>
    <m/>
  </r>
  <r>
    <s v="ORD10042"/>
    <d v="2025-02-10T00:00:00"/>
    <s v="CUST1279"/>
    <s v="Vikram Mishra"/>
    <x v="2"/>
    <s v="Pune"/>
    <s v="Maharashtra"/>
    <x v="0"/>
    <x v="3"/>
    <x v="18"/>
    <n v="2"/>
    <n v="200"/>
    <n v="0.1"/>
    <n v="360"/>
    <n v="239.32"/>
    <n v="120.68"/>
    <n v="33.520000000000003"/>
    <x v="2"/>
    <x v="2"/>
    <x v="7"/>
    <x v="4"/>
    <n v="2025"/>
    <s v="Thursday"/>
    <n v="10"/>
    <d v="2025-12-10T00:00:00"/>
    <x v="0"/>
    <s v="New"/>
    <s v="Medium"/>
    <s v="No"/>
    <n v="4"/>
    <s v="Vikram"/>
    <s v="Mishra"/>
    <m/>
    <m/>
    <m/>
    <m/>
    <m/>
    <m/>
    <s v="Good"/>
    <s v="Low"/>
    <s v="No"/>
    <s v="Yes"/>
    <n v="0.33522222222222225"/>
    <m/>
    <m/>
    <m/>
    <m/>
    <m/>
    <m/>
    <m/>
    <m/>
    <m/>
    <m/>
    <m/>
    <m/>
    <m/>
    <m/>
    <m/>
  </r>
  <r>
    <s v="ORD10266"/>
    <d v="2025-02-11T00:00:00"/>
    <s v="CUST1328"/>
    <s v="Vivaan Jain"/>
    <x v="1"/>
    <s v="Chennai"/>
    <s v="Tamil Nadu"/>
    <x v="2"/>
    <x v="0"/>
    <x v="0"/>
    <n v="2"/>
    <n v="2500"/>
    <n v="0.05"/>
    <n v="4750"/>
    <n v="3212.79"/>
    <n v="1537.21"/>
    <n v="32.36"/>
    <x v="0"/>
    <x v="0"/>
    <x v="7"/>
    <x v="11"/>
    <n v="2025"/>
    <s v="Sunday"/>
    <n v="8"/>
    <d v="2025-10-11T00:00:00"/>
    <x v="0"/>
    <s v="VIP"/>
    <s v="Medium"/>
    <s v="Yes"/>
    <n v="1"/>
    <s v="Vivaan"/>
    <s v="Jain"/>
    <m/>
    <m/>
    <m/>
    <m/>
    <m/>
    <m/>
    <s v="Good"/>
    <s v="Low"/>
    <s v="No"/>
    <s v="Yes"/>
    <n v="0.32362315789473683"/>
    <m/>
    <m/>
    <m/>
    <m/>
    <m/>
    <m/>
    <m/>
    <m/>
    <m/>
    <m/>
    <m/>
    <m/>
    <m/>
    <m/>
    <m/>
  </r>
  <r>
    <s v="ORD10461"/>
    <d v="2025-03-01T00:00:00"/>
    <s v="CUST1226"/>
    <s v="Ishita Kapoor"/>
    <x v="1"/>
    <s v="Lucknow"/>
    <s v="Uttar Pradesh"/>
    <x v="2"/>
    <x v="1"/>
    <x v="2"/>
    <n v="5"/>
    <n v="2500"/>
    <n v="0"/>
    <n v="12500"/>
    <n v="7441.21"/>
    <n v="5058.79"/>
    <n v="40.47"/>
    <x v="2"/>
    <x v="1"/>
    <x v="7"/>
    <x v="6"/>
    <n v="2025"/>
    <s v="Friday"/>
    <n v="7"/>
    <d v="2025-10-01T00:00:00"/>
    <x v="2"/>
    <s v="Returning"/>
    <s v="Medium"/>
    <s v="Yes"/>
    <n v="3"/>
    <s v="Ishita"/>
    <s v="Kapoor"/>
    <m/>
    <m/>
    <m/>
    <m/>
    <m/>
    <m/>
    <s v="Good"/>
    <s v="Medium"/>
    <s v="No"/>
    <s v="No"/>
    <n v="0.40470319999999999"/>
    <m/>
    <m/>
    <m/>
    <m/>
    <m/>
    <m/>
    <m/>
    <m/>
    <m/>
    <m/>
    <m/>
    <m/>
    <m/>
    <m/>
    <m/>
  </r>
  <r>
    <s v="ORD10453"/>
    <d v="2025-03-02T00:00:00"/>
    <s v="CUST1003"/>
    <s v="Vivaan Agarwal"/>
    <x v="0"/>
    <s v="Ahmedabad"/>
    <s v="Gujarat"/>
    <x v="3"/>
    <x v="0"/>
    <x v="23"/>
    <n v="1"/>
    <n v="15000"/>
    <n v="0"/>
    <n v="15000"/>
    <n v="8462.2800000000007"/>
    <n v="6537.72"/>
    <n v="43.58"/>
    <x v="2"/>
    <x v="1"/>
    <x v="6"/>
    <x v="7"/>
    <n v="2025"/>
    <s v="Monday"/>
    <n v="5"/>
    <d v="2025-08-02T00:00:00"/>
    <x v="2"/>
    <s v="New"/>
    <s v="Low"/>
    <s v="Yes"/>
    <n v="4"/>
    <s v="Vivaan"/>
    <s v="Agarwal"/>
    <m/>
    <m/>
    <m/>
    <m/>
    <m/>
    <m/>
    <s v="Good"/>
    <s v="Medium"/>
    <s v="No"/>
    <s v="No"/>
    <n v="0.43584800000000001"/>
    <m/>
    <m/>
    <m/>
    <m/>
    <m/>
    <m/>
    <m/>
    <m/>
    <m/>
    <m/>
    <m/>
    <m/>
    <m/>
    <m/>
    <m/>
  </r>
  <r>
    <s v="ORD10108"/>
    <d v="2025-03-03T00:00:00"/>
    <s v="CUST1204"/>
    <s v="Kavya Gupta"/>
    <x v="1"/>
    <s v="Mumbai"/>
    <s v="Maharashtra"/>
    <x v="0"/>
    <x v="4"/>
    <x v="9"/>
    <n v="9"/>
    <n v="500"/>
    <n v="0.05"/>
    <n v="4275"/>
    <n v="3502.24"/>
    <n v="772.76"/>
    <n v="18.079999999999998"/>
    <x v="1"/>
    <x v="2"/>
    <x v="0"/>
    <x v="0"/>
    <n v="2025"/>
    <s v="Monday"/>
    <n v="3"/>
    <d v="2025-06-03T00:00:00"/>
    <x v="0"/>
    <s v="VIP"/>
    <s v="High"/>
    <s v="Yes"/>
    <n v="3"/>
    <s v="Kavya"/>
    <s v="Gupta"/>
    <m/>
    <m/>
    <m/>
    <m/>
    <m/>
    <m/>
    <s v="Needs Improvement"/>
    <s v="Low"/>
    <s v="No"/>
    <s v="Yes"/>
    <n v="0.18076257309941521"/>
    <m/>
    <m/>
    <m/>
    <m/>
    <m/>
    <m/>
    <m/>
    <m/>
    <m/>
    <m/>
    <m/>
    <m/>
    <m/>
    <m/>
    <m/>
  </r>
  <r>
    <s v="ORD10736"/>
    <d v="2025-03-05T00:00:00"/>
    <s v="CUST1186"/>
    <s v="Riya Bansal"/>
    <x v="1"/>
    <s v="Mumbai"/>
    <s v="Maharashtra"/>
    <x v="3"/>
    <x v="2"/>
    <x v="4"/>
    <n v="7"/>
    <n v="22000"/>
    <n v="0.15"/>
    <n v="130900"/>
    <n v="92712.2"/>
    <n v="38187.800000000003"/>
    <n v="29.17"/>
    <x v="4"/>
    <x v="2"/>
    <x v="9"/>
    <x v="1"/>
    <n v="2025"/>
    <s v="Saturday"/>
    <n v="3"/>
    <d v="2025-06-05T00:00:00"/>
    <x v="0"/>
    <s v="VIP"/>
    <s v="High"/>
    <s v="No"/>
    <n v="3"/>
    <s v="Riya"/>
    <s v="Bansal"/>
    <m/>
    <m/>
    <m/>
    <m/>
    <m/>
    <m/>
    <s v="Needs Improvement"/>
    <s v="High"/>
    <s v="Yes"/>
    <s v="Yes"/>
    <n v="0.29173262032085562"/>
    <m/>
    <m/>
    <m/>
    <m/>
    <m/>
    <m/>
    <m/>
    <m/>
    <m/>
    <m/>
    <m/>
    <m/>
    <m/>
    <m/>
    <m/>
  </r>
  <r>
    <s v="ORD10832"/>
    <d v="2025-03-05T00:00:00"/>
    <s v="CUST1208"/>
    <s v="Aditi Verma"/>
    <x v="0"/>
    <s v="Bengaluru"/>
    <s v="Karnataka"/>
    <x v="3"/>
    <x v="2"/>
    <x v="7"/>
    <n v="10"/>
    <n v="8000"/>
    <n v="0"/>
    <n v="80000"/>
    <n v="61485.21"/>
    <n v="18514.79"/>
    <n v="23.14"/>
    <x v="3"/>
    <x v="0"/>
    <x v="6"/>
    <x v="1"/>
    <n v="2025"/>
    <s v="Saturday"/>
    <n v="1"/>
    <d v="2025-04-05T00:00:00"/>
    <x v="2"/>
    <s v="New"/>
    <s v="Medium"/>
    <s v="Yes"/>
    <n v="2"/>
    <s v="Aditi"/>
    <s v="Verma"/>
    <m/>
    <m/>
    <m/>
    <m/>
    <m/>
    <m/>
    <s v="Needs Improvement"/>
    <s v="High"/>
    <s v="Yes"/>
    <s v="Yes"/>
    <n v="0.23143487500000001"/>
    <m/>
    <m/>
    <m/>
    <m/>
    <m/>
    <m/>
    <m/>
    <m/>
    <m/>
    <m/>
    <m/>
    <m/>
    <m/>
    <m/>
    <m/>
  </r>
  <r>
    <s v="ORD10867"/>
    <d v="2025-03-05T00:00:00"/>
    <s v="CUST1209"/>
    <s v="Rahul Gupta"/>
    <x v="1"/>
    <s v="Ahmedabad"/>
    <s v="Gujarat"/>
    <x v="3"/>
    <x v="3"/>
    <x v="10"/>
    <n v="4"/>
    <n v="500"/>
    <n v="0.2"/>
    <n v="1600"/>
    <n v="1133.3900000000001"/>
    <n v="466.61"/>
    <n v="29.16"/>
    <x v="2"/>
    <x v="0"/>
    <x v="5"/>
    <x v="1"/>
    <n v="2025"/>
    <s v="Saturday"/>
    <n v="6"/>
    <d v="2025-09-05T00:00:00"/>
    <x v="0"/>
    <s v="VIP"/>
    <s v="Low"/>
    <s v="Yes"/>
    <n v="2"/>
    <s v="Rahul"/>
    <s v="Gupta"/>
    <m/>
    <m/>
    <m/>
    <m/>
    <m/>
    <m/>
    <s v="Needs Improvement"/>
    <s v="Low"/>
    <s v="No"/>
    <s v="Yes"/>
    <n v="0.29163125000000001"/>
    <m/>
    <m/>
    <m/>
    <m/>
    <m/>
    <m/>
    <m/>
    <m/>
    <m/>
    <m/>
    <m/>
    <m/>
    <m/>
    <m/>
    <m/>
  </r>
  <r>
    <s v="ORD10977"/>
    <d v="2025-03-05T00:00:00"/>
    <s v="CUST1231"/>
    <s v="Vivaan Agarwal"/>
    <x v="1"/>
    <s v="Kolkata"/>
    <s v="West Bengal"/>
    <x v="0"/>
    <x v="3"/>
    <x v="10"/>
    <n v="3"/>
    <n v="200"/>
    <n v="0.2"/>
    <n v="480"/>
    <n v="340.16"/>
    <n v="139.84"/>
    <n v="29.13"/>
    <x v="0"/>
    <x v="1"/>
    <x v="4"/>
    <x v="1"/>
    <n v="2025"/>
    <s v="Saturday"/>
    <n v="6"/>
    <d v="2025-09-05T00:00:00"/>
    <x v="1"/>
    <s v="New"/>
    <s v="High"/>
    <s v="No"/>
    <n v="3"/>
    <s v="Vivaan"/>
    <s v="Agarwal"/>
    <m/>
    <m/>
    <m/>
    <m/>
    <m/>
    <m/>
    <s v="Needs Improvement"/>
    <s v="Low"/>
    <s v="No"/>
    <s v="No"/>
    <n v="0.29133333333333333"/>
    <m/>
    <m/>
    <m/>
    <m/>
    <m/>
    <m/>
    <m/>
    <m/>
    <m/>
    <m/>
    <m/>
    <m/>
    <m/>
    <m/>
    <m/>
  </r>
  <r>
    <s v="ORD10432"/>
    <d v="2025-03-06T00:00:00"/>
    <s v="CUST1101"/>
    <s v="Rahul Mishra"/>
    <x v="2"/>
    <s v="Delhi"/>
    <s v="Delhi"/>
    <x v="1"/>
    <x v="4"/>
    <x v="13"/>
    <n v="3"/>
    <n v="500"/>
    <n v="0.05"/>
    <n v="1425"/>
    <n v="946.14"/>
    <n v="478.86"/>
    <n v="33.6"/>
    <x v="0"/>
    <x v="2"/>
    <x v="9"/>
    <x v="2"/>
    <n v="2025"/>
    <s v="Tuesday"/>
    <n v="9"/>
    <d v="2025-12-06T00:00:00"/>
    <x v="0"/>
    <s v="VIP"/>
    <s v="High"/>
    <s v="No"/>
    <n v="5"/>
    <s v="Rahul"/>
    <s v="Mishra"/>
    <m/>
    <m/>
    <m/>
    <m/>
    <m/>
    <m/>
    <s v="Good"/>
    <s v="Low"/>
    <s v="No"/>
    <s v="Yes"/>
    <n v="0.33604210526315792"/>
    <m/>
    <m/>
    <m/>
    <m/>
    <m/>
    <m/>
    <m/>
    <m/>
    <m/>
    <m/>
    <m/>
    <m/>
    <m/>
    <m/>
    <m/>
  </r>
  <r>
    <s v="ORD10156"/>
    <d v="2025-03-07T00:00:00"/>
    <s v="CUST1333"/>
    <s v="Aditya Kumar"/>
    <x v="1"/>
    <s v="Mumbai"/>
    <s v="Maharashtra"/>
    <x v="2"/>
    <x v="3"/>
    <x v="5"/>
    <n v="9"/>
    <n v="200"/>
    <n v="0.05"/>
    <n v="1710"/>
    <n v="1211.26"/>
    <n v="498.74"/>
    <n v="29.17"/>
    <x v="2"/>
    <x v="2"/>
    <x v="6"/>
    <x v="9"/>
    <n v="2025"/>
    <s v="Thursday"/>
    <n v="6"/>
    <d v="2025-09-07T00:00:00"/>
    <x v="2"/>
    <s v="New"/>
    <s v="Medium"/>
    <s v="Yes"/>
    <n v="4"/>
    <s v="Aditya"/>
    <s v="Kumar"/>
    <m/>
    <m/>
    <m/>
    <m/>
    <m/>
    <m/>
    <s v="Needs Improvement"/>
    <s v="Low"/>
    <s v="No"/>
    <s v="Yes"/>
    <n v="0.29166081871345029"/>
    <m/>
    <m/>
    <m/>
    <m/>
    <m/>
    <m/>
    <m/>
    <m/>
    <m/>
    <m/>
    <m/>
    <m/>
    <m/>
    <m/>
    <m/>
  </r>
  <r>
    <s v="ORD10723"/>
    <d v="2025-03-07T00:00:00"/>
    <s v="CUST1132"/>
    <s v="Pooja Kumar"/>
    <x v="1"/>
    <s v="Mumbai"/>
    <s v="Maharashtra"/>
    <x v="0"/>
    <x v="2"/>
    <x v="4"/>
    <n v="8"/>
    <n v="8000"/>
    <n v="0.05"/>
    <n v="60800"/>
    <n v="48928.55"/>
    <n v="11871.45"/>
    <n v="19.53"/>
    <x v="0"/>
    <x v="0"/>
    <x v="0"/>
    <x v="9"/>
    <n v="2025"/>
    <s v="Thursday"/>
    <n v="6"/>
    <d v="2025-09-07T00:00:00"/>
    <x v="0"/>
    <s v="New"/>
    <s v="Low"/>
    <s v="No"/>
    <n v="2"/>
    <s v="Pooja"/>
    <s v="Kumar"/>
    <m/>
    <m/>
    <m/>
    <m/>
    <m/>
    <m/>
    <s v="Needs Improvement"/>
    <s v="High"/>
    <s v="Yes"/>
    <s v="Yes"/>
    <n v="0.19525411184210528"/>
    <m/>
    <m/>
    <m/>
    <m/>
    <m/>
    <m/>
    <m/>
    <m/>
    <m/>
    <m/>
    <m/>
    <m/>
    <m/>
    <m/>
    <m/>
  </r>
  <r>
    <s v="ORD10729"/>
    <d v="2025-03-07T00:00:00"/>
    <s v="CUST1327"/>
    <s v="Karan Mehta"/>
    <x v="0"/>
    <s v="Pune"/>
    <s v="Maharashtra"/>
    <x v="3"/>
    <x v="3"/>
    <x v="18"/>
    <n v="8"/>
    <n v="200"/>
    <n v="0.15"/>
    <n v="1360"/>
    <n v="801.03"/>
    <n v="558.97"/>
    <n v="41.1"/>
    <x v="0"/>
    <x v="0"/>
    <x v="7"/>
    <x v="9"/>
    <n v="2025"/>
    <s v="Thursday"/>
    <n v="6"/>
    <d v="2025-09-07T00:00:00"/>
    <x v="0"/>
    <s v="Returning"/>
    <s v="Medium"/>
    <s v="Yes"/>
    <n v="1"/>
    <s v="Karan"/>
    <s v="Mehta"/>
    <m/>
    <m/>
    <m/>
    <m/>
    <m/>
    <m/>
    <s v="Good"/>
    <s v="Low"/>
    <s v="No"/>
    <s v="Yes"/>
    <n v="0.41100735294117652"/>
    <m/>
    <m/>
    <m/>
    <m/>
    <m/>
    <m/>
    <m/>
    <m/>
    <m/>
    <m/>
    <m/>
    <m/>
    <m/>
    <m/>
    <m/>
  </r>
  <r>
    <s v="ORD10342"/>
    <d v="2025-03-08T00:00:00"/>
    <s v="CUST1134"/>
    <s v="Vikram Malhotra"/>
    <x v="0"/>
    <s v="Lucknow"/>
    <s v="Uttar Pradesh"/>
    <x v="0"/>
    <x v="4"/>
    <x v="13"/>
    <n v="8"/>
    <n v="2000"/>
    <n v="0.1"/>
    <n v="14400"/>
    <n v="8587.7099999999991"/>
    <n v="5812.29"/>
    <n v="40.36"/>
    <x v="1"/>
    <x v="2"/>
    <x v="3"/>
    <x v="10"/>
    <n v="2025"/>
    <s v="Sunday"/>
    <n v="3"/>
    <d v="2025-06-08T00:00:00"/>
    <x v="0"/>
    <s v="Returning"/>
    <s v="Medium"/>
    <s v="Yes"/>
    <n v="5"/>
    <s v="Vikram"/>
    <s v="Malhotra"/>
    <m/>
    <m/>
    <m/>
    <m/>
    <m/>
    <m/>
    <s v="Good"/>
    <s v="Medium"/>
    <s v="No"/>
    <s v="Yes"/>
    <n v="0.40363125"/>
    <m/>
    <m/>
    <m/>
    <m/>
    <m/>
    <m/>
    <m/>
    <m/>
    <m/>
    <m/>
    <m/>
    <m/>
    <m/>
    <m/>
    <m/>
  </r>
  <r>
    <s v="ORD10099"/>
    <d v="2025-03-09T00:00:00"/>
    <s v="CUST1056"/>
    <s v="Ishita Gupta"/>
    <x v="0"/>
    <s v="Lucknow"/>
    <s v="Uttar Pradesh"/>
    <x v="0"/>
    <x v="3"/>
    <x v="5"/>
    <n v="1"/>
    <n v="350"/>
    <n v="0.15"/>
    <n v="297.5"/>
    <n v="206.73"/>
    <n v="90.77"/>
    <n v="30.51"/>
    <x v="4"/>
    <x v="1"/>
    <x v="7"/>
    <x v="3"/>
    <n v="2025"/>
    <s v="Wednesday"/>
    <n v="8"/>
    <d v="2025-11-09T00:00:00"/>
    <x v="0"/>
    <s v="Returning"/>
    <s v="Low"/>
    <s v="Yes"/>
    <n v="3"/>
    <s v="Ishita"/>
    <s v="Gupta"/>
    <m/>
    <m/>
    <m/>
    <m/>
    <m/>
    <m/>
    <s v="Good"/>
    <s v="Low"/>
    <s v="No"/>
    <s v="No"/>
    <n v="0.30510924369747899"/>
    <m/>
    <m/>
    <m/>
    <m/>
    <m/>
    <m/>
    <m/>
    <m/>
    <m/>
    <m/>
    <m/>
    <m/>
    <m/>
    <m/>
    <m/>
  </r>
  <r>
    <s v="ORD10214"/>
    <d v="2025-03-09T00:00:00"/>
    <s v="CUST1155"/>
    <s v="Kavya Agarwal"/>
    <x v="1"/>
    <s v="Chennai"/>
    <s v="Tamil Nadu"/>
    <x v="0"/>
    <x v="1"/>
    <x v="2"/>
    <n v="1"/>
    <n v="1200"/>
    <n v="0.1"/>
    <n v="1080"/>
    <n v="839.86"/>
    <n v="240.14"/>
    <n v="22.24"/>
    <x v="1"/>
    <x v="0"/>
    <x v="3"/>
    <x v="3"/>
    <n v="2025"/>
    <s v="Wednesday"/>
    <n v="1"/>
    <d v="2025-04-09T00:00:00"/>
    <x v="1"/>
    <s v="VIP"/>
    <s v="Low"/>
    <s v="Yes"/>
    <n v="5"/>
    <s v="Kavya"/>
    <s v="Agarwal"/>
    <m/>
    <m/>
    <m/>
    <m/>
    <m/>
    <m/>
    <s v="Needs Improvement"/>
    <s v="Low"/>
    <s v="No"/>
    <s v="Yes"/>
    <n v="0.22235185185185183"/>
    <m/>
    <m/>
    <m/>
    <m/>
    <m/>
    <m/>
    <m/>
    <m/>
    <m/>
    <m/>
    <m/>
    <m/>
    <m/>
    <m/>
    <m/>
  </r>
  <r>
    <s v="ORD10730"/>
    <d v="2025-03-10T00:00:00"/>
    <s v="CUST1216"/>
    <s v="Ishita Malhotra"/>
    <x v="1"/>
    <s v="Jaipur"/>
    <s v="Rajasthan"/>
    <x v="2"/>
    <x v="1"/>
    <x v="20"/>
    <n v="4"/>
    <n v="2500"/>
    <n v="0.05"/>
    <n v="9500"/>
    <n v="7640.93"/>
    <n v="1859.07"/>
    <n v="19.57"/>
    <x v="4"/>
    <x v="1"/>
    <x v="9"/>
    <x v="4"/>
    <n v="2025"/>
    <s v="Friday"/>
    <n v="6"/>
    <d v="2025-09-10T00:00:00"/>
    <x v="0"/>
    <s v="Returning"/>
    <s v="Medium"/>
    <s v="No"/>
    <n v="4"/>
    <s v="Ishita"/>
    <s v="Malhotra"/>
    <m/>
    <m/>
    <m/>
    <m/>
    <m/>
    <m/>
    <s v="Needs Improvement"/>
    <s v="Low"/>
    <s v="No"/>
    <s v="No"/>
    <n v="0.19569157894736841"/>
    <m/>
    <m/>
    <m/>
    <m/>
    <m/>
    <m/>
    <m/>
    <m/>
    <m/>
    <m/>
    <m/>
    <m/>
    <m/>
    <m/>
    <m/>
  </r>
  <r>
    <s v="ORD10771"/>
    <d v="2025-03-11T00:00:00"/>
    <s v="CUST1209"/>
    <s v="Arjun Singh"/>
    <x v="1"/>
    <s v="Mumbai"/>
    <s v="Maharashtra"/>
    <x v="2"/>
    <x v="3"/>
    <x v="17"/>
    <n v="9"/>
    <n v="500"/>
    <n v="0.2"/>
    <n v="3600"/>
    <n v="2540.86"/>
    <n v="1059.1400000000001"/>
    <n v="29.42"/>
    <x v="2"/>
    <x v="0"/>
    <x v="6"/>
    <x v="11"/>
    <n v="2025"/>
    <s v="Monday"/>
    <n v="7"/>
    <d v="2025-10-11T00:00:00"/>
    <x v="0"/>
    <s v="VIP"/>
    <s v="Low"/>
    <s v="Yes"/>
    <n v="4"/>
    <s v="Arjun"/>
    <s v="Singh"/>
    <m/>
    <m/>
    <m/>
    <m/>
    <m/>
    <m/>
    <s v="Needs Improvement"/>
    <s v="Low"/>
    <s v="No"/>
    <s v="Yes"/>
    <n v="0.29420555555555561"/>
    <m/>
    <m/>
    <m/>
    <m/>
    <m/>
    <m/>
    <m/>
    <m/>
    <m/>
    <m/>
    <m/>
    <m/>
    <m/>
    <m/>
    <m/>
  </r>
  <r>
    <s v="ORD10131"/>
    <d v="2025-04-01T00:00:00"/>
    <s v="CUST1158"/>
    <s v="Riya Jain"/>
    <x v="0"/>
    <s v="Pune"/>
    <s v="Maharashtra"/>
    <x v="1"/>
    <x v="0"/>
    <x v="23"/>
    <n v="3"/>
    <n v="9000"/>
    <n v="0.1"/>
    <n v="24300"/>
    <n v="13399.09"/>
    <n v="10900.91"/>
    <n v="44.86"/>
    <x v="2"/>
    <x v="2"/>
    <x v="4"/>
    <x v="6"/>
    <n v="2025"/>
    <s v="Saturday"/>
    <n v="2"/>
    <d v="2025-06-01T00:00:00"/>
    <x v="0"/>
    <s v="Returning"/>
    <s v="Medium"/>
    <s v="No"/>
    <n v="1"/>
    <s v="Riya"/>
    <s v="Jain"/>
    <m/>
    <m/>
    <m/>
    <m/>
    <m/>
    <m/>
    <s v="Good"/>
    <s v="Medium"/>
    <s v="No"/>
    <s v="Yes"/>
    <n v="0.44859711934156377"/>
    <m/>
    <m/>
    <m/>
    <m/>
    <m/>
    <m/>
    <m/>
    <m/>
    <m/>
    <m/>
    <m/>
    <m/>
    <m/>
    <m/>
    <m/>
  </r>
  <r>
    <s v="ORD10478"/>
    <d v="2025-04-02T00:00:00"/>
    <s v="CUST1145"/>
    <s v="Priya Yadav"/>
    <x v="2"/>
    <s v="Ahmedabad"/>
    <s v="Gujarat"/>
    <x v="2"/>
    <x v="1"/>
    <x v="6"/>
    <n v="7"/>
    <n v="2500"/>
    <n v="0.1"/>
    <n v="15750"/>
    <n v="10907.16"/>
    <n v="4842.84"/>
    <n v="30.75"/>
    <x v="1"/>
    <x v="2"/>
    <x v="3"/>
    <x v="7"/>
    <n v="2025"/>
    <s v="Tuesday"/>
    <n v="7"/>
    <d v="2025-11-02T00:00:00"/>
    <x v="0"/>
    <s v="VIP"/>
    <s v="Low"/>
    <s v="No"/>
    <n v="4"/>
    <s v="Priya"/>
    <s v="Yadav"/>
    <m/>
    <m/>
    <m/>
    <m/>
    <m/>
    <m/>
    <s v="Good"/>
    <s v="Medium"/>
    <s v="No"/>
    <s v="Yes"/>
    <n v="0.30748190476190479"/>
    <m/>
    <m/>
    <m/>
    <m/>
    <m/>
    <m/>
    <m/>
    <m/>
    <m/>
    <m/>
    <m/>
    <m/>
    <m/>
    <m/>
    <m/>
  </r>
  <r>
    <s v="ORD10616"/>
    <d v="2025-04-02T00:00:00"/>
    <s v="CUST1166"/>
    <s v="Ishita Kapoor"/>
    <x v="1"/>
    <s v="Delhi"/>
    <s v="Delhi"/>
    <x v="1"/>
    <x v="4"/>
    <x v="13"/>
    <n v="3"/>
    <n v="500"/>
    <n v="0.2"/>
    <n v="1200"/>
    <n v="938.41"/>
    <n v="261.58999999999997"/>
    <n v="21.8"/>
    <x v="0"/>
    <x v="1"/>
    <x v="9"/>
    <x v="7"/>
    <n v="2025"/>
    <s v="Tuesday"/>
    <n v="4"/>
    <d v="2025-08-02T00:00:00"/>
    <x v="1"/>
    <s v="New"/>
    <s v="Low"/>
    <s v="No"/>
    <n v="5"/>
    <s v="Ishita"/>
    <s v="Kapoor"/>
    <m/>
    <m/>
    <m/>
    <m/>
    <m/>
    <m/>
    <s v="Needs Improvement"/>
    <s v="Low"/>
    <s v="No"/>
    <s v="No"/>
    <n v="0.21799166666666664"/>
    <m/>
    <m/>
    <m/>
    <m/>
    <m/>
    <m/>
    <m/>
    <m/>
    <m/>
    <m/>
    <m/>
    <m/>
    <m/>
    <m/>
    <m/>
  </r>
  <r>
    <s v="ORD10433"/>
    <d v="2025-04-03T00:00:00"/>
    <s v="CUST1022"/>
    <s v="Kavya Singh"/>
    <x v="2"/>
    <s v="Chennai"/>
    <s v="Tamil Nadu"/>
    <x v="3"/>
    <x v="4"/>
    <x v="13"/>
    <n v="6"/>
    <n v="3000"/>
    <n v="0.1"/>
    <n v="16200"/>
    <n v="9368.6"/>
    <n v="6831.4"/>
    <n v="42.17"/>
    <x v="2"/>
    <x v="1"/>
    <x v="5"/>
    <x v="0"/>
    <n v="2025"/>
    <s v="Tuesday"/>
    <n v="6"/>
    <d v="2025-10-03T00:00:00"/>
    <x v="0"/>
    <s v="New"/>
    <s v="Low"/>
    <s v="No"/>
    <n v="3"/>
    <s v="Kavya"/>
    <s v="Singh"/>
    <m/>
    <m/>
    <m/>
    <m/>
    <m/>
    <m/>
    <s v="Good"/>
    <s v="Medium"/>
    <s v="No"/>
    <s v="No"/>
    <n v="0.42169135802469132"/>
    <m/>
    <m/>
    <m/>
    <m/>
    <m/>
    <m/>
    <m/>
    <m/>
    <m/>
    <m/>
    <m/>
    <m/>
    <m/>
    <m/>
    <m/>
  </r>
  <r>
    <s v="ORD10504"/>
    <d v="2025-04-03T00:00:00"/>
    <s v="CUST1287"/>
    <s v="Sneha Saxena"/>
    <x v="0"/>
    <s v="Hyderabad"/>
    <s v="Telangana"/>
    <x v="2"/>
    <x v="4"/>
    <x v="9"/>
    <n v="1"/>
    <n v="800"/>
    <n v="0.05"/>
    <n v="760"/>
    <n v="600.95000000000005"/>
    <n v="159.05000000000001"/>
    <n v="20.93"/>
    <x v="1"/>
    <x v="1"/>
    <x v="2"/>
    <x v="0"/>
    <n v="2025"/>
    <s v="Tuesday"/>
    <n v="9"/>
    <s v="13-03-2025"/>
    <x v="0"/>
    <s v="Returning"/>
    <s v="Medium"/>
    <s v="Yes"/>
    <n v="2"/>
    <s v="Sneha"/>
    <s v="Saxena"/>
    <m/>
    <m/>
    <m/>
    <m/>
    <m/>
    <m/>
    <s v="Needs Improvement"/>
    <s v="Low"/>
    <s v="No"/>
    <s v="No"/>
    <n v="0.2092763157894737"/>
    <m/>
    <m/>
    <m/>
    <m/>
    <m/>
    <m/>
    <m/>
    <m/>
    <m/>
    <m/>
    <m/>
    <m/>
    <m/>
    <m/>
    <m/>
  </r>
  <r>
    <s v="ORD10655"/>
    <d v="2025-04-03T00:00:00"/>
    <s v="CUST1186"/>
    <s v="Arjun Mishra"/>
    <x v="1"/>
    <s v="Bengaluru"/>
    <s v="Karnataka"/>
    <x v="0"/>
    <x v="1"/>
    <x v="20"/>
    <n v="7"/>
    <n v="1800"/>
    <n v="0.05"/>
    <n v="11970"/>
    <n v="7615.78"/>
    <n v="4354.22"/>
    <n v="36.380000000000003"/>
    <x v="3"/>
    <x v="0"/>
    <x v="8"/>
    <x v="0"/>
    <n v="2025"/>
    <s v="Tuesday"/>
    <n v="10"/>
    <s v="14-03-2025"/>
    <x v="0"/>
    <s v="Returning"/>
    <s v="Low"/>
    <s v="No"/>
    <n v="4"/>
    <s v="Arjun"/>
    <s v="Mishra"/>
    <m/>
    <m/>
    <m/>
    <m/>
    <m/>
    <m/>
    <s v="Good"/>
    <s v="Medium"/>
    <s v="No"/>
    <s v="Yes"/>
    <n v="0.36376106934001673"/>
    <m/>
    <m/>
    <m/>
    <m/>
    <m/>
    <m/>
    <m/>
    <m/>
    <m/>
    <m/>
    <m/>
    <m/>
    <m/>
    <m/>
    <m/>
  </r>
  <r>
    <s v="ORD10939"/>
    <d v="2025-04-03T00:00:00"/>
    <s v="CUST1048"/>
    <s v="Karan Chopra"/>
    <x v="2"/>
    <s v="Bengaluru"/>
    <s v="Karnataka"/>
    <x v="2"/>
    <x v="2"/>
    <x v="7"/>
    <n v="5"/>
    <n v="35000"/>
    <n v="0"/>
    <n v="175000"/>
    <n v="118612.26"/>
    <n v="56387.74"/>
    <n v="32.22"/>
    <x v="3"/>
    <x v="2"/>
    <x v="0"/>
    <x v="0"/>
    <n v="2025"/>
    <s v="Tuesday"/>
    <n v="8"/>
    <d v="2025-12-03T00:00:00"/>
    <x v="0"/>
    <s v="VIP"/>
    <s v="Medium"/>
    <s v="Yes"/>
    <n v="1"/>
    <s v="Karan"/>
    <s v="Chopra"/>
    <m/>
    <m/>
    <m/>
    <m/>
    <m/>
    <m/>
    <s v="Good"/>
    <s v="High"/>
    <s v="Yes"/>
    <s v="Yes"/>
    <n v="0.3222156571428571"/>
    <m/>
    <m/>
    <m/>
    <m/>
    <m/>
    <m/>
    <m/>
    <m/>
    <m/>
    <m/>
    <m/>
    <m/>
    <m/>
    <m/>
    <m/>
  </r>
  <r>
    <s v="ORD10398"/>
    <d v="2025-04-04T00:00:00"/>
    <s v="CUST1099"/>
    <s v="Kavya Jain"/>
    <x v="0"/>
    <s v="Kolkata"/>
    <s v="West Bengal"/>
    <x v="3"/>
    <x v="1"/>
    <x v="3"/>
    <n v="8"/>
    <n v="3500"/>
    <n v="0.1"/>
    <n v="25200"/>
    <n v="14957.71"/>
    <n v="10242.290000000001"/>
    <n v="40.64"/>
    <x v="3"/>
    <x v="2"/>
    <x v="5"/>
    <x v="8"/>
    <n v="2025"/>
    <s v="Friday"/>
    <n v="7"/>
    <d v="2025-11-04T00:00:00"/>
    <x v="0"/>
    <s v="VIP"/>
    <s v="Medium"/>
    <s v="No"/>
    <n v="2"/>
    <s v="Kavya"/>
    <s v="Jain"/>
    <m/>
    <m/>
    <m/>
    <m/>
    <m/>
    <m/>
    <s v="Good"/>
    <s v="Medium"/>
    <s v="No"/>
    <s v="Yes"/>
    <n v="0.40644007936507942"/>
    <m/>
    <m/>
    <m/>
    <m/>
    <m/>
    <m/>
    <m/>
    <m/>
    <m/>
    <m/>
    <m/>
    <m/>
    <m/>
    <m/>
    <m/>
  </r>
  <r>
    <s v="ORD10426"/>
    <d v="2025-04-04T00:00:00"/>
    <s v="CUST1172"/>
    <s v="Aditya Saxena"/>
    <x v="1"/>
    <s v="Delhi"/>
    <s v="Delhi"/>
    <x v="1"/>
    <x v="0"/>
    <x v="15"/>
    <n v="5"/>
    <n v="9000"/>
    <n v="0.2"/>
    <n v="36000"/>
    <n v="23608.87"/>
    <n v="12391.13"/>
    <n v="34.42"/>
    <x v="2"/>
    <x v="0"/>
    <x v="1"/>
    <x v="8"/>
    <n v="2025"/>
    <s v="Friday"/>
    <n v="6"/>
    <d v="2025-10-04T00:00:00"/>
    <x v="0"/>
    <s v="New"/>
    <s v="Low"/>
    <s v="Yes"/>
    <n v="2"/>
    <s v="Aditya"/>
    <s v="Saxena"/>
    <m/>
    <m/>
    <m/>
    <m/>
    <m/>
    <m/>
    <s v="Good"/>
    <s v="High"/>
    <s v="Yes"/>
    <s v="Yes"/>
    <n v="0.34419805555555555"/>
    <m/>
    <m/>
    <m/>
    <m/>
    <m/>
    <m/>
    <m/>
    <m/>
    <m/>
    <m/>
    <m/>
    <m/>
    <m/>
    <m/>
    <m/>
  </r>
  <r>
    <s v="ORD10816"/>
    <d v="2025-04-04T00:00:00"/>
    <s v="CUST1145"/>
    <s v="Neha Yadav"/>
    <x v="0"/>
    <s v="Mumbai"/>
    <s v="Maharashtra"/>
    <x v="3"/>
    <x v="2"/>
    <x v="12"/>
    <n v="2"/>
    <n v="12000"/>
    <n v="0"/>
    <n v="24000"/>
    <n v="17883.55"/>
    <n v="6116.45"/>
    <n v="25.49"/>
    <x v="4"/>
    <x v="1"/>
    <x v="1"/>
    <x v="8"/>
    <n v="2025"/>
    <s v="Friday"/>
    <n v="3"/>
    <d v="2025-07-04T00:00:00"/>
    <x v="0"/>
    <s v="New"/>
    <s v="High"/>
    <s v="No"/>
    <n v="2"/>
    <s v="Neha"/>
    <s v="Yadav"/>
    <m/>
    <m/>
    <m/>
    <m/>
    <m/>
    <m/>
    <s v="Needs Improvement"/>
    <s v="Medium"/>
    <s v="No"/>
    <s v="No"/>
    <n v="0.25485208333333331"/>
    <m/>
    <m/>
    <m/>
    <m/>
    <m/>
    <m/>
    <m/>
    <m/>
    <m/>
    <m/>
    <m/>
    <m/>
    <m/>
    <m/>
    <m/>
  </r>
  <r>
    <s v="ORD10668"/>
    <d v="2025-04-05T00:00:00"/>
    <s v="CUST1102"/>
    <s v="Arjun Kapoor"/>
    <x v="1"/>
    <s v="Mumbai"/>
    <s v="Maharashtra"/>
    <x v="3"/>
    <x v="4"/>
    <x v="11"/>
    <n v="6"/>
    <n v="500"/>
    <n v="0.05"/>
    <n v="2850"/>
    <n v="1631.67"/>
    <n v="1218.33"/>
    <n v="42.75"/>
    <x v="3"/>
    <x v="1"/>
    <x v="0"/>
    <x v="1"/>
    <n v="2025"/>
    <s v="Sunday"/>
    <n v="2"/>
    <d v="2025-06-05T00:00:00"/>
    <x v="2"/>
    <s v="VIP"/>
    <s v="Low"/>
    <s v="No"/>
    <n v="1"/>
    <s v="Arjun"/>
    <s v="Kapoor"/>
    <m/>
    <m/>
    <m/>
    <m/>
    <m/>
    <m/>
    <s v="Good"/>
    <s v="Low"/>
    <s v="No"/>
    <s v="No"/>
    <n v="0.42748421052631574"/>
    <m/>
    <m/>
    <m/>
    <m/>
    <m/>
    <m/>
    <m/>
    <m/>
    <m/>
    <m/>
    <m/>
    <m/>
    <m/>
    <m/>
    <m/>
  </r>
  <r>
    <s v="ORD10902"/>
    <d v="2025-04-05T00:00:00"/>
    <s v="CUST1121"/>
    <s v="Meera Kapoor"/>
    <x v="1"/>
    <s v="Ahmedabad"/>
    <s v="Gujarat"/>
    <x v="0"/>
    <x v="1"/>
    <x v="20"/>
    <n v="1"/>
    <n v="3500"/>
    <n v="0.05"/>
    <n v="3325"/>
    <n v="2152.83"/>
    <n v="1172.17"/>
    <n v="35.25"/>
    <x v="4"/>
    <x v="2"/>
    <x v="4"/>
    <x v="1"/>
    <n v="2025"/>
    <s v="Sunday"/>
    <n v="1"/>
    <d v="2025-05-05T00:00:00"/>
    <x v="0"/>
    <s v="Returning"/>
    <s v="High"/>
    <s v="No"/>
    <n v="4"/>
    <s v="Meera"/>
    <s v="Kapoor"/>
    <m/>
    <m/>
    <m/>
    <m/>
    <m/>
    <m/>
    <s v="Good"/>
    <s v="Low"/>
    <s v="No"/>
    <s v="Yes"/>
    <n v="0.3525323308270677"/>
    <m/>
    <m/>
    <m/>
    <m/>
    <m/>
    <m/>
    <m/>
    <m/>
    <m/>
    <m/>
    <m/>
    <m/>
    <m/>
    <m/>
    <m/>
  </r>
  <r>
    <s v="ORD10278"/>
    <d v="2025-04-06T00:00:00"/>
    <s v="CUST1306"/>
    <s v="Aditi Verma"/>
    <x v="2"/>
    <s v="Mumbai"/>
    <s v="Maharashtra"/>
    <x v="3"/>
    <x v="2"/>
    <x v="8"/>
    <n v="7"/>
    <n v="12000"/>
    <n v="0.15"/>
    <n v="71400"/>
    <n v="48613.32"/>
    <n v="22786.68"/>
    <n v="31.91"/>
    <x v="3"/>
    <x v="1"/>
    <x v="8"/>
    <x v="2"/>
    <n v="2025"/>
    <s v="Wednesday"/>
    <n v="2"/>
    <d v="2025-06-06T00:00:00"/>
    <x v="0"/>
    <s v="VIP"/>
    <s v="Low"/>
    <s v="Yes"/>
    <n v="2"/>
    <s v="Aditi"/>
    <s v="Verma"/>
    <m/>
    <m/>
    <m/>
    <m/>
    <m/>
    <m/>
    <s v="Good"/>
    <s v="High"/>
    <s v="Yes"/>
    <s v="No"/>
    <n v="0.31914117647058826"/>
    <m/>
    <m/>
    <m/>
    <m/>
    <m/>
    <m/>
    <m/>
    <m/>
    <m/>
    <m/>
    <m/>
    <m/>
    <m/>
    <m/>
    <m/>
  </r>
  <r>
    <s v="ORD10285"/>
    <d v="2025-04-07T00:00:00"/>
    <s v="CUST1265"/>
    <s v="Vivaan Singh"/>
    <x v="0"/>
    <s v="Mumbai"/>
    <s v="Maharashtra"/>
    <x v="2"/>
    <x v="1"/>
    <x v="14"/>
    <n v="1"/>
    <n v="1200"/>
    <n v="0.2"/>
    <n v="960"/>
    <n v="672.56"/>
    <n v="287.44"/>
    <n v="29.94"/>
    <x v="4"/>
    <x v="1"/>
    <x v="0"/>
    <x v="9"/>
    <n v="2025"/>
    <s v="Friday"/>
    <n v="7"/>
    <d v="2025-11-07T00:00:00"/>
    <x v="0"/>
    <s v="Returning"/>
    <s v="Low"/>
    <s v="No"/>
    <n v="3"/>
    <s v="Vivaan"/>
    <s v="Singh"/>
    <m/>
    <m/>
    <m/>
    <m/>
    <m/>
    <m/>
    <s v="Needs Improvement"/>
    <s v="Low"/>
    <s v="No"/>
    <s v="No"/>
    <n v="0.29941666666666666"/>
    <m/>
    <m/>
    <m/>
    <m/>
    <m/>
    <m/>
    <m/>
    <m/>
    <m/>
    <m/>
    <m/>
    <m/>
    <m/>
    <m/>
    <m/>
  </r>
  <r>
    <s v="ORD10331"/>
    <d v="2025-04-07T00:00:00"/>
    <s v="CUST1249"/>
    <s v="Meera Verma"/>
    <x v="2"/>
    <s v="Chennai"/>
    <s v="Tamil Nadu"/>
    <x v="3"/>
    <x v="4"/>
    <x v="19"/>
    <n v="1"/>
    <n v="500"/>
    <n v="0"/>
    <n v="500"/>
    <n v="381.04"/>
    <n v="118.96"/>
    <n v="23.79"/>
    <x v="4"/>
    <x v="0"/>
    <x v="5"/>
    <x v="9"/>
    <n v="2025"/>
    <s v="Friday"/>
    <n v="3"/>
    <d v="2025-07-07T00:00:00"/>
    <x v="0"/>
    <s v="Returning"/>
    <s v="Medium"/>
    <s v="Yes"/>
    <n v="3"/>
    <s v="Meera"/>
    <s v="Verma"/>
    <m/>
    <m/>
    <m/>
    <m/>
    <m/>
    <m/>
    <s v="Needs Improvement"/>
    <s v="Low"/>
    <s v="No"/>
    <s v="Yes"/>
    <n v="0.23791999999999999"/>
    <m/>
    <m/>
    <m/>
    <m/>
    <m/>
    <m/>
    <m/>
    <m/>
    <m/>
    <m/>
    <m/>
    <m/>
    <m/>
    <m/>
    <m/>
  </r>
  <r>
    <s v="ORD10600"/>
    <d v="2025-04-07T00:00:00"/>
    <s v="CUST1341"/>
    <s v="Rohan Bansal"/>
    <x v="0"/>
    <s v="Hyderabad"/>
    <s v="Telangana"/>
    <x v="0"/>
    <x v="1"/>
    <x v="14"/>
    <n v="4"/>
    <n v="3500"/>
    <n v="0.05"/>
    <n v="13300"/>
    <n v="9735.7099999999991"/>
    <n v="3564.29"/>
    <n v="26.8"/>
    <x v="0"/>
    <x v="1"/>
    <x v="2"/>
    <x v="9"/>
    <n v="2025"/>
    <s v="Friday"/>
    <n v="4"/>
    <d v="2025-08-07T00:00:00"/>
    <x v="2"/>
    <s v="New"/>
    <s v="Medium"/>
    <s v="No"/>
    <n v="5"/>
    <s v="Rohan"/>
    <s v="Bansal"/>
    <m/>
    <m/>
    <m/>
    <m/>
    <m/>
    <m/>
    <s v="Needs Improvement"/>
    <s v="Medium"/>
    <s v="No"/>
    <s v="No"/>
    <n v="0.26799172932330828"/>
    <m/>
    <m/>
    <m/>
    <m/>
    <m/>
    <m/>
    <m/>
    <m/>
    <m/>
    <m/>
    <m/>
    <m/>
    <m/>
    <m/>
    <m/>
  </r>
  <r>
    <s v="ORD10606"/>
    <d v="2025-04-07T00:00:00"/>
    <s v="CUST1014"/>
    <s v="Sneha Singh"/>
    <x v="0"/>
    <s v="Ahmedabad"/>
    <s v="Gujarat"/>
    <x v="2"/>
    <x v="0"/>
    <x v="15"/>
    <n v="10"/>
    <n v="2500"/>
    <n v="0.2"/>
    <n v="20000"/>
    <n v="13637.18"/>
    <n v="6362.82"/>
    <n v="31.81"/>
    <x v="4"/>
    <x v="0"/>
    <x v="4"/>
    <x v="9"/>
    <n v="2025"/>
    <s v="Friday"/>
    <n v="4"/>
    <d v="2025-08-07T00:00:00"/>
    <x v="0"/>
    <s v="Returning"/>
    <s v="Medium"/>
    <s v="Yes"/>
    <n v="1"/>
    <s v="Sneha"/>
    <s v="Singh"/>
    <m/>
    <m/>
    <m/>
    <m/>
    <m/>
    <m/>
    <s v="Good"/>
    <s v="Medium"/>
    <s v="No"/>
    <s v="Yes"/>
    <n v="0.31814100000000001"/>
    <m/>
    <m/>
    <m/>
    <m/>
    <m/>
    <m/>
    <m/>
    <m/>
    <m/>
    <m/>
    <m/>
    <m/>
    <m/>
    <m/>
    <m/>
  </r>
  <r>
    <s v="ORD10586"/>
    <d v="2025-04-08T00:00:00"/>
    <s v="CUST1128"/>
    <s v="Vivaan Verma"/>
    <x v="2"/>
    <s v="Mumbai"/>
    <s v="Maharashtra"/>
    <x v="3"/>
    <x v="4"/>
    <x v="11"/>
    <n v="4"/>
    <n v="2000"/>
    <n v="0.2"/>
    <n v="6400"/>
    <n v="5028.99"/>
    <n v="1371.01"/>
    <n v="21.42"/>
    <x v="4"/>
    <x v="2"/>
    <x v="0"/>
    <x v="10"/>
    <n v="2025"/>
    <s v="Monday"/>
    <n v="1"/>
    <d v="2025-05-08T00:00:00"/>
    <x v="0"/>
    <s v="New"/>
    <s v="Medium"/>
    <s v="No"/>
    <n v="5"/>
    <s v="Vivaan"/>
    <s v="Verma"/>
    <m/>
    <m/>
    <m/>
    <m/>
    <m/>
    <m/>
    <s v="Needs Improvement"/>
    <s v="Low"/>
    <s v="No"/>
    <s v="Yes"/>
    <n v="0.21422031250000001"/>
    <m/>
    <m/>
    <m/>
    <m/>
    <m/>
    <m/>
    <m/>
    <m/>
    <m/>
    <m/>
    <m/>
    <m/>
    <m/>
    <m/>
    <m/>
  </r>
  <r>
    <s v="ORD10633"/>
    <d v="2025-04-08T00:00:00"/>
    <s v="CUST1046"/>
    <s v="Arjun Saxena"/>
    <x v="2"/>
    <s v="Pune"/>
    <s v="Maharashtra"/>
    <x v="3"/>
    <x v="4"/>
    <x v="16"/>
    <n v="2"/>
    <n v="1200"/>
    <n v="0.15"/>
    <n v="2040"/>
    <n v="1634.39"/>
    <n v="405.61"/>
    <n v="19.88"/>
    <x v="1"/>
    <x v="2"/>
    <x v="3"/>
    <x v="10"/>
    <n v="2025"/>
    <s v="Monday"/>
    <n v="2"/>
    <d v="2025-06-08T00:00:00"/>
    <x v="1"/>
    <s v="VIP"/>
    <s v="High"/>
    <s v="Yes"/>
    <n v="2"/>
    <s v="Arjun"/>
    <s v="Saxena"/>
    <m/>
    <m/>
    <m/>
    <m/>
    <m/>
    <m/>
    <s v="Needs Improvement"/>
    <s v="Low"/>
    <s v="No"/>
    <s v="Yes"/>
    <n v="0.19882843137254902"/>
    <m/>
    <m/>
    <m/>
    <m/>
    <m/>
    <m/>
    <m/>
    <m/>
    <m/>
    <m/>
    <m/>
    <m/>
    <m/>
    <m/>
    <m/>
  </r>
  <r>
    <s v="ORD10132"/>
    <d v="2025-04-09T00:00:00"/>
    <s v="CUST1212"/>
    <s v="Pooja Agarwal"/>
    <x v="2"/>
    <s v="Delhi"/>
    <s v="Delhi"/>
    <x v="3"/>
    <x v="2"/>
    <x v="8"/>
    <n v="9"/>
    <n v="8000"/>
    <n v="0.2"/>
    <n v="57600"/>
    <n v="31871.919999999998"/>
    <n v="25728.080000000002"/>
    <n v="44.67"/>
    <x v="3"/>
    <x v="0"/>
    <x v="4"/>
    <x v="3"/>
    <n v="2025"/>
    <s v="Thursday"/>
    <n v="6"/>
    <d v="2025-10-09T00:00:00"/>
    <x v="2"/>
    <s v="VIP"/>
    <s v="Medium"/>
    <s v="Yes"/>
    <n v="2"/>
    <s v="Pooja"/>
    <s v="Agarwal"/>
    <m/>
    <m/>
    <m/>
    <m/>
    <m/>
    <m/>
    <s v="Good"/>
    <s v="High"/>
    <s v="Yes"/>
    <s v="Yes"/>
    <n v="0.44666805555555561"/>
    <m/>
    <m/>
    <m/>
    <m/>
    <m/>
    <m/>
    <m/>
    <m/>
    <m/>
    <m/>
    <m/>
    <m/>
    <m/>
    <m/>
    <m/>
  </r>
  <r>
    <s v="ORD10966"/>
    <d v="2025-04-09T00:00:00"/>
    <s v="CUST1090"/>
    <s v="Ananya Gupta"/>
    <x v="2"/>
    <s v="Bengaluru"/>
    <s v="Karnataka"/>
    <x v="3"/>
    <x v="3"/>
    <x v="18"/>
    <n v="4"/>
    <n v="100"/>
    <n v="0"/>
    <n v="400"/>
    <n v="296.73"/>
    <n v="103.27"/>
    <n v="25.82"/>
    <x v="3"/>
    <x v="1"/>
    <x v="4"/>
    <x v="3"/>
    <n v="2025"/>
    <s v="Thursday"/>
    <n v="9"/>
    <s v="13-09-2025"/>
    <x v="2"/>
    <s v="VIP"/>
    <s v="Low"/>
    <s v="Yes"/>
    <n v="5"/>
    <s v="Ananya"/>
    <s v="Gupta"/>
    <m/>
    <m/>
    <m/>
    <m/>
    <m/>
    <m/>
    <s v="Needs Improvement"/>
    <s v="Low"/>
    <s v="No"/>
    <s v="No"/>
    <n v="0.25817499999999999"/>
    <m/>
    <m/>
    <m/>
    <m/>
    <m/>
    <m/>
    <m/>
    <m/>
    <m/>
    <m/>
    <m/>
    <m/>
    <m/>
    <m/>
    <m/>
  </r>
  <r>
    <s v="ORD10407"/>
    <d v="2025-04-10T00:00:00"/>
    <s v="CUST1334"/>
    <s v="Arjun Malhotra"/>
    <x v="0"/>
    <s v="Kolkata"/>
    <s v="West Bengal"/>
    <x v="1"/>
    <x v="4"/>
    <x v="11"/>
    <n v="1"/>
    <n v="1200"/>
    <n v="0.1"/>
    <n v="1080"/>
    <n v="630.1"/>
    <n v="449.9"/>
    <n v="41.66"/>
    <x v="4"/>
    <x v="1"/>
    <x v="6"/>
    <x v="4"/>
    <n v="2025"/>
    <s v="Saturday"/>
    <n v="9"/>
    <s v="13-10-2025"/>
    <x v="0"/>
    <s v="VIP"/>
    <s v="High"/>
    <s v="Yes"/>
    <n v="3"/>
    <s v="Arjun"/>
    <s v="Malhotra"/>
    <m/>
    <m/>
    <m/>
    <m/>
    <m/>
    <m/>
    <s v="Good"/>
    <s v="Low"/>
    <s v="No"/>
    <s v="No"/>
    <n v="0.41657407407407404"/>
    <m/>
    <m/>
    <m/>
    <m/>
    <m/>
    <m/>
    <m/>
    <m/>
    <m/>
    <m/>
    <m/>
    <m/>
    <m/>
    <m/>
    <m/>
  </r>
  <r>
    <s v="ORD10540"/>
    <d v="2025-04-10T00:00:00"/>
    <s v="CUST1166"/>
    <s v="Rahul Verma"/>
    <x v="2"/>
    <s v="Mumbai"/>
    <s v="Maharashtra"/>
    <x v="1"/>
    <x v="0"/>
    <x v="0"/>
    <n v="2"/>
    <n v="15000"/>
    <n v="0.15"/>
    <n v="25500"/>
    <n v="15120.08"/>
    <n v="10379.92"/>
    <n v="40.71"/>
    <x v="4"/>
    <x v="2"/>
    <x v="5"/>
    <x v="4"/>
    <n v="2025"/>
    <s v="Saturday"/>
    <n v="5"/>
    <d v="2025-09-10T00:00:00"/>
    <x v="1"/>
    <s v="New"/>
    <s v="Low"/>
    <s v="Yes"/>
    <n v="5"/>
    <s v="Rahul"/>
    <s v="Verma"/>
    <m/>
    <m/>
    <m/>
    <m/>
    <m/>
    <m/>
    <s v="Good"/>
    <s v="Medium"/>
    <s v="No"/>
    <s v="Yes"/>
    <n v="0.40705568627450983"/>
    <m/>
    <m/>
    <m/>
    <m/>
    <m/>
    <m/>
    <m/>
    <m/>
    <m/>
    <m/>
    <m/>
    <m/>
    <m/>
    <m/>
    <m/>
  </r>
  <r>
    <s v="ORD10726"/>
    <d v="2025-04-10T00:00:00"/>
    <s v="CUST1225"/>
    <s v="Aarav Chopra"/>
    <x v="0"/>
    <s v="Bengaluru"/>
    <s v="Karnataka"/>
    <x v="1"/>
    <x v="3"/>
    <x v="22"/>
    <n v="2"/>
    <n v="200"/>
    <n v="0.05"/>
    <n v="380"/>
    <n v="276.51"/>
    <n v="103.49"/>
    <n v="27.23"/>
    <x v="2"/>
    <x v="0"/>
    <x v="8"/>
    <x v="4"/>
    <n v="2025"/>
    <s v="Saturday"/>
    <n v="4"/>
    <d v="2025-08-10T00:00:00"/>
    <x v="0"/>
    <s v="Returning"/>
    <s v="High"/>
    <s v="Yes"/>
    <n v="2"/>
    <s v="Aarav"/>
    <s v="Chopra"/>
    <m/>
    <m/>
    <m/>
    <m/>
    <m/>
    <m/>
    <s v="Needs Improvement"/>
    <s v="Low"/>
    <s v="No"/>
    <s v="Yes"/>
    <n v="0.27234210526315789"/>
    <m/>
    <m/>
    <m/>
    <m/>
    <m/>
    <m/>
    <m/>
    <m/>
    <m/>
    <m/>
    <m/>
    <m/>
    <m/>
    <m/>
    <m/>
  </r>
  <r>
    <s v="ORD10067"/>
    <d v="2025-04-11T00:00:00"/>
    <s v="CUST1325"/>
    <s v="Aarav Verma"/>
    <x v="1"/>
    <s v="Chennai"/>
    <s v="Tamil Nadu"/>
    <x v="3"/>
    <x v="3"/>
    <x v="5"/>
    <n v="3"/>
    <n v="200"/>
    <n v="0.2"/>
    <n v="480"/>
    <n v="282.39"/>
    <n v="197.61"/>
    <n v="41.17"/>
    <x v="4"/>
    <x v="1"/>
    <x v="9"/>
    <x v="11"/>
    <n v="2025"/>
    <s v="Tuesday"/>
    <n v="7"/>
    <d v="2025-11-11T00:00:00"/>
    <x v="0"/>
    <s v="Returning"/>
    <s v="Low"/>
    <s v="No"/>
    <n v="3"/>
    <s v="Aarav"/>
    <s v="Verma"/>
    <m/>
    <m/>
    <m/>
    <m/>
    <m/>
    <m/>
    <s v="Good"/>
    <s v="Low"/>
    <s v="No"/>
    <s v="No"/>
    <n v="0.41168750000000004"/>
    <m/>
    <m/>
    <m/>
    <m/>
    <m/>
    <m/>
    <m/>
    <m/>
    <m/>
    <m/>
    <m/>
    <m/>
    <m/>
    <m/>
    <m/>
  </r>
  <r>
    <s v="ORD10587"/>
    <d v="2025-04-11T00:00:00"/>
    <s v="CUST1279"/>
    <s v="Rahul Malhotra"/>
    <x v="1"/>
    <s v="Hyderabad"/>
    <s v="Telangana"/>
    <x v="0"/>
    <x v="3"/>
    <x v="10"/>
    <n v="10"/>
    <n v="500"/>
    <n v="0.15"/>
    <n v="4250"/>
    <n v="2425.14"/>
    <n v="1824.86"/>
    <n v="42.94"/>
    <x v="2"/>
    <x v="1"/>
    <x v="0"/>
    <x v="11"/>
    <n v="2025"/>
    <s v="Tuesday"/>
    <n v="2"/>
    <d v="2025-06-11T00:00:00"/>
    <x v="0"/>
    <s v="Returning"/>
    <s v="High"/>
    <s v="No"/>
    <n v="2"/>
    <s v="Rahul"/>
    <s v="Malhotra"/>
    <m/>
    <m/>
    <m/>
    <m/>
    <m/>
    <m/>
    <s v="Good"/>
    <s v="Low"/>
    <s v="No"/>
    <s v="No"/>
    <n v="0.42937882352941176"/>
    <m/>
    <m/>
    <m/>
    <m/>
    <m/>
    <m/>
    <m/>
    <m/>
    <m/>
    <m/>
    <m/>
    <m/>
    <m/>
    <m/>
    <m/>
  </r>
  <r>
    <s v="ORD10790"/>
    <d v="2025-04-12T00:00:00"/>
    <s v="CUST1339"/>
    <s v="Nisha Sharma"/>
    <x v="2"/>
    <s v="Mumbai"/>
    <s v="Maharashtra"/>
    <x v="1"/>
    <x v="4"/>
    <x v="13"/>
    <n v="5"/>
    <n v="800"/>
    <n v="0"/>
    <n v="4000"/>
    <n v="2243.13"/>
    <n v="1756.87"/>
    <n v="43.92"/>
    <x v="0"/>
    <x v="0"/>
    <x v="0"/>
    <x v="5"/>
    <n v="2025"/>
    <s v="Thursday"/>
    <n v="7"/>
    <d v="2025-11-12T00:00:00"/>
    <x v="0"/>
    <s v="Returning"/>
    <s v="Medium"/>
    <s v="Yes"/>
    <n v="2"/>
    <s v="Nisha"/>
    <s v="Sharma"/>
    <m/>
    <m/>
    <m/>
    <m/>
    <m/>
    <m/>
    <s v="Good"/>
    <s v="Low"/>
    <s v="No"/>
    <s v="Yes"/>
    <n v="0.43921749999999998"/>
    <m/>
    <m/>
    <m/>
    <m/>
    <m/>
    <m/>
    <m/>
    <m/>
    <m/>
    <m/>
    <m/>
    <m/>
    <m/>
    <m/>
    <m/>
  </r>
  <r>
    <s v="ORD10004"/>
    <d v="2025-05-01T00:00:00"/>
    <s v="CUST1024"/>
    <s v="Vikram Agarwal"/>
    <x v="0"/>
    <s v="Mumbai"/>
    <s v="Maharashtra"/>
    <x v="1"/>
    <x v="1"/>
    <x v="3"/>
    <n v="9"/>
    <n v="1800"/>
    <n v="0.2"/>
    <n v="12960"/>
    <n v="9593.44"/>
    <n v="3366.56"/>
    <n v="25.98"/>
    <x v="2"/>
    <x v="2"/>
    <x v="1"/>
    <x v="6"/>
    <n v="2025"/>
    <s v="Sunday"/>
    <n v="10"/>
    <s v="15-01-2025"/>
    <x v="0"/>
    <s v="Returning"/>
    <s v="Medium"/>
    <s v="No"/>
    <n v="2"/>
    <s v="Vikram"/>
    <s v="Agarwal"/>
    <m/>
    <m/>
    <m/>
    <m/>
    <m/>
    <m/>
    <s v="Needs Improvement"/>
    <s v="Medium"/>
    <s v="No"/>
    <s v="Yes"/>
    <n v="0.2597654320987654"/>
    <m/>
    <m/>
    <m/>
    <m/>
    <m/>
    <m/>
    <m/>
    <m/>
    <m/>
    <m/>
    <m/>
    <m/>
    <m/>
    <m/>
    <m/>
  </r>
  <r>
    <s v="ORD10967"/>
    <d v="2025-05-02T00:00:00"/>
    <s v="CUST1089"/>
    <s v="Meera Chopra"/>
    <x v="1"/>
    <s v="Mumbai"/>
    <s v="Maharashtra"/>
    <x v="1"/>
    <x v="0"/>
    <x v="15"/>
    <n v="9"/>
    <n v="9000"/>
    <n v="0"/>
    <n v="81000"/>
    <n v="49144.67"/>
    <n v="31855.33"/>
    <n v="39.33"/>
    <x v="3"/>
    <x v="0"/>
    <x v="6"/>
    <x v="7"/>
    <n v="2025"/>
    <s v="Wednesday"/>
    <n v="3"/>
    <d v="2025-08-02T00:00:00"/>
    <x v="1"/>
    <s v="New"/>
    <s v="Low"/>
    <s v="Yes"/>
    <n v="1"/>
    <s v="Meera"/>
    <s v="Chopra"/>
    <m/>
    <m/>
    <m/>
    <m/>
    <m/>
    <m/>
    <s v="Good"/>
    <s v="High"/>
    <s v="Yes"/>
    <s v="Yes"/>
    <n v="0.39327567901234572"/>
    <m/>
    <m/>
    <m/>
    <m/>
    <m/>
    <m/>
    <m/>
    <m/>
    <m/>
    <m/>
    <m/>
    <m/>
    <m/>
    <m/>
    <m/>
  </r>
  <r>
    <s v="ORD10770"/>
    <d v="2025-05-03T00:00:00"/>
    <s v="CUST1267"/>
    <s v="Arjun Bansal"/>
    <x v="2"/>
    <s v="Bengaluru"/>
    <s v="Karnataka"/>
    <x v="0"/>
    <x v="4"/>
    <x v="9"/>
    <n v="4"/>
    <n v="2000"/>
    <n v="0"/>
    <n v="8000"/>
    <n v="5575.03"/>
    <n v="2424.9699999999998"/>
    <n v="30.31"/>
    <x v="3"/>
    <x v="0"/>
    <x v="4"/>
    <x v="0"/>
    <n v="2025"/>
    <s v="Wednesday"/>
    <n v="2"/>
    <d v="2025-07-03T00:00:00"/>
    <x v="1"/>
    <s v="VIP"/>
    <s v="Low"/>
    <s v="No"/>
    <n v="4"/>
    <s v="Arjun"/>
    <s v="Bansal"/>
    <m/>
    <m/>
    <m/>
    <m/>
    <m/>
    <m/>
    <s v="Good"/>
    <s v="Low"/>
    <s v="No"/>
    <s v="Yes"/>
    <n v="0.30312124999999995"/>
    <m/>
    <m/>
    <m/>
    <m/>
    <m/>
    <m/>
    <m/>
    <m/>
    <m/>
    <m/>
    <m/>
    <m/>
    <m/>
    <m/>
    <m/>
  </r>
  <r>
    <s v="ORD10841"/>
    <d v="2025-05-03T00:00:00"/>
    <s v="CUST1100"/>
    <s v="Karan Verma"/>
    <x v="1"/>
    <s v="Ahmedabad"/>
    <s v="Gujarat"/>
    <x v="0"/>
    <x v="2"/>
    <x v="4"/>
    <n v="1"/>
    <n v="15000"/>
    <n v="0.2"/>
    <n v="12000"/>
    <n v="6604.73"/>
    <n v="5395.27"/>
    <n v="44.96"/>
    <x v="4"/>
    <x v="1"/>
    <x v="0"/>
    <x v="0"/>
    <n v="2025"/>
    <s v="Wednesday"/>
    <n v="10"/>
    <s v="15-03-2025"/>
    <x v="0"/>
    <s v="VIP"/>
    <s v="Low"/>
    <s v="No"/>
    <n v="5"/>
    <s v="Karan"/>
    <s v="Verma"/>
    <m/>
    <m/>
    <m/>
    <m/>
    <m/>
    <m/>
    <s v="Good"/>
    <s v="Medium"/>
    <s v="No"/>
    <s v="No"/>
    <n v="0.44960583333333337"/>
    <m/>
    <m/>
    <m/>
    <m/>
    <m/>
    <m/>
    <m/>
    <m/>
    <m/>
    <m/>
    <m/>
    <m/>
    <m/>
    <m/>
    <m/>
  </r>
  <r>
    <s v="ORD10783"/>
    <d v="2025-05-04T00:00:00"/>
    <s v="CUST1066"/>
    <s v="Kavya Bansal"/>
    <x v="1"/>
    <s v="Chennai"/>
    <s v="Tamil Nadu"/>
    <x v="2"/>
    <x v="1"/>
    <x v="3"/>
    <n v="4"/>
    <n v="1800"/>
    <n v="0.15"/>
    <n v="6120"/>
    <n v="4603"/>
    <n v="1517"/>
    <n v="24.79"/>
    <x v="2"/>
    <x v="2"/>
    <x v="5"/>
    <x v="8"/>
    <n v="2025"/>
    <s v="Saturday"/>
    <n v="10"/>
    <s v="15-04-2025"/>
    <x v="0"/>
    <s v="VIP"/>
    <s v="Medium"/>
    <s v="No"/>
    <n v="1"/>
    <s v="Kavya"/>
    <s v="Bansal"/>
    <m/>
    <m/>
    <m/>
    <m/>
    <m/>
    <m/>
    <s v="Needs Improvement"/>
    <s v="Low"/>
    <s v="No"/>
    <s v="Yes"/>
    <n v="0.24787581699346406"/>
    <m/>
    <m/>
    <m/>
    <m/>
    <m/>
    <m/>
    <m/>
    <m/>
    <m/>
    <m/>
    <m/>
    <m/>
    <m/>
    <m/>
    <m/>
  </r>
  <r>
    <s v="ORD10047"/>
    <d v="2025-05-06T00:00:00"/>
    <s v="CUST1242"/>
    <s v="Vikram Malhotra"/>
    <x v="1"/>
    <s v="Mumbai"/>
    <s v="Maharashtra"/>
    <x v="3"/>
    <x v="1"/>
    <x v="3"/>
    <n v="3"/>
    <n v="2500"/>
    <n v="0.1"/>
    <n v="6750"/>
    <n v="5233.78"/>
    <n v="1516.22"/>
    <n v="22.46"/>
    <x v="4"/>
    <x v="2"/>
    <x v="5"/>
    <x v="2"/>
    <n v="2025"/>
    <s v="Thursday"/>
    <n v="5"/>
    <d v="2025-10-06T00:00:00"/>
    <x v="2"/>
    <s v="VIP"/>
    <s v="High"/>
    <s v="Yes"/>
    <n v="1"/>
    <s v="Vikram"/>
    <s v="Malhotra"/>
    <m/>
    <m/>
    <m/>
    <m/>
    <m/>
    <m/>
    <s v="Needs Improvement"/>
    <s v="Low"/>
    <s v="No"/>
    <s v="Yes"/>
    <n v="0.22462518518518518"/>
    <m/>
    <m/>
    <m/>
    <m/>
    <m/>
    <m/>
    <m/>
    <m/>
    <m/>
    <m/>
    <m/>
    <m/>
    <m/>
    <m/>
    <m/>
  </r>
  <r>
    <s v="ORD10774"/>
    <d v="2025-05-07T00:00:00"/>
    <s v="CUST1318"/>
    <s v="Sneha Mishra"/>
    <x v="0"/>
    <s v="Chennai"/>
    <s v="Tamil Nadu"/>
    <x v="1"/>
    <x v="3"/>
    <x v="5"/>
    <n v="5"/>
    <n v="500"/>
    <n v="0.15"/>
    <n v="2125"/>
    <n v="1563.83"/>
    <n v="561.16999999999996"/>
    <n v="26.41"/>
    <x v="4"/>
    <x v="2"/>
    <x v="9"/>
    <x v="9"/>
    <n v="2025"/>
    <s v="Saturday"/>
    <n v="2"/>
    <d v="2025-07-07T00:00:00"/>
    <x v="2"/>
    <s v="New"/>
    <s v="Medium"/>
    <s v="No"/>
    <n v="5"/>
    <s v="Sneha"/>
    <s v="Mishra"/>
    <m/>
    <m/>
    <m/>
    <m/>
    <m/>
    <m/>
    <s v="Needs Improvement"/>
    <s v="Low"/>
    <s v="No"/>
    <s v="Yes"/>
    <n v="0.26407999999999998"/>
    <m/>
    <m/>
    <m/>
    <m/>
    <m/>
    <m/>
    <m/>
    <m/>
    <m/>
    <m/>
    <m/>
    <m/>
    <m/>
    <m/>
    <m/>
  </r>
  <r>
    <s v="ORD10903"/>
    <d v="2025-05-07T00:00:00"/>
    <s v="CUST1086"/>
    <s v="Rohan Malhotra"/>
    <x v="1"/>
    <s v="Delhi"/>
    <s v="Delhi"/>
    <x v="0"/>
    <x v="3"/>
    <x v="22"/>
    <n v="9"/>
    <n v="500"/>
    <n v="0.15"/>
    <n v="3825"/>
    <n v="2412.1799999999998"/>
    <n v="1412.82"/>
    <n v="36.94"/>
    <x v="3"/>
    <x v="1"/>
    <x v="0"/>
    <x v="9"/>
    <n v="2025"/>
    <s v="Saturday"/>
    <n v="8"/>
    <s v="13-07-2025"/>
    <x v="0"/>
    <s v="VIP"/>
    <s v="High"/>
    <s v="No"/>
    <n v="5"/>
    <s v="Rohan"/>
    <s v="Malhotra"/>
    <m/>
    <m/>
    <m/>
    <m/>
    <m/>
    <m/>
    <s v="Good"/>
    <s v="Low"/>
    <s v="No"/>
    <s v="No"/>
    <n v="0.36936470588235293"/>
    <m/>
    <m/>
    <m/>
    <m/>
    <m/>
    <m/>
    <m/>
    <m/>
    <m/>
    <m/>
    <m/>
    <m/>
    <m/>
    <m/>
    <m/>
  </r>
  <r>
    <s v="ORD10731"/>
    <d v="2025-05-08T00:00:00"/>
    <s v="CUST1238"/>
    <s v="Aditi Chopra"/>
    <x v="0"/>
    <s v="Bengaluru"/>
    <s v="Karnataka"/>
    <x v="0"/>
    <x v="4"/>
    <x v="9"/>
    <n v="4"/>
    <n v="800"/>
    <n v="0.05"/>
    <n v="3040"/>
    <n v="1970.29"/>
    <n v="1069.71"/>
    <n v="35.19"/>
    <x v="0"/>
    <x v="2"/>
    <x v="1"/>
    <x v="10"/>
    <n v="2025"/>
    <s v="Tuesday"/>
    <n v="4"/>
    <d v="2025-09-08T00:00:00"/>
    <x v="1"/>
    <s v="New"/>
    <s v="Medium"/>
    <s v="Yes"/>
    <n v="5"/>
    <s v="Aditi"/>
    <s v="Chopra"/>
    <m/>
    <m/>
    <m/>
    <m/>
    <m/>
    <m/>
    <s v="Good"/>
    <s v="Low"/>
    <s v="No"/>
    <s v="Yes"/>
    <n v="0.35187828947368421"/>
    <m/>
    <m/>
    <m/>
    <m/>
    <m/>
    <m/>
    <m/>
    <m/>
    <m/>
    <m/>
    <m/>
    <m/>
    <m/>
    <m/>
    <m/>
  </r>
  <r>
    <s v="ORD10830"/>
    <d v="2025-05-09T00:00:00"/>
    <s v="CUST1136"/>
    <s v="Neha Jain"/>
    <x v="2"/>
    <s v="Chennai"/>
    <s v="Tamil Nadu"/>
    <x v="3"/>
    <x v="0"/>
    <x v="15"/>
    <n v="3"/>
    <n v="15000"/>
    <n v="0.2"/>
    <n v="36000"/>
    <n v="20902"/>
    <n v="15098"/>
    <n v="41.94"/>
    <x v="3"/>
    <x v="2"/>
    <x v="5"/>
    <x v="3"/>
    <n v="2025"/>
    <s v="Friday"/>
    <n v="2"/>
    <d v="2025-07-09T00:00:00"/>
    <x v="0"/>
    <s v="New"/>
    <s v="Low"/>
    <s v="Yes"/>
    <n v="3"/>
    <s v="Neha"/>
    <s v="Jain"/>
    <m/>
    <m/>
    <m/>
    <m/>
    <m/>
    <m/>
    <s v="Good"/>
    <s v="High"/>
    <s v="Yes"/>
    <s v="Yes"/>
    <n v="0.41938888888888887"/>
    <m/>
    <m/>
    <m/>
    <m/>
    <m/>
    <m/>
    <m/>
    <m/>
    <m/>
    <m/>
    <m/>
    <m/>
    <m/>
    <m/>
    <m/>
  </r>
  <r>
    <s v="ORD10789"/>
    <d v="2025-05-10T00:00:00"/>
    <s v="CUST1224"/>
    <s v="Pooja Jain"/>
    <x v="2"/>
    <s v="Lucknow"/>
    <s v="Uttar Pradesh"/>
    <x v="3"/>
    <x v="1"/>
    <x v="2"/>
    <n v="5"/>
    <n v="700"/>
    <n v="0.15"/>
    <n v="2975"/>
    <n v="1723.06"/>
    <n v="1251.94"/>
    <n v="42.08"/>
    <x v="2"/>
    <x v="2"/>
    <x v="3"/>
    <x v="4"/>
    <n v="2025"/>
    <s v="Sunday"/>
    <n v="8"/>
    <s v="13-10-2025"/>
    <x v="1"/>
    <s v="New"/>
    <s v="Low"/>
    <s v="Yes"/>
    <n v="3"/>
    <s v="Pooja"/>
    <s v="Jain"/>
    <m/>
    <m/>
    <m/>
    <m/>
    <m/>
    <m/>
    <s v="Good"/>
    <s v="Low"/>
    <s v="No"/>
    <s v="Yes"/>
    <n v="0.42082016806722689"/>
    <m/>
    <m/>
    <m/>
    <m/>
    <m/>
    <m/>
    <m/>
    <m/>
    <m/>
    <m/>
    <m/>
    <m/>
    <m/>
    <m/>
    <m/>
  </r>
  <r>
    <s v="ORD10314"/>
    <d v="2025-05-11T00:00:00"/>
    <s v="CUST1134"/>
    <s v="Vikram Malhotra"/>
    <x v="2"/>
    <s v="Delhi"/>
    <s v="Delhi"/>
    <x v="1"/>
    <x v="2"/>
    <x v="12"/>
    <n v="3"/>
    <n v="35000"/>
    <n v="0.05"/>
    <n v="99750"/>
    <n v="76619.67"/>
    <n v="23130.33"/>
    <n v="23.19"/>
    <x v="0"/>
    <x v="2"/>
    <x v="4"/>
    <x v="11"/>
    <n v="2025"/>
    <s v="Wednesday"/>
    <n v="8"/>
    <s v="13-11-2025"/>
    <x v="0"/>
    <s v="VIP"/>
    <s v="Low"/>
    <s v="No"/>
    <n v="4"/>
    <s v="Vikram"/>
    <s v="Malhotra"/>
    <m/>
    <m/>
    <m/>
    <m/>
    <m/>
    <m/>
    <s v="Needs Improvement"/>
    <s v="High"/>
    <s v="Yes"/>
    <s v="Yes"/>
    <n v="0.23188300751879701"/>
    <m/>
    <m/>
    <m/>
    <m/>
    <m/>
    <m/>
    <m/>
    <m/>
    <m/>
    <m/>
    <m/>
    <m/>
    <m/>
    <m/>
    <m/>
  </r>
  <r>
    <s v="ORD10235"/>
    <d v="2025-05-12T00:00:00"/>
    <s v="CUST1080"/>
    <s v="Ishita Mishra"/>
    <x v="1"/>
    <s v="Ahmedabad"/>
    <s v="Gujarat"/>
    <x v="0"/>
    <x v="2"/>
    <x v="12"/>
    <n v="1"/>
    <n v="22000"/>
    <n v="0.05"/>
    <n v="20900"/>
    <n v="13539.29"/>
    <n v="7360.71"/>
    <n v="35.22"/>
    <x v="0"/>
    <x v="0"/>
    <x v="1"/>
    <x v="5"/>
    <n v="2025"/>
    <s v="Friday"/>
    <n v="6"/>
    <d v="2025-11-12T00:00:00"/>
    <x v="2"/>
    <s v="VIP"/>
    <s v="Medium"/>
    <s v="No"/>
    <n v="4"/>
    <s v="Ishita"/>
    <s v="Mishra"/>
    <m/>
    <m/>
    <m/>
    <m/>
    <m/>
    <m/>
    <s v="Good"/>
    <s v="Medium"/>
    <s v="No"/>
    <s v="Yes"/>
    <n v="0.35218708133971294"/>
    <m/>
    <m/>
    <m/>
    <m/>
    <m/>
    <m/>
    <m/>
    <m/>
    <m/>
    <m/>
    <m/>
    <m/>
    <m/>
    <m/>
    <m/>
  </r>
  <r>
    <s v="ORD10261"/>
    <d v="2025-05-12T00:00:00"/>
    <s v="CUST1046"/>
    <s v="Vikram Gupta"/>
    <x v="0"/>
    <s v="Hyderabad"/>
    <s v="Telangana"/>
    <x v="1"/>
    <x v="2"/>
    <x v="7"/>
    <n v="10"/>
    <n v="50000"/>
    <n v="0.15"/>
    <n v="425000"/>
    <n v="276368"/>
    <n v="148632"/>
    <n v="34.97"/>
    <x v="3"/>
    <x v="1"/>
    <x v="7"/>
    <x v="5"/>
    <n v="2025"/>
    <s v="Friday"/>
    <n v="10"/>
    <s v="15-12-2025"/>
    <x v="0"/>
    <s v="New"/>
    <s v="Medium"/>
    <s v="Yes"/>
    <n v="5"/>
    <s v="Vikram"/>
    <s v="Gupta"/>
    <m/>
    <m/>
    <m/>
    <m/>
    <m/>
    <m/>
    <s v="Good"/>
    <s v="High"/>
    <s v="Yes"/>
    <s v="No"/>
    <n v="0.34972235294117648"/>
    <m/>
    <m/>
    <m/>
    <m/>
    <m/>
    <m/>
    <m/>
    <m/>
    <m/>
    <m/>
    <m/>
    <m/>
    <m/>
    <m/>
    <m/>
  </r>
  <r>
    <s v="ORD10553"/>
    <d v="2025-05-12T00:00:00"/>
    <s v="CUST1088"/>
    <s v="Rohan Bansal"/>
    <x v="0"/>
    <s v="Mumbai"/>
    <s v="Maharashtra"/>
    <x v="1"/>
    <x v="2"/>
    <x v="8"/>
    <n v="2"/>
    <n v="15000"/>
    <n v="0.1"/>
    <n v="27000"/>
    <n v="16817.66"/>
    <n v="10182.34"/>
    <n v="37.71"/>
    <x v="2"/>
    <x v="1"/>
    <x v="4"/>
    <x v="5"/>
    <n v="2025"/>
    <s v="Friday"/>
    <n v="10"/>
    <s v="15-12-2025"/>
    <x v="2"/>
    <s v="VIP"/>
    <s v="Medium"/>
    <s v="No"/>
    <n v="1"/>
    <s v="Rohan"/>
    <s v="Bansal"/>
    <m/>
    <m/>
    <m/>
    <m/>
    <m/>
    <m/>
    <s v="Good"/>
    <s v="Medium"/>
    <s v="No"/>
    <s v="No"/>
    <n v="0.37712370370370368"/>
    <m/>
    <m/>
    <m/>
    <m/>
    <m/>
    <m/>
    <m/>
    <m/>
    <m/>
    <m/>
    <m/>
    <m/>
    <m/>
    <m/>
    <m/>
  </r>
  <r>
    <s v="ORD10847"/>
    <d v="2025-05-12T00:00:00"/>
    <s v="CUST1004"/>
    <s v="Karan Jain"/>
    <x v="2"/>
    <s v="Mumbai"/>
    <s v="Maharashtra"/>
    <x v="3"/>
    <x v="0"/>
    <x v="24"/>
    <n v="5"/>
    <n v="9000"/>
    <n v="0.05"/>
    <n v="42750"/>
    <n v="28980.53"/>
    <n v="13769.47"/>
    <n v="32.21"/>
    <x v="4"/>
    <x v="2"/>
    <x v="2"/>
    <x v="5"/>
    <n v="2025"/>
    <s v="Friday"/>
    <n v="2"/>
    <d v="2025-07-12T00:00:00"/>
    <x v="0"/>
    <s v="New"/>
    <s v="Low"/>
    <s v="Yes"/>
    <n v="2"/>
    <s v="Karan"/>
    <s v="Jain"/>
    <m/>
    <m/>
    <m/>
    <m/>
    <m/>
    <m/>
    <s v="Good"/>
    <s v="High"/>
    <s v="Yes"/>
    <s v="Yes"/>
    <n v="0.322092865497076"/>
    <m/>
    <m/>
    <m/>
    <m/>
    <m/>
    <m/>
    <m/>
    <m/>
    <m/>
    <m/>
    <m/>
    <m/>
    <m/>
    <m/>
    <m/>
  </r>
  <r>
    <s v="ORD10251"/>
    <d v="2025-06-01T00:00:00"/>
    <s v="CUST1212"/>
    <s v="Karan Gupta"/>
    <x v="2"/>
    <s v="Pune"/>
    <s v="Maharashtra"/>
    <x v="3"/>
    <x v="3"/>
    <x v="22"/>
    <n v="7"/>
    <n v="350"/>
    <n v="0.15"/>
    <n v="2082.5"/>
    <n v="1688.27"/>
    <n v="394.23"/>
    <n v="18.93"/>
    <x v="2"/>
    <x v="0"/>
    <x v="0"/>
    <x v="6"/>
    <n v="2025"/>
    <s v="Monday"/>
    <n v="10"/>
    <s v="16-01-2025"/>
    <x v="1"/>
    <s v="VIP"/>
    <s v="High"/>
    <s v="Yes"/>
    <n v="2"/>
    <s v="Karan"/>
    <s v="Gupta"/>
    <m/>
    <m/>
    <m/>
    <m/>
    <m/>
    <m/>
    <s v="Needs Improvement"/>
    <s v="Low"/>
    <s v="No"/>
    <s v="Yes"/>
    <n v="0.1893061224489796"/>
    <m/>
    <m/>
    <m/>
    <m/>
    <m/>
    <m/>
    <m/>
    <m/>
    <m/>
    <m/>
    <m/>
    <m/>
    <m/>
    <m/>
    <m/>
  </r>
  <r>
    <s v="ORD10130"/>
    <d v="2025-06-04T00:00:00"/>
    <s v="CUST1193"/>
    <s v="Ishita Gupta"/>
    <x v="1"/>
    <s v="Lucknow"/>
    <s v="Uttar Pradesh"/>
    <x v="2"/>
    <x v="4"/>
    <x v="19"/>
    <n v="6"/>
    <n v="500"/>
    <n v="0.1"/>
    <n v="2700"/>
    <n v="1744.39"/>
    <n v="955.61"/>
    <n v="35.39"/>
    <x v="1"/>
    <x v="0"/>
    <x v="0"/>
    <x v="8"/>
    <n v="2025"/>
    <s v="Sunday"/>
    <n v="8"/>
    <s v="14-04-2025"/>
    <x v="0"/>
    <s v="New"/>
    <s v="High"/>
    <s v="Yes"/>
    <n v="1"/>
    <s v="Ishita"/>
    <s v="Gupta"/>
    <m/>
    <m/>
    <m/>
    <m/>
    <m/>
    <m/>
    <s v="Good"/>
    <s v="Low"/>
    <s v="No"/>
    <s v="Yes"/>
    <n v="0.35392962962962965"/>
    <m/>
    <m/>
    <m/>
    <m/>
    <m/>
    <m/>
    <m/>
    <m/>
    <m/>
    <m/>
    <m/>
    <m/>
    <m/>
    <m/>
    <m/>
  </r>
  <r>
    <s v="ORD10143"/>
    <d v="2025-06-04T00:00:00"/>
    <s v="CUST1005"/>
    <s v="Kavya Gupta"/>
    <x v="2"/>
    <s v="Bengaluru"/>
    <s v="Karnataka"/>
    <x v="2"/>
    <x v="1"/>
    <x v="6"/>
    <n v="3"/>
    <n v="1200"/>
    <n v="0.1"/>
    <n v="3240"/>
    <n v="2539.16"/>
    <n v="700.84"/>
    <n v="21.63"/>
    <x v="3"/>
    <x v="0"/>
    <x v="9"/>
    <x v="8"/>
    <n v="2025"/>
    <s v="Sunday"/>
    <n v="10"/>
    <s v="16-04-2025"/>
    <x v="0"/>
    <s v="Returning"/>
    <s v="High"/>
    <s v="No"/>
    <n v="4"/>
    <s v="Kavya"/>
    <s v="Gupta"/>
    <m/>
    <m/>
    <m/>
    <m/>
    <m/>
    <m/>
    <s v="Needs Improvement"/>
    <s v="Low"/>
    <s v="No"/>
    <s v="Yes"/>
    <n v="0.21630864197530866"/>
    <m/>
    <m/>
    <m/>
    <m/>
    <m/>
    <m/>
    <m/>
    <m/>
    <m/>
    <m/>
    <m/>
    <m/>
    <m/>
    <m/>
    <m/>
  </r>
  <r>
    <s v="ORD10247"/>
    <d v="2025-06-04T00:00:00"/>
    <s v="CUST1295"/>
    <s v="Vikram Chopra"/>
    <x v="2"/>
    <s v="Hyderabad"/>
    <s v="Telangana"/>
    <x v="0"/>
    <x v="1"/>
    <x v="6"/>
    <n v="6"/>
    <n v="2500"/>
    <n v="0.1"/>
    <n v="13500"/>
    <n v="7903"/>
    <n v="5597"/>
    <n v="41.46"/>
    <x v="2"/>
    <x v="0"/>
    <x v="1"/>
    <x v="8"/>
    <n v="2025"/>
    <s v="Sunday"/>
    <n v="3"/>
    <d v="2025-09-04T00:00:00"/>
    <x v="1"/>
    <s v="Returning"/>
    <s v="Low"/>
    <s v="Yes"/>
    <n v="2"/>
    <s v="Vikram"/>
    <s v="Chopra"/>
    <m/>
    <m/>
    <m/>
    <m/>
    <m/>
    <m/>
    <s v="Good"/>
    <s v="Medium"/>
    <s v="No"/>
    <s v="Yes"/>
    <n v="0.41459259259259257"/>
    <m/>
    <m/>
    <m/>
    <m/>
    <m/>
    <m/>
    <m/>
    <m/>
    <m/>
    <m/>
    <m/>
    <m/>
    <m/>
    <m/>
    <m/>
  </r>
  <r>
    <s v="ORD10440"/>
    <d v="2025-06-04T00:00:00"/>
    <s v="CUST1255"/>
    <s v="Neha Kumar"/>
    <x v="0"/>
    <s v="Delhi"/>
    <s v="Delhi"/>
    <x v="1"/>
    <x v="1"/>
    <x v="20"/>
    <n v="10"/>
    <n v="1800"/>
    <n v="0.15"/>
    <n v="15300"/>
    <n v="10104.379999999999"/>
    <n v="5195.62"/>
    <n v="33.96"/>
    <x v="2"/>
    <x v="1"/>
    <x v="6"/>
    <x v="8"/>
    <n v="2025"/>
    <s v="Sunday"/>
    <n v="8"/>
    <s v="14-04-2025"/>
    <x v="2"/>
    <s v="Returning"/>
    <s v="High"/>
    <s v="Yes"/>
    <n v="3"/>
    <s v="Neha"/>
    <s v="Kumar"/>
    <m/>
    <m/>
    <m/>
    <m/>
    <m/>
    <m/>
    <s v="Good"/>
    <s v="Medium"/>
    <s v="No"/>
    <s v="No"/>
    <n v="0.3395830065359477"/>
    <m/>
    <m/>
    <m/>
    <m/>
    <m/>
    <m/>
    <m/>
    <m/>
    <m/>
    <m/>
    <m/>
    <m/>
    <m/>
    <m/>
    <m/>
  </r>
  <r>
    <s v="ORD10763"/>
    <d v="2025-06-05T00:00:00"/>
    <s v="CUST1342"/>
    <s v="Vikram Verma"/>
    <x v="1"/>
    <s v="Chennai"/>
    <s v="Tamil Nadu"/>
    <x v="1"/>
    <x v="1"/>
    <x v="14"/>
    <n v="10"/>
    <n v="1200"/>
    <n v="0.15"/>
    <n v="10200"/>
    <n v="6395.83"/>
    <n v="3804.17"/>
    <n v="37.299999999999997"/>
    <x v="1"/>
    <x v="2"/>
    <x v="5"/>
    <x v="1"/>
    <n v="2025"/>
    <s v="Tuesday"/>
    <n v="9"/>
    <s v="15-05-2025"/>
    <x v="1"/>
    <s v="New"/>
    <s v="Low"/>
    <s v="No"/>
    <n v="1"/>
    <s v="Vikram"/>
    <s v="Verma"/>
    <m/>
    <m/>
    <m/>
    <m/>
    <m/>
    <m/>
    <s v="Good"/>
    <s v="Medium"/>
    <s v="No"/>
    <s v="Yes"/>
    <n v="0.37295784313725489"/>
    <m/>
    <m/>
    <m/>
    <m/>
    <m/>
    <m/>
    <m/>
    <m/>
    <m/>
    <m/>
    <m/>
    <m/>
    <m/>
    <m/>
    <m/>
  </r>
  <r>
    <s v="ORD10839"/>
    <d v="2025-06-05T00:00:00"/>
    <s v="CUST1009"/>
    <s v="Vikram Mishra"/>
    <x v="0"/>
    <s v="Hyderabad"/>
    <s v="Telangana"/>
    <x v="2"/>
    <x v="3"/>
    <x v="18"/>
    <n v="7"/>
    <n v="350"/>
    <n v="0.05"/>
    <n v="2327.5"/>
    <n v="1848.73"/>
    <n v="478.77"/>
    <n v="20.57"/>
    <x v="2"/>
    <x v="0"/>
    <x v="8"/>
    <x v="1"/>
    <n v="2025"/>
    <s v="Tuesday"/>
    <n v="4"/>
    <d v="2025-10-05T00:00:00"/>
    <x v="2"/>
    <s v="VIP"/>
    <s v="Low"/>
    <s v="Yes"/>
    <n v="3"/>
    <s v="Vikram"/>
    <s v="Mishra"/>
    <m/>
    <m/>
    <m/>
    <m/>
    <m/>
    <m/>
    <s v="Needs Improvement"/>
    <s v="Low"/>
    <s v="No"/>
    <s v="Yes"/>
    <n v="0.20570139634801288"/>
    <m/>
    <m/>
    <m/>
    <m/>
    <m/>
    <m/>
    <m/>
    <m/>
    <m/>
    <m/>
    <m/>
    <m/>
    <m/>
    <m/>
    <m/>
  </r>
  <r>
    <s v="ORD10759"/>
    <d v="2025-06-06T00:00:00"/>
    <s v="CUST1213"/>
    <s v="Aditi Verma"/>
    <x v="2"/>
    <s v="Ahmedabad"/>
    <s v="Gujarat"/>
    <x v="3"/>
    <x v="3"/>
    <x v="17"/>
    <n v="7"/>
    <n v="500"/>
    <n v="0"/>
    <n v="3500"/>
    <n v="1947.22"/>
    <n v="1552.78"/>
    <n v="44.37"/>
    <x v="3"/>
    <x v="2"/>
    <x v="6"/>
    <x v="2"/>
    <n v="2025"/>
    <s v="Friday"/>
    <n v="5"/>
    <d v="2025-11-06T00:00:00"/>
    <x v="2"/>
    <s v="New"/>
    <s v="High"/>
    <s v="No"/>
    <n v="1"/>
    <s v="Aditi"/>
    <s v="Verma"/>
    <m/>
    <m/>
    <m/>
    <m/>
    <m/>
    <m/>
    <s v="Good"/>
    <s v="Low"/>
    <s v="No"/>
    <s v="Yes"/>
    <n v="0.44365142857142859"/>
    <m/>
    <m/>
    <m/>
    <m/>
    <m/>
    <m/>
    <m/>
    <m/>
    <m/>
    <m/>
    <m/>
    <m/>
    <m/>
    <m/>
    <m/>
  </r>
  <r>
    <s v="ORD10043"/>
    <d v="2025-06-07T00:00:00"/>
    <s v="CUST1021"/>
    <s v="Ishita Yadav"/>
    <x v="0"/>
    <s v="Mumbai"/>
    <s v="Maharashtra"/>
    <x v="0"/>
    <x v="1"/>
    <x v="6"/>
    <n v="7"/>
    <n v="1800"/>
    <n v="0.2"/>
    <n v="10080"/>
    <n v="5762.93"/>
    <n v="4317.07"/>
    <n v="42.83"/>
    <x v="1"/>
    <x v="2"/>
    <x v="6"/>
    <x v="9"/>
    <n v="2025"/>
    <s v="Sunday"/>
    <n v="8"/>
    <s v="14-07-2025"/>
    <x v="2"/>
    <s v="VIP"/>
    <s v="High"/>
    <s v="Yes"/>
    <n v="3"/>
    <s v="Ishita"/>
    <s v="Yadav"/>
    <m/>
    <m/>
    <m/>
    <m/>
    <m/>
    <m/>
    <s v="Good"/>
    <s v="Medium"/>
    <s v="No"/>
    <s v="Yes"/>
    <n v="0.42828075396825394"/>
    <m/>
    <m/>
    <m/>
    <m/>
    <m/>
    <m/>
    <m/>
    <m/>
    <m/>
    <m/>
    <m/>
    <m/>
    <m/>
    <m/>
    <m/>
  </r>
  <r>
    <s v="ORD10254"/>
    <d v="2025-06-07T00:00:00"/>
    <s v="CUST1188"/>
    <s v="Ishita Kumar"/>
    <x v="2"/>
    <s v="Kolkata"/>
    <s v="West Bengal"/>
    <x v="0"/>
    <x v="4"/>
    <x v="13"/>
    <n v="5"/>
    <n v="1200"/>
    <n v="0.15"/>
    <n v="5100"/>
    <n v="3413.44"/>
    <n v="1686.56"/>
    <n v="33.07"/>
    <x v="1"/>
    <x v="2"/>
    <x v="8"/>
    <x v="9"/>
    <n v="2025"/>
    <s v="Sunday"/>
    <n v="4"/>
    <d v="2025-10-07T00:00:00"/>
    <x v="0"/>
    <s v="New"/>
    <s v="Medium"/>
    <s v="No"/>
    <n v="4"/>
    <s v="Ishita"/>
    <s v="Kumar"/>
    <m/>
    <m/>
    <m/>
    <m/>
    <m/>
    <m/>
    <s v="Good"/>
    <s v="Low"/>
    <s v="No"/>
    <s v="Yes"/>
    <n v="0.33069803921568625"/>
    <m/>
    <m/>
    <m/>
    <m/>
    <m/>
    <m/>
    <m/>
    <m/>
    <m/>
    <m/>
    <m/>
    <m/>
    <m/>
    <m/>
    <m/>
  </r>
  <r>
    <s v="ORD10893"/>
    <d v="2025-06-07T00:00:00"/>
    <s v="CUST1232"/>
    <s v="Ananya Mehta"/>
    <x v="2"/>
    <s v="Ahmedabad"/>
    <s v="Gujarat"/>
    <x v="1"/>
    <x v="1"/>
    <x v="14"/>
    <n v="7"/>
    <n v="2500"/>
    <n v="0.05"/>
    <n v="16625"/>
    <n v="13335.81"/>
    <n v="3289.19"/>
    <n v="19.78"/>
    <x v="4"/>
    <x v="1"/>
    <x v="5"/>
    <x v="9"/>
    <n v="2025"/>
    <s v="Sunday"/>
    <n v="3"/>
    <d v="2025-09-07T00:00:00"/>
    <x v="0"/>
    <s v="VIP"/>
    <s v="Medium"/>
    <s v="No"/>
    <n v="5"/>
    <s v="Ananya"/>
    <s v="Mehta"/>
    <m/>
    <m/>
    <m/>
    <m/>
    <m/>
    <m/>
    <s v="Needs Improvement"/>
    <s v="Medium"/>
    <s v="No"/>
    <s v="No"/>
    <n v="0.197846015037594"/>
    <m/>
    <m/>
    <m/>
    <m/>
    <m/>
    <m/>
    <m/>
    <m/>
    <m/>
    <m/>
    <m/>
    <m/>
    <m/>
    <m/>
    <m/>
  </r>
  <r>
    <s v="ORD10710"/>
    <d v="2025-06-08T00:00:00"/>
    <s v="CUST1252"/>
    <s v="Ishita Yadav"/>
    <x v="2"/>
    <s v="Jaipur"/>
    <s v="Rajasthan"/>
    <x v="2"/>
    <x v="0"/>
    <x v="15"/>
    <n v="6"/>
    <n v="2500"/>
    <n v="0.1"/>
    <n v="13500"/>
    <n v="10026.120000000001"/>
    <n v="3473.88"/>
    <n v="25.73"/>
    <x v="2"/>
    <x v="0"/>
    <x v="9"/>
    <x v="10"/>
    <n v="2025"/>
    <s v="Wednesday"/>
    <n v="5"/>
    <d v="2025-11-08T00:00:00"/>
    <x v="0"/>
    <s v="Returning"/>
    <s v="High"/>
    <s v="No"/>
    <n v="3"/>
    <s v="Ishita"/>
    <s v="Yadav"/>
    <m/>
    <m/>
    <m/>
    <m/>
    <m/>
    <m/>
    <s v="Needs Improvement"/>
    <s v="Medium"/>
    <s v="No"/>
    <s v="Yes"/>
    <n v="0.25732444444444447"/>
    <m/>
    <m/>
    <m/>
    <m/>
    <m/>
    <m/>
    <m/>
    <m/>
    <m/>
    <m/>
    <m/>
    <m/>
    <m/>
    <m/>
    <m/>
  </r>
  <r>
    <s v="ORD10890"/>
    <d v="2025-06-08T00:00:00"/>
    <s v="CUST1090"/>
    <s v="Aditya Bansal"/>
    <x v="2"/>
    <s v="Chennai"/>
    <s v="Tamil Nadu"/>
    <x v="0"/>
    <x v="4"/>
    <x v="19"/>
    <n v="2"/>
    <n v="1200"/>
    <n v="0.15"/>
    <n v="2040"/>
    <n v="1409.98"/>
    <n v="630.02"/>
    <n v="30.88"/>
    <x v="3"/>
    <x v="1"/>
    <x v="9"/>
    <x v="10"/>
    <n v="2025"/>
    <s v="Wednesday"/>
    <n v="3"/>
    <d v="2025-09-08T00:00:00"/>
    <x v="0"/>
    <s v="VIP"/>
    <s v="Low"/>
    <s v="No"/>
    <n v="2"/>
    <s v="Aditya"/>
    <s v="Bansal"/>
    <m/>
    <m/>
    <m/>
    <m/>
    <m/>
    <m/>
    <s v="Good"/>
    <s v="Low"/>
    <s v="No"/>
    <s v="No"/>
    <n v="0.30883333333333335"/>
    <m/>
    <m/>
    <m/>
    <m/>
    <m/>
    <m/>
    <m/>
    <m/>
    <m/>
    <m/>
    <m/>
    <m/>
    <m/>
    <m/>
    <m/>
  </r>
  <r>
    <s v="ORD10802"/>
    <d v="2025-06-09T00:00:00"/>
    <s v="CUST1212"/>
    <s v="Pooja Mehta"/>
    <x v="0"/>
    <s v="Ahmedabad"/>
    <s v="Gujarat"/>
    <x v="0"/>
    <x v="1"/>
    <x v="2"/>
    <n v="1"/>
    <n v="1200"/>
    <n v="0"/>
    <n v="1200"/>
    <n v="697.43"/>
    <n v="502.57"/>
    <n v="41.88"/>
    <x v="1"/>
    <x v="1"/>
    <x v="9"/>
    <x v="3"/>
    <n v="2025"/>
    <s v="Saturday"/>
    <n v="6"/>
    <d v="2025-12-09T00:00:00"/>
    <x v="0"/>
    <s v="New"/>
    <s v="Low"/>
    <s v="Yes"/>
    <n v="4"/>
    <s v="Pooja"/>
    <s v="Mehta"/>
    <m/>
    <m/>
    <m/>
    <m/>
    <m/>
    <m/>
    <s v="Good"/>
    <s v="Low"/>
    <s v="No"/>
    <s v="No"/>
    <n v="0.41880833333333334"/>
    <m/>
    <m/>
    <m/>
    <m/>
    <m/>
    <m/>
    <m/>
    <m/>
    <m/>
    <m/>
    <m/>
    <m/>
    <m/>
    <m/>
    <m/>
  </r>
  <r>
    <s v="ORD10940"/>
    <d v="2025-06-09T00:00:00"/>
    <s v="CUST1078"/>
    <s v="Riya Yadav"/>
    <x v="0"/>
    <s v="Bengaluru"/>
    <s v="Karnataka"/>
    <x v="2"/>
    <x v="4"/>
    <x v="19"/>
    <n v="10"/>
    <n v="1200"/>
    <n v="0.05"/>
    <n v="11400"/>
    <n v="9051.93"/>
    <n v="2348.0700000000002"/>
    <n v="20.6"/>
    <x v="1"/>
    <x v="1"/>
    <x v="7"/>
    <x v="3"/>
    <n v="2025"/>
    <s v="Saturday"/>
    <n v="7"/>
    <s v="13-09-2025"/>
    <x v="1"/>
    <s v="VIP"/>
    <s v="Medium"/>
    <s v="Yes"/>
    <n v="1"/>
    <s v="Riya"/>
    <s v="Yadav"/>
    <m/>
    <m/>
    <m/>
    <m/>
    <m/>
    <m/>
    <s v="Needs Improvement"/>
    <s v="Medium"/>
    <s v="No"/>
    <s v="No"/>
    <n v="0.20597105263157897"/>
    <m/>
    <m/>
    <m/>
    <m/>
    <m/>
    <m/>
    <m/>
    <m/>
    <m/>
    <m/>
    <m/>
    <m/>
    <m/>
    <m/>
    <m/>
  </r>
  <r>
    <s v="ORD10292"/>
    <d v="2025-06-10T00:00:00"/>
    <s v="CUST1310"/>
    <s v="Priya Mehta"/>
    <x v="1"/>
    <s v="Hyderabad"/>
    <s v="Telangana"/>
    <x v="0"/>
    <x v="0"/>
    <x v="0"/>
    <n v="1"/>
    <n v="2500"/>
    <n v="0.2"/>
    <n v="2000"/>
    <n v="1361.18"/>
    <n v="638.82000000000005"/>
    <n v="31.94"/>
    <x v="0"/>
    <x v="0"/>
    <x v="5"/>
    <x v="4"/>
    <n v="2025"/>
    <s v="Monday"/>
    <n v="9"/>
    <s v="15-10-2025"/>
    <x v="0"/>
    <s v="VIP"/>
    <s v="Medium"/>
    <s v="Yes"/>
    <n v="5"/>
    <s v="Priya"/>
    <s v="Mehta"/>
    <m/>
    <m/>
    <m/>
    <m/>
    <m/>
    <m/>
    <s v="Good"/>
    <s v="Low"/>
    <s v="No"/>
    <s v="Yes"/>
    <n v="0.31941000000000003"/>
    <m/>
    <m/>
    <m/>
    <m/>
    <m/>
    <m/>
    <m/>
    <m/>
    <m/>
    <m/>
    <m/>
    <m/>
    <m/>
    <m/>
    <m/>
  </r>
  <r>
    <s v="ORD10721"/>
    <d v="2025-06-11T00:00:00"/>
    <s v="CUST1117"/>
    <s v="Sneha Saxena"/>
    <x v="0"/>
    <s v="Kolkata"/>
    <s v="West Bengal"/>
    <x v="1"/>
    <x v="0"/>
    <x v="15"/>
    <n v="5"/>
    <n v="2500"/>
    <n v="0.05"/>
    <n v="11875"/>
    <n v="9696.09"/>
    <n v="2178.91"/>
    <n v="18.350000000000001"/>
    <x v="2"/>
    <x v="2"/>
    <x v="5"/>
    <x v="11"/>
    <n v="2025"/>
    <s v="Thursday"/>
    <n v="6"/>
    <d v="2025-12-11T00:00:00"/>
    <x v="0"/>
    <s v="New"/>
    <s v="High"/>
    <s v="No"/>
    <n v="4"/>
    <s v="Sneha"/>
    <s v="Saxena"/>
    <m/>
    <m/>
    <m/>
    <m/>
    <m/>
    <m/>
    <s v="Needs Improvement"/>
    <s v="Medium"/>
    <s v="No"/>
    <s v="Yes"/>
    <n v="0.18348715789473682"/>
    <m/>
    <m/>
    <m/>
    <m/>
    <m/>
    <m/>
    <m/>
    <m/>
    <m/>
    <m/>
    <m/>
    <m/>
    <m/>
    <m/>
    <m/>
  </r>
  <r>
    <s v="ORD10308"/>
    <d v="2025-07-02T00:00:00"/>
    <s v="CUST1223"/>
    <s v="Aditi Singh"/>
    <x v="1"/>
    <s v="Pune"/>
    <s v="Maharashtra"/>
    <x v="3"/>
    <x v="2"/>
    <x v="4"/>
    <n v="7"/>
    <n v="50000"/>
    <n v="0.2"/>
    <n v="280000"/>
    <n v="184696.07"/>
    <n v="95303.93"/>
    <n v="34.04"/>
    <x v="4"/>
    <x v="2"/>
    <x v="6"/>
    <x v="7"/>
    <n v="2025"/>
    <s v="Friday"/>
    <n v="6"/>
    <s v="13-02-2025"/>
    <x v="2"/>
    <s v="VIP"/>
    <s v="Medium"/>
    <s v="No"/>
    <n v="4"/>
    <s v="Aditi"/>
    <s v="Singh"/>
    <m/>
    <m/>
    <m/>
    <m/>
    <m/>
    <m/>
    <s v="Good"/>
    <s v="High"/>
    <s v="Yes"/>
    <s v="Yes"/>
    <n v="0.34037117857142857"/>
    <m/>
    <m/>
    <m/>
    <m/>
    <m/>
    <m/>
    <m/>
    <m/>
    <m/>
    <m/>
    <m/>
    <m/>
    <m/>
    <m/>
    <m/>
  </r>
  <r>
    <s v="ORD10031"/>
    <d v="2025-07-03T00:00:00"/>
    <s v="CUST1277"/>
    <s v="Vivaan Jain"/>
    <x v="2"/>
    <s v="Hyderabad"/>
    <s v="Telangana"/>
    <x v="1"/>
    <x v="1"/>
    <x v="6"/>
    <n v="6"/>
    <n v="2500"/>
    <n v="0.1"/>
    <n v="13500"/>
    <n v="9139.27"/>
    <n v="4360.7299999999996"/>
    <n v="32.299999999999997"/>
    <x v="1"/>
    <x v="2"/>
    <x v="6"/>
    <x v="0"/>
    <n v="2025"/>
    <s v="Friday"/>
    <n v="5"/>
    <d v="2025-12-03T00:00:00"/>
    <x v="0"/>
    <s v="New"/>
    <s v="Low"/>
    <s v="Yes"/>
    <n v="2"/>
    <s v="Vivaan"/>
    <s v="Jain"/>
    <m/>
    <m/>
    <m/>
    <m/>
    <m/>
    <m/>
    <s v="Good"/>
    <s v="Medium"/>
    <s v="No"/>
    <s v="Yes"/>
    <n v="0.32301703703703699"/>
    <m/>
    <m/>
    <m/>
    <m/>
    <m/>
    <m/>
    <m/>
    <m/>
    <m/>
    <m/>
    <m/>
    <m/>
    <m/>
    <m/>
    <m/>
  </r>
  <r>
    <s v="ORD10518"/>
    <d v="2025-07-03T00:00:00"/>
    <s v="CUST1029"/>
    <s v="Rohan Verma"/>
    <x v="1"/>
    <s v="Chennai"/>
    <s v="Tamil Nadu"/>
    <x v="3"/>
    <x v="0"/>
    <x v="24"/>
    <n v="8"/>
    <n v="4000"/>
    <n v="0.2"/>
    <n v="25600"/>
    <n v="19801.900000000001"/>
    <n v="5798.1"/>
    <n v="22.65"/>
    <x v="4"/>
    <x v="0"/>
    <x v="7"/>
    <x v="0"/>
    <n v="2025"/>
    <s v="Friday"/>
    <n v="4"/>
    <d v="2025-11-03T00:00:00"/>
    <x v="0"/>
    <s v="VIP"/>
    <s v="Medium"/>
    <s v="No"/>
    <n v="1"/>
    <s v="Rohan"/>
    <s v="Verma"/>
    <m/>
    <m/>
    <m/>
    <m/>
    <m/>
    <m/>
    <s v="Needs Improvement"/>
    <s v="Medium"/>
    <s v="No"/>
    <s v="Yes"/>
    <n v="0.22648828125000001"/>
    <m/>
    <m/>
    <m/>
    <m/>
    <m/>
    <m/>
    <m/>
    <m/>
    <m/>
    <m/>
    <m/>
    <m/>
    <m/>
    <m/>
    <m/>
  </r>
  <r>
    <s v="ORD10699"/>
    <d v="2025-07-03T00:00:00"/>
    <s v="CUST1144"/>
    <s v="Ananya Saxena"/>
    <x v="0"/>
    <s v="Lucknow"/>
    <s v="Uttar Pradesh"/>
    <x v="0"/>
    <x v="4"/>
    <x v="16"/>
    <n v="4"/>
    <n v="2000"/>
    <n v="0.15"/>
    <n v="6800"/>
    <n v="5328.45"/>
    <n v="1471.55"/>
    <n v="21.64"/>
    <x v="4"/>
    <x v="0"/>
    <x v="0"/>
    <x v="0"/>
    <n v="2025"/>
    <s v="Friday"/>
    <n v="1"/>
    <d v="2025-08-03T00:00:00"/>
    <x v="0"/>
    <s v="Returning"/>
    <s v="Low"/>
    <s v="Yes"/>
    <n v="1"/>
    <s v="Ananya"/>
    <s v="Saxena"/>
    <m/>
    <m/>
    <m/>
    <m/>
    <m/>
    <m/>
    <s v="Needs Improvement"/>
    <s v="Low"/>
    <s v="No"/>
    <s v="Yes"/>
    <n v="0.21640441176470587"/>
    <m/>
    <m/>
    <m/>
    <m/>
    <m/>
    <m/>
    <m/>
    <m/>
    <m/>
    <m/>
    <m/>
    <m/>
    <m/>
    <m/>
    <m/>
  </r>
  <r>
    <s v="ORD10761"/>
    <d v="2025-07-04T00:00:00"/>
    <s v="CUST1334"/>
    <s v="Meera Agarwal"/>
    <x v="0"/>
    <s v="Hyderabad"/>
    <s v="Telangana"/>
    <x v="3"/>
    <x v="3"/>
    <x v="17"/>
    <n v="7"/>
    <n v="100"/>
    <n v="0.1"/>
    <n v="630"/>
    <n v="449.13"/>
    <n v="180.87"/>
    <n v="28.71"/>
    <x v="2"/>
    <x v="2"/>
    <x v="7"/>
    <x v="8"/>
    <n v="2025"/>
    <s v="Monday"/>
    <n v="1"/>
    <d v="2025-08-04T00:00:00"/>
    <x v="2"/>
    <s v="Returning"/>
    <s v="Low"/>
    <s v="Yes"/>
    <n v="2"/>
    <s v="Meera"/>
    <s v="Agarwal"/>
    <m/>
    <m/>
    <m/>
    <m/>
    <m/>
    <m/>
    <s v="Needs Improvement"/>
    <s v="Low"/>
    <s v="No"/>
    <s v="Yes"/>
    <n v="0.28709523809523813"/>
    <m/>
    <m/>
    <m/>
    <m/>
    <m/>
    <m/>
    <m/>
    <m/>
    <m/>
    <m/>
    <m/>
    <m/>
    <m/>
    <m/>
    <m/>
  </r>
  <r>
    <s v="ORD10412"/>
    <d v="2025-07-05T00:00:00"/>
    <s v="CUST1173"/>
    <s v="Pooja Malhotra"/>
    <x v="1"/>
    <s v="Mumbai"/>
    <s v="Maharashtra"/>
    <x v="3"/>
    <x v="4"/>
    <x v="16"/>
    <n v="2"/>
    <n v="500"/>
    <n v="0.15"/>
    <n v="850"/>
    <n v="597.34"/>
    <n v="252.66"/>
    <n v="29.72"/>
    <x v="2"/>
    <x v="0"/>
    <x v="9"/>
    <x v="1"/>
    <n v="2025"/>
    <s v="Wednesday"/>
    <n v="10"/>
    <s v="17-05-2025"/>
    <x v="0"/>
    <s v="Returning"/>
    <s v="High"/>
    <s v="No"/>
    <n v="2"/>
    <s v="Pooja"/>
    <s v="Malhotra"/>
    <m/>
    <m/>
    <m/>
    <m/>
    <m/>
    <m/>
    <s v="Needs Improvement"/>
    <s v="Low"/>
    <s v="No"/>
    <s v="Yes"/>
    <n v="0.29724705882352942"/>
    <m/>
    <m/>
    <m/>
    <m/>
    <m/>
    <m/>
    <m/>
    <m/>
    <m/>
    <m/>
    <m/>
    <m/>
    <m/>
    <m/>
    <m/>
  </r>
  <r>
    <s v="ORD10516"/>
    <d v="2025-07-05T00:00:00"/>
    <s v="CUST1171"/>
    <s v="Rohan Agarwal"/>
    <x v="1"/>
    <s v="Bengaluru"/>
    <s v="Karnataka"/>
    <x v="3"/>
    <x v="1"/>
    <x v="6"/>
    <n v="6"/>
    <n v="2500"/>
    <n v="0.15"/>
    <n v="12750"/>
    <n v="9744.1299999999992"/>
    <n v="3005.87"/>
    <n v="23.58"/>
    <x v="4"/>
    <x v="1"/>
    <x v="8"/>
    <x v="1"/>
    <n v="2025"/>
    <s v="Wednesday"/>
    <n v="7"/>
    <s v="14-05-2025"/>
    <x v="1"/>
    <s v="Returning"/>
    <s v="High"/>
    <s v="No"/>
    <n v="5"/>
    <s v="Rohan"/>
    <s v="Agarwal"/>
    <m/>
    <m/>
    <m/>
    <m/>
    <m/>
    <m/>
    <s v="Needs Improvement"/>
    <s v="Medium"/>
    <s v="No"/>
    <s v="No"/>
    <n v="0.23575450980392157"/>
    <m/>
    <m/>
    <m/>
    <m/>
    <m/>
    <m/>
    <m/>
    <m/>
    <m/>
    <m/>
    <m/>
    <m/>
    <m/>
    <m/>
    <m/>
  </r>
  <r>
    <s v="ORD10363"/>
    <d v="2025-07-07T00:00:00"/>
    <s v="CUST1017"/>
    <s v="Ishita Saxena"/>
    <x v="2"/>
    <s v="Jaipur"/>
    <s v="Rajasthan"/>
    <x v="2"/>
    <x v="1"/>
    <x v="20"/>
    <n v="5"/>
    <n v="3500"/>
    <n v="0.1"/>
    <n v="15750"/>
    <n v="12713.35"/>
    <n v="3036.65"/>
    <n v="19.28"/>
    <x v="4"/>
    <x v="1"/>
    <x v="1"/>
    <x v="9"/>
    <n v="2025"/>
    <s v="Monday"/>
    <n v="9"/>
    <s v="16-07-2025"/>
    <x v="0"/>
    <s v="Returning"/>
    <s v="Medium"/>
    <s v="Yes"/>
    <n v="1"/>
    <s v="Ishita"/>
    <s v="Saxena"/>
    <m/>
    <m/>
    <m/>
    <m/>
    <m/>
    <m/>
    <s v="Needs Improvement"/>
    <s v="Medium"/>
    <s v="No"/>
    <s v="No"/>
    <n v="0.19280317460317462"/>
    <m/>
    <m/>
    <m/>
    <m/>
    <m/>
    <m/>
    <m/>
    <m/>
    <m/>
    <m/>
    <m/>
    <m/>
    <m/>
    <m/>
    <m/>
  </r>
  <r>
    <s v="ORD10768"/>
    <d v="2025-07-07T00:00:00"/>
    <s v="CUST1178"/>
    <s v="Ishita Gupta"/>
    <x v="1"/>
    <s v="Jaipur"/>
    <s v="Rajasthan"/>
    <x v="2"/>
    <x v="4"/>
    <x v="9"/>
    <n v="6"/>
    <n v="1200"/>
    <n v="0.2"/>
    <n v="5760"/>
    <n v="4311.38"/>
    <n v="1448.62"/>
    <n v="25.15"/>
    <x v="0"/>
    <x v="1"/>
    <x v="3"/>
    <x v="9"/>
    <n v="2025"/>
    <s v="Monday"/>
    <n v="3"/>
    <d v="2025-10-07T00:00:00"/>
    <x v="0"/>
    <s v="Returning"/>
    <s v="Low"/>
    <s v="No"/>
    <n v="5"/>
    <s v="Ishita"/>
    <s v="Gupta"/>
    <m/>
    <m/>
    <m/>
    <m/>
    <m/>
    <m/>
    <s v="Needs Improvement"/>
    <s v="Low"/>
    <s v="No"/>
    <s v="No"/>
    <n v="0.25149652777777776"/>
    <m/>
    <m/>
    <m/>
    <m/>
    <m/>
    <m/>
    <m/>
    <m/>
    <m/>
    <m/>
    <m/>
    <m/>
    <m/>
    <m/>
    <m/>
  </r>
  <r>
    <s v="ORD10367"/>
    <d v="2025-07-08T00:00:00"/>
    <s v="CUST1251"/>
    <s v="Arjun Yadav"/>
    <x v="1"/>
    <s v="Delhi"/>
    <s v="Delhi"/>
    <x v="3"/>
    <x v="1"/>
    <x v="20"/>
    <n v="1"/>
    <n v="1800"/>
    <n v="0.15"/>
    <n v="1530"/>
    <n v="1078.02"/>
    <n v="451.98"/>
    <n v="29.54"/>
    <x v="0"/>
    <x v="1"/>
    <x v="8"/>
    <x v="10"/>
    <n v="2025"/>
    <s v="Thursday"/>
    <n v="7"/>
    <s v="14-08-2025"/>
    <x v="0"/>
    <s v="VIP"/>
    <s v="Medium"/>
    <s v="Yes"/>
    <n v="5"/>
    <s v="Arjun"/>
    <s v="Yadav"/>
    <m/>
    <m/>
    <m/>
    <m/>
    <m/>
    <m/>
    <s v="Needs Improvement"/>
    <s v="Low"/>
    <s v="No"/>
    <s v="No"/>
    <n v="0.29541176470588237"/>
    <m/>
    <m/>
    <m/>
    <m/>
    <m/>
    <m/>
    <m/>
    <m/>
    <m/>
    <m/>
    <m/>
    <m/>
    <m/>
    <m/>
    <m/>
  </r>
  <r>
    <s v="ORD10913"/>
    <d v="2025-07-08T00:00:00"/>
    <s v="CUST1296"/>
    <s v="Kavya Bansal"/>
    <x v="1"/>
    <s v="Hyderabad"/>
    <s v="Telangana"/>
    <x v="1"/>
    <x v="0"/>
    <x v="23"/>
    <n v="5"/>
    <n v="4000"/>
    <n v="0"/>
    <n v="20000"/>
    <n v="15673.34"/>
    <n v="4326.66"/>
    <n v="21.63"/>
    <x v="2"/>
    <x v="1"/>
    <x v="5"/>
    <x v="10"/>
    <n v="2025"/>
    <s v="Thursday"/>
    <n v="6"/>
    <s v="13-08-2025"/>
    <x v="0"/>
    <s v="VIP"/>
    <s v="Medium"/>
    <s v="Yes"/>
    <n v="2"/>
    <s v="Kavya"/>
    <s v="Bansal"/>
    <m/>
    <m/>
    <m/>
    <m/>
    <m/>
    <m/>
    <s v="Needs Improvement"/>
    <s v="Medium"/>
    <s v="No"/>
    <s v="No"/>
    <n v="0.216333"/>
    <m/>
    <m/>
    <m/>
    <m/>
    <m/>
    <m/>
    <m/>
    <m/>
    <m/>
    <m/>
    <m/>
    <m/>
    <m/>
    <m/>
    <m/>
  </r>
  <r>
    <s v="ORD10188"/>
    <d v="2025-07-09T00:00:00"/>
    <s v="CUST1157"/>
    <s v="Ananya Mehta"/>
    <x v="0"/>
    <s v="Ahmedabad"/>
    <s v="Gujarat"/>
    <x v="0"/>
    <x v="2"/>
    <x v="7"/>
    <n v="8"/>
    <n v="12000"/>
    <n v="0.05"/>
    <n v="91200"/>
    <n v="56374.86"/>
    <n v="34825.14"/>
    <n v="38.19"/>
    <x v="4"/>
    <x v="1"/>
    <x v="6"/>
    <x v="3"/>
    <n v="2025"/>
    <s v="Sunday"/>
    <n v="1"/>
    <d v="2025-08-09T00:00:00"/>
    <x v="0"/>
    <s v="Returning"/>
    <s v="Medium"/>
    <s v="No"/>
    <n v="5"/>
    <s v="Ananya"/>
    <s v="Mehta"/>
    <m/>
    <m/>
    <m/>
    <m/>
    <m/>
    <m/>
    <s v="Good"/>
    <s v="High"/>
    <s v="Yes"/>
    <s v="No"/>
    <n v="0.3818546052631579"/>
    <m/>
    <m/>
    <m/>
    <m/>
    <m/>
    <m/>
    <m/>
    <m/>
    <m/>
    <m/>
    <m/>
    <m/>
    <m/>
    <m/>
    <m/>
  </r>
  <r>
    <s v="ORD10248"/>
    <d v="2025-07-10T00:00:00"/>
    <s v="CUST1250"/>
    <s v="Priya Kumar"/>
    <x v="1"/>
    <s v="Jaipur"/>
    <s v="Rajasthan"/>
    <x v="1"/>
    <x v="2"/>
    <x v="4"/>
    <n v="7"/>
    <n v="22000"/>
    <n v="0.05"/>
    <n v="146300"/>
    <n v="108927.85"/>
    <n v="37372.15"/>
    <n v="25.54"/>
    <x v="4"/>
    <x v="2"/>
    <x v="4"/>
    <x v="4"/>
    <n v="2025"/>
    <s v="Tuesday"/>
    <n v="9"/>
    <s v="16-10-2025"/>
    <x v="1"/>
    <s v="New"/>
    <s v="Low"/>
    <s v="No"/>
    <n v="4"/>
    <s v="Priya"/>
    <s v="Kumar"/>
    <m/>
    <m/>
    <m/>
    <m/>
    <m/>
    <m/>
    <s v="Needs Improvement"/>
    <s v="High"/>
    <s v="Yes"/>
    <s v="Yes"/>
    <n v="0.25544873547505126"/>
    <m/>
    <m/>
    <m/>
    <m/>
    <m/>
    <m/>
    <m/>
    <m/>
    <m/>
    <m/>
    <m/>
    <m/>
    <m/>
    <m/>
    <m/>
  </r>
  <r>
    <s v="ORD10594"/>
    <d v="2025-07-10T00:00:00"/>
    <s v="CUST1336"/>
    <s v="Vivaan Singh"/>
    <x v="2"/>
    <s v="Pune"/>
    <s v="Maharashtra"/>
    <x v="1"/>
    <x v="3"/>
    <x v="17"/>
    <n v="8"/>
    <n v="200"/>
    <n v="0.05"/>
    <n v="1520"/>
    <n v="1193.56"/>
    <n v="326.44"/>
    <n v="21.48"/>
    <x v="2"/>
    <x v="0"/>
    <x v="8"/>
    <x v="4"/>
    <n v="2025"/>
    <s v="Tuesday"/>
    <n v="3"/>
    <d v="2025-10-10T00:00:00"/>
    <x v="0"/>
    <s v="Returning"/>
    <s v="High"/>
    <s v="No"/>
    <n v="1"/>
    <s v="Vivaan"/>
    <s v="Singh"/>
    <m/>
    <m/>
    <m/>
    <m/>
    <m/>
    <m/>
    <s v="Needs Improvement"/>
    <s v="Low"/>
    <s v="No"/>
    <s v="Yes"/>
    <n v="0.21476315789473685"/>
    <m/>
    <m/>
    <m/>
    <m/>
    <m/>
    <m/>
    <m/>
    <m/>
    <m/>
    <m/>
    <m/>
    <m/>
    <m/>
    <m/>
    <m/>
  </r>
  <r>
    <s v="ORD10598"/>
    <d v="2025-07-10T00:00:00"/>
    <s v="CUST1063"/>
    <s v="Meera Agarwal"/>
    <x v="2"/>
    <s v="Mumbai"/>
    <s v="Maharashtra"/>
    <x v="2"/>
    <x v="2"/>
    <x v="4"/>
    <n v="10"/>
    <n v="35000"/>
    <n v="0.2"/>
    <n v="280000"/>
    <n v="194745.93"/>
    <n v="85254.07"/>
    <n v="30.45"/>
    <x v="3"/>
    <x v="0"/>
    <x v="9"/>
    <x v="4"/>
    <n v="2025"/>
    <s v="Tuesday"/>
    <n v="9"/>
    <s v="16-10-2025"/>
    <x v="2"/>
    <s v="Returning"/>
    <s v="Medium"/>
    <s v="Yes"/>
    <n v="5"/>
    <s v="Meera"/>
    <s v="Agarwal"/>
    <m/>
    <m/>
    <m/>
    <m/>
    <m/>
    <m/>
    <s v="Good"/>
    <s v="High"/>
    <s v="Yes"/>
    <s v="Yes"/>
    <n v="0.30447882142857147"/>
    <m/>
    <m/>
    <m/>
    <m/>
    <m/>
    <m/>
    <m/>
    <m/>
    <m/>
    <m/>
    <m/>
    <m/>
    <m/>
    <m/>
    <m/>
  </r>
  <r>
    <s v="ORD10608"/>
    <d v="2025-07-11T00:00:00"/>
    <s v="CUST1301"/>
    <s v="Pooja Chopra"/>
    <x v="2"/>
    <s v="Kolkata"/>
    <s v="West Bengal"/>
    <x v="3"/>
    <x v="2"/>
    <x v="12"/>
    <n v="6"/>
    <n v="12000"/>
    <n v="0.2"/>
    <n v="57600"/>
    <n v="35504.449999999997"/>
    <n v="22095.55"/>
    <n v="38.36"/>
    <x v="0"/>
    <x v="1"/>
    <x v="4"/>
    <x v="11"/>
    <n v="2025"/>
    <s v="Friday"/>
    <n v="1"/>
    <d v="2025-08-11T00:00:00"/>
    <x v="0"/>
    <s v="Returning"/>
    <s v="Low"/>
    <s v="No"/>
    <n v="3"/>
    <s v="Pooja"/>
    <s v="Chopra"/>
    <m/>
    <m/>
    <m/>
    <m/>
    <m/>
    <m/>
    <s v="Good"/>
    <s v="High"/>
    <s v="Yes"/>
    <s v="No"/>
    <n v="0.38360329861111109"/>
    <m/>
    <m/>
    <m/>
    <m/>
    <m/>
    <m/>
    <m/>
    <m/>
    <m/>
    <m/>
    <m/>
    <m/>
    <m/>
    <m/>
    <m/>
  </r>
  <r>
    <s v="ORD10785"/>
    <d v="2025-07-11T00:00:00"/>
    <s v="CUST1047"/>
    <s v="Kavya Jain"/>
    <x v="1"/>
    <s v="Jaipur"/>
    <s v="Rajasthan"/>
    <x v="1"/>
    <x v="1"/>
    <x v="20"/>
    <n v="9"/>
    <n v="3500"/>
    <n v="0.2"/>
    <n v="25200"/>
    <n v="17053.310000000001"/>
    <n v="8146.69"/>
    <n v="32.33"/>
    <x v="0"/>
    <x v="0"/>
    <x v="0"/>
    <x v="11"/>
    <n v="2025"/>
    <s v="Friday"/>
    <n v="10"/>
    <s v="17-11-2025"/>
    <x v="0"/>
    <s v="Returning"/>
    <s v="Medium"/>
    <s v="Yes"/>
    <n v="3"/>
    <s v="Kavya"/>
    <s v="Jain"/>
    <m/>
    <m/>
    <m/>
    <m/>
    <m/>
    <m/>
    <s v="Good"/>
    <s v="Medium"/>
    <s v="No"/>
    <s v="Yes"/>
    <n v="0.32328134920634921"/>
    <m/>
    <m/>
    <m/>
    <m/>
    <m/>
    <m/>
    <m/>
    <m/>
    <m/>
    <m/>
    <m/>
    <m/>
    <m/>
    <m/>
    <m/>
  </r>
  <r>
    <s v="ORD10937"/>
    <d v="2025-07-11T00:00:00"/>
    <s v="CUST1280"/>
    <s v="Aditya Singh"/>
    <x v="0"/>
    <s v="Bengaluru"/>
    <s v="Karnataka"/>
    <x v="2"/>
    <x v="2"/>
    <x v="7"/>
    <n v="7"/>
    <n v="8000"/>
    <n v="0.05"/>
    <n v="53200"/>
    <n v="30625.7"/>
    <n v="22574.3"/>
    <n v="42.43"/>
    <x v="2"/>
    <x v="2"/>
    <x v="2"/>
    <x v="11"/>
    <n v="2025"/>
    <s v="Friday"/>
    <n v="1"/>
    <d v="2025-08-11T00:00:00"/>
    <x v="0"/>
    <s v="Returning"/>
    <s v="Low"/>
    <s v="No"/>
    <n v="5"/>
    <s v="Aditya"/>
    <s v="Singh"/>
    <m/>
    <m/>
    <m/>
    <m/>
    <m/>
    <m/>
    <s v="Good"/>
    <s v="High"/>
    <s v="Yes"/>
    <s v="Yes"/>
    <n v="0.42432894736842103"/>
    <m/>
    <m/>
    <m/>
    <m/>
    <m/>
    <m/>
    <m/>
    <m/>
    <m/>
    <m/>
    <m/>
    <m/>
    <m/>
    <m/>
    <m/>
  </r>
  <r>
    <s v="ORD10889"/>
    <d v="2025-08-01T00:00:00"/>
    <s v="CUST1044"/>
    <s v="Karan Gupta"/>
    <x v="2"/>
    <s v="Jaipur"/>
    <s v="Rajasthan"/>
    <x v="0"/>
    <x v="0"/>
    <x v="23"/>
    <n v="9"/>
    <n v="4000"/>
    <n v="0"/>
    <n v="36000"/>
    <n v="25054.83"/>
    <n v="10945.17"/>
    <n v="30.4"/>
    <x v="0"/>
    <x v="0"/>
    <x v="4"/>
    <x v="6"/>
    <n v="2025"/>
    <s v="Wednesday"/>
    <n v="1"/>
    <d v="2025-09-01T00:00:00"/>
    <x v="2"/>
    <s v="New"/>
    <s v="Medium"/>
    <s v="No"/>
    <n v="1"/>
    <s v="Karan"/>
    <s v="Gupta"/>
    <m/>
    <m/>
    <m/>
    <m/>
    <m/>
    <m/>
    <s v="Good"/>
    <s v="High"/>
    <s v="Yes"/>
    <s v="Yes"/>
    <n v="0.30403249999999998"/>
    <m/>
    <m/>
    <m/>
    <m/>
    <m/>
    <m/>
    <m/>
    <m/>
    <m/>
    <m/>
    <m/>
    <m/>
    <m/>
    <m/>
    <m/>
  </r>
  <r>
    <s v="ORD10463"/>
    <d v="2025-08-02T00:00:00"/>
    <s v="CUST1329"/>
    <s v="Nisha Verma"/>
    <x v="0"/>
    <s v="Delhi"/>
    <s v="Delhi"/>
    <x v="1"/>
    <x v="4"/>
    <x v="16"/>
    <n v="8"/>
    <n v="2000"/>
    <n v="0.15"/>
    <n v="13600"/>
    <n v="9277.6299999999992"/>
    <n v="4322.37"/>
    <n v="31.78"/>
    <x v="1"/>
    <x v="1"/>
    <x v="5"/>
    <x v="7"/>
    <n v="2025"/>
    <s v="Saturday"/>
    <n v="6"/>
    <s v="14-02-2025"/>
    <x v="2"/>
    <s v="New"/>
    <s v="Low"/>
    <s v="No"/>
    <n v="3"/>
    <s v="Nisha"/>
    <s v="Verma"/>
    <m/>
    <m/>
    <m/>
    <m/>
    <m/>
    <m/>
    <s v="Good"/>
    <s v="Medium"/>
    <s v="No"/>
    <s v="No"/>
    <n v="0.31782132352941178"/>
    <m/>
    <m/>
    <m/>
    <m/>
    <m/>
    <m/>
    <m/>
    <m/>
    <m/>
    <m/>
    <m/>
    <m/>
    <m/>
    <m/>
    <m/>
  </r>
  <r>
    <s v="ORD10558"/>
    <d v="2025-08-03T00:00:00"/>
    <s v="CUST1091"/>
    <s v="Simran Kumar"/>
    <x v="1"/>
    <s v="Jaipur"/>
    <s v="Rajasthan"/>
    <x v="2"/>
    <x v="3"/>
    <x v="17"/>
    <n v="2"/>
    <n v="100"/>
    <n v="0.15"/>
    <n v="170"/>
    <n v="102.2"/>
    <n v="67.8"/>
    <n v="39.880000000000003"/>
    <x v="3"/>
    <x v="1"/>
    <x v="2"/>
    <x v="0"/>
    <n v="2025"/>
    <s v="Saturday"/>
    <n v="4"/>
    <d v="2025-12-03T00:00:00"/>
    <x v="0"/>
    <s v="VIP"/>
    <s v="Low"/>
    <s v="Yes"/>
    <n v="1"/>
    <s v="Simran"/>
    <s v="Kumar"/>
    <m/>
    <m/>
    <m/>
    <m/>
    <m/>
    <m/>
    <s v="Good"/>
    <s v="Low"/>
    <s v="No"/>
    <s v="No"/>
    <n v="0.39882352941176469"/>
    <m/>
    <m/>
    <m/>
    <m/>
    <m/>
    <m/>
    <m/>
    <m/>
    <m/>
    <m/>
    <m/>
    <m/>
    <m/>
    <m/>
    <m/>
  </r>
  <r>
    <s v="ORD10388"/>
    <d v="2025-08-04T00:00:00"/>
    <s v="CUST1025"/>
    <s v="Priya Jain"/>
    <x v="2"/>
    <s v="Pune"/>
    <s v="Maharashtra"/>
    <x v="1"/>
    <x v="4"/>
    <x v="11"/>
    <n v="6"/>
    <n v="500"/>
    <n v="0.2"/>
    <n v="2400"/>
    <n v="1403.8"/>
    <n v="996.2"/>
    <n v="41.51"/>
    <x v="3"/>
    <x v="0"/>
    <x v="1"/>
    <x v="8"/>
    <n v="2025"/>
    <s v="Tuesday"/>
    <n v="6"/>
    <s v="14-04-2025"/>
    <x v="1"/>
    <s v="New"/>
    <s v="Medium"/>
    <s v="No"/>
    <n v="2"/>
    <s v="Priya"/>
    <s v="Jain"/>
    <m/>
    <m/>
    <m/>
    <m/>
    <m/>
    <m/>
    <s v="Good"/>
    <s v="Low"/>
    <s v="No"/>
    <s v="Yes"/>
    <n v="0.41508333333333336"/>
    <m/>
    <m/>
    <m/>
    <m/>
    <m/>
    <m/>
    <m/>
    <m/>
    <m/>
    <m/>
    <m/>
    <m/>
    <m/>
    <m/>
    <m/>
  </r>
  <r>
    <s v="ORD10557"/>
    <d v="2025-08-04T00:00:00"/>
    <s v="CUST1282"/>
    <s v="Aditya Jain"/>
    <x v="0"/>
    <s v="Jaipur"/>
    <s v="Rajasthan"/>
    <x v="3"/>
    <x v="0"/>
    <x v="24"/>
    <n v="1"/>
    <n v="9000"/>
    <n v="0.2"/>
    <n v="7200"/>
    <n v="4190.03"/>
    <n v="3009.97"/>
    <n v="41.81"/>
    <x v="2"/>
    <x v="1"/>
    <x v="8"/>
    <x v="8"/>
    <n v="2025"/>
    <s v="Tuesday"/>
    <n v="6"/>
    <s v="14-04-2025"/>
    <x v="0"/>
    <s v="Returning"/>
    <s v="High"/>
    <s v="No"/>
    <n v="1"/>
    <s v="Aditya"/>
    <s v="Jain"/>
    <m/>
    <m/>
    <m/>
    <m/>
    <m/>
    <m/>
    <s v="Good"/>
    <s v="Low"/>
    <s v="No"/>
    <s v="No"/>
    <n v="0.41805138888888888"/>
    <m/>
    <m/>
    <m/>
    <m/>
    <m/>
    <m/>
    <m/>
    <m/>
    <m/>
    <m/>
    <m/>
    <m/>
    <m/>
    <m/>
    <m/>
  </r>
  <r>
    <s v="ORD10295"/>
    <d v="2025-08-05T00:00:00"/>
    <s v="CUST1275"/>
    <s v="Neha Malhotra"/>
    <x v="0"/>
    <s v="Chennai"/>
    <s v="Tamil Nadu"/>
    <x v="1"/>
    <x v="3"/>
    <x v="18"/>
    <n v="8"/>
    <n v="100"/>
    <n v="0.05"/>
    <n v="760"/>
    <n v="601.04999999999995"/>
    <n v="158.94999999999999"/>
    <n v="20.91"/>
    <x v="3"/>
    <x v="1"/>
    <x v="5"/>
    <x v="1"/>
    <n v="2025"/>
    <s v="Thursday"/>
    <n v="3"/>
    <d v="2025-11-05T00:00:00"/>
    <x v="2"/>
    <s v="VIP"/>
    <s v="High"/>
    <s v="No"/>
    <n v="5"/>
    <s v="Neha"/>
    <s v="Malhotra"/>
    <m/>
    <m/>
    <m/>
    <m/>
    <m/>
    <m/>
    <s v="Needs Improvement"/>
    <s v="Low"/>
    <s v="No"/>
    <s v="No"/>
    <n v="0.20914473684210524"/>
    <m/>
    <m/>
    <m/>
    <m/>
    <m/>
    <m/>
    <m/>
    <m/>
    <m/>
    <m/>
    <m/>
    <m/>
    <m/>
    <m/>
    <m/>
  </r>
  <r>
    <s v="ORD10311"/>
    <d v="2025-08-05T00:00:00"/>
    <s v="CUST1270"/>
    <s v="Ananya Malhotra"/>
    <x v="1"/>
    <s v="Delhi"/>
    <s v="Delhi"/>
    <x v="1"/>
    <x v="4"/>
    <x v="19"/>
    <n v="6"/>
    <n v="500"/>
    <n v="0.2"/>
    <n v="2400"/>
    <n v="1793.16"/>
    <n v="606.84"/>
    <n v="25.29"/>
    <x v="3"/>
    <x v="0"/>
    <x v="2"/>
    <x v="1"/>
    <n v="2025"/>
    <s v="Thursday"/>
    <n v="2"/>
    <d v="2025-10-05T00:00:00"/>
    <x v="0"/>
    <s v="New"/>
    <s v="Medium"/>
    <s v="Yes"/>
    <n v="5"/>
    <s v="Ananya"/>
    <s v="Malhotra"/>
    <m/>
    <m/>
    <m/>
    <m/>
    <m/>
    <m/>
    <s v="Needs Improvement"/>
    <s v="Low"/>
    <s v="No"/>
    <s v="Yes"/>
    <n v="0.25285000000000002"/>
    <m/>
    <m/>
    <m/>
    <m/>
    <m/>
    <m/>
    <m/>
    <m/>
    <m/>
    <m/>
    <m/>
    <m/>
    <m/>
    <m/>
    <m/>
  </r>
  <r>
    <s v="ORD10570"/>
    <d v="2025-08-06T00:00:00"/>
    <s v="CUST1290"/>
    <s v="Priya Sharma"/>
    <x v="0"/>
    <s v="Mumbai"/>
    <s v="Maharashtra"/>
    <x v="3"/>
    <x v="0"/>
    <x v="0"/>
    <n v="5"/>
    <n v="4000"/>
    <n v="0.2"/>
    <n v="16000"/>
    <n v="11482.24"/>
    <n v="4517.76"/>
    <n v="28.24"/>
    <x v="4"/>
    <x v="0"/>
    <x v="7"/>
    <x v="2"/>
    <n v="2025"/>
    <s v="Sunday"/>
    <n v="6"/>
    <s v="14-06-2025"/>
    <x v="0"/>
    <s v="Returning"/>
    <s v="High"/>
    <s v="No"/>
    <n v="1"/>
    <s v="Priya"/>
    <s v="Sharma"/>
    <m/>
    <m/>
    <m/>
    <m/>
    <m/>
    <m/>
    <s v="Needs Improvement"/>
    <s v="Medium"/>
    <s v="No"/>
    <s v="Yes"/>
    <n v="0.28236"/>
    <m/>
    <m/>
    <m/>
    <m/>
    <m/>
    <m/>
    <m/>
    <m/>
    <m/>
    <m/>
    <m/>
    <m/>
    <m/>
    <m/>
    <m/>
  </r>
  <r>
    <s v="ORD10892"/>
    <d v="2025-08-06T00:00:00"/>
    <s v="CUST1146"/>
    <s v="Sneha Malhotra"/>
    <x v="1"/>
    <s v="Pune"/>
    <s v="Maharashtra"/>
    <x v="2"/>
    <x v="0"/>
    <x v="24"/>
    <n v="10"/>
    <n v="6000"/>
    <n v="0.2"/>
    <n v="48000"/>
    <n v="34788.629999999997"/>
    <n v="13211.37"/>
    <n v="27.52"/>
    <x v="1"/>
    <x v="0"/>
    <x v="9"/>
    <x v="2"/>
    <n v="2025"/>
    <s v="Sunday"/>
    <n v="9"/>
    <s v="17-06-2025"/>
    <x v="0"/>
    <s v="New"/>
    <s v="Medium"/>
    <s v="Yes"/>
    <n v="2"/>
    <s v="Sneha"/>
    <s v="Malhotra"/>
    <m/>
    <m/>
    <m/>
    <m/>
    <m/>
    <m/>
    <s v="Needs Improvement"/>
    <s v="High"/>
    <s v="Yes"/>
    <s v="Yes"/>
    <n v="0.27523687499999999"/>
    <m/>
    <m/>
    <m/>
    <m/>
    <m/>
    <m/>
    <m/>
    <m/>
    <m/>
    <m/>
    <m/>
    <m/>
    <m/>
    <m/>
    <m/>
  </r>
  <r>
    <s v="ORD10615"/>
    <d v="2025-08-10T00:00:00"/>
    <s v="CUST1064"/>
    <s v="Pooja Mishra"/>
    <x v="0"/>
    <s v="Delhi"/>
    <s v="Delhi"/>
    <x v="3"/>
    <x v="0"/>
    <x v="24"/>
    <n v="5"/>
    <n v="2500"/>
    <n v="0.05"/>
    <n v="11875"/>
    <n v="7404.82"/>
    <n v="4470.18"/>
    <n v="37.64"/>
    <x v="0"/>
    <x v="2"/>
    <x v="2"/>
    <x v="4"/>
    <n v="2025"/>
    <s v="Wednesday"/>
    <n v="4"/>
    <d v="2025-12-10T00:00:00"/>
    <x v="0"/>
    <s v="New"/>
    <s v="High"/>
    <s v="No"/>
    <n v="1"/>
    <s v="Pooja"/>
    <s v="Mishra"/>
    <m/>
    <m/>
    <m/>
    <m/>
    <m/>
    <m/>
    <s v="Good"/>
    <s v="Medium"/>
    <s v="No"/>
    <s v="Yes"/>
    <n v="0.37643621052631582"/>
    <m/>
    <m/>
    <m/>
    <m/>
    <m/>
    <m/>
    <m/>
    <m/>
    <m/>
    <m/>
    <m/>
    <m/>
    <m/>
    <m/>
    <m/>
  </r>
  <r>
    <s v="ORD10231"/>
    <d v="2025-08-11T00:00:00"/>
    <s v="CUST1311"/>
    <s v="Kavya Chopra"/>
    <x v="0"/>
    <s v="Bengaluru"/>
    <s v="Karnataka"/>
    <x v="3"/>
    <x v="4"/>
    <x v="19"/>
    <n v="10"/>
    <n v="3000"/>
    <n v="0"/>
    <n v="30000"/>
    <n v="18254.41"/>
    <n v="11745.59"/>
    <n v="39.15"/>
    <x v="2"/>
    <x v="1"/>
    <x v="5"/>
    <x v="11"/>
    <n v="2025"/>
    <s v="Saturday"/>
    <n v="5"/>
    <s v="13-11-2025"/>
    <x v="0"/>
    <s v="New"/>
    <s v="High"/>
    <s v="Yes"/>
    <n v="5"/>
    <s v="Kavya"/>
    <s v="Chopra"/>
    <m/>
    <m/>
    <m/>
    <m/>
    <m/>
    <m/>
    <s v="Good"/>
    <s v="High"/>
    <s v="Yes"/>
    <s v="No"/>
    <n v="0.39151966666666665"/>
    <m/>
    <m/>
    <m/>
    <m/>
    <m/>
    <m/>
    <m/>
    <m/>
    <m/>
    <m/>
    <m/>
    <m/>
    <m/>
    <m/>
    <m/>
  </r>
  <r>
    <s v="ORD10831"/>
    <d v="2025-08-12T00:00:00"/>
    <s v="CUST1337"/>
    <s v="Priya Verma"/>
    <x v="0"/>
    <s v="Pune"/>
    <s v="Maharashtra"/>
    <x v="1"/>
    <x v="4"/>
    <x v="13"/>
    <n v="2"/>
    <n v="3000"/>
    <n v="0.2"/>
    <n v="4800"/>
    <n v="3814.59"/>
    <n v="985.41"/>
    <n v="20.53"/>
    <x v="0"/>
    <x v="1"/>
    <x v="2"/>
    <x v="5"/>
    <n v="2025"/>
    <s v="Monday"/>
    <n v="9"/>
    <s v="17-12-2025"/>
    <x v="0"/>
    <s v="VIP"/>
    <s v="Medium"/>
    <s v="No"/>
    <n v="1"/>
    <s v="Priya"/>
    <s v="Verma"/>
    <m/>
    <m/>
    <m/>
    <m/>
    <m/>
    <m/>
    <s v="Needs Improvement"/>
    <s v="Low"/>
    <s v="No"/>
    <s v="No"/>
    <n v="0.20529375"/>
    <m/>
    <m/>
    <m/>
    <m/>
    <m/>
    <m/>
    <m/>
    <m/>
    <m/>
    <m/>
    <m/>
    <m/>
    <m/>
    <m/>
    <m/>
  </r>
  <r>
    <s v="ORD10338"/>
    <d v="2025-09-01T00:00:00"/>
    <s v="CUST1035"/>
    <s v="Aditi Yadav"/>
    <x v="2"/>
    <s v="Mumbai"/>
    <s v="Maharashtra"/>
    <x v="3"/>
    <x v="1"/>
    <x v="6"/>
    <n v="8"/>
    <n v="3500"/>
    <n v="0"/>
    <n v="28000"/>
    <n v="20300.189999999999"/>
    <n v="7699.81"/>
    <n v="27.5"/>
    <x v="0"/>
    <x v="2"/>
    <x v="8"/>
    <x v="6"/>
    <n v="2025"/>
    <s v="Thursday"/>
    <n v="6"/>
    <s v="15-01-2025"/>
    <x v="0"/>
    <s v="New"/>
    <s v="High"/>
    <s v="No"/>
    <n v="5"/>
    <s v="Aditi"/>
    <s v="Yadav"/>
    <m/>
    <m/>
    <m/>
    <m/>
    <m/>
    <m/>
    <s v="Needs Improvement"/>
    <s v="Medium"/>
    <s v="No"/>
    <s v="Yes"/>
    <n v="0.27499321428571433"/>
    <m/>
    <m/>
    <m/>
    <m/>
    <m/>
    <m/>
    <m/>
    <m/>
    <m/>
    <m/>
    <m/>
    <m/>
    <m/>
    <m/>
    <m/>
  </r>
  <r>
    <s v="ORD10006"/>
    <d v="2025-09-02T00:00:00"/>
    <s v="CUST1127"/>
    <s v="Aditi Kapoor"/>
    <x v="0"/>
    <s v="Mumbai"/>
    <s v="Maharashtra"/>
    <x v="2"/>
    <x v="0"/>
    <x v="0"/>
    <n v="6"/>
    <n v="4000"/>
    <n v="0.15"/>
    <n v="20400"/>
    <n v="12678.96"/>
    <n v="7721.04"/>
    <n v="37.85"/>
    <x v="3"/>
    <x v="1"/>
    <x v="3"/>
    <x v="7"/>
    <n v="2025"/>
    <s v="Sunday"/>
    <n v="8"/>
    <s v="17-02-2025"/>
    <x v="0"/>
    <s v="New"/>
    <s v="Low"/>
    <s v="No"/>
    <n v="1"/>
    <s v="Aditi"/>
    <s v="Kapoor"/>
    <m/>
    <m/>
    <m/>
    <m/>
    <m/>
    <m/>
    <s v="Good"/>
    <s v="Medium"/>
    <s v="No"/>
    <s v="No"/>
    <n v="0.37848235294117649"/>
    <m/>
    <m/>
    <m/>
    <m/>
    <m/>
    <m/>
    <m/>
    <m/>
    <m/>
    <m/>
    <m/>
    <m/>
    <m/>
    <m/>
    <m/>
  </r>
  <r>
    <s v="ORD10614"/>
    <d v="2025-09-02T00:00:00"/>
    <s v="CUST1192"/>
    <s v="Neha Mehta"/>
    <x v="2"/>
    <s v="Hyderabad"/>
    <s v="Telangana"/>
    <x v="3"/>
    <x v="3"/>
    <x v="22"/>
    <n v="4"/>
    <n v="200"/>
    <n v="0.2"/>
    <n v="640"/>
    <n v="490.46"/>
    <n v="149.54"/>
    <n v="23.37"/>
    <x v="1"/>
    <x v="2"/>
    <x v="7"/>
    <x v="7"/>
    <n v="2025"/>
    <s v="Sunday"/>
    <n v="4"/>
    <s v="13-02-2025"/>
    <x v="0"/>
    <s v="VIP"/>
    <s v="Low"/>
    <s v="No"/>
    <n v="4"/>
    <s v="Neha"/>
    <s v="Mehta"/>
    <m/>
    <m/>
    <m/>
    <m/>
    <m/>
    <m/>
    <s v="Needs Improvement"/>
    <s v="Low"/>
    <s v="No"/>
    <s v="Yes"/>
    <n v="0.23365624999999998"/>
    <m/>
    <m/>
    <m/>
    <m/>
    <m/>
    <m/>
    <m/>
    <m/>
    <m/>
    <m/>
    <m/>
    <m/>
    <m/>
    <m/>
    <m/>
  </r>
  <r>
    <s v="ORD10210"/>
    <d v="2025-09-07T00:00:00"/>
    <s v="CUST1288"/>
    <s v="Kavya Bansal"/>
    <x v="1"/>
    <s v="Lucknow"/>
    <s v="Uttar Pradesh"/>
    <x v="2"/>
    <x v="3"/>
    <x v="17"/>
    <n v="3"/>
    <n v="200"/>
    <n v="0.2"/>
    <n v="480"/>
    <n v="362.6"/>
    <n v="117.4"/>
    <n v="24.46"/>
    <x v="3"/>
    <x v="1"/>
    <x v="1"/>
    <x v="9"/>
    <n v="2025"/>
    <s v="Wednesday"/>
    <n v="6"/>
    <s v="15-07-2025"/>
    <x v="0"/>
    <s v="New"/>
    <s v="High"/>
    <s v="Yes"/>
    <n v="1"/>
    <s v="Kavya"/>
    <s v="Bansal"/>
    <m/>
    <m/>
    <m/>
    <m/>
    <m/>
    <m/>
    <s v="Needs Improvement"/>
    <s v="Low"/>
    <s v="No"/>
    <s v="No"/>
    <n v="0.24458333333333335"/>
    <m/>
    <m/>
    <m/>
    <m/>
    <m/>
    <m/>
    <m/>
    <m/>
    <m/>
    <m/>
    <m/>
    <m/>
    <m/>
    <m/>
    <m/>
  </r>
  <r>
    <s v="ORD10536"/>
    <d v="2025-09-07T00:00:00"/>
    <s v="CUST1338"/>
    <s v="Ishita Mishra"/>
    <x v="0"/>
    <s v="Kolkata"/>
    <s v="West Bengal"/>
    <x v="1"/>
    <x v="3"/>
    <x v="10"/>
    <n v="9"/>
    <n v="800"/>
    <n v="0.05"/>
    <n v="6840"/>
    <n v="4288.3900000000003"/>
    <n v="2551.61"/>
    <n v="37.299999999999997"/>
    <x v="1"/>
    <x v="2"/>
    <x v="2"/>
    <x v="9"/>
    <n v="2025"/>
    <s v="Wednesday"/>
    <n v="7"/>
    <s v="16-07-2025"/>
    <x v="2"/>
    <s v="VIP"/>
    <s v="Low"/>
    <s v="No"/>
    <n v="1"/>
    <s v="Ishita"/>
    <s v="Mishra"/>
    <m/>
    <m/>
    <m/>
    <m/>
    <m/>
    <m/>
    <s v="Good"/>
    <s v="Low"/>
    <s v="No"/>
    <s v="Yes"/>
    <n v="0.37304239766081876"/>
    <m/>
    <m/>
    <m/>
    <m/>
    <m/>
    <m/>
    <m/>
    <m/>
    <m/>
    <m/>
    <m/>
    <m/>
    <m/>
    <m/>
    <m/>
  </r>
  <r>
    <s v="ORD10088"/>
    <d v="2025-09-09T00:00:00"/>
    <s v="CUST1180"/>
    <s v="Riya Sharma"/>
    <x v="1"/>
    <s v="Mumbai"/>
    <s v="Maharashtra"/>
    <x v="0"/>
    <x v="2"/>
    <x v="8"/>
    <n v="5"/>
    <n v="15000"/>
    <n v="0.15"/>
    <n v="63750"/>
    <n v="46935.08"/>
    <n v="16814.919999999998"/>
    <n v="26.38"/>
    <x v="3"/>
    <x v="1"/>
    <x v="0"/>
    <x v="3"/>
    <n v="2025"/>
    <s v="Tuesday"/>
    <n v="7"/>
    <s v="16-09-2025"/>
    <x v="0"/>
    <s v="VIP"/>
    <s v="Low"/>
    <s v="Yes"/>
    <n v="4"/>
    <s v="Riya"/>
    <s v="Sharma"/>
    <m/>
    <m/>
    <m/>
    <m/>
    <m/>
    <m/>
    <s v="Needs Improvement"/>
    <s v="High"/>
    <s v="Yes"/>
    <s v="No"/>
    <n v="0.26376345098039211"/>
    <m/>
    <m/>
    <m/>
    <m/>
    <m/>
    <m/>
    <m/>
    <m/>
    <m/>
    <m/>
    <m/>
    <m/>
    <m/>
    <m/>
    <m/>
  </r>
  <r>
    <s v="ORD10233"/>
    <d v="2025-09-09T00:00:00"/>
    <s v="CUST1348"/>
    <s v="Ishita Kapoor"/>
    <x v="0"/>
    <s v="Ahmedabad"/>
    <s v="Gujarat"/>
    <x v="0"/>
    <x v="2"/>
    <x v="7"/>
    <n v="8"/>
    <n v="50000"/>
    <n v="0.05"/>
    <n v="380000"/>
    <n v="301029.01"/>
    <n v="78970.990000000005"/>
    <n v="20.78"/>
    <x v="1"/>
    <x v="0"/>
    <x v="8"/>
    <x v="3"/>
    <n v="2025"/>
    <s v="Tuesday"/>
    <n v="9"/>
    <s v="18-09-2025"/>
    <x v="0"/>
    <s v="Returning"/>
    <s v="Low"/>
    <s v="No"/>
    <n v="4"/>
    <s v="Ishita"/>
    <s v="Kapoor"/>
    <m/>
    <m/>
    <m/>
    <m/>
    <m/>
    <m/>
    <s v="Needs Improvement"/>
    <s v="High"/>
    <s v="Yes"/>
    <s v="Yes"/>
    <n v="0.20781839473684213"/>
    <m/>
    <m/>
    <m/>
    <m/>
    <m/>
    <m/>
    <m/>
    <m/>
    <m/>
    <m/>
    <m/>
    <m/>
    <m/>
    <m/>
    <m/>
  </r>
  <r>
    <s v="ORD10290"/>
    <d v="2025-09-09T00:00:00"/>
    <s v="CUST1026"/>
    <s v="Arjun Mehta"/>
    <x v="2"/>
    <s v="Delhi"/>
    <s v="Delhi"/>
    <x v="3"/>
    <x v="3"/>
    <x v="5"/>
    <n v="3"/>
    <n v="100"/>
    <n v="0.2"/>
    <n v="240"/>
    <n v="191.64"/>
    <n v="48.36"/>
    <n v="20.149999999999999"/>
    <x v="0"/>
    <x v="0"/>
    <x v="5"/>
    <x v="3"/>
    <n v="2025"/>
    <s v="Tuesday"/>
    <n v="5"/>
    <s v="14-09-2025"/>
    <x v="0"/>
    <s v="VIP"/>
    <s v="High"/>
    <s v="Yes"/>
    <n v="4"/>
    <s v="Arjun"/>
    <s v="Mehta"/>
    <m/>
    <m/>
    <m/>
    <m/>
    <m/>
    <m/>
    <s v="Needs Improvement"/>
    <s v="Low"/>
    <s v="No"/>
    <s v="Yes"/>
    <n v="0.20149999999999998"/>
    <m/>
    <m/>
    <m/>
    <m/>
    <m/>
    <m/>
    <m/>
    <m/>
    <m/>
    <m/>
    <m/>
    <m/>
    <m/>
    <m/>
    <m/>
  </r>
  <r>
    <s v="ORD10964"/>
    <d v="2025-09-09T00:00:00"/>
    <s v="CUST1283"/>
    <s v="Arjun Sharma"/>
    <x v="1"/>
    <s v="Ahmedabad"/>
    <s v="Gujarat"/>
    <x v="0"/>
    <x v="0"/>
    <x v="0"/>
    <n v="6"/>
    <n v="2500"/>
    <n v="0.15"/>
    <n v="12750"/>
    <n v="8562.7800000000007"/>
    <n v="4187.22"/>
    <n v="32.840000000000003"/>
    <x v="2"/>
    <x v="0"/>
    <x v="5"/>
    <x v="3"/>
    <n v="2025"/>
    <s v="Tuesday"/>
    <n v="10"/>
    <s v="19-09-2025"/>
    <x v="0"/>
    <s v="New"/>
    <s v="Low"/>
    <s v="No"/>
    <n v="5"/>
    <s v="Arjun"/>
    <s v="Sharma"/>
    <m/>
    <m/>
    <m/>
    <m/>
    <m/>
    <m/>
    <s v="Good"/>
    <s v="Medium"/>
    <s v="No"/>
    <s v="Yes"/>
    <n v="0.32840941176470589"/>
    <m/>
    <m/>
    <m/>
    <m/>
    <m/>
    <m/>
    <m/>
    <m/>
    <m/>
    <m/>
    <m/>
    <m/>
    <m/>
    <m/>
    <m/>
  </r>
  <r>
    <s v="ORD10128"/>
    <d v="2025-09-12T00:00:00"/>
    <s v="CUST1039"/>
    <s v="Ananya Saxena"/>
    <x v="1"/>
    <s v="Lucknow"/>
    <s v="Uttar Pradesh"/>
    <x v="1"/>
    <x v="2"/>
    <x v="12"/>
    <n v="1"/>
    <n v="12000"/>
    <n v="0.05"/>
    <n v="11400"/>
    <n v="7104.43"/>
    <n v="4295.57"/>
    <n v="37.68"/>
    <x v="2"/>
    <x v="1"/>
    <x v="7"/>
    <x v="5"/>
    <n v="2025"/>
    <s v="Tuesday"/>
    <n v="10"/>
    <s v="19-12-2025"/>
    <x v="2"/>
    <s v="New"/>
    <s v="High"/>
    <s v="Yes"/>
    <n v="4"/>
    <s v="Ananya"/>
    <s v="Saxena"/>
    <m/>
    <m/>
    <m/>
    <m/>
    <m/>
    <m/>
    <s v="Good"/>
    <s v="Medium"/>
    <s v="No"/>
    <s v="No"/>
    <n v="0.37680438596491228"/>
    <m/>
    <m/>
    <m/>
    <m/>
    <m/>
    <m/>
    <m/>
    <m/>
    <m/>
    <m/>
    <m/>
    <m/>
    <m/>
    <m/>
    <m/>
  </r>
  <r>
    <s v="ORD10813"/>
    <d v="2025-10-01T00:00:00"/>
    <s v="CUST1085"/>
    <s v="Priya Jain"/>
    <x v="2"/>
    <s v="Delhi"/>
    <s v="Delhi"/>
    <x v="1"/>
    <x v="1"/>
    <x v="2"/>
    <n v="1"/>
    <n v="1200"/>
    <n v="0.1"/>
    <n v="1080"/>
    <n v="619.52"/>
    <n v="460.48"/>
    <n v="42.64"/>
    <x v="3"/>
    <x v="2"/>
    <x v="7"/>
    <x v="6"/>
    <n v="2025"/>
    <s v="Friday"/>
    <n v="6"/>
    <s v="16-01-2025"/>
    <x v="1"/>
    <s v="VIP"/>
    <s v="Low"/>
    <s v="Yes"/>
    <n v="2"/>
    <s v="Priya"/>
    <s v="Jain"/>
    <m/>
    <m/>
    <m/>
    <m/>
    <m/>
    <m/>
    <s v="Good"/>
    <s v="Low"/>
    <s v="No"/>
    <s v="Yes"/>
    <n v="0.4263703703703704"/>
    <m/>
    <m/>
    <m/>
    <m/>
    <m/>
    <m/>
    <m/>
    <m/>
    <m/>
    <m/>
    <m/>
    <m/>
    <m/>
    <m/>
    <m/>
  </r>
  <r>
    <s v="ORD10923"/>
    <d v="2025-10-01T00:00:00"/>
    <s v="CUST1067"/>
    <s v="Rahul Chopra"/>
    <x v="2"/>
    <s v="Hyderabad"/>
    <s v="Telangana"/>
    <x v="0"/>
    <x v="1"/>
    <x v="6"/>
    <n v="9"/>
    <n v="1800"/>
    <n v="0.2"/>
    <n v="12960"/>
    <n v="9796.39"/>
    <n v="3163.61"/>
    <n v="24.41"/>
    <x v="1"/>
    <x v="0"/>
    <x v="4"/>
    <x v="6"/>
    <n v="2025"/>
    <s v="Friday"/>
    <n v="7"/>
    <s v="17-01-2025"/>
    <x v="0"/>
    <s v="New"/>
    <s v="Low"/>
    <s v="No"/>
    <n v="1"/>
    <s v="Rahul"/>
    <s v="Chopra"/>
    <m/>
    <m/>
    <m/>
    <m/>
    <m/>
    <m/>
    <s v="Needs Improvement"/>
    <s v="Medium"/>
    <s v="No"/>
    <s v="Yes"/>
    <n v="0.24410570987654323"/>
    <m/>
    <m/>
    <m/>
    <m/>
    <m/>
    <m/>
    <m/>
    <m/>
    <m/>
    <m/>
    <m/>
    <m/>
    <m/>
    <m/>
    <m/>
  </r>
  <r>
    <s v="ORD10691"/>
    <d v="2025-10-02T00:00:00"/>
    <s v="CUST1248"/>
    <s v="Sneha Singh"/>
    <x v="1"/>
    <s v="Bengaluru"/>
    <s v="Karnataka"/>
    <x v="2"/>
    <x v="2"/>
    <x v="4"/>
    <n v="1"/>
    <n v="12000"/>
    <n v="0.05"/>
    <n v="11400"/>
    <n v="8030.88"/>
    <n v="3369.12"/>
    <n v="29.55"/>
    <x v="4"/>
    <x v="2"/>
    <x v="9"/>
    <x v="7"/>
    <n v="2025"/>
    <s v="Monday"/>
    <n v="6"/>
    <s v="16-02-2025"/>
    <x v="0"/>
    <s v="VIP"/>
    <s v="Medium"/>
    <s v="No"/>
    <n v="1"/>
    <s v="Sneha"/>
    <s v="Singh"/>
    <m/>
    <m/>
    <m/>
    <m/>
    <m/>
    <m/>
    <s v="Needs Improvement"/>
    <s v="Medium"/>
    <s v="No"/>
    <s v="Yes"/>
    <n v="0.29553684210526315"/>
    <m/>
    <m/>
    <m/>
    <m/>
    <m/>
    <m/>
    <m/>
    <m/>
    <m/>
    <m/>
    <m/>
    <m/>
    <m/>
    <m/>
    <m/>
  </r>
  <r>
    <s v="ORD10760"/>
    <d v="2025-10-02T00:00:00"/>
    <s v="CUST1322"/>
    <s v="Simran Kumar"/>
    <x v="0"/>
    <s v="Chennai"/>
    <s v="Tamil Nadu"/>
    <x v="0"/>
    <x v="2"/>
    <x v="12"/>
    <n v="6"/>
    <n v="35000"/>
    <n v="0.05"/>
    <n v="199500"/>
    <n v="138609.03"/>
    <n v="60890.97"/>
    <n v="30.52"/>
    <x v="3"/>
    <x v="1"/>
    <x v="4"/>
    <x v="7"/>
    <n v="2025"/>
    <s v="Monday"/>
    <n v="4"/>
    <s v="14-02-2025"/>
    <x v="0"/>
    <s v="New"/>
    <s v="High"/>
    <s v="No"/>
    <n v="3"/>
    <s v="Simran"/>
    <s v="Kumar"/>
    <m/>
    <m/>
    <m/>
    <m/>
    <m/>
    <m/>
    <s v="Good"/>
    <s v="High"/>
    <s v="Yes"/>
    <s v="No"/>
    <n v="0.30521789473684213"/>
    <m/>
    <m/>
    <m/>
    <m/>
    <m/>
    <m/>
    <m/>
    <m/>
    <m/>
    <m/>
    <m/>
    <m/>
    <m/>
    <m/>
    <m/>
  </r>
  <r>
    <s v="ORD10464"/>
    <d v="2025-10-03T00:00:00"/>
    <s v="CUST1186"/>
    <s v="Aarav Yadav"/>
    <x v="1"/>
    <s v="Chennai"/>
    <s v="Tamil Nadu"/>
    <x v="3"/>
    <x v="4"/>
    <x v="19"/>
    <n v="6"/>
    <n v="500"/>
    <n v="0.15"/>
    <n v="2550"/>
    <n v="1731.41"/>
    <n v="818.59"/>
    <n v="32.1"/>
    <x v="0"/>
    <x v="0"/>
    <x v="9"/>
    <x v="0"/>
    <n v="2025"/>
    <s v="Monday"/>
    <n v="4"/>
    <s v="14-03-2025"/>
    <x v="0"/>
    <s v="VIP"/>
    <s v="Low"/>
    <s v="No"/>
    <n v="2"/>
    <s v="Aarav"/>
    <s v="Yadav"/>
    <m/>
    <m/>
    <m/>
    <m/>
    <m/>
    <m/>
    <s v="Good"/>
    <s v="Low"/>
    <s v="No"/>
    <s v="Yes"/>
    <n v="0.32101568627450983"/>
    <m/>
    <m/>
    <m/>
    <m/>
    <m/>
    <m/>
    <m/>
    <m/>
    <m/>
    <m/>
    <m/>
    <m/>
    <m/>
    <m/>
    <m/>
  </r>
  <r>
    <s v="ORD10112"/>
    <d v="2025-10-04T00:00:00"/>
    <s v="CUST1282"/>
    <s v="Kavya Agarwal"/>
    <x v="1"/>
    <s v="Lucknow"/>
    <s v="Uttar Pradesh"/>
    <x v="3"/>
    <x v="0"/>
    <x v="1"/>
    <n v="3"/>
    <n v="9000"/>
    <n v="0.05"/>
    <n v="25650"/>
    <n v="16987.439999999999"/>
    <n v="8662.56"/>
    <n v="33.770000000000003"/>
    <x v="2"/>
    <x v="0"/>
    <x v="5"/>
    <x v="8"/>
    <n v="2025"/>
    <s v="Thursday"/>
    <n v="10"/>
    <s v="20-04-2025"/>
    <x v="0"/>
    <s v="New"/>
    <s v="High"/>
    <s v="No"/>
    <n v="5"/>
    <s v="Kavya"/>
    <s v="Agarwal"/>
    <m/>
    <m/>
    <m/>
    <m/>
    <m/>
    <m/>
    <s v="Good"/>
    <s v="Medium"/>
    <s v="No"/>
    <s v="Yes"/>
    <n v="0.33772163742690059"/>
    <m/>
    <m/>
    <m/>
    <m/>
    <m/>
    <m/>
    <m/>
    <m/>
    <m/>
    <m/>
    <m/>
    <m/>
    <m/>
    <m/>
    <m/>
  </r>
  <r>
    <s v="ORD10298"/>
    <d v="2025-10-05T00:00:00"/>
    <s v="CUST1074"/>
    <s v="Arjun Chopra"/>
    <x v="1"/>
    <s v="Delhi"/>
    <s v="Delhi"/>
    <x v="3"/>
    <x v="1"/>
    <x v="20"/>
    <n v="3"/>
    <n v="1200"/>
    <n v="0.1"/>
    <n v="3240"/>
    <n v="2460.44"/>
    <n v="779.56"/>
    <n v="24.06"/>
    <x v="2"/>
    <x v="0"/>
    <x v="7"/>
    <x v="1"/>
    <n v="2025"/>
    <s v="Saturday"/>
    <n v="9"/>
    <s v="19-05-2025"/>
    <x v="0"/>
    <s v="Returning"/>
    <s v="Medium"/>
    <s v="Yes"/>
    <n v="1"/>
    <s v="Arjun"/>
    <s v="Chopra"/>
    <m/>
    <m/>
    <m/>
    <m/>
    <m/>
    <m/>
    <s v="Needs Improvement"/>
    <s v="Low"/>
    <s v="No"/>
    <s v="Yes"/>
    <n v="0.24060493827160492"/>
    <m/>
    <m/>
    <m/>
    <m/>
    <m/>
    <m/>
    <m/>
    <m/>
    <m/>
    <m/>
    <m/>
    <m/>
    <m/>
    <m/>
    <m/>
  </r>
  <r>
    <s v="ORD10933"/>
    <d v="2025-10-07T00:00:00"/>
    <s v="CUST1289"/>
    <s v="Ananya Bansal"/>
    <x v="2"/>
    <s v="Pune"/>
    <s v="Maharashtra"/>
    <x v="0"/>
    <x v="2"/>
    <x v="7"/>
    <n v="5"/>
    <n v="35000"/>
    <n v="0.05"/>
    <n v="166250"/>
    <n v="128269.82"/>
    <n v="37980.18"/>
    <n v="22.85"/>
    <x v="2"/>
    <x v="0"/>
    <x v="2"/>
    <x v="9"/>
    <n v="2025"/>
    <s v="Thursday"/>
    <n v="9"/>
    <s v="19-07-2025"/>
    <x v="0"/>
    <s v="Returning"/>
    <s v="Low"/>
    <s v="Yes"/>
    <n v="3"/>
    <s v="Ananya"/>
    <s v="Bansal"/>
    <m/>
    <m/>
    <m/>
    <m/>
    <m/>
    <m/>
    <s v="Needs Improvement"/>
    <s v="High"/>
    <s v="Yes"/>
    <s v="Yes"/>
    <n v="0.22845221052631579"/>
    <m/>
    <m/>
    <m/>
    <m/>
    <m/>
    <m/>
    <m/>
    <m/>
    <m/>
    <m/>
    <m/>
    <m/>
    <m/>
    <m/>
    <m/>
  </r>
  <r>
    <s v="ORD10243"/>
    <d v="2025-10-08T00:00:00"/>
    <s v="CUST1350"/>
    <s v="Rahul Malhotra"/>
    <x v="1"/>
    <s v="Ahmedabad"/>
    <s v="Gujarat"/>
    <x v="3"/>
    <x v="0"/>
    <x v="23"/>
    <n v="6"/>
    <n v="6000"/>
    <n v="0.05"/>
    <n v="34200"/>
    <n v="27555.69"/>
    <n v="6644.31"/>
    <n v="19.43"/>
    <x v="2"/>
    <x v="0"/>
    <x v="6"/>
    <x v="10"/>
    <n v="2025"/>
    <s v="Sunday"/>
    <n v="5"/>
    <s v="15-08-2025"/>
    <x v="0"/>
    <s v="Returning"/>
    <s v="Low"/>
    <s v="Yes"/>
    <n v="2"/>
    <s v="Rahul"/>
    <s v="Malhotra"/>
    <m/>
    <m/>
    <m/>
    <m/>
    <m/>
    <m/>
    <s v="Needs Improvement"/>
    <s v="High"/>
    <s v="No"/>
    <s v="Yes"/>
    <n v="0.19427807017543861"/>
    <m/>
    <m/>
    <m/>
    <m/>
    <m/>
    <m/>
    <m/>
    <m/>
    <m/>
    <m/>
    <m/>
    <m/>
    <m/>
    <m/>
    <m/>
  </r>
  <r>
    <s v="ORD10739"/>
    <d v="2025-10-08T00:00:00"/>
    <s v="CUST1241"/>
    <s v="Pooja Mehta"/>
    <x v="2"/>
    <s v="Chennai"/>
    <s v="Tamil Nadu"/>
    <x v="0"/>
    <x v="4"/>
    <x v="11"/>
    <n v="3"/>
    <n v="3000"/>
    <n v="0"/>
    <n v="9000"/>
    <n v="5875.03"/>
    <n v="3124.97"/>
    <n v="34.72"/>
    <x v="4"/>
    <x v="1"/>
    <x v="3"/>
    <x v="10"/>
    <n v="2025"/>
    <s v="Sunday"/>
    <n v="1"/>
    <d v="2025-11-08T00:00:00"/>
    <x v="0"/>
    <s v="VIP"/>
    <s v="Medium"/>
    <s v="No"/>
    <n v="3"/>
    <s v="Pooja"/>
    <s v="Mehta"/>
    <m/>
    <m/>
    <m/>
    <m/>
    <m/>
    <m/>
    <s v="Good"/>
    <s v="Low"/>
    <s v="No"/>
    <s v="No"/>
    <n v="0.34721888888888885"/>
    <m/>
    <m/>
    <m/>
    <m/>
    <m/>
    <m/>
    <m/>
    <m/>
    <m/>
    <m/>
    <m/>
    <m/>
    <m/>
    <m/>
    <m/>
  </r>
  <r>
    <s v="ORD10659"/>
    <d v="2025-10-09T00:00:00"/>
    <s v="CUST1036"/>
    <s v="Aarav Yadav"/>
    <x v="2"/>
    <s v="Jaipur"/>
    <s v="Rajasthan"/>
    <x v="2"/>
    <x v="0"/>
    <x v="1"/>
    <n v="8"/>
    <n v="15000"/>
    <n v="0"/>
    <n v="120000"/>
    <n v="73933.58"/>
    <n v="46066.42"/>
    <n v="38.39"/>
    <x v="3"/>
    <x v="1"/>
    <x v="1"/>
    <x v="3"/>
    <n v="2025"/>
    <s v="Wednesday"/>
    <n v="6"/>
    <s v="16-09-2025"/>
    <x v="0"/>
    <s v="New"/>
    <s v="Medium"/>
    <s v="No"/>
    <n v="5"/>
    <s v="Aarav"/>
    <s v="Yadav"/>
    <m/>
    <m/>
    <m/>
    <m/>
    <m/>
    <m/>
    <s v="Good"/>
    <s v="High"/>
    <s v="Yes"/>
    <s v="No"/>
    <n v="0.38388683333333334"/>
    <m/>
    <m/>
    <m/>
    <m/>
    <m/>
    <m/>
    <m/>
    <m/>
    <m/>
    <m/>
    <m/>
    <m/>
    <m/>
    <m/>
    <m/>
  </r>
  <r>
    <s v="ORD10072"/>
    <d v="2025-10-10T00:00:00"/>
    <s v="CUST1179"/>
    <s v="Sneha Yadav"/>
    <x v="1"/>
    <s v="Chennai"/>
    <s v="Tamil Nadu"/>
    <x v="3"/>
    <x v="0"/>
    <x v="24"/>
    <n v="3"/>
    <n v="2500"/>
    <n v="0.2"/>
    <n v="6000"/>
    <n v="4126.12"/>
    <n v="1873.88"/>
    <n v="31.23"/>
    <x v="2"/>
    <x v="2"/>
    <x v="4"/>
    <x v="4"/>
    <n v="2025"/>
    <s v="Friday"/>
    <n v="2"/>
    <d v="2025-12-10T00:00:00"/>
    <x v="1"/>
    <s v="Returning"/>
    <s v="Low"/>
    <s v="Yes"/>
    <n v="5"/>
    <s v="Sneha"/>
    <s v="Yadav"/>
    <m/>
    <m/>
    <m/>
    <m/>
    <m/>
    <m/>
    <s v="Good"/>
    <s v="Low"/>
    <s v="No"/>
    <s v="Yes"/>
    <n v="0.31231333333333333"/>
    <m/>
    <m/>
    <m/>
    <m/>
    <m/>
    <m/>
    <m/>
    <m/>
    <m/>
    <m/>
    <m/>
    <m/>
    <m/>
    <m/>
    <m/>
  </r>
  <r>
    <s v="ORD10242"/>
    <d v="2025-10-10T00:00:00"/>
    <s v="CUST1212"/>
    <s v="Sneha Kapoor"/>
    <x v="1"/>
    <s v="Delhi"/>
    <s v="Delhi"/>
    <x v="1"/>
    <x v="1"/>
    <x v="3"/>
    <n v="5"/>
    <n v="700"/>
    <n v="0.15"/>
    <n v="2975"/>
    <n v="2278.98"/>
    <n v="696.02"/>
    <n v="23.4"/>
    <x v="0"/>
    <x v="2"/>
    <x v="0"/>
    <x v="4"/>
    <n v="2025"/>
    <s v="Friday"/>
    <n v="4"/>
    <s v="14-10-2025"/>
    <x v="0"/>
    <s v="New"/>
    <s v="Medium"/>
    <s v="No"/>
    <n v="1"/>
    <s v="Sneha"/>
    <s v="Kapoor"/>
    <m/>
    <m/>
    <m/>
    <m/>
    <m/>
    <m/>
    <s v="Needs Improvement"/>
    <s v="Low"/>
    <s v="No"/>
    <s v="Yes"/>
    <n v="0.23395630252100841"/>
    <m/>
    <m/>
    <m/>
    <m/>
    <m/>
    <m/>
    <m/>
    <m/>
    <m/>
    <m/>
    <m/>
    <m/>
    <m/>
    <m/>
    <m/>
  </r>
  <r>
    <s v="ORD10648"/>
    <d v="2025-10-10T00:00:00"/>
    <s v="CUST1177"/>
    <s v="Riya Yadav"/>
    <x v="1"/>
    <s v="Bengaluru"/>
    <s v="Karnataka"/>
    <x v="3"/>
    <x v="2"/>
    <x v="12"/>
    <n v="2"/>
    <n v="12000"/>
    <n v="0.05"/>
    <n v="22800"/>
    <n v="18035.560000000001"/>
    <n v="4764.4399999999996"/>
    <n v="20.9"/>
    <x v="3"/>
    <x v="0"/>
    <x v="9"/>
    <x v="4"/>
    <n v="2025"/>
    <s v="Friday"/>
    <n v="8"/>
    <s v="18-10-2025"/>
    <x v="2"/>
    <s v="New"/>
    <s v="Low"/>
    <s v="No"/>
    <n v="3"/>
    <s v="Riya"/>
    <s v="Yadav"/>
    <m/>
    <m/>
    <m/>
    <m/>
    <m/>
    <m/>
    <s v="Needs Improvement"/>
    <s v="Medium"/>
    <s v="No"/>
    <s v="Yes"/>
    <n v="0.20896666666666666"/>
    <m/>
    <m/>
    <m/>
    <m/>
    <m/>
    <m/>
    <m/>
    <m/>
    <m/>
    <m/>
    <m/>
    <m/>
    <m/>
    <m/>
    <m/>
  </r>
  <r>
    <s v="ORD10277"/>
    <d v="2025-10-11T00:00:00"/>
    <s v="CUST1031"/>
    <s v="Priya Singh"/>
    <x v="1"/>
    <s v="Jaipur"/>
    <s v="Rajasthan"/>
    <x v="0"/>
    <x v="4"/>
    <x v="9"/>
    <n v="1"/>
    <n v="2000"/>
    <n v="0.2"/>
    <n v="1600"/>
    <n v="990.36"/>
    <n v="609.64"/>
    <n v="38.1"/>
    <x v="1"/>
    <x v="1"/>
    <x v="7"/>
    <x v="11"/>
    <n v="2025"/>
    <s v="Monday"/>
    <n v="9"/>
    <s v="19-11-2025"/>
    <x v="0"/>
    <s v="New"/>
    <s v="Medium"/>
    <s v="No"/>
    <n v="3"/>
    <s v="Priya"/>
    <s v="Singh"/>
    <m/>
    <m/>
    <m/>
    <m/>
    <m/>
    <m/>
    <s v="Good"/>
    <s v="Low"/>
    <s v="No"/>
    <s v="No"/>
    <n v="0.381025"/>
    <m/>
    <m/>
    <m/>
    <m/>
    <m/>
    <m/>
    <m/>
    <m/>
    <m/>
    <m/>
    <m/>
    <m/>
    <m/>
    <m/>
    <m/>
  </r>
  <r>
    <s v="ORD10026"/>
    <d v="2025-11-03T00:00:00"/>
    <s v="CUST1266"/>
    <s v="Riya Sharma"/>
    <x v="1"/>
    <s v="Jaipur"/>
    <s v="Rajasthan"/>
    <x v="3"/>
    <x v="1"/>
    <x v="2"/>
    <n v="3"/>
    <n v="700"/>
    <n v="0"/>
    <n v="2100"/>
    <n v="1610.93"/>
    <n v="489.07"/>
    <n v="23.29"/>
    <x v="1"/>
    <x v="1"/>
    <x v="4"/>
    <x v="0"/>
    <n v="2025"/>
    <s v="Tuesday"/>
    <n v="4"/>
    <s v="15-03-2025"/>
    <x v="0"/>
    <s v="Returning"/>
    <s v="High"/>
    <s v="No"/>
    <n v="4"/>
    <s v="Riya"/>
    <s v="Sharma"/>
    <m/>
    <m/>
    <m/>
    <m/>
    <m/>
    <m/>
    <s v="Needs Improvement"/>
    <s v="Low"/>
    <s v="No"/>
    <s v="No"/>
    <n v="0.23289047619047618"/>
    <m/>
    <m/>
    <m/>
    <m/>
    <m/>
    <m/>
    <m/>
    <m/>
    <m/>
    <m/>
    <m/>
    <m/>
    <m/>
    <m/>
    <m/>
  </r>
  <r>
    <s v="ORD10145"/>
    <d v="2025-11-03T00:00:00"/>
    <s v="CUST1017"/>
    <s v="Riya Kumar"/>
    <x v="0"/>
    <s v="Chennai"/>
    <s v="Tamil Nadu"/>
    <x v="1"/>
    <x v="4"/>
    <x v="11"/>
    <n v="8"/>
    <n v="3000"/>
    <n v="0.05"/>
    <n v="22800"/>
    <n v="14372.7"/>
    <n v="8427.2999999999993"/>
    <n v="36.96"/>
    <x v="4"/>
    <x v="2"/>
    <x v="6"/>
    <x v="0"/>
    <n v="2025"/>
    <s v="Tuesday"/>
    <n v="2"/>
    <s v="13-03-2025"/>
    <x v="0"/>
    <s v="New"/>
    <s v="High"/>
    <s v="No"/>
    <n v="5"/>
    <s v="Riya"/>
    <s v="Kumar"/>
    <m/>
    <m/>
    <m/>
    <m/>
    <m/>
    <m/>
    <s v="Good"/>
    <s v="Medium"/>
    <s v="No"/>
    <s v="Yes"/>
    <n v="0.36961842105263154"/>
    <m/>
    <m/>
    <m/>
    <m/>
    <m/>
    <m/>
    <m/>
    <m/>
    <m/>
    <m/>
    <m/>
    <m/>
    <m/>
    <m/>
    <m/>
  </r>
  <r>
    <s v="ORD10444"/>
    <d v="2025-11-03T00:00:00"/>
    <s v="CUST1301"/>
    <s v="Aarav Bansal"/>
    <x v="2"/>
    <s v="Delhi"/>
    <s v="Delhi"/>
    <x v="3"/>
    <x v="1"/>
    <x v="6"/>
    <n v="6"/>
    <n v="1200"/>
    <n v="0.15"/>
    <n v="6120"/>
    <n v="3861.12"/>
    <n v="2258.88"/>
    <n v="36.909999999999997"/>
    <x v="2"/>
    <x v="1"/>
    <x v="5"/>
    <x v="0"/>
    <n v="2025"/>
    <s v="Tuesday"/>
    <n v="7"/>
    <s v="18-03-2025"/>
    <x v="1"/>
    <s v="VIP"/>
    <s v="High"/>
    <s v="No"/>
    <n v="4"/>
    <s v="Aarav"/>
    <s v="Bansal"/>
    <m/>
    <m/>
    <m/>
    <m/>
    <m/>
    <m/>
    <s v="Good"/>
    <s v="Low"/>
    <s v="No"/>
    <s v="No"/>
    <n v="0.36909803921568629"/>
    <m/>
    <m/>
    <m/>
    <m/>
    <m/>
    <m/>
    <m/>
    <m/>
    <m/>
    <m/>
    <m/>
    <m/>
    <m/>
    <m/>
    <m/>
  </r>
  <r>
    <s v="ORD10932"/>
    <d v="2025-11-03T00:00:00"/>
    <s v="CUST1321"/>
    <s v="Nisha Sharma"/>
    <x v="2"/>
    <s v="Delhi"/>
    <s v="Delhi"/>
    <x v="1"/>
    <x v="2"/>
    <x v="7"/>
    <n v="5"/>
    <n v="22000"/>
    <n v="0.15"/>
    <n v="93500"/>
    <n v="75788.47"/>
    <n v="17711.53"/>
    <n v="18.940000000000001"/>
    <x v="1"/>
    <x v="1"/>
    <x v="5"/>
    <x v="0"/>
    <n v="2025"/>
    <s v="Tuesday"/>
    <n v="2"/>
    <s v="13-03-2025"/>
    <x v="0"/>
    <s v="Returning"/>
    <s v="High"/>
    <s v="No"/>
    <n v="1"/>
    <s v="Nisha"/>
    <s v="Sharma"/>
    <m/>
    <m/>
    <m/>
    <m/>
    <m/>
    <m/>
    <s v="Needs Improvement"/>
    <s v="High"/>
    <s v="Yes"/>
    <s v="No"/>
    <n v="0.18942812834224598"/>
    <m/>
    <m/>
    <m/>
    <m/>
    <m/>
    <m/>
    <m/>
    <m/>
    <m/>
    <m/>
    <m/>
    <m/>
    <m/>
    <m/>
    <m/>
  </r>
  <r>
    <s v="ORD10954"/>
    <d v="2025-11-03T00:00:00"/>
    <s v="CUST1190"/>
    <s v="Ananya Agarwal"/>
    <x v="0"/>
    <s v="Chennai"/>
    <s v="Tamil Nadu"/>
    <x v="2"/>
    <x v="0"/>
    <x v="1"/>
    <n v="9"/>
    <n v="15000"/>
    <n v="0"/>
    <n v="135000"/>
    <n v="105489.01"/>
    <n v="29510.99"/>
    <n v="21.86"/>
    <x v="2"/>
    <x v="0"/>
    <x v="4"/>
    <x v="0"/>
    <n v="2025"/>
    <s v="Tuesday"/>
    <n v="3"/>
    <s v="14-03-2025"/>
    <x v="0"/>
    <s v="Returning"/>
    <s v="Medium"/>
    <s v="No"/>
    <n v="1"/>
    <s v="Ananya"/>
    <s v="Agarwal"/>
    <m/>
    <m/>
    <m/>
    <m/>
    <m/>
    <m/>
    <s v="Needs Improvement"/>
    <s v="High"/>
    <s v="Yes"/>
    <s v="Yes"/>
    <n v="0.21859992592592595"/>
    <m/>
    <m/>
    <m/>
    <m/>
    <m/>
    <m/>
    <m/>
    <m/>
    <m/>
    <m/>
    <m/>
    <m/>
    <m/>
    <m/>
    <m/>
  </r>
  <r>
    <s v="ORD10599"/>
    <d v="2025-11-04T00:00:00"/>
    <s v="CUST1228"/>
    <s v="Ishita Jain"/>
    <x v="2"/>
    <s v="Pune"/>
    <s v="Maharashtra"/>
    <x v="0"/>
    <x v="0"/>
    <x v="24"/>
    <n v="4"/>
    <n v="6000"/>
    <n v="0.05"/>
    <n v="22800"/>
    <n v="16806.560000000001"/>
    <n v="5993.44"/>
    <n v="26.29"/>
    <x v="3"/>
    <x v="0"/>
    <x v="2"/>
    <x v="8"/>
    <n v="2025"/>
    <s v="Friday"/>
    <n v="6"/>
    <s v="17-04-2025"/>
    <x v="0"/>
    <s v="Returning"/>
    <s v="High"/>
    <s v="No"/>
    <n v="5"/>
    <s v="Ishita"/>
    <s v="Jain"/>
    <m/>
    <m/>
    <m/>
    <m/>
    <m/>
    <m/>
    <s v="Needs Improvement"/>
    <s v="Medium"/>
    <s v="No"/>
    <s v="Yes"/>
    <n v="0.26287017543859648"/>
    <m/>
    <m/>
    <m/>
    <m/>
    <m/>
    <m/>
    <m/>
    <m/>
    <m/>
    <m/>
    <m/>
    <m/>
    <m/>
    <m/>
    <m/>
  </r>
  <r>
    <s v="ORD10755"/>
    <d v="2025-11-04T00:00:00"/>
    <s v="CUST1233"/>
    <s v="Priya Gupta"/>
    <x v="1"/>
    <s v="Bengaluru"/>
    <s v="Karnataka"/>
    <x v="3"/>
    <x v="4"/>
    <x v="19"/>
    <n v="6"/>
    <n v="500"/>
    <n v="0.1"/>
    <n v="2700"/>
    <n v="1999.89"/>
    <n v="700.11"/>
    <n v="25.93"/>
    <x v="0"/>
    <x v="2"/>
    <x v="2"/>
    <x v="8"/>
    <n v="2025"/>
    <s v="Friday"/>
    <n v="5"/>
    <s v="16-04-2025"/>
    <x v="0"/>
    <s v="New"/>
    <s v="Medium"/>
    <s v="No"/>
    <n v="3"/>
    <s v="Priya"/>
    <s v="Gupta"/>
    <m/>
    <m/>
    <m/>
    <m/>
    <m/>
    <m/>
    <s v="Needs Improvement"/>
    <s v="Low"/>
    <s v="No"/>
    <s v="Yes"/>
    <n v="0.25930000000000003"/>
    <m/>
    <m/>
    <m/>
    <m/>
    <m/>
    <m/>
    <m/>
    <m/>
    <m/>
    <m/>
    <m/>
    <m/>
    <m/>
    <m/>
    <m/>
  </r>
  <r>
    <s v="ORD10396"/>
    <d v="2025-11-05T00:00:00"/>
    <s v="CUST1300"/>
    <s v="Vikram Singh"/>
    <x v="0"/>
    <s v="Kolkata"/>
    <s v="West Bengal"/>
    <x v="2"/>
    <x v="2"/>
    <x v="7"/>
    <n v="3"/>
    <n v="12000"/>
    <n v="0.15"/>
    <n v="30600"/>
    <n v="23933.64"/>
    <n v="6666.36"/>
    <n v="21.79"/>
    <x v="1"/>
    <x v="1"/>
    <x v="7"/>
    <x v="1"/>
    <n v="2025"/>
    <s v="Sunday"/>
    <n v="8"/>
    <s v="19-05-2025"/>
    <x v="0"/>
    <s v="New"/>
    <s v="High"/>
    <s v="No"/>
    <n v="4"/>
    <s v="Vikram"/>
    <s v="Singh"/>
    <m/>
    <m/>
    <m/>
    <m/>
    <m/>
    <m/>
    <s v="Needs Improvement"/>
    <s v="High"/>
    <s v="No"/>
    <s v="No"/>
    <n v="0.2178549019607843"/>
    <m/>
    <m/>
    <m/>
    <m/>
    <m/>
    <m/>
    <m/>
    <m/>
    <m/>
    <m/>
    <m/>
    <m/>
    <m/>
    <m/>
    <m/>
  </r>
  <r>
    <s v="ORD10110"/>
    <d v="2025-11-06T00:00:00"/>
    <s v="CUST1049"/>
    <s v="Karan Gupta"/>
    <x v="0"/>
    <s v="Lucknow"/>
    <s v="Uttar Pradesh"/>
    <x v="0"/>
    <x v="0"/>
    <x v="1"/>
    <n v="10"/>
    <n v="9000"/>
    <n v="0.15"/>
    <n v="76500"/>
    <n v="50354.21"/>
    <n v="26145.79"/>
    <n v="34.18"/>
    <x v="2"/>
    <x v="2"/>
    <x v="0"/>
    <x v="2"/>
    <n v="2025"/>
    <s v="Wednesday"/>
    <n v="6"/>
    <s v="17-06-2025"/>
    <x v="0"/>
    <s v="Returning"/>
    <s v="Low"/>
    <s v="No"/>
    <n v="3"/>
    <s v="Karan"/>
    <s v="Gupta"/>
    <m/>
    <m/>
    <m/>
    <m/>
    <m/>
    <m/>
    <s v="Good"/>
    <s v="High"/>
    <s v="Yes"/>
    <s v="Yes"/>
    <n v="0.34177503267973858"/>
    <m/>
    <m/>
    <m/>
    <m/>
    <m/>
    <m/>
    <m/>
    <m/>
    <m/>
    <m/>
    <m/>
    <m/>
    <m/>
    <m/>
    <m/>
  </r>
  <r>
    <s v="ORD10646"/>
    <d v="2025-11-06T00:00:00"/>
    <s v="CUST1238"/>
    <s v="Priya Sharma"/>
    <x v="2"/>
    <s v="Bengaluru"/>
    <s v="Karnataka"/>
    <x v="2"/>
    <x v="2"/>
    <x v="8"/>
    <n v="10"/>
    <n v="15000"/>
    <n v="0.05"/>
    <n v="142500"/>
    <n v="95107.32"/>
    <n v="47392.68"/>
    <n v="33.26"/>
    <x v="4"/>
    <x v="1"/>
    <x v="7"/>
    <x v="2"/>
    <n v="2025"/>
    <s v="Wednesday"/>
    <n v="10"/>
    <s v="21-06-2025"/>
    <x v="2"/>
    <s v="VIP"/>
    <s v="High"/>
    <s v="No"/>
    <n v="3"/>
    <s v="Priya"/>
    <s v="Sharma"/>
    <m/>
    <m/>
    <m/>
    <m/>
    <m/>
    <m/>
    <s v="Good"/>
    <s v="High"/>
    <s v="Yes"/>
    <s v="No"/>
    <n v="0.33258021052631581"/>
    <m/>
    <m/>
    <m/>
    <m/>
    <m/>
    <m/>
    <m/>
    <m/>
    <m/>
    <m/>
    <m/>
    <m/>
    <m/>
    <m/>
    <m/>
  </r>
  <r>
    <s v="ORD10709"/>
    <d v="2025-11-08T00:00:00"/>
    <s v="CUST1255"/>
    <s v="Nisha Mehta"/>
    <x v="2"/>
    <s v="Hyderabad"/>
    <s v="Telangana"/>
    <x v="3"/>
    <x v="3"/>
    <x v="22"/>
    <n v="4"/>
    <n v="500"/>
    <n v="0.1"/>
    <n v="1800"/>
    <n v="1290.74"/>
    <n v="509.26"/>
    <n v="28.29"/>
    <x v="1"/>
    <x v="0"/>
    <x v="9"/>
    <x v="10"/>
    <n v="2025"/>
    <s v="Monday"/>
    <n v="1"/>
    <d v="2025-12-08T00:00:00"/>
    <x v="2"/>
    <s v="VIP"/>
    <s v="High"/>
    <s v="Yes"/>
    <n v="3"/>
    <s v="Nisha"/>
    <s v="Mehta"/>
    <m/>
    <m/>
    <m/>
    <m/>
    <m/>
    <m/>
    <s v="Needs Improvement"/>
    <s v="Low"/>
    <s v="No"/>
    <s v="Yes"/>
    <n v="0.28292222222222224"/>
    <m/>
    <m/>
    <m/>
    <m/>
    <m/>
    <m/>
    <m/>
    <m/>
    <m/>
    <m/>
    <m/>
    <m/>
    <m/>
    <m/>
    <m/>
  </r>
  <r>
    <s v="ORD10448"/>
    <d v="2025-11-09T00:00:00"/>
    <s v="CUST1292"/>
    <s v="Kavya Malhotra"/>
    <x v="0"/>
    <s v="Hyderabad"/>
    <s v="Telangana"/>
    <x v="1"/>
    <x v="2"/>
    <x v="4"/>
    <n v="8"/>
    <n v="8000"/>
    <n v="0.15"/>
    <n v="54400"/>
    <n v="34750.76"/>
    <n v="19649.240000000002"/>
    <n v="36.119999999999997"/>
    <x v="1"/>
    <x v="1"/>
    <x v="9"/>
    <x v="3"/>
    <n v="2025"/>
    <s v="Thursday"/>
    <n v="4"/>
    <s v="15-09-2025"/>
    <x v="1"/>
    <s v="Returning"/>
    <s v="High"/>
    <s v="No"/>
    <n v="4"/>
    <s v="Kavya"/>
    <s v="Malhotra"/>
    <m/>
    <m/>
    <m/>
    <m/>
    <m/>
    <m/>
    <s v="Good"/>
    <s v="High"/>
    <s v="Yes"/>
    <s v="No"/>
    <n v="0.36119926470588237"/>
    <m/>
    <m/>
    <m/>
    <m/>
    <m/>
    <m/>
    <m/>
    <m/>
    <m/>
    <m/>
    <m/>
    <m/>
    <m/>
    <m/>
    <m/>
  </r>
  <r>
    <s v="ORD10023"/>
    <d v="2025-11-11T00:00:00"/>
    <s v="CUST1064"/>
    <s v="Priya Kapoor"/>
    <x v="0"/>
    <s v="Ahmedabad"/>
    <s v="Gujarat"/>
    <x v="2"/>
    <x v="4"/>
    <x v="9"/>
    <n v="6"/>
    <n v="2000"/>
    <n v="0"/>
    <n v="12000"/>
    <n v="7617.09"/>
    <n v="4382.91"/>
    <n v="36.520000000000003"/>
    <x v="0"/>
    <x v="1"/>
    <x v="0"/>
    <x v="11"/>
    <n v="2025"/>
    <s v="Tuesday"/>
    <n v="6"/>
    <s v="17-11-2025"/>
    <x v="1"/>
    <s v="VIP"/>
    <s v="Low"/>
    <s v="Yes"/>
    <n v="4"/>
    <s v="Priya"/>
    <s v="Kapoor"/>
    <m/>
    <m/>
    <m/>
    <m/>
    <m/>
    <m/>
    <s v="Good"/>
    <s v="Medium"/>
    <s v="No"/>
    <s v="No"/>
    <n v="0.36524249999999997"/>
    <m/>
    <m/>
    <m/>
    <m/>
    <m/>
    <m/>
    <m/>
    <m/>
    <m/>
    <m/>
    <m/>
    <m/>
    <m/>
    <m/>
    <m/>
  </r>
  <r>
    <s v="ORD10961"/>
    <d v="2025-11-11T00:00:00"/>
    <s v="CUST1016"/>
    <s v="Rahul Chopra"/>
    <x v="1"/>
    <s v="Mumbai"/>
    <s v="Maharashtra"/>
    <x v="2"/>
    <x v="1"/>
    <x v="14"/>
    <n v="7"/>
    <n v="1200"/>
    <n v="0.05"/>
    <n v="7980"/>
    <n v="5443.21"/>
    <n v="2536.79"/>
    <n v="31.79"/>
    <x v="2"/>
    <x v="2"/>
    <x v="9"/>
    <x v="11"/>
    <n v="2025"/>
    <s v="Tuesday"/>
    <n v="5"/>
    <s v="16-11-2025"/>
    <x v="0"/>
    <s v="Returning"/>
    <s v="High"/>
    <s v="Yes"/>
    <n v="5"/>
    <s v="Rahul"/>
    <s v="Chopra"/>
    <m/>
    <m/>
    <m/>
    <m/>
    <m/>
    <m/>
    <s v="Good"/>
    <s v="Low"/>
    <s v="No"/>
    <s v="Yes"/>
    <n v="0.31789348370927317"/>
    <m/>
    <m/>
    <m/>
    <m/>
    <m/>
    <m/>
    <m/>
    <m/>
    <m/>
    <m/>
    <m/>
    <m/>
    <m/>
    <m/>
    <m/>
  </r>
  <r>
    <s v="ORD10223"/>
    <d v="2025-11-12T00:00:00"/>
    <s v="CUST1187"/>
    <s v="Neha Mehta"/>
    <x v="2"/>
    <s v="Chennai"/>
    <s v="Tamil Nadu"/>
    <x v="1"/>
    <x v="1"/>
    <x v="14"/>
    <n v="6"/>
    <n v="3500"/>
    <n v="0.1"/>
    <n v="18900"/>
    <n v="13281.01"/>
    <n v="5618.99"/>
    <n v="29.73"/>
    <x v="0"/>
    <x v="2"/>
    <x v="6"/>
    <x v="5"/>
    <n v="2025"/>
    <s v="Thursday"/>
    <n v="10"/>
    <s v="21-12-2025"/>
    <x v="0"/>
    <s v="VIP"/>
    <s v="High"/>
    <s v="No"/>
    <n v="3"/>
    <s v="Neha"/>
    <s v="Mehta"/>
    <m/>
    <m/>
    <m/>
    <m/>
    <m/>
    <m/>
    <s v="Needs Improvement"/>
    <s v="Medium"/>
    <s v="No"/>
    <s v="Yes"/>
    <n v="0.29730105820105818"/>
    <m/>
    <m/>
    <m/>
    <m/>
    <m/>
    <m/>
    <m/>
    <m/>
    <m/>
    <m/>
    <m/>
    <m/>
    <m/>
    <m/>
    <m/>
  </r>
  <r>
    <s v="ORD10291"/>
    <d v="2025-12-01T00:00:00"/>
    <s v="CUST1282"/>
    <s v="Aditya Kumar"/>
    <x v="0"/>
    <s v="Lucknow"/>
    <s v="Uttar Pradesh"/>
    <x v="3"/>
    <x v="3"/>
    <x v="5"/>
    <n v="2"/>
    <n v="350"/>
    <n v="0.1"/>
    <n v="630"/>
    <n v="475.51"/>
    <n v="154.49"/>
    <n v="24.52"/>
    <x v="1"/>
    <x v="0"/>
    <x v="0"/>
    <x v="6"/>
    <n v="2025"/>
    <s v="Sunday"/>
    <n v="7"/>
    <s v="19-01-2025"/>
    <x v="0"/>
    <s v="Returning"/>
    <s v="High"/>
    <s v="No"/>
    <n v="5"/>
    <s v="Aditya"/>
    <s v="Kumar"/>
    <m/>
    <m/>
    <m/>
    <m/>
    <m/>
    <m/>
    <s v="Needs Improvement"/>
    <s v="Low"/>
    <s v="No"/>
    <s v="Yes"/>
    <n v="0.24522222222222223"/>
    <m/>
    <m/>
    <m/>
    <m/>
    <m/>
    <m/>
    <m/>
    <m/>
    <m/>
    <m/>
    <m/>
    <m/>
    <m/>
    <m/>
    <m/>
  </r>
  <r>
    <s v="ORD10878"/>
    <d v="2025-12-03T00:00:00"/>
    <s v="CUST1271"/>
    <s v="Neha Bansal"/>
    <x v="0"/>
    <s v="Kolkata"/>
    <s v="West Bengal"/>
    <x v="1"/>
    <x v="2"/>
    <x v="4"/>
    <n v="1"/>
    <n v="35000"/>
    <n v="0.15"/>
    <n v="29750"/>
    <n v="22519.34"/>
    <n v="7230.66"/>
    <n v="24.3"/>
    <x v="0"/>
    <x v="2"/>
    <x v="0"/>
    <x v="0"/>
    <n v="2025"/>
    <s v="Wednesday"/>
    <n v="2"/>
    <s v="14-03-2025"/>
    <x v="0"/>
    <s v="Returning"/>
    <s v="High"/>
    <s v="Yes"/>
    <n v="2"/>
    <s v="Neha"/>
    <s v="Bansal"/>
    <m/>
    <m/>
    <m/>
    <m/>
    <m/>
    <m/>
    <s v="Needs Improvement"/>
    <s v="Medium"/>
    <s v="No"/>
    <s v="Yes"/>
    <n v="0.24304739495798319"/>
    <m/>
    <m/>
    <m/>
    <m/>
    <m/>
    <m/>
    <m/>
    <m/>
    <m/>
    <m/>
    <m/>
    <m/>
    <m/>
    <m/>
    <m/>
  </r>
  <r>
    <s v="ORD10638"/>
    <d v="2025-12-04T00:00:00"/>
    <s v="CUST1205"/>
    <s v="Kavya Chopra"/>
    <x v="2"/>
    <s v="Jaipur"/>
    <s v="Rajasthan"/>
    <x v="0"/>
    <x v="4"/>
    <x v="9"/>
    <n v="1"/>
    <n v="2000"/>
    <n v="0.2"/>
    <n v="1600"/>
    <n v="1180.02"/>
    <n v="419.98"/>
    <n v="26.25"/>
    <x v="0"/>
    <x v="0"/>
    <x v="3"/>
    <x v="8"/>
    <n v="2025"/>
    <s v="Saturday"/>
    <n v="10"/>
    <s v="22-04-2025"/>
    <x v="1"/>
    <s v="Returning"/>
    <s v="High"/>
    <s v="No"/>
    <n v="3"/>
    <s v="Kavya"/>
    <s v="Chopra"/>
    <m/>
    <m/>
    <m/>
    <m/>
    <m/>
    <m/>
    <s v="Needs Improvement"/>
    <s v="Low"/>
    <s v="No"/>
    <s v="Yes"/>
    <n v="0.26248749999999998"/>
    <m/>
    <m/>
    <m/>
    <m/>
    <m/>
    <m/>
    <m/>
    <m/>
    <m/>
    <m/>
    <m/>
    <m/>
    <m/>
    <m/>
    <m/>
  </r>
  <r>
    <s v="ORD10820"/>
    <d v="2025-12-04T00:00:00"/>
    <s v="CUST1209"/>
    <s v="Nisha Mishra"/>
    <x v="2"/>
    <s v="Delhi"/>
    <s v="Delhi"/>
    <x v="2"/>
    <x v="1"/>
    <x v="20"/>
    <n v="9"/>
    <n v="1800"/>
    <n v="0.2"/>
    <n v="12960"/>
    <n v="8291.85"/>
    <n v="4668.1499999999996"/>
    <n v="36.020000000000003"/>
    <x v="4"/>
    <x v="1"/>
    <x v="5"/>
    <x v="8"/>
    <n v="2025"/>
    <s v="Saturday"/>
    <n v="1"/>
    <s v="13-04-2025"/>
    <x v="0"/>
    <s v="VIP"/>
    <s v="Low"/>
    <s v="No"/>
    <n v="5"/>
    <s v="Nisha"/>
    <s v="Mishra"/>
    <m/>
    <m/>
    <m/>
    <m/>
    <m/>
    <m/>
    <s v="Good"/>
    <s v="Medium"/>
    <s v="No"/>
    <s v="No"/>
    <n v="0.36019675925925926"/>
    <m/>
    <m/>
    <m/>
    <m/>
    <m/>
    <m/>
    <m/>
    <m/>
    <m/>
    <m/>
    <m/>
    <m/>
    <m/>
    <m/>
    <m/>
  </r>
  <r>
    <s v="ORD10957"/>
    <d v="2025-12-06T00:00:00"/>
    <s v="CUST1287"/>
    <s v="Rohan Singh"/>
    <x v="2"/>
    <s v="Delhi"/>
    <s v="Delhi"/>
    <x v="3"/>
    <x v="4"/>
    <x v="11"/>
    <n v="2"/>
    <n v="2000"/>
    <n v="0.2"/>
    <n v="3200"/>
    <n v="2374.2800000000002"/>
    <n v="825.72"/>
    <n v="25.8"/>
    <x v="3"/>
    <x v="0"/>
    <x v="3"/>
    <x v="2"/>
    <n v="2025"/>
    <s v="Thursday"/>
    <n v="7"/>
    <s v="19-06-2025"/>
    <x v="2"/>
    <s v="Returning"/>
    <s v="Low"/>
    <s v="No"/>
    <n v="4"/>
    <s v="Rohan"/>
    <s v="Singh"/>
    <m/>
    <m/>
    <m/>
    <m/>
    <m/>
    <m/>
    <s v="Needs Improvement"/>
    <s v="Low"/>
    <s v="No"/>
    <s v="Yes"/>
    <n v="0.25803750000000003"/>
    <m/>
    <m/>
    <m/>
    <m/>
    <m/>
    <m/>
    <m/>
    <m/>
    <m/>
    <m/>
    <m/>
    <m/>
    <m/>
    <m/>
    <m/>
  </r>
  <r>
    <s v="ORD10118"/>
    <d v="2025-12-08T00:00:00"/>
    <s v="CUST1345"/>
    <s v="Neha Singh"/>
    <x v="0"/>
    <s v="Hyderabad"/>
    <s v="Telangana"/>
    <x v="3"/>
    <x v="2"/>
    <x v="4"/>
    <n v="9"/>
    <n v="15000"/>
    <n v="0.05"/>
    <n v="128250"/>
    <n v="91241.89"/>
    <n v="37008.11"/>
    <n v="28.86"/>
    <x v="3"/>
    <x v="2"/>
    <x v="1"/>
    <x v="10"/>
    <n v="2025"/>
    <s v="Tuesday"/>
    <n v="6"/>
    <s v="18-08-2025"/>
    <x v="1"/>
    <s v="Returning"/>
    <s v="Medium"/>
    <s v="Yes"/>
    <n v="5"/>
    <s v="Neha"/>
    <s v="Singh"/>
    <m/>
    <m/>
    <m/>
    <m/>
    <m/>
    <m/>
    <s v="Needs Improvement"/>
    <s v="High"/>
    <s v="Yes"/>
    <s v="Yes"/>
    <n v="0.28856226120857698"/>
    <m/>
    <m/>
    <m/>
    <m/>
    <m/>
    <m/>
    <m/>
    <m/>
    <m/>
    <m/>
    <m/>
    <m/>
    <m/>
    <m/>
    <m/>
  </r>
  <r>
    <s v="ORD10919"/>
    <d v="2025-12-09T00:00:00"/>
    <s v="CUST1207"/>
    <s v="Arjun Gupta"/>
    <x v="2"/>
    <s v="Jaipur"/>
    <s v="Rajasthan"/>
    <x v="1"/>
    <x v="1"/>
    <x v="14"/>
    <n v="3"/>
    <n v="700"/>
    <n v="0"/>
    <n v="2100"/>
    <n v="1218.9100000000001"/>
    <n v="881.09"/>
    <n v="41.96"/>
    <x v="1"/>
    <x v="0"/>
    <x v="7"/>
    <x v="3"/>
    <n v="2025"/>
    <s v="Friday"/>
    <n v="2"/>
    <s v="14-09-2025"/>
    <x v="0"/>
    <s v="Returning"/>
    <s v="Low"/>
    <s v="No"/>
    <n v="5"/>
    <s v="Arjun"/>
    <s v="Gupta"/>
    <m/>
    <m/>
    <m/>
    <m/>
    <m/>
    <m/>
    <s v="Good"/>
    <s v="Low"/>
    <s v="No"/>
    <s v="Yes"/>
    <n v="0.4195666666666667"/>
    <m/>
    <m/>
    <m/>
    <m/>
    <m/>
    <m/>
    <m/>
    <m/>
    <m/>
    <m/>
    <m/>
    <m/>
    <m/>
    <m/>
    <m/>
  </r>
  <r>
    <s v="ORD10005"/>
    <d v="2025-12-10T00:00:00"/>
    <s v="CUST1084"/>
    <s v="Riya Mehta"/>
    <x v="0"/>
    <s v="Chennai"/>
    <s v="Tamil Nadu"/>
    <x v="3"/>
    <x v="3"/>
    <x v="10"/>
    <n v="5"/>
    <n v="100"/>
    <n v="0.2"/>
    <n v="400"/>
    <n v="298.75"/>
    <n v="101.25"/>
    <n v="25.31"/>
    <x v="0"/>
    <x v="2"/>
    <x v="6"/>
    <x v="4"/>
    <n v="2025"/>
    <s v="Sunday"/>
    <n v="3"/>
    <s v="15-10-2025"/>
    <x v="1"/>
    <s v="New"/>
    <s v="Medium"/>
    <s v="No"/>
    <n v="3"/>
    <s v="Riya"/>
    <s v="Mehta"/>
    <m/>
    <m/>
    <m/>
    <m/>
    <m/>
    <m/>
    <s v="Needs Improvement"/>
    <s v="Low"/>
    <s v="No"/>
    <s v="Yes"/>
    <n v="0.25312499999999999"/>
    <m/>
    <m/>
    <m/>
    <m/>
    <m/>
    <m/>
    <m/>
    <m/>
    <m/>
    <m/>
    <m/>
    <m/>
    <m/>
    <m/>
    <m/>
  </r>
  <r>
    <s v="ORD10837"/>
    <d v="2025-12-11T00:00:00"/>
    <s v="CUST1141"/>
    <s v="Ishita Sharma"/>
    <x v="0"/>
    <s v="Hyderabad"/>
    <s v="Telangana"/>
    <x v="1"/>
    <x v="0"/>
    <x v="1"/>
    <n v="7"/>
    <n v="6000"/>
    <n v="0.05"/>
    <n v="39900"/>
    <n v="27212.07"/>
    <n v="12687.93"/>
    <n v="31.8"/>
    <x v="4"/>
    <x v="1"/>
    <x v="4"/>
    <x v="11"/>
    <n v="2025"/>
    <s v="Wednesday"/>
    <n v="4"/>
    <s v="16-11-2025"/>
    <x v="2"/>
    <s v="New"/>
    <s v="Low"/>
    <s v="No"/>
    <n v="5"/>
    <s v="Ishita"/>
    <s v="Sharma"/>
    <m/>
    <m/>
    <m/>
    <m/>
    <m/>
    <m/>
    <s v="Good"/>
    <s v="High"/>
    <s v="Yes"/>
    <s v="No"/>
    <n v="0.31799323308270677"/>
    <m/>
    <m/>
    <m/>
    <m/>
    <m/>
    <m/>
    <m/>
    <m/>
    <m/>
    <m/>
    <m/>
    <m/>
    <m/>
    <m/>
    <m/>
  </r>
  <r>
    <s v="ORD10157"/>
    <s v="13-01-2024"/>
    <s v="CUST1178"/>
    <s v="Meera Kapoor"/>
    <x v="1"/>
    <s v="Lucknow"/>
    <s v="Uttar Pradesh"/>
    <x v="0"/>
    <x v="4"/>
    <x v="11"/>
    <n v="5"/>
    <n v="800"/>
    <n v="0"/>
    <n v="4000"/>
    <n v="2376.94"/>
    <n v="1623.06"/>
    <n v="40.58"/>
    <x v="2"/>
    <x v="1"/>
    <x v="4"/>
    <x v="6"/>
    <n v="2024"/>
    <s v="Saturday"/>
    <n v="3"/>
    <s v="16-01-2024"/>
    <x v="0"/>
    <s v="VIP"/>
    <s v="Medium"/>
    <s v="Yes"/>
    <n v="1"/>
    <s v="Meera"/>
    <s v="Kapoor"/>
    <m/>
    <m/>
    <m/>
    <m/>
    <m/>
    <m/>
    <s v="Good"/>
    <s v="Low"/>
    <s v="No"/>
    <s v="No"/>
    <n v="0.40576499999999999"/>
    <m/>
    <m/>
    <m/>
    <m/>
    <m/>
    <m/>
    <m/>
    <m/>
    <m/>
    <m/>
    <m/>
    <m/>
    <m/>
    <m/>
    <m/>
  </r>
  <r>
    <s v="ORD10316"/>
    <s v="13-01-2024"/>
    <s v="CUST1162"/>
    <s v="Meera Mishra"/>
    <x v="2"/>
    <s v="Kolkata"/>
    <s v="West Bengal"/>
    <x v="1"/>
    <x v="1"/>
    <x v="6"/>
    <n v="3"/>
    <n v="3500"/>
    <n v="0.15"/>
    <n v="8925"/>
    <n v="5829.28"/>
    <n v="3095.72"/>
    <n v="34.69"/>
    <x v="3"/>
    <x v="0"/>
    <x v="3"/>
    <x v="6"/>
    <n v="2024"/>
    <s v="Saturday"/>
    <n v="5"/>
    <s v="18-01-2024"/>
    <x v="2"/>
    <s v="Returning"/>
    <s v="High"/>
    <s v="No"/>
    <n v="3"/>
    <s v="Meera"/>
    <s v="Mishra"/>
    <m/>
    <m/>
    <m/>
    <m/>
    <m/>
    <m/>
    <s v="Good"/>
    <s v="Low"/>
    <s v="No"/>
    <s v="Yes"/>
    <n v="0.34685938375350139"/>
    <m/>
    <m/>
    <m/>
    <m/>
    <m/>
    <m/>
    <m/>
    <m/>
    <m/>
    <m/>
    <m/>
    <m/>
    <m/>
    <m/>
    <m/>
  </r>
  <r>
    <s v="ORD10347"/>
    <s v="13-01-2024"/>
    <s v="CUST1229"/>
    <s v="Aditi Verma"/>
    <x v="2"/>
    <s v="Kolkata"/>
    <s v="West Bengal"/>
    <x v="2"/>
    <x v="0"/>
    <x v="23"/>
    <n v="6"/>
    <n v="9000"/>
    <n v="0.1"/>
    <n v="48600"/>
    <n v="31340.48"/>
    <n v="17259.52"/>
    <n v="35.51"/>
    <x v="4"/>
    <x v="1"/>
    <x v="0"/>
    <x v="6"/>
    <n v="2024"/>
    <s v="Saturday"/>
    <n v="5"/>
    <s v="18-01-2024"/>
    <x v="0"/>
    <s v="New"/>
    <s v="High"/>
    <s v="No"/>
    <n v="4"/>
    <s v="Aditi"/>
    <s v="Verma"/>
    <m/>
    <m/>
    <m/>
    <m/>
    <m/>
    <m/>
    <s v="Good"/>
    <s v="High"/>
    <s v="Yes"/>
    <s v="No"/>
    <n v="0.35513415637860085"/>
    <m/>
    <m/>
    <m/>
    <m/>
    <m/>
    <m/>
    <m/>
    <m/>
    <m/>
    <m/>
    <m/>
    <m/>
    <m/>
    <m/>
    <m/>
  </r>
  <r>
    <s v="ORD10618"/>
    <s v="13-01-2025"/>
    <s v="CUST1160"/>
    <s v="Neha Gupta"/>
    <x v="1"/>
    <s v="Hyderabad"/>
    <s v="Telangana"/>
    <x v="1"/>
    <x v="4"/>
    <x v="11"/>
    <n v="7"/>
    <n v="800"/>
    <n v="0.15"/>
    <n v="4760"/>
    <n v="2758.02"/>
    <n v="2001.98"/>
    <n v="42.06"/>
    <x v="1"/>
    <x v="0"/>
    <x v="4"/>
    <x v="6"/>
    <n v="2025"/>
    <s v="Monday"/>
    <n v="8"/>
    <s v="21-01-2025"/>
    <x v="1"/>
    <s v="New"/>
    <s v="Medium"/>
    <s v="Yes"/>
    <n v="1"/>
    <s v="Neha"/>
    <s v="Gupta"/>
    <m/>
    <m/>
    <m/>
    <m/>
    <m/>
    <m/>
    <s v="Good"/>
    <s v="Low"/>
    <s v="No"/>
    <s v="Yes"/>
    <n v="0.42058403361344537"/>
    <m/>
    <m/>
    <m/>
    <m/>
    <m/>
    <m/>
    <m/>
    <m/>
    <m/>
    <m/>
    <m/>
    <m/>
    <m/>
    <m/>
    <m/>
  </r>
  <r>
    <s v="ORD10556"/>
    <s v="13-02-2025"/>
    <s v="CUST1085"/>
    <s v="Priya Chopra"/>
    <x v="1"/>
    <s v="Chennai"/>
    <s v="Tamil Nadu"/>
    <x v="1"/>
    <x v="1"/>
    <x v="14"/>
    <n v="10"/>
    <n v="3500"/>
    <n v="0.05"/>
    <n v="33250"/>
    <n v="20781.79"/>
    <n v="12468.21"/>
    <n v="37.5"/>
    <x v="2"/>
    <x v="1"/>
    <x v="2"/>
    <x v="7"/>
    <n v="2025"/>
    <s v="Thursday"/>
    <n v="4"/>
    <s v="17-02-2025"/>
    <x v="0"/>
    <s v="VIP"/>
    <s v="Low"/>
    <s v="Yes"/>
    <n v="1"/>
    <s v="Priya"/>
    <s v="Chopra"/>
    <m/>
    <m/>
    <m/>
    <m/>
    <m/>
    <m/>
    <s v="Good"/>
    <s v="High"/>
    <s v="Yes"/>
    <s v="No"/>
    <n v="0.37498375939849621"/>
    <m/>
    <m/>
    <m/>
    <m/>
    <m/>
    <m/>
    <m/>
    <m/>
    <m/>
    <m/>
    <m/>
    <m/>
    <m/>
    <m/>
    <m/>
  </r>
  <r>
    <s v="ORD10747"/>
    <s v="13-02-2025"/>
    <s v="CUST1339"/>
    <s v="Karan Gupta"/>
    <x v="1"/>
    <s v="Kolkata"/>
    <s v="West Bengal"/>
    <x v="3"/>
    <x v="2"/>
    <x v="4"/>
    <n v="6"/>
    <n v="22000"/>
    <n v="0.05"/>
    <n v="125400"/>
    <n v="83677.279999999999"/>
    <n v="41722.720000000001"/>
    <n v="33.270000000000003"/>
    <x v="2"/>
    <x v="2"/>
    <x v="7"/>
    <x v="7"/>
    <n v="2025"/>
    <s v="Thursday"/>
    <n v="6"/>
    <s v="19-02-2025"/>
    <x v="0"/>
    <s v="Returning"/>
    <s v="Medium"/>
    <s v="Yes"/>
    <n v="3"/>
    <s v="Karan"/>
    <s v="Gupta"/>
    <m/>
    <m/>
    <m/>
    <m/>
    <m/>
    <m/>
    <s v="Good"/>
    <s v="High"/>
    <s v="Yes"/>
    <s v="Yes"/>
    <n v="0.33271706539074963"/>
    <m/>
    <m/>
    <m/>
    <m/>
    <m/>
    <m/>
    <m/>
    <m/>
    <m/>
    <m/>
    <m/>
    <m/>
    <m/>
    <m/>
    <m/>
  </r>
  <r>
    <s v="ORD10527"/>
    <s v="13-03-2024"/>
    <s v="CUST1243"/>
    <s v="Ananya Agarwal"/>
    <x v="0"/>
    <s v="Mumbai"/>
    <s v="Maharashtra"/>
    <x v="3"/>
    <x v="3"/>
    <x v="22"/>
    <n v="6"/>
    <n v="350"/>
    <n v="0"/>
    <n v="2100"/>
    <n v="1301.25"/>
    <n v="798.75"/>
    <n v="38.04"/>
    <x v="1"/>
    <x v="0"/>
    <x v="9"/>
    <x v="0"/>
    <n v="2024"/>
    <s v="Wednesday"/>
    <n v="3"/>
    <s v="16-03-2024"/>
    <x v="2"/>
    <s v="New"/>
    <s v="Medium"/>
    <s v="No"/>
    <n v="4"/>
    <s v="Ananya"/>
    <s v="Agarwal"/>
    <m/>
    <m/>
    <m/>
    <m/>
    <m/>
    <m/>
    <s v="Good"/>
    <s v="Low"/>
    <s v="No"/>
    <s v="Yes"/>
    <n v="0.38035714285714284"/>
    <m/>
    <m/>
    <m/>
    <m/>
    <m/>
    <m/>
    <m/>
    <m/>
    <m/>
    <m/>
    <m/>
    <m/>
    <m/>
    <m/>
    <m/>
  </r>
  <r>
    <s v="ORD10178"/>
    <s v="13-03-2025"/>
    <s v="CUST1321"/>
    <s v="Simran Malhotra"/>
    <x v="2"/>
    <s v="Ahmedabad"/>
    <s v="Gujarat"/>
    <x v="1"/>
    <x v="1"/>
    <x v="2"/>
    <n v="1"/>
    <n v="1800"/>
    <n v="0"/>
    <n v="1800"/>
    <n v="1390.41"/>
    <n v="409.59"/>
    <n v="22.75"/>
    <x v="1"/>
    <x v="2"/>
    <x v="4"/>
    <x v="0"/>
    <n v="2025"/>
    <s v="Thursday"/>
    <n v="2"/>
    <s v="15-03-2025"/>
    <x v="0"/>
    <s v="VIP"/>
    <s v="Medium"/>
    <s v="Yes"/>
    <n v="4"/>
    <s v="Simran"/>
    <s v="Malhotra"/>
    <m/>
    <m/>
    <m/>
    <m/>
    <m/>
    <m/>
    <s v="Needs Improvement"/>
    <s v="Low"/>
    <s v="No"/>
    <s v="Yes"/>
    <n v="0.22754999999999997"/>
    <m/>
    <m/>
    <m/>
    <m/>
    <m/>
    <m/>
    <m/>
    <m/>
    <m/>
    <m/>
    <m/>
    <m/>
    <m/>
    <m/>
    <m/>
  </r>
  <r>
    <s v="ORD10513"/>
    <s v="13-03-2025"/>
    <s v="CUST1147"/>
    <s v="Vikram Saxena"/>
    <x v="1"/>
    <s v="Kolkata"/>
    <s v="West Bengal"/>
    <x v="2"/>
    <x v="0"/>
    <x v="15"/>
    <n v="4"/>
    <n v="2500"/>
    <n v="0.05"/>
    <n v="9500"/>
    <n v="6131.24"/>
    <n v="3368.76"/>
    <n v="35.46"/>
    <x v="1"/>
    <x v="1"/>
    <x v="4"/>
    <x v="0"/>
    <n v="2025"/>
    <s v="Thursday"/>
    <n v="7"/>
    <s v="20-03-2025"/>
    <x v="0"/>
    <s v="New"/>
    <s v="Low"/>
    <s v="Yes"/>
    <n v="3"/>
    <s v="Vikram"/>
    <s v="Saxena"/>
    <m/>
    <m/>
    <m/>
    <m/>
    <m/>
    <m/>
    <s v="Good"/>
    <s v="Low"/>
    <s v="No"/>
    <s v="No"/>
    <n v="0.35460631578947371"/>
    <m/>
    <m/>
    <m/>
    <m/>
    <m/>
    <m/>
    <m/>
    <m/>
    <m/>
    <m/>
    <m/>
    <m/>
    <m/>
    <m/>
    <m/>
  </r>
  <r>
    <s v="ORD10941"/>
    <s v="13-03-2025"/>
    <s v="CUST1329"/>
    <s v="Vikram Gupta"/>
    <x v="0"/>
    <s v="Pune"/>
    <s v="Maharashtra"/>
    <x v="0"/>
    <x v="2"/>
    <x v="12"/>
    <n v="7"/>
    <n v="8000"/>
    <n v="0.1"/>
    <n v="50400"/>
    <n v="39961.58"/>
    <n v="10438.42"/>
    <n v="20.71"/>
    <x v="3"/>
    <x v="0"/>
    <x v="6"/>
    <x v="0"/>
    <n v="2025"/>
    <s v="Thursday"/>
    <n v="1"/>
    <s v="14-03-2025"/>
    <x v="2"/>
    <s v="Returning"/>
    <s v="High"/>
    <s v="No"/>
    <n v="3"/>
    <s v="Vikram"/>
    <s v="Gupta"/>
    <m/>
    <m/>
    <m/>
    <m/>
    <m/>
    <m/>
    <s v="Needs Improvement"/>
    <s v="High"/>
    <s v="Yes"/>
    <s v="Yes"/>
    <n v="0.20711150793650793"/>
    <m/>
    <m/>
    <m/>
    <m/>
    <m/>
    <m/>
    <m/>
    <m/>
    <m/>
    <m/>
    <m/>
    <m/>
    <m/>
    <m/>
    <m/>
  </r>
  <r>
    <s v="ORD10805"/>
    <s v="13-04-2024"/>
    <s v="CUST1013"/>
    <s v="Meera Singh"/>
    <x v="1"/>
    <s v="Chennai"/>
    <s v="Tamil Nadu"/>
    <x v="0"/>
    <x v="0"/>
    <x v="24"/>
    <n v="9"/>
    <n v="4000"/>
    <n v="0"/>
    <n v="36000"/>
    <n v="22420.6"/>
    <n v="13579.4"/>
    <n v="37.72"/>
    <x v="1"/>
    <x v="1"/>
    <x v="1"/>
    <x v="8"/>
    <n v="2024"/>
    <s v="Saturday"/>
    <n v="3"/>
    <s v="16-04-2024"/>
    <x v="1"/>
    <s v="Returning"/>
    <s v="High"/>
    <s v="No"/>
    <n v="3"/>
    <s v="Meera"/>
    <s v="Singh"/>
    <m/>
    <m/>
    <m/>
    <m/>
    <m/>
    <m/>
    <s v="Good"/>
    <s v="High"/>
    <s v="Yes"/>
    <s v="No"/>
    <n v="0.37720555555555557"/>
    <m/>
    <m/>
    <m/>
    <m/>
    <m/>
    <m/>
    <m/>
    <m/>
    <m/>
    <m/>
    <m/>
    <m/>
    <m/>
    <m/>
    <m/>
  </r>
  <r>
    <s v="ORD10284"/>
    <s v="13-04-2025"/>
    <s v="CUST1022"/>
    <s v="Simran Yadav"/>
    <x v="0"/>
    <s v="Mumbai"/>
    <s v="Maharashtra"/>
    <x v="0"/>
    <x v="0"/>
    <x v="23"/>
    <n v="10"/>
    <n v="9000"/>
    <n v="0.1"/>
    <n v="81000"/>
    <n v="53404.44"/>
    <n v="27595.56"/>
    <n v="34.07"/>
    <x v="4"/>
    <x v="0"/>
    <x v="5"/>
    <x v="8"/>
    <n v="2025"/>
    <s v="Sunday"/>
    <n v="4"/>
    <s v="17-04-2025"/>
    <x v="2"/>
    <s v="VIP"/>
    <s v="High"/>
    <s v="Yes"/>
    <n v="5"/>
    <s v="Simran"/>
    <s v="Yadav"/>
    <m/>
    <m/>
    <m/>
    <m/>
    <m/>
    <m/>
    <s v="Good"/>
    <s v="High"/>
    <s v="Yes"/>
    <s v="Yes"/>
    <n v="0.34068592592592595"/>
    <m/>
    <m/>
    <m/>
    <m/>
    <m/>
    <m/>
    <m/>
    <m/>
    <m/>
    <m/>
    <m/>
    <m/>
    <m/>
    <m/>
    <m/>
  </r>
  <r>
    <s v="ORD10658"/>
    <s v="13-04-2025"/>
    <s v="CUST1103"/>
    <s v="Neha Gupta"/>
    <x v="0"/>
    <s v="Lucknow"/>
    <s v="Uttar Pradesh"/>
    <x v="1"/>
    <x v="1"/>
    <x v="20"/>
    <n v="9"/>
    <n v="1200"/>
    <n v="0.05"/>
    <n v="10260"/>
    <n v="6128.37"/>
    <n v="4131.63"/>
    <n v="40.270000000000003"/>
    <x v="1"/>
    <x v="2"/>
    <x v="5"/>
    <x v="8"/>
    <n v="2025"/>
    <s v="Sunday"/>
    <n v="6"/>
    <s v="19-04-2025"/>
    <x v="0"/>
    <s v="Returning"/>
    <s v="Medium"/>
    <s v="Yes"/>
    <n v="5"/>
    <s v="Neha"/>
    <s v="Gupta"/>
    <m/>
    <m/>
    <m/>
    <m/>
    <m/>
    <m/>
    <s v="Good"/>
    <s v="Medium"/>
    <s v="No"/>
    <s v="Yes"/>
    <n v="0.40269298245614038"/>
    <m/>
    <m/>
    <m/>
    <m/>
    <m/>
    <m/>
    <m/>
    <m/>
    <m/>
    <m/>
    <m/>
    <m/>
    <m/>
    <m/>
    <m/>
  </r>
  <r>
    <s v="ORD10097"/>
    <s v="13-05-2024"/>
    <s v="CUST1164"/>
    <s v="Vikram Malhotra"/>
    <x v="2"/>
    <s v="Lucknow"/>
    <s v="Uttar Pradesh"/>
    <x v="0"/>
    <x v="0"/>
    <x v="24"/>
    <n v="6"/>
    <n v="6000"/>
    <n v="0.15"/>
    <n v="30600"/>
    <n v="21470.36"/>
    <n v="9129.64"/>
    <n v="29.84"/>
    <x v="4"/>
    <x v="2"/>
    <x v="4"/>
    <x v="1"/>
    <n v="2024"/>
    <s v="Monday"/>
    <n v="6"/>
    <s v="19-05-2024"/>
    <x v="1"/>
    <s v="New"/>
    <s v="Low"/>
    <s v="No"/>
    <n v="4"/>
    <s v="Vikram"/>
    <s v="Malhotra"/>
    <m/>
    <m/>
    <m/>
    <m/>
    <m/>
    <m/>
    <s v="Needs Improvement"/>
    <s v="High"/>
    <s v="No"/>
    <s v="Yes"/>
    <n v="0.29835424836601304"/>
    <m/>
    <m/>
    <m/>
    <m/>
    <m/>
    <m/>
    <m/>
    <m/>
    <m/>
    <m/>
    <m/>
    <m/>
    <m/>
    <m/>
    <m/>
  </r>
  <r>
    <s v="ORD10301"/>
    <s v="13-05-2024"/>
    <s v="CUST1026"/>
    <s v="Arjun Mehta"/>
    <x v="2"/>
    <s v="Pune"/>
    <s v="Maharashtra"/>
    <x v="1"/>
    <x v="4"/>
    <x v="16"/>
    <n v="9"/>
    <n v="2000"/>
    <n v="0"/>
    <n v="18000"/>
    <n v="14290"/>
    <n v="3710"/>
    <n v="20.61"/>
    <x v="4"/>
    <x v="1"/>
    <x v="4"/>
    <x v="1"/>
    <n v="2024"/>
    <s v="Monday"/>
    <n v="1"/>
    <s v="14-05-2024"/>
    <x v="2"/>
    <s v="VIP"/>
    <s v="High"/>
    <s v="No"/>
    <n v="5"/>
    <s v="Arjun"/>
    <s v="Mehta"/>
    <m/>
    <m/>
    <m/>
    <m/>
    <m/>
    <m/>
    <s v="Needs Improvement"/>
    <s v="Medium"/>
    <s v="No"/>
    <s v="No"/>
    <n v="0.20611111111111111"/>
    <m/>
    <m/>
    <m/>
    <m/>
    <m/>
    <m/>
    <m/>
    <m/>
    <m/>
    <m/>
    <m/>
    <m/>
    <m/>
    <m/>
    <m/>
  </r>
  <r>
    <s v="ORD10381"/>
    <s v="13-05-2024"/>
    <s v="CUST1145"/>
    <s v="Rahul Mehta"/>
    <x v="2"/>
    <s v="Hyderabad"/>
    <s v="Telangana"/>
    <x v="2"/>
    <x v="0"/>
    <x v="24"/>
    <n v="5"/>
    <n v="9000"/>
    <n v="0.15"/>
    <n v="38250"/>
    <n v="27234.85"/>
    <n v="11015.15"/>
    <n v="28.8"/>
    <x v="2"/>
    <x v="2"/>
    <x v="0"/>
    <x v="1"/>
    <n v="2024"/>
    <s v="Monday"/>
    <n v="7"/>
    <s v="20-05-2024"/>
    <x v="0"/>
    <s v="Returning"/>
    <s v="Low"/>
    <s v="No"/>
    <n v="2"/>
    <s v="Rahul"/>
    <s v="Mehta"/>
    <m/>
    <m/>
    <m/>
    <m/>
    <m/>
    <m/>
    <s v="Needs Improvement"/>
    <s v="High"/>
    <s v="Yes"/>
    <s v="Yes"/>
    <n v="0.28797777777777778"/>
    <m/>
    <m/>
    <m/>
    <m/>
    <m/>
    <m/>
    <m/>
    <m/>
    <m/>
    <m/>
    <m/>
    <m/>
    <m/>
    <m/>
    <m/>
  </r>
  <r>
    <s v="ORD10211"/>
    <s v="13-06-2024"/>
    <s v="CUST1032"/>
    <s v="Priya Singh"/>
    <x v="1"/>
    <s v="Kolkata"/>
    <s v="West Bengal"/>
    <x v="1"/>
    <x v="0"/>
    <x v="15"/>
    <n v="1"/>
    <n v="4000"/>
    <n v="0.1"/>
    <n v="3600"/>
    <n v="2122.33"/>
    <n v="1477.67"/>
    <n v="41.05"/>
    <x v="0"/>
    <x v="1"/>
    <x v="2"/>
    <x v="2"/>
    <n v="2024"/>
    <s v="Thursday"/>
    <n v="5"/>
    <s v="18-06-2024"/>
    <x v="0"/>
    <s v="VIP"/>
    <s v="High"/>
    <s v="Yes"/>
    <n v="5"/>
    <s v="Priya"/>
    <s v="Singh"/>
    <m/>
    <m/>
    <m/>
    <m/>
    <m/>
    <m/>
    <s v="Good"/>
    <s v="Low"/>
    <s v="No"/>
    <s v="No"/>
    <n v="0.41046388888888891"/>
    <m/>
    <m/>
    <m/>
    <m/>
    <m/>
    <m/>
    <m/>
    <m/>
    <m/>
    <m/>
    <m/>
    <m/>
    <m/>
    <m/>
    <m/>
  </r>
  <r>
    <s v="ORD10473"/>
    <s v="13-06-2024"/>
    <s v="CUST1113"/>
    <s v="Ananya Mishra"/>
    <x v="0"/>
    <s v="Hyderabad"/>
    <s v="Telangana"/>
    <x v="1"/>
    <x v="0"/>
    <x v="15"/>
    <n v="2"/>
    <n v="9000"/>
    <n v="0"/>
    <n v="18000"/>
    <n v="13624.26"/>
    <n v="4375.74"/>
    <n v="24.31"/>
    <x v="2"/>
    <x v="0"/>
    <x v="9"/>
    <x v="2"/>
    <n v="2024"/>
    <s v="Thursday"/>
    <n v="6"/>
    <s v="19-06-2024"/>
    <x v="2"/>
    <s v="New"/>
    <s v="High"/>
    <s v="No"/>
    <n v="2"/>
    <s v="Ananya"/>
    <s v="Mishra"/>
    <m/>
    <m/>
    <m/>
    <m/>
    <m/>
    <m/>
    <s v="Needs Improvement"/>
    <s v="Medium"/>
    <s v="No"/>
    <s v="Yes"/>
    <n v="0.24309666666666666"/>
    <m/>
    <m/>
    <m/>
    <m/>
    <m/>
    <m/>
    <m/>
    <m/>
    <m/>
    <m/>
    <m/>
    <m/>
    <m/>
    <m/>
    <m/>
  </r>
  <r>
    <s v="ORD10543"/>
    <s v="13-06-2024"/>
    <s v="CUST1092"/>
    <s v="Nisha Mishra"/>
    <x v="1"/>
    <s v="Mumbai"/>
    <s v="Maharashtra"/>
    <x v="1"/>
    <x v="0"/>
    <x v="23"/>
    <n v="7"/>
    <n v="6000"/>
    <n v="0.15"/>
    <n v="35700"/>
    <n v="19732.740000000002"/>
    <n v="15967.26"/>
    <n v="44.73"/>
    <x v="1"/>
    <x v="1"/>
    <x v="3"/>
    <x v="2"/>
    <n v="2024"/>
    <s v="Thursday"/>
    <n v="3"/>
    <s v="16-06-2024"/>
    <x v="0"/>
    <s v="Returning"/>
    <s v="High"/>
    <s v="Yes"/>
    <n v="2"/>
    <s v="Nisha"/>
    <s v="Mishra"/>
    <m/>
    <m/>
    <m/>
    <m/>
    <m/>
    <m/>
    <s v="Good"/>
    <s v="High"/>
    <s v="Yes"/>
    <s v="No"/>
    <n v="0.44726218487394959"/>
    <m/>
    <m/>
    <m/>
    <m/>
    <m/>
    <m/>
    <m/>
    <m/>
    <m/>
    <m/>
    <m/>
    <m/>
    <m/>
    <m/>
    <m/>
  </r>
  <r>
    <s v="ORD10690"/>
    <s v="13-06-2025"/>
    <s v="CUST1068"/>
    <s v="Neha Mehta"/>
    <x v="0"/>
    <s v="Bengaluru"/>
    <s v="Karnataka"/>
    <x v="3"/>
    <x v="3"/>
    <x v="17"/>
    <n v="8"/>
    <n v="800"/>
    <n v="0.2"/>
    <n v="5120"/>
    <n v="3866.48"/>
    <n v="1253.52"/>
    <n v="24.48"/>
    <x v="3"/>
    <x v="0"/>
    <x v="7"/>
    <x v="2"/>
    <n v="2025"/>
    <s v="Friday"/>
    <n v="10"/>
    <s v="23-06-2025"/>
    <x v="0"/>
    <s v="VIP"/>
    <s v="Medium"/>
    <s v="Yes"/>
    <n v="2"/>
    <s v="Neha"/>
    <s v="Mehta"/>
    <m/>
    <m/>
    <m/>
    <m/>
    <m/>
    <m/>
    <s v="Needs Improvement"/>
    <s v="Low"/>
    <s v="No"/>
    <s v="Yes"/>
    <n v="0.24482812500000001"/>
    <m/>
    <m/>
    <m/>
    <m/>
    <m/>
    <m/>
    <m/>
    <m/>
    <m/>
    <m/>
    <m/>
    <m/>
    <m/>
    <m/>
    <m/>
  </r>
  <r>
    <s v="ORD10580"/>
    <s v="13-07-2025"/>
    <s v="CUST1329"/>
    <s v="Meera Malhotra"/>
    <x v="2"/>
    <s v="Delhi"/>
    <s v="Delhi"/>
    <x v="3"/>
    <x v="0"/>
    <x v="15"/>
    <n v="6"/>
    <n v="9000"/>
    <n v="0.2"/>
    <n v="43200"/>
    <n v="25921.39"/>
    <n v="17278.61"/>
    <n v="40"/>
    <x v="3"/>
    <x v="1"/>
    <x v="8"/>
    <x v="9"/>
    <n v="2025"/>
    <s v="Sunday"/>
    <n v="2"/>
    <s v="15-07-2025"/>
    <x v="0"/>
    <s v="Returning"/>
    <s v="Medium"/>
    <s v="Yes"/>
    <n v="1"/>
    <s v="Meera"/>
    <s v="Malhotra"/>
    <m/>
    <m/>
    <m/>
    <m/>
    <m/>
    <m/>
    <s v="Good"/>
    <s v="High"/>
    <s v="Yes"/>
    <s v="No"/>
    <n v="0.39996782407407411"/>
    <m/>
    <m/>
    <m/>
    <m/>
    <m/>
    <m/>
    <m/>
    <m/>
    <m/>
    <m/>
    <m/>
    <m/>
    <m/>
    <m/>
    <m/>
  </r>
  <r>
    <s v="ORD10144"/>
    <s v="13-08-2024"/>
    <s v="CUST1276"/>
    <s v="Priya Gupta"/>
    <x v="0"/>
    <s v="Jaipur"/>
    <s v="Rajasthan"/>
    <x v="2"/>
    <x v="1"/>
    <x v="2"/>
    <n v="2"/>
    <n v="3500"/>
    <n v="0"/>
    <n v="7000"/>
    <n v="4369.47"/>
    <n v="2630.53"/>
    <n v="37.58"/>
    <x v="3"/>
    <x v="0"/>
    <x v="2"/>
    <x v="10"/>
    <n v="2024"/>
    <s v="Tuesday"/>
    <n v="5"/>
    <s v="18-08-2024"/>
    <x v="0"/>
    <s v="VIP"/>
    <s v="Low"/>
    <s v="No"/>
    <n v="5"/>
    <s v="Priya"/>
    <s v="Gupta"/>
    <m/>
    <m/>
    <m/>
    <m/>
    <m/>
    <m/>
    <s v="Good"/>
    <s v="Low"/>
    <s v="No"/>
    <s v="Yes"/>
    <n v="0.37579000000000001"/>
    <m/>
    <m/>
    <m/>
    <m/>
    <m/>
    <m/>
    <m/>
    <m/>
    <m/>
    <m/>
    <m/>
    <m/>
    <m/>
    <m/>
    <m/>
  </r>
  <r>
    <s v="ORD10220"/>
    <s v="13-08-2024"/>
    <s v="CUST1280"/>
    <s v="Priya Mishra"/>
    <x v="2"/>
    <s v="Kolkata"/>
    <s v="West Bengal"/>
    <x v="0"/>
    <x v="1"/>
    <x v="3"/>
    <n v="8"/>
    <n v="1200"/>
    <n v="0.2"/>
    <n v="7680"/>
    <n v="5876.18"/>
    <n v="1803.82"/>
    <n v="23.49"/>
    <x v="0"/>
    <x v="2"/>
    <x v="8"/>
    <x v="10"/>
    <n v="2024"/>
    <s v="Tuesday"/>
    <n v="3"/>
    <s v="16-08-2024"/>
    <x v="2"/>
    <s v="VIP"/>
    <s v="Low"/>
    <s v="Yes"/>
    <n v="1"/>
    <s v="Priya"/>
    <s v="Mishra"/>
    <m/>
    <m/>
    <m/>
    <m/>
    <m/>
    <m/>
    <s v="Needs Improvement"/>
    <s v="Low"/>
    <s v="No"/>
    <s v="Yes"/>
    <n v="0.23487239583333333"/>
    <m/>
    <m/>
    <m/>
    <m/>
    <m/>
    <m/>
    <m/>
    <m/>
    <m/>
    <m/>
    <m/>
    <m/>
    <m/>
    <m/>
    <m/>
  </r>
  <r>
    <s v="ORD10454"/>
    <s v="13-08-2024"/>
    <s v="CUST1023"/>
    <s v="Ishita Kapoor"/>
    <x v="2"/>
    <s v="Delhi"/>
    <s v="Delhi"/>
    <x v="0"/>
    <x v="2"/>
    <x v="8"/>
    <n v="4"/>
    <n v="50000"/>
    <n v="0"/>
    <n v="200000"/>
    <n v="149096.62"/>
    <n v="50903.38"/>
    <n v="25.45"/>
    <x v="0"/>
    <x v="0"/>
    <x v="6"/>
    <x v="10"/>
    <n v="2024"/>
    <s v="Tuesday"/>
    <n v="2"/>
    <s v="15-08-2024"/>
    <x v="0"/>
    <s v="VIP"/>
    <s v="Low"/>
    <s v="No"/>
    <n v="4"/>
    <s v="Ishita"/>
    <s v="Kapoor"/>
    <m/>
    <m/>
    <m/>
    <m/>
    <m/>
    <m/>
    <s v="Needs Improvement"/>
    <s v="High"/>
    <s v="Yes"/>
    <s v="Yes"/>
    <n v="0.25451689999999999"/>
    <m/>
    <m/>
    <m/>
    <m/>
    <m/>
    <m/>
    <m/>
    <m/>
    <m/>
    <m/>
    <m/>
    <m/>
    <m/>
    <m/>
    <m/>
  </r>
  <r>
    <s v="ORD10876"/>
    <s v="13-08-2024"/>
    <s v="CUST1333"/>
    <s v="Vikram Saxena"/>
    <x v="1"/>
    <s v="Hyderabad"/>
    <s v="Telangana"/>
    <x v="3"/>
    <x v="3"/>
    <x v="22"/>
    <n v="4"/>
    <n v="800"/>
    <n v="0.2"/>
    <n v="2560"/>
    <n v="2035.51"/>
    <n v="524.49"/>
    <n v="20.49"/>
    <x v="3"/>
    <x v="2"/>
    <x v="0"/>
    <x v="10"/>
    <n v="2024"/>
    <s v="Tuesday"/>
    <n v="6"/>
    <s v="19-08-2024"/>
    <x v="1"/>
    <s v="New"/>
    <s v="Medium"/>
    <s v="No"/>
    <n v="1"/>
    <s v="Vikram"/>
    <s v="Saxena"/>
    <m/>
    <m/>
    <m/>
    <m/>
    <m/>
    <m/>
    <s v="Needs Improvement"/>
    <s v="Low"/>
    <s v="No"/>
    <s v="Yes"/>
    <n v="0.20487890624999999"/>
    <m/>
    <m/>
    <m/>
    <m/>
    <m/>
    <m/>
    <m/>
    <m/>
    <m/>
    <m/>
    <m/>
    <m/>
    <m/>
    <m/>
    <m/>
  </r>
  <r>
    <s v="ORD10414"/>
    <s v="13-08-2025"/>
    <s v="CUST1244"/>
    <s v="Meera Saxena"/>
    <x v="2"/>
    <s v="Mumbai"/>
    <s v="Maharashtra"/>
    <x v="1"/>
    <x v="4"/>
    <x v="11"/>
    <n v="4"/>
    <n v="3000"/>
    <n v="0.2"/>
    <n v="9600"/>
    <n v="6632.39"/>
    <n v="2967.61"/>
    <n v="30.91"/>
    <x v="3"/>
    <x v="2"/>
    <x v="7"/>
    <x v="10"/>
    <n v="2025"/>
    <s v="Wednesday"/>
    <n v="1"/>
    <s v="14-08-2025"/>
    <x v="1"/>
    <s v="Returning"/>
    <s v="Low"/>
    <s v="Yes"/>
    <n v="5"/>
    <s v="Meera"/>
    <s v="Saxena"/>
    <m/>
    <m/>
    <m/>
    <m/>
    <m/>
    <m/>
    <s v="Good"/>
    <s v="Low"/>
    <s v="No"/>
    <s v="Yes"/>
    <n v="0.30912604166666668"/>
    <m/>
    <m/>
    <m/>
    <m/>
    <m/>
    <m/>
    <m/>
    <m/>
    <m/>
    <m/>
    <m/>
    <m/>
    <m/>
    <m/>
    <m/>
  </r>
  <r>
    <s v="ORD10321"/>
    <s v="13-09-2024"/>
    <s v="CUST1077"/>
    <s v="Aarav Saxena"/>
    <x v="2"/>
    <s v="Pune"/>
    <s v="Maharashtra"/>
    <x v="2"/>
    <x v="2"/>
    <x v="7"/>
    <n v="2"/>
    <n v="8000"/>
    <n v="0.2"/>
    <n v="12800"/>
    <n v="10138.35"/>
    <n v="2661.65"/>
    <n v="20.79"/>
    <x v="0"/>
    <x v="2"/>
    <x v="3"/>
    <x v="3"/>
    <n v="2024"/>
    <s v="Friday"/>
    <n v="8"/>
    <s v="21-09-2024"/>
    <x v="0"/>
    <s v="Returning"/>
    <s v="High"/>
    <s v="Yes"/>
    <n v="5"/>
    <s v="Aarav"/>
    <s v="Saxena"/>
    <m/>
    <m/>
    <m/>
    <m/>
    <m/>
    <m/>
    <s v="Needs Improvement"/>
    <s v="Medium"/>
    <s v="No"/>
    <s v="Yes"/>
    <n v="0.20794140625000002"/>
    <m/>
    <m/>
    <m/>
    <m/>
    <m/>
    <m/>
    <m/>
    <m/>
    <m/>
    <m/>
    <m/>
    <m/>
    <m/>
    <m/>
    <m/>
  </r>
  <r>
    <s v="ORD10452"/>
    <s v="13-09-2025"/>
    <s v="CUST1274"/>
    <s v="Pooja Gupta"/>
    <x v="2"/>
    <s v="Bengaluru"/>
    <s v="Karnataka"/>
    <x v="1"/>
    <x v="1"/>
    <x v="6"/>
    <n v="3"/>
    <n v="1200"/>
    <n v="0"/>
    <n v="3600"/>
    <n v="2265.91"/>
    <n v="1334.09"/>
    <n v="37.06"/>
    <x v="0"/>
    <x v="2"/>
    <x v="9"/>
    <x v="3"/>
    <n v="2025"/>
    <s v="Saturday"/>
    <n v="2"/>
    <s v="15-09-2025"/>
    <x v="0"/>
    <s v="Returning"/>
    <s v="Low"/>
    <s v="Yes"/>
    <n v="1"/>
    <s v="Pooja"/>
    <s v="Gupta"/>
    <m/>
    <m/>
    <m/>
    <m/>
    <m/>
    <m/>
    <s v="Good"/>
    <s v="Low"/>
    <s v="No"/>
    <s v="Yes"/>
    <n v="0.37058055555555552"/>
    <m/>
    <m/>
    <m/>
    <m/>
    <m/>
    <m/>
    <m/>
    <m/>
    <m/>
    <m/>
    <m/>
    <m/>
    <m/>
    <m/>
    <m/>
  </r>
  <r>
    <s v="ORD10405"/>
    <s v="13-10-2024"/>
    <s v="CUST1207"/>
    <s v="Riya Mishra"/>
    <x v="2"/>
    <s v="Kolkata"/>
    <s v="West Bengal"/>
    <x v="2"/>
    <x v="4"/>
    <x v="16"/>
    <n v="6"/>
    <n v="1200"/>
    <n v="0"/>
    <n v="7200"/>
    <n v="5749.36"/>
    <n v="1450.64"/>
    <n v="20.149999999999999"/>
    <x v="0"/>
    <x v="0"/>
    <x v="1"/>
    <x v="4"/>
    <n v="2024"/>
    <s v="Sunday"/>
    <n v="9"/>
    <s v="22-10-2024"/>
    <x v="1"/>
    <s v="New"/>
    <s v="Medium"/>
    <s v="Yes"/>
    <n v="1"/>
    <s v="Riya"/>
    <s v="Mishra"/>
    <m/>
    <m/>
    <m/>
    <m/>
    <m/>
    <m/>
    <s v="Needs Improvement"/>
    <s v="Low"/>
    <s v="No"/>
    <s v="Yes"/>
    <n v="0.20147777777777778"/>
    <m/>
    <m/>
    <m/>
    <m/>
    <m/>
    <m/>
    <m/>
    <m/>
    <m/>
    <m/>
    <m/>
    <m/>
    <m/>
    <m/>
    <m/>
  </r>
  <r>
    <s v="ORD10086"/>
    <s v="13-11-2024"/>
    <s v="CUST1279"/>
    <s v="Kavya Kumar"/>
    <x v="2"/>
    <s v="Pune"/>
    <s v="Maharashtra"/>
    <x v="3"/>
    <x v="0"/>
    <x v="15"/>
    <n v="4"/>
    <n v="2500"/>
    <n v="0.1"/>
    <n v="9000"/>
    <n v="7353.57"/>
    <n v="1646.43"/>
    <n v="18.29"/>
    <x v="0"/>
    <x v="1"/>
    <x v="7"/>
    <x v="11"/>
    <n v="2024"/>
    <s v="Wednesday"/>
    <n v="9"/>
    <s v="22-11-2024"/>
    <x v="2"/>
    <s v="VIP"/>
    <s v="Medium"/>
    <s v="No"/>
    <n v="1"/>
    <s v="Kavya"/>
    <s v="Kumar"/>
    <m/>
    <m/>
    <m/>
    <m/>
    <m/>
    <m/>
    <s v="Needs Improvement"/>
    <s v="Low"/>
    <s v="No"/>
    <s v="No"/>
    <n v="0.18293666666666666"/>
    <m/>
    <m/>
    <m/>
    <m/>
    <m/>
    <m/>
    <m/>
    <m/>
    <m/>
    <m/>
    <m/>
    <m/>
    <m/>
    <m/>
    <m/>
  </r>
  <r>
    <s v="ORD10840"/>
    <s v="13-11-2024"/>
    <s v="CUST1055"/>
    <s v="Vikram Saxena"/>
    <x v="0"/>
    <s v="Chennai"/>
    <s v="Tamil Nadu"/>
    <x v="0"/>
    <x v="4"/>
    <x v="16"/>
    <n v="2"/>
    <n v="1200"/>
    <n v="0.2"/>
    <n v="1920"/>
    <n v="1088.6400000000001"/>
    <n v="831.36"/>
    <n v="43.3"/>
    <x v="2"/>
    <x v="0"/>
    <x v="8"/>
    <x v="11"/>
    <n v="2024"/>
    <s v="Wednesday"/>
    <n v="7"/>
    <s v="20-11-2024"/>
    <x v="0"/>
    <s v="VIP"/>
    <s v="High"/>
    <s v="Yes"/>
    <n v="4"/>
    <s v="Vikram"/>
    <s v="Saxena"/>
    <m/>
    <m/>
    <m/>
    <m/>
    <m/>
    <m/>
    <s v="Good"/>
    <s v="Low"/>
    <s v="No"/>
    <s v="Yes"/>
    <n v="0.433"/>
    <m/>
    <m/>
    <m/>
    <m/>
    <m/>
    <m/>
    <m/>
    <m/>
    <m/>
    <m/>
    <m/>
    <m/>
    <m/>
    <m/>
    <m/>
  </r>
  <r>
    <s v="ORD10994"/>
    <s v="13-12-2025"/>
    <s v="CUST1349"/>
    <s v="Rohan Yadav"/>
    <x v="2"/>
    <s v="Ahmedabad"/>
    <s v="Gujarat"/>
    <x v="3"/>
    <x v="1"/>
    <x v="14"/>
    <n v="8"/>
    <n v="1800"/>
    <n v="0"/>
    <n v="14400"/>
    <n v="9867.7099999999991"/>
    <n v="4532.29"/>
    <n v="31.47"/>
    <x v="3"/>
    <x v="1"/>
    <x v="0"/>
    <x v="5"/>
    <n v="2025"/>
    <s v="Saturday"/>
    <n v="4"/>
    <s v="17-12-2025"/>
    <x v="2"/>
    <s v="VIP"/>
    <s v="High"/>
    <s v="No"/>
    <n v="2"/>
    <s v="Rohan"/>
    <s v="Yadav"/>
    <m/>
    <m/>
    <m/>
    <m/>
    <m/>
    <m/>
    <s v="Good"/>
    <s v="Medium"/>
    <s v="No"/>
    <s v="No"/>
    <n v="0.31474236111111109"/>
    <m/>
    <m/>
    <m/>
    <m/>
    <m/>
    <m/>
    <m/>
    <m/>
    <m/>
    <m/>
    <m/>
    <m/>
    <m/>
    <m/>
    <m/>
  </r>
  <r>
    <s v="ORD10394"/>
    <s v="14-01-2024"/>
    <s v="CUST1208"/>
    <s v="Simran Yadav"/>
    <x v="0"/>
    <s v="Kolkata"/>
    <s v="West Bengal"/>
    <x v="0"/>
    <x v="4"/>
    <x v="11"/>
    <n v="1"/>
    <n v="2000"/>
    <n v="0"/>
    <n v="2000"/>
    <n v="1348.49"/>
    <n v="651.51"/>
    <n v="32.58"/>
    <x v="3"/>
    <x v="0"/>
    <x v="3"/>
    <x v="6"/>
    <n v="2024"/>
    <s v="Sunday"/>
    <n v="3"/>
    <s v="17-01-2024"/>
    <x v="2"/>
    <s v="VIP"/>
    <s v="High"/>
    <s v="No"/>
    <n v="3"/>
    <s v="Simran"/>
    <s v="Yadav"/>
    <m/>
    <m/>
    <m/>
    <m/>
    <m/>
    <m/>
    <s v="Good"/>
    <s v="Low"/>
    <s v="No"/>
    <s v="Yes"/>
    <n v="0.32575500000000002"/>
    <m/>
    <m/>
    <m/>
    <m/>
    <m/>
    <m/>
    <m/>
    <m/>
    <m/>
    <m/>
    <m/>
    <m/>
    <m/>
    <m/>
    <m/>
  </r>
  <r>
    <s v="ORD10928"/>
    <s v="14-01-2024"/>
    <s v="CUST1344"/>
    <s v="Sneha Malhotra"/>
    <x v="2"/>
    <s v="Jaipur"/>
    <s v="Rajasthan"/>
    <x v="3"/>
    <x v="0"/>
    <x v="23"/>
    <n v="9"/>
    <n v="2500"/>
    <n v="0.2"/>
    <n v="18000"/>
    <n v="13847.95"/>
    <n v="4152.05"/>
    <n v="23.07"/>
    <x v="3"/>
    <x v="2"/>
    <x v="2"/>
    <x v="6"/>
    <n v="2024"/>
    <s v="Sunday"/>
    <n v="9"/>
    <s v="23-01-2024"/>
    <x v="0"/>
    <s v="Returning"/>
    <s v="High"/>
    <s v="Yes"/>
    <n v="4"/>
    <s v="Sneha"/>
    <s v="Malhotra"/>
    <m/>
    <m/>
    <m/>
    <m/>
    <m/>
    <m/>
    <s v="Needs Improvement"/>
    <s v="Medium"/>
    <s v="No"/>
    <s v="Yes"/>
    <n v="0.23066944444444445"/>
    <m/>
    <m/>
    <m/>
    <m/>
    <m/>
    <m/>
    <m/>
    <m/>
    <m/>
    <m/>
    <m/>
    <m/>
    <m/>
    <m/>
    <m/>
  </r>
  <r>
    <s v="ORD10236"/>
    <s v="14-01-2025"/>
    <s v="CUST1158"/>
    <s v="Nisha Jain"/>
    <x v="1"/>
    <s v="Hyderabad"/>
    <s v="Telangana"/>
    <x v="2"/>
    <x v="1"/>
    <x v="20"/>
    <n v="9"/>
    <n v="2500"/>
    <n v="0.05"/>
    <n v="21375"/>
    <n v="14548.15"/>
    <n v="6826.85"/>
    <n v="31.94"/>
    <x v="2"/>
    <x v="0"/>
    <x v="2"/>
    <x v="6"/>
    <n v="2025"/>
    <s v="Tuesday"/>
    <n v="9"/>
    <s v="23-01-2025"/>
    <x v="1"/>
    <s v="VIP"/>
    <s v="Low"/>
    <s v="No"/>
    <n v="2"/>
    <s v="Nisha"/>
    <s v="Jain"/>
    <m/>
    <m/>
    <m/>
    <m/>
    <m/>
    <m/>
    <s v="Good"/>
    <s v="Medium"/>
    <s v="No"/>
    <s v="Yes"/>
    <n v="0.31938479532163744"/>
    <m/>
    <m/>
    <m/>
    <m/>
    <m/>
    <m/>
    <m/>
    <m/>
    <m/>
    <m/>
    <m/>
    <m/>
    <m/>
    <m/>
    <m/>
  </r>
  <r>
    <s v="ORD10974"/>
    <s v="14-01-2025"/>
    <s v="CUST1233"/>
    <s v="Aditya Bansal"/>
    <x v="0"/>
    <s v="Ahmedabad"/>
    <s v="Gujarat"/>
    <x v="2"/>
    <x v="1"/>
    <x v="20"/>
    <n v="2"/>
    <n v="1800"/>
    <n v="0"/>
    <n v="3600"/>
    <n v="2155.5500000000002"/>
    <n v="1444.45"/>
    <n v="40.119999999999997"/>
    <x v="1"/>
    <x v="0"/>
    <x v="5"/>
    <x v="6"/>
    <n v="2025"/>
    <s v="Tuesday"/>
    <n v="10"/>
    <s v="24-01-2025"/>
    <x v="2"/>
    <s v="New"/>
    <s v="Low"/>
    <s v="Yes"/>
    <n v="1"/>
    <s v="Aditya"/>
    <s v="Bansal"/>
    <m/>
    <m/>
    <m/>
    <m/>
    <m/>
    <m/>
    <s v="Good"/>
    <s v="Low"/>
    <s v="No"/>
    <s v="Yes"/>
    <n v="0.40123611111111113"/>
    <m/>
    <m/>
    <m/>
    <m/>
    <m/>
    <m/>
    <m/>
    <m/>
    <m/>
    <m/>
    <m/>
    <m/>
    <m/>
    <m/>
    <m/>
  </r>
  <r>
    <s v="ORD10265"/>
    <s v="14-02-2024"/>
    <s v="CUST1104"/>
    <s v="Arjun Malhotra"/>
    <x v="2"/>
    <s v="Kolkata"/>
    <s v="West Bengal"/>
    <x v="1"/>
    <x v="3"/>
    <x v="5"/>
    <n v="2"/>
    <n v="800"/>
    <n v="0"/>
    <n v="1600"/>
    <n v="1257.3499999999999"/>
    <n v="342.65"/>
    <n v="21.42"/>
    <x v="1"/>
    <x v="0"/>
    <x v="1"/>
    <x v="7"/>
    <n v="2024"/>
    <s v="Wednesday"/>
    <n v="3"/>
    <s v="17-02-2024"/>
    <x v="0"/>
    <s v="VIP"/>
    <s v="Medium"/>
    <s v="No"/>
    <n v="1"/>
    <s v="Arjun"/>
    <s v="Malhotra"/>
    <m/>
    <m/>
    <m/>
    <m/>
    <m/>
    <m/>
    <s v="Needs Improvement"/>
    <s v="Low"/>
    <s v="No"/>
    <s v="Yes"/>
    <n v="0.21415624999999999"/>
    <m/>
    <m/>
    <m/>
    <m/>
    <m/>
    <m/>
    <m/>
    <m/>
    <m/>
    <m/>
    <m/>
    <m/>
    <m/>
    <m/>
    <m/>
  </r>
  <r>
    <s v="ORD10238"/>
    <s v="14-02-2025"/>
    <s v="CUST1306"/>
    <s v="Vivaan Agarwal"/>
    <x v="2"/>
    <s v="Chennai"/>
    <s v="Tamil Nadu"/>
    <x v="2"/>
    <x v="2"/>
    <x v="12"/>
    <n v="1"/>
    <n v="50000"/>
    <n v="0.15"/>
    <n v="42500"/>
    <n v="26662.23"/>
    <n v="15837.77"/>
    <n v="37.270000000000003"/>
    <x v="4"/>
    <x v="2"/>
    <x v="6"/>
    <x v="7"/>
    <n v="2025"/>
    <s v="Friday"/>
    <n v="10"/>
    <s v="24-02-2025"/>
    <x v="1"/>
    <s v="VIP"/>
    <s v="High"/>
    <s v="No"/>
    <n v="2"/>
    <s v="Vivaan"/>
    <s v="Agarwal"/>
    <m/>
    <m/>
    <m/>
    <m/>
    <m/>
    <m/>
    <s v="Good"/>
    <s v="High"/>
    <s v="Yes"/>
    <s v="Yes"/>
    <n v="0.3726534117647059"/>
    <m/>
    <m/>
    <m/>
    <m/>
    <m/>
    <m/>
    <m/>
    <m/>
    <m/>
    <m/>
    <m/>
    <m/>
    <m/>
    <m/>
    <m/>
  </r>
  <r>
    <s v="ORD10360"/>
    <s v="14-02-2025"/>
    <s v="CUST1087"/>
    <s v="Aditya Jain"/>
    <x v="2"/>
    <s v="Jaipur"/>
    <s v="Rajasthan"/>
    <x v="0"/>
    <x v="4"/>
    <x v="11"/>
    <n v="2"/>
    <n v="800"/>
    <n v="0.15"/>
    <n v="1360"/>
    <n v="1020.25"/>
    <n v="339.75"/>
    <n v="24.98"/>
    <x v="2"/>
    <x v="0"/>
    <x v="1"/>
    <x v="7"/>
    <n v="2025"/>
    <s v="Friday"/>
    <n v="10"/>
    <s v="24-02-2025"/>
    <x v="0"/>
    <s v="New"/>
    <s v="Low"/>
    <s v="No"/>
    <n v="4"/>
    <s v="Aditya"/>
    <s v="Jain"/>
    <m/>
    <m/>
    <m/>
    <m/>
    <m/>
    <m/>
    <s v="Needs Improvement"/>
    <s v="Low"/>
    <s v="No"/>
    <s v="Yes"/>
    <n v="0.24981617647058824"/>
    <m/>
    <m/>
    <m/>
    <m/>
    <m/>
    <m/>
    <m/>
    <m/>
    <m/>
    <m/>
    <m/>
    <m/>
    <m/>
    <m/>
    <m/>
  </r>
  <r>
    <s v="ORD10695"/>
    <s v="14-02-2025"/>
    <s v="CUST1216"/>
    <s v="Kavya Malhotra"/>
    <x v="0"/>
    <s v="Ahmedabad"/>
    <s v="Gujarat"/>
    <x v="3"/>
    <x v="4"/>
    <x v="19"/>
    <n v="4"/>
    <n v="1200"/>
    <n v="0"/>
    <n v="4800"/>
    <n v="3807.64"/>
    <n v="992.36"/>
    <n v="20.67"/>
    <x v="0"/>
    <x v="2"/>
    <x v="2"/>
    <x v="7"/>
    <n v="2025"/>
    <s v="Friday"/>
    <n v="5"/>
    <s v="19-02-2025"/>
    <x v="2"/>
    <s v="Returning"/>
    <s v="High"/>
    <s v="No"/>
    <n v="2"/>
    <s v="Kavya"/>
    <s v="Malhotra"/>
    <m/>
    <m/>
    <m/>
    <m/>
    <m/>
    <m/>
    <s v="Needs Improvement"/>
    <s v="Low"/>
    <s v="No"/>
    <s v="Yes"/>
    <n v="0.20674166666666666"/>
    <m/>
    <m/>
    <m/>
    <m/>
    <m/>
    <m/>
    <m/>
    <m/>
    <m/>
    <m/>
    <m/>
    <m/>
    <m/>
    <m/>
    <m/>
  </r>
  <r>
    <s v="ORD10703"/>
    <s v="14-02-2025"/>
    <s v="CUST1046"/>
    <s v="Neha Jain"/>
    <x v="1"/>
    <s v="Pune"/>
    <s v="Maharashtra"/>
    <x v="3"/>
    <x v="0"/>
    <x v="1"/>
    <n v="9"/>
    <n v="15000"/>
    <n v="0.1"/>
    <n v="121500"/>
    <n v="94536.03"/>
    <n v="26963.97"/>
    <n v="22.19"/>
    <x v="0"/>
    <x v="1"/>
    <x v="2"/>
    <x v="7"/>
    <n v="2025"/>
    <s v="Friday"/>
    <n v="6"/>
    <s v="20-02-2025"/>
    <x v="0"/>
    <s v="VIP"/>
    <s v="Low"/>
    <s v="No"/>
    <n v="3"/>
    <s v="Neha"/>
    <s v="Jain"/>
    <m/>
    <m/>
    <m/>
    <m/>
    <m/>
    <m/>
    <s v="Needs Improvement"/>
    <s v="High"/>
    <s v="Yes"/>
    <s v="No"/>
    <n v="0.22192567901234569"/>
    <m/>
    <m/>
    <m/>
    <m/>
    <m/>
    <m/>
    <m/>
    <m/>
    <m/>
    <m/>
    <m/>
    <m/>
    <m/>
    <m/>
    <m/>
  </r>
  <r>
    <s v="ORD10642"/>
    <s v="14-03-2024"/>
    <s v="CUST1301"/>
    <s v="Aarav Singh"/>
    <x v="1"/>
    <s v="Chennai"/>
    <s v="Tamil Nadu"/>
    <x v="3"/>
    <x v="3"/>
    <x v="18"/>
    <n v="10"/>
    <n v="500"/>
    <n v="0.2"/>
    <n v="4000"/>
    <n v="2923.47"/>
    <n v="1076.53"/>
    <n v="26.91"/>
    <x v="2"/>
    <x v="1"/>
    <x v="3"/>
    <x v="0"/>
    <n v="2024"/>
    <s v="Thursday"/>
    <n v="6"/>
    <s v="20-03-2024"/>
    <x v="2"/>
    <s v="Returning"/>
    <s v="High"/>
    <s v="Yes"/>
    <n v="5"/>
    <s v="Aarav"/>
    <s v="Singh"/>
    <m/>
    <m/>
    <m/>
    <m/>
    <m/>
    <m/>
    <s v="Needs Improvement"/>
    <s v="Low"/>
    <s v="No"/>
    <s v="No"/>
    <n v="0.2691325"/>
    <m/>
    <m/>
    <m/>
    <m/>
    <m/>
    <m/>
    <m/>
    <m/>
    <m/>
    <m/>
    <m/>
    <m/>
    <m/>
    <m/>
    <m/>
  </r>
  <r>
    <s v="ORD10002"/>
    <s v="14-04-2024"/>
    <s v="CUST1017"/>
    <s v="Aarav Verma"/>
    <x v="2"/>
    <s v="Mumbai"/>
    <s v="Maharashtra"/>
    <x v="3"/>
    <x v="2"/>
    <x v="8"/>
    <n v="4"/>
    <n v="12000"/>
    <n v="0.05"/>
    <n v="45600"/>
    <n v="32350.14"/>
    <n v="13249.86"/>
    <n v="29.06"/>
    <x v="3"/>
    <x v="0"/>
    <x v="7"/>
    <x v="8"/>
    <n v="2024"/>
    <s v="Sunday"/>
    <n v="9"/>
    <s v="23-04-2024"/>
    <x v="0"/>
    <s v="VIP"/>
    <s v="Low"/>
    <s v="No"/>
    <n v="2"/>
    <s v="Aarav"/>
    <s v="Verma"/>
    <m/>
    <m/>
    <m/>
    <m/>
    <m/>
    <m/>
    <s v="Needs Improvement"/>
    <s v="High"/>
    <s v="Yes"/>
    <s v="Yes"/>
    <n v="0.29056710526315793"/>
    <m/>
    <m/>
    <m/>
    <m/>
    <m/>
    <m/>
    <m/>
    <m/>
    <m/>
    <m/>
    <m/>
    <m/>
    <m/>
    <m/>
    <m/>
  </r>
  <r>
    <s v="ORD10456"/>
    <s v="14-04-2024"/>
    <s v="CUST1049"/>
    <s v="Simran Jain"/>
    <x v="1"/>
    <s v="Mumbai"/>
    <s v="Maharashtra"/>
    <x v="2"/>
    <x v="0"/>
    <x v="23"/>
    <n v="5"/>
    <n v="15000"/>
    <n v="0.15"/>
    <n v="63750"/>
    <n v="38013.74"/>
    <n v="25736.26"/>
    <n v="40.369999999999997"/>
    <x v="2"/>
    <x v="1"/>
    <x v="4"/>
    <x v="8"/>
    <n v="2024"/>
    <s v="Sunday"/>
    <n v="9"/>
    <s v="23-04-2024"/>
    <x v="1"/>
    <s v="VIP"/>
    <s v="High"/>
    <s v="No"/>
    <n v="4"/>
    <s v="Simran"/>
    <s v="Jain"/>
    <m/>
    <m/>
    <m/>
    <m/>
    <m/>
    <m/>
    <s v="Good"/>
    <s v="High"/>
    <s v="Yes"/>
    <s v="No"/>
    <n v="0.40370603921568626"/>
    <m/>
    <m/>
    <m/>
    <m/>
    <m/>
    <m/>
    <m/>
    <m/>
    <m/>
    <m/>
    <m/>
    <m/>
    <m/>
    <m/>
    <m/>
  </r>
  <r>
    <s v="ORD10886"/>
    <s v="14-04-2024"/>
    <s v="CUST1073"/>
    <s v="Riya Yadav"/>
    <x v="0"/>
    <s v="Pune"/>
    <s v="Maharashtra"/>
    <x v="3"/>
    <x v="2"/>
    <x v="4"/>
    <n v="8"/>
    <n v="12000"/>
    <n v="0.1"/>
    <n v="86400"/>
    <n v="59981.39"/>
    <n v="26418.61"/>
    <n v="30.58"/>
    <x v="2"/>
    <x v="2"/>
    <x v="7"/>
    <x v="8"/>
    <n v="2024"/>
    <s v="Sunday"/>
    <n v="7"/>
    <s v="21-04-2024"/>
    <x v="2"/>
    <s v="New"/>
    <s v="High"/>
    <s v="Yes"/>
    <n v="4"/>
    <s v="Riya"/>
    <s v="Yadav"/>
    <m/>
    <m/>
    <m/>
    <m/>
    <m/>
    <m/>
    <s v="Good"/>
    <s v="High"/>
    <s v="Yes"/>
    <s v="Yes"/>
    <n v="0.30577094907407409"/>
    <m/>
    <m/>
    <m/>
    <m/>
    <m/>
    <m/>
    <m/>
    <m/>
    <m/>
    <m/>
    <m/>
    <m/>
    <m/>
    <m/>
    <m/>
  </r>
  <r>
    <s v="ORD10929"/>
    <s v="14-04-2024"/>
    <s v="CUST1118"/>
    <s v="Neha Verma"/>
    <x v="2"/>
    <s v="Mumbai"/>
    <s v="Maharashtra"/>
    <x v="0"/>
    <x v="0"/>
    <x v="0"/>
    <n v="1"/>
    <n v="9000"/>
    <n v="0.15"/>
    <n v="7650"/>
    <n v="5161.6499999999996"/>
    <n v="2488.35"/>
    <n v="32.53"/>
    <x v="0"/>
    <x v="0"/>
    <x v="0"/>
    <x v="8"/>
    <n v="2024"/>
    <s v="Sunday"/>
    <n v="4"/>
    <s v="18-04-2024"/>
    <x v="0"/>
    <s v="Returning"/>
    <s v="Medium"/>
    <s v="Yes"/>
    <n v="4"/>
    <s v="Neha"/>
    <s v="Verma"/>
    <m/>
    <m/>
    <m/>
    <m/>
    <m/>
    <m/>
    <s v="Good"/>
    <s v="Low"/>
    <s v="No"/>
    <s v="Yes"/>
    <n v="0.32527450980392153"/>
    <m/>
    <m/>
    <m/>
    <m/>
    <m/>
    <m/>
    <m/>
    <m/>
    <m/>
    <m/>
    <m/>
    <m/>
    <m/>
    <m/>
    <m/>
  </r>
  <r>
    <s v="ORD10983"/>
    <s v="14-05-2024"/>
    <s v="CUST1242"/>
    <s v="Arjun Mehta"/>
    <x v="1"/>
    <s v="Lucknow"/>
    <s v="Uttar Pradesh"/>
    <x v="1"/>
    <x v="4"/>
    <x v="13"/>
    <n v="4"/>
    <n v="2000"/>
    <n v="0.1"/>
    <n v="7200"/>
    <n v="4502.43"/>
    <n v="2697.57"/>
    <n v="37.47"/>
    <x v="3"/>
    <x v="0"/>
    <x v="8"/>
    <x v="1"/>
    <n v="2024"/>
    <s v="Tuesday"/>
    <n v="10"/>
    <s v="24-05-2024"/>
    <x v="0"/>
    <s v="New"/>
    <s v="Medium"/>
    <s v="Yes"/>
    <n v="3"/>
    <s v="Arjun"/>
    <s v="Mehta"/>
    <m/>
    <m/>
    <m/>
    <m/>
    <m/>
    <m/>
    <s v="Good"/>
    <s v="Low"/>
    <s v="No"/>
    <s v="Yes"/>
    <n v="0.37466250000000001"/>
    <m/>
    <m/>
    <m/>
    <m/>
    <m/>
    <m/>
    <m/>
    <m/>
    <m/>
    <m/>
    <m/>
    <m/>
    <m/>
    <m/>
    <m/>
  </r>
  <r>
    <s v="ORD10397"/>
    <s v="14-05-2025"/>
    <s v="CUST1314"/>
    <s v="Kavya Singh"/>
    <x v="1"/>
    <s v="Jaipur"/>
    <s v="Rajasthan"/>
    <x v="1"/>
    <x v="4"/>
    <x v="13"/>
    <n v="9"/>
    <n v="1200"/>
    <n v="0"/>
    <n v="10800"/>
    <n v="7436.95"/>
    <n v="3363.05"/>
    <n v="31.14"/>
    <x v="3"/>
    <x v="2"/>
    <x v="1"/>
    <x v="1"/>
    <n v="2025"/>
    <s v="Wednesday"/>
    <n v="7"/>
    <s v="21-05-2025"/>
    <x v="2"/>
    <s v="VIP"/>
    <s v="Medium"/>
    <s v="Yes"/>
    <n v="3"/>
    <s v="Kavya"/>
    <s v="Singh"/>
    <m/>
    <m/>
    <m/>
    <m/>
    <m/>
    <m/>
    <s v="Good"/>
    <s v="Medium"/>
    <s v="No"/>
    <s v="Yes"/>
    <n v="0.31139351851851854"/>
    <m/>
    <m/>
    <m/>
    <m/>
    <m/>
    <m/>
    <m/>
    <m/>
    <m/>
    <m/>
    <m/>
    <m/>
    <m/>
    <m/>
    <m/>
  </r>
  <r>
    <s v="ORD10546"/>
    <s v="14-05-2025"/>
    <s v="CUST1140"/>
    <s v="Neha Bansal"/>
    <x v="2"/>
    <s v="Mumbai"/>
    <s v="Maharashtra"/>
    <x v="2"/>
    <x v="4"/>
    <x v="13"/>
    <n v="5"/>
    <n v="800"/>
    <n v="0.05"/>
    <n v="3800"/>
    <n v="2524.75"/>
    <n v="1275.25"/>
    <n v="33.56"/>
    <x v="4"/>
    <x v="2"/>
    <x v="5"/>
    <x v="1"/>
    <n v="2025"/>
    <s v="Wednesday"/>
    <n v="7"/>
    <s v="21-05-2025"/>
    <x v="2"/>
    <s v="Returning"/>
    <s v="Medium"/>
    <s v="Yes"/>
    <n v="4"/>
    <s v="Neha"/>
    <s v="Bansal"/>
    <m/>
    <m/>
    <m/>
    <m/>
    <m/>
    <m/>
    <s v="Good"/>
    <s v="Low"/>
    <s v="No"/>
    <s v="Yes"/>
    <n v="0.33559210526315791"/>
    <m/>
    <m/>
    <m/>
    <m/>
    <m/>
    <m/>
    <m/>
    <m/>
    <m/>
    <m/>
    <m/>
    <m/>
    <m/>
    <m/>
    <m/>
  </r>
  <r>
    <s v="ORD10976"/>
    <s v="14-05-2025"/>
    <s v="CUST1039"/>
    <s v="Arjun Kapoor"/>
    <x v="1"/>
    <s v="Jaipur"/>
    <s v="Rajasthan"/>
    <x v="3"/>
    <x v="1"/>
    <x v="14"/>
    <n v="5"/>
    <n v="700"/>
    <n v="0.05"/>
    <n v="3325"/>
    <n v="2369.31"/>
    <n v="955.69"/>
    <n v="28.74"/>
    <x v="0"/>
    <x v="2"/>
    <x v="5"/>
    <x v="1"/>
    <n v="2025"/>
    <s v="Wednesday"/>
    <n v="5"/>
    <s v="19-05-2025"/>
    <x v="2"/>
    <s v="VIP"/>
    <s v="High"/>
    <s v="No"/>
    <n v="2"/>
    <s v="Arjun"/>
    <s v="Kapoor"/>
    <m/>
    <m/>
    <m/>
    <m/>
    <m/>
    <m/>
    <s v="Needs Improvement"/>
    <s v="Low"/>
    <s v="No"/>
    <s v="Yes"/>
    <n v="0.28742556390977447"/>
    <m/>
    <m/>
    <m/>
    <m/>
    <m/>
    <m/>
    <m/>
    <m/>
    <m/>
    <m/>
    <m/>
    <m/>
    <m/>
    <m/>
    <m/>
  </r>
  <r>
    <s v="ORD10094"/>
    <s v="14-06-2024"/>
    <s v="CUST1266"/>
    <s v="Priya Chopra"/>
    <x v="2"/>
    <s v="Delhi"/>
    <s v="Delhi"/>
    <x v="0"/>
    <x v="2"/>
    <x v="12"/>
    <n v="3"/>
    <n v="15000"/>
    <n v="0.05"/>
    <n v="42750"/>
    <n v="27506.47"/>
    <n v="15243.53"/>
    <n v="35.659999999999997"/>
    <x v="2"/>
    <x v="0"/>
    <x v="8"/>
    <x v="2"/>
    <n v="2024"/>
    <s v="Friday"/>
    <n v="6"/>
    <s v="20-06-2024"/>
    <x v="0"/>
    <s v="Returning"/>
    <s v="Low"/>
    <s v="No"/>
    <n v="5"/>
    <s v="Priya"/>
    <s v="Chopra"/>
    <m/>
    <m/>
    <m/>
    <m/>
    <m/>
    <m/>
    <s v="Good"/>
    <s v="High"/>
    <s v="Yes"/>
    <s v="Yes"/>
    <n v="0.35657380116959064"/>
    <m/>
    <m/>
    <m/>
    <m/>
    <m/>
    <m/>
    <m/>
    <m/>
    <m/>
    <m/>
    <m/>
    <m/>
    <m/>
    <m/>
    <m/>
  </r>
  <r>
    <s v="ORD10230"/>
    <s v="14-06-2024"/>
    <s v="CUST1066"/>
    <s v="Nisha Bansal"/>
    <x v="2"/>
    <s v="Mumbai"/>
    <s v="Maharashtra"/>
    <x v="3"/>
    <x v="1"/>
    <x v="14"/>
    <n v="8"/>
    <n v="1200"/>
    <n v="0.2"/>
    <n v="7680"/>
    <n v="4729.2700000000004"/>
    <n v="2950.73"/>
    <n v="38.42"/>
    <x v="3"/>
    <x v="2"/>
    <x v="5"/>
    <x v="2"/>
    <n v="2024"/>
    <s v="Friday"/>
    <n v="7"/>
    <s v="21-06-2024"/>
    <x v="0"/>
    <s v="New"/>
    <s v="Low"/>
    <s v="Yes"/>
    <n v="3"/>
    <s v="Nisha"/>
    <s v="Bansal"/>
    <m/>
    <m/>
    <m/>
    <m/>
    <m/>
    <m/>
    <s v="Good"/>
    <s v="Low"/>
    <s v="No"/>
    <s v="Yes"/>
    <n v="0.38420963541666669"/>
    <m/>
    <m/>
    <m/>
    <m/>
    <m/>
    <m/>
    <m/>
    <m/>
    <m/>
    <m/>
    <m/>
    <m/>
    <m/>
    <m/>
    <m/>
  </r>
  <r>
    <s v="ORD10343"/>
    <s v="14-06-2024"/>
    <s v="CUST1163"/>
    <s v="Nisha Gupta"/>
    <x v="0"/>
    <s v="Bengaluru"/>
    <s v="Karnataka"/>
    <x v="0"/>
    <x v="4"/>
    <x v="16"/>
    <n v="3"/>
    <n v="800"/>
    <n v="0.05"/>
    <n v="2280"/>
    <n v="1279.33"/>
    <n v="1000.67"/>
    <n v="43.89"/>
    <x v="0"/>
    <x v="2"/>
    <x v="6"/>
    <x v="2"/>
    <n v="2024"/>
    <s v="Friday"/>
    <n v="4"/>
    <s v="18-06-2024"/>
    <x v="0"/>
    <s v="VIP"/>
    <s v="High"/>
    <s v="Yes"/>
    <n v="3"/>
    <s v="Nisha"/>
    <s v="Gupta"/>
    <m/>
    <m/>
    <m/>
    <m/>
    <m/>
    <m/>
    <s v="Good"/>
    <s v="Low"/>
    <s v="No"/>
    <s v="Yes"/>
    <n v="0.43889035087719297"/>
    <m/>
    <m/>
    <m/>
    <m/>
    <m/>
    <m/>
    <m/>
    <m/>
    <m/>
    <m/>
    <m/>
    <m/>
    <m/>
    <m/>
    <m/>
  </r>
  <r>
    <s v="ORD10496"/>
    <s v="14-06-2024"/>
    <s v="CUST1003"/>
    <s v="Sneha Saxena"/>
    <x v="1"/>
    <s v="Bengaluru"/>
    <s v="Karnataka"/>
    <x v="3"/>
    <x v="4"/>
    <x v="16"/>
    <n v="2"/>
    <n v="2000"/>
    <n v="0.15"/>
    <n v="3400"/>
    <n v="2555.83"/>
    <n v="844.17"/>
    <n v="24.83"/>
    <x v="1"/>
    <x v="2"/>
    <x v="0"/>
    <x v="2"/>
    <n v="2024"/>
    <s v="Friday"/>
    <n v="3"/>
    <s v="17-06-2024"/>
    <x v="0"/>
    <s v="New"/>
    <s v="Low"/>
    <s v="No"/>
    <n v="4"/>
    <s v="Sneha"/>
    <s v="Saxena"/>
    <m/>
    <m/>
    <m/>
    <m/>
    <m/>
    <m/>
    <s v="Needs Improvement"/>
    <s v="Low"/>
    <s v="No"/>
    <s v="Yes"/>
    <n v="0.24828529411764705"/>
    <m/>
    <m/>
    <m/>
    <m/>
    <m/>
    <m/>
    <m/>
    <m/>
    <m/>
    <m/>
    <m/>
    <m/>
    <m/>
    <m/>
    <m/>
  </r>
  <r>
    <s v="ORD10582"/>
    <s v="14-06-2025"/>
    <s v="CUST1317"/>
    <s v="Vivaan Kapoor"/>
    <x v="1"/>
    <s v="Bengaluru"/>
    <s v="Karnataka"/>
    <x v="1"/>
    <x v="3"/>
    <x v="5"/>
    <n v="9"/>
    <n v="800"/>
    <n v="0.05"/>
    <n v="6840"/>
    <n v="4338.6400000000003"/>
    <n v="2501.36"/>
    <n v="36.57"/>
    <x v="3"/>
    <x v="1"/>
    <x v="0"/>
    <x v="2"/>
    <n v="2025"/>
    <s v="Saturday"/>
    <n v="10"/>
    <s v="24-06-2025"/>
    <x v="1"/>
    <s v="VIP"/>
    <s v="Low"/>
    <s v="Yes"/>
    <n v="3"/>
    <s v="Vivaan"/>
    <s v="Kapoor"/>
    <m/>
    <m/>
    <m/>
    <m/>
    <m/>
    <m/>
    <s v="Good"/>
    <s v="Low"/>
    <s v="No"/>
    <s v="No"/>
    <n v="0.36569590643274857"/>
    <m/>
    <m/>
    <m/>
    <m/>
    <m/>
    <m/>
    <m/>
    <m/>
    <m/>
    <m/>
    <m/>
    <m/>
    <m/>
    <m/>
    <m/>
  </r>
  <r>
    <s v="ORD10727"/>
    <s v="14-06-2025"/>
    <s v="CUST1087"/>
    <s v="Neha Jain"/>
    <x v="2"/>
    <s v="Ahmedabad"/>
    <s v="Gujarat"/>
    <x v="3"/>
    <x v="3"/>
    <x v="5"/>
    <n v="2"/>
    <n v="100"/>
    <n v="0.15"/>
    <n v="170"/>
    <n v="121.89"/>
    <n v="48.11"/>
    <n v="28.3"/>
    <x v="1"/>
    <x v="0"/>
    <x v="6"/>
    <x v="2"/>
    <n v="2025"/>
    <s v="Saturday"/>
    <n v="9"/>
    <s v="23-06-2025"/>
    <x v="0"/>
    <s v="New"/>
    <s v="Medium"/>
    <s v="Yes"/>
    <n v="5"/>
    <s v="Neha"/>
    <s v="Jain"/>
    <m/>
    <m/>
    <m/>
    <m/>
    <m/>
    <m/>
    <s v="Needs Improvement"/>
    <s v="Low"/>
    <s v="No"/>
    <s v="Yes"/>
    <n v="0.28299999999999997"/>
    <m/>
    <m/>
    <m/>
    <m/>
    <m/>
    <m/>
    <m/>
    <m/>
    <m/>
    <m/>
    <m/>
    <m/>
    <m/>
    <m/>
    <m/>
  </r>
  <r>
    <s v="ORD10062"/>
    <s v="14-08-2024"/>
    <s v="CUST1338"/>
    <s v="Meera Kumar"/>
    <x v="0"/>
    <s v="Chennai"/>
    <s v="Tamil Nadu"/>
    <x v="1"/>
    <x v="4"/>
    <x v="13"/>
    <n v="2"/>
    <n v="2000"/>
    <n v="0.2"/>
    <n v="3200"/>
    <n v="2388.34"/>
    <n v="811.66"/>
    <n v="25.36"/>
    <x v="1"/>
    <x v="1"/>
    <x v="1"/>
    <x v="10"/>
    <n v="2024"/>
    <s v="Wednesday"/>
    <n v="10"/>
    <s v="24-08-2024"/>
    <x v="0"/>
    <s v="Returning"/>
    <s v="High"/>
    <s v="Yes"/>
    <n v="4"/>
    <s v="Meera"/>
    <s v="Kumar"/>
    <m/>
    <m/>
    <m/>
    <m/>
    <m/>
    <m/>
    <s v="Needs Improvement"/>
    <s v="Low"/>
    <s v="No"/>
    <s v="No"/>
    <n v="0.25364375"/>
    <m/>
    <m/>
    <m/>
    <m/>
    <m/>
    <m/>
    <m/>
    <m/>
    <m/>
    <m/>
    <m/>
    <m/>
    <m/>
    <m/>
    <m/>
  </r>
  <r>
    <s v="ORD10669"/>
    <s v="14-09-2024"/>
    <s v="CUST1324"/>
    <s v="Karan Jain"/>
    <x v="1"/>
    <s v="Jaipur"/>
    <s v="Rajasthan"/>
    <x v="2"/>
    <x v="0"/>
    <x v="0"/>
    <n v="10"/>
    <n v="9000"/>
    <n v="0"/>
    <n v="90000"/>
    <n v="56079.06"/>
    <n v="33920.94"/>
    <n v="37.69"/>
    <x v="3"/>
    <x v="1"/>
    <x v="0"/>
    <x v="3"/>
    <n v="2024"/>
    <s v="Saturday"/>
    <n v="7"/>
    <s v="21-09-2024"/>
    <x v="1"/>
    <s v="Returning"/>
    <s v="High"/>
    <s v="Yes"/>
    <n v="3"/>
    <s v="Karan"/>
    <s v="Jain"/>
    <m/>
    <m/>
    <m/>
    <m/>
    <m/>
    <m/>
    <s v="Good"/>
    <s v="High"/>
    <s v="Yes"/>
    <s v="No"/>
    <n v="0.37689933333333336"/>
    <m/>
    <m/>
    <m/>
    <m/>
    <m/>
    <m/>
    <m/>
    <m/>
    <m/>
    <m/>
    <m/>
    <m/>
    <m/>
    <m/>
    <m/>
  </r>
  <r>
    <s v="ORD10554"/>
    <s v="14-10-2024"/>
    <s v="CUST1136"/>
    <s v="Priya Yadav"/>
    <x v="2"/>
    <s v="Ahmedabad"/>
    <s v="Gujarat"/>
    <x v="0"/>
    <x v="4"/>
    <x v="9"/>
    <n v="10"/>
    <n v="2000"/>
    <n v="0.15"/>
    <n v="17000"/>
    <n v="10386.56"/>
    <n v="6613.44"/>
    <n v="38.9"/>
    <x v="3"/>
    <x v="2"/>
    <x v="6"/>
    <x v="4"/>
    <n v="2024"/>
    <s v="Monday"/>
    <n v="6"/>
    <s v="20-10-2024"/>
    <x v="2"/>
    <s v="VIP"/>
    <s v="Low"/>
    <s v="Yes"/>
    <n v="4"/>
    <s v="Priya"/>
    <s v="Yadav"/>
    <m/>
    <m/>
    <m/>
    <m/>
    <m/>
    <m/>
    <s v="Good"/>
    <s v="Medium"/>
    <s v="No"/>
    <s v="Yes"/>
    <n v="0.38902588235294117"/>
    <m/>
    <m/>
    <m/>
    <m/>
    <m/>
    <m/>
    <m/>
    <m/>
    <m/>
    <m/>
    <m/>
    <m/>
    <m/>
    <m/>
    <m/>
  </r>
  <r>
    <s v="ORD10881"/>
    <s v="14-10-2025"/>
    <s v="CUST1254"/>
    <s v="Riya Malhotra"/>
    <x v="1"/>
    <s v="Jaipur"/>
    <s v="Rajasthan"/>
    <x v="0"/>
    <x v="1"/>
    <x v="2"/>
    <n v="1"/>
    <n v="1800"/>
    <n v="0.05"/>
    <n v="1710"/>
    <n v="948.26"/>
    <n v="761.74"/>
    <n v="44.55"/>
    <x v="4"/>
    <x v="2"/>
    <x v="7"/>
    <x v="4"/>
    <n v="2025"/>
    <s v="Tuesday"/>
    <n v="5"/>
    <s v="19-10-2025"/>
    <x v="0"/>
    <s v="VIP"/>
    <s v="Medium"/>
    <s v="Yes"/>
    <n v="4"/>
    <s v="Riya"/>
    <s v="Malhotra"/>
    <m/>
    <m/>
    <m/>
    <m/>
    <m/>
    <m/>
    <s v="Good"/>
    <s v="Low"/>
    <s v="No"/>
    <s v="Yes"/>
    <n v="0.44546198830409356"/>
    <m/>
    <m/>
    <m/>
    <m/>
    <m/>
    <m/>
    <m/>
    <m/>
    <m/>
    <m/>
    <m/>
    <m/>
    <m/>
    <m/>
    <m/>
  </r>
  <r>
    <s v="ORD10916"/>
    <s v="14-10-2025"/>
    <s v="CUST1021"/>
    <s v="Rahul Sharma"/>
    <x v="0"/>
    <s v="Hyderabad"/>
    <s v="Telangana"/>
    <x v="0"/>
    <x v="3"/>
    <x v="22"/>
    <n v="6"/>
    <n v="200"/>
    <n v="0.05"/>
    <n v="1140"/>
    <n v="911.5"/>
    <n v="228.5"/>
    <n v="20.04"/>
    <x v="2"/>
    <x v="1"/>
    <x v="2"/>
    <x v="4"/>
    <n v="2025"/>
    <s v="Tuesday"/>
    <n v="9"/>
    <s v="23-10-2025"/>
    <x v="2"/>
    <s v="VIP"/>
    <s v="High"/>
    <s v="No"/>
    <n v="1"/>
    <s v="Rahul"/>
    <s v="Sharma"/>
    <m/>
    <m/>
    <m/>
    <m/>
    <m/>
    <m/>
    <s v="Needs Improvement"/>
    <s v="Low"/>
    <s v="No"/>
    <s v="No"/>
    <n v="0.20043859649122808"/>
    <m/>
    <m/>
    <m/>
    <m/>
    <m/>
    <m/>
    <m/>
    <m/>
    <m/>
    <m/>
    <m/>
    <m/>
    <m/>
    <m/>
    <m/>
  </r>
  <r>
    <s v="ORD10069"/>
    <s v="14-11-2025"/>
    <s v="CUST1307"/>
    <s v="Vivaan Sharma"/>
    <x v="2"/>
    <s v="Kolkata"/>
    <s v="West Bengal"/>
    <x v="0"/>
    <x v="2"/>
    <x v="8"/>
    <n v="10"/>
    <n v="22000"/>
    <n v="0.2"/>
    <n v="176000"/>
    <n v="107279.03999999999"/>
    <n v="68720.960000000006"/>
    <n v="39.049999999999997"/>
    <x v="2"/>
    <x v="2"/>
    <x v="0"/>
    <x v="11"/>
    <n v="2025"/>
    <s v="Friday"/>
    <n v="5"/>
    <s v="19-11-2025"/>
    <x v="0"/>
    <s v="Returning"/>
    <s v="Medium"/>
    <s v="Yes"/>
    <n v="1"/>
    <s v="Vivaan"/>
    <s v="Sharma"/>
    <m/>
    <m/>
    <m/>
    <m/>
    <m/>
    <m/>
    <s v="Good"/>
    <s v="High"/>
    <s v="Yes"/>
    <s v="Yes"/>
    <n v="0.39046000000000003"/>
    <m/>
    <m/>
    <m/>
    <m/>
    <m/>
    <m/>
    <m/>
    <m/>
    <m/>
    <m/>
    <m/>
    <m/>
    <m/>
    <m/>
    <m/>
  </r>
  <r>
    <s v="ORD10003"/>
    <s v="14-12-2024"/>
    <s v="CUST1173"/>
    <s v="Arjun Verma"/>
    <x v="0"/>
    <s v="Jaipur"/>
    <s v="Rajasthan"/>
    <x v="1"/>
    <x v="4"/>
    <x v="16"/>
    <n v="1"/>
    <n v="800"/>
    <n v="0.15"/>
    <n v="680"/>
    <n v="413.53"/>
    <n v="266.47000000000003"/>
    <n v="39.19"/>
    <x v="0"/>
    <x v="1"/>
    <x v="5"/>
    <x v="5"/>
    <n v="2024"/>
    <s v="Saturday"/>
    <n v="5"/>
    <s v="19-12-2024"/>
    <x v="0"/>
    <s v="Returning"/>
    <s v="Low"/>
    <s v="No"/>
    <n v="5"/>
    <s v="Arjun"/>
    <s v="Verma"/>
    <m/>
    <m/>
    <m/>
    <m/>
    <m/>
    <m/>
    <s v="Good"/>
    <s v="Low"/>
    <s v="No"/>
    <s v="No"/>
    <n v="0.39186764705882354"/>
    <m/>
    <m/>
    <m/>
    <m/>
    <m/>
    <m/>
    <m/>
    <m/>
    <m/>
    <m/>
    <m/>
    <m/>
    <m/>
    <m/>
    <m/>
  </r>
  <r>
    <s v="ORD10443"/>
    <s v="14-12-2024"/>
    <s v="CUST1220"/>
    <s v="Ishita Singh"/>
    <x v="0"/>
    <s v="Hyderabad"/>
    <s v="Telangana"/>
    <x v="2"/>
    <x v="4"/>
    <x v="13"/>
    <n v="9"/>
    <n v="2000"/>
    <n v="0.15"/>
    <n v="15300"/>
    <n v="11909.01"/>
    <n v="3390.99"/>
    <n v="22.16"/>
    <x v="3"/>
    <x v="2"/>
    <x v="3"/>
    <x v="5"/>
    <n v="2024"/>
    <s v="Saturday"/>
    <n v="2"/>
    <s v="16-12-2024"/>
    <x v="0"/>
    <s v="New"/>
    <s v="High"/>
    <s v="Yes"/>
    <n v="3"/>
    <s v="Ishita"/>
    <s v="Singh"/>
    <m/>
    <m/>
    <m/>
    <m/>
    <m/>
    <m/>
    <s v="Needs Improvement"/>
    <s v="Medium"/>
    <s v="No"/>
    <s v="Yes"/>
    <n v="0.22163333333333332"/>
    <m/>
    <m/>
    <m/>
    <m/>
    <m/>
    <m/>
    <m/>
    <m/>
    <m/>
    <m/>
    <m/>
    <m/>
    <m/>
    <m/>
    <m/>
  </r>
  <r>
    <s v="ORD10826"/>
    <s v="14-12-2024"/>
    <s v="CUST1263"/>
    <s v="Pooja Singh"/>
    <x v="2"/>
    <s v="Ahmedabad"/>
    <s v="Gujarat"/>
    <x v="3"/>
    <x v="4"/>
    <x v="9"/>
    <n v="8"/>
    <n v="1200"/>
    <n v="0"/>
    <n v="9600"/>
    <n v="5548.45"/>
    <n v="4051.55"/>
    <n v="42.2"/>
    <x v="3"/>
    <x v="0"/>
    <x v="9"/>
    <x v="5"/>
    <n v="2024"/>
    <s v="Saturday"/>
    <n v="7"/>
    <s v="21-12-2024"/>
    <x v="2"/>
    <s v="VIP"/>
    <s v="High"/>
    <s v="Yes"/>
    <n v="2"/>
    <s v="Pooja"/>
    <s v="Singh"/>
    <m/>
    <m/>
    <m/>
    <m/>
    <m/>
    <m/>
    <s v="Good"/>
    <s v="Low"/>
    <s v="No"/>
    <s v="Yes"/>
    <n v="0.42203645833333336"/>
    <m/>
    <m/>
    <m/>
    <m/>
    <m/>
    <m/>
    <m/>
    <m/>
    <m/>
    <m/>
    <m/>
    <m/>
    <m/>
    <m/>
    <m/>
  </r>
  <r>
    <s v="ORD10506"/>
    <s v="14-12-2025"/>
    <s v="CUST1269"/>
    <s v="Ananya Kumar"/>
    <x v="2"/>
    <s v="Bengaluru"/>
    <s v="Karnataka"/>
    <x v="0"/>
    <x v="2"/>
    <x v="4"/>
    <n v="10"/>
    <n v="12000"/>
    <n v="0.2"/>
    <n v="96000"/>
    <n v="64605.03"/>
    <n v="31394.97"/>
    <n v="32.700000000000003"/>
    <x v="0"/>
    <x v="0"/>
    <x v="2"/>
    <x v="5"/>
    <n v="2025"/>
    <s v="Sunday"/>
    <n v="1"/>
    <s v="15-12-2025"/>
    <x v="1"/>
    <s v="New"/>
    <s v="Low"/>
    <s v="Yes"/>
    <n v="5"/>
    <s v="Ananya"/>
    <s v="Kumar"/>
    <m/>
    <m/>
    <m/>
    <m/>
    <m/>
    <m/>
    <s v="Good"/>
    <s v="High"/>
    <s v="Yes"/>
    <s v="Yes"/>
    <n v="0.32703093750000001"/>
    <m/>
    <m/>
    <m/>
    <m/>
    <m/>
    <m/>
    <m/>
    <m/>
    <m/>
    <m/>
    <m/>
    <m/>
    <m/>
    <m/>
    <m/>
  </r>
  <r>
    <s v="ORD10765"/>
    <s v="15-01-2024"/>
    <s v="CUST1234"/>
    <s v="Nisha Yadav"/>
    <x v="1"/>
    <s v="Jaipur"/>
    <s v="Rajasthan"/>
    <x v="0"/>
    <x v="0"/>
    <x v="15"/>
    <n v="1"/>
    <n v="9000"/>
    <n v="0.05"/>
    <n v="8550"/>
    <n v="6375.72"/>
    <n v="2174.2800000000002"/>
    <n v="25.43"/>
    <x v="0"/>
    <x v="2"/>
    <x v="5"/>
    <x v="6"/>
    <n v="2024"/>
    <s v="Monday"/>
    <n v="2"/>
    <s v="17-01-2024"/>
    <x v="0"/>
    <s v="Returning"/>
    <s v="Low"/>
    <s v="Yes"/>
    <n v="2"/>
    <s v="Nisha"/>
    <s v="Yadav"/>
    <m/>
    <m/>
    <m/>
    <m/>
    <m/>
    <m/>
    <s v="Needs Improvement"/>
    <s v="Low"/>
    <s v="No"/>
    <s v="Yes"/>
    <n v="0.25430175438596492"/>
    <m/>
    <m/>
    <m/>
    <m/>
    <m/>
    <m/>
    <m/>
    <m/>
    <m/>
    <m/>
    <m/>
    <m/>
    <m/>
    <m/>
    <m/>
  </r>
  <r>
    <s v="ORD10150"/>
    <s v="15-01-2025"/>
    <s v="CUST1157"/>
    <s v="Vikram Mehta"/>
    <x v="1"/>
    <s v="Bengaluru"/>
    <s v="Karnataka"/>
    <x v="1"/>
    <x v="3"/>
    <x v="5"/>
    <n v="6"/>
    <n v="350"/>
    <n v="0"/>
    <n v="2100"/>
    <n v="1379.73"/>
    <n v="720.27"/>
    <n v="34.299999999999997"/>
    <x v="1"/>
    <x v="2"/>
    <x v="6"/>
    <x v="6"/>
    <n v="2025"/>
    <s v="Wednesday"/>
    <n v="3"/>
    <s v="18-01-2025"/>
    <x v="0"/>
    <s v="Returning"/>
    <s v="Low"/>
    <s v="Yes"/>
    <n v="5"/>
    <s v="Vikram"/>
    <s v="Mehta"/>
    <m/>
    <m/>
    <m/>
    <m/>
    <m/>
    <m/>
    <s v="Good"/>
    <s v="Low"/>
    <s v="No"/>
    <s v="Yes"/>
    <n v="0.34298571428571428"/>
    <m/>
    <m/>
    <m/>
    <m/>
    <m/>
    <m/>
    <m/>
    <m/>
    <m/>
    <m/>
    <m/>
    <m/>
    <m/>
    <m/>
    <m/>
  </r>
  <r>
    <s v="ORD10522"/>
    <s v="15-01-2025"/>
    <s v="CUST1054"/>
    <s v="Aditya Jain"/>
    <x v="1"/>
    <s v="Jaipur"/>
    <s v="Rajasthan"/>
    <x v="0"/>
    <x v="3"/>
    <x v="18"/>
    <n v="7"/>
    <n v="200"/>
    <n v="0"/>
    <n v="1400"/>
    <n v="872.03"/>
    <n v="527.97"/>
    <n v="37.71"/>
    <x v="1"/>
    <x v="2"/>
    <x v="0"/>
    <x v="6"/>
    <n v="2025"/>
    <s v="Wednesday"/>
    <n v="7"/>
    <s v="22-01-2025"/>
    <x v="0"/>
    <s v="New"/>
    <s v="High"/>
    <s v="Yes"/>
    <n v="1"/>
    <s v="Aditya"/>
    <s v="Jain"/>
    <m/>
    <m/>
    <m/>
    <m/>
    <m/>
    <m/>
    <s v="Good"/>
    <s v="Low"/>
    <s v="No"/>
    <s v="Yes"/>
    <n v="0.37712142857142861"/>
    <m/>
    <m/>
    <m/>
    <m/>
    <m/>
    <m/>
    <m/>
    <m/>
    <m/>
    <m/>
    <m/>
    <m/>
    <m/>
    <m/>
    <m/>
  </r>
  <r>
    <s v="ORD10855"/>
    <s v="15-02-2024"/>
    <s v="CUST1134"/>
    <s v="Vikram Mehta"/>
    <x v="0"/>
    <s v="Jaipur"/>
    <s v="Rajasthan"/>
    <x v="0"/>
    <x v="2"/>
    <x v="12"/>
    <n v="7"/>
    <n v="22000"/>
    <n v="0"/>
    <n v="154000"/>
    <n v="84816.24"/>
    <n v="69183.759999999995"/>
    <n v="44.92"/>
    <x v="1"/>
    <x v="1"/>
    <x v="8"/>
    <x v="7"/>
    <n v="2024"/>
    <s v="Thursday"/>
    <n v="10"/>
    <s v="25-02-2024"/>
    <x v="0"/>
    <s v="Returning"/>
    <s v="High"/>
    <s v="Yes"/>
    <n v="4"/>
    <s v="Vikram"/>
    <s v="Mehta"/>
    <m/>
    <m/>
    <m/>
    <m/>
    <m/>
    <m/>
    <s v="Good"/>
    <s v="High"/>
    <s v="Yes"/>
    <s v="No"/>
    <n v="0.44924519480519476"/>
    <m/>
    <m/>
    <m/>
    <m/>
    <m/>
    <m/>
    <m/>
    <m/>
    <m/>
    <m/>
    <m/>
    <m/>
    <m/>
    <m/>
    <m/>
  </r>
  <r>
    <s v="ORD10429"/>
    <s v="15-02-2025"/>
    <s v="CUST1120"/>
    <s v="Simran Agarwal"/>
    <x v="1"/>
    <s v="Mumbai"/>
    <s v="Maharashtra"/>
    <x v="1"/>
    <x v="2"/>
    <x v="12"/>
    <n v="1"/>
    <n v="15000"/>
    <n v="0.15"/>
    <n v="12750"/>
    <n v="9601.1299999999992"/>
    <n v="3148.87"/>
    <n v="24.7"/>
    <x v="4"/>
    <x v="1"/>
    <x v="9"/>
    <x v="7"/>
    <n v="2025"/>
    <s v="Saturday"/>
    <n v="2"/>
    <s v="17-02-2025"/>
    <x v="1"/>
    <s v="Returning"/>
    <s v="High"/>
    <s v="Yes"/>
    <n v="3"/>
    <s v="Simran"/>
    <s v="Agarwal"/>
    <m/>
    <m/>
    <m/>
    <m/>
    <m/>
    <m/>
    <s v="Needs Improvement"/>
    <s v="Medium"/>
    <s v="No"/>
    <s v="No"/>
    <n v="0.24697019607843138"/>
    <m/>
    <m/>
    <m/>
    <m/>
    <m/>
    <m/>
    <m/>
    <m/>
    <m/>
    <m/>
    <m/>
    <m/>
    <m/>
    <m/>
    <m/>
  </r>
  <r>
    <s v="ORD10602"/>
    <s v="15-02-2025"/>
    <s v="CUST1061"/>
    <s v="Neha Saxena"/>
    <x v="0"/>
    <s v="Ahmedabad"/>
    <s v="Gujarat"/>
    <x v="1"/>
    <x v="4"/>
    <x v="19"/>
    <n v="7"/>
    <n v="1200"/>
    <n v="0.05"/>
    <n v="7980"/>
    <n v="5923.04"/>
    <n v="2056.96"/>
    <n v="25.78"/>
    <x v="1"/>
    <x v="2"/>
    <x v="3"/>
    <x v="7"/>
    <n v="2025"/>
    <s v="Saturday"/>
    <n v="9"/>
    <s v="24-02-2025"/>
    <x v="0"/>
    <s v="Returning"/>
    <s v="Medium"/>
    <s v="No"/>
    <n v="4"/>
    <s v="Neha"/>
    <s v="Saxena"/>
    <m/>
    <m/>
    <m/>
    <m/>
    <m/>
    <m/>
    <s v="Needs Improvement"/>
    <s v="Low"/>
    <s v="No"/>
    <s v="Yes"/>
    <n v="0.25776441102756892"/>
    <m/>
    <m/>
    <m/>
    <m/>
    <m/>
    <m/>
    <m/>
    <m/>
    <m/>
    <m/>
    <m/>
    <m/>
    <m/>
    <m/>
    <m/>
  </r>
  <r>
    <s v="ORD10222"/>
    <s v="15-03-2024"/>
    <s v="CUST1102"/>
    <s v="Nisha Malhotra"/>
    <x v="0"/>
    <s v="Bengaluru"/>
    <s v="Karnataka"/>
    <x v="0"/>
    <x v="4"/>
    <x v="11"/>
    <n v="9"/>
    <n v="2000"/>
    <n v="0.2"/>
    <n v="14400"/>
    <n v="8894.67"/>
    <n v="5505.33"/>
    <n v="38.229999999999997"/>
    <x v="2"/>
    <x v="0"/>
    <x v="6"/>
    <x v="0"/>
    <n v="2024"/>
    <s v="Friday"/>
    <n v="5"/>
    <s v="20-03-2024"/>
    <x v="0"/>
    <s v="New"/>
    <s v="Medium"/>
    <s v="Yes"/>
    <n v="2"/>
    <s v="Nisha"/>
    <s v="Malhotra"/>
    <m/>
    <m/>
    <m/>
    <m/>
    <m/>
    <m/>
    <s v="Good"/>
    <s v="Medium"/>
    <s v="No"/>
    <s v="Yes"/>
    <n v="0.38231458333333335"/>
    <m/>
    <m/>
    <m/>
    <m/>
    <m/>
    <m/>
    <m/>
    <m/>
    <m/>
    <m/>
    <m/>
    <m/>
    <m/>
    <m/>
    <m/>
  </r>
  <r>
    <s v="ORD10529"/>
    <s v="15-03-2024"/>
    <s v="CUST1343"/>
    <s v="Aditya Jain"/>
    <x v="0"/>
    <s v="Mumbai"/>
    <s v="Maharashtra"/>
    <x v="2"/>
    <x v="3"/>
    <x v="18"/>
    <n v="3"/>
    <n v="800"/>
    <n v="0.15"/>
    <n v="2040"/>
    <n v="1603.49"/>
    <n v="436.51"/>
    <n v="21.4"/>
    <x v="3"/>
    <x v="1"/>
    <x v="2"/>
    <x v="0"/>
    <n v="2024"/>
    <s v="Friday"/>
    <n v="4"/>
    <s v="19-03-2024"/>
    <x v="2"/>
    <s v="New"/>
    <s v="Low"/>
    <s v="Yes"/>
    <n v="4"/>
    <s v="Aditya"/>
    <s v="Jain"/>
    <m/>
    <m/>
    <m/>
    <m/>
    <m/>
    <m/>
    <s v="Needs Improvement"/>
    <s v="Low"/>
    <s v="No"/>
    <s v="No"/>
    <n v="0.21397549019607842"/>
    <m/>
    <m/>
    <m/>
    <m/>
    <m/>
    <m/>
    <m/>
    <m/>
    <m/>
    <m/>
    <m/>
    <m/>
    <m/>
    <m/>
    <m/>
  </r>
  <r>
    <s v="ORD10980"/>
    <s v="15-03-2024"/>
    <s v="CUST1192"/>
    <s v="Aarav Malhotra"/>
    <x v="2"/>
    <s v="Pune"/>
    <s v="Maharashtra"/>
    <x v="1"/>
    <x v="1"/>
    <x v="2"/>
    <n v="2"/>
    <n v="1200"/>
    <n v="0.15"/>
    <n v="2040"/>
    <n v="1631.05"/>
    <n v="408.95"/>
    <n v="20.05"/>
    <x v="0"/>
    <x v="0"/>
    <x v="7"/>
    <x v="0"/>
    <n v="2024"/>
    <s v="Friday"/>
    <n v="7"/>
    <s v="22-03-2024"/>
    <x v="1"/>
    <s v="New"/>
    <s v="Low"/>
    <s v="No"/>
    <n v="1"/>
    <s v="Aarav"/>
    <s v="Malhotra"/>
    <m/>
    <m/>
    <m/>
    <m/>
    <m/>
    <m/>
    <s v="Needs Improvement"/>
    <s v="Low"/>
    <s v="No"/>
    <s v="Yes"/>
    <n v="0.20046568627450981"/>
    <m/>
    <m/>
    <m/>
    <m/>
    <m/>
    <m/>
    <m/>
    <m/>
    <m/>
    <m/>
    <m/>
    <m/>
    <m/>
    <m/>
    <m/>
  </r>
  <r>
    <s v="ORD10194"/>
    <s v="15-03-2025"/>
    <s v="CUST1274"/>
    <s v="Rahul Yadav"/>
    <x v="0"/>
    <s v="Mumbai"/>
    <s v="Maharashtra"/>
    <x v="1"/>
    <x v="0"/>
    <x v="0"/>
    <n v="7"/>
    <n v="9000"/>
    <n v="0.15"/>
    <n v="53550"/>
    <n v="29520.01"/>
    <n v="24029.99"/>
    <n v="44.87"/>
    <x v="0"/>
    <x v="0"/>
    <x v="6"/>
    <x v="0"/>
    <n v="2025"/>
    <s v="Saturday"/>
    <n v="8"/>
    <s v="23-03-2025"/>
    <x v="2"/>
    <s v="New"/>
    <s v="High"/>
    <s v="Yes"/>
    <n v="2"/>
    <s v="Rahul"/>
    <s v="Yadav"/>
    <m/>
    <m/>
    <m/>
    <m/>
    <m/>
    <m/>
    <s v="Good"/>
    <s v="High"/>
    <s v="Yes"/>
    <s v="Yes"/>
    <n v="0.44873930905695614"/>
    <m/>
    <m/>
    <m/>
    <m/>
    <m/>
    <m/>
    <m/>
    <m/>
    <m/>
    <m/>
    <m/>
    <m/>
    <m/>
    <m/>
    <m/>
  </r>
  <r>
    <s v="ORD10380"/>
    <s v="15-03-2025"/>
    <s v="CUST1189"/>
    <s v="Karan Bansal"/>
    <x v="2"/>
    <s v="Hyderabad"/>
    <s v="Telangana"/>
    <x v="1"/>
    <x v="3"/>
    <x v="10"/>
    <n v="1"/>
    <n v="500"/>
    <n v="0.2"/>
    <n v="400"/>
    <n v="236.12"/>
    <n v="163.88"/>
    <n v="40.97"/>
    <x v="3"/>
    <x v="1"/>
    <x v="9"/>
    <x v="0"/>
    <n v="2025"/>
    <s v="Saturday"/>
    <n v="10"/>
    <s v="25-03-2025"/>
    <x v="0"/>
    <s v="VIP"/>
    <s v="Medium"/>
    <s v="Yes"/>
    <n v="2"/>
    <s v="Karan"/>
    <s v="Bansal"/>
    <m/>
    <m/>
    <m/>
    <m/>
    <m/>
    <m/>
    <s v="Good"/>
    <s v="Low"/>
    <s v="No"/>
    <s v="No"/>
    <n v="0.40970000000000001"/>
    <m/>
    <m/>
    <m/>
    <m/>
    <m/>
    <m/>
    <m/>
    <m/>
    <m/>
    <m/>
    <m/>
    <m/>
    <m/>
    <m/>
    <m/>
  </r>
  <r>
    <s v="ORD10498"/>
    <s v="15-03-2025"/>
    <s v="CUST1149"/>
    <s v="Priya Malhotra"/>
    <x v="2"/>
    <s v="Ahmedabad"/>
    <s v="Gujarat"/>
    <x v="2"/>
    <x v="2"/>
    <x v="4"/>
    <n v="1"/>
    <n v="50000"/>
    <n v="0.1"/>
    <n v="45000"/>
    <n v="30027.09"/>
    <n v="14972.91"/>
    <n v="33.270000000000003"/>
    <x v="2"/>
    <x v="0"/>
    <x v="4"/>
    <x v="0"/>
    <n v="2025"/>
    <s v="Saturday"/>
    <n v="10"/>
    <s v="25-03-2025"/>
    <x v="0"/>
    <s v="VIP"/>
    <s v="High"/>
    <s v="Yes"/>
    <n v="2"/>
    <s v="Priya"/>
    <s v="Malhotra"/>
    <m/>
    <m/>
    <m/>
    <m/>
    <m/>
    <m/>
    <s v="Good"/>
    <s v="High"/>
    <s v="Yes"/>
    <s v="Yes"/>
    <n v="0.33273133333333332"/>
    <m/>
    <m/>
    <m/>
    <m/>
    <m/>
    <m/>
    <m/>
    <m/>
    <m/>
    <m/>
    <m/>
    <m/>
    <m/>
    <m/>
    <m/>
  </r>
  <r>
    <s v="ORD10205"/>
    <s v="15-04-2024"/>
    <s v="CUST1282"/>
    <s v="Aarav Chopra"/>
    <x v="2"/>
    <s v="Jaipur"/>
    <s v="Rajasthan"/>
    <x v="0"/>
    <x v="1"/>
    <x v="6"/>
    <n v="2"/>
    <n v="2500"/>
    <n v="0"/>
    <n v="5000"/>
    <n v="2798.37"/>
    <n v="2201.63"/>
    <n v="44.03"/>
    <x v="3"/>
    <x v="0"/>
    <x v="6"/>
    <x v="8"/>
    <n v="2024"/>
    <s v="Monday"/>
    <n v="7"/>
    <s v="22-04-2024"/>
    <x v="2"/>
    <s v="VIP"/>
    <s v="High"/>
    <s v="No"/>
    <n v="3"/>
    <s v="Aarav"/>
    <s v="Chopra"/>
    <m/>
    <m/>
    <m/>
    <m/>
    <m/>
    <m/>
    <s v="Good"/>
    <s v="Low"/>
    <s v="No"/>
    <s v="Yes"/>
    <n v="0.440326"/>
    <m/>
    <m/>
    <m/>
    <m/>
    <m/>
    <m/>
    <m/>
    <m/>
    <m/>
    <m/>
    <m/>
    <m/>
    <m/>
    <m/>
    <m/>
  </r>
  <r>
    <s v="ORD10421"/>
    <s v="15-04-2025"/>
    <s v="CUST1069"/>
    <s v="Aarav Bansal"/>
    <x v="0"/>
    <s v="Jaipur"/>
    <s v="Rajasthan"/>
    <x v="1"/>
    <x v="3"/>
    <x v="10"/>
    <n v="6"/>
    <n v="350"/>
    <n v="0.05"/>
    <n v="1995"/>
    <n v="1105.8"/>
    <n v="889.2"/>
    <n v="44.57"/>
    <x v="1"/>
    <x v="0"/>
    <x v="4"/>
    <x v="8"/>
    <n v="2025"/>
    <s v="Tuesday"/>
    <n v="10"/>
    <s v="25-04-2025"/>
    <x v="0"/>
    <s v="Returning"/>
    <s v="High"/>
    <s v="No"/>
    <n v="4"/>
    <s v="Aarav"/>
    <s v="Bansal"/>
    <m/>
    <m/>
    <m/>
    <m/>
    <m/>
    <m/>
    <s v="Good"/>
    <s v="Low"/>
    <s v="No"/>
    <s v="Yes"/>
    <n v="0.44571428571428573"/>
    <m/>
    <m/>
    <m/>
    <m/>
    <m/>
    <m/>
    <m/>
    <m/>
    <m/>
    <m/>
    <m/>
    <m/>
    <m/>
    <m/>
    <m/>
  </r>
  <r>
    <s v="ORD10036"/>
    <s v="15-05-2025"/>
    <s v="CUST1331"/>
    <s v="Kavya Malhotra"/>
    <x v="2"/>
    <s v="Delhi"/>
    <s v="Delhi"/>
    <x v="1"/>
    <x v="4"/>
    <x v="9"/>
    <n v="2"/>
    <n v="800"/>
    <n v="0.15"/>
    <n v="1360"/>
    <n v="1001.59"/>
    <n v="358.41"/>
    <n v="26.35"/>
    <x v="0"/>
    <x v="2"/>
    <x v="1"/>
    <x v="1"/>
    <n v="2025"/>
    <s v="Thursday"/>
    <n v="9"/>
    <s v="24-05-2025"/>
    <x v="0"/>
    <s v="VIP"/>
    <s v="Low"/>
    <s v="No"/>
    <n v="5"/>
    <s v="Kavya"/>
    <s v="Malhotra"/>
    <m/>
    <m/>
    <m/>
    <m/>
    <m/>
    <m/>
    <s v="Needs Improvement"/>
    <s v="Low"/>
    <s v="No"/>
    <s v="Yes"/>
    <n v="0.26353676470588239"/>
    <m/>
    <m/>
    <m/>
    <m/>
    <m/>
    <m/>
    <m/>
    <m/>
    <m/>
    <m/>
    <m/>
    <m/>
    <m/>
    <m/>
    <m/>
  </r>
  <r>
    <s v="ORD10353"/>
    <s v="15-06-2024"/>
    <s v="CUST1114"/>
    <s v="Rahul Agarwal"/>
    <x v="1"/>
    <s v="Ahmedabad"/>
    <s v="Gujarat"/>
    <x v="1"/>
    <x v="3"/>
    <x v="17"/>
    <n v="8"/>
    <n v="500"/>
    <n v="0.1"/>
    <n v="3600"/>
    <n v="2130.23"/>
    <n v="1469.77"/>
    <n v="40.83"/>
    <x v="4"/>
    <x v="1"/>
    <x v="2"/>
    <x v="2"/>
    <n v="2024"/>
    <s v="Saturday"/>
    <n v="2"/>
    <s v="17-06-2024"/>
    <x v="0"/>
    <s v="New"/>
    <s v="Low"/>
    <s v="Yes"/>
    <n v="4"/>
    <s v="Rahul"/>
    <s v="Agarwal"/>
    <m/>
    <m/>
    <m/>
    <m/>
    <m/>
    <m/>
    <s v="Good"/>
    <s v="Low"/>
    <s v="No"/>
    <s v="No"/>
    <n v="0.40826944444444446"/>
    <m/>
    <m/>
    <m/>
    <m/>
    <m/>
    <m/>
    <m/>
    <m/>
    <m/>
    <m/>
    <m/>
    <m/>
    <m/>
    <m/>
    <m/>
  </r>
  <r>
    <s v="ORD10887"/>
    <s v="15-06-2025"/>
    <s v="CUST1175"/>
    <s v="Kavya Agarwal"/>
    <x v="1"/>
    <s v="Lucknow"/>
    <s v="Uttar Pradesh"/>
    <x v="2"/>
    <x v="4"/>
    <x v="9"/>
    <n v="2"/>
    <n v="800"/>
    <n v="0.1"/>
    <n v="1440"/>
    <n v="1014.6"/>
    <n v="425.4"/>
    <n v="29.54"/>
    <x v="2"/>
    <x v="1"/>
    <x v="6"/>
    <x v="2"/>
    <n v="2025"/>
    <s v="Sunday"/>
    <n v="7"/>
    <s v="22-06-2025"/>
    <x v="0"/>
    <s v="VIP"/>
    <s v="Low"/>
    <s v="Yes"/>
    <n v="5"/>
    <s v="Kavya"/>
    <s v="Agarwal"/>
    <m/>
    <m/>
    <m/>
    <m/>
    <m/>
    <m/>
    <s v="Needs Improvement"/>
    <s v="Low"/>
    <s v="No"/>
    <s v="No"/>
    <n v="0.29541666666666666"/>
    <m/>
    <m/>
    <m/>
    <m/>
    <m/>
    <m/>
    <m/>
    <m/>
    <m/>
    <m/>
    <m/>
    <m/>
    <m/>
    <m/>
    <m/>
  </r>
  <r>
    <s v="ORD10786"/>
    <s v="15-07-2024"/>
    <s v="CUST1143"/>
    <s v="Ananya Bansal"/>
    <x v="0"/>
    <s v="Chennai"/>
    <s v="Tamil Nadu"/>
    <x v="3"/>
    <x v="0"/>
    <x v="0"/>
    <n v="4"/>
    <n v="6000"/>
    <n v="0.1"/>
    <n v="21600"/>
    <n v="15823.02"/>
    <n v="5776.98"/>
    <n v="26.75"/>
    <x v="3"/>
    <x v="2"/>
    <x v="0"/>
    <x v="9"/>
    <n v="2024"/>
    <s v="Monday"/>
    <n v="6"/>
    <s v="21-07-2024"/>
    <x v="1"/>
    <s v="New"/>
    <s v="High"/>
    <s v="No"/>
    <n v="5"/>
    <s v="Ananya"/>
    <s v="Bansal"/>
    <m/>
    <m/>
    <m/>
    <m/>
    <m/>
    <m/>
    <s v="Needs Improvement"/>
    <s v="Medium"/>
    <s v="No"/>
    <s v="Yes"/>
    <n v="0.26745277777777776"/>
    <m/>
    <m/>
    <m/>
    <m/>
    <m/>
    <m/>
    <m/>
    <m/>
    <m/>
    <m/>
    <m/>
    <m/>
    <m/>
    <m/>
    <m/>
  </r>
  <r>
    <s v="ORD10024"/>
    <s v="15-07-2025"/>
    <s v="CUST1221"/>
    <s v="Nisha Bansal"/>
    <x v="1"/>
    <s v="Kolkata"/>
    <s v="West Bengal"/>
    <x v="0"/>
    <x v="0"/>
    <x v="0"/>
    <n v="10"/>
    <n v="6000"/>
    <n v="0.15"/>
    <n v="51000"/>
    <n v="32000.799999999999"/>
    <n v="18999.2"/>
    <n v="37.25"/>
    <x v="4"/>
    <x v="1"/>
    <x v="9"/>
    <x v="9"/>
    <n v="2025"/>
    <s v="Tuesday"/>
    <n v="1"/>
    <s v="16-07-2025"/>
    <x v="0"/>
    <s v="VIP"/>
    <s v="Low"/>
    <s v="No"/>
    <n v="2"/>
    <s v="Nisha"/>
    <s v="Bansal"/>
    <m/>
    <m/>
    <m/>
    <m/>
    <m/>
    <m/>
    <s v="Good"/>
    <s v="High"/>
    <s v="Yes"/>
    <s v="No"/>
    <n v="0.37253333333333333"/>
    <m/>
    <m/>
    <m/>
    <m/>
    <m/>
    <m/>
    <m/>
    <m/>
    <m/>
    <m/>
    <m/>
    <m/>
    <m/>
    <m/>
    <m/>
  </r>
  <r>
    <s v="ORD10252"/>
    <s v="15-07-2025"/>
    <s v="CUST1269"/>
    <s v="Aditya Verma"/>
    <x v="0"/>
    <s v="Bengaluru"/>
    <s v="Karnataka"/>
    <x v="3"/>
    <x v="1"/>
    <x v="3"/>
    <n v="2"/>
    <n v="700"/>
    <n v="0.15"/>
    <n v="1190"/>
    <n v="902.2"/>
    <n v="287.8"/>
    <n v="24.18"/>
    <x v="1"/>
    <x v="0"/>
    <x v="1"/>
    <x v="9"/>
    <n v="2025"/>
    <s v="Tuesday"/>
    <n v="1"/>
    <s v="16-07-2025"/>
    <x v="0"/>
    <s v="Returning"/>
    <s v="Low"/>
    <s v="Yes"/>
    <n v="3"/>
    <s v="Aditya"/>
    <s v="Verma"/>
    <m/>
    <m/>
    <m/>
    <m/>
    <m/>
    <m/>
    <s v="Needs Improvement"/>
    <s v="Low"/>
    <s v="No"/>
    <s v="Yes"/>
    <n v="0.24184873949579833"/>
    <m/>
    <m/>
    <m/>
    <m/>
    <m/>
    <m/>
    <m/>
    <m/>
    <m/>
    <m/>
    <m/>
    <m/>
    <m/>
    <m/>
    <m/>
  </r>
  <r>
    <s v="ORD10166"/>
    <s v="15-08-2024"/>
    <s v="CUST1191"/>
    <s v="Aditya Bansal"/>
    <x v="1"/>
    <s v="Jaipur"/>
    <s v="Rajasthan"/>
    <x v="0"/>
    <x v="2"/>
    <x v="4"/>
    <n v="2"/>
    <n v="8000"/>
    <n v="0"/>
    <n v="16000"/>
    <n v="12358.27"/>
    <n v="3641.73"/>
    <n v="22.76"/>
    <x v="1"/>
    <x v="2"/>
    <x v="2"/>
    <x v="10"/>
    <n v="2024"/>
    <s v="Thursday"/>
    <n v="3"/>
    <s v="18-08-2024"/>
    <x v="0"/>
    <s v="New"/>
    <s v="High"/>
    <s v="No"/>
    <n v="2"/>
    <s v="Aditya"/>
    <s v="Bansal"/>
    <m/>
    <m/>
    <m/>
    <m/>
    <m/>
    <m/>
    <s v="Needs Improvement"/>
    <s v="Medium"/>
    <s v="No"/>
    <s v="Yes"/>
    <n v="0.22760812499999999"/>
    <m/>
    <m/>
    <m/>
    <m/>
    <m/>
    <m/>
    <m/>
    <m/>
    <m/>
    <m/>
    <m/>
    <m/>
    <m/>
    <m/>
    <m/>
  </r>
  <r>
    <s v="ORD10136"/>
    <s v="15-09-2024"/>
    <s v="CUST1038"/>
    <s v="Riya Bansal"/>
    <x v="0"/>
    <s v="Mumbai"/>
    <s v="Maharashtra"/>
    <x v="2"/>
    <x v="1"/>
    <x v="14"/>
    <n v="3"/>
    <n v="1800"/>
    <n v="0.05"/>
    <n v="5130"/>
    <n v="3914.45"/>
    <n v="1215.55"/>
    <n v="23.69"/>
    <x v="3"/>
    <x v="0"/>
    <x v="1"/>
    <x v="3"/>
    <n v="2024"/>
    <s v="Sunday"/>
    <n v="3"/>
    <s v="18-09-2024"/>
    <x v="2"/>
    <s v="VIP"/>
    <s v="Low"/>
    <s v="No"/>
    <n v="5"/>
    <s v="Riya"/>
    <s v="Bansal"/>
    <m/>
    <m/>
    <m/>
    <m/>
    <m/>
    <m/>
    <s v="Needs Improvement"/>
    <s v="Low"/>
    <s v="No"/>
    <s v="Yes"/>
    <n v="0.23694931773879141"/>
    <m/>
    <m/>
    <m/>
    <m/>
    <m/>
    <m/>
    <m/>
    <m/>
    <m/>
    <m/>
    <m/>
    <m/>
    <m/>
    <m/>
    <m/>
  </r>
  <r>
    <s v="ORD10189"/>
    <s v="15-09-2025"/>
    <s v="CUST1247"/>
    <s v="Aditya Jain"/>
    <x v="0"/>
    <s v="Mumbai"/>
    <s v="Maharashtra"/>
    <x v="0"/>
    <x v="2"/>
    <x v="12"/>
    <n v="6"/>
    <n v="35000"/>
    <n v="0.2"/>
    <n v="168000"/>
    <n v="123444.98"/>
    <n v="44555.02"/>
    <n v="26.52"/>
    <x v="0"/>
    <x v="1"/>
    <x v="0"/>
    <x v="3"/>
    <n v="2025"/>
    <s v="Monday"/>
    <n v="5"/>
    <s v="20-09-2025"/>
    <x v="0"/>
    <s v="New"/>
    <s v="Low"/>
    <s v="Yes"/>
    <n v="1"/>
    <s v="Aditya"/>
    <s v="Jain"/>
    <m/>
    <m/>
    <m/>
    <m/>
    <m/>
    <m/>
    <s v="Needs Improvement"/>
    <s v="High"/>
    <s v="Yes"/>
    <s v="No"/>
    <n v="0.26520845238095236"/>
    <m/>
    <m/>
    <m/>
    <m/>
    <m/>
    <m/>
    <m/>
    <m/>
    <m/>
    <m/>
    <m/>
    <m/>
    <m/>
    <m/>
    <m/>
  </r>
  <r>
    <s v="ORD10665"/>
    <s v="15-09-2025"/>
    <s v="CUST1236"/>
    <s v="Nisha Saxena"/>
    <x v="1"/>
    <s v="Hyderabad"/>
    <s v="Telangana"/>
    <x v="1"/>
    <x v="3"/>
    <x v="10"/>
    <n v="4"/>
    <n v="200"/>
    <n v="0.1"/>
    <n v="720"/>
    <n v="465.3"/>
    <n v="254.7"/>
    <n v="35.380000000000003"/>
    <x v="3"/>
    <x v="2"/>
    <x v="6"/>
    <x v="3"/>
    <n v="2025"/>
    <s v="Monday"/>
    <n v="2"/>
    <s v="17-09-2025"/>
    <x v="0"/>
    <s v="Returning"/>
    <s v="High"/>
    <s v="Yes"/>
    <n v="4"/>
    <s v="Nisha"/>
    <s v="Saxena"/>
    <m/>
    <m/>
    <m/>
    <m/>
    <m/>
    <m/>
    <s v="Good"/>
    <s v="Low"/>
    <s v="No"/>
    <s v="Yes"/>
    <n v="0.35375000000000001"/>
    <m/>
    <m/>
    <m/>
    <m/>
    <m/>
    <m/>
    <m/>
    <m/>
    <m/>
    <m/>
    <m/>
    <m/>
    <m/>
    <m/>
    <m/>
  </r>
  <r>
    <s v="ORD10357"/>
    <s v="15-10-2024"/>
    <s v="CUST1051"/>
    <s v="Rahul Saxena"/>
    <x v="1"/>
    <s v="Lucknow"/>
    <s v="Uttar Pradesh"/>
    <x v="2"/>
    <x v="2"/>
    <x v="12"/>
    <n v="4"/>
    <n v="50000"/>
    <n v="0.05"/>
    <n v="190000"/>
    <n v="104722.07"/>
    <n v="85277.93"/>
    <n v="44.88"/>
    <x v="0"/>
    <x v="0"/>
    <x v="5"/>
    <x v="4"/>
    <n v="2024"/>
    <s v="Tuesday"/>
    <n v="3"/>
    <s v="18-10-2024"/>
    <x v="1"/>
    <s v="New"/>
    <s v="Medium"/>
    <s v="Yes"/>
    <n v="2"/>
    <s v="Rahul"/>
    <s v="Saxena"/>
    <m/>
    <m/>
    <m/>
    <m/>
    <m/>
    <m/>
    <s v="Good"/>
    <s v="High"/>
    <s v="Yes"/>
    <s v="Yes"/>
    <n v="0.44883121052631575"/>
    <m/>
    <m/>
    <m/>
    <m/>
    <m/>
    <m/>
    <m/>
    <m/>
    <m/>
    <m/>
    <m/>
    <m/>
    <m/>
    <m/>
    <m/>
  </r>
  <r>
    <s v="ORD10442"/>
    <s v="15-10-2024"/>
    <s v="CUST1297"/>
    <s v="Aarav Malhotra"/>
    <x v="1"/>
    <s v="Lucknow"/>
    <s v="Uttar Pradesh"/>
    <x v="3"/>
    <x v="0"/>
    <x v="0"/>
    <n v="5"/>
    <n v="2500"/>
    <n v="0.1"/>
    <n v="11250"/>
    <n v="9060.41"/>
    <n v="2189.59"/>
    <n v="19.46"/>
    <x v="4"/>
    <x v="2"/>
    <x v="6"/>
    <x v="4"/>
    <n v="2024"/>
    <s v="Tuesday"/>
    <n v="6"/>
    <s v="21-10-2024"/>
    <x v="2"/>
    <s v="VIP"/>
    <s v="High"/>
    <s v="Yes"/>
    <n v="4"/>
    <s v="Aarav"/>
    <s v="Malhotra"/>
    <m/>
    <m/>
    <m/>
    <m/>
    <m/>
    <m/>
    <s v="Needs Improvement"/>
    <s v="Medium"/>
    <s v="No"/>
    <s v="Yes"/>
    <n v="0.19463022222222223"/>
    <m/>
    <m/>
    <m/>
    <m/>
    <m/>
    <m/>
    <m/>
    <m/>
    <m/>
    <m/>
    <m/>
    <m/>
    <m/>
    <m/>
    <m/>
  </r>
  <r>
    <s v="ORD10740"/>
    <s v="15-10-2024"/>
    <s v="CUST1344"/>
    <s v="Aditya Agarwal"/>
    <x v="1"/>
    <s v="Bengaluru"/>
    <s v="Karnataka"/>
    <x v="0"/>
    <x v="3"/>
    <x v="17"/>
    <n v="9"/>
    <n v="200"/>
    <n v="0.15"/>
    <n v="1530"/>
    <n v="1218.81"/>
    <n v="311.19"/>
    <n v="20.34"/>
    <x v="3"/>
    <x v="2"/>
    <x v="7"/>
    <x v="4"/>
    <n v="2024"/>
    <s v="Tuesday"/>
    <n v="5"/>
    <s v="20-10-2024"/>
    <x v="0"/>
    <s v="New"/>
    <s v="Low"/>
    <s v="Yes"/>
    <n v="1"/>
    <s v="Aditya"/>
    <s v="Agarwal"/>
    <m/>
    <m/>
    <m/>
    <m/>
    <m/>
    <m/>
    <s v="Needs Improvement"/>
    <s v="Low"/>
    <s v="No"/>
    <s v="Yes"/>
    <n v="0.20339215686274509"/>
    <m/>
    <m/>
    <m/>
    <m/>
    <m/>
    <m/>
    <m/>
    <m/>
    <m/>
    <m/>
    <m/>
    <m/>
    <m/>
    <m/>
    <m/>
  </r>
  <r>
    <s v="ORD10258"/>
    <s v="15-11-2024"/>
    <s v="CUST1017"/>
    <s v="Neha Verma"/>
    <x v="2"/>
    <s v="Bengaluru"/>
    <s v="Karnataka"/>
    <x v="1"/>
    <x v="2"/>
    <x v="21"/>
    <n v="4"/>
    <n v="15000"/>
    <n v="0.15"/>
    <n v="51000"/>
    <n v="34434.94"/>
    <n v="16565.060000000001"/>
    <n v="32.479999999999997"/>
    <x v="0"/>
    <x v="1"/>
    <x v="2"/>
    <x v="11"/>
    <n v="2024"/>
    <s v="Friday"/>
    <n v="8"/>
    <s v="23-11-2024"/>
    <x v="0"/>
    <s v="VIP"/>
    <s v="Medium"/>
    <s v="Yes"/>
    <n v="2"/>
    <s v="Neha"/>
    <s v="Verma"/>
    <m/>
    <m/>
    <m/>
    <m/>
    <m/>
    <m/>
    <s v="Good"/>
    <s v="High"/>
    <s v="Yes"/>
    <s v="No"/>
    <n v="0.3248050980392157"/>
    <m/>
    <m/>
    <m/>
    <m/>
    <m/>
    <m/>
    <m/>
    <m/>
    <m/>
    <m/>
    <m/>
    <m/>
    <m/>
    <m/>
    <m/>
  </r>
  <r>
    <s v="ORD10035"/>
    <s v="15-11-2025"/>
    <s v="CUST1167"/>
    <s v="Karan Malhotra"/>
    <x v="2"/>
    <s v="Pune"/>
    <s v="Maharashtra"/>
    <x v="0"/>
    <x v="1"/>
    <x v="2"/>
    <n v="8"/>
    <n v="3500"/>
    <n v="0.2"/>
    <n v="22400"/>
    <n v="12493.58"/>
    <n v="9906.42"/>
    <n v="44.23"/>
    <x v="0"/>
    <x v="1"/>
    <x v="0"/>
    <x v="11"/>
    <n v="2025"/>
    <s v="Saturday"/>
    <n v="7"/>
    <s v="22-11-2025"/>
    <x v="0"/>
    <s v="VIP"/>
    <s v="High"/>
    <s v="No"/>
    <n v="5"/>
    <s v="Karan"/>
    <s v="Malhotra"/>
    <m/>
    <m/>
    <m/>
    <m/>
    <m/>
    <m/>
    <s v="Good"/>
    <s v="Medium"/>
    <s v="No"/>
    <s v="No"/>
    <n v="0.44225089285714286"/>
    <m/>
    <m/>
    <m/>
    <m/>
    <m/>
    <m/>
    <m/>
    <m/>
    <m/>
    <m/>
    <m/>
    <m/>
    <m/>
    <m/>
    <m/>
  </r>
  <r>
    <s v="ORD10821"/>
    <s v="15-11-2025"/>
    <s v="CUST1003"/>
    <s v="Meera Singh"/>
    <x v="2"/>
    <s v="Hyderabad"/>
    <s v="Telangana"/>
    <x v="3"/>
    <x v="1"/>
    <x v="6"/>
    <n v="5"/>
    <n v="700"/>
    <n v="0.05"/>
    <n v="3325"/>
    <n v="2183.19"/>
    <n v="1141.81"/>
    <n v="34.340000000000003"/>
    <x v="4"/>
    <x v="2"/>
    <x v="1"/>
    <x v="11"/>
    <n v="2025"/>
    <s v="Saturday"/>
    <n v="10"/>
    <s v="25-11-2025"/>
    <x v="0"/>
    <s v="New"/>
    <s v="Medium"/>
    <s v="Yes"/>
    <n v="1"/>
    <s v="Meera"/>
    <s v="Singh"/>
    <m/>
    <m/>
    <m/>
    <m/>
    <m/>
    <m/>
    <s v="Good"/>
    <s v="Low"/>
    <s v="No"/>
    <s v="Yes"/>
    <n v="0.34340150375939849"/>
    <m/>
    <m/>
    <m/>
    <m/>
    <m/>
    <m/>
    <m/>
    <m/>
    <m/>
    <m/>
    <m/>
    <m/>
    <m/>
    <m/>
    <m/>
  </r>
  <r>
    <s v="ORD10854"/>
    <s v="15-11-2025"/>
    <s v="CUST1252"/>
    <s v="Meera Saxena"/>
    <x v="2"/>
    <s v="Pune"/>
    <s v="Maharashtra"/>
    <x v="3"/>
    <x v="0"/>
    <x v="15"/>
    <n v="9"/>
    <n v="4000"/>
    <n v="0.2"/>
    <n v="28800"/>
    <n v="19547.43"/>
    <n v="9252.57"/>
    <n v="32.130000000000003"/>
    <x v="2"/>
    <x v="1"/>
    <x v="8"/>
    <x v="11"/>
    <n v="2025"/>
    <s v="Saturday"/>
    <n v="10"/>
    <s v="25-11-2025"/>
    <x v="1"/>
    <s v="VIP"/>
    <s v="Low"/>
    <s v="No"/>
    <n v="4"/>
    <s v="Meera"/>
    <s v="Saxena"/>
    <m/>
    <m/>
    <m/>
    <m/>
    <m/>
    <m/>
    <s v="Good"/>
    <s v="Medium"/>
    <s v="No"/>
    <s v="No"/>
    <n v="0.32126979166666664"/>
    <m/>
    <m/>
    <m/>
    <m/>
    <m/>
    <m/>
    <m/>
    <m/>
    <m/>
    <m/>
    <m/>
    <m/>
    <m/>
    <m/>
    <m/>
  </r>
  <r>
    <s v="ORD10971"/>
    <s v="15-11-2025"/>
    <s v="CUST1038"/>
    <s v="Aarav Saxena"/>
    <x v="1"/>
    <s v="Mumbai"/>
    <s v="Maharashtra"/>
    <x v="2"/>
    <x v="3"/>
    <x v="5"/>
    <n v="1"/>
    <n v="500"/>
    <n v="0.15"/>
    <n v="425"/>
    <n v="264.58"/>
    <n v="160.41999999999999"/>
    <n v="37.75"/>
    <x v="0"/>
    <x v="1"/>
    <x v="2"/>
    <x v="11"/>
    <n v="2025"/>
    <s v="Saturday"/>
    <n v="7"/>
    <s v="22-11-2025"/>
    <x v="2"/>
    <s v="VIP"/>
    <s v="Low"/>
    <s v="Yes"/>
    <n v="3"/>
    <s v="Aarav"/>
    <s v="Saxena"/>
    <m/>
    <m/>
    <m/>
    <m/>
    <m/>
    <m/>
    <s v="Good"/>
    <s v="Low"/>
    <s v="No"/>
    <s v="No"/>
    <n v="0.37745882352941174"/>
    <m/>
    <m/>
    <m/>
    <m/>
    <m/>
    <m/>
    <m/>
    <m/>
    <m/>
    <m/>
    <m/>
    <m/>
    <m/>
    <m/>
    <m/>
  </r>
  <r>
    <s v="ORD10692"/>
    <s v="15-12-2024"/>
    <s v="CUST1050"/>
    <s v="Neha Agarwal"/>
    <x v="1"/>
    <s v="Pune"/>
    <s v="Maharashtra"/>
    <x v="0"/>
    <x v="4"/>
    <x v="16"/>
    <n v="6"/>
    <n v="800"/>
    <n v="0.1"/>
    <n v="4320"/>
    <n v="2908.25"/>
    <n v="1411.75"/>
    <n v="32.68"/>
    <x v="1"/>
    <x v="1"/>
    <x v="1"/>
    <x v="5"/>
    <n v="2024"/>
    <s v="Sunday"/>
    <n v="8"/>
    <s v="23-12-2024"/>
    <x v="1"/>
    <s v="VIP"/>
    <s v="Low"/>
    <s v="Yes"/>
    <n v="1"/>
    <s v="Neha"/>
    <s v="Agarwal"/>
    <m/>
    <m/>
    <m/>
    <m/>
    <m/>
    <m/>
    <s v="Good"/>
    <s v="Low"/>
    <s v="No"/>
    <s v="No"/>
    <n v="0.32679398148148148"/>
    <m/>
    <m/>
    <m/>
    <m/>
    <m/>
    <m/>
    <m/>
    <m/>
    <m/>
    <m/>
    <m/>
    <m/>
    <m/>
    <m/>
    <m/>
  </r>
  <r>
    <s v="ORD10698"/>
    <s v="15-12-2024"/>
    <s v="CUST1131"/>
    <s v="Arjun Mishra"/>
    <x v="0"/>
    <s v="Mumbai"/>
    <s v="Maharashtra"/>
    <x v="2"/>
    <x v="4"/>
    <x v="13"/>
    <n v="8"/>
    <n v="800"/>
    <n v="0"/>
    <n v="6400"/>
    <n v="4179.2299999999996"/>
    <n v="2220.77"/>
    <n v="34.700000000000003"/>
    <x v="3"/>
    <x v="2"/>
    <x v="9"/>
    <x v="5"/>
    <n v="2024"/>
    <s v="Sunday"/>
    <n v="5"/>
    <s v="20-12-2024"/>
    <x v="0"/>
    <s v="Returning"/>
    <s v="Low"/>
    <s v="Yes"/>
    <n v="1"/>
    <s v="Arjun"/>
    <s v="Mishra"/>
    <m/>
    <m/>
    <m/>
    <m/>
    <m/>
    <m/>
    <s v="Good"/>
    <s v="Low"/>
    <s v="No"/>
    <s v="Yes"/>
    <n v="0.34699531249999999"/>
    <m/>
    <m/>
    <m/>
    <m/>
    <m/>
    <m/>
    <m/>
    <m/>
    <m/>
    <m/>
    <m/>
    <m/>
    <m/>
    <m/>
    <m/>
  </r>
  <r>
    <s v="ORD10126"/>
    <s v="15-12-2025"/>
    <s v="CUST1050"/>
    <s v="Meera Gupta"/>
    <x v="2"/>
    <s v="Ahmedabad"/>
    <s v="Gujarat"/>
    <x v="3"/>
    <x v="3"/>
    <x v="22"/>
    <n v="5"/>
    <n v="100"/>
    <n v="0.2"/>
    <n v="400"/>
    <n v="231.56"/>
    <n v="168.44"/>
    <n v="42.11"/>
    <x v="3"/>
    <x v="0"/>
    <x v="0"/>
    <x v="5"/>
    <n v="2025"/>
    <s v="Monday"/>
    <n v="7"/>
    <s v="22-12-2025"/>
    <x v="0"/>
    <s v="Returning"/>
    <s v="Medium"/>
    <s v="No"/>
    <n v="1"/>
    <s v="Meera"/>
    <s v="Gupta"/>
    <m/>
    <m/>
    <m/>
    <m/>
    <m/>
    <m/>
    <s v="Good"/>
    <s v="Low"/>
    <s v="No"/>
    <s v="Yes"/>
    <n v="0.42109999999999997"/>
    <m/>
    <m/>
    <m/>
    <m/>
    <m/>
    <m/>
    <m/>
    <m/>
    <m/>
    <m/>
    <m/>
    <m/>
    <m/>
    <m/>
    <m/>
  </r>
  <r>
    <s v="ORD10061"/>
    <s v="16-01-2024"/>
    <s v="CUST1009"/>
    <s v="Karan Kumar"/>
    <x v="2"/>
    <s v="Ahmedabad"/>
    <s v="Gujarat"/>
    <x v="3"/>
    <x v="3"/>
    <x v="10"/>
    <n v="2"/>
    <n v="100"/>
    <n v="0.05"/>
    <n v="190"/>
    <n v="134.71"/>
    <n v="55.29"/>
    <n v="29.1"/>
    <x v="4"/>
    <x v="0"/>
    <x v="2"/>
    <x v="6"/>
    <n v="2024"/>
    <s v="Tuesday"/>
    <n v="6"/>
    <s v="22-01-2024"/>
    <x v="0"/>
    <s v="VIP"/>
    <s v="Low"/>
    <s v="No"/>
    <n v="4"/>
    <s v="Karan"/>
    <s v="Kumar"/>
    <m/>
    <m/>
    <m/>
    <m/>
    <m/>
    <m/>
    <s v="Needs Improvement"/>
    <s v="Low"/>
    <s v="No"/>
    <s v="Yes"/>
    <n v="0.29099999999999998"/>
    <m/>
    <m/>
    <m/>
    <m/>
    <m/>
    <m/>
    <m/>
    <m/>
    <m/>
    <m/>
    <m/>
    <m/>
    <m/>
    <m/>
    <m/>
  </r>
  <r>
    <s v="ORD10300"/>
    <s v="16-01-2024"/>
    <s v="CUST1106"/>
    <s v="Aditi Jain"/>
    <x v="1"/>
    <s v="Mumbai"/>
    <s v="Maharashtra"/>
    <x v="0"/>
    <x v="3"/>
    <x v="10"/>
    <n v="3"/>
    <n v="350"/>
    <n v="0"/>
    <n v="1050"/>
    <n v="723.24"/>
    <n v="326.76"/>
    <n v="31.12"/>
    <x v="0"/>
    <x v="2"/>
    <x v="0"/>
    <x v="6"/>
    <n v="2024"/>
    <s v="Tuesday"/>
    <n v="10"/>
    <s v="26-01-2024"/>
    <x v="1"/>
    <s v="VIP"/>
    <s v="Low"/>
    <s v="Yes"/>
    <n v="1"/>
    <s v="Aditi"/>
    <s v="Jain"/>
    <m/>
    <m/>
    <m/>
    <m/>
    <m/>
    <m/>
    <s v="Good"/>
    <s v="Low"/>
    <s v="No"/>
    <s v="Yes"/>
    <n v="0.31119999999999998"/>
    <m/>
    <m/>
    <m/>
    <m/>
    <m/>
    <m/>
    <m/>
    <m/>
    <m/>
    <m/>
    <m/>
    <m/>
    <m/>
    <m/>
    <m/>
  </r>
  <r>
    <s v="ORD10601"/>
    <s v="16-01-2024"/>
    <s v="CUST1284"/>
    <s v="Kavya Yadav"/>
    <x v="2"/>
    <s v="Bengaluru"/>
    <s v="Karnataka"/>
    <x v="3"/>
    <x v="4"/>
    <x v="19"/>
    <n v="4"/>
    <n v="800"/>
    <n v="0.15"/>
    <n v="2720"/>
    <n v="1803.44"/>
    <n v="916.56"/>
    <n v="33.700000000000003"/>
    <x v="1"/>
    <x v="1"/>
    <x v="7"/>
    <x v="6"/>
    <n v="2024"/>
    <s v="Tuesday"/>
    <n v="3"/>
    <s v="19-01-2024"/>
    <x v="0"/>
    <s v="VIP"/>
    <s v="Low"/>
    <s v="Yes"/>
    <n v="2"/>
    <s v="Kavya"/>
    <s v="Yadav"/>
    <m/>
    <m/>
    <m/>
    <m/>
    <m/>
    <m/>
    <s v="Good"/>
    <s v="Low"/>
    <s v="No"/>
    <s v="No"/>
    <n v="0.33697058823529408"/>
    <m/>
    <m/>
    <m/>
    <m/>
    <m/>
    <m/>
    <m/>
    <m/>
    <m/>
    <m/>
    <m/>
    <m/>
    <m/>
    <m/>
    <m/>
  </r>
  <r>
    <s v="ORD10184"/>
    <s v="16-01-2025"/>
    <s v="CUST1156"/>
    <s v="Priya Kumar"/>
    <x v="0"/>
    <s v="Kolkata"/>
    <s v="West Bengal"/>
    <x v="1"/>
    <x v="3"/>
    <x v="10"/>
    <n v="1"/>
    <n v="500"/>
    <n v="0.1"/>
    <n v="450"/>
    <n v="346.81"/>
    <n v="103.19"/>
    <n v="22.93"/>
    <x v="2"/>
    <x v="2"/>
    <x v="0"/>
    <x v="6"/>
    <n v="2025"/>
    <s v="Thursday"/>
    <n v="1"/>
    <s v="17-01-2025"/>
    <x v="0"/>
    <s v="VIP"/>
    <s v="Medium"/>
    <s v="No"/>
    <n v="3"/>
    <s v="Priya"/>
    <s v="Kumar"/>
    <m/>
    <m/>
    <m/>
    <m/>
    <m/>
    <m/>
    <s v="Needs Improvement"/>
    <s v="Low"/>
    <s v="No"/>
    <s v="Yes"/>
    <n v="0.2293111111111111"/>
    <m/>
    <m/>
    <m/>
    <m/>
    <m/>
    <m/>
    <m/>
    <m/>
    <m/>
    <m/>
    <m/>
    <m/>
    <m/>
    <m/>
    <m/>
  </r>
  <r>
    <s v="ORD10969"/>
    <s v="16-01-2025"/>
    <s v="CUST1121"/>
    <s v="Aditi Kumar"/>
    <x v="0"/>
    <s v="Mumbai"/>
    <s v="Maharashtra"/>
    <x v="3"/>
    <x v="2"/>
    <x v="12"/>
    <n v="2"/>
    <n v="15000"/>
    <n v="0.05"/>
    <n v="28500"/>
    <n v="17897.04"/>
    <n v="10602.96"/>
    <n v="37.200000000000003"/>
    <x v="1"/>
    <x v="0"/>
    <x v="8"/>
    <x v="6"/>
    <n v="2025"/>
    <s v="Thursday"/>
    <n v="7"/>
    <s v="23-01-2025"/>
    <x v="0"/>
    <s v="New"/>
    <s v="Medium"/>
    <s v="No"/>
    <n v="4"/>
    <s v="Aditi"/>
    <s v="Kumar"/>
    <m/>
    <m/>
    <m/>
    <m/>
    <m/>
    <m/>
    <s v="Good"/>
    <s v="Medium"/>
    <s v="No"/>
    <s v="Yes"/>
    <n v="0.37203368421052629"/>
    <m/>
    <m/>
    <m/>
    <m/>
    <m/>
    <m/>
    <m/>
    <m/>
    <m/>
    <m/>
    <m/>
    <m/>
    <m/>
    <m/>
    <m/>
  </r>
  <r>
    <s v="ORD10327"/>
    <s v="16-02-2024"/>
    <s v="CUST1062"/>
    <s v="Ananya Gupta"/>
    <x v="0"/>
    <s v="Mumbai"/>
    <s v="Maharashtra"/>
    <x v="3"/>
    <x v="4"/>
    <x v="13"/>
    <n v="3"/>
    <n v="1200"/>
    <n v="0.05"/>
    <n v="3420"/>
    <n v="2190.8000000000002"/>
    <n v="1229.2"/>
    <n v="35.94"/>
    <x v="0"/>
    <x v="0"/>
    <x v="4"/>
    <x v="7"/>
    <n v="2024"/>
    <s v="Friday"/>
    <n v="10"/>
    <s v="26-02-2024"/>
    <x v="0"/>
    <s v="Returning"/>
    <s v="Low"/>
    <s v="Yes"/>
    <n v="2"/>
    <s v="Ananya"/>
    <s v="Gupta"/>
    <m/>
    <m/>
    <m/>
    <m/>
    <m/>
    <m/>
    <s v="Good"/>
    <s v="Low"/>
    <s v="No"/>
    <s v="Yes"/>
    <n v="0.35941520467836258"/>
    <m/>
    <m/>
    <m/>
    <m/>
    <m/>
    <m/>
    <m/>
    <m/>
    <m/>
    <m/>
    <m/>
    <m/>
    <m/>
    <m/>
    <m/>
  </r>
  <r>
    <s v="ORD10471"/>
    <s v="16-02-2024"/>
    <s v="CUST1249"/>
    <s v="Pooja Yadav"/>
    <x v="1"/>
    <s v="Kolkata"/>
    <s v="West Bengal"/>
    <x v="1"/>
    <x v="0"/>
    <x v="15"/>
    <n v="6"/>
    <n v="2500"/>
    <n v="0.1"/>
    <n v="13500"/>
    <n v="8276.32"/>
    <n v="5223.68"/>
    <n v="38.69"/>
    <x v="0"/>
    <x v="1"/>
    <x v="9"/>
    <x v="7"/>
    <n v="2024"/>
    <s v="Friday"/>
    <n v="6"/>
    <s v="22-02-2024"/>
    <x v="2"/>
    <s v="VIP"/>
    <s v="High"/>
    <s v="Yes"/>
    <n v="4"/>
    <s v="Pooja"/>
    <s v="Yadav"/>
    <m/>
    <m/>
    <m/>
    <m/>
    <m/>
    <m/>
    <s v="Good"/>
    <s v="Medium"/>
    <s v="No"/>
    <s v="No"/>
    <n v="0.38693925925925926"/>
    <m/>
    <m/>
    <m/>
    <m/>
    <m/>
    <m/>
    <m/>
    <m/>
    <m/>
    <m/>
    <m/>
    <m/>
    <m/>
    <m/>
    <m/>
  </r>
  <r>
    <s v="ORD10409"/>
    <s v="16-02-2025"/>
    <s v="CUST1203"/>
    <s v="Ananya Bansal"/>
    <x v="0"/>
    <s v="Jaipur"/>
    <s v="Rajasthan"/>
    <x v="2"/>
    <x v="0"/>
    <x v="23"/>
    <n v="2"/>
    <n v="6000"/>
    <n v="0.2"/>
    <n v="9600"/>
    <n v="6625.11"/>
    <n v="2974.89"/>
    <n v="30.99"/>
    <x v="4"/>
    <x v="0"/>
    <x v="9"/>
    <x v="7"/>
    <n v="2025"/>
    <s v="Sunday"/>
    <n v="10"/>
    <s v="26-02-2025"/>
    <x v="1"/>
    <s v="VIP"/>
    <s v="Medium"/>
    <s v="Yes"/>
    <n v="2"/>
    <s v="Ananya"/>
    <s v="Bansal"/>
    <m/>
    <m/>
    <m/>
    <m/>
    <m/>
    <m/>
    <s v="Good"/>
    <s v="Low"/>
    <s v="No"/>
    <s v="Yes"/>
    <n v="0.30988437499999999"/>
    <m/>
    <m/>
    <m/>
    <m/>
    <m/>
    <m/>
    <m/>
    <m/>
    <m/>
    <m/>
    <m/>
    <m/>
    <m/>
    <m/>
    <m/>
  </r>
  <r>
    <s v="ORD10091"/>
    <s v="16-03-2024"/>
    <s v="CUST1228"/>
    <s v="Aditya Agarwal"/>
    <x v="1"/>
    <s v="Lucknow"/>
    <s v="Uttar Pradesh"/>
    <x v="0"/>
    <x v="3"/>
    <x v="18"/>
    <n v="4"/>
    <n v="100"/>
    <n v="0.05"/>
    <n v="380"/>
    <n v="301.2"/>
    <n v="78.8"/>
    <n v="20.74"/>
    <x v="0"/>
    <x v="0"/>
    <x v="2"/>
    <x v="0"/>
    <n v="2024"/>
    <s v="Saturday"/>
    <n v="8"/>
    <s v="24-03-2024"/>
    <x v="0"/>
    <s v="VIP"/>
    <s v="High"/>
    <s v="No"/>
    <n v="3"/>
    <s v="Aditya"/>
    <s v="Agarwal"/>
    <m/>
    <m/>
    <m/>
    <m/>
    <m/>
    <m/>
    <s v="Needs Improvement"/>
    <s v="Low"/>
    <s v="No"/>
    <s v="Yes"/>
    <n v="0.20736842105263156"/>
    <m/>
    <m/>
    <m/>
    <m/>
    <m/>
    <m/>
    <m/>
    <m/>
    <m/>
    <m/>
    <m/>
    <m/>
    <m/>
    <m/>
    <m/>
  </r>
  <r>
    <s v="ORD10093"/>
    <s v="16-03-2024"/>
    <s v="CUST1231"/>
    <s v="Riya Mishra"/>
    <x v="1"/>
    <s v="Kolkata"/>
    <s v="West Bengal"/>
    <x v="0"/>
    <x v="1"/>
    <x v="20"/>
    <n v="7"/>
    <n v="2500"/>
    <n v="0.2"/>
    <n v="14000"/>
    <n v="10128.040000000001"/>
    <n v="3871.96"/>
    <n v="27.66"/>
    <x v="2"/>
    <x v="0"/>
    <x v="5"/>
    <x v="0"/>
    <n v="2024"/>
    <s v="Saturday"/>
    <n v="3"/>
    <s v="19-03-2024"/>
    <x v="0"/>
    <s v="New"/>
    <s v="Low"/>
    <s v="No"/>
    <n v="5"/>
    <s v="Riya"/>
    <s v="Mishra"/>
    <m/>
    <m/>
    <m/>
    <m/>
    <m/>
    <m/>
    <s v="Needs Improvement"/>
    <s v="Medium"/>
    <s v="No"/>
    <s v="Yes"/>
    <n v="0.27656857142857144"/>
    <m/>
    <m/>
    <m/>
    <m/>
    <m/>
    <m/>
    <m/>
    <m/>
    <m/>
    <m/>
    <m/>
    <m/>
    <m/>
    <m/>
    <m/>
  </r>
  <r>
    <s v="ORD10218"/>
    <s v="16-03-2024"/>
    <s v="CUST1286"/>
    <s v="Aditya Bansal"/>
    <x v="2"/>
    <s v="Bengaluru"/>
    <s v="Karnataka"/>
    <x v="0"/>
    <x v="2"/>
    <x v="21"/>
    <n v="6"/>
    <n v="8000"/>
    <n v="0"/>
    <n v="48000"/>
    <n v="36693.019999999997"/>
    <n v="11306.98"/>
    <n v="23.56"/>
    <x v="4"/>
    <x v="1"/>
    <x v="9"/>
    <x v="0"/>
    <n v="2024"/>
    <s v="Saturday"/>
    <n v="1"/>
    <s v="17-03-2024"/>
    <x v="0"/>
    <s v="VIP"/>
    <s v="Medium"/>
    <s v="No"/>
    <n v="3"/>
    <s v="Aditya"/>
    <s v="Bansal"/>
    <m/>
    <m/>
    <m/>
    <m/>
    <m/>
    <m/>
    <s v="Needs Improvement"/>
    <s v="High"/>
    <s v="Yes"/>
    <s v="No"/>
    <n v="0.23556208333333331"/>
    <m/>
    <m/>
    <m/>
    <m/>
    <m/>
    <m/>
    <m/>
    <m/>
    <m/>
    <m/>
    <m/>
    <m/>
    <m/>
    <m/>
    <m/>
  </r>
  <r>
    <s v="ORD10255"/>
    <s v="16-03-2025"/>
    <s v="CUST1004"/>
    <s v="Aditi Jain"/>
    <x v="2"/>
    <s v="Ahmedabad"/>
    <s v="Gujarat"/>
    <x v="2"/>
    <x v="2"/>
    <x v="21"/>
    <n v="8"/>
    <n v="15000"/>
    <n v="0"/>
    <n v="120000"/>
    <n v="73491.38"/>
    <n v="46508.62"/>
    <n v="38.76"/>
    <x v="3"/>
    <x v="1"/>
    <x v="1"/>
    <x v="0"/>
    <n v="2025"/>
    <s v="Sunday"/>
    <n v="5"/>
    <s v="21-03-2025"/>
    <x v="1"/>
    <s v="New"/>
    <s v="Low"/>
    <s v="No"/>
    <n v="4"/>
    <s v="Aditi"/>
    <s v="Jain"/>
    <m/>
    <m/>
    <m/>
    <m/>
    <m/>
    <m/>
    <s v="Good"/>
    <s v="High"/>
    <s v="Yes"/>
    <s v="No"/>
    <n v="0.38757183333333334"/>
    <m/>
    <m/>
    <m/>
    <m/>
    <m/>
    <m/>
    <m/>
    <m/>
    <m/>
    <m/>
    <m/>
    <m/>
    <m/>
    <m/>
    <m/>
  </r>
  <r>
    <s v="ORD10281"/>
    <s v="16-03-2025"/>
    <s v="CUST1163"/>
    <s v="Aditya Kapoor"/>
    <x v="1"/>
    <s v="Ahmedabad"/>
    <s v="Gujarat"/>
    <x v="1"/>
    <x v="0"/>
    <x v="1"/>
    <n v="5"/>
    <n v="15000"/>
    <n v="0.05"/>
    <n v="71250"/>
    <n v="56830.44"/>
    <n v="14419.56"/>
    <n v="20.239999999999998"/>
    <x v="2"/>
    <x v="1"/>
    <x v="4"/>
    <x v="0"/>
    <n v="2025"/>
    <s v="Sunday"/>
    <n v="3"/>
    <s v="19-03-2025"/>
    <x v="1"/>
    <s v="VIP"/>
    <s v="Low"/>
    <s v="No"/>
    <n v="4"/>
    <s v="Aditya"/>
    <s v="Kapoor"/>
    <m/>
    <m/>
    <m/>
    <m/>
    <m/>
    <m/>
    <s v="Needs Improvement"/>
    <s v="High"/>
    <s v="Yes"/>
    <s v="No"/>
    <n v="0.20237978947368421"/>
    <m/>
    <m/>
    <m/>
    <m/>
    <m/>
    <m/>
    <m/>
    <m/>
    <m/>
    <m/>
    <m/>
    <m/>
    <m/>
    <m/>
    <m/>
  </r>
  <r>
    <s v="ORD10531"/>
    <s v="16-03-2025"/>
    <s v="CUST1012"/>
    <s v="Ishita Kumar"/>
    <x v="0"/>
    <s v="Lucknow"/>
    <s v="Uttar Pradesh"/>
    <x v="3"/>
    <x v="2"/>
    <x v="12"/>
    <n v="7"/>
    <n v="8000"/>
    <n v="0.1"/>
    <n v="50400"/>
    <n v="28455.89"/>
    <n v="21944.11"/>
    <n v="43.54"/>
    <x v="1"/>
    <x v="2"/>
    <x v="2"/>
    <x v="0"/>
    <n v="2025"/>
    <s v="Sunday"/>
    <n v="8"/>
    <s v="24-03-2025"/>
    <x v="0"/>
    <s v="Returning"/>
    <s v="Medium"/>
    <s v="Yes"/>
    <n v="3"/>
    <s v="Ishita"/>
    <s v="Kumar"/>
    <m/>
    <m/>
    <m/>
    <m/>
    <m/>
    <m/>
    <s v="Good"/>
    <s v="High"/>
    <s v="Yes"/>
    <s v="Yes"/>
    <n v="0.43539900793650793"/>
    <m/>
    <m/>
    <m/>
    <m/>
    <m/>
    <m/>
    <m/>
    <m/>
    <m/>
    <m/>
    <m/>
    <m/>
    <m/>
    <m/>
    <m/>
  </r>
  <r>
    <s v="ORD10585"/>
    <s v="16-03-2025"/>
    <s v="CUST1225"/>
    <s v="Arjun Saxena"/>
    <x v="1"/>
    <s v="Ahmedabad"/>
    <s v="Gujarat"/>
    <x v="0"/>
    <x v="1"/>
    <x v="3"/>
    <n v="7"/>
    <n v="2500"/>
    <n v="0.05"/>
    <n v="16625"/>
    <n v="9762.17"/>
    <n v="6862.83"/>
    <n v="41.28"/>
    <x v="0"/>
    <x v="2"/>
    <x v="3"/>
    <x v="0"/>
    <n v="2025"/>
    <s v="Sunday"/>
    <n v="7"/>
    <s v="23-03-2025"/>
    <x v="1"/>
    <s v="Returning"/>
    <s v="Low"/>
    <s v="Yes"/>
    <n v="2"/>
    <s v="Arjun"/>
    <s v="Saxena"/>
    <m/>
    <m/>
    <m/>
    <m/>
    <m/>
    <m/>
    <s v="Good"/>
    <s v="Medium"/>
    <s v="No"/>
    <s v="Yes"/>
    <n v="0.41280180451127818"/>
    <m/>
    <m/>
    <m/>
    <m/>
    <m/>
    <m/>
    <m/>
    <m/>
    <m/>
    <m/>
    <m/>
    <m/>
    <m/>
    <m/>
    <m/>
  </r>
  <r>
    <s v="ORD10640"/>
    <s v="16-04-2025"/>
    <s v="CUST1089"/>
    <s v="Priya Kumar"/>
    <x v="2"/>
    <s v="Pune"/>
    <s v="Maharashtra"/>
    <x v="3"/>
    <x v="0"/>
    <x v="24"/>
    <n v="8"/>
    <n v="9000"/>
    <n v="0.05"/>
    <n v="68400"/>
    <n v="41321.11"/>
    <n v="27078.89"/>
    <n v="39.590000000000003"/>
    <x v="2"/>
    <x v="2"/>
    <x v="1"/>
    <x v="8"/>
    <n v="2025"/>
    <s v="Wednesday"/>
    <n v="1"/>
    <s v="17-04-2025"/>
    <x v="0"/>
    <s v="New"/>
    <s v="High"/>
    <s v="Yes"/>
    <n v="2"/>
    <s v="Priya"/>
    <s v="Kumar"/>
    <m/>
    <m/>
    <m/>
    <m/>
    <m/>
    <m/>
    <s v="Good"/>
    <s v="High"/>
    <s v="Yes"/>
    <s v="Yes"/>
    <n v="0.39589020467836256"/>
    <m/>
    <m/>
    <m/>
    <m/>
    <m/>
    <m/>
    <m/>
    <m/>
    <m/>
    <m/>
    <m/>
    <m/>
    <m/>
    <m/>
    <m/>
  </r>
  <r>
    <s v="ORD10085"/>
    <s v="16-05-2024"/>
    <s v="CUST1330"/>
    <s v="Karan Chopra"/>
    <x v="1"/>
    <s v="Mumbai"/>
    <s v="Maharashtra"/>
    <x v="2"/>
    <x v="3"/>
    <x v="10"/>
    <n v="2"/>
    <n v="800"/>
    <n v="0.1"/>
    <n v="1440"/>
    <n v="1004.29"/>
    <n v="435.71"/>
    <n v="30.26"/>
    <x v="4"/>
    <x v="0"/>
    <x v="4"/>
    <x v="1"/>
    <n v="2024"/>
    <s v="Thursday"/>
    <n v="1"/>
    <s v="17-05-2024"/>
    <x v="0"/>
    <s v="New"/>
    <s v="Low"/>
    <s v="No"/>
    <n v="1"/>
    <s v="Karan"/>
    <s v="Chopra"/>
    <m/>
    <m/>
    <m/>
    <m/>
    <m/>
    <m/>
    <s v="Good"/>
    <s v="Low"/>
    <s v="No"/>
    <s v="Yes"/>
    <n v="0.30257638888888888"/>
    <m/>
    <m/>
    <m/>
    <m/>
    <m/>
    <m/>
    <m/>
    <m/>
    <m/>
    <m/>
    <m/>
    <m/>
    <m/>
    <m/>
    <m/>
  </r>
  <r>
    <s v="ORD10382"/>
    <s v="16-05-2024"/>
    <s v="CUST1197"/>
    <s v="Ishita Yadav"/>
    <x v="1"/>
    <s v="Chennai"/>
    <s v="Tamil Nadu"/>
    <x v="0"/>
    <x v="4"/>
    <x v="19"/>
    <n v="2"/>
    <n v="500"/>
    <n v="0.15"/>
    <n v="850"/>
    <n v="625.13"/>
    <n v="224.87"/>
    <n v="26.46"/>
    <x v="1"/>
    <x v="2"/>
    <x v="8"/>
    <x v="1"/>
    <n v="2024"/>
    <s v="Thursday"/>
    <n v="6"/>
    <s v="22-05-2024"/>
    <x v="2"/>
    <s v="New"/>
    <s v="Low"/>
    <s v="No"/>
    <n v="2"/>
    <s v="Ishita"/>
    <s v="Yadav"/>
    <m/>
    <m/>
    <m/>
    <m/>
    <m/>
    <m/>
    <s v="Needs Improvement"/>
    <s v="Low"/>
    <s v="No"/>
    <s v="Yes"/>
    <n v="0.2645529411764706"/>
    <m/>
    <m/>
    <m/>
    <m/>
    <m/>
    <m/>
    <m/>
    <m/>
    <m/>
    <m/>
    <m/>
    <m/>
    <m/>
    <m/>
    <m/>
  </r>
  <r>
    <s v="ORD10610"/>
    <s v="16-05-2025"/>
    <s v="CUST1247"/>
    <s v="Priya Verma"/>
    <x v="2"/>
    <s v="Ahmedabad"/>
    <s v="Gujarat"/>
    <x v="1"/>
    <x v="0"/>
    <x v="24"/>
    <n v="4"/>
    <n v="6000"/>
    <n v="0.15"/>
    <n v="20400"/>
    <n v="13187.06"/>
    <n v="7212.94"/>
    <n v="35.36"/>
    <x v="0"/>
    <x v="1"/>
    <x v="9"/>
    <x v="1"/>
    <n v="2025"/>
    <s v="Friday"/>
    <n v="7"/>
    <s v="23-05-2025"/>
    <x v="1"/>
    <s v="Returning"/>
    <s v="Low"/>
    <s v="No"/>
    <n v="1"/>
    <s v="Priya"/>
    <s v="Verma"/>
    <m/>
    <m/>
    <m/>
    <m/>
    <m/>
    <m/>
    <s v="Good"/>
    <s v="Medium"/>
    <s v="No"/>
    <s v="No"/>
    <n v="0.35357549019607842"/>
    <m/>
    <m/>
    <m/>
    <m/>
    <m/>
    <m/>
    <m/>
    <m/>
    <m/>
    <m/>
    <m/>
    <m/>
    <m/>
    <m/>
    <m/>
  </r>
  <r>
    <s v="ORD10635"/>
    <s v="16-05-2025"/>
    <s v="CUST1329"/>
    <s v="Meera Malhotra"/>
    <x v="1"/>
    <s v="Bengaluru"/>
    <s v="Karnataka"/>
    <x v="3"/>
    <x v="3"/>
    <x v="17"/>
    <n v="8"/>
    <n v="350"/>
    <n v="0"/>
    <n v="2800"/>
    <n v="1814.89"/>
    <n v="985.11"/>
    <n v="35.18"/>
    <x v="1"/>
    <x v="0"/>
    <x v="1"/>
    <x v="1"/>
    <n v="2025"/>
    <s v="Friday"/>
    <n v="6"/>
    <s v="22-05-2025"/>
    <x v="1"/>
    <s v="New"/>
    <s v="High"/>
    <s v="Yes"/>
    <n v="4"/>
    <s v="Meera"/>
    <s v="Malhotra"/>
    <m/>
    <m/>
    <m/>
    <m/>
    <m/>
    <m/>
    <s v="Good"/>
    <s v="Low"/>
    <s v="No"/>
    <s v="Yes"/>
    <n v="0.351825"/>
    <m/>
    <m/>
    <m/>
    <m/>
    <m/>
    <m/>
    <m/>
    <m/>
    <m/>
    <m/>
    <m/>
    <m/>
    <m/>
    <m/>
    <m/>
  </r>
  <r>
    <s v="ORD10801"/>
    <s v="16-05-2025"/>
    <s v="CUST1207"/>
    <s v="Meera Malhotra"/>
    <x v="1"/>
    <s v="Kolkata"/>
    <s v="West Bengal"/>
    <x v="0"/>
    <x v="0"/>
    <x v="15"/>
    <n v="5"/>
    <n v="9000"/>
    <n v="0.2"/>
    <n v="36000"/>
    <n v="25063.08"/>
    <n v="10936.92"/>
    <n v="30.38"/>
    <x v="3"/>
    <x v="0"/>
    <x v="1"/>
    <x v="1"/>
    <n v="2025"/>
    <s v="Friday"/>
    <n v="7"/>
    <s v="23-05-2025"/>
    <x v="1"/>
    <s v="Returning"/>
    <s v="High"/>
    <s v="No"/>
    <n v="2"/>
    <s v="Meera"/>
    <s v="Malhotra"/>
    <m/>
    <m/>
    <m/>
    <m/>
    <m/>
    <m/>
    <s v="Good"/>
    <s v="High"/>
    <s v="Yes"/>
    <s v="Yes"/>
    <n v="0.30380333333333331"/>
    <m/>
    <m/>
    <m/>
    <m/>
    <m/>
    <m/>
    <m/>
    <m/>
    <m/>
    <m/>
    <m/>
    <m/>
    <m/>
    <m/>
    <m/>
  </r>
  <r>
    <s v="ORD10735"/>
    <s v="16-06-2024"/>
    <s v="CUST1317"/>
    <s v="Ishita Gupta"/>
    <x v="1"/>
    <s v="Pune"/>
    <s v="Maharashtra"/>
    <x v="2"/>
    <x v="3"/>
    <x v="5"/>
    <n v="9"/>
    <n v="200"/>
    <n v="0.05"/>
    <n v="1710"/>
    <n v="1186.27"/>
    <n v="523.73"/>
    <n v="30.63"/>
    <x v="0"/>
    <x v="0"/>
    <x v="6"/>
    <x v="2"/>
    <n v="2024"/>
    <s v="Sunday"/>
    <n v="7"/>
    <s v="23-06-2024"/>
    <x v="0"/>
    <s v="New"/>
    <s v="High"/>
    <s v="Yes"/>
    <n v="4"/>
    <s v="Ishita"/>
    <s v="Gupta"/>
    <m/>
    <m/>
    <m/>
    <m/>
    <m/>
    <m/>
    <s v="Good"/>
    <s v="Low"/>
    <s v="No"/>
    <s v="Yes"/>
    <n v="0.30627485380116959"/>
    <m/>
    <m/>
    <m/>
    <m/>
    <m/>
    <m/>
    <m/>
    <m/>
    <m/>
    <m/>
    <m/>
    <m/>
    <m/>
    <m/>
    <m/>
  </r>
  <r>
    <s v="ORD10757"/>
    <s v="16-06-2024"/>
    <s v="CUST1183"/>
    <s v="Neha Verma"/>
    <x v="0"/>
    <s v="Mumbai"/>
    <s v="Maharashtra"/>
    <x v="0"/>
    <x v="2"/>
    <x v="4"/>
    <n v="3"/>
    <n v="8000"/>
    <n v="0.2"/>
    <n v="19200"/>
    <n v="14472.16"/>
    <n v="4727.84"/>
    <n v="24.62"/>
    <x v="1"/>
    <x v="1"/>
    <x v="1"/>
    <x v="2"/>
    <n v="2024"/>
    <s v="Sunday"/>
    <n v="4"/>
    <s v="20-06-2024"/>
    <x v="0"/>
    <s v="VIP"/>
    <s v="Low"/>
    <s v="No"/>
    <n v="4"/>
    <s v="Neha"/>
    <s v="Verma"/>
    <m/>
    <m/>
    <m/>
    <m/>
    <m/>
    <m/>
    <s v="Needs Improvement"/>
    <s v="Medium"/>
    <s v="No"/>
    <s v="No"/>
    <n v="0.24624166666666666"/>
    <m/>
    <m/>
    <m/>
    <m/>
    <m/>
    <m/>
    <m/>
    <m/>
    <m/>
    <m/>
    <m/>
    <m/>
    <m/>
    <m/>
    <m/>
  </r>
  <r>
    <s v="ORD10884"/>
    <s v="16-06-2024"/>
    <s v="CUST1217"/>
    <s v="Vikram Chopra"/>
    <x v="1"/>
    <s v="Delhi"/>
    <s v="Delhi"/>
    <x v="0"/>
    <x v="0"/>
    <x v="1"/>
    <n v="2"/>
    <n v="2500"/>
    <n v="0.2"/>
    <n v="4000"/>
    <n v="2321.63"/>
    <n v="1678.37"/>
    <n v="41.96"/>
    <x v="2"/>
    <x v="1"/>
    <x v="9"/>
    <x v="2"/>
    <n v="2024"/>
    <s v="Sunday"/>
    <n v="1"/>
    <s v="17-06-2024"/>
    <x v="2"/>
    <s v="VIP"/>
    <s v="High"/>
    <s v="No"/>
    <n v="4"/>
    <s v="Vikram"/>
    <s v="Chopra"/>
    <m/>
    <m/>
    <m/>
    <m/>
    <m/>
    <m/>
    <s v="Good"/>
    <s v="Low"/>
    <s v="No"/>
    <s v="No"/>
    <n v="0.41959249999999998"/>
    <m/>
    <m/>
    <m/>
    <m/>
    <m/>
    <m/>
    <m/>
    <m/>
    <m/>
    <m/>
    <m/>
    <m/>
    <m/>
    <m/>
    <m/>
  </r>
  <r>
    <s v="ORD10539"/>
    <s v="16-07-2024"/>
    <s v="CUST1296"/>
    <s v="Ishita Gupta"/>
    <x v="1"/>
    <s v="Bengaluru"/>
    <s v="Karnataka"/>
    <x v="2"/>
    <x v="4"/>
    <x v="19"/>
    <n v="4"/>
    <n v="3000"/>
    <n v="0.15"/>
    <n v="10200"/>
    <n v="7891.83"/>
    <n v="2308.17"/>
    <n v="22.63"/>
    <x v="2"/>
    <x v="1"/>
    <x v="3"/>
    <x v="9"/>
    <n v="2024"/>
    <s v="Tuesday"/>
    <n v="10"/>
    <s v="26-07-2024"/>
    <x v="2"/>
    <s v="VIP"/>
    <s v="Low"/>
    <s v="No"/>
    <n v="2"/>
    <s v="Ishita"/>
    <s v="Gupta"/>
    <m/>
    <m/>
    <m/>
    <m/>
    <m/>
    <m/>
    <s v="Needs Improvement"/>
    <s v="Medium"/>
    <s v="No"/>
    <s v="No"/>
    <n v="0.22629117647058825"/>
    <m/>
    <m/>
    <m/>
    <m/>
    <m/>
    <m/>
    <m/>
    <m/>
    <m/>
    <m/>
    <m/>
    <m/>
    <m/>
    <m/>
    <m/>
  </r>
  <r>
    <s v="ORD10947"/>
    <s v="16-07-2024"/>
    <s v="CUST1291"/>
    <s v="Ishita Mehta"/>
    <x v="2"/>
    <s v="Mumbai"/>
    <s v="Maharashtra"/>
    <x v="2"/>
    <x v="4"/>
    <x v="11"/>
    <n v="7"/>
    <n v="1200"/>
    <n v="0"/>
    <n v="8400"/>
    <n v="4684.08"/>
    <n v="3715.92"/>
    <n v="44.24"/>
    <x v="4"/>
    <x v="0"/>
    <x v="2"/>
    <x v="9"/>
    <n v="2024"/>
    <s v="Tuesday"/>
    <n v="5"/>
    <s v="21-07-2024"/>
    <x v="0"/>
    <s v="VIP"/>
    <s v="Low"/>
    <s v="No"/>
    <n v="5"/>
    <s v="Ishita"/>
    <s v="Mehta"/>
    <m/>
    <m/>
    <m/>
    <m/>
    <m/>
    <m/>
    <s v="Good"/>
    <s v="Low"/>
    <s v="No"/>
    <s v="Yes"/>
    <n v="0.44237142857142858"/>
    <m/>
    <m/>
    <m/>
    <m/>
    <m/>
    <m/>
    <m/>
    <m/>
    <m/>
    <m/>
    <m/>
    <m/>
    <m/>
    <m/>
    <m/>
  </r>
  <r>
    <s v="ORD10877"/>
    <s v="16-07-2025"/>
    <s v="CUST1184"/>
    <s v="Aditi Mishra"/>
    <x v="2"/>
    <s v="Bengaluru"/>
    <s v="Karnataka"/>
    <x v="2"/>
    <x v="4"/>
    <x v="13"/>
    <n v="7"/>
    <n v="1200"/>
    <n v="0"/>
    <n v="8400"/>
    <n v="5959.28"/>
    <n v="2440.7199999999998"/>
    <n v="29.06"/>
    <x v="0"/>
    <x v="2"/>
    <x v="8"/>
    <x v="9"/>
    <n v="2025"/>
    <s v="Wednesday"/>
    <n v="3"/>
    <s v="19-07-2025"/>
    <x v="2"/>
    <s v="Returning"/>
    <s v="High"/>
    <s v="No"/>
    <n v="3"/>
    <s v="Aditi"/>
    <s v="Mishra"/>
    <m/>
    <m/>
    <m/>
    <m/>
    <m/>
    <m/>
    <s v="Needs Improvement"/>
    <s v="Low"/>
    <s v="No"/>
    <s v="Yes"/>
    <n v="0.29056190476190474"/>
    <m/>
    <m/>
    <m/>
    <m/>
    <m/>
    <m/>
    <m/>
    <m/>
    <m/>
    <m/>
    <m/>
    <m/>
    <m/>
    <m/>
    <m/>
  </r>
  <r>
    <s v="ORD10116"/>
    <s v="16-08-2024"/>
    <s v="CUST1238"/>
    <s v="Aditi Mehta"/>
    <x v="1"/>
    <s v="Mumbai"/>
    <s v="Maharashtra"/>
    <x v="2"/>
    <x v="0"/>
    <x v="0"/>
    <n v="7"/>
    <n v="15000"/>
    <n v="0.05"/>
    <n v="99750"/>
    <n v="81215.7"/>
    <n v="18534.3"/>
    <n v="18.579999999999998"/>
    <x v="2"/>
    <x v="2"/>
    <x v="9"/>
    <x v="10"/>
    <n v="2024"/>
    <s v="Friday"/>
    <n v="1"/>
    <s v="17-08-2024"/>
    <x v="0"/>
    <s v="Returning"/>
    <s v="Low"/>
    <s v="No"/>
    <n v="2"/>
    <s v="Aditi"/>
    <s v="Mehta"/>
    <m/>
    <m/>
    <m/>
    <m/>
    <m/>
    <m/>
    <s v="Needs Improvement"/>
    <s v="High"/>
    <s v="Yes"/>
    <s v="Yes"/>
    <n v="0.18580751879699248"/>
    <m/>
    <m/>
    <m/>
    <m/>
    <m/>
    <m/>
    <m/>
    <m/>
    <m/>
    <m/>
    <m/>
    <m/>
    <m/>
    <m/>
    <m/>
  </r>
  <r>
    <s v="ORD10073"/>
    <s v="16-08-2025"/>
    <s v="CUST1320"/>
    <s v="Neha Chopra"/>
    <x v="1"/>
    <s v="Bengaluru"/>
    <s v="Karnataka"/>
    <x v="0"/>
    <x v="2"/>
    <x v="4"/>
    <n v="8"/>
    <n v="22000"/>
    <n v="0.2"/>
    <n v="140800"/>
    <n v="101883.98"/>
    <n v="38916.019999999997"/>
    <n v="27.64"/>
    <x v="2"/>
    <x v="1"/>
    <x v="2"/>
    <x v="10"/>
    <n v="2025"/>
    <s v="Saturday"/>
    <n v="8"/>
    <s v="24-08-2025"/>
    <x v="1"/>
    <s v="Returning"/>
    <s v="Medium"/>
    <s v="No"/>
    <n v="3"/>
    <s v="Neha"/>
    <s v="Chopra"/>
    <m/>
    <m/>
    <m/>
    <m/>
    <m/>
    <m/>
    <s v="Needs Improvement"/>
    <s v="High"/>
    <s v="Yes"/>
    <s v="No"/>
    <n v="0.2763921875"/>
    <m/>
    <m/>
    <m/>
    <m/>
    <m/>
    <m/>
    <m/>
    <m/>
    <m/>
    <m/>
    <m/>
    <m/>
    <m/>
    <m/>
    <m/>
  </r>
  <r>
    <s v="ORD10325"/>
    <s v="16-08-2025"/>
    <s v="CUST1073"/>
    <s v="Kavya Mishra"/>
    <x v="2"/>
    <s v="Mumbai"/>
    <s v="Maharashtra"/>
    <x v="2"/>
    <x v="0"/>
    <x v="0"/>
    <n v="8"/>
    <n v="15000"/>
    <n v="0.05"/>
    <n v="114000"/>
    <n v="63835.09"/>
    <n v="50164.91"/>
    <n v="44"/>
    <x v="3"/>
    <x v="2"/>
    <x v="6"/>
    <x v="10"/>
    <n v="2025"/>
    <s v="Saturday"/>
    <n v="4"/>
    <s v="20-08-2025"/>
    <x v="0"/>
    <s v="VIP"/>
    <s v="High"/>
    <s v="Yes"/>
    <n v="1"/>
    <s v="Kavya"/>
    <s v="Mishra"/>
    <m/>
    <m/>
    <m/>
    <m/>
    <m/>
    <m/>
    <s v="Good"/>
    <s v="High"/>
    <s v="Yes"/>
    <s v="Yes"/>
    <n v="0.44004307017543864"/>
    <m/>
    <m/>
    <m/>
    <m/>
    <m/>
    <m/>
    <m/>
    <m/>
    <m/>
    <m/>
    <m/>
    <m/>
    <m/>
    <m/>
    <m/>
  </r>
  <r>
    <s v="ORD10604"/>
    <s v="16-08-2025"/>
    <s v="CUST1197"/>
    <s v="Neha Agarwal"/>
    <x v="2"/>
    <s v="Jaipur"/>
    <s v="Rajasthan"/>
    <x v="3"/>
    <x v="3"/>
    <x v="5"/>
    <n v="10"/>
    <n v="800"/>
    <n v="0.2"/>
    <n v="6400"/>
    <n v="4012.92"/>
    <n v="2387.08"/>
    <n v="37.299999999999997"/>
    <x v="1"/>
    <x v="0"/>
    <x v="6"/>
    <x v="10"/>
    <n v="2025"/>
    <s v="Saturday"/>
    <n v="9"/>
    <s v="25-08-2025"/>
    <x v="2"/>
    <s v="Returning"/>
    <s v="High"/>
    <s v="No"/>
    <n v="5"/>
    <s v="Neha"/>
    <s v="Agarwal"/>
    <m/>
    <m/>
    <m/>
    <m/>
    <m/>
    <m/>
    <s v="Good"/>
    <s v="Low"/>
    <s v="No"/>
    <s v="Yes"/>
    <n v="0.37298124999999999"/>
    <m/>
    <m/>
    <m/>
    <m/>
    <m/>
    <m/>
    <m/>
    <m/>
    <m/>
    <m/>
    <m/>
    <m/>
    <m/>
    <m/>
    <m/>
  </r>
  <r>
    <s v="ORD10965"/>
    <s v="16-08-2025"/>
    <s v="CUST1080"/>
    <s v="Simran Sharma"/>
    <x v="0"/>
    <s v="Ahmedabad"/>
    <s v="Gujarat"/>
    <x v="0"/>
    <x v="3"/>
    <x v="22"/>
    <n v="7"/>
    <n v="800"/>
    <n v="0.2"/>
    <n v="4480"/>
    <n v="3102.3"/>
    <n v="1377.7"/>
    <n v="30.75"/>
    <x v="4"/>
    <x v="0"/>
    <x v="4"/>
    <x v="10"/>
    <n v="2025"/>
    <s v="Saturday"/>
    <n v="7"/>
    <s v="23-08-2025"/>
    <x v="1"/>
    <s v="Returning"/>
    <s v="Low"/>
    <s v="No"/>
    <n v="4"/>
    <s v="Simran"/>
    <s v="Sharma"/>
    <m/>
    <m/>
    <m/>
    <m/>
    <m/>
    <m/>
    <s v="Good"/>
    <s v="Low"/>
    <s v="No"/>
    <s v="Yes"/>
    <n v="0.30752232142857144"/>
    <m/>
    <m/>
    <m/>
    <m/>
    <m/>
    <m/>
    <m/>
    <m/>
    <m/>
    <m/>
    <m/>
    <m/>
    <m/>
    <m/>
    <m/>
  </r>
  <r>
    <s v="ORD10383"/>
    <s v="16-09-2024"/>
    <s v="CUST1203"/>
    <s v="Sneha Gupta"/>
    <x v="1"/>
    <s v="Jaipur"/>
    <s v="Rajasthan"/>
    <x v="1"/>
    <x v="3"/>
    <x v="22"/>
    <n v="10"/>
    <n v="100"/>
    <n v="0"/>
    <n v="1000"/>
    <n v="652.85"/>
    <n v="347.15"/>
    <n v="34.71"/>
    <x v="3"/>
    <x v="2"/>
    <x v="0"/>
    <x v="3"/>
    <n v="2024"/>
    <s v="Monday"/>
    <n v="9"/>
    <s v="25-09-2024"/>
    <x v="1"/>
    <s v="New"/>
    <s v="High"/>
    <s v="No"/>
    <n v="3"/>
    <s v="Sneha"/>
    <s v="Gupta"/>
    <m/>
    <m/>
    <m/>
    <m/>
    <m/>
    <m/>
    <s v="Good"/>
    <s v="Low"/>
    <s v="No"/>
    <s v="Yes"/>
    <n v="0.34714999999999996"/>
    <m/>
    <m/>
    <m/>
    <m/>
    <m/>
    <m/>
    <m/>
    <m/>
    <m/>
    <m/>
    <m/>
    <m/>
    <m/>
    <m/>
    <m/>
  </r>
  <r>
    <s v="ORD10293"/>
    <s v="16-09-2025"/>
    <s v="CUST1001"/>
    <s v="Arjun Sharma"/>
    <x v="0"/>
    <s v="Lucknow"/>
    <s v="Uttar Pradesh"/>
    <x v="1"/>
    <x v="1"/>
    <x v="20"/>
    <n v="8"/>
    <n v="2500"/>
    <n v="0.05"/>
    <n v="19000"/>
    <n v="15473.59"/>
    <n v="3526.41"/>
    <n v="18.559999999999999"/>
    <x v="2"/>
    <x v="0"/>
    <x v="1"/>
    <x v="3"/>
    <n v="2025"/>
    <s v="Tuesday"/>
    <n v="4"/>
    <s v="20-09-2025"/>
    <x v="0"/>
    <s v="Returning"/>
    <s v="Low"/>
    <s v="No"/>
    <n v="3"/>
    <s v="Arjun"/>
    <s v="Sharma"/>
    <m/>
    <m/>
    <m/>
    <m/>
    <m/>
    <m/>
    <s v="Needs Improvement"/>
    <s v="Medium"/>
    <s v="No"/>
    <s v="Yes"/>
    <n v="0.18560052631578947"/>
    <m/>
    <m/>
    <m/>
    <m/>
    <m/>
    <m/>
    <m/>
    <m/>
    <m/>
    <m/>
    <m/>
    <m/>
    <m/>
    <m/>
    <m/>
  </r>
  <r>
    <s v="ORD10038"/>
    <s v="16-10-2024"/>
    <s v="CUST1185"/>
    <s v="Karan Kumar"/>
    <x v="2"/>
    <s v="Hyderabad"/>
    <s v="Telangana"/>
    <x v="3"/>
    <x v="1"/>
    <x v="6"/>
    <n v="10"/>
    <n v="3500"/>
    <n v="0.2"/>
    <n v="28000"/>
    <n v="17639.62"/>
    <n v="10360.379999999999"/>
    <n v="37"/>
    <x v="0"/>
    <x v="2"/>
    <x v="7"/>
    <x v="4"/>
    <n v="2024"/>
    <s v="Wednesday"/>
    <n v="2"/>
    <s v="18-10-2024"/>
    <x v="0"/>
    <s v="VIP"/>
    <s v="Medium"/>
    <s v="Yes"/>
    <n v="4"/>
    <s v="Karan"/>
    <s v="Kumar"/>
    <m/>
    <m/>
    <m/>
    <m/>
    <m/>
    <m/>
    <s v="Good"/>
    <s v="Medium"/>
    <s v="No"/>
    <s v="Yes"/>
    <n v="0.37001357142857139"/>
    <m/>
    <m/>
    <m/>
    <m/>
    <m/>
    <m/>
    <m/>
    <m/>
    <m/>
    <m/>
    <m/>
    <m/>
    <m/>
    <m/>
    <m/>
  </r>
  <r>
    <s v="ORD10048"/>
    <s v="16-10-2024"/>
    <s v="CUST1338"/>
    <s v="Kavya Chopra"/>
    <x v="2"/>
    <s v="Pune"/>
    <s v="Maharashtra"/>
    <x v="2"/>
    <x v="1"/>
    <x v="6"/>
    <n v="9"/>
    <n v="1800"/>
    <n v="0"/>
    <n v="16200"/>
    <n v="11446.58"/>
    <n v="4753.42"/>
    <n v="29.34"/>
    <x v="3"/>
    <x v="1"/>
    <x v="3"/>
    <x v="4"/>
    <n v="2024"/>
    <s v="Wednesday"/>
    <n v="5"/>
    <s v="21-10-2024"/>
    <x v="1"/>
    <s v="Returning"/>
    <s v="High"/>
    <s v="No"/>
    <n v="4"/>
    <s v="Kavya"/>
    <s v="Chopra"/>
    <m/>
    <m/>
    <m/>
    <m/>
    <m/>
    <m/>
    <s v="Needs Improvement"/>
    <s v="Medium"/>
    <s v="No"/>
    <s v="No"/>
    <n v="0.29342098765432101"/>
    <m/>
    <m/>
    <m/>
    <m/>
    <m/>
    <m/>
    <m/>
    <m/>
    <m/>
    <m/>
    <m/>
    <m/>
    <m/>
    <m/>
    <m/>
  </r>
  <r>
    <s v="ORD10596"/>
    <s v="16-10-2024"/>
    <s v="CUST1185"/>
    <s v="Neha Mehta"/>
    <x v="1"/>
    <s v="Chennai"/>
    <s v="Tamil Nadu"/>
    <x v="0"/>
    <x v="4"/>
    <x v="16"/>
    <n v="7"/>
    <n v="500"/>
    <n v="0.15"/>
    <n v="2975"/>
    <n v="1898.54"/>
    <n v="1076.46"/>
    <n v="36.18"/>
    <x v="4"/>
    <x v="1"/>
    <x v="5"/>
    <x v="4"/>
    <n v="2024"/>
    <s v="Wednesday"/>
    <n v="3"/>
    <s v="19-10-2024"/>
    <x v="0"/>
    <s v="New"/>
    <s v="Low"/>
    <s v="No"/>
    <n v="1"/>
    <s v="Neha"/>
    <s v="Mehta"/>
    <m/>
    <m/>
    <m/>
    <m/>
    <m/>
    <m/>
    <s v="Good"/>
    <s v="Low"/>
    <s v="No"/>
    <s v="No"/>
    <n v="0.36183529411764709"/>
    <m/>
    <m/>
    <m/>
    <m/>
    <m/>
    <m/>
    <m/>
    <m/>
    <m/>
    <m/>
    <m/>
    <m/>
    <m/>
    <m/>
    <m/>
  </r>
  <r>
    <s v="ORD10083"/>
    <s v="16-10-2025"/>
    <s v="CUST1256"/>
    <s v="Simran Kapoor"/>
    <x v="2"/>
    <s v="Hyderabad"/>
    <s v="Telangana"/>
    <x v="3"/>
    <x v="3"/>
    <x v="5"/>
    <n v="1"/>
    <n v="200"/>
    <n v="0.15"/>
    <n v="170"/>
    <n v="96.38"/>
    <n v="73.62"/>
    <n v="43.31"/>
    <x v="2"/>
    <x v="1"/>
    <x v="1"/>
    <x v="4"/>
    <n v="2025"/>
    <s v="Thursday"/>
    <n v="10"/>
    <s v="26-10-2025"/>
    <x v="2"/>
    <s v="New"/>
    <s v="High"/>
    <s v="No"/>
    <n v="2"/>
    <s v="Simran"/>
    <s v="Kapoor"/>
    <m/>
    <m/>
    <m/>
    <m/>
    <m/>
    <m/>
    <s v="Good"/>
    <s v="Low"/>
    <s v="No"/>
    <s v="No"/>
    <n v="0.43305882352941177"/>
    <m/>
    <m/>
    <m/>
    <m/>
    <m/>
    <m/>
    <m/>
    <m/>
    <m/>
    <m/>
    <m/>
    <m/>
    <m/>
    <m/>
    <m/>
  </r>
  <r>
    <s v="ORD10534"/>
    <s v="16-10-2025"/>
    <s v="CUST1097"/>
    <s v="Ishita Yadav"/>
    <x v="1"/>
    <s v="Ahmedabad"/>
    <s v="Gujarat"/>
    <x v="3"/>
    <x v="2"/>
    <x v="21"/>
    <n v="3"/>
    <n v="50000"/>
    <n v="0.15"/>
    <n v="127500"/>
    <n v="71381.03"/>
    <n v="56118.97"/>
    <n v="44.01"/>
    <x v="3"/>
    <x v="1"/>
    <x v="6"/>
    <x v="4"/>
    <n v="2025"/>
    <s v="Thursday"/>
    <n v="10"/>
    <s v="26-10-2025"/>
    <x v="0"/>
    <s v="Returning"/>
    <s v="Low"/>
    <s v="Yes"/>
    <n v="5"/>
    <s v="Ishita"/>
    <s v="Yadav"/>
    <m/>
    <m/>
    <m/>
    <m/>
    <m/>
    <m/>
    <s v="Good"/>
    <s v="High"/>
    <s v="Yes"/>
    <s v="No"/>
    <n v="0.44014878431372551"/>
    <m/>
    <m/>
    <m/>
    <m/>
    <m/>
    <m/>
    <m/>
    <m/>
    <m/>
    <m/>
    <m/>
    <m/>
    <m/>
    <m/>
    <m/>
  </r>
  <r>
    <s v="ORD10098"/>
    <s v="16-11-2024"/>
    <s v="CUST1264"/>
    <s v="Riya Malhotra"/>
    <x v="0"/>
    <s v="Lucknow"/>
    <s v="Uttar Pradesh"/>
    <x v="2"/>
    <x v="1"/>
    <x v="2"/>
    <n v="3"/>
    <n v="1800"/>
    <n v="0.2"/>
    <n v="4320"/>
    <n v="2957.18"/>
    <n v="1362.82"/>
    <n v="31.55"/>
    <x v="1"/>
    <x v="2"/>
    <x v="1"/>
    <x v="11"/>
    <n v="2024"/>
    <s v="Saturday"/>
    <n v="4"/>
    <s v="20-11-2024"/>
    <x v="0"/>
    <s v="VIP"/>
    <s v="Medium"/>
    <s v="Yes"/>
    <n v="2"/>
    <s v="Riya"/>
    <s v="Malhotra"/>
    <m/>
    <m/>
    <m/>
    <m/>
    <m/>
    <m/>
    <s v="Good"/>
    <s v="Low"/>
    <s v="No"/>
    <s v="Yes"/>
    <n v="0.3154675925925926"/>
    <m/>
    <m/>
    <m/>
    <m/>
    <m/>
    <m/>
    <m/>
    <m/>
    <m/>
    <m/>
    <m/>
    <m/>
    <m/>
    <m/>
    <m/>
  </r>
  <r>
    <s v="ORD10201"/>
    <s v="16-12-2024"/>
    <s v="CUST1234"/>
    <s v="Ananya Chopra"/>
    <x v="0"/>
    <s v="Chennai"/>
    <s v="Tamil Nadu"/>
    <x v="2"/>
    <x v="1"/>
    <x v="20"/>
    <n v="5"/>
    <n v="700"/>
    <n v="0.1"/>
    <n v="3150"/>
    <n v="2073.36"/>
    <n v="1076.6400000000001"/>
    <n v="34.18"/>
    <x v="4"/>
    <x v="0"/>
    <x v="4"/>
    <x v="5"/>
    <n v="2024"/>
    <s v="Monday"/>
    <n v="3"/>
    <s v="19-12-2024"/>
    <x v="0"/>
    <s v="New"/>
    <s v="Low"/>
    <s v="Yes"/>
    <n v="2"/>
    <s v="Ananya"/>
    <s v="Chopra"/>
    <m/>
    <m/>
    <m/>
    <m/>
    <m/>
    <m/>
    <s v="Good"/>
    <s v="Low"/>
    <s v="No"/>
    <s v="Yes"/>
    <n v="0.3417904761904762"/>
    <m/>
    <m/>
    <m/>
    <m/>
    <m/>
    <m/>
    <m/>
    <m/>
    <m/>
    <m/>
    <m/>
    <m/>
    <m/>
    <m/>
    <m/>
  </r>
  <r>
    <s v="ORD10530"/>
    <s v="16-12-2024"/>
    <s v="CUST1244"/>
    <s v="Arjun Kumar"/>
    <x v="0"/>
    <s v="Kolkata"/>
    <s v="West Bengal"/>
    <x v="1"/>
    <x v="0"/>
    <x v="23"/>
    <n v="6"/>
    <n v="2500"/>
    <n v="0.1"/>
    <n v="13500"/>
    <n v="8200.06"/>
    <n v="5299.94"/>
    <n v="39.26"/>
    <x v="3"/>
    <x v="2"/>
    <x v="9"/>
    <x v="5"/>
    <n v="2024"/>
    <s v="Monday"/>
    <n v="10"/>
    <s v="26-12-2024"/>
    <x v="2"/>
    <s v="New"/>
    <s v="High"/>
    <s v="Yes"/>
    <n v="3"/>
    <s v="Arjun"/>
    <s v="Kumar"/>
    <m/>
    <m/>
    <m/>
    <m/>
    <m/>
    <m/>
    <s v="Good"/>
    <s v="Medium"/>
    <s v="No"/>
    <s v="Yes"/>
    <n v="0.39258814814814813"/>
    <m/>
    <m/>
    <m/>
    <m/>
    <m/>
    <m/>
    <m/>
    <m/>
    <m/>
    <m/>
    <m/>
    <m/>
    <m/>
    <m/>
    <m/>
  </r>
  <r>
    <s v="ORD10377"/>
    <s v="16-12-2025"/>
    <s v="CUST1216"/>
    <s v="Simran Yadav"/>
    <x v="1"/>
    <s v="Jaipur"/>
    <s v="Rajasthan"/>
    <x v="0"/>
    <x v="1"/>
    <x v="6"/>
    <n v="7"/>
    <n v="700"/>
    <n v="0.05"/>
    <n v="4655"/>
    <n v="2643.66"/>
    <n v="2011.34"/>
    <n v="43.21"/>
    <x v="4"/>
    <x v="0"/>
    <x v="7"/>
    <x v="5"/>
    <n v="2025"/>
    <s v="Tuesday"/>
    <n v="5"/>
    <s v="21-12-2025"/>
    <x v="1"/>
    <s v="New"/>
    <s v="High"/>
    <s v="Yes"/>
    <n v="4"/>
    <s v="Simran"/>
    <s v="Yadav"/>
    <m/>
    <m/>
    <m/>
    <m/>
    <m/>
    <m/>
    <s v="Good"/>
    <s v="Low"/>
    <s v="No"/>
    <s v="Yes"/>
    <n v="0.43208163265306121"/>
    <m/>
    <m/>
    <m/>
    <m/>
    <m/>
    <m/>
    <m/>
    <m/>
    <m/>
    <m/>
    <m/>
    <m/>
    <m/>
    <m/>
    <m/>
  </r>
  <r>
    <s v="ORD10470"/>
    <s v="16-12-2025"/>
    <s v="CUST1063"/>
    <s v="Meera Kumar"/>
    <x v="1"/>
    <s v="Delhi"/>
    <s v="Delhi"/>
    <x v="3"/>
    <x v="3"/>
    <x v="17"/>
    <n v="2"/>
    <n v="100"/>
    <n v="0.15"/>
    <n v="170"/>
    <n v="94.68"/>
    <n v="75.319999999999993"/>
    <n v="44.31"/>
    <x v="0"/>
    <x v="1"/>
    <x v="5"/>
    <x v="5"/>
    <n v="2025"/>
    <s v="Tuesday"/>
    <n v="7"/>
    <s v="23-12-2025"/>
    <x v="0"/>
    <s v="VIP"/>
    <s v="High"/>
    <s v="No"/>
    <n v="5"/>
    <s v="Meera"/>
    <s v="Kumar"/>
    <m/>
    <m/>
    <m/>
    <m/>
    <m/>
    <m/>
    <s v="Good"/>
    <s v="Low"/>
    <s v="No"/>
    <s v="No"/>
    <n v="0.44305882352941173"/>
    <m/>
    <m/>
    <m/>
    <m/>
    <m/>
    <m/>
    <m/>
    <m/>
    <m/>
    <m/>
    <m/>
    <m/>
    <m/>
    <m/>
    <m/>
  </r>
  <r>
    <s v="ORD10751"/>
    <s v="16-12-2025"/>
    <s v="CUST1324"/>
    <s v="Nisha Saxena"/>
    <x v="2"/>
    <s v="Jaipur"/>
    <s v="Rajasthan"/>
    <x v="3"/>
    <x v="3"/>
    <x v="22"/>
    <n v="6"/>
    <n v="800"/>
    <n v="0.1"/>
    <n v="4320"/>
    <n v="3502.13"/>
    <n v="817.87"/>
    <n v="18.93"/>
    <x v="2"/>
    <x v="1"/>
    <x v="5"/>
    <x v="5"/>
    <n v="2025"/>
    <s v="Tuesday"/>
    <n v="4"/>
    <s v="20-12-2025"/>
    <x v="0"/>
    <s v="Returning"/>
    <s v="Low"/>
    <s v="No"/>
    <n v="5"/>
    <s v="Nisha"/>
    <s v="Saxena"/>
    <m/>
    <m/>
    <m/>
    <m/>
    <m/>
    <m/>
    <s v="Needs Improvement"/>
    <s v="Low"/>
    <s v="No"/>
    <s v="No"/>
    <n v="0.18932175925925926"/>
    <m/>
    <m/>
    <m/>
    <m/>
    <m/>
    <m/>
    <m/>
    <m/>
    <m/>
    <m/>
    <m/>
    <m/>
    <m/>
    <m/>
    <m/>
  </r>
  <r>
    <s v="ORD10123"/>
    <s v="17-01-2024"/>
    <s v="CUST1297"/>
    <s v="Ishita Kumar"/>
    <x v="2"/>
    <s v="Kolkata"/>
    <s v="West Bengal"/>
    <x v="3"/>
    <x v="2"/>
    <x v="12"/>
    <n v="4"/>
    <n v="50000"/>
    <n v="0.05"/>
    <n v="190000"/>
    <n v="152453.1"/>
    <n v="37546.9"/>
    <n v="19.760000000000002"/>
    <x v="0"/>
    <x v="2"/>
    <x v="1"/>
    <x v="6"/>
    <n v="2024"/>
    <s v="Wednesday"/>
    <n v="5"/>
    <s v="22-01-2024"/>
    <x v="1"/>
    <s v="VIP"/>
    <s v="Low"/>
    <s v="No"/>
    <n v="5"/>
    <s v="Ishita"/>
    <s v="Kumar"/>
    <m/>
    <m/>
    <m/>
    <m/>
    <m/>
    <m/>
    <s v="Needs Improvement"/>
    <s v="High"/>
    <s v="Yes"/>
    <s v="Yes"/>
    <n v="0.19761526315789474"/>
    <m/>
    <m/>
    <m/>
    <m/>
    <m/>
    <m/>
    <m/>
    <m/>
    <m/>
    <m/>
    <m/>
    <m/>
    <m/>
    <m/>
    <m/>
  </r>
  <r>
    <s v="ORD10395"/>
    <s v="17-01-2024"/>
    <s v="CUST1333"/>
    <s v="Rohan Mishra"/>
    <x v="2"/>
    <s v="Mumbai"/>
    <s v="Maharashtra"/>
    <x v="2"/>
    <x v="0"/>
    <x v="1"/>
    <n v="1"/>
    <n v="4000"/>
    <n v="0"/>
    <n v="4000"/>
    <n v="2425.9699999999998"/>
    <n v="1574.03"/>
    <n v="39.35"/>
    <x v="3"/>
    <x v="2"/>
    <x v="2"/>
    <x v="6"/>
    <n v="2024"/>
    <s v="Wednesday"/>
    <n v="4"/>
    <s v="21-01-2024"/>
    <x v="0"/>
    <s v="Returning"/>
    <s v="Medium"/>
    <s v="Yes"/>
    <n v="4"/>
    <s v="Rohan"/>
    <s v="Mishra"/>
    <m/>
    <m/>
    <m/>
    <m/>
    <m/>
    <m/>
    <s v="Good"/>
    <s v="Low"/>
    <s v="No"/>
    <s v="Yes"/>
    <n v="0.39350750000000001"/>
    <m/>
    <m/>
    <m/>
    <m/>
    <m/>
    <m/>
    <m/>
    <m/>
    <m/>
    <m/>
    <m/>
    <m/>
    <m/>
    <m/>
    <m/>
  </r>
  <r>
    <s v="ORD10891"/>
    <s v="17-01-2024"/>
    <s v="CUST1020"/>
    <s v="Neha Agarwal"/>
    <x v="2"/>
    <s v="Kolkata"/>
    <s v="West Bengal"/>
    <x v="3"/>
    <x v="4"/>
    <x v="13"/>
    <n v="9"/>
    <n v="1200"/>
    <n v="0.2"/>
    <n v="8640"/>
    <n v="6833.27"/>
    <n v="1806.73"/>
    <n v="20.91"/>
    <x v="3"/>
    <x v="1"/>
    <x v="5"/>
    <x v="6"/>
    <n v="2024"/>
    <s v="Wednesday"/>
    <n v="3"/>
    <s v="20-01-2024"/>
    <x v="0"/>
    <s v="VIP"/>
    <s v="High"/>
    <s v="No"/>
    <n v="5"/>
    <s v="Neha"/>
    <s v="Agarwal"/>
    <m/>
    <m/>
    <m/>
    <m/>
    <m/>
    <m/>
    <s v="Needs Improvement"/>
    <s v="Low"/>
    <s v="No"/>
    <s v="No"/>
    <n v="0.20911226851851852"/>
    <m/>
    <m/>
    <m/>
    <m/>
    <m/>
    <m/>
    <m/>
    <m/>
    <m/>
    <m/>
    <m/>
    <m/>
    <m/>
    <m/>
    <m/>
  </r>
  <r>
    <s v="ORD10901"/>
    <s v="17-01-2024"/>
    <s v="CUST1077"/>
    <s v="Arjun Kumar"/>
    <x v="2"/>
    <s v="Mumbai"/>
    <s v="Maharashtra"/>
    <x v="1"/>
    <x v="0"/>
    <x v="23"/>
    <n v="8"/>
    <n v="6000"/>
    <n v="0"/>
    <n v="48000"/>
    <n v="38747.39"/>
    <n v="9252.61"/>
    <n v="19.28"/>
    <x v="0"/>
    <x v="2"/>
    <x v="9"/>
    <x v="6"/>
    <n v="2024"/>
    <s v="Wednesday"/>
    <n v="10"/>
    <s v="27-01-2024"/>
    <x v="0"/>
    <s v="Returning"/>
    <s v="High"/>
    <s v="Yes"/>
    <n v="5"/>
    <s v="Arjun"/>
    <s v="Kumar"/>
    <m/>
    <m/>
    <m/>
    <m/>
    <m/>
    <m/>
    <s v="Needs Improvement"/>
    <s v="High"/>
    <s v="No"/>
    <s v="Yes"/>
    <n v="0.19276270833333334"/>
    <m/>
    <m/>
    <m/>
    <m/>
    <m/>
    <m/>
    <m/>
    <m/>
    <m/>
    <m/>
    <m/>
    <m/>
    <m/>
    <m/>
    <m/>
  </r>
  <r>
    <s v="ORD10968"/>
    <s v="17-01-2024"/>
    <s v="CUST1223"/>
    <s v="Pooja Verma"/>
    <x v="2"/>
    <s v="Mumbai"/>
    <s v="Maharashtra"/>
    <x v="1"/>
    <x v="2"/>
    <x v="4"/>
    <n v="4"/>
    <n v="12000"/>
    <n v="0"/>
    <n v="48000"/>
    <n v="31401.78"/>
    <n v="16598.22"/>
    <n v="34.58"/>
    <x v="3"/>
    <x v="0"/>
    <x v="5"/>
    <x v="6"/>
    <n v="2024"/>
    <s v="Wednesday"/>
    <n v="2"/>
    <s v="19-01-2024"/>
    <x v="1"/>
    <s v="VIP"/>
    <s v="High"/>
    <s v="No"/>
    <n v="4"/>
    <s v="Pooja"/>
    <s v="Verma"/>
    <m/>
    <m/>
    <m/>
    <m/>
    <m/>
    <m/>
    <s v="Good"/>
    <s v="High"/>
    <s v="Yes"/>
    <s v="Yes"/>
    <n v="0.34579625000000003"/>
    <m/>
    <m/>
    <m/>
    <m/>
    <m/>
    <m/>
    <m/>
    <m/>
    <m/>
    <m/>
    <m/>
    <m/>
    <m/>
    <m/>
    <m/>
  </r>
  <r>
    <s v="ORD10750"/>
    <s v="17-01-2025"/>
    <s v="CUST1243"/>
    <s v="Aditya Sharma"/>
    <x v="0"/>
    <s v="Mumbai"/>
    <s v="Maharashtra"/>
    <x v="0"/>
    <x v="4"/>
    <x v="9"/>
    <n v="9"/>
    <n v="1200"/>
    <n v="0.1"/>
    <n v="9720"/>
    <n v="6829.65"/>
    <n v="2890.35"/>
    <n v="29.74"/>
    <x v="4"/>
    <x v="2"/>
    <x v="6"/>
    <x v="6"/>
    <n v="2025"/>
    <s v="Friday"/>
    <n v="3"/>
    <s v="20-01-2025"/>
    <x v="0"/>
    <s v="Returning"/>
    <s v="High"/>
    <s v="Yes"/>
    <n v="3"/>
    <s v="Aditya"/>
    <s v="Sharma"/>
    <m/>
    <m/>
    <m/>
    <m/>
    <m/>
    <m/>
    <s v="Needs Improvement"/>
    <s v="Low"/>
    <s v="No"/>
    <s v="Yes"/>
    <n v="0.29736111111111108"/>
    <m/>
    <m/>
    <m/>
    <m/>
    <m/>
    <m/>
    <m/>
    <m/>
    <m/>
    <m/>
    <m/>
    <m/>
    <m/>
    <m/>
    <m/>
  </r>
  <r>
    <s v="ORD10299"/>
    <s v="17-02-2024"/>
    <s v="CUST1160"/>
    <s v="Aarav Bansal"/>
    <x v="0"/>
    <s v="Pune"/>
    <s v="Maharashtra"/>
    <x v="3"/>
    <x v="2"/>
    <x v="12"/>
    <n v="2"/>
    <n v="15000"/>
    <n v="0.15"/>
    <n v="25500"/>
    <n v="19300.150000000001"/>
    <n v="6199.85"/>
    <n v="24.31"/>
    <x v="0"/>
    <x v="2"/>
    <x v="6"/>
    <x v="7"/>
    <n v="2024"/>
    <s v="Saturday"/>
    <n v="2"/>
    <s v="19-02-2024"/>
    <x v="1"/>
    <s v="Returning"/>
    <s v="Medium"/>
    <s v="No"/>
    <n v="4"/>
    <s v="Aarav"/>
    <s v="Bansal"/>
    <m/>
    <m/>
    <m/>
    <m/>
    <m/>
    <m/>
    <s v="Needs Improvement"/>
    <s v="Medium"/>
    <s v="No"/>
    <s v="Yes"/>
    <n v="0.24313137254901962"/>
    <m/>
    <m/>
    <m/>
    <m/>
    <m/>
    <m/>
    <m/>
    <m/>
    <m/>
    <m/>
    <m/>
    <m/>
    <m/>
    <m/>
    <m/>
  </r>
  <r>
    <s v="ORD10484"/>
    <s v="17-02-2024"/>
    <s v="CUST1228"/>
    <s v="Rohan Bansal"/>
    <x v="0"/>
    <s v="Ahmedabad"/>
    <s v="Gujarat"/>
    <x v="0"/>
    <x v="0"/>
    <x v="23"/>
    <n v="1"/>
    <n v="4000"/>
    <n v="0.1"/>
    <n v="3600"/>
    <n v="2620.6999999999998"/>
    <n v="979.3"/>
    <n v="27.2"/>
    <x v="3"/>
    <x v="1"/>
    <x v="5"/>
    <x v="7"/>
    <n v="2024"/>
    <s v="Saturday"/>
    <n v="9"/>
    <s v="26-02-2024"/>
    <x v="0"/>
    <s v="VIP"/>
    <s v="High"/>
    <s v="Yes"/>
    <n v="1"/>
    <s v="Rohan"/>
    <s v="Bansal"/>
    <m/>
    <m/>
    <m/>
    <m/>
    <m/>
    <m/>
    <s v="Needs Improvement"/>
    <s v="Low"/>
    <s v="No"/>
    <s v="No"/>
    <n v="0.27202777777777776"/>
    <m/>
    <m/>
    <m/>
    <m/>
    <m/>
    <m/>
    <m/>
    <m/>
    <m/>
    <m/>
    <m/>
    <m/>
    <m/>
    <m/>
    <m/>
  </r>
  <r>
    <s v="ORD10215"/>
    <s v="17-02-2025"/>
    <s v="CUST1110"/>
    <s v="Neha Jain"/>
    <x v="0"/>
    <s v="Mumbai"/>
    <s v="Maharashtra"/>
    <x v="0"/>
    <x v="4"/>
    <x v="9"/>
    <n v="7"/>
    <n v="3000"/>
    <n v="0.2"/>
    <n v="16800"/>
    <n v="10243.35"/>
    <n v="6556.65"/>
    <n v="39.03"/>
    <x v="2"/>
    <x v="0"/>
    <x v="8"/>
    <x v="7"/>
    <n v="2025"/>
    <s v="Monday"/>
    <n v="2"/>
    <s v="19-02-2025"/>
    <x v="0"/>
    <s v="Returning"/>
    <s v="High"/>
    <s v="Yes"/>
    <n v="1"/>
    <s v="Neha"/>
    <s v="Jain"/>
    <m/>
    <m/>
    <m/>
    <m/>
    <m/>
    <m/>
    <s v="Good"/>
    <s v="Medium"/>
    <s v="No"/>
    <s v="Yes"/>
    <n v="0.3902767857142857"/>
    <m/>
    <m/>
    <m/>
    <m/>
    <m/>
    <m/>
    <m/>
    <m/>
    <m/>
    <m/>
    <m/>
    <m/>
    <m/>
    <m/>
    <m/>
  </r>
  <r>
    <s v="ORD10163"/>
    <s v="17-03-2024"/>
    <s v="CUST1340"/>
    <s v="Rohan Singh"/>
    <x v="0"/>
    <s v="Mumbai"/>
    <s v="Maharashtra"/>
    <x v="0"/>
    <x v="4"/>
    <x v="11"/>
    <n v="9"/>
    <n v="800"/>
    <n v="0.15"/>
    <n v="6120"/>
    <n v="3468.92"/>
    <n v="2651.08"/>
    <n v="43.32"/>
    <x v="0"/>
    <x v="1"/>
    <x v="3"/>
    <x v="0"/>
    <n v="2024"/>
    <s v="Sunday"/>
    <n v="10"/>
    <s v="27-03-2024"/>
    <x v="1"/>
    <s v="Returning"/>
    <s v="Medium"/>
    <s v="No"/>
    <n v="2"/>
    <s v="Rohan"/>
    <s v="Singh"/>
    <m/>
    <m/>
    <m/>
    <m/>
    <m/>
    <m/>
    <s v="Good"/>
    <s v="Low"/>
    <s v="No"/>
    <s v="No"/>
    <n v="0.43318300653594771"/>
    <m/>
    <m/>
    <m/>
    <m/>
    <m/>
    <m/>
    <m/>
    <m/>
    <m/>
    <m/>
    <m/>
    <m/>
    <m/>
    <m/>
    <m/>
  </r>
  <r>
    <s v="ORD10074"/>
    <s v="17-04-2025"/>
    <s v="CUST1147"/>
    <s v="Aditya Mishra"/>
    <x v="2"/>
    <s v="Lucknow"/>
    <s v="Uttar Pradesh"/>
    <x v="2"/>
    <x v="2"/>
    <x v="8"/>
    <n v="9"/>
    <n v="8000"/>
    <n v="0.1"/>
    <n v="64800"/>
    <n v="36635.35"/>
    <n v="28164.65"/>
    <n v="43.46"/>
    <x v="4"/>
    <x v="0"/>
    <x v="8"/>
    <x v="8"/>
    <n v="2025"/>
    <s v="Thursday"/>
    <n v="8"/>
    <s v="25-04-2025"/>
    <x v="0"/>
    <s v="VIP"/>
    <s v="Low"/>
    <s v="No"/>
    <n v="5"/>
    <s v="Aditya"/>
    <s v="Mishra"/>
    <m/>
    <m/>
    <m/>
    <m/>
    <m/>
    <m/>
    <s v="Good"/>
    <s v="High"/>
    <s v="Yes"/>
    <s v="Yes"/>
    <n v="0.43463966049382718"/>
    <m/>
    <m/>
    <m/>
    <m/>
    <m/>
    <m/>
    <m/>
    <m/>
    <m/>
    <m/>
    <m/>
    <m/>
    <m/>
    <m/>
    <m/>
  </r>
  <r>
    <s v="ORD10304"/>
    <s v="17-04-2025"/>
    <s v="CUST1318"/>
    <s v="Vikram Kapoor"/>
    <x v="2"/>
    <s v="Mumbai"/>
    <s v="Maharashtra"/>
    <x v="2"/>
    <x v="3"/>
    <x v="22"/>
    <n v="2"/>
    <n v="350"/>
    <n v="0.2"/>
    <n v="560"/>
    <n v="370.51"/>
    <n v="189.49"/>
    <n v="33.840000000000003"/>
    <x v="4"/>
    <x v="2"/>
    <x v="3"/>
    <x v="8"/>
    <n v="2025"/>
    <s v="Thursday"/>
    <n v="7"/>
    <s v="24-04-2025"/>
    <x v="1"/>
    <s v="New"/>
    <s v="High"/>
    <s v="No"/>
    <n v="4"/>
    <s v="Vikram"/>
    <s v="Kapoor"/>
    <m/>
    <m/>
    <m/>
    <m/>
    <m/>
    <m/>
    <s v="Good"/>
    <s v="Low"/>
    <s v="No"/>
    <s v="Yes"/>
    <n v="0.33837500000000004"/>
    <m/>
    <m/>
    <m/>
    <m/>
    <m/>
    <m/>
    <m/>
    <m/>
    <m/>
    <m/>
    <m/>
    <m/>
    <m/>
    <m/>
    <m/>
  </r>
  <r>
    <s v="ORD10317"/>
    <s v="17-04-2025"/>
    <s v="CUST1267"/>
    <s v="Neha Mishra"/>
    <x v="1"/>
    <s v="Pune"/>
    <s v="Maharashtra"/>
    <x v="3"/>
    <x v="3"/>
    <x v="5"/>
    <n v="5"/>
    <n v="800"/>
    <n v="0.15"/>
    <n v="3400"/>
    <n v="2577.3200000000002"/>
    <n v="822.68"/>
    <n v="24.2"/>
    <x v="0"/>
    <x v="0"/>
    <x v="7"/>
    <x v="8"/>
    <n v="2025"/>
    <s v="Thursday"/>
    <n v="4"/>
    <s v="21-04-2025"/>
    <x v="1"/>
    <s v="VIP"/>
    <s v="Low"/>
    <s v="Yes"/>
    <n v="1"/>
    <s v="Neha"/>
    <s v="Mishra"/>
    <m/>
    <m/>
    <m/>
    <m/>
    <m/>
    <m/>
    <s v="Needs Improvement"/>
    <s v="Low"/>
    <s v="No"/>
    <s v="Yes"/>
    <n v="0.24196470588235292"/>
    <m/>
    <m/>
    <m/>
    <m/>
    <m/>
    <m/>
    <m/>
    <m/>
    <m/>
    <m/>
    <m/>
    <m/>
    <m/>
    <m/>
    <m/>
  </r>
  <r>
    <s v="ORD10364"/>
    <s v="17-05-2024"/>
    <s v="CUST1057"/>
    <s v="Nisha Mishra"/>
    <x v="0"/>
    <s v="Bengaluru"/>
    <s v="Karnataka"/>
    <x v="2"/>
    <x v="4"/>
    <x v="16"/>
    <n v="3"/>
    <n v="2000"/>
    <n v="0.15"/>
    <n v="5100"/>
    <n v="3476.23"/>
    <n v="1623.77"/>
    <n v="31.84"/>
    <x v="4"/>
    <x v="0"/>
    <x v="4"/>
    <x v="1"/>
    <n v="2024"/>
    <s v="Friday"/>
    <n v="5"/>
    <s v="22-05-2024"/>
    <x v="2"/>
    <s v="VIP"/>
    <s v="Low"/>
    <s v="No"/>
    <n v="3"/>
    <s v="Nisha"/>
    <s v="Mishra"/>
    <m/>
    <m/>
    <m/>
    <m/>
    <m/>
    <m/>
    <s v="Good"/>
    <s v="Low"/>
    <s v="No"/>
    <s v="Yes"/>
    <n v="0.31838627450980389"/>
    <m/>
    <m/>
    <m/>
    <m/>
    <m/>
    <m/>
    <m/>
    <m/>
    <m/>
    <m/>
    <m/>
    <m/>
    <m/>
    <m/>
    <m/>
  </r>
  <r>
    <s v="ORD10349"/>
    <s v="17-05-2025"/>
    <s v="CUST1156"/>
    <s v="Kavya Kapoor"/>
    <x v="1"/>
    <s v="Bengaluru"/>
    <s v="Karnataka"/>
    <x v="2"/>
    <x v="0"/>
    <x v="1"/>
    <n v="7"/>
    <n v="6000"/>
    <n v="0.2"/>
    <n v="33600"/>
    <n v="26051.360000000001"/>
    <n v="7548.64"/>
    <n v="22.47"/>
    <x v="2"/>
    <x v="2"/>
    <x v="7"/>
    <x v="1"/>
    <n v="2025"/>
    <s v="Saturday"/>
    <n v="1"/>
    <s v="18-05-2025"/>
    <x v="0"/>
    <s v="New"/>
    <s v="Medium"/>
    <s v="No"/>
    <n v="4"/>
    <s v="Kavya"/>
    <s v="Kapoor"/>
    <m/>
    <m/>
    <m/>
    <m/>
    <m/>
    <m/>
    <s v="Needs Improvement"/>
    <s v="High"/>
    <s v="No"/>
    <s v="Yes"/>
    <n v="0.22466190476190478"/>
    <m/>
    <m/>
    <m/>
    <m/>
    <m/>
    <m/>
    <m/>
    <m/>
    <m/>
    <m/>
    <m/>
    <m/>
    <m/>
    <m/>
    <m/>
  </r>
  <r>
    <s v="ORD10014"/>
    <s v="17-06-2024"/>
    <s v="CUST1136"/>
    <s v="Riya Kumar"/>
    <x v="0"/>
    <s v="Kolkata"/>
    <s v="West Bengal"/>
    <x v="2"/>
    <x v="1"/>
    <x v="14"/>
    <n v="4"/>
    <n v="2500"/>
    <n v="0"/>
    <n v="10000"/>
    <n v="8160.33"/>
    <n v="1839.67"/>
    <n v="18.399999999999999"/>
    <x v="2"/>
    <x v="2"/>
    <x v="0"/>
    <x v="2"/>
    <n v="2024"/>
    <s v="Monday"/>
    <n v="7"/>
    <s v="24-06-2024"/>
    <x v="0"/>
    <s v="New"/>
    <s v="Low"/>
    <s v="Yes"/>
    <n v="3"/>
    <s v="Riya"/>
    <s v="Kumar"/>
    <m/>
    <m/>
    <m/>
    <m/>
    <m/>
    <m/>
    <s v="Needs Improvement"/>
    <s v="Medium"/>
    <s v="No"/>
    <s v="Yes"/>
    <n v="0.18396700000000002"/>
    <m/>
    <m/>
    <m/>
    <m/>
    <m/>
    <m/>
    <m/>
    <m/>
    <m/>
    <m/>
    <m/>
    <m/>
    <m/>
    <m/>
    <m/>
  </r>
  <r>
    <s v="ORD10879"/>
    <s v="17-06-2024"/>
    <s v="CUST1342"/>
    <s v="Meera Mehta"/>
    <x v="1"/>
    <s v="Lucknow"/>
    <s v="Uttar Pradesh"/>
    <x v="2"/>
    <x v="3"/>
    <x v="22"/>
    <n v="5"/>
    <n v="100"/>
    <n v="0"/>
    <n v="500"/>
    <n v="275.13"/>
    <n v="224.87"/>
    <n v="44.97"/>
    <x v="4"/>
    <x v="2"/>
    <x v="7"/>
    <x v="2"/>
    <n v="2024"/>
    <s v="Monday"/>
    <n v="8"/>
    <s v="25-06-2024"/>
    <x v="0"/>
    <s v="New"/>
    <s v="Medium"/>
    <s v="Yes"/>
    <n v="1"/>
    <s v="Meera"/>
    <s v="Mehta"/>
    <m/>
    <m/>
    <m/>
    <m/>
    <m/>
    <m/>
    <s v="Good"/>
    <s v="Low"/>
    <s v="No"/>
    <s v="Yes"/>
    <n v="0.44974000000000003"/>
    <m/>
    <m/>
    <m/>
    <m/>
    <m/>
    <m/>
    <m/>
    <m/>
    <m/>
    <m/>
    <m/>
    <m/>
    <m/>
    <m/>
    <m/>
  </r>
  <r>
    <s v="ORD10999"/>
    <s v="17-06-2025"/>
    <s v="CUST1238"/>
    <s v="Aarav Yadav"/>
    <x v="1"/>
    <s v="Bengaluru"/>
    <s v="Karnataka"/>
    <x v="3"/>
    <x v="2"/>
    <x v="4"/>
    <n v="8"/>
    <n v="15000"/>
    <n v="0.1"/>
    <n v="108000"/>
    <n v="66860.13"/>
    <n v="41139.870000000003"/>
    <n v="38.090000000000003"/>
    <x v="1"/>
    <x v="1"/>
    <x v="2"/>
    <x v="2"/>
    <n v="2025"/>
    <s v="Tuesday"/>
    <n v="3"/>
    <s v="20-06-2025"/>
    <x v="0"/>
    <s v="New"/>
    <s v="Medium"/>
    <s v="Yes"/>
    <n v="2"/>
    <s v="Aarav"/>
    <s v="Yadav"/>
    <m/>
    <m/>
    <m/>
    <m/>
    <m/>
    <m/>
    <s v="Good"/>
    <s v="High"/>
    <s v="Yes"/>
    <s v="No"/>
    <n v="0.38092472222222223"/>
    <m/>
    <m/>
    <m/>
    <m/>
    <m/>
    <m/>
    <m/>
    <m/>
    <m/>
    <m/>
    <m/>
    <m/>
    <m/>
    <m/>
    <m/>
  </r>
  <r>
    <s v="ORD10424"/>
    <s v="17-07-2024"/>
    <s v="CUST1034"/>
    <s v="Nisha Gupta"/>
    <x v="1"/>
    <s v="Pune"/>
    <s v="Maharashtra"/>
    <x v="1"/>
    <x v="4"/>
    <x v="13"/>
    <n v="8"/>
    <n v="800"/>
    <n v="0.2"/>
    <n v="5120"/>
    <n v="3597.25"/>
    <n v="1522.75"/>
    <n v="29.74"/>
    <x v="2"/>
    <x v="1"/>
    <x v="5"/>
    <x v="9"/>
    <n v="2024"/>
    <s v="Wednesday"/>
    <n v="10"/>
    <s v="27-07-2024"/>
    <x v="1"/>
    <s v="New"/>
    <s v="High"/>
    <s v="No"/>
    <n v="2"/>
    <s v="Nisha"/>
    <s v="Gupta"/>
    <m/>
    <m/>
    <m/>
    <m/>
    <m/>
    <m/>
    <s v="Needs Improvement"/>
    <s v="Low"/>
    <s v="No"/>
    <s v="No"/>
    <n v="0.29741210937500001"/>
    <m/>
    <m/>
    <m/>
    <m/>
    <m/>
    <m/>
    <m/>
    <m/>
    <m/>
    <m/>
    <m/>
    <m/>
    <m/>
    <m/>
    <m/>
  </r>
  <r>
    <s v="ORD10037"/>
    <s v="17-07-2025"/>
    <s v="CUST1139"/>
    <s v="Priya Kumar"/>
    <x v="2"/>
    <s v="Chennai"/>
    <s v="Tamil Nadu"/>
    <x v="1"/>
    <x v="1"/>
    <x v="20"/>
    <n v="9"/>
    <n v="1800"/>
    <n v="0.15"/>
    <n v="13770"/>
    <n v="10186.64"/>
    <n v="3583.36"/>
    <n v="26.02"/>
    <x v="2"/>
    <x v="1"/>
    <x v="2"/>
    <x v="9"/>
    <n v="2025"/>
    <s v="Thursday"/>
    <n v="6"/>
    <s v="23-07-2025"/>
    <x v="0"/>
    <s v="VIP"/>
    <s v="High"/>
    <s v="Yes"/>
    <n v="2"/>
    <s v="Priya"/>
    <s v="Kumar"/>
    <m/>
    <m/>
    <m/>
    <m/>
    <m/>
    <m/>
    <s v="Needs Improvement"/>
    <s v="Medium"/>
    <s v="No"/>
    <s v="No"/>
    <n v="0.26022948438634713"/>
    <m/>
    <m/>
    <m/>
    <m/>
    <m/>
    <m/>
    <m/>
    <m/>
    <m/>
    <m/>
    <m/>
    <m/>
    <m/>
    <m/>
    <m/>
  </r>
  <r>
    <s v="ORD10100"/>
    <s v="17-07-2025"/>
    <s v="CUST1061"/>
    <s v="Rohan Verma"/>
    <x v="0"/>
    <s v="Ahmedabad"/>
    <s v="Gujarat"/>
    <x v="0"/>
    <x v="3"/>
    <x v="5"/>
    <n v="7"/>
    <n v="800"/>
    <n v="0.15"/>
    <n v="4760"/>
    <n v="3492.45"/>
    <n v="1267.55"/>
    <n v="26.63"/>
    <x v="0"/>
    <x v="0"/>
    <x v="3"/>
    <x v="9"/>
    <n v="2025"/>
    <s v="Thursday"/>
    <n v="5"/>
    <s v="22-07-2025"/>
    <x v="1"/>
    <s v="New"/>
    <s v="Low"/>
    <s v="No"/>
    <n v="5"/>
    <s v="Rohan"/>
    <s v="Verma"/>
    <m/>
    <m/>
    <m/>
    <m/>
    <m/>
    <m/>
    <s v="Needs Improvement"/>
    <s v="Low"/>
    <s v="No"/>
    <s v="Yes"/>
    <n v="0.26629201680672265"/>
    <m/>
    <m/>
    <m/>
    <m/>
    <m/>
    <m/>
    <m/>
    <m/>
    <m/>
    <m/>
    <m/>
    <m/>
    <m/>
    <m/>
    <m/>
  </r>
  <r>
    <s v="ORD10268"/>
    <s v="17-07-2025"/>
    <s v="CUST1081"/>
    <s v="Aditi Bansal"/>
    <x v="0"/>
    <s v="Chennai"/>
    <s v="Tamil Nadu"/>
    <x v="0"/>
    <x v="1"/>
    <x v="14"/>
    <n v="2"/>
    <n v="1200"/>
    <n v="0.05"/>
    <n v="2280"/>
    <n v="1461.77"/>
    <n v="818.23"/>
    <n v="35.89"/>
    <x v="0"/>
    <x v="0"/>
    <x v="3"/>
    <x v="9"/>
    <n v="2025"/>
    <s v="Thursday"/>
    <n v="7"/>
    <s v="24-07-2025"/>
    <x v="1"/>
    <s v="Returning"/>
    <s v="Medium"/>
    <s v="No"/>
    <n v="3"/>
    <s v="Aditi"/>
    <s v="Bansal"/>
    <m/>
    <m/>
    <m/>
    <m/>
    <m/>
    <m/>
    <s v="Good"/>
    <s v="Low"/>
    <s v="No"/>
    <s v="Yes"/>
    <n v="0.35887280701754387"/>
    <m/>
    <m/>
    <m/>
    <m/>
    <m/>
    <m/>
    <m/>
    <m/>
    <m/>
    <m/>
    <m/>
    <m/>
    <m/>
    <m/>
    <m/>
  </r>
  <r>
    <s v="ORD10269"/>
    <s v="17-07-2025"/>
    <s v="CUST1230"/>
    <s v="Pooja Sharma"/>
    <x v="1"/>
    <s v="Lucknow"/>
    <s v="Uttar Pradesh"/>
    <x v="1"/>
    <x v="0"/>
    <x v="0"/>
    <n v="9"/>
    <n v="4000"/>
    <n v="0.15"/>
    <n v="30600"/>
    <n v="24775.17"/>
    <n v="5824.83"/>
    <n v="19.04"/>
    <x v="0"/>
    <x v="0"/>
    <x v="7"/>
    <x v="9"/>
    <n v="2025"/>
    <s v="Thursday"/>
    <n v="5"/>
    <s v="22-07-2025"/>
    <x v="0"/>
    <s v="VIP"/>
    <s v="Low"/>
    <s v="No"/>
    <n v="1"/>
    <s v="Pooja"/>
    <s v="Sharma"/>
    <m/>
    <m/>
    <m/>
    <m/>
    <m/>
    <m/>
    <s v="Needs Improvement"/>
    <s v="High"/>
    <s v="No"/>
    <s v="Yes"/>
    <n v="0.19035392156862746"/>
    <m/>
    <m/>
    <m/>
    <m/>
    <m/>
    <m/>
    <m/>
    <m/>
    <m/>
    <m/>
    <m/>
    <m/>
    <m/>
    <m/>
    <m/>
  </r>
  <r>
    <s v="ORD10203"/>
    <s v="17-08-2024"/>
    <s v="CUST1317"/>
    <s v="Arjun Mehta"/>
    <x v="1"/>
    <s v="Pune"/>
    <s v="Maharashtra"/>
    <x v="3"/>
    <x v="3"/>
    <x v="5"/>
    <n v="9"/>
    <n v="800"/>
    <n v="0.2"/>
    <n v="5760"/>
    <n v="3981.53"/>
    <n v="1778.47"/>
    <n v="30.88"/>
    <x v="4"/>
    <x v="1"/>
    <x v="1"/>
    <x v="10"/>
    <n v="2024"/>
    <s v="Saturday"/>
    <n v="6"/>
    <s v="23-08-2024"/>
    <x v="1"/>
    <s v="New"/>
    <s v="High"/>
    <s v="Yes"/>
    <n v="1"/>
    <s v="Arjun"/>
    <s v="Mehta"/>
    <m/>
    <m/>
    <m/>
    <m/>
    <m/>
    <m/>
    <s v="Good"/>
    <s v="Low"/>
    <s v="No"/>
    <s v="No"/>
    <n v="0.3087621527777778"/>
    <m/>
    <m/>
    <m/>
    <m/>
    <m/>
    <m/>
    <m/>
    <m/>
    <m/>
    <m/>
    <m/>
    <m/>
    <m/>
    <m/>
    <m/>
  </r>
  <r>
    <s v="ORD10577"/>
    <s v="17-08-2025"/>
    <s v="CUST1207"/>
    <s v="Aditya Sharma"/>
    <x v="2"/>
    <s v="Ahmedabad"/>
    <s v="Gujarat"/>
    <x v="3"/>
    <x v="4"/>
    <x v="16"/>
    <n v="3"/>
    <n v="1200"/>
    <n v="0.2"/>
    <n v="2880"/>
    <n v="2064.15"/>
    <n v="815.85"/>
    <n v="28.33"/>
    <x v="2"/>
    <x v="2"/>
    <x v="2"/>
    <x v="10"/>
    <n v="2025"/>
    <s v="Sunday"/>
    <n v="6"/>
    <s v="23-08-2025"/>
    <x v="1"/>
    <s v="Returning"/>
    <s v="High"/>
    <s v="No"/>
    <n v="3"/>
    <s v="Aditya"/>
    <s v="Sharma"/>
    <m/>
    <m/>
    <m/>
    <m/>
    <m/>
    <m/>
    <s v="Needs Improvement"/>
    <s v="Low"/>
    <s v="No"/>
    <s v="Yes"/>
    <n v="0.28328124999999998"/>
    <m/>
    <m/>
    <m/>
    <m/>
    <m/>
    <m/>
    <m/>
    <m/>
    <m/>
    <m/>
    <m/>
    <m/>
    <m/>
    <m/>
    <m/>
  </r>
  <r>
    <s v="ORD10701"/>
    <s v="17-08-2025"/>
    <s v="CUST1021"/>
    <s v="Sneha Mishra"/>
    <x v="0"/>
    <s v="Mumbai"/>
    <s v="Maharashtra"/>
    <x v="2"/>
    <x v="4"/>
    <x v="11"/>
    <n v="2"/>
    <n v="800"/>
    <n v="0.1"/>
    <n v="1440"/>
    <n v="1108.98"/>
    <n v="331.02"/>
    <n v="22.99"/>
    <x v="3"/>
    <x v="0"/>
    <x v="7"/>
    <x v="10"/>
    <n v="2025"/>
    <s v="Sunday"/>
    <n v="10"/>
    <s v="27-08-2025"/>
    <x v="2"/>
    <s v="Returning"/>
    <s v="High"/>
    <s v="No"/>
    <n v="1"/>
    <s v="Sneha"/>
    <s v="Mishra"/>
    <m/>
    <m/>
    <m/>
    <m/>
    <m/>
    <m/>
    <s v="Needs Improvement"/>
    <s v="Low"/>
    <s v="No"/>
    <s v="Yes"/>
    <n v="0.229875"/>
    <m/>
    <m/>
    <m/>
    <m/>
    <m/>
    <m/>
    <m/>
    <m/>
    <m/>
    <m/>
    <m/>
    <m/>
    <m/>
    <m/>
    <m/>
  </r>
  <r>
    <s v="ORD10207"/>
    <s v="17-09-2024"/>
    <s v="CUST1202"/>
    <s v="Rahul Malhotra"/>
    <x v="2"/>
    <s v="Delhi"/>
    <s v="Delhi"/>
    <x v="0"/>
    <x v="0"/>
    <x v="23"/>
    <n v="3"/>
    <n v="9000"/>
    <n v="0"/>
    <n v="27000"/>
    <n v="16217.19"/>
    <n v="10782.81"/>
    <n v="39.94"/>
    <x v="1"/>
    <x v="1"/>
    <x v="7"/>
    <x v="3"/>
    <n v="2024"/>
    <s v="Tuesday"/>
    <n v="10"/>
    <s v="27-09-2024"/>
    <x v="0"/>
    <s v="VIP"/>
    <s v="High"/>
    <s v="Yes"/>
    <n v="4"/>
    <s v="Rahul"/>
    <s v="Malhotra"/>
    <m/>
    <m/>
    <m/>
    <m/>
    <m/>
    <m/>
    <s v="Good"/>
    <s v="Medium"/>
    <s v="No"/>
    <s v="No"/>
    <n v="0.39936333333333329"/>
    <m/>
    <m/>
    <m/>
    <m/>
    <m/>
    <m/>
    <m/>
    <m/>
    <m/>
    <m/>
    <m/>
    <m/>
    <m/>
    <m/>
    <m/>
  </r>
  <r>
    <s v="ORD10234"/>
    <s v="17-09-2024"/>
    <s v="CUST1043"/>
    <s v="Priya Bansal"/>
    <x v="1"/>
    <s v="Chennai"/>
    <s v="Tamil Nadu"/>
    <x v="2"/>
    <x v="4"/>
    <x v="13"/>
    <n v="2"/>
    <n v="2000"/>
    <n v="0.05"/>
    <n v="3800"/>
    <n v="3023.75"/>
    <n v="776.25"/>
    <n v="20.43"/>
    <x v="0"/>
    <x v="2"/>
    <x v="7"/>
    <x v="3"/>
    <n v="2024"/>
    <s v="Tuesday"/>
    <n v="8"/>
    <s v="25-09-2024"/>
    <x v="0"/>
    <s v="VIP"/>
    <s v="High"/>
    <s v="Yes"/>
    <n v="5"/>
    <s v="Priya"/>
    <s v="Bansal"/>
    <m/>
    <m/>
    <m/>
    <m/>
    <m/>
    <m/>
    <s v="Needs Improvement"/>
    <s v="Low"/>
    <s v="No"/>
    <s v="Yes"/>
    <n v="0.20427631578947369"/>
    <m/>
    <m/>
    <m/>
    <m/>
    <m/>
    <m/>
    <m/>
    <m/>
    <m/>
    <m/>
    <m/>
    <m/>
    <m/>
    <m/>
    <m/>
  </r>
  <r>
    <s v="ORD10788"/>
    <s v="17-09-2024"/>
    <s v="CUST1193"/>
    <s v="Aditi Mehta"/>
    <x v="2"/>
    <s v="Pune"/>
    <s v="Maharashtra"/>
    <x v="1"/>
    <x v="4"/>
    <x v="19"/>
    <n v="9"/>
    <n v="1200"/>
    <n v="0.05"/>
    <n v="10260"/>
    <n v="6342.57"/>
    <n v="3917.43"/>
    <n v="38.18"/>
    <x v="2"/>
    <x v="1"/>
    <x v="9"/>
    <x v="3"/>
    <n v="2024"/>
    <s v="Tuesday"/>
    <n v="10"/>
    <s v="27-09-2024"/>
    <x v="0"/>
    <s v="Returning"/>
    <s v="High"/>
    <s v="No"/>
    <n v="5"/>
    <s v="Aditi"/>
    <s v="Mehta"/>
    <m/>
    <m/>
    <m/>
    <m/>
    <m/>
    <m/>
    <s v="Good"/>
    <s v="Medium"/>
    <s v="No"/>
    <s v="No"/>
    <n v="0.38181578947368422"/>
    <m/>
    <m/>
    <m/>
    <m/>
    <m/>
    <m/>
    <m/>
    <m/>
    <m/>
    <m/>
    <m/>
    <m/>
    <m/>
    <m/>
    <m/>
  </r>
  <r>
    <s v="ORD10946"/>
    <s v="17-09-2024"/>
    <s v="CUST1206"/>
    <s v="Neha Agarwal"/>
    <x v="1"/>
    <s v="Kolkata"/>
    <s v="West Bengal"/>
    <x v="1"/>
    <x v="2"/>
    <x v="8"/>
    <n v="3"/>
    <n v="12000"/>
    <n v="0"/>
    <n v="36000"/>
    <n v="24767.34"/>
    <n v="11232.66"/>
    <n v="31.2"/>
    <x v="2"/>
    <x v="1"/>
    <x v="0"/>
    <x v="3"/>
    <n v="2024"/>
    <s v="Tuesday"/>
    <n v="6"/>
    <s v="23-09-2024"/>
    <x v="1"/>
    <s v="Returning"/>
    <s v="Medium"/>
    <s v="Yes"/>
    <n v="3"/>
    <s v="Neha"/>
    <s v="Agarwal"/>
    <m/>
    <m/>
    <m/>
    <m/>
    <m/>
    <m/>
    <s v="Good"/>
    <s v="High"/>
    <s v="Yes"/>
    <s v="No"/>
    <n v="0.31201833333333334"/>
    <m/>
    <m/>
    <m/>
    <m/>
    <m/>
    <m/>
    <m/>
    <m/>
    <m/>
    <m/>
    <m/>
    <m/>
    <m/>
    <m/>
    <m/>
  </r>
  <r>
    <s v="ORD10613"/>
    <s v="17-09-2025"/>
    <s v="CUST1011"/>
    <s v="Aarav Agarwal"/>
    <x v="0"/>
    <s v="Lucknow"/>
    <s v="Uttar Pradesh"/>
    <x v="1"/>
    <x v="0"/>
    <x v="0"/>
    <n v="4"/>
    <n v="2500"/>
    <n v="0.2"/>
    <n v="8000"/>
    <n v="5706.72"/>
    <n v="2293.2800000000002"/>
    <n v="28.67"/>
    <x v="0"/>
    <x v="1"/>
    <x v="8"/>
    <x v="3"/>
    <n v="2025"/>
    <s v="Wednesday"/>
    <n v="6"/>
    <s v="23-09-2025"/>
    <x v="0"/>
    <s v="New"/>
    <s v="High"/>
    <s v="Yes"/>
    <n v="5"/>
    <s v="Aarav"/>
    <s v="Agarwal"/>
    <m/>
    <m/>
    <m/>
    <m/>
    <m/>
    <m/>
    <s v="Needs Improvement"/>
    <s v="Low"/>
    <s v="No"/>
    <s v="No"/>
    <n v="0.28666000000000003"/>
    <m/>
    <m/>
    <m/>
    <m/>
    <m/>
    <m/>
    <m/>
    <m/>
    <m/>
    <m/>
    <m/>
    <m/>
    <m/>
    <m/>
    <m/>
  </r>
  <r>
    <s v="ORD10406"/>
    <s v="17-10-2024"/>
    <s v="CUST1160"/>
    <s v="Meera Jain"/>
    <x v="1"/>
    <s v="Ahmedabad"/>
    <s v="Gujarat"/>
    <x v="3"/>
    <x v="3"/>
    <x v="18"/>
    <n v="3"/>
    <n v="800"/>
    <n v="0.2"/>
    <n v="1920"/>
    <n v="1321.25"/>
    <n v="598.75"/>
    <n v="31.18"/>
    <x v="1"/>
    <x v="2"/>
    <x v="8"/>
    <x v="4"/>
    <n v="2024"/>
    <s v="Thursday"/>
    <n v="4"/>
    <s v="21-10-2024"/>
    <x v="0"/>
    <s v="VIP"/>
    <s v="Medium"/>
    <s v="Yes"/>
    <n v="3"/>
    <s v="Meera"/>
    <s v="Jain"/>
    <m/>
    <m/>
    <m/>
    <m/>
    <m/>
    <m/>
    <s v="Good"/>
    <s v="Low"/>
    <s v="No"/>
    <s v="Yes"/>
    <n v="0.31184895833333331"/>
    <m/>
    <m/>
    <m/>
    <m/>
    <m/>
    <m/>
    <m/>
    <m/>
    <m/>
    <m/>
    <m/>
    <m/>
    <m/>
    <m/>
    <m/>
  </r>
  <r>
    <s v="ORD10838"/>
    <s v="17-10-2024"/>
    <s v="CUST1008"/>
    <s v="Kavya Agarwal"/>
    <x v="1"/>
    <s v="Pune"/>
    <s v="Maharashtra"/>
    <x v="1"/>
    <x v="0"/>
    <x v="23"/>
    <n v="2"/>
    <n v="6000"/>
    <n v="0.05"/>
    <n v="11400"/>
    <n v="7581.7"/>
    <n v="3818.3"/>
    <n v="33.49"/>
    <x v="3"/>
    <x v="1"/>
    <x v="3"/>
    <x v="4"/>
    <n v="2024"/>
    <s v="Thursday"/>
    <n v="5"/>
    <s v="22-10-2024"/>
    <x v="0"/>
    <s v="Returning"/>
    <s v="High"/>
    <s v="Yes"/>
    <n v="4"/>
    <s v="Kavya"/>
    <s v="Agarwal"/>
    <m/>
    <m/>
    <m/>
    <m/>
    <m/>
    <m/>
    <s v="Good"/>
    <s v="Medium"/>
    <s v="No"/>
    <s v="No"/>
    <n v="0.33493859649122809"/>
    <m/>
    <m/>
    <m/>
    <m/>
    <m/>
    <m/>
    <m/>
    <m/>
    <m/>
    <m/>
    <m/>
    <m/>
    <m/>
    <m/>
    <m/>
  </r>
  <r>
    <s v="ORD10822"/>
    <s v="17-10-2025"/>
    <s v="CUST1255"/>
    <s v="Nisha Singh"/>
    <x v="1"/>
    <s v="Pune"/>
    <s v="Maharashtra"/>
    <x v="0"/>
    <x v="4"/>
    <x v="13"/>
    <n v="7"/>
    <n v="500"/>
    <n v="0.2"/>
    <n v="2800"/>
    <n v="2041.47"/>
    <n v="758.53"/>
    <n v="27.09"/>
    <x v="1"/>
    <x v="2"/>
    <x v="1"/>
    <x v="4"/>
    <n v="2025"/>
    <s v="Friday"/>
    <n v="5"/>
    <s v="22-10-2025"/>
    <x v="1"/>
    <s v="VIP"/>
    <s v="High"/>
    <s v="No"/>
    <n v="2"/>
    <s v="Nisha"/>
    <s v="Singh"/>
    <m/>
    <m/>
    <m/>
    <m/>
    <m/>
    <m/>
    <s v="Needs Improvement"/>
    <s v="Low"/>
    <s v="No"/>
    <s v="Yes"/>
    <n v="0.27090357142857141"/>
    <m/>
    <m/>
    <m/>
    <m/>
    <m/>
    <m/>
    <m/>
    <m/>
    <m/>
    <m/>
    <m/>
    <m/>
    <m/>
    <m/>
    <m/>
  </r>
  <r>
    <s v="ORD10942"/>
    <s v="17-10-2025"/>
    <s v="CUST1328"/>
    <s v="Priya Chopra"/>
    <x v="1"/>
    <s v="Mumbai"/>
    <s v="Maharashtra"/>
    <x v="2"/>
    <x v="1"/>
    <x v="20"/>
    <n v="7"/>
    <n v="1200"/>
    <n v="0.1"/>
    <n v="7560"/>
    <n v="6048.61"/>
    <n v="1511.39"/>
    <n v="19.989999999999998"/>
    <x v="4"/>
    <x v="0"/>
    <x v="6"/>
    <x v="4"/>
    <n v="2025"/>
    <s v="Friday"/>
    <n v="1"/>
    <s v="18-10-2025"/>
    <x v="1"/>
    <s v="VIP"/>
    <s v="Medium"/>
    <s v="No"/>
    <n v="1"/>
    <s v="Priya"/>
    <s v="Chopra"/>
    <m/>
    <m/>
    <m/>
    <m/>
    <m/>
    <m/>
    <s v="Needs Improvement"/>
    <s v="Low"/>
    <s v="No"/>
    <s v="Yes"/>
    <n v="0.19991931216931219"/>
    <m/>
    <m/>
    <m/>
    <m/>
    <m/>
    <m/>
    <m/>
    <m/>
    <m/>
    <m/>
    <m/>
    <m/>
    <m/>
    <m/>
    <m/>
  </r>
  <r>
    <s v="ORD10378"/>
    <s v="17-11-2024"/>
    <s v="CUST1128"/>
    <s v="Meera Yadav"/>
    <x v="1"/>
    <s v="Bengaluru"/>
    <s v="Karnataka"/>
    <x v="3"/>
    <x v="2"/>
    <x v="21"/>
    <n v="4"/>
    <n v="50000"/>
    <n v="0.1"/>
    <n v="180000"/>
    <n v="104386.25"/>
    <n v="75613.75"/>
    <n v="42.01"/>
    <x v="3"/>
    <x v="0"/>
    <x v="1"/>
    <x v="11"/>
    <n v="2024"/>
    <s v="Sunday"/>
    <n v="10"/>
    <s v="27-11-2024"/>
    <x v="0"/>
    <s v="Returning"/>
    <s v="Medium"/>
    <s v="No"/>
    <n v="2"/>
    <s v="Meera"/>
    <s v="Yadav"/>
    <m/>
    <m/>
    <m/>
    <m/>
    <m/>
    <m/>
    <s v="Good"/>
    <s v="High"/>
    <s v="Yes"/>
    <s v="Yes"/>
    <n v="0.42007638888888887"/>
    <m/>
    <m/>
    <m/>
    <m/>
    <m/>
    <m/>
    <m/>
    <m/>
    <m/>
    <m/>
    <m/>
    <m/>
    <m/>
    <m/>
    <m/>
  </r>
  <r>
    <s v="ORD10631"/>
    <s v="17-11-2024"/>
    <s v="CUST1100"/>
    <s v="Simran Yadav"/>
    <x v="2"/>
    <s v="Mumbai"/>
    <s v="Maharashtra"/>
    <x v="0"/>
    <x v="1"/>
    <x v="3"/>
    <n v="1"/>
    <n v="2500"/>
    <n v="0"/>
    <n v="2500"/>
    <n v="1562.3"/>
    <n v="937.7"/>
    <n v="37.51"/>
    <x v="0"/>
    <x v="0"/>
    <x v="4"/>
    <x v="11"/>
    <n v="2024"/>
    <s v="Sunday"/>
    <n v="2"/>
    <s v="19-11-2024"/>
    <x v="1"/>
    <s v="VIP"/>
    <s v="High"/>
    <s v="No"/>
    <n v="5"/>
    <s v="Simran"/>
    <s v="Yadav"/>
    <m/>
    <m/>
    <m/>
    <m/>
    <m/>
    <m/>
    <s v="Good"/>
    <s v="Low"/>
    <s v="No"/>
    <s v="Yes"/>
    <n v="0.37508000000000002"/>
    <m/>
    <m/>
    <m/>
    <m/>
    <m/>
    <m/>
    <m/>
    <m/>
    <m/>
    <m/>
    <m/>
    <m/>
    <m/>
    <m/>
    <m/>
  </r>
  <r>
    <s v="ORD10664"/>
    <s v="17-11-2024"/>
    <s v="CUST1249"/>
    <s v="Karan Chopra"/>
    <x v="1"/>
    <s v="Lucknow"/>
    <s v="Uttar Pradesh"/>
    <x v="2"/>
    <x v="0"/>
    <x v="24"/>
    <n v="3"/>
    <n v="15000"/>
    <n v="0.2"/>
    <n v="36000"/>
    <n v="23473.95"/>
    <n v="12526.05"/>
    <n v="34.79"/>
    <x v="2"/>
    <x v="1"/>
    <x v="1"/>
    <x v="11"/>
    <n v="2024"/>
    <s v="Sunday"/>
    <n v="9"/>
    <s v="26-11-2024"/>
    <x v="0"/>
    <s v="New"/>
    <s v="High"/>
    <s v="Yes"/>
    <n v="3"/>
    <s v="Karan"/>
    <s v="Chopra"/>
    <m/>
    <m/>
    <m/>
    <m/>
    <m/>
    <m/>
    <s v="Good"/>
    <s v="High"/>
    <s v="Yes"/>
    <s v="No"/>
    <n v="0.34794583333333329"/>
    <m/>
    <m/>
    <m/>
    <m/>
    <m/>
    <m/>
    <m/>
    <m/>
    <m/>
    <m/>
    <m/>
    <m/>
    <m/>
    <m/>
    <m/>
  </r>
  <r>
    <s v="ORD10356"/>
    <s v="17-11-2025"/>
    <s v="CUST1143"/>
    <s v="Nisha Jain"/>
    <x v="0"/>
    <s v="Mumbai"/>
    <s v="Maharashtra"/>
    <x v="3"/>
    <x v="4"/>
    <x v="9"/>
    <n v="10"/>
    <n v="800"/>
    <n v="0.05"/>
    <n v="7600"/>
    <n v="4366.28"/>
    <n v="3233.72"/>
    <n v="42.55"/>
    <x v="3"/>
    <x v="0"/>
    <x v="5"/>
    <x v="11"/>
    <n v="2025"/>
    <s v="Monday"/>
    <n v="6"/>
    <s v="23-11-2025"/>
    <x v="0"/>
    <s v="New"/>
    <s v="High"/>
    <s v="Yes"/>
    <n v="1"/>
    <s v="Nisha"/>
    <s v="Jain"/>
    <m/>
    <m/>
    <m/>
    <m/>
    <m/>
    <m/>
    <s v="Good"/>
    <s v="Low"/>
    <s v="No"/>
    <s v="Yes"/>
    <n v="0.42548947368421047"/>
    <m/>
    <m/>
    <m/>
    <m/>
    <m/>
    <m/>
    <m/>
    <m/>
    <m/>
    <m/>
    <m/>
    <m/>
    <m/>
    <m/>
    <m/>
  </r>
  <r>
    <s v="ORD10018"/>
    <s v="17-12-2024"/>
    <s v="CUST1129"/>
    <s v="Vivaan Verma"/>
    <x v="1"/>
    <s v="Ahmedabad"/>
    <s v="Gujarat"/>
    <x v="2"/>
    <x v="0"/>
    <x v="24"/>
    <n v="5"/>
    <n v="15000"/>
    <n v="0.05"/>
    <n v="71250"/>
    <n v="48910.31"/>
    <n v="22339.69"/>
    <n v="31.35"/>
    <x v="0"/>
    <x v="2"/>
    <x v="7"/>
    <x v="5"/>
    <n v="2024"/>
    <s v="Tuesday"/>
    <n v="4"/>
    <s v="21-12-2024"/>
    <x v="0"/>
    <s v="Returning"/>
    <s v="Low"/>
    <s v="No"/>
    <n v="2"/>
    <s v="Vivaan"/>
    <s v="Verma"/>
    <m/>
    <m/>
    <m/>
    <m/>
    <m/>
    <m/>
    <s v="Good"/>
    <s v="High"/>
    <s v="Yes"/>
    <s v="Yes"/>
    <n v="0.31353950877192982"/>
    <m/>
    <m/>
    <m/>
    <m/>
    <m/>
    <m/>
    <m/>
    <m/>
    <m/>
    <m/>
    <m/>
    <m/>
    <m/>
    <m/>
    <m/>
  </r>
  <r>
    <s v="ORD10149"/>
    <s v="17-12-2024"/>
    <s v="CUST1236"/>
    <s v="Aarav Verma"/>
    <x v="2"/>
    <s v="Chennai"/>
    <s v="Tamil Nadu"/>
    <x v="2"/>
    <x v="4"/>
    <x v="13"/>
    <n v="3"/>
    <n v="3000"/>
    <n v="0.15"/>
    <n v="7650"/>
    <n v="4413.17"/>
    <n v="3236.83"/>
    <n v="42.31"/>
    <x v="4"/>
    <x v="2"/>
    <x v="1"/>
    <x v="5"/>
    <n v="2024"/>
    <s v="Tuesday"/>
    <n v="1"/>
    <s v="18-12-2024"/>
    <x v="0"/>
    <s v="New"/>
    <s v="High"/>
    <s v="Yes"/>
    <n v="3"/>
    <s v="Aarav"/>
    <s v="Verma"/>
    <m/>
    <m/>
    <m/>
    <m/>
    <m/>
    <m/>
    <s v="Good"/>
    <s v="Low"/>
    <s v="No"/>
    <s v="Yes"/>
    <n v="0.42311503267973855"/>
    <m/>
    <m/>
    <m/>
    <m/>
    <m/>
    <m/>
    <m/>
    <m/>
    <m/>
    <m/>
    <m/>
    <m/>
    <m/>
    <m/>
    <m/>
  </r>
  <r>
    <s v="ORD10209"/>
    <s v="17-12-2024"/>
    <s v="CUST1071"/>
    <s v="Ishita Bansal"/>
    <x v="1"/>
    <s v="Kolkata"/>
    <s v="West Bengal"/>
    <x v="0"/>
    <x v="1"/>
    <x v="20"/>
    <n v="4"/>
    <n v="1800"/>
    <n v="0.15"/>
    <n v="6120"/>
    <n v="4695.8500000000004"/>
    <n v="1424.15"/>
    <n v="23.27"/>
    <x v="3"/>
    <x v="1"/>
    <x v="8"/>
    <x v="5"/>
    <n v="2024"/>
    <s v="Tuesday"/>
    <n v="5"/>
    <s v="22-12-2024"/>
    <x v="2"/>
    <s v="VIP"/>
    <s v="Low"/>
    <s v="Yes"/>
    <n v="2"/>
    <s v="Ishita"/>
    <s v="Bansal"/>
    <m/>
    <m/>
    <m/>
    <m/>
    <m/>
    <m/>
    <s v="Needs Improvement"/>
    <s v="Low"/>
    <s v="No"/>
    <s v="No"/>
    <n v="0.23270424836601308"/>
    <m/>
    <m/>
    <m/>
    <m/>
    <m/>
    <m/>
    <m/>
    <m/>
    <m/>
    <m/>
    <m/>
    <m/>
    <m/>
    <m/>
    <m/>
  </r>
  <r>
    <s v="ORD10032"/>
    <s v="17-12-2025"/>
    <s v="CUST1311"/>
    <s v="Arjun Agarwal"/>
    <x v="2"/>
    <s v="Bengaluru"/>
    <s v="Karnataka"/>
    <x v="0"/>
    <x v="1"/>
    <x v="3"/>
    <n v="10"/>
    <n v="1200"/>
    <n v="0.15"/>
    <n v="10200"/>
    <n v="6072.09"/>
    <n v="4127.91"/>
    <n v="40.47"/>
    <x v="1"/>
    <x v="0"/>
    <x v="7"/>
    <x v="5"/>
    <n v="2025"/>
    <s v="Wednesday"/>
    <n v="5"/>
    <s v="22-12-2025"/>
    <x v="0"/>
    <s v="Returning"/>
    <s v="High"/>
    <s v="No"/>
    <n v="4"/>
    <s v="Arjun"/>
    <s v="Agarwal"/>
    <m/>
    <m/>
    <m/>
    <m/>
    <m/>
    <m/>
    <s v="Good"/>
    <s v="Medium"/>
    <s v="No"/>
    <s v="Yes"/>
    <n v="0.40469705882352941"/>
    <m/>
    <m/>
    <m/>
    <m/>
    <m/>
    <m/>
    <m/>
    <m/>
    <m/>
    <m/>
    <m/>
    <m/>
    <m/>
    <m/>
    <m/>
  </r>
  <r>
    <s v="ORD10102"/>
    <s v="18-01-2024"/>
    <s v="CUST1214"/>
    <s v="Nisha Kumar"/>
    <x v="1"/>
    <s v="Ahmedabad"/>
    <s v="Gujarat"/>
    <x v="1"/>
    <x v="4"/>
    <x v="19"/>
    <n v="10"/>
    <n v="1200"/>
    <n v="0.15"/>
    <n v="10200"/>
    <n v="7465.66"/>
    <n v="2734.34"/>
    <n v="26.81"/>
    <x v="3"/>
    <x v="1"/>
    <x v="0"/>
    <x v="6"/>
    <n v="2024"/>
    <s v="Thursday"/>
    <n v="6"/>
    <s v="24-01-2024"/>
    <x v="0"/>
    <s v="VIP"/>
    <s v="High"/>
    <s v="Yes"/>
    <n v="1"/>
    <s v="Nisha"/>
    <s v="Kumar"/>
    <m/>
    <m/>
    <m/>
    <m/>
    <m/>
    <m/>
    <s v="Needs Improvement"/>
    <s v="Medium"/>
    <s v="No"/>
    <s v="No"/>
    <n v="0.26807254901960786"/>
    <m/>
    <m/>
    <m/>
    <m/>
    <m/>
    <m/>
    <m/>
    <m/>
    <m/>
    <m/>
    <m/>
    <m/>
    <m/>
    <m/>
    <m/>
  </r>
  <r>
    <s v="ORD10715"/>
    <s v="18-01-2025"/>
    <s v="CUST1091"/>
    <s v="Meera Gupta"/>
    <x v="0"/>
    <s v="Ahmedabad"/>
    <s v="Gujarat"/>
    <x v="1"/>
    <x v="0"/>
    <x v="24"/>
    <n v="2"/>
    <n v="4000"/>
    <n v="0.2"/>
    <n v="6400"/>
    <n v="5060.3999999999996"/>
    <n v="1339.6"/>
    <n v="20.93"/>
    <x v="3"/>
    <x v="2"/>
    <x v="8"/>
    <x v="6"/>
    <n v="2025"/>
    <s v="Saturday"/>
    <n v="10"/>
    <s v="28-01-2025"/>
    <x v="0"/>
    <s v="New"/>
    <s v="Medium"/>
    <s v="No"/>
    <n v="1"/>
    <s v="Meera"/>
    <s v="Gupta"/>
    <m/>
    <m/>
    <m/>
    <m/>
    <m/>
    <m/>
    <s v="Needs Improvement"/>
    <s v="Low"/>
    <s v="No"/>
    <s v="Yes"/>
    <n v="0.20931249999999998"/>
    <m/>
    <m/>
    <m/>
    <m/>
    <m/>
    <m/>
    <m/>
    <m/>
    <m/>
    <m/>
    <m/>
    <m/>
    <m/>
    <m/>
    <m/>
  </r>
  <r>
    <s v="ORD10834"/>
    <s v="18-02-2025"/>
    <s v="CUST1148"/>
    <s v="Ananya Singh"/>
    <x v="1"/>
    <s v="Kolkata"/>
    <s v="West Bengal"/>
    <x v="1"/>
    <x v="0"/>
    <x v="0"/>
    <n v="5"/>
    <n v="6000"/>
    <n v="0.05"/>
    <n v="28500"/>
    <n v="22683.19"/>
    <n v="5816.81"/>
    <n v="20.41"/>
    <x v="4"/>
    <x v="1"/>
    <x v="5"/>
    <x v="7"/>
    <n v="2025"/>
    <s v="Tuesday"/>
    <n v="10"/>
    <s v="28-02-2025"/>
    <x v="2"/>
    <s v="Returning"/>
    <s v="Low"/>
    <s v="Yes"/>
    <n v="4"/>
    <s v="Ananya"/>
    <s v="Singh"/>
    <m/>
    <m/>
    <m/>
    <m/>
    <m/>
    <m/>
    <s v="Needs Improvement"/>
    <s v="Medium"/>
    <s v="No"/>
    <s v="No"/>
    <n v="0.20409859649122808"/>
    <m/>
    <m/>
    <m/>
    <m/>
    <m/>
    <m/>
    <m/>
    <m/>
    <m/>
    <m/>
    <m/>
    <m/>
    <m/>
    <m/>
    <m/>
  </r>
  <r>
    <s v="ORD10019"/>
    <s v="18-03-2024"/>
    <s v="CUST1190"/>
    <s v="Nisha Kapoor"/>
    <x v="2"/>
    <s v="Jaipur"/>
    <s v="Rajasthan"/>
    <x v="2"/>
    <x v="4"/>
    <x v="19"/>
    <n v="9"/>
    <n v="500"/>
    <n v="0"/>
    <n v="4500"/>
    <n v="2518.77"/>
    <n v="1981.23"/>
    <n v="44.03"/>
    <x v="2"/>
    <x v="2"/>
    <x v="0"/>
    <x v="0"/>
    <n v="2024"/>
    <s v="Monday"/>
    <n v="3"/>
    <s v="21-03-2024"/>
    <x v="1"/>
    <s v="Returning"/>
    <s v="Low"/>
    <s v="No"/>
    <n v="2"/>
    <s v="Nisha"/>
    <s v="Kapoor"/>
    <m/>
    <m/>
    <m/>
    <m/>
    <m/>
    <m/>
    <s v="Good"/>
    <s v="Low"/>
    <s v="No"/>
    <s v="Yes"/>
    <n v="0.44027333333333335"/>
    <m/>
    <m/>
    <m/>
    <m/>
    <m/>
    <m/>
    <m/>
    <m/>
    <m/>
    <m/>
    <m/>
    <m/>
    <m/>
    <m/>
    <m/>
  </r>
  <r>
    <s v="ORD10056"/>
    <s v="18-03-2024"/>
    <s v="CUST1346"/>
    <s v="Pooja Chopra"/>
    <x v="1"/>
    <s v="Pune"/>
    <s v="Maharashtra"/>
    <x v="0"/>
    <x v="1"/>
    <x v="6"/>
    <n v="6"/>
    <n v="700"/>
    <n v="0.15"/>
    <n v="3570"/>
    <n v="2792.59"/>
    <n v="777.41"/>
    <n v="21.78"/>
    <x v="1"/>
    <x v="1"/>
    <x v="7"/>
    <x v="0"/>
    <n v="2024"/>
    <s v="Monday"/>
    <n v="3"/>
    <s v="21-03-2024"/>
    <x v="0"/>
    <s v="Returning"/>
    <s v="High"/>
    <s v="Yes"/>
    <n v="4"/>
    <s v="Pooja"/>
    <s v="Chopra"/>
    <m/>
    <m/>
    <m/>
    <m/>
    <m/>
    <m/>
    <s v="Needs Improvement"/>
    <s v="Low"/>
    <s v="No"/>
    <s v="No"/>
    <n v="0.21776190476190474"/>
    <m/>
    <m/>
    <m/>
    <m/>
    <m/>
    <m/>
    <m/>
    <m/>
    <m/>
    <m/>
    <m/>
    <m/>
    <m/>
    <m/>
    <m/>
  </r>
  <r>
    <s v="ORD10427"/>
    <s v="18-03-2025"/>
    <s v="CUST1172"/>
    <s v="Ananya Singh"/>
    <x v="2"/>
    <s v="Chennai"/>
    <s v="Tamil Nadu"/>
    <x v="2"/>
    <x v="3"/>
    <x v="5"/>
    <n v="2"/>
    <n v="100"/>
    <n v="0.15"/>
    <n v="170"/>
    <n v="130.09"/>
    <n v="39.909999999999997"/>
    <n v="23.48"/>
    <x v="2"/>
    <x v="1"/>
    <x v="7"/>
    <x v="0"/>
    <n v="2025"/>
    <s v="Tuesday"/>
    <n v="1"/>
    <s v="19-03-2025"/>
    <x v="1"/>
    <s v="Returning"/>
    <s v="High"/>
    <s v="Yes"/>
    <n v="1"/>
    <s v="Ananya"/>
    <s v="Singh"/>
    <m/>
    <m/>
    <m/>
    <m/>
    <m/>
    <m/>
    <s v="Needs Improvement"/>
    <s v="Low"/>
    <s v="No"/>
    <s v="No"/>
    <n v="0.23476470588235293"/>
    <m/>
    <m/>
    <m/>
    <m/>
    <m/>
    <m/>
    <m/>
    <m/>
    <m/>
    <m/>
    <m/>
    <m/>
    <m/>
    <m/>
    <m/>
  </r>
  <r>
    <s v="ORD10449"/>
    <s v="18-03-2025"/>
    <s v="CUST1094"/>
    <s v="Nisha Verma"/>
    <x v="0"/>
    <s v="Lucknow"/>
    <s v="Uttar Pradesh"/>
    <x v="1"/>
    <x v="0"/>
    <x v="23"/>
    <n v="4"/>
    <n v="4000"/>
    <n v="0.2"/>
    <n v="12800"/>
    <n v="10187.84"/>
    <n v="2612.16"/>
    <n v="20.41"/>
    <x v="2"/>
    <x v="2"/>
    <x v="0"/>
    <x v="0"/>
    <n v="2025"/>
    <s v="Tuesday"/>
    <n v="8"/>
    <s v="26-03-2025"/>
    <x v="2"/>
    <s v="VIP"/>
    <s v="High"/>
    <s v="No"/>
    <n v="1"/>
    <s v="Nisha"/>
    <s v="Verma"/>
    <m/>
    <m/>
    <m/>
    <m/>
    <m/>
    <m/>
    <s v="Needs Improvement"/>
    <s v="Medium"/>
    <s v="No"/>
    <s v="Yes"/>
    <n v="0.20407499999999998"/>
    <m/>
    <m/>
    <m/>
    <m/>
    <m/>
    <m/>
    <m/>
    <m/>
    <m/>
    <m/>
    <m/>
    <m/>
    <m/>
    <m/>
    <m/>
  </r>
  <r>
    <s v="ORD10766"/>
    <s v="18-03-2025"/>
    <s v="CUST1007"/>
    <s v="Nisha Saxena"/>
    <x v="2"/>
    <s v="Mumbai"/>
    <s v="Maharashtra"/>
    <x v="1"/>
    <x v="1"/>
    <x v="14"/>
    <n v="1"/>
    <n v="700"/>
    <n v="0.15"/>
    <n v="595"/>
    <n v="355.37"/>
    <n v="239.63"/>
    <n v="40.270000000000003"/>
    <x v="0"/>
    <x v="0"/>
    <x v="0"/>
    <x v="0"/>
    <n v="2025"/>
    <s v="Tuesday"/>
    <n v="8"/>
    <s v="26-03-2025"/>
    <x v="2"/>
    <s v="VIP"/>
    <s v="Medium"/>
    <s v="Yes"/>
    <n v="3"/>
    <s v="Nisha"/>
    <s v="Saxena"/>
    <m/>
    <m/>
    <m/>
    <m/>
    <m/>
    <m/>
    <s v="Good"/>
    <s v="Low"/>
    <s v="No"/>
    <s v="Yes"/>
    <n v="0.4027394957983193"/>
    <m/>
    <m/>
    <m/>
    <m/>
    <m/>
    <m/>
    <m/>
    <m/>
    <m/>
    <m/>
    <m/>
    <m/>
    <m/>
    <m/>
    <m/>
  </r>
  <r>
    <s v="ORD10164"/>
    <s v="18-04-2024"/>
    <s v="CUST1209"/>
    <s v="Arjun Kapoor"/>
    <x v="0"/>
    <s v="Mumbai"/>
    <s v="Maharashtra"/>
    <x v="3"/>
    <x v="0"/>
    <x v="1"/>
    <n v="10"/>
    <n v="2500"/>
    <n v="0.05"/>
    <n v="23750"/>
    <n v="16051.08"/>
    <n v="7698.92"/>
    <n v="32.42"/>
    <x v="4"/>
    <x v="1"/>
    <x v="9"/>
    <x v="8"/>
    <n v="2024"/>
    <s v="Thursday"/>
    <n v="3"/>
    <s v="21-04-2024"/>
    <x v="2"/>
    <s v="Returning"/>
    <s v="Low"/>
    <s v="Yes"/>
    <n v="2"/>
    <s v="Arjun"/>
    <s v="Kapoor"/>
    <m/>
    <m/>
    <m/>
    <m/>
    <m/>
    <m/>
    <s v="Good"/>
    <s v="Medium"/>
    <s v="No"/>
    <s v="No"/>
    <n v="0.32416505263157896"/>
    <m/>
    <m/>
    <m/>
    <m/>
    <m/>
    <m/>
    <m/>
    <m/>
    <m/>
    <m/>
    <m/>
    <m/>
    <m/>
    <m/>
    <m/>
  </r>
  <r>
    <s v="ORD10644"/>
    <s v="18-04-2024"/>
    <s v="CUST1052"/>
    <s v="Pooja Agarwal"/>
    <x v="2"/>
    <s v="Pune"/>
    <s v="Maharashtra"/>
    <x v="3"/>
    <x v="1"/>
    <x v="2"/>
    <n v="3"/>
    <n v="2500"/>
    <n v="0.2"/>
    <n v="6000"/>
    <n v="3860.98"/>
    <n v="2139.02"/>
    <n v="35.65"/>
    <x v="0"/>
    <x v="2"/>
    <x v="5"/>
    <x v="8"/>
    <n v="2024"/>
    <s v="Thursday"/>
    <n v="8"/>
    <s v="26-04-2024"/>
    <x v="0"/>
    <s v="VIP"/>
    <s v="Medium"/>
    <s v="No"/>
    <n v="1"/>
    <s v="Pooja"/>
    <s v="Agarwal"/>
    <m/>
    <m/>
    <m/>
    <m/>
    <m/>
    <m/>
    <s v="Good"/>
    <s v="Low"/>
    <s v="No"/>
    <s v="Yes"/>
    <n v="0.35650333333333334"/>
    <m/>
    <m/>
    <m/>
    <m/>
    <m/>
    <m/>
    <m/>
    <m/>
    <m/>
    <m/>
    <m/>
    <m/>
    <m/>
    <m/>
    <m/>
  </r>
  <r>
    <s v="ORD10860"/>
    <s v="18-04-2025"/>
    <s v="CUST1324"/>
    <s v="Pooja Gupta"/>
    <x v="0"/>
    <s v="Kolkata"/>
    <s v="West Bengal"/>
    <x v="0"/>
    <x v="0"/>
    <x v="15"/>
    <n v="5"/>
    <n v="6000"/>
    <n v="0"/>
    <n v="30000"/>
    <n v="18862.169999999998"/>
    <n v="11137.83"/>
    <n v="37.130000000000003"/>
    <x v="0"/>
    <x v="2"/>
    <x v="4"/>
    <x v="8"/>
    <n v="2025"/>
    <s v="Friday"/>
    <n v="1"/>
    <s v="19-04-2025"/>
    <x v="2"/>
    <s v="Returning"/>
    <s v="Low"/>
    <s v="No"/>
    <n v="3"/>
    <s v="Pooja"/>
    <s v="Gupta"/>
    <m/>
    <m/>
    <m/>
    <m/>
    <m/>
    <m/>
    <s v="Good"/>
    <s v="High"/>
    <s v="Yes"/>
    <s v="Yes"/>
    <n v="0.37126100000000001"/>
    <m/>
    <m/>
    <m/>
    <m/>
    <m/>
    <m/>
    <m/>
    <m/>
    <m/>
    <m/>
    <m/>
    <m/>
    <m/>
    <m/>
    <m/>
  </r>
  <r>
    <s v="ORD10204"/>
    <s v="18-05-2025"/>
    <s v="CUST1143"/>
    <s v="Vivaan Kapoor"/>
    <x v="2"/>
    <s v="Bengaluru"/>
    <s v="Karnataka"/>
    <x v="2"/>
    <x v="4"/>
    <x v="19"/>
    <n v="8"/>
    <n v="800"/>
    <n v="0"/>
    <n v="6400"/>
    <n v="4091.79"/>
    <n v="2308.21"/>
    <n v="36.07"/>
    <x v="4"/>
    <x v="2"/>
    <x v="2"/>
    <x v="1"/>
    <n v="2025"/>
    <s v="Sunday"/>
    <n v="6"/>
    <s v="24-05-2025"/>
    <x v="0"/>
    <s v="Returning"/>
    <s v="Medium"/>
    <s v="No"/>
    <n v="1"/>
    <s v="Vivaan"/>
    <s v="Kapoor"/>
    <m/>
    <m/>
    <m/>
    <m/>
    <m/>
    <m/>
    <s v="Good"/>
    <s v="Low"/>
    <s v="No"/>
    <s v="Yes"/>
    <n v="0.36065781250000001"/>
    <m/>
    <m/>
    <m/>
    <m/>
    <m/>
    <m/>
    <m/>
    <m/>
    <m/>
    <m/>
    <m/>
    <m/>
    <m/>
    <m/>
    <m/>
  </r>
  <r>
    <s v="ORD10629"/>
    <s v="18-07-2024"/>
    <s v="CUST1049"/>
    <s v="Sneha Saxena"/>
    <x v="0"/>
    <s v="Bengaluru"/>
    <s v="Karnataka"/>
    <x v="1"/>
    <x v="2"/>
    <x v="4"/>
    <n v="8"/>
    <n v="15000"/>
    <n v="0.2"/>
    <n v="96000"/>
    <n v="60845.33"/>
    <n v="35154.67"/>
    <n v="36.619999999999997"/>
    <x v="3"/>
    <x v="1"/>
    <x v="7"/>
    <x v="9"/>
    <n v="2024"/>
    <s v="Thursday"/>
    <n v="1"/>
    <s v="19-07-2024"/>
    <x v="1"/>
    <s v="VIP"/>
    <s v="Medium"/>
    <s v="No"/>
    <n v="4"/>
    <s v="Sneha"/>
    <s v="Saxena"/>
    <m/>
    <m/>
    <m/>
    <m/>
    <m/>
    <m/>
    <s v="Good"/>
    <s v="High"/>
    <s v="Yes"/>
    <s v="No"/>
    <n v="0.36619447916666664"/>
    <m/>
    <m/>
    <m/>
    <m/>
    <m/>
    <m/>
    <m/>
    <m/>
    <m/>
    <m/>
    <m/>
    <m/>
    <m/>
    <m/>
    <m/>
  </r>
  <r>
    <s v="ORD10148"/>
    <s v="18-08-2025"/>
    <s v="CUST1235"/>
    <s v="Sneha Chopra"/>
    <x v="2"/>
    <s v="Ahmedabad"/>
    <s v="Gujarat"/>
    <x v="2"/>
    <x v="3"/>
    <x v="17"/>
    <n v="8"/>
    <n v="500"/>
    <n v="0.1"/>
    <n v="3600"/>
    <n v="2690.47"/>
    <n v="909.53"/>
    <n v="25.26"/>
    <x v="2"/>
    <x v="1"/>
    <x v="6"/>
    <x v="10"/>
    <n v="2025"/>
    <s v="Monday"/>
    <n v="1"/>
    <s v="19-08-2025"/>
    <x v="0"/>
    <s v="Returning"/>
    <s v="Medium"/>
    <s v="No"/>
    <n v="3"/>
    <s v="Sneha"/>
    <s v="Chopra"/>
    <m/>
    <m/>
    <m/>
    <m/>
    <m/>
    <m/>
    <s v="Needs Improvement"/>
    <s v="Low"/>
    <s v="No"/>
    <s v="No"/>
    <n v="0.25264722222222219"/>
    <m/>
    <m/>
    <m/>
    <m/>
    <m/>
    <m/>
    <m/>
    <m/>
    <m/>
    <m/>
    <m/>
    <m/>
    <m/>
    <m/>
    <m/>
  </r>
  <r>
    <s v="ORD10351"/>
    <s v="18-08-2025"/>
    <s v="CUST1070"/>
    <s v="Sneha Gupta"/>
    <x v="2"/>
    <s v="Chennai"/>
    <s v="Tamil Nadu"/>
    <x v="0"/>
    <x v="4"/>
    <x v="13"/>
    <n v="1"/>
    <n v="1200"/>
    <n v="0.05"/>
    <n v="1140"/>
    <n v="725.4"/>
    <n v="414.6"/>
    <n v="36.369999999999997"/>
    <x v="0"/>
    <x v="1"/>
    <x v="3"/>
    <x v="10"/>
    <n v="2025"/>
    <s v="Monday"/>
    <n v="1"/>
    <s v="19-08-2025"/>
    <x v="0"/>
    <s v="New"/>
    <s v="Medium"/>
    <s v="No"/>
    <n v="5"/>
    <s v="Sneha"/>
    <s v="Gupta"/>
    <m/>
    <m/>
    <m/>
    <m/>
    <m/>
    <m/>
    <s v="Good"/>
    <s v="Low"/>
    <s v="No"/>
    <s v="No"/>
    <n v="0.36368421052631583"/>
    <m/>
    <m/>
    <m/>
    <m/>
    <m/>
    <m/>
    <m/>
    <m/>
    <m/>
    <m/>
    <m/>
    <m/>
    <m/>
    <m/>
    <m/>
  </r>
  <r>
    <s v="ORD10537"/>
    <s v="18-08-2025"/>
    <s v="CUST1109"/>
    <s v="Vikram Agarwal"/>
    <x v="0"/>
    <s v="Jaipur"/>
    <s v="Rajasthan"/>
    <x v="2"/>
    <x v="4"/>
    <x v="13"/>
    <n v="2"/>
    <n v="2000"/>
    <n v="0.2"/>
    <n v="3200"/>
    <n v="2495.87"/>
    <n v="704.13"/>
    <n v="22"/>
    <x v="1"/>
    <x v="2"/>
    <x v="9"/>
    <x v="10"/>
    <n v="2025"/>
    <s v="Monday"/>
    <n v="1"/>
    <s v="19-08-2025"/>
    <x v="0"/>
    <s v="New"/>
    <s v="Medium"/>
    <s v="No"/>
    <n v="4"/>
    <s v="Vikram"/>
    <s v="Agarwal"/>
    <m/>
    <m/>
    <m/>
    <m/>
    <m/>
    <m/>
    <s v="Needs Improvement"/>
    <s v="Low"/>
    <s v="No"/>
    <s v="Yes"/>
    <n v="0.22004062499999999"/>
    <m/>
    <m/>
    <m/>
    <m/>
    <m/>
    <m/>
    <m/>
    <m/>
    <m/>
    <m/>
    <m/>
    <m/>
    <m/>
    <m/>
    <m/>
  </r>
  <r>
    <s v="ORD10376"/>
    <s v="18-09-2024"/>
    <s v="CUST1121"/>
    <s v="Priya Singh"/>
    <x v="2"/>
    <s v="Ahmedabad"/>
    <s v="Gujarat"/>
    <x v="2"/>
    <x v="0"/>
    <x v="23"/>
    <n v="7"/>
    <n v="2500"/>
    <n v="0.15"/>
    <n v="14875"/>
    <n v="11941.75"/>
    <n v="2933.25"/>
    <n v="19.72"/>
    <x v="0"/>
    <x v="0"/>
    <x v="1"/>
    <x v="3"/>
    <n v="2024"/>
    <s v="Wednesday"/>
    <n v="5"/>
    <s v="23-09-2024"/>
    <x v="0"/>
    <s v="New"/>
    <s v="Medium"/>
    <s v="Yes"/>
    <n v="4"/>
    <s v="Priya"/>
    <s v="Singh"/>
    <m/>
    <m/>
    <m/>
    <m/>
    <m/>
    <m/>
    <s v="Needs Improvement"/>
    <s v="Medium"/>
    <s v="No"/>
    <s v="Yes"/>
    <n v="0.19719327731092437"/>
    <m/>
    <m/>
    <m/>
    <m/>
    <m/>
    <m/>
    <m/>
    <m/>
    <m/>
    <m/>
    <m/>
    <m/>
    <m/>
    <m/>
    <m/>
  </r>
  <r>
    <s v="ORD10416"/>
    <s v="18-09-2024"/>
    <s v="CUST1209"/>
    <s v="Karan Sharma"/>
    <x v="1"/>
    <s v="Mumbai"/>
    <s v="Maharashtra"/>
    <x v="0"/>
    <x v="4"/>
    <x v="9"/>
    <n v="5"/>
    <n v="800"/>
    <n v="0.05"/>
    <n v="3800"/>
    <n v="2404.77"/>
    <n v="1395.23"/>
    <n v="36.72"/>
    <x v="2"/>
    <x v="2"/>
    <x v="7"/>
    <x v="3"/>
    <n v="2024"/>
    <s v="Wednesday"/>
    <n v="2"/>
    <s v="20-09-2024"/>
    <x v="0"/>
    <s v="Returning"/>
    <s v="Medium"/>
    <s v="Yes"/>
    <n v="3"/>
    <s v="Karan"/>
    <s v="Sharma"/>
    <m/>
    <m/>
    <m/>
    <m/>
    <m/>
    <m/>
    <s v="Good"/>
    <s v="Low"/>
    <s v="No"/>
    <s v="Yes"/>
    <n v="0.36716578947368422"/>
    <m/>
    <m/>
    <m/>
    <m/>
    <m/>
    <m/>
    <m/>
    <m/>
    <m/>
    <m/>
    <m/>
    <m/>
    <m/>
    <m/>
    <m/>
  </r>
  <r>
    <s v="ORD10684"/>
    <s v="18-09-2024"/>
    <s v="CUST1009"/>
    <s v="Aarav Mehta"/>
    <x v="0"/>
    <s v="Hyderabad"/>
    <s v="Telangana"/>
    <x v="2"/>
    <x v="0"/>
    <x v="15"/>
    <n v="9"/>
    <n v="6000"/>
    <n v="0.15"/>
    <n v="45900"/>
    <n v="36955.11"/>
    <n v="8944.89"/>
    <n v="19.489999999999998"/>
    <x v="1"/>
    <x v="1"/>
    <x v="3"/>
    <x v="3"/>
    <n v="2024"/>
    <s v="Wednesday"/>
    <n v="9"/>
    <s v="27-09-2024"/>
    <x v="0"/>
    <s v="Returning"/>
    <s v="Low"/>
    <s v="No"/>
    <n v="3"/>
    <s v="Aarav"/>
    <s v="Mehta"/>
    <m/>
    <m/>
    <m/>
    <m/>
    <m/>
    <m/>
    <s v="Needs Improvement"/>
    <s v="High"/>
    <s v="No"/>
    <s v="No"/>
    <n v="0.19487777777777776"/>
    <m/>
    <m/>
    <m/>
    <m/>
    <m/>
    <m/>
    <m/>
    <m/>
    <m/>
    <m/>
    <m/>
    <m/>
    <m/>
    <m/>
    <m/>
  </r>
  <r>
    <s v="ORD10962"/>
    <s v="18-09-2024"/>
    <s v="CUST1312"/>
    <s v="Vikram Jain"/>
    <x v="1"/>
    <s v="Delhi"/>
    <s v="Delhi"/>
    <x v="3"/>
    <x v="2"/>
    <x v="12"/>
    <n v="7"/>
    <n v="12000"/>
    <n v="0"/>
    <n v="84000"/>
    <n v="46952.98"/>
    <n v="37047.019999999997"/>
    <n v="44.1"/>
    <x v="0"/>
    <x v="0"/>
    <x v="6"/>
    <x v="3"/>
    <n v="2024"/>
    <s v="Wednesday"/>
    <n v="6"/>
    <s v="24-09-2024"/>
    <x v="0"/>
    <s v="Returning"/>
    <s v="Low"/>
    <s v="No"/>
    <n v="1"/>
    <s v="Vikram"/>
    <s v="Jain"/>
    <m/>
    <m/>
    <m/>
    <m/>
    <m/>
    <m/>
    <s v="Good"/>
    <s v="High"/>
    <s v="Yes"/>
    <s v="Yes"/>
    <n v="0.44103595238095233"/>
    <m/>
    <m/>
    <m/>
    <m/>
    <m/>
    <m/>
    <m/>
    <m/>
    <m/>
    <m/>
    <m/>
    <m/>
    <m/>
    <m/>
    <m/>
  </r>
  <r>
    <s v="ORD10174"/>
    <s v="18-09-2025"/>
    <s v="CUST1255"/>
    <s v="Rohan Jain"/>
    <x v="1"/>
    <s v="Kolkata"/>
    <s v="West Bengal"/>
    <x v="1"/>
    <x v="4"/>
    <x v="11"/>
    <n v="3"/>
    <n v="3000"/>
    <n v="0.1"/>
    <n v="8100"/>
    <n v="4682.6899999999996"/>
    <n v="3417.31"/>
    <n v="42.19"/>
    <x v="2"/>
    <x v="1"/>
    <x v="3"/>
    <x v="3"/>
    <n v="2025"/>
    <s v="Thursday"/>
    <n v="4"/>
    <s v="22-09-2025"/>
    <x v="1"/>
    <s v="New"/>
    <s v="High"/>
    <s v="Yes"/>
    <n v="3"/>
    <s v="Rohan"/>
    <s v="Jain"/>
    <m/>
    <m/>
    <m/>
    <m/>
    <m/>
    <m/>
    <s v="Good"/>
    <s v="Low"/>
    <s v="No"/>
    <s v="No"/>
    <n v="0.42189012345679011"/>
    <m/>
    <m/>
    <m/>
    <m/>
    <m/>
    <m/>
    <m/>
    <m/>
    <m/>
    <m/>
    <m/>
    <m/>
    <m/>
    <m/>
    <m/>
  </r>
  <r>
    <s v="ORD10835"/>
    <s v="18-10-2025"/>
    <s v="CUST1128"/>
    <s v="Rohan Yadav"/>
    <x v="2"/>
    <s v="Lucknow"/>
    <s v="Uttar Pradesh"/>
    <x v="3"/>
    <x v="0"/>
    <x v="24"/>
    <n v="3"/>
    <n v="15000"/>
    <n v="0.05"/>
    <n v="42750"/>
    <n v="34676.11"/>
    <n v="8073.89"/>
    <n v="18.89"/>
    <x v="2"/>
    <x v="0"/>
    <x v="7"/>
    <x v="4"/>
    <n v="2025"/>
    <s v="Saturday"/>
    <n v="10"/>
    <s v="28-10-2025"/>
    <x v="0"/>
    <s v="VIP"/>
    <s v="Low"/>
    <s v="No"/>
    <n v="2"/>
    <s v="Rohan"/>
    <s v="Yadav"/>
    <m/>
    <m/>
    <m/>
    <m/>
    <m/>
    <m/>
    <s v="Needs Improvement"/>
    <s v="High"/>
    <s v="No"/>
    <s v="Yes"/>
    <n v="0.1888629239766082"/>
    <m/>
    <m/>
    <m/>
    <m/>
    <m/>
    <m/>
    <m/>
    <m/>
    <m/>
    <m/>
    <m/>
    <m/>
    <m/>
    <m/>
    <m/>
  </r>
  <r>
    <s v="ORD10045"/>
    <s v="18-11-2024"/>
    <s v="CUST1207"/>
    <s v="Meera Chopra"/>
    <x v="2"/>
    <s v="Pune"/>
    <s v="Maharashtra"/>
    <x v="2"/>
    <x v="1"/>
    <x v="20"/>
    <n v="1"/>
    <n v="2500"/>
    <n v="0"/>
    <n v="2500"/>
    <n v="1453.25"/>
    <n v="1046.75"/>
    <n v="41.87"/>
    <x v="4"/>
    <x v="2"/>
    <x v="6"/>
    <x v="11"/>
    <n v="2024"/>
    <s v="Monday"/>
    <n v="5"/>
    <s v="23-11-2024"/>
    <x v="0"/>
    <s v="VIP"/>
    <s v="Medium"/>
    <s v="No"/>
    <n v="4"/>
    <s v="Meera"/>
    <s v="Chopra"/>
    <m/>
    <m/>
    <m/>
    <m/>
    <m/>
    <m/>
    <s v="Good"/>
    <s v="Low"/>
    <s v="No"/>
    <s v="Yes"/>
    <n v="0.41870000000000002"/>
    <m/>
    <m/>
    <m/>
    <m/>
    <m/>
    <m/>
    <m/>
    <m/>
    <m/>
    <m/>
    <m/>
    <m/>
    <m/>
    <m/>
    <m/>
  </r>
  <r>
    <s v="ORD10989"/>
    <s v="18-11-2024"/>
    <s v="CUST1001"/>
    <s v="Aditya Mishra"/>
    <x v="2"/>
    <s v="Bengaluru"/>
    <s v="Karnataka"/>
    <x v="3"/>
    <x v="2"/>
    <x v="21"/>
    <n v="10"/>
    <n v="15000"/>
    <n v="0.05"/>
    <n v="142500"/>
    <n v="104637.57"/>
    <n v="37862.43"/>
    <n v="26.57"/>
    <x v="4"/>
    <x v="1"/>
    <x v="5"/>
    <x v="11"/>
    <n v="2024"/>
    <s v="Monday"/>
    <n v="5"/>
    <s v="23-11-2024"/>
    <x v="0"/>
    <s v="Returning"/>
    <s v="Low"/>
    <s v="Yes"/>
    <n v="2"/>
    <s v="Aditya"/>
    <s v="Mishra"/>
    <m/>
    <m/>
    <m/>
    <m/>
    <m/>
    <m/>
    <s v="Needs Improvement"/>
    <s v="High"/>
    <s v="Yes"/>
    <s v="No"/>
    <n v="0.26570126315789472"/>
    <m/>
    <m/>
    <m/>
    <m/>
    <m/>
    <m/>
    <m/>
    <m/>
    <m/>
    <m/>
    <m/>
    <m/>
    <m/>
    <m/>
    <m/>
  </r>
  <r>
    <s v="ORD10119"/>
    <s v="18-12-2024"/>
    <s v="CUST1214"/>
    <s v="Ishita Gupta"/>
    <x v="0"/>
    <s v="Lucknow"/>
    <s v="Uttar Pradesh"/>
    <x v="2"/>
    <x v="0"/>
    <x v="23"/>
    <n v="9"/>
    <n v="9000"/>
    <n v="0"/>
    <n v="81000"/>
    <n v="51520.72"/>
    <n v="29479.279999999999"/>
    <n v="36.39"/>
    <x v="2"/>
    <x v="0"/>
    <x v="9"/>
    <x v="5"/>
    <n v="2024"/>
    <s v="Wednesday"/>
    <n v="7"/>
    <s v="25-12-2024"/>
    <x v="1"/>
    <s v="New"/>
    <s v="Low"/>
    <s v="No"/>
    <n v="2"/>
    <s v="Ishita"/>
    <s v="Gupta"/>
    <m/>
    <m/>
    <m/>
    <m/>
    <m/>
    <m/>
    <s v="Good"/>
    <s v="High"/>
    <s v="Yes"/>
    <s v="Yes"/>
    <n v="0.36394172839506173"/>
    <m/>
    <m/>
    <m/>
    <m/>
    <m/>
    <m/>
    <m/>
    <m/>
    <m/>
    <m/>
    <m/>
    <m/>
    <m/>
    <m/>
    <m/>
  </r>
  <r>
    <s v="ORD10169"/>
    <s v="18-12-2024"/>
    <s v="CUST1139"/>
    <s v="Karan Sharma"/>
    <x v="0"/>
    <s v="Delhi"/>
    <s v="Delhi"/>
    <x v="3"/>
    <x v="1"/>
    <x v="6"/>
    <n v="8"/>
    <n v="3500"/>
    <n v="0.15"/>
    <n v="23800"/>
    <n v="15156.63"/>
    <n v="8643.3700000000008"/>
    <n v="36.32"/>
    <x v="1"/>
    <x v="1"/>
    <x v="7"/>
    <x v="5"/>
    <n v="2024"/>
    <s v="Wednesday"/>
    <n v="10"/>
    <s v="28-12-2024"/>
    <x v="1"/>
    <s v="Returning"/>
    <s v="High"/>
    <s v="No"/>
    <n v="5"/>
    <s v="Karan"/>
    <s v="Sharma"/>
    <m/>
    <m/>
    <m/>
    <m/>
    <m/>
    <m/>
    <s v="Good"/>
    <s v="Medium"/>
    <s v="No"/>
    <s v="No"/>
    <n v="0.36316680672268908"/>
    <m/>
    <m/>
    <m/>
    <m/>
    <m/>
    <m/>
    <m/>
    <m/>
    <m/>
    <m/>
    <m/>
    <m/>
    <m/>
    <m/>
    <m/>
  </r>
  <r>
    <s v="ORD10275"/>
    <s v="18-12-2024"/>
    <s v="CUST1087"/>
    <s v="Sneha Bansal"/>
    <x v="0"/>
    <s v="Kolkata"/>
    <s v="West Bengal"/>
    <x v="3"/>
    <x v="1"/>
    <x v="6"/>
    <n v="6"/>
    <n v="1200"/>
    <n v="0.1"/>
    <n v="6480"/>
    <n v="4910.63"/>
    <n v="1569.37"/>
    <n v="24.22"/>
    <x v="4"/>
    <x v="2"/>
    <x v="6"/>
    <x v="5"/>
    <n v="2024"/>
    <s v="Wednesday"/>
    <n v="10"/>
    <s v="28-12-2024"/>
    <x v="0"/>
    <s v="New"/>
    <s v="High"/>
    <s v="No"/>
    <n v="2"/>
    <s v="Sneha"/>
    <s v="Bansal"/>
    <m/>
    <m/>
    <m/>
    <m/>
    <m/>
    <m/>
    <s v="Needs Improvement"/>
    <s v="Low"/>
    <s v="No"/>
    <s v="Yes"/>
    <n v="0.24218672839506172"/>
    <m/>
    <m/>
    <m/>
    <m/>
    <m/>
    <m/>
    <m/>
    <m/>
    <m/>
    <m/>
    <m/>
    <m/>
    <m/>
    <m/>
    <m/>
  </r>
  <r>
    <s v="ORD10754"/>
    <s v="18-12-2025"/>
    <s v="CUST1074"/>
    <s v="Priya Sharma"/>
    <x v="2"/>
    <s v="Ahmedabad"/>
    <s v="Gujarat"/>
    <x v="2"/>
    <x v="4"/>
    <x v="16"/>
    <n v="4"/>
    <n v="2000"/>
    <n v="0.15"/>
    <n v="6800"/>
    <n v="4219.17"/>
    <n v="2580.83"/>
    <n v="37.950000000000003"/>
    <x v="1"/>
    <x v="1"/>
    <x v="9"/>
    <x v="5"/>
    <n v="2025"/>
    <s v="Thursday"/>
    <n v="1"/>
    <s v="19-12-2025"/>
    <x v="0"/>
    <s v="New"/>
    <s v="Medium"/>
    <s v="No"/>
    <n v="5"/>
    <s v="Priya"/>
    <s v="Sharma"/>
    <m/>
    <m/>
    <m/>
    <m/>
    <m/>
    <m/>
    <s v="Good"/>
    <s v="Low"/>
    <s v="No"/>
    <s v="No"/>
    <n v="0.37953382352941173"/>
    <m/>
    <m/>
    <m/>
    <m/>
    <m/>
    <m/>
    <m/>
    <m/>
    <m/>
    <m/>
    <m/>
    <m/>
    <m/>
    <m/>
    <m/>
  </r>
  <r>
    <s v="ORD10279"/>
    <s v="19-01-2024"/>
    <s v="CUST1155"/>
    <s v="Vikram Kapoor"/>
    <x v="0"/>
    <s v="Ahmedabad"/>
    <s v="Gujarat"/>
    <x v="1"/>
    <x v="3"/>
    <x v="17"/>
    <n v="8"/>
    <n v="500"/>
    <n v="0.05"/>
    <n v="3800"/>
    <n v="2454.62"/>
    <n v="1345.38"/>
    <n v="35.4"/>
    <x v="0"/>
    <x v="1"/>
    <x v="7"/>
    <x v="6"/>
    <n v="2024"/>
    <s v="Friday"/>
    <n v="6"/>
    <s v="25-01-2024"/>
    <x v="0"/>
    <s v="VIP"/>
    <s v="Medium"/>
    <s v="Yes"/>
    <n v="2"/>
    <s v="Vikram"/>
    <s v="Kapoor"/>
    <m/>
    <m/>
    <m/>
    <m/>
    <m/>
    <m/>
    <s v="Good"/>
    <s v="Low"/>
    <s v="No"/>
    <s v="No"/>
    <n v="0.35404736842105267"/>
    <m/>
    <m/>
    <m/>
    <m/>
    <m/>
    <m/>
    <m/>
    <m/>
    <m/>
    <m/>
    <m/>
    <m/>
    <m/>
    <m/>
    <m/>
  </r>
  <r>
    <s v="ORD10458"/>
    <s v="19-01-2025"/>
    <s v="CUST1307"/>
    <s v="Riya Yadav"/>
    <x v="0"/>
    <s v="Bengaluru"/>
    <s v="Karnataka"/>
    <x v="3"/>
    <x v="3"/>
    <x v="18"/>
    <n v="5"/>
    <n v="200"/>
    <n v="0.05"/>
    <n v="950"/>
    <n v="583.55999999999995"/>
    <n v="366.44"/>
    <n v="38.57"/>
    <x v="0"/>
    <x v="1"/>
    <x v="7"/>
    <x v="6"/>
    <n v="2025"/>
    <s v="Sunday"/>
    <n v="4"/>
    <s v="23-01-2025"/>
    <x v="0"/>
    <s v="VIP"/>
    <s v="Medium"/>
    <s v="No"/>
    <n v="1"/>
    <s v="Riya"/>
    <s v="Yadav"/>
    <m/>
    <m/>
    <m/>
    <m/>
    <m/>
    <m/>
    <s v="Good"/>
    <s v="Low"/>
    <s v="No"/>
    <s v="No"/>
    <n v="0.38572631578947369"/>
    <m/>
    <m/>
    <m/>
    <m/>
    <m/>
    <m/>
    <m/>
    <m/>
    <m/>
    <m/>
    <m/>
    <m/>
    <m/>
    <m/>
    <m/>
  </r>
  <r>
    <s v="ORD10675"/>
    <s v="19-01-2025"/>
    <s v="CUST1176"/>
    <s v="Ananya Kapoor"/>
    <x v="0"/>
    <s v="Kolkata"/>
    <s v="West Bengal"/>
    <x v="2"/>
    <x v="1"/>
    <x v="2"/>
    <n v="5"/>
    <n v="3500"/>
    <n v="0.2"/>
    <n v="14000"/>
    <n v="7912.11"/>
    <n v="6087.89"/>
    <n v="43.48"/>
    <x v="0"/>
    <x v="2"/>
    <x v="9"/>
    <x v="6"/>
    <n v="2025"/>
    <s v="Sunday"/>
    <n v="1"/>
    <s v="20-01-2025"/>
    <x v="0"/>
    <s v="New"/>
    <s v="High"/>
    <s v="Yes"/>
    <n v="3"/>
    <s v="Ananya"/>
    <s v="Kapoor"/>
    <m/>
    <m/>
    <m/>
    <m/>
    <m/>
    <m/>
    <s v="Good"/>
    <s v="Medium"/>
    <s v="No"/>
    <s v="Yes"/>
    <n v="0.43484928571428572"/>
    <m/>
    <m/>
    <m/>
    <m/>
    <m/>
    <m/>
    <m/>
    <m/>
    <m/>
    <m/>
    <m/>
    <m/>
    <m/>
    <m/>
    <m/>
  </r>
  <r>
    <s v="ORD10450"/>
    <s v="19-03-2024"/>
    <s v="CUST1167"/>
    <s v="Ishita Malhotra"/>
    <x v="2"/>
    <s v="Hyderabad"/>
    <s v="Telangana"/>
    <x v="0"/>
    <x v="1"/>
    <x v="14"/>
    <n v="9"/>
    <n v="700"/>
    <n v="0.1"/>
    <n v="5670"/>
    <n v="4291.99"/>
    <n v="1378.01"/>
    <n v="24.3"/>
    <x v="2"/>
    <x v="0"/>
    <x v="7"/>
    <x v="0"/>
    <n v="2024"/>
    <s v="Tuesday"/>
    <n v="2"/>
    <s v="21-03-2024"/>
    <x v="1"/>
    <s v="Returning"/>
    <s v="Low"/>
    <s v="Yes"/>
    <n v="4"/>
    <s v="Ishita"/>
    <s v="Malhotra"/>
    <m/>
    <m/>
    <m/>
    <m/>
    <m/>
    <m/>
    <s v="Needs Improvement"/>
    <s v="Low"/>
    <s v="No"/>
    <s v="Yes"/>
    <n v="0.2430352733686067"/>
    <m/>
    <m/>
    <m/>
    <m/>
    <m/>
    <m/>
    <m/>
    <m/>
    <m/>
    <m/>
    <m/>
    <m/>
    <m/>
    <m/>
    <m/>
  </r>
  <r>
    <s v="ORD10708"/>
    <s v="19-03-2024"/>
    <s v="CUST1127"/>
    <s v="Aditi Bansal"/>
    <x v="2"/>
    <s v="Chennai"/>
    <s v="Tamil Nadu"/>
    <x v="1"/>
    <x v="3"/>
    <x v="10"/>
    <n v="6"/>
    <n v="800"/>
    <n v="0.1"/>
    <n v="4320"/>
    <n v="3379.04"/>
    <n v="940.96"/>
    <n v="21.78"/>
    <x v="3"/>
    <x v="0"/>
    <x v="9"/>
    <x v="0"/>
    <n v="2024"/>
    <s v="Tuesday"/>
    <n v="3"/>
    <s v="22-03-2024"/>
    <x v="0"/>
    <s v="VIP"/>
    <s v="Medium"/>
    <s v="Yes"/>
    <n v="5"/>
    <s v="Aditi"/>
    <s v="Bansal"/>
    <m/>
    <m/>
    <m/>
    <m/>
    <m/>
    <m/>
    <s v="Needs Improvement"/>
    <s v="Low"/>
    <s v="No"/>
    <s v="Yes"/>
    <n v="0.21781481481481482"/>
    <m/>
    <m/>
    <m/>
    <m/>
    <m/>
    <m/>
    <m/>
    <m/>
    <m/>
    <m/>
    <m/>
    <m/>
    <m/>
    <m/>
    <m/>
  </r>
  <r>
    <s v="ORD10777"/>
    <s v="19-03-2024"/>
    <s v="CUST1003"/>
    <s v="Pooja Agarwal"/>
    <x v="1"/>
    <s v="Pune"/>
    <s v="Maharashtra"/>
    <x v="3"/>
    <x v="4"/>
    <x v="16"/>
    <n v="7"/>
    <n v="500"/>
    <n v="0.05"/>
    <n v="3325"/>
    <n v="2265.2800000000002"/>
    <n v="1059.72"/>
    <n v="31.87"/>
    <x v="4"/>
    <x v="2"/>
    <x v="0"/>
    <x v="0"/>
    <n v="2024"/>
    <s v="Tuesday"/>
    <n v="4"/>
    <s v="23-03-2024"/>
    <x v="2"/>
    <s v="New"/>
    <s v="Low"/>
    <s v="No"/>
    <n v="5"/>
    <s v="Pooja"/>
    <s v="Agarwal"/>
    <m/>
    <m/>
    <m/>
    <m/>
    <m/>
    <m/>
    <s v="Good"/>
    <s v="Low"/>
    <s v="No"/>
    <s v="Yes"/>
    <n v="0.31871278195488723"/>
    <m/>
    <m/>
    <m/>
    <m/>
    <m/>
    <m/>
    <m/>
    <m/>
    <m/>
    <m/>
    <m/>
    <m/>
    <m/>
    <m/>
    <m/>
  </r>
  <r>
    <s v="ORD10824"/>
    <s v="19-03-2024"/>
    <s v="CUST1002"/>
    <s v="Vikram Verma"/>
    <x v="0"/>
    <s v="Mumbai"/>
    <s v="Maharashtra"/>
    <x v="3"/>
    <x v="3"/>
    <x v="17"/>
    <n v="9"/>
    <n v="800"/>
    <n v="0"/>
    <n v="7200"/>
    <n v="5618.29"/>
    <n v="1581.71"/>
    <n v="21.97"/>
    <x v="1"/>
    <x v="1"/>
    <x v="3"/>
    <x v="0"/>
    <n v="2024"/>
    <s v="Tuesday"/>
    <n v="3"/>
    <s v="22-03-2024"/>
    <x v="0"/>
    <s v="New"/>
    <s v="High"/>
    <s v="No"/>
    <n v="5"/>
    <s v="Vikram"/>
    <s v="Verma"/>
    <m/>
    <m/>
    <m/>
    <m/>
    <m/>
    <m/>
    <s v="Needs Improvement"/>
    <s v="Low"/>
    <s v="No"/>
    <s v="No"/>
    <n v="0.21968194444444444"/>
    <m/>
    <m/>
    <m/>
    <m/>
    <m/>
    <m/>
    <m/>
    <m/>
    <m/>
    <m/>
    <m/>
    <m/>
    <m/>
    <m/>
    <m/>
  </r>
  <r>
    <s v="ORD10565"/>
    <s v="19-03-2025"/>
    <s v="CUST1178"/>
    <s v="Priya Verma"/>
    <x v="2"/>
    <s v="Delhi"/>
    <s v="Delhi"/>
    <x v="2"/>
    <x v="4"/>
    <x v="13"/>
    <n v="6"/>
    <n v="3000"/>
    <n v="0"/>
    <n v="18000"/>
    <n v="14605.22"/>
    <n v="3394.78"/>
    <n v="18.86"/>
    <x v="2"/>
    <x v="1"/>
    <x v="4"/>
    <x v="0"/>
    <n v="2025"/>
    <s v="Wednesday"/>
    <n v="8"/>
    <s v="27-03-2025"/>
    <x v="1"/>
    <s v="VIP"/>
    <s v="Medium"/>
    <s v="Yes"/>
    <n v="3"/>
    <s v="Priya"/>
    <s v="Verma"/>
    <m/>
    <m/>
    <m/>
    <m/>
    <m/>
    <m/>
    <s v="Needs Improvement"/>
    <s v="Medium"/>
    <s v="No"/>
    <s v="No"/>
    <n v="0.1885988888888889"/>
    <m/>
    <m/>
    <m/>
    <m/>
    <m/>
    <m/>
    <m/>
    <m/>
    <m/>
    <m/>
    <m/>
    <m/>
    <m/>
    <m/>
    <m/>
  </r>
  <r>
    <s v="ORD10282"/>
    <s v="19-04-2024"/>
    <s v="CUST1314"/>
    <s v="Simran Kumar"/>
    <x v="1"/>
    <s v="Kolkata"/>
    <s v="West Bengal"/>
    <x v="3"/>
    <x v="3"/>
    <x v="18"/>
    <n v="5"/>
    <n v="200"/>
    <n v="0.05"/>
    <n v="950"/>
    <n v="529.22"/>
    <n v="420.78"/>
    <n v="44.29"/>
    <x v="3"/>
    <x v="2"/>
    <x v="6"/>
    <x v="8"/>
    <n v="2024"/>
    <s v="Friday"/>
    <n v="3"/>
    <s v="22-04-2024"/>
    <x v="0"/>
    <s v="VIP"/>
    <s v="Low"/>
    <s v="No"/>
    <n v="1"/>
    <s v="Simran"/>
    <s v="Kumar"/>
    <m/>
    <m/>
    <m/>
    <m/>
    <m/>
    <m/>
    <s v="Good"/>
    <s v="Low"/>
    <s v="No"/>
    <s v="Yes"/>
    <n v="0.44292631578947367"/>
    <m/>
    <m/>
    <m/>
    <m/>
    <m/>
    <m/>
    <m/>
    <m/>
    <m/>
    <m/>
    <m/>
    <m/>
    <m/>
    <m/>
    <m/>
  </r>
  <r>
    <s v="ORD10374"/>
    <s v="19-04-2024"/>
    <s v="CUST1226"/>
    <s v="Ishita Kumar"/>
    <x v="1"/>
    <s v="Lucknow"/>
    <s v="Uttar Pradesh"/>
    <x v="1"/>
    <x v="1"/>
    <x v="2"/>
    <n v="7"/>
    <n v="1200"/>
    <n v="0.05"/>
    <n v="7980"/>
    <n v="6478.8"/>
    <n v="1501.2"/>
    <n v="18.809999999999999"/>
    <x v="4"/>
    <x v="0"/>
    <x v="3"/>
    <x v="8"/>
    <n v="2024"/>
    <s v="Friday"/>
    <n v="3"/>
    <s v="22-04-2024"/>
    <x v="0"/>
    <s v="VIP"/>
    <s v="Low"/>
    <s v="No"/>
    <n v="5"/>
    <s v="Ishita"/>
    <s v="Kumar"/>
    <m/>
    <m/>
    <m/>
    <m/>
    <m/>
    <m/>
    <s v="Needs Improvement"/>
    <s v="Low"/>
    <s v="No"/>
    <s v="Yes"/>
    <n v="0.18812030075187972"/>
    <m/>
    <m/>
    <m/>
    <m/>
    <m/>
    <m/>
    <m/>
    <m/>
    <m/>
    <m/>
    <m/>
    <m/>
    <m/>
    <m/>
    <m/>
  </r>
  <r>
    <s v="ORD10762"/>
    <s v="19-04-2025"/>
    <s v="CUST1130"/>
    <s v="Rahul Kapoor"/>
    <x v="2"/>
    <s v="Lucknow"/>
    <s v="Uttar Pradesh"/>
    <x v="0"/>
    <x v="3"/>
    <x v="10"/>
    <n v="10"/>
    <n v="350"/>
    <n v="0.1"/>
    <n v="3150"/>
    <n v="2214.6"/>
    <n v="935.4"/>
    <n v="29.7"/>
    <x v="1"/>
    <x v="2"/>
    <x v="4"/>
    <x v="8"/>
    <n v="2025"/>
    <s v="Saturday"/>
    <n v="1"/>
    <s v="20-04-2025"/>
    <x v="0"/>
    <s v="Returning"/>
    <s v="Low"/>
    <s v="No"/>
    <n v="4"/>
    <s v="Rahul"/>
    <s v="Kapoor"/>
    <m/>
    <m/>
    <m/>
    <m/>
    <m/>
    <m/>
    <s v="Needs Improvement"/>
    <s v="Low"/>
    <s v="No"/>
    <s v="Yes"/>
    <n v="0.29695238095238097"/>
    <m/>
    <m/>
    <m/>
    <m/>
    <m/>
    <m/>
    <m/>
    <m/>
    <m/>
    <m/>
    <m/>
    <m/>
    <m/>
    <m/>
    <m/>
  </r>
  <r>
    <s v="ORD10776"/>
    <s v="19-04-2025"/>
    <s v="CUST1275"/>
    <s v="Vivaan Kumar"/>
    <x v="1"/>
    <s v="Delhi"/>
    <s v="Delhi"/>
    <x v="1"/>
    <x v="4"/>
    <x v="19"/>
    <n v="2"/>
    <n v="3000"/>
    <n v="0.05"/>
    <n v="5700"/>
    <n v="3732.41"/>
    <n v="1967.59"/>
    <n v="34.520000000000003"/>
    <x v="3"/>
    <x v="1"/>
    <x v="4"/>
    <x v="8"/>
    <n v="2025"/>
    <s v="Saturday"/>
    <n v="5"/>
    <s v="24-04-2025"/>
    <x v="1"/>
    <s v="Returning"/>
    <s v="Medium"/>
    <s v="Yes"/>
    <n v="1"/>
    <s v="Vivaan"/>
    <s v="Kumar"/>
    <m/>
    <m/>
    <m/>
    <m/>
    <m/>
    <m/>
    <s v="Good"/>
    <s v="Low"/>
    <s v="No"/>
    <s v="No"/>
    <n v="0.34519122807017544"/>
    <m/>
    <m/>
    <m/>
    <m/>
    <m/>
    <m/>
    <m/>
    <m/>
    <m/>
    <m/>
    <m/>
    <m/>
    <m/>
    <m/>
    <m/>
  </r>
  <r>
    <s v="ORD10828"/>
    <s v="19-05-2024"/>
    <s v="CUST1283"/>
    <s v="Neha Verma"/>
    <x v="1"/>
    <s v="Mumbai"/>
    <s v="Maharashtra"/>
    <x v="1"/>
    <x v="4"/>
    <x v="13"/>
    <n v="9"/>
    <n v="500"/>
    <n v="0.2"/>
    <n v="3600"/>
    <n v="2518.08"/>
    <n v="1081.92"/>
    <n v="30.05"/>
    <x v="0"/>
    <x v="2"/>
    <x v="0"/>
    <x v="1"/>
    <n v="2024"/>
    <s v="Sunday"/>
    <n v="8"/>
    <s v="27-05-2024"/>
    <x v="2"/>
    <s v="VIP"/>
    <s v="Medium"/>
    <s v="No"/>
    <n v="1"/>
    <s v="Neha"/>
    <s v="Verma"/>
    <m/>
    <m/>
    <m/>
    <m/>
    <m/>
    <m/>
    <s v="Good"/>
    <s v="Low"/>
    <s v="No"/>
    <s v="Yes"/>
    <n v="0.30053333333333337"/>
    <m/>
    <m/>
    <m/>
    <m/>
    <m/>
    <m/>
    <m/>
    <m/>
    <m/>
    <m/>
    <m/>
    <m/>
    <m/>
    <m/>
    <m/>
  </r>
  <r>
    <s v="ORD10137"/>
    <s v="19-06-2024"/>
    <s v="CUST1331"/>
    <s v="Pooja Agarwal"/>
    <x v="0"/>
    <s v="Lucknow"/>
    <s v="Uttar Pradesh"/>
    <x v="2"/>
    <x v="2"/>
    <x v="7"/>
    <n v="4"/>
    <n v="50000"/>
    <n v="0.1"/>
    <n v="180000"/>
    <n v="126372.51"/>
    <n v="53627.49"/>
    <n v="29.79"/>
    <x v="1"/>
    <x v="2"/>
    <x v="2"/>
    <x v="2"/>
    <n v="2024"/>
    <s v="Wednesday"/>
    <n v="10"/>
    <s v="29-06-2024"/>
    <x v="0"/>
    <s v="Returning"/>
    <s v="Low"/>
    <s v="Yes"/>
    <n v="4"/>
    <s v="Pooja"/>
    <s v="Agarwal"/>
    <m/>
    <m/>
    <m/>
    <m/>
    <m/>
    <m/>
    <s v="Needs Improvement"/>
    <s v="High"/>
    <s v="Yes"/>
    <s v="Yes"/>
    <n v="0.29793049999999999"/>
    <m/>
    <m/>
    <m/>
    <m/>
    <m/>
    <m/>
    <m/>
    <m/>
    <m/>
    <m/>
    <m/>
    <m/>
    <m/>
    <m/>
    <m/>
  </r>
  <r>
    <s v="ORD10354"/>
    <s v="19-06-2025"/>
    <s v="CUST1015"/>
    <s v="Arjun Singh"/>
    <x v="2"/>
    <s v="Chennai"/>
    <s v="Tamil Nadu"/>
    <x v="3"/>
    <x v="3"/>
    <x v="17"/>
    <n v="3"/>
    <n v="500"/>
    <n v="0.2"/>
    <n v="1200"/>
    <n v="890.01"/>
    <n v="309.99"/>
    <n v="25.83"/>
    <x v="2"/>
    <x v="1"/>
    <x v="4"/>
    <x v="2"/>
    <n v="2025"/>
    <s v="Thursday"/>
    <n v="6"/>
    <s v="25-06-2025"/>
    <x v="0"/>
    <s v="New"/>
    <s v="Low"/>
    <s v="Yes"/>
    <n v="4"/>
    <s v="Arjun"/>
    <s v="Singh"/>
    <m/>
    <m/>
    <m/>
    <m/>
    <m/>
    <m/>
    <s v="Needs Improvement"/>
    <s v="Low"/>
    <s v="No"/>
    <s v="No"/>
    <n v="0.25832500000000003"/>
    <m/>
    <m/>
    <m/>
    <m/>
    <m/>
    <m/>
    <m/>
    <m/>
    <m/>
    <m/>
    <m/>
    <m/>
    <m/>
    <m/>
    <m/>
  </r>
  <r>
    <s v="ORD10689"/>
    <s v="19-07-2024"/>
    <s v="CUST1074"/>
    <s v="Vikram Mishra"/>
    <x v="2"/>
    <s v="Chennai"/>
    <s v="Tamil Nadu"/>
    <x v="1"/>
    <x v="4"/>
    <x v="11"/>
    <n v="8"/>
    <n v="2000"/>
    <n v="0.2"/>
    <n v="12800"/>
    <n v="8818.92"/>
    <n v="3981.08"/>
    <n v="31.1"/>
    <x v="4"/>
    <x v="1"/>
    <x v="5"/>
    <x v="9"/>
    <n v="2024"/>
    <s v="Friday"/>
    <n v="3"/>
    <s v="22-07-2024"/>
    <x v="0"/>
    <s v="New"/>
    <s v="Low"/>
    <s v="Yes"/>
    <n v="3"/>
    <s v="Vikram"/>
    <s v="Mishra"/>
    <m/>
    <m/>
    <m/>
    <m/>
    <m/>
    <m/>
    <s v="Good"/>
    <s v="Medium"/>
    <s v="No"/>
    <s v="No"/>
    <n v="0.311021875"/>
    <m/>
    <m/>
    <m/>
    <m/>
    <m/>
    <m/>
    <m/>
    <m/>
    <m/>
    <m/>
    <m/>
    <m/>
    <m/>
    <m/>
    <m/>
  </r>
  <r>
    <s v="ORD10310"/>
    <s v="19-08-2024"/>
    <s v="CUST1296"/>
    <s v="Kavya Chopra"/>
    <x v="1"/>
    <s v="Ahmedabad"/>
    <s v="Gujarat"/>
    <x v="3"/>
    <x v="1"/>
    <x v="20"/>
    <n v="8"/>
    <n v="2500"/>
    <n v="0.1"/>
    <n v="18000"/>
    <n v="12838.23"/>
    <n v="5161.7700000000004"/>
    <n v="28.68"/>
    <x v="3"/>
    <x v="1"/>
    <x v="1"/>
    <x v="10"/>
    <n v="2024"/>
    <s v="Monday"/>
    <n v="3"/>
    <s v="22-08-2024"/>
    <x v="2"/>
    <s v="VIP"/>
    <s v="High"/>
    <s v="No"/>
    <n v="1"/>
    <s v="Kavya"/>
    <s v="Chopra"/>
    <m/>
    <m/>
    <m/>
    <m/>
    <m/>
    <m/>
    <s v="Needs Improvement"/>
    <s v="Medium"/>
    <s v="No"/>
    <s v="No"/>
    <n v="0.28676500000000005"/>
    <m/>
    <m/>
    <m/>
    <m/>
    <m/>
    <m/>
    <m/>
    <m/>
    <m/>
    <m/>
    <m/>
    <m/>
    <m/>
    <m/>
    <m/>
  </r>
  <r>
    <s v="ORD10322"/>
    <s v="19-08-2024"/>
    <s v="CUST1247"/>
    <s v="Arjun Bansal"/>
    <x v="1"/>
    <s v="Jaipur"/>
    <s v="Rajasthan"/>
    <x v="0"/>
    <x v="1"/>
    <x v="14"/>
    <n v="7"/>
    <n v="700"/>
    <n v="0.2"/>
    <n v="3920"/>
    <n v="3165.88"/>
    <n v="754.12"/>
    <n v="19.239999999999998"/>
    <x v="0"/>
    <x v="0"/>
    <x v="0"/>
    <x v="10"/>
    <n v="2024"/>
    <s v="Monday"/>
    <n v="1"/>
    <s v="20-08-2024"/>
    <x v="2"/>
    <s v="Returning"/>
    <s v="Low"/>
    <s v="Yes"/>
    <n v="3"/>
    <s v="Arjun"/>
    <s v="Bansal"/>
    <m/>
    <m/>
    <m/>
    <m/>
    <m/>
    <m/>
    <s v="Needs Improvement"/>
    <s v="Low"/>
    <s v="No"/>
    <s v="Yes"/>
    <n v="0.19237755102040816"/>
    <m/>
    <m/>
    <m/>
    <m/>
    <m/>
    <m/>
    <m/>
    <m/>
    <m/>
    <m/>
    <m/>
    <m/>
    <m/>
    <m/>
    <m/>
  </r>
  <r>
    <s v="ORD10359"/>
    <s v="19-08-2024"/>
    <s v="CUST1220"/>
    <s v="Rahul Chopra"/>
    <x v="2"/>
    <s v="Kolkata"/>
    <s v="West Bengal"/>
    <x v="2"/>
    <x v="3"/>
    <x v="18"/>
    <n v="10"/>
    <n v="350"/>
    <n v="0.15"/>
    <n v="2975"/>
    <n v="1869.67"/>
    <n v="1105.33"/>
    <n v="37.15"/>
    <x v="0"/>
    <x v="2"/>
    <x v="7"/>
    <x v="10"/>
    <n v="2024"/>
    <s v="Monday"/>
    <n v="9"/>
    <s v="28-08-2024"/>
    <x v="2"/>
    <s v="VIP"/>
    <s v="Medium"/>
    <s v="Yes"/>
    <n v="4"/>
    <s v="Rahul"/>
    <s v="Chopra"/>
    <m/>
    <m/>
    <m/>
    <m/>
    <m/>
    <m/>
    <s v="Good"/>
    <s v="Low"/>
    <s v="No"/>
    <s v="Yes"/>
    <n v="0.3715394957983193"/>
    <m/>
    <m/>
    <m/>
    <m/>
    <m/>
    <m/>
    <m/>
    <m/>
    <m/>
    <m/>
    <m/>
    <m/>
    <m/>
    <m/>
    <m/>
  </r>
  <r>
    <s v="ORD10624"/>
    <s v="19-08-2024"/>
    <s v="CUST1141"/>
    <s v="Priya Chopra"/>
    <x v="0"/>
    <s v="Jaipur"/>
    <s v="Rajasthan"/>
    <x v="0"/>
    <x v="4"/>
    <x v="9"/>
    <n v="2"/>
    <n v="1200"/>
    <n v="0.2"/>
    <n v="1920"/>
    <n v="1537.01"/>
    <n v="382.99"/>
    <n v="19.95"/>
    <x v="0"/>
    <x v="0"/>
    <x v="1"/>
    <x v="10"/>
    <n v="2024"/>
    <s v="Monday"/>
    <n v="6"/>
    <s v="25-08-2024"/>
    <x v="0"/>
    <s v="Returning"/>
    <s v="High"/>
    <s v="Yes"/>
    <n v="1"/>
    <s v="Priya"/>
    <s v="Chopra"/>
    <m/>
    <m/>
    <m/>
    <m/>
    <m/>
    <m/>
    <s v="Needs Improvement"/>
    <s v="Low"/>
    <s v="No"/>
    <s v="Yes"/>
    <n v="0.19947395833333334"/>
    <m/>
    <m/>
    <m/>
    <m/>
    <m/>
    <m/>
    <m/>
    <m/>
    <m/>
    <m/>
    <m/>
    <m/>
    <m/>
    <m/>
    <m/>
  </r>
  <r>
    <s v="ORD10240"/>
    <s v="19-08-2025"/>
    <s v="CUST1142"/>
    <s v="Vikram Bansal"/>
    <x v="2"/>
    <s v="Delhi"/>
    <s v="Delhi"/>
    <x v="2"/>
    <x v="2"/>
    <x v="7"/>
    <n v="9"/>
    <n v="15000"/>
    <n v="0.2"/>
    <n v="108000"/>
    <n v="87489.47"/>
    <n v="20510.53"/>
    <n v="18.989999999999998"/>
    <x v="4"/>
    <x v="0"/>
    <x v="7"/>
    <x v="10"/>
    <n v="2025"/>
    <s v="Tuesday"/>
    <n v="6"/>
    <s v="25-08-2025"/>
    <x v="0"/>
    <s v="Returning"/>
    <s v="Low"/>
    <s v="No"/>
    <n v="5"/>
    <s v="Vikram"/>
    <s v="Bansal"/>
    <m/>
    <m/>
    <m/>
    <m/>
    <m/>
    <m/>
    <s v="Needs Improvement"/>
    <s v="High"/>
    <s v="Yes"/>
    <s v="Yes"/>
    <n v="0.1899123148148148"/>
    <m/>
    <m/>
    <m/>
    <m/>
    <m/>
    <m/>
    <m/>
    <m/>
    <m/>
    <m/>
    <m/>
    <m/>
    <m/>
    <m/>
    <m/>
  </r>
  <r>
    <s v="ORD10307"/>
    <s v="19-08-2025"/>
    <s v="CUST1207"/>
    <s v="Rohan Chopra"/>
    <x v="0"/>
    <s v="Pune"/>
    <s v="Maharashtra"/>
    <x v="1"/>
    <x v="4"/>
    <x v="16"/>
    <n v="7"/>
    <n v="1200"/>
    <n v="0"/>
    <n v="8400"/>
    <n v="6857.2"/>
    <n v="1542.8"/>
    <n v="18.37"/>
    <x v="0"/>
    <x v="0"/>
    <x v="7"/>
    <x v="10"/>
    <n v="2025"/>
    <s v="Tuesday"/>
    <n v="1"/>
    <s v="20-08-2025"/>
    <x v="1"/>
    <s v="New"/>
    <s v="High"/>
    <s v="No"/>
    <n v="1"/>
    <s v="Rohan"/>
    <s v="Chopra"/>
    <m/>
    <m/>
    <m/>
    <m/>
    <m/>
    <m/>
    <s v="Needs Improvement"/>
    <s v="Low"/>
    <s v="No"/>
    <s v="Yes"/>
    <n v="0.18366666666666667"/>
    <m/>
    <m/>
    <m/>
    <m/>
    <m/>
    <m/>
    <m/>
    <m/>
    <m/>
    <m/>
    <m/>
    <m/>
    <m/>
    <m/>
    <m/>
  </r>
  <r>
    <s v="ORD10982"/>
    <s v="19-09-2024"/>
    <s v="CUST1160"/>
    <s v="Aditi Yadav"/>
    <x v="0"/>
    <s v="Kolkata"/>
    <s v="West Bengal"/>
    <x v="0"/>
    <x v="4"/>
    <x v="16"/>
    <n v="1"/>
    <n v="500"/>
    <n v="0.15"/>
    <n v="425"/>
    <n v="299.62"/>
    <n v="125.38"/>
    <n v="29.5"/>
    <x v="2"/>
    <x v="0"/>
    <x v="4"/>
    <x v="3"/>
    <n v="2024"/>
    <s v="Thursday"/>
    <n v="2"/>
    <s v="21-09-2024"/>
    <x v="1"/>
    <s v="VIP"/>
    <s v="High"/>
    <s v="No"/>
    <n v="4"/>
    <s v="Aditi"/>
    <s v="Yadav"/>
    <m/>
    <m/>
    <m/>
    <m/>
    <m/>
    <m/>
    <s v="Needs Improvement"/>
    <s v="Low"/>
    <s v="No"/>
    <s v="Yes"/>
    <n v="0.29501176470588236"/>
    <m/>
    <m/>
    <m/>
    <m/>
    <m/>
    <m/>
    <m/>
    <m/>
    <m/>
    <m/>
    <m/>
    <m/>
    <m/>
    <m/>
    <m/>
  </r>
  <r>
    <s v="ORD10256"/>
    <s v="19-09-2025"/>
    <s v="CUST1273"/>
    <s v="Ananya Mehta"/>
    <x v="2"/>
    <s v="Hyderabad"/>
    <s v="Telangana"/>
    <x v="1"/>
    <x v="3"/>
    <x v="5"/>
    <n v="7"/>
    <n v="200"/>
    <n v="0.2"/>
    <n v="1120"/>
    <n v="812.09"/>
    <n v="307.91000000000003"/>
    <n v="27.49"/>
    <x v="2"/>
    <x v="2"/>
    <x v="0"/>
    <x v="3"/>
    <n v="2025"/>
    <s v="Friday"/>
    <n v="5"/>
    <s v="24-09-2025"/>
    <x v="0"/>
    <s v="New"/>
    <s v="High"/>
    <s v="No"/>
    <n v="5"/>
    <s v="Ananya"/>
    <s v="Mehta"/>
    <m/>
    <m/>
    <m/>
    <m/>
    <m/>
    <m/>
    <s v="Needs Improvement"/>
    <s v="Low"/>
    <s v="No"/>
    <s v="Yes"/>
    <n v="0.27491964285714288"/>
    <m/>
    <m/>
    <m/>
    <m/>
    <m/>
    <m/>
    <m/>
    <m/>
    <m/>
    <m/>
    <m/>
    <m/>
    <m/>
    <m/>
    <m/>
  </r>
  <r>
    <s v="ORD10193"/>
    <s v="19-11-2024"/>
    <s v="CUST1324"/>
    <s v="Karan Jain"/>
    <x v="1"/>
    <s v="Hyderabad"/>
    <s v="Telangana"/>
    <x v="1"/>
    <x v="3"/>
    <x v="18"/>
    <n v="10"/>
    <n v="500"/>
    <n v="0.05"/>
    <n v="4750"/>
    <n v="3237.82"/>
    <n v="1512.18"/>
    <n v="31.84"/>
    <x v="1"/>
    <x v="1"/>
    <x v="0"/>
    <x v="11"/>
    <n v="2024"/>
    <s v="Tuesday"/>
    <n v="3"/>
    <s v="22-11-2024"/>
    <x v="0"/>
    <s v="New"/>
    <s v="Low"/>
    <s v="Yes"/>
    <n v="4"/>
    <s v="Karan"/>
    <s v="Jain"/>
    <m/>
    <m/>
    <m/>
    <m/>
    <m/>
    <m/>
    <s v="Good"/>
    <s v="Low"/>
    <s v="No"/>
    <s v="No"/>
    <n v="0.31835368421052634"/>
    <m/>
    <m/>
    <m/>
    <m/>
    <m/>
    <m/>
    <m/>
    <m/>
    <m/>
    <m/>
    <m/>
    <m/>
    <m/>
    <m/>
    <m/>
  </r>
  <r>
    <s v="ORD10422"/>
    <s v="19-11-2025"/>
    <s v="CUST1193"/>
    <s v="Simran Jain"/>
    <x v="0"/>
    <s v="Ahmedabad"/>
    <s v="Gujarat"/>
    <x v="3"/>
    <x v="2"/>
    <x v="7"/>
    <n v="9"/>
    <n v="8000"/>
    <n v="0.15"/>
    <n v="61200"/>
    <n v="49721.97"/>
    <n v="11478.03"/>
    <n v="18.75"/>
    <x v="1"/>
    <x v="2"/>
    <x v="9"/>
    <x v="11"/>
    <n v="2025"/>
    <s v="Wednesday"/>
    <n v="2"/>
    <s v="21-11-2025"/>
    <x v="0"/>
    <s v="Returning"/>
    <s v="Low"/>
    <s v="No"/>
    <n v="1"/>
    <s v="Simran"/>
    <s v="Jain"/>
    <m/>
    <m/>
    <m/>
    <m/>
    <m/>
    <m/>
    <s v="Needs Improvement"/>
    <s v="High"/>
    <s v="Yes"/>
    <s v="Yes"/>
    <n v="0.18754950980392157"/>
    <m/>
    <m/>
    <m/>
    <m/>
    <m/>
    <m/>
    <m/>
    <m/>
    <m/>
    <m/>
    <m/>
    <m/>
    <m/>
    <m/>
    <m/>
  </r>
  <r>
    <s v="ORD10138"/>
    <s v="19-12-2024"/>
    <s v="CUST1213"/>
    <s v="Aditya Verma"/>
    <x v="1"/>
    <s v="Chennai"/>
    <s v="Tamil Nadu"/>
    <x v="3"/>
    <x v="1"/>
    <x v="14"/>
    <n v="10"/>
    <n v="3500"/>
    <n v="0.05"/>
    <n v="33250"/>
    <n v="19226.09"/>
    <n v="14023.91"/>
    <n v="42.18"/>
    <x v="0"/>
    <x v="1"/>
    <x v="3"/>
    <x v="5"/>
    <n v="2024"/>
    <s v="Thursday"/>
    <n v="1"/>
    <s v="20-12-2024"/>
    <x v="2"/>
    <s v="Returning"/>
    <s v="Low"/>
    <s v="No"/>
    <n v="3"/>
    <s v="Aditya"/>
    <s v="Verma"/>
    <m/>
    <m/>
    <m/>
    <m/>
    <m/>
    <m/>
    <s v="Good"/>
    <s v="High"/>
    <s v="Yes"/>
    <s v="No"/>
    <n v="0.42177172932330825"/>
    <m/>
    <m/>
    <m/>
    <m/>
    <m/>
    <m/>
    <m/>
    <m/>
    <m/>
    <m/>
    <m/>
    <m/>
    <m/>
    <m/>
    <m/>
  </r>
  <r>
    <s v="ORD10315"/>
    <s v="19-12-2024"/>
    <s v="CUST1060"/>
    <s v="Vivaan Gupta"/>
    <x v="0"/>
    <s v="Kolkata"/>
    <s v="West Bengal"/>
    <x v="2"/>
    <x v="0"/>
    <x v="23"/>
    <n v="3"/>
    <n v="4000"/>
    <n v="0.2"/>
    <n v="9600"/>
    <n v="7238.21"/>
    <n v="2361.79"/>
    <n v="24.6"/>
    <x v="4"/>
    <x v="1"/>
    <x v="9"/>
    <x v="5"/>
    <n v="2024"/>
    <s v="Thursday"/>
    <n v="1"/>
    <s v="20-12-2024"/>
    <x v="0"/>
    <s v="VIP"/>
    <s v="High"/>
    <s v="Yes"/>
    <n v="4"/>
    <s v="Vivaan"/>
    <s v="Gupta"/>
    <m/>
    <m/>
    <m/>
    <m/>
    <m/>
    <m/>
    <s v="Needs Improvement"/>
    <s v="Low"/>
    <s v="No"/>
    <s v="No"/>
    <n v="0.24601979166666665"/>
    <m/>
    <m/>
    <m/>
    <m/>
    <m/>
    <m/>
    <m/>
    <m/>
    <m/>
    <m/>
    <m/>
    <m/>
    <m/>
    <m/>
    <m/>
  </r>
  <r>
    <s v="ORD10492"/>
    <s v="19-12-2024"/>
    <s v="CUST1022"/>
    <s v="Simran Malhotra"/>
    <x v="2"/>
    <s v="Delhi"/>
    <s v="Delhi"/>
    <x v="3"/>
    <x v="4"/>
    <x v="9"/>
    <n v="1"/>
    <n v="2000"/>
    <n v="0.2"/>
    <n v="1600"/>
    <n v="1175.52"/>
    <n v="424.48"/>
    <n v="26.53"/>
    <x v="2"/>
    <x v="2"/>
    <x v="3"/>
    <x v="5"/>
    <n v="2024"/>
    <s v="Thursday"/>
    <n v="4"/>
    <s v="23-12-2024"/>
    <x v="1"/>
    <s v="New"/>
    <s v="High"/>
    <s v="No"/>
    <n v="1"/>
    <s v="Simran"/>
    <s v="Malhotra"/>
    <m/>
    <m/>
    <m/>
    <m/>
    <m/>
    <m/>
    <s v="Needs Improvement"/>
    <s v="Low"/>
    <s v="No"/>
    <s v="Yes"/>
    <n v="0.26530000000000004"/>
    <m/>
    <m/>
    <m/>
    <m/>
    <m/>
    <m/>
    <m/>
    <m/>
    <m/>
    <m/>
    <m/>
    <m/>
    <m/>
    <m/>
    <m/>
  </r>
  <r>
    <s v="ORD10817"/>
    <s v="19-12-2024"/>
    <s v="CUST1130"/>
    <s v="Pooja Gupta"/>
    <x v="0"/>
    <s v="Jaipur"/>
    <s v="Rajasthan"/>
    <x v="2"/>
    <x v="2"/>
    <x v="8"/>
    <n v="3"/>
    <n v="22000"/>
    <n v="0.05"/>
    <n v="62700"/>
    <n v="35016.22"/>
    <n v="27683.78"/>
    <n v="44.15"/>
    <x v="4"/>
    <x v="0"/>
    <x v="3"/>
    <x v="5"/>
    <n v="2024"/>
    <s v="Thursday"/>
    <n v="2"/>
    <s v="21-12-2024"/>
    <x v="0"/>
    <s v="Returning"/>
    <s v="Low"/>
    <s v="No"/>
    <n v="4"/>
    <s v="Pooja"/>
    <s v="Gupta"/>
    <m/>
    <m/>
    <m/>
    <m/>
    <m/>
    <m/>
    <s v="Good"/>
    <s v="High"/>
    <s v="Yes"/>
    <s v="Yes"/>
    <n v="0.44152759170653905"/>
    <m/>
    <m/>
    <m/>
    <m/>
    <m/>
    <m/>
    <m/>
    <m/>
    <m/>
    <m/>
    <m/>
    <m/>
    <m/>
    <m/>
    <m/>
  </r>
  <r>
    <s v="ORD10257"/>
    <s v="20-01-2024"/>
    <s v="CUST1012"/>
    <s v="Karan Verma"/>
    <x v="0"/>
    <s v="Jaipur"/>
    <s v="Rajasthan"/>
    <x v="0"/>
    <x v="3"/>
    <x v="22"/>
    <n v="8"/>
    <n v="200"/>
    <n v="0.1"/>
    <n v="1440"/>
    <n v="1169.03"/>
    <n v="270.97000000000003"/>
    <n v="18.82"/>
    <x v="2"/>
    <x v="0"/>
    <x v="9"/>
    <x v="6"/>
    <n v="2024"/>
    <s v="Saturday"/>
    <n v="3"/>
    <s v="23-01-2024"/>
    <x v="0"/>
    <s v="VIP"/>
    <s v="Low"/>
    <s v="Yes"/>
    <n v="1"/>
    <s v="Karan"/>
    <s v="Verma"/>
    <m/>
    <m/>
    <m/>
    <m/>
    <m/>
    <m/>
    <s v="Needs Improvement"/>
    <s v="Low"/>
    <s v="No"/>
    <s v="Yes"/>
    <n v="0.18817361111111114"/>
    <m/>
    <m/>
    <m/>
    <m/>
    <m/>
    <m/>
    <m/>
    <m/>
    <m/>
    <m/>
    <m/>
    <m/>
    <m/>
    <m/>
    <m/>
  </r>
  <r>
    <s v="ORD10077"/>
    <s v="20-01-2025"/>
    <s v="CUST1270"/>
    <s v="Aditya Mishra"/>
    <x v="1"/>
    <s v="Kolkata"/>
    <s v="West Bengal"/>
    <x v="2"/>
    <x v="0"/>
    <x v="0"/>
    <n v="2"/>
    <n v="6000"/>
    <n v="0.2"/>
    <n v="9600"/>
    <n v="7016.94"/>
    <n v="2583.06"/>
    <n v="26.91"/>
    <x v="3"/>
    <x v="1"/>
    <x v="7"/>
    <x v="6"/>
    <n v="2025"/>
    <s v="Monday"/>
    <n v="6"/>
    <s v="26-01-2025"/>
    <x v="0"/>
    <s v="Returning"/>
    <s v="Medium"/>
    <s v="Yes"/>
    <n v="2"/>
    <s v="Aditya"/>
    <s v="Mishra"/>
    <m/>
    <m/>
    <m/>
    <m/>
    <m/>
    <m/>
    <s v="Needs Improvement"/>
    <s v="Low"/>
    <s v="No"/>
    <s v="No"/>
    <n v="0.26906874999999997"/>
    <m/>
    <m/>
    <m/>
    <m/>
    <m/>
    <m/>
    <m/>
    <m/>
    <m/>
    <m/>
    <m/>
    <m/>
    <m/>
    <m/>
    <m/>
  </r>
  <r>
    <s v="ORD10135"/>
    <s v="20-01-2025"/>
    <s v="CUST1289"/>
    <s v="Rahul Bansal"/>
    <x v="1"/>
    <s v="Chennai"/>
    <s v="Tamil Nadu"/>
    <x v="3"/>
    <x v="3"/>
    <x v="18"/>
    <n v="10"/>
    <n v="200"/>
    <n v="0.1"/>
    <n v="1800"/>
    <n v="1167.4000000000001"/>
    <n v="632.6"/>
    <n v="35.14"/>
    <x v="3"/>
    <x v="2"/>
    <x v="9"/>
    <x v="6"/>
    <n v="2025"/>
    <s v="Monday"/>
    <n v="5"/>
    <s v="25-01-2025"/>
    <x v="2"/>
    <s v="VIP"/>
    <s v="Low"/>
    <s v="No"/>
    <n v="3"/>
    <s v="Rahul"/>
    <s v="Bansal"/>
    <m/>
    <m/>
    <m/>
    <m/>
    <m/>
    <m/>
    <s v="Good"/>
    <s v="Low"/>
    <s v="No"/>
    <s v="Yes"/>
    <n v="0.35144444444444445"/>
    <m/>
    <m/>
    <m/>
    <m/>
    <m/>
    <m/>
    <m/>
    <m/>
    <m/>
    <m/>
    <m/>
    <m/>
    <m/>
    <m/>
    <m/>
  </r>
  <r>
    <s v="ORD10185"/>
    <s v="20-02-2025"/>
    <s v="CUST1029"/>
    <s v="Meera Agarwal"/>
    <x v="2"/>
    <s v="Kolkata"/>
    <s v="West Bengal"/>
    <x v="1"/>
    <x v="4"/>
    <x v="11"/>
    <n v="4"/>
    <n v="2000"/>
    <n v="0.05"/>
    <n v="7600"/>
    <n v="5959.47"/>
    <n v="1640.53"/>
    <n v="21.59"/>
    <x v="0"/>
    <x v="0"/>
    <x v="8"/>
    <x v="7"/>
    <n v="2025"/>
    <s v="Thursday"/>
    <n v="8"/>
    <s v="28-02-2025"/>
    <x v="1"/>
    <s v="Returning"/>
    <s v="Low"/>
    <s v="Yes"/>
    <n v="2"/>
    <s v="Meera"/>
    <s v="Agarwal"/>
    <m/>
    <m/>
    <m/>
    <m/>
    <m/>
    <m/>
    <s v="Needs Improvement"/>
    <s v="Low"/>
    <s v="No"/>
    <s v="Yes"/>
    <n v="0.21585921052631579"/>
    <m/>
    <m/>
    <m/>
    <m/>
    <m/>
    <m/>
    <m/>
    <m/>
    <m/>
    <m/>
    <m/>
    <m/>
    <m/>
    <m/>
    <m/>
  </r>
  <r>
    <s v="ORD10617"/>
    <s v="20-02-2025"/>
    <s v="CUST1274"/>
    <s v="Meera Singh"/>
    <x v="0"/>
    <s v="Jaipur"/>
    <s v="Rajasthan"/>
    <x v="1"/>
    <x v="1"/>
    <x v="6"/>
    <n v="7"/>
    <n v="700"/>
    <n v="0.05"/>
    <n v="4655"/>
    <n v="3167.75"/>
    <n v="1487.25"/>
    <n v="31.95"/>
    <x v="4"/>
    <x v="0"/>
    <x v="1"/>
    <x v="7"/>
    <n v="2025"/>
    <s v="Thursday"/>
    <n v="9"/>
    <d v="2025-01-03T00:00:00"/>
    <x v="0"/>
    <s v="Returning"/>
    <s v="High"/>
    <s v="Yes"/>
    <n v="4"/>
    <s v="Meera"/>
    <s v="Singh"/>
    <m/>
    <m/>
    <m/>
    <m/>
    <m/>
    <m/>
    <s v="Good"/>
    <s v="Low"/>
    <s v="No"/>
    <s v="Yes"/>
    <n v="0.3194951664876477"/>
    <m/>
    <m/>
    <m/>
    <m/>
    <m/>
    <m/>
    <m/>
    <m/>
    <m/>
    <m/>
    <m/>
    <m/>
    <m/>
    <m/>
    <m/>
  </r>
  <r>
    <s v="ORD10864"/>
    <s v="20-02-2025"/>
    <s v="CUST1314"/>
    <s v="Meera Malhotra"/>
    <x v="0"/>
    <s v="Hyderabad"/>
    <s v="Telangana"/>
    <x v="2"/>
    <x v="0"/>
    <x v="23"/>
    <n v="6"/>
    <n v="4000"/>
    <n v="0"/>
    <n v="24000"/>
    <n v="19396.240000000002"/>
    <n v="4603.76"/>
    <n v="19.18"/>
    <x v="1"/>
    <x v="1"/>
    <x v="8"/>
    <x v="7"/>
    <n v="2025"/>
    <s v="Thursday"/>
    <n v="1"/>
    <s v="21-02-2025"/>
    <x v="0"/>
    <s v="Returning"/>
    <s v="High"/>
    <s v="Yes"/>
    <n v="1"/>
    <s v="Meera"/>
    <s v="Malhotra"/>
    <m/>
    <m/>
    <m/>
    <m/>
    <m/>
    <m/>
    <s v="Needs Improvement"/>
    <s v="Medium"/>
    <s v="No"/>
    <s v="No"/>
    <n v="0.19182333333333335"/>
    <m/>
    <m/>
    <m/>
    <m/>
    <m/>
    <m/>
    <m/>
    <m/>
    <m/>
    <m/>
    <m/>
    <m/>
    <m/>
    <m/>
    <m/>
  </r>
  <r>
    <s v="ORD10078"/>
    <s v="20-03-2024"/>
    <s v="CUST1277"/>
    <s v="Meera Sharma"/>
    <x v="1"/>
    <s v="Chennai"/>
    <s v="Tamil Nadu"/>
    <x v="0"/>
    <x v="1"/>
    <x v="2"/>
    <n v="4"/>
    <n v="1200"/>
    <n v="0.05"/>
    <n v="4560"/>
    <n v="3133.07"/>
    <n v="1426.93"/>
    <n v="31.29"/>
    <x v="3"/>
    <x v="2"/>
    <x v="5"/>
    <x v="0"/>
    <n v="2024"/>
    <s v="Wednesday"/>
    <n v="5"/>
    <s v="25-03-2024"/>
    <x v="0"/>
    <s v="Returning"/>
    <s v="Low"/>
    <s v="Yes"/>
    <n v="2"/>
    <s v="Meera"/>
    <s v="Sharma"/>
    <m/>
    <m/>
    <m/>
    <m/>
    <m/>
    <m/>
    <s v="Good"/>
    <s v="Low"/>
    <s v="No"/>
    <s v="Yes"/>
    <n v="0.31292324561403512"/>
    <m/>
    <m/>
    <m/>
    <m/>
    <m/>
    <m/>
    <m/>
    <m/>
    <m/>
    <m/>
    <m/>
    <m/>
    <m/>
    <m/>
    <m/>
  </r>
  <r>
    <s v="ORD10533"/>
    <s v="20-03-2024"/>
    <s v="CUST1341"/>
    <s v="Neha Sharma"/>
    <x v="2"/>
    <s v="Lucknow"/>
    <s v="Uttar Pradesh"/>
    <x v="2"/>
    <x v="1"/>
    <x v="3"/>
    <n v="9"/>
    <n v="3500"/>
    <n v="0.05"/>
    <n v="29925"/>
    <n v="17627.22"/>
    <n v="12297.78"/>
    <n v="41.1"/>
    <x v="2"/>
    <x v="1"/>
    <x v="3"/>
    <x v="0"/>
    <n v="2024"/>
    <s v="Wednesday"/>
    <n v="10"/>
    <s v="30-03-2024"/>
    <x v="1"/>
    <s v="New"/>
    <s v="High"/>
    <s v="No"/>
    <n v="3"/>
    <s v="Neha"/>
    <s v="Sharma"/>
    <m/>
    <m/>
    <m/>
    <m/>
    <m/>
    <m/>
    <s v="Good"/>
    <s v="Medium"/>
    <s v="No"/>
    <s v="No"/>
    <n v="0.41095338345864663"/>
    <m/>
    <m/>
    <m/>
    <m/>
    <m/>
    <m/>
    <m/>
    <m/>
    <m/>
    <m/>
    <m/>
    <m/>
    <m/>
    <m/>
    <m/>
  </r>
  <r>
    <s v="ORD10177"/>
    <s v="20-03-2025"/>
    <s v="CUST1106"/>
    <s v="Rahul Mehta"/>
    <x v="1"/>
    <s v="Lucknow"/>
    <s v="Uttar Pradesh"/>
    <x v="0"/>
    <x v="1"/>
    <x v="3"/>
    <n v="7"/>
    <n v="1200"/>
    <n v="0.2"/>
    <n v="6720"/>
    <n v="3879.72"/>
    <n v="2840.28"/>
    <n v="42.27"/>
    <x v="0"/>
    <x v="1"/>
    <x v="6"/>
    <x v="0"/>
    <n v="2025"/>
    <s v="Thursday"/>
    <n v="3"/>
    <s v="23-03-2025"/>
    <x v="0"/>
    <s v="New"/>
    <s v="Low"/>
    <s v="No"/>
    <n v="5"/>
    <s v="Rahul"/>
    <s v="Mehta"/>
    <m/>
    <m/>
    <m/>
    <m/>
    <m/>
    <m/>
    <s v="Good"/>
    <s v="Low"/>
    <s v="No"/>
    <s v="No"/>
    <n v="0.42266071428571433"/>
    <m/>
    <m/>
    <m/>
    <m/>
    <m/>
    <m/>
    <m/>
    <m/>
    <m/>
    <m/>
    <m/>
    <m/>
    <m/>
    <m/>
    <m/>
  </r>
  <r>
    <s v="ORD10436"/>
    <s v="20-03-2025"/>
    <s v="CUST1067"/>
    <s v="Rahul Singh"/>
    <x v="1"/>
    <s v="Hyderabad"/>
    <s v="Telangana"/>
    <x v="2"/>
    <x v="3"/>
    <x v="17"/>
    <n v="3"/>
    <n v="800"/>
    <n v="0.2"/>
    <n v="1920"/>
    <n v="1130.8699999999999"/>
    <n v="789.13"/>
    <n v="41.1"/>
    <x v="0"/>
    <x v="1"/>
    <x v="5"/>
    <x v="0"/>
    <n v="2025"/>
    <s v="Thursday"/>
    <n v="2"/>
    <s v="22-03-2025"/>
    <x v="0"/>
    <s v="Returning"/>
    <s v="High"/>
    <s v="Yes"/>
    <n v="1"/>
    <s v="Rahul"/>
    <s v="Singh"/>
    <m/>
    <m/>
    <m/>
    <m/>
    <m/>
    <m/>
    <s v="Good"/>
    <s v="Low"/>
    <s v="No"/>
    <s v="No"/>
    <n v="0.41100520833333332"/>
    <m/>
    <m/>
    <m/>
    <m/>
    <m/>
    <m/>
    <m/>
    <m/>
    <m/>
    <m/>
    <m/>
    <m/>
    <m/>
    <m/>
    <m/>
  </r>
  <r>
    <s v="ORD10609"/>
    <s v="20-03-2025"/>
    <s v="CUST1107"/>
    <s v="Karan Sharma"/>
    <x v="0"/>
    <s v="Bengaluru"/>
    <s v="Karnataka"/>
    <x v="0"/>
    <x v="0"/>
    <x v="15"/>
    <n v="9"/>
    <n v="4000"/>
    <n v="0"/>
    <n v="36000"/>
    <n v="25221.21"/>
    <n v="10778.79"/>
    <n v="29.94"/>
    <x v="3"/>
    <x v="1"/>
    <x v="5"/>
    <x v="0"/>
    <n v="2025"/>
    <s v="Thursday"/>
    <n v="2"/>
    <s v="22-03-2025"/>
    <x v="2"/>
    <s v="New"/>
    <s v="High"/>
    <s v="No"/>
    <n v="4"/>
    <s v="Karan"/>
    <s v="Sharma"/>
    <m/>
    <m/>
    <m/>
    <m/>
    <m/>
    <m/>
    <s v="Needs Improvement"/>
    <s v="High"/>
    <s v="Yes"/>
    <s v="No"/>
    <n v="0.29941083333333335"/>
    <m/>
    <m/>
    <m/>
    <m/>
    <m/>
    <m/>
    <m/>
    <m/>
    <m/>
    <m/>
    <m/>
    <m/>
    <m/>
    <m/>
    <m/>
  </r>
  <r>
    <s v="ORD10700"/>
    <s v="20-03-2025"/>
    <s v="CUST1250"/>
    <s v="Aditi Bansal"/>
    <x v="1"/>
    <s v="Jaipur"/>
    <s v="Rajasthan"/>
    <x v="2"/>
    <x v="0"/>
    <x v="0"/>
    <n v="8"/>
    <n v="4000"/>
    <n v="0.2"/>
    <n v="25600"/>
    <n v="20973.360000000001"/>
    <n v="4626.6400000000003"/>
    <n v="18.07"/>
    <x v="3"/>
    <x v="0"/>
    <x v="1"/>
    <x v="0"/>
    <n v="2025"/>
    <s v="Thursday"/>
    <n v="5"/>
    <s v="25-03-2025"/>
    <x v="0"/>
    <s v="New"/>
    <s v="High"/>
    <s v="Yes"/>
    <n v="5"/>
    <s v="Aditi"/>
    <s v="Bansal"/>
    <m/>
    <m/>
    <m/>
    <m/>
    <m/>
    <m/>
    <s v="Needs Improvement"/>
    <s v="Medium"/>
    <s v="No"/>
    <s v="Yes"/>
    <n v="0.18072812500000002"/>
    <m/>
    <m/>
    <m/>
    <m/>
    <m/>
    <m/>
    <m/>
    <m/>
    <m/>
    <m/>
    <m/>
    <m/>
    <m/>
    <m/>
    <m/>
  </r>
  <r>
    <s v="ORD10392"/>
    <s v="20-04-2024"/>
    <s v="CUST1238"/>
    <s v="Nisha Chopra"/>
    <x v="0"/>
    <s v="Lucknow"/>
    <s v="Uttar Pradesh"/>
    <x v="0"/>
    <x v="2"/>
    <x v="12"/>
    <n v="2"/>
    <n v="8000"/>
    <n v="0.2"/>
    <n v="12800"/>
    <n v="8467.4"/>
    <n v="4332.6000000000004"/>
    <n v="33.85"/>
    <x v="0"/>
    <x v="0"/>
    <x v="2"/>
    <x v="8"/>
    <n v="2024"/>
    <s v="Saturday"/>
    <n v="9"/>
    <s v="29-04-2024"/>
    <x v="2"/>
    <s v="VIP"/>
    <s v="Low"/>
    <s v="Yes"/>
    <n v="4"/>
    <s v="Nisha"/>
    <s v="Chopra"/>
    <m/>
    <m/>
    <m/>
    <m/>
    <m/>
    <m/>
    <s v="Good"/>
    <s v="Medium"/>
    <s v="No"/>
    <s v="Yes"/>
    <n v="0.338484375"/>
    <m/>
    <m/>
    <m/>
    <m/>
    <m/>
    <m/>
    <m/>
    <m/>
    <m/>
    <m/>
    <m/>
    <m/>
    <m/>
    <m/>
    <m/>
  </r>
  <r>
    <s v="ORD10430"/>
    <s v="20-04-2024"/>
    <s v="CUST1035"/>
    <s v="Nisha Agarwal"/>
    <x v="2"/>
    <s v="Delhi"/>
    <s v="Delhi"/>
    <x v="3"/>
    <x v="1"/>
    <x v="20"/>
    <n v="6"/>
    <n v="3500"/>
    <n v="0.05"/>
    <n v="19950"/>
    <n v="14178.41"/>
    <n v="5771.59"/>
    <n v="28.93"/>
    <x v="3"/>
    <x v="1"/>
    <x v="3"/>
    <x v="8"/>
    <n v="2024"/>
    <s v="Saturday"/>
    <n v="2"/>
    <s v="22-04-2024"/>
    <x v="0"/>
    <s v="Returning"/>
    <s v="Medium"/>
    <s v="No"/>
    <n v="2"/>
    <s v="Nisha"/>
    <s v="Agarwal"/>
    <m/>
    <m/>
    <m/>
    <m/>
    <m/>
    <m/>
    <s v="Needs Improvement"/>
    <s v="Medium"/>
    <s v="No"/>
    <s v="No"/>
    <n v="0.28930275689223056"/>
    <m/>
    <m/>
    <m/>
    <m/>
    <m/>
    <m/>
    <m/>
    <m/>
    <m/>
    <m/>
    <m/>
    <m/>
    <m/>
    <m/>
    <m/>
  </r>
  <r>
    <s v="ORD10161"/>
    <s v="20-04-2025"/>
    <s v="CUST1101"/>
    <s v="Aditi Agarwal"/>
    <x v="2"/>
    <s v="Hyderabad"/>
    <s v="Telangana"/>
    <x v="3"/>
    <x v="3"/>
    <x v="22"/>
    <n v="5"/>
    <n v="800"/>
    <n v="0.05"/>
    <n v="3800"/>
    <n v="3087.13"/>
    <n v="712.87"/>
    <n v="18.760000000000002"/>
    <x v="1"/>
    <x v="1"/>
    <x v="7"/>
    <x v="8"/>
    <n v="2025"/>
    <s v="Sunday"/>
    <n v="6"/>
    <s v="26-04-2025"/>
    <x v="1"/>
    <s v="New"/>
    <s v="High"/>
    <s v="No"/>
    <n v="1"/>
    <s v="Aditi"/>
    <s v="Agarwal"/>
    <m/>
    <m/>
    <m/>
    <m/>
    <m/>
    <m/>
    <s v="Needs Improvement"/>
    <s v="Low"/>
    <s v="No"/>
    <s v="No"/>
    <n v="0.18759736842105262"/>
    <m/>
    <m/>
    <m/>
    <m/>
    <m/>
    <m/>
    <m/>
    <m/>
    <m/>
    <m/>
    <m/>
    <m/>
    <m/>
    <m/>
    <m/>
  </r>
  <r>
    <s v="ORD10438"/>
    <s v="20-04-2025"/>
    <s v="CUST1270"/>
    <s v="Kavya Yadav"/>
    <x v="0"/>
    <s v="Ahmedabad"/>
    <s v="Gujarat"/>
    <x v="2"/>
    <x v="1"/>
    <x v="20"/>
    <n v="6"/>
    <n v="2500"/>
    <n v="0.2"/>
    <n v="12000"/>
    <n v="8908.4599999999991"/>
    <n v="3091.54"/>
    <n v="25.76"/>
    <x v="0"/>
    <x v="0"/>
    <x v="1"/>
    <x v="8"/>
    <n v="2025"/>
    <s v="Sunday"/>
    <n v="3"/>
    <s v="23-04-2025"/>
    <x v="0"/>
    <s v="VIP"/>
    <s v="High"/>
    <s v="Yes"/>
    <n v="2"/>
    <s v="Kavya"/>
    <s v="Yadav"/>
    <m/>
    <m/>
    <m/>
    <m/>
    <m/>
    <m/>
    <s v="Needs Improvement"/>
    <s v="Medium"/>
    <s v="No"/>
    <s v="Yes"/>
    <n v="0.25762833333333335"/>
    <m/>
    <m/>
    <m/>
    <m/>
    <m/>
    <m/>
    <m/>
    <m/>
    <m/>
    <m/>
    <m/>
    <m/>
    <m/>
    <m/>
    <m/>
  </r>
  <r>
    <s v="ORD10909"/>
    <s v="20-04-2025"/>
    <s v="CUST1186"/>
    <s v="Aditi Mishra"/>
    <x v="0"/>
    <s v="Mumbai"/>
    <s v="Maharashtra"/>
    <x v="2"/>
    <x v="1"/>
    <x v="2"/>
    <n v="3"/>
    <n v="1800"/>
    <n v="0.15"/>
    <n v="4590"/>
    <n v="3450.04"/>
    <n v="1139.96"/>
    <n v="24.84"/>
    <x v="2"/>
    <x v="1"/>
    <x v="4"/>
    <x v="8"/>
    <n v="2025"/>
    <s v="Sunday"/>
    <n v="6"/>
    <s v="26-04-2025"/>
    <x v="0"/>
    <s v="VIP"/>
    <s v="Low"/>
    <s v="No"/>
    <n v="2"/>
    <s v="Aditi"/>
    <s v="Mishra"/>
    <m/>
    <m/>
    <m/>
    <m/>
    <m/>
    <m/>
    <s v="Needs Improvement"/>
    <s v="Low"/>
    <s v="No"/>
    <s v="No"/>
    <n v="0.24835729847494553"/>
    <m/>
    <m/>
    <m/>
    <m/>
    <m/>
    <m/>
    <m/>
    <m/>
    <m/>
    <m/>
    <m/>
    <m/>
    <m/>
    <m/>
    <m/>
  </r>
  <r>
    <s v="ORD10769"/>
    <s v="20-05-2024"/>
    <s v="CUST1231"/>
    <s v="Aditi Chopra"/>
    <x v="1"/>
    <s v="Kolkata"/>
    <s v="West Bengal"/>
    <x v="3"/>
    <x v="3"/>
    <x v="18"/>
    <n v="2"/>
    <n v="800"/>
    <n v="0.1"/>
    <n v="1440"/>
    <n v="1042.96"/>
    <n v="397.04"/>
    <n v="27.57"/>
    <x v="1"/>
    <x v="1"/>
    <x v="8"/>
    <x v="1"/>
    <n v="2024"/>
    <s v="Monday"/>
    <n v="6"/>
    <s v="26-05-2024"/>
    <x v="0"/>
    <s v="VIP"/>
    <s v="Low"/>
    <s v="No"/>
    <n v="5"/>
    <s v="Aditi"/>
    <s v="Chopra"/>
    <m/>
    <m/>
    <m/>
    <m/>
    <m/>
    <m/>
    <s v="Needs Improvement"/>
    <s v="Low"/>
    <s v="No"/>
    <s v="No"/>
    <n v="0.27572222222222226"/>
    <m/>
    <m/>
    <m/>
    <m/>
    <m/>
    <m/>
    <m/>
    <m/>
    <m/>
    <m/>
    <m/>
    <m/>
    <m/>
    <m/>
    <m/>
  </r>
  <r>
    <s v="ORD10133"/>
    <s v="20-06-2024"/>
    <s v="CUST1248"/>
    <s v="Aditya Jain"/>
    <x v="0"/>
    <s v="Pune"/>
    <s v="Maharashtra"/>
    <x v="3"/>
    <x v="3"/>
    <x v="17"/>
    <n v="8"/>
    <n v="200"/>
    <n v="0"/>
    <n v="1600"/>
    <n v="1061.92"/>
    <n v="538.08000000000004"/>
    <n v="33.630000000000003"/>
    <x v="4"/>
    <x v="0"/>
    <x v="5"/>
    <x v="2"/>
    <n v="2024"/>
    <s v="Thursday"/>
    <n v="7"/>
    <s v="27-06-2024"/>
    <x v="0"/>
    <s v="New"/>
    <s v="Medium"/>
    <s v="Yes"/>
    <n v="2"/>
    <s v="Aditya"/>
    <s v="Jain"/>
    <m/>
    <m/>
    <m/>
    <m/>
    <m/>
    <m/>
    <s v="Good"/>
    <s v="Low"/>
    <s v="No"/>
    <s v="Yes"/>
    <n v="0.33630000000000004"/>
    <m/>
    <m/>
    <m/>
    <m/>
    <m/>
    <m/>
    <m/>
    <m/>
    <m/>
    <m/>
    <m/>
    <m/>
    <m/>
    <m/>
    <m/>
  </r>
  <r>
    <s v="ORD10352"/>
    <s v="20-06-2024"/>
    <s v="CUST1155"/>
    <s v="Ananya Mishra"/>
    <x v="1"/>
    <s v="Mumbai"/>
    <s v="Maharashtra"/>
    <x v="0"/>
    <x v="4"/>
    <x v="9"/>
    <n v="3"/>
    <n v="500"/>
    <n v="0.2"/>
    <n v="1200"/>
    <n v="942.67"/>
    <n v="257.33"/>
    <n v="21.44"/>
    <x v="1"/>
    <x v="0"/>
    <x v="5"/>
    <x v="2"/>
    <n v="2024"/>
    <s v="Thursday"/>
    <n v="9"/>
    <s v="29-06-2024"/>
    <x v="0"/>
    <s v="Returning"/>
    <s v="Low"/>
    <s v="Yes"/>
    <n v="2"/>
    <s v="Ananya"/>
    <s v="Mishra"/>
    <m/>
    <m/>
    <m/>
    <m/>
    <m/>
    <m/>
    <s v="Needs Improvement"/>
    <s v="Low"/>
    <s v="No"/>
    <s v="Yes"/>
    <n v="0.21444166666666664"/>
    <m/>
    <m/>
    <m/>
    <m/>
    <m/>
    <m/>
    <m/>
    <m/>
    <m/>
    <m/>
    <m/>
    <m/>
    <m/>
    <m/>
    <m/>
  </r>
  <r>
    <s v="ORD10355"/>
    <s v="20-07-2024"/>
    <s v="CUST1263"/>
    <s v="Nisha Sharma"/>
    <x v="0"/>
    <s v="Mumbai"/>
    <s v="Maharashtra"/>
    <x v="1"/>
    <x v="2"/>
    <x v="7"/>
    <n v="8"/>
    <n v="22000"/>
    <n v="0"/>
    <n v="176000"/>
    <n v="134485.98000000001"/>
    <n v="41514.019999999997"/>
    <n v="23.59"/>
    <x v="0"/>
    <x v="2"/>
    <x v="2"/>
    <x v="9"/>
    <n v="2024"/>
    <s v="Saturday"/>
    <n v="2"/>
    <s v="22-07-2024"/>
    <x v="0"/>
    <s v="Returning"/>
    <s v="High"/>
    <s v="Yes"/>
    <n v="1"/>
    <s v="Nisha"/>
    <s v="Sharma"/>
    <m/>
    <m/>
    <m/>
    <m/>
    <m/>
    <m/>
    <s v="Needs Improvement"/>
    <s v="High"/>
    <s v="Yes"/>
    <s v="Yes"/>
    <n v="0.23587511363636363"/>
    <m/>
    <m/>
    <m/>
    <m/>
    <m/>
    <m/>
    <m/>
    <m/>
    <m/>
    <m/>
    <m/>
    <m/>
    <m/>
    <m/>
    <m/>
  </r>
  <r>
    <s v="ORD10960"/>
    <s v="20-07-2024"/>
    <s v="CUST1100"/>
    <s v="Rohan Saxena"/>
    <x v="1"/>
    <s v="Pune"/>
    <s v="Maharashtra"/>
    <x v="2"/>
    <x v="3"/>
    <x v="17"/>
    <n v="8"/>
    <n v="350"/>
    <n v="0.05"/>
    <n v="2660"/>
    <n v="1563.51"/>
    <n v="1096.49"/>
    <n v="41.22"/>
    <x v="0"/>
    <x v="0"/>
    <x v="5"/>
    <x v="9"/>
    <n v="2024"/>
    <s v="Saturday"/>
    <n v="2"/>
    <s v="22-07-2024"/>
    <x v="0"/>
    <s v="VIP"/>
    <s v="High"/>
    <s v="No"/>
    <n v="5"/>
    <s v="Rohan"/>
    <s v="Saxena"/>
    <m/>
    <m/>
    <m/>
    <m/>
    <m/>
    <m/>
    <s v="Good"/>
    <s v="Low"/>
    <s v="No"/>
    <s v="Yes"/>
    <n v="0.4122142857142857"/>
    <m/>
    <m/>
    <m/>
    <m/>
    <m/>
    <m/>
    <m/>
    <m/>
    <m/>
    <m/>
    <m/>
    <m/>
    <m/>
    <m/>
    <m/>
  </r>
  <r>
    <s v="ORD10270"/>
    <s v="20-07-2025"/>
    <s v="CUST1293"/>
    <s v="Rohan Verma"/>
    <x v="2"/>
    <s v="Pune"/>
    <s v="Maharashtra"/>
    <x v="2"/>
    <x v="0"/>
    <x v="1"/>
    <n v="6"/>
    <n v="2500"/>
    <n v="0.1"/>
    <n v="13500"/>
    <n v="9505.09"/>
    <n v="3994.91"/>
    <n v="29.59"/>
    <x v="0"/>
    <x v="2"/>
    <x v="4"/>
    <x v="9"/>
    <n v="2025"/>
    <s v="Sunday"/>
    <n v="9"/>
    <s v="29-07-2025"/>
    <x v="1"/>
    <s v="Returning"/>
    <s v="Medium"/>
    <s v="Yes"/>
    <n v="2"/>
    <s v="Rohan"/>
    <s v="Verma"/>
    <m/>
    <m/>
    <m/>
    <m/>
    <m/>
    <m/>
    <s v="Needs Improvement"/>
    <s v="Medium"/>
    <s v="No"/>
    <s v="Yes"/>
    <n v="0.29591925925925927"/>
    <m/>
    <m/>
    <m/>
    <m/>
    <m/>
    <m/>
    <m/>
    <m/>
    <m/>
    <m/>
    <m/>
    <m/>
    <m/>
    <m/>
    <m/>
  </r>
  <r>
    <s v="ORD10591"/>
    <s v="20-07-2025"/>
    <s v="CUST1274"/>
    <s v="Riya Mehta"/>
    <x v="1"/>
    <s v="Chennai"/>
    <s v="Tamil Nadu"/>
    <x v="0"/>
    <x v="4"/>
    <x v="19"/>
    <n v="7"/>
    <n v="500"/>
    <n v="0"/>
    <n v="3500"/>
    <n v="2736.3"/>
    <n v="763.7"/>
    <n v="21.82"/>
    <x v="2"/>
    <x v="1"/>
    <x v="9"/>
    <x v="9"/>
    <n v="2025"/>
    <s v="Sunday"/>
    <n v="7"/>
    <s v="27-07-2025"/>
    <x v="0"/>
    <s v="VIP"/>
    <s v="Low"/>
    <s v="Yes"/>
    <n v="1"/>
    <s v="Riya"/>
    <s v="Mehta"/>
    <m/>
    <m/>
    <m/>
    <m/>
    <m/>
    <m/>
    <s v="Needs Improvement"/>
    <s v="Low"/>
    <s v="No"/>
    <s v="No"/>
    <n v="0.21820000000000001"/>
    <m/>
    <m/>
    <m/>
    <m/>
    <m/>
    <m/>
    <m/>
    <m/>
    <m/>
    <m/>
    <m/>
    <m/>
    <m/>
    <m/>
    <m/>
  </r>
  <r>
    <s v="ORD10799"/>
    <s v="20-07-2025"/>
    <s v="CUST1096"/>
    <s v="Vikram Agarwal"/>
    <x v="2"/>
    <s v="Mumbai"/>
    <s v="Maharashtra"/>
    <x v="0"/>
    <x v="3"/>
    <x v="10"/>
    <n v="9"/>
    <n v="100"/>
    <n v="0.15"/>
    <n v="765"/>
    <n v="452.29"/>
    <n v="312.70999999999998"/>
    <n v="40.880000000000003"/>
    <x v="2"/>
    <x v="1"/>
    <x v="8"/>
    <x v="9"/>
    <n v="2025"/>
    <s v="Sunday"/>
    <n v="6"/>
    <s v="26-07-2025"/>
    <x v="0"/>
    <s v="New"/>
    <s v="High"/>
    <s v="Yes"/>
    <n v="4"/>
    <s v="Vikram"/>
    <s v="Agarwal"/>
    <m/>
    <m/>
    <m/>
    <m/>
    <m/>
    <m/>
    <s v="Good"/>
    <s v="Low"/>
    <s v="No"/>
    <s v="No"/>
    <n v="0.40877124183006536"/>
    <m/>
    <m/>
    <m/>
    <m/>
    <m/>
    <m/>
    <m/>
    <m/>
    <m/>
    <m/>
    <m/>
    <m/>
    <m/>
    <m/>
    <m/>
  </r>
  <r>
    <s v="ORD10272"/>
    <s v="20-08-2024"/>
    <s v="CUST1324"/>
    <s v="Pooja Sharma"/>
    <x v="0"/>
    <s v="Delhi"/>
    <s v="Delhi"/>
    <x v="1"/>
    <x v="3"/>
    <x v="17"/>
    <n v="7"/>
    <n v="500"/>
    <n v="0"/>
    <n v="3500"/>
    <n v="2524.02"/>
    <n v="975.98"/>
    <n v="27.89"/>
    <x v="0"/>
    <x v="0"/>
    <x v="5"/>
    <x v="10"/>
    <n v="2024"/>
    <s v="Tuesday"/>
    <n v="10"/>
    <s v="30-08-2024"/>
    <x v="0"/>
    <s v="New"/>
    <s v="Medium"/>
    <s v="Yes"/>
    <n v="2"/>
    <s v="Pooja"/>
    <s v="Sharma"/>
    <m/>
    <m/>
    <m/>
    <m/>
    <m/>
    <m/>
    <s v="Needs Improvement"/>
    <s v="Low"/>
    <s v="No"/>
    <s v="Yes"/>
    <n v="0.27885142857142858"/>
    <m/>
    <m/>
    <m/>
    <m/>
    <m/>
    <m/>
    <m/>
    <m/>
    <m/>
    <m/>
    <m/>
    <m/>
    <m/>
    <m/>
    <m/>
  </r>
  <r>
    <s v="ORD10237"/>
    <s v="20-09-2025"/>
    <s v="CUST1326"/>
    <s v="Aarav Agarwal"/>
    <x v="2"/>
    <s v="Mumbai"/>
    <s v="Maharashtra"/>
    <x v="3"/>
    <x v="0"/>
    <x v="0"/>
    <n v="7"/>
    <n v="6000"/>
    <n v="0.2"/>
    <n v="33600"/>
    <n v="22009.95"/>
    <n v="11590.05"/>
    <n v="34.49"/>
    <x v="4"/>
    <x v="0"/>
    <x v="1"/>
    <x v="3"/>
    <n v="2025"/>
    <s v="Saturday"/>
    <n v="1"/>
    <s v="21-09-2025"/>
    <x v="0"/>
    <s v="New"/>
    <s v="Low"/>
    <s v="No"/>
    <n v="2"/>
    <s v="Aarav"/>
    <s v="Agarwal"/>
    <m/>
    <m/>
    <m/>
    <m/>
    <m/>
    <m/>
    <s v="Good"/>
    <s v="High"/>
    <s v="Yes"/>
    <s v="Yes"/>
    <n v="0.34494196428571428"/>
    <m/>
    <m/>
    <m/>
    <m/>
    <m/>
    <m/>
    <m/>
    <m/>
    <m/>
    <m/>
    <m/>
    <m/>
    <m/>
    <m/>
    <m/>
  </r>
  <r>
    <s v="ORD10423"/>
    <s v="20-09-2025"/>
    <s v="CUST1253"/>
    <s v="Sneha Sharma"/>
    <x v="0"/>
    <s v="Hyderabad"/>
    <s v="Telangana"/>
    <x v="2"/>
    <x v="2"/>
    <x v="8"/>
    <n v="6"/>
    <n v="12000"/>
    <n v="0"/>
    <n v="72000"/>
    <n v="44153.97"/>
    <n v="27846.03"/>
    <n v="38.68"/>
    <x v="3"/>
    <x v="2"/>
    <x v="7"/>
    <x v="3"/>
    <n v="2025"/>
    <s v="Saturday"/>
    <n v="5"/>
    <s v="25-09-2025"/>
    <x v="0"/>
    <s v="New"/>
    <s v="High"/>
    <s v="No"/>
    <n v="1"/>
    <s v="Sneha"/>
    <s v="Sharma"/>
    <m/>
    <m/>
    <m/>
    <m/>
    <m/>
    <m/>
    <s v="Good"/>
    <s v="High"/>
    <s v="Yes"/>
    <s v="Yes"/>
    <n v="0.38675041666666665"/>
    <m/>
    <m/>
    <m/>
    <m/>
    <m/>
    <m/>
    <m/>
    <m/>
    <m/>
    <m/>
    <m/>
    <m/>
    <m/>
    <m/>
    <m/>
  </r>
  <r>
    <s v="ORD10857"/>
    <s v="20-09-2025"/>
    <s v="CUST1009"/>
    <s v="Simran Agarwal"/>
    <x v="1"/>
    <s v="Delhi"/>
    <s v="Delhi"/>
    <x v="3"/>
    <x v="1"/>
    <x v="2"/>
    <n v="4"/>
    <n v="2500"/>
    <n v="0.2"/>
    <n v="8000"/>
    <n v="5735.08"/>
    <n v="2264.92"/>
    <n v="28.31"/>
    <x v="2"/>
    <x v="2"/>
    <x v="7"/>
    <x v="3"/>
    <n v="2025"/>
    <s v="Saturday"/>
    <n v="9"/>
    <s v="29-09-2025"/>
    <x v="2"/>
    <s v="Returning"/>
    <s v="Low"/>
    <s v="Yes"/>
    <n v="4"/>
    <s v="Simran"/>
    <s v="Agarwal"/>
    <m/>
    <m/>
    <m/>
    <m/>
    <m/>
    <m/>
    <s v="Needs Improvement"/>
    <s v="Low"/>
    <s v="No"/>
    <s v="Yes"/>
    <n v="0.28311500000000001"/>
    <m/>
    <m/>
    <m/>
    <m/>
    <m/>
    <m/>
    <m/>
    <m/>
    <m/>
    <m/>
    <m/>
    <m/>
    <m/>
    <m/>
    <m/>
  </r>
  <r>
    <s v="ORD10972"/>
    <s v="20-09-2025"/>
    <s v="CUST1241"/>
    <s v="Vivaan Kapoor"/>
    <x v="1"/>
    <s v="Delhi"/>
    <s v="Delhi"/>
    <x v="1"/>
    <x v="1"/>
    <x v="20"/>
    <n v="6"/>
    <n v="700"/>
    <n v="0.15"/>
    <n v="3570"/>
    <n v="2708.04"/>
    <n v="861.96"/>
    <n v="24.14"/>
    <x v="0"/>
    <x v="0"/>
    <x v="6"/>
    <x v="3"/>
    <n v="2025"/>
    <s v="Saturday"/>
    <n v="10"/>
    <s v="30-09-2025"/>
    <x v="0"/>
    <s v="Returning"/>
    <s v="Medium"/>
    <s v="Yes"/>
    <n v="3"/>
    <s v="Vivaan"/>
    <s v="Kapoor"/>
    <m/>
    <m/>
    <m/>
    <m/>
    <m/>
    <m/>
    <s v="Needs Improvement"/>
    <s v="Low"/>
    <s v="No"/>
    <s v="Yes"/>
    <n v="0.24144537815126052"/>
    <m/>
    <m/>
    <m/>
    <m/>
    <m/>
    <m/>
    <m/>
    <m/>
    <m/>
    <m/>
    <m/>
    <m/>
    <m/>
    <m/>
    <m/>
  </r>
  <r>
    <s v="ORD10250"/>
    <s v="20-10-2024"/>
    <s v="CUST1328"/>
    <s v="Neha Mehta"/>
    <x v="1"/>
    <s v="Ahmedabad"/>
    <s v="Gujarat"/>
    <x v="2"/>
    <x v="1"/>
    <x v="14"/>
    <n v="2"/>
    <n v="2500"/>
    <n v="0.2"/>
    <n v="4000"/>
    <n v="3137.72"/>
    <n v="862.28"/>
    <n v="21.56"/>
    <x v="1"/>
    <x v="2"/>
    <x v="4"/>
    <x v="4"/>
    <n v="2024"/>
    <s v="Sunday"/>
    <n v="8"/>
    <s v="28-10-2024"/>
    <x v="0"/>
    <s v="Returning"/>
    <s v="Low"/>
    <s v="No"/>
    <n v="3"/>
    <s v="Neha"/>
    <s v="Mehta"/>
    <m/>
    <m/>
    <m/>
    <m/>
    <m/>
    <m/>
    <s v="Needs Improvement"/>
    <s v="Low"/>
    <s v="No"/>
    <s v="Yes"/>
    <n v="0.21556999999999998"/>
    <m/>
    <m/>
    <m/>
    <m/>
    <m/>
    <m/>
    <m/>
    <m/>
    <m/>
    <m/>
    <m/>
    <m/>
    <m/>
    <m/>
    <m/>
  </r>
  <r>
    <s v="ORD10844"/>
    <s v="20-10-2025"/>
    <s v="CUST1048"/>
    <s v="Neha Saxena"/>
    <x v="2"/>
    <s v="Pune"/>
    <s v="Maharashtra"/>
    <x v="1"/>
    <x v="2"/>
    <x v="12"/>
    <n v="7"/>
    <n v="8000"/>
    <n v="0.1"/>
    <n v="50400"/>
    <n v="39873.339999999997"/>
    <n v="10526.66"/>
    <n v="20.89"/>
    <x v="1"/>
    <x v="1"/>
    <x v="5"/>
    <x v="4"/>
    <n v="2025"/>
    <s v="Monday"/>
    <n v="10"/>
    <s v="30-10-2025"/>
    <x v="2"/>
    <s v="VIP"/>
    <s v="High"/>
    <s v="Yes"/>
    <n v="1"/>
    <s v="Neha"/>
    <s v="Saxena"/>
    <m/>
    <m/>
    <m/>
    <m/>
    <m/>
    <m/>
    <s v="Needs Improvement"/>
    <s v="High"/>
    <s v="Yes"/>
    <s v="No"/>
    <n v="0.2088623015873016"/>
    <m/>
    <m/>
    <m/>
    <m/>
    <m/>
    <m/>
    <m/>
    <m/>
    <m/>
    <m/>
    <m/>
    <m/>
    <m/>
    <m/>
    <m/>
  </r>
  <r>
    <s v="ORD10106"/>
    <s v="20-12-2024"/>
    <s v="CUST1110"/>
    <s v="Rahul Chopra"/>
    <x v="1"/>
    <s v="Chennai"/>
    <s v="Tamil Nadu"/>
    <x v="0"/>
    <x v="0"/>
    <x v="24"/>
    <n v="1"/>
    <n v="6000"/>
    <n v="0"/>
    <n v="6000"/>
    <n v="4510.6899999999996"/>
    <n v="1489.31"/>
    <n v="24.82"/>
    <x v="3"/>
    <x v="0"/>
    <x v="0"/>
    <x v="5"/>
    <n v="2024"/>
    <s v="Friday"/>
    <n v="8"/>
    <s v="28-12-2024"/>
    <x v="0"/>
    <s v="New"/>
    <s v="Low"/>
    <s v="Yes"/>
    <n v="2"/>
    <s v="Rahul"/>
    <s v="Chopra"/>
    <m/>
    <m/>
    <m/>
    <m/>
    <m/>
    <m/>
    <s v="Needs Improvement"/>
    <s v="Low"/>
    <s v="No"/>
    <s v="Yes"/>
    <n v="0.24821833333333332"/>
    <m/>
    <m/>
    <m/>
    <m/>
    <m/>
    <m/>
    <m/>
    <m/>
    <m/>
    <m/>
    <m/>
    <m/>
    <m/>
    <m/>
    <m/>
  </r>
  <r>
    <s v="ORD10551"/>
    <s v="20-12-2024"/>
    <s v="CUST1161"/>
    <s v="Kavya Bansal"/>
    <x v="2"/>
    <s v="Jaipur"/>
    <s v="Rajasthan"/>
    <x v="2"/>
    <x v="2"/>
    <x v="21"/>
    <n v="5"/>
    <n v="15000"/>
    <n v="0.1"/>
    <n v="67500"/>
    <n v="47266.3"/>
    <n v="20233.7"/>
    <n v="29.98"/>
    <x v="0"/>
    <x v="0"/>
    <x v="9"/>
    <x v="5"/>
    <n v="2024"/>
    <s v="Friday"/>
    <n v="7"/>
    <s v="27-12-2024"/>
    <x v="0"/>
    <s v="Returning"/>
    <s v="High"/>
    <s v="Yes"/>
    <n v="3"/>
    <s v="Kavya"/>
    <s v="Bansal"/>
    <m/>
    <m/>
    <m/>
    <m/>
    <m/>
    <m/>
    <s v="Needs Improvement"/>
    <s v="High"/>
    <s v="Yes"/>
    <s v="Yes"/>
    <n v="0.29975851851851854"/>
    <m/>
    <m/>
    <m/>
    <m/>
    <m/>
    <m/>
    <m/>
    <m/>
    <m/>
    <m/>
    <m/>
    <m/>
    <m/>
    <m/>
    <m/>
  </r>
  <r>
    <s v="ORD10468"/>
    <s v="21-01-2025"/>
    <s v="CUST1016"/>
    <s v="Nisha Singh"/>
    <x v="0"/>
    <s v="Lucknow"/>
    <s v="Uttar Pradesh"/>
    <x v="2"/>
    <x v="2"/>
    <x v="4"/>
    <n v="2"/>
    <n v="15000"/>
    <n v="0"/>
    <n v="30000"/>
    <n v="17020.53"/>
    <n v="12979.47"/>
    <n v="43.26"/>
    <x v="1"/>
    <x v="2"/>
    <x v="7"/>
    <x v="6"/>
    <n v="2025"/>
    <s v="Tuesday"/>
    <n v="2"/>
    <s v="23-01-2025"/>
    <x v="0"/>
    <s v="Returning"/>
    <s v="Low"/>
    <s v="Yes"/>
    <n v="1"/>
    <s v="Nisha"/>
    <s v="Singh"/>
    <m/>
    <m/>
    <m/>
    <m/>
    <m/>
    <m/>
    <s v="Good"/>
    <s v="High"/>
    <s v="Yes"/>
    <s v="Yes"/>
    <n v="0.43264900000000001"/>
    <m/>
    <m/>
    <m/>
    <m/>
    <m/>
    <m/>
    <m/>
    <m/>
    <m/>
    <m/>
    <m/>
    <m/>
    <m/>
    <m/>
    <m/>
  </r>
  <r>
    <s v="ORD10186"/>
    <s v="21-02-2024"/>
    <s v="CUST1238"/>
    <s v="Meera Mehta"/>
    <x v="1"/>
    <s v="Hyderabad"/>
    <s v="Telangana"/>
    <x v="1"/>
    <x v="0"/>
    <x v="15"/>
    <n v="4"/>
    <n v="2500"/>
    <n v="0.15"/>
    <n v="8500"/>
    <n v="5303.78"/>
    <n v="3196.22"/>
    <n v="37.6"/>
    <x v="1"/>
    <x v="2"/>
    <x v="3"/>
    <x v="7"/>
    <n v="2024"/>
    <s v="Wednesday"/>
    <n v="6"/>
    <s v="27-02-2024"/>
    <x v="0"/>
    <s v="Returning"/>
    <s v="High"/>
    <s v="No"/>
    <n v="2"/>
    <s v="Meera"/>
    <s v="Mehta"/>
    <m/>
    <m/>
    <m/>
    <m/>
    <m/>
    <m/>
    <s v="Good"/>
    <s v="Low"/>
    <s v="No"/>
    <s v="Yes"/>
    <n v="0.37602588235294115"/>
    <m/>
    <m/>
    <m/>
    <m/>
    <m/>
    <m/>
    <m/>
    <m/>
    <m/>
    <m/>
    <m/>
    <m/>
    <m/>
    <m/>
    <m/>
  </r>
  <r>
    <s v="ORD10358"/>
    <s v="21-02-2025"/>
    <s v="CUST1057"/>
    <s v="Meera Gupta"/>
    <x v="0"/>
    <s v="Chennai"/>
    <s v="Tamil Nadu"/>
    <x v="0"/>
    <x v="1"/>
    <x v="14"/>
    <n v="4"/>
    <n v="3500"/>
    <n v="0.05"/>
    <n v="13300"/>
    <n v="7758.9"/>
    <n v="5541.1"/>
    <n v="41.66"/>
    <x v="0"/>
    <x v="0"/>
    <x v="7"/>
    <x v="7"/>
    <n v="2025"/>
    <s v="Friday"/>
    <n v="2"/>
    <s v="23-02-2025"/>
    <x v="0"/>
    <s v="New"/>
    <s v="Medium"/>
    <s v="No"/>
    <n v="1"/>
    <s v="Meera"/>
    <s v="Gupta"/>
    <m/>
    <m/>
    <m/>
    <m/>
    <m/>
    <m/>
    <s v="Good"/>
    <s v="Medium"/>
    <s v="No"/>
    <s v="Yes"/>
    <n v="0.41662406015037595"/>
    <m/>
    <m/>
    <m/>
    <m/>
    <m/>
    <m/>
    <m/>
    <m/>
    <m/>
    <m/>
    <m/>
    <m/>
    <m/>
    <m/>
    <m/>
  </r>
  <r>
    <s v="ORD10244"/>
    <s v="21-03-2024"/>
    <s v="CUST1278"/>
    <s v="Vivaan Chopra"/>
    <x v="0"/>
    <s v="Hyderabad"/>
    <s v="Telangana"/>
    <x v="0"/>
    <x v="4"/>
    <x v="16"/>
    <n v="3"/>
    <n v="500"/>
    <n v="0"/>
    <n v="1500"/>
    <n v="827.68"/>
    <n v="672.32"/>
    <n v="44.82"/>
    <x v="3"/>
    <x v="1"/>
    <x v="9"/>
    <x v="0"/>
    <n v="2024"/>
    <s v="Thursday"/>
    <n v="8"/>
    <s v="29-03-2024"/>
    <x v="1"/>
    <s v="VIP"/>
    <s v="Medium"/>
    <s v="No"/>
    <n v="2"/>
    <s v="Vivaan"/>
    <s v="Chopra"/>
    <m/>
    <m/>
    <m/>
    <m/>
    <m/>
    <m/>
    <s v="Good"/>
    <s v="Low"/>
    <s v="No"/>
    <s v="No"/>
    <n v="0.44821333333333335"/>
    <m/>
    <m/>
    <m/>
    <m/>
    <m/>
    <m/>
    <m/>
    <m/>
    <m/>
    <m/>
    <m/>
    <m/>
    <m/>
    <m/>
    <m/>
  </r>
  <r>
    <s v="ORD10649"/>
    <s v="21-03-2024"/>
    <s v="CUST1012"/>
    <s v="Karan Yadav"/>
    <x v="0"/>
    <s v="Delhi"/>
    <s v="Delhi"/>
    <x v="1"/>
    <x v="0"/>
    <x v="0"/>
    <n v="2"/>
    <n v="9000"/>
    <n v="0.2"/>
    <n v="14400"/>
    <n v="9562.7999999999993"/>
    <n v="4837.2"/>
    <n v="33.590000000000003"/>
    <x v="4"/>
    <x v="2"/>
    <x v="6"/>
    <x v="0"/>
    <n v="2024"/>
    <s v="Thursday"/>
    <n v="6"/>
    <s v="27-03-2024"/>
    <x v="0"/>
    <s v="VIP"/>
    <s v="Medium"/>
    <s v="No"/>
    <n v="5"/>
    <s v="Karan"/>
    <s v="Yadav"/>
    <m/>
    <m/>
    <m/>
    <m/>
    <m/>
    <m/>
    <s v="Good"/>
    <s v="Medium"/>
    <s v="No"/>
    <s v="Yes"/>
    <n v="0.33591666666666664"/>
    <m/>
    <m/>
    <m/>
    <m/>
    <m/>
    <m/>
    <m/>
    <m/>
    <m/>
    <m/>
    <m/>
    <m/>
    <m/>
    <m/>
    <m/>
  </r>
  <r>
    <s v="ORD10930"/>
    <s v="21-03-2025"/>
    <s v="CUST1271"/>
    <s v="Sneha Malhotra"/>
    <x v="0"/>
    <s v="Bengaluru"/>
    <s v="Karnataka"/>
    <x v="2"/>
    <x v="2"/>
    <x v="4"/>
    <n v="1"/>
    <n v="8000"/>
    <n v="0.2"/>
    <n v="6400"/>
    <n v="4438.76"/>
    <n v="1961.24"/>
    <n v="30.64"/>
    <x v="3"/>
    <x v="1"/>
    <x v="9"/>
    <x v="0"/>
    <n v="2025"/>
    <s v="Friday"/>
    <n v="3"/>
    <s v="24-03-2025"/>
    <x v="0"/>
    <s v="New"/>
    <s v="Low"/>
    <s v="Yes"/>
    <n v="5"/>
    <s v="Sneha"/>
    <s v="Malhotra"/>
    <m/>
    <m/>
    <m/>
    <m/>
    <m/>
    <m/>
    <s v="Good"/>
    <s v="Low"/>
    <s v="No"/>
    <s v="No"/>
    <n v="0.30644375000000001"/>
    <m/>
    <m/>
    <m/>
    <m/>
    <m/>
    <m/>
    <m/>
    <m/>
    <m/>
    <m/>
    <m/>
    <m/>
    <m/>
    <m/>
    <m/>
  </r>
  <r>
    <s v="ORD10022"/>
    <s v="21-04-2024"/>
    <s v="CUST1161"/>
    <s v="Ishita Bansal"/>
    <x v="1"/>
    <s v="Mumbai"/>
    <s v="Maharashtra"/>
    <x v="1"/>
    <x v="3"/>
    <x v="10"/>
    <n v="10"/>
    <n v="350"/>
    <n v="0"/>
    <n v="3500"/>
    <n v="2251.67"/>
    <n v="1248.33"/>
    <n v="35.67"/>
    <x v="4"/>
    <x v="0"/>
    <x v="6"/>
    <x v="8"/>
    <n v="2024"/>
    <s v="Sunday"/>
    <n v="10"/>
    <d v="2024-01-05T00:00:00"/>
    <x v="2"/>
    <s v="Returning"/>
    <s v="Low"/>
    <s v="No"/>
    <n v="1"/>
    <s v="Ishita"/>
    <s v="Bansal"/>
    <m/>
    <m/>
    <m/>
    <m/>
    <m/>
    <m/>
    <s v="Good"/>
    <s v="Low"/>
    <s v="No"/>
    <s v="Yes"/>
    <n v="0.35666571428571425"/>
    <m/>
    <m/>
    <m/>
    <m/>
    <m/>
    <m/>
    <m/>
    <m/>
    <m/>
    <m/>
    <m/>
    <m/>
    <m/>
    <m/>
    <m/>
  </r>
  <r>
    <s v="ORD10302"/>
    <s v="21-04-2025"/>
    <s v="CUST1240"/>
    <s v="Arjun Malhotra"/>
    <x v="0"/>
    <s v="Chennai"/>
    <s v="Tamil Nadu"/>
    <x v="2"/>
    <x v="3"/>
    <x v="17"/>
    <n v="4"/>
    <n v="800"/>
    <n v="0"/>
    <n v="3200"/>
    <n v="1840.28"/>
    <n v="1359.72"/>
    <n v="42.49"/>
    <x v="4"/>
    <x v="2"/>
    <x v="6"/>
    <x v="8"/>
    <n v="2025"/>
    <s v="Monday"/>
    <n v="10"/>
    <d v="2025-01-05T00:00:00"/>
    <x v="0"/>
    <s v="New"/>
    <s v="High"/>
    <s v="No"/>
    <n v="3"/>
    <s v="Arjun"/>
    <s v="Malhotra"/>
    <m/>
    <m/>
    <m/>
    <m/>
    <m/>
    <m/>
    <s v="Good"/>
    <s v="Low"/>
    <s v="No"/>
    <s v="Yes"/>
    <n v="0.42491250000000003"/>
    <m/>
    <m/>
    <m/>
    <m/>
    <m/>
    <m/>
    <m/>
    <m/>
    <m/>
    <m/>
    <m/>
    <m/>
    <m/>
    <m/>
    <m/>
  </r>
  <r>
    <s v="ORD10167"/>
    <s v="21-06-2024"/>
    <s v="CUST1203"/>
    <s v="Kavya Sharma"/>
    <x v="0"/>
    <s v="Mumbai"/>
    <s v="Maharashtra"/>
    <x v="2"/>
    <x v="3"/>
    <x v="5"/>
    <n v="1"/>
    <n v="500"/>
    <n v="0"/>
    <n v="500"/>
    <n v="385.93"/>
    <n v="114.07"/>
    <n v="22.81"/>
    <x v="2"/>
    <x v="1"/>
    <x v="6"/>
    <x v="2"/>
    <n v="2024"/>
    <s v="Friday"/>
    <n v="10"/>
    <d v="2024-01-07T00:00:00"/>
    <x v="2"/>
    <s v="New"/>
    <s v="Medium"/>
    <s v="No"/>
    <n v="4"/>
    <s v="Kavya"/>
    <s v="Sharma"/>
    <m/>
    <m/>
    <m/>
    <m/>
    <m/>
    <m/>
    <s v="Needs Improvement"/>
    <s v="Low"/>
    <s v="No"/>
    <s v="No"/>
    <n v="0.22813999999999998"/>
    <m/>
    <m/>
    <m/>
    <m/>
    <m/>
    <m/>
    <m/>
    <m/>
    <m/>
    <m/>
    <m/>
    <m/>
    <m/>
    <m/>
    <m/>
  </r>
  <r>
    <s v="ORD10906"/>
    <s v="21-06-2025"/>
    <s v="CUST1318"/>
    <s v="Kavya Gupta"/>
    <x v="0"/>
    <s v="Bengaluru"/>
    <s v="Karnataka"/>
    <x v="3"/>
    <x v="2"/>
    <x v="8"/>
    <n v="5"/>
    <n v="15000"/>
    <n v="0.2"/>
    <n v="60000"/>
    <n v="39250.379999999997"/>
    <n v="20749.62"/>
    <n v="34.58"/>
    <x v="4"/>
    <x v="1"/>
    <x v="9"/>
    <x v="2"/>
    <n v="2025"/>
    <s v="Saturday"/>
    <n v="10"/>
    <d v="2025-01-07T00:00:00"/>
    <x v="2"/>
    <s v="VIP"/>
    <s v="Medium"/>
    <s v="No"/>
    <n v="2"/>
    <s v="Kavya"/>
    <s v="Gupta"/>
    <m/>
    <m/>
    <m/>
    <m/>
    <m/>
    <m/>
    <s v="Good"/>
    <s v="High"/>
    <s v="Yes"/>
    <s v="No"/>
    <n v="0.345827"/>
    <m/>
    <m/>
    <m/>
    <m/>
    <m/>
    <m/>
    <m/>
    <m/>
    <m/>
    <m/>
    <m/>
    <m/>
    <m/>
    <m/>
    <m/>
  </r>
  <r>
    <s v="ORD10467"/>
    <s v="21-07-2024"/>
    <s v="CUST1057"/>
    <s v="Riya Bansal"/>
    <x v="2"/>
    <s v="Kolkata"/>
    <s v="West Bengal"/>
    <x v="3"/>
    <x v="0"/>
    <x v="1"/>
    <n v="6"/>
    <n v="4000"/>
    <n v="0.05"/>
    <n v="22800"/>
    <n v="15634.09"/>
    <n v="7165.91"/>
    <n v="31.43"/>
    <x v="2"/>
    <x v="2"/>
    <x v="4"/>
    <x v="9"/>
    <n v="2024"/>
    <s v="Sunday"/>
    <n v="8"/>
    <s v="29-07-2024"/>
    <x v="0"/>
    <s v="New"/>
    <s v="Medium"/>
    <s v="No"/>
    <n v="4"/>
    <s v="Riya"/>
    <s v="Bansal"/>
    <m/>
    <m/>
    <m/>
    <m/>
    <m/>
    <m/>
    <s v="Good"/>
    <s v="Medium"/>
    <s v="No"/>
    <s v="Yes"/>
    <n v="0.314294298245614"/>
    <m/>
    <m/>
    <m/>
    <m/>
    <m/>
    <m/>
    <m/>
    <m/>
    <m/>
    <m/>
    <m/>
    <m/>
    <m/>
    <m/>
    <m/>
  </r>
  <r>
    <s v="ORD10733"/>
    <s v="21-07-2024"/>
    <s v="CUST1126"/>
    <s v="Rohan Agarwal"/>
    <x v="0"/>
    <s v="Bengaluru"/>
    <s v="Karnataka"/>
    <x v="0"/>
    <x v="3"/>
    <x v="22"/>
    <n v="3"/>
    <n v="500"/>
    <n v="0.2"/>
    <n v="1200"/>
    <n v="762.54"/>
    <n v="437.46"/>
    <n v="36.450000000000003"/>
    <x v="3"/>
    <x v="0"/>
    <x v="8"/>
    <x v="9"/>
    <n v="2024"/>
    <s v="Sunday"/>
    <n v="3"/>
    <s v="24-07-2024"/>
    <x v="2"/>
    <s v="VIP"/>
    <s v="High"/>
    <s v="Yes"/>
    <n v="1"/>
    <s v="Rohan"/>
    <s v="Agarwal"/>
    <m/>
    <m/>
    <m/>
    <m/>
    <m/>
    <m/>
    <s v="Good"/>
    <s v="Low"/>
    <s v="No"/>
    <s v="Yes"/>
    <n v="0.36454999999999999"/>
    <m/>
    <m/>
    <m/>
    <m/>
    <m/>
    <m/>
    <m/>
    <m/>
    <m/>
    <m/>
    <m/>
    <m/>
    <m/>
    <m/>
    <m/>
  </r>
  <r>
    <s v="ORD10418"/>
    <s v="21-07-2025"/>
    <s v="CUST1285"/>
    <s v="Rohan Kumar"/>
    <x v="1"/>
    <s v="Jaipur"/>
    <s v="Rajasthan"/>
    <x v="2"/>
    <x v="2"/>
    <x v="21"/>
    <n v="4"/>
    <n v="8000"/>
    <n v="0.1"/>
    <n v="28800"/>
    <n v="17755.349999999999"/>
    <n v="11044.65"/>
    <n v="38.35"/>
    <x v="4"/>
    <x v="2"/>
    <x v="8"/>
    <x v="9"/>
    <n v="2025"/>
    <s v="Monday"/>
    <n v="10"/>
    <s v="31-07-2025"/>
    <x v="0"/>
    <s v="New"/>
    <s v="Low"/>
    <s v="No"/>
    <n v="5"/>
    <s v="Rohan"/>
    <s v="Kumar"/>
    <m/>
    <m/>
    <m/>
    <m/>
    <m/>
    <m/>
    <s v="Good"/>
    <s v="Medium"/>
    <s v="No"/>
    <s v="Yes"/>
    <n v="0.38349479166666667"/>
    <m/>
    <m/>
    <m/>
    <m/>
    <m/>
    <m/>
    <m/>
    <m/>
    <m/>
    <m/>
    <m/>
    <m/>
    <m/>
    <m/>
    <m/>
  </r>
  <r>
    <s v="ORD10491"/>
    <s v="21-07-2025"/>
    <s v="CUST1218"/>
    <s v="Meera Saxena"/>
    <x v="1"/>
    <s v="Mumbai"/>
    <s v="Maharashtra"/>
    <x v="3"/>
    <x v="0"/>
    <x v="0"/>
    <n v="1"/>
    <n v="2500"/>
    <n v="0.1"/>
    <n v="2250"/>
    <n v="1822.02"/>
    <n v="427.98"/>
    <n v="19.02"/>
    <x v="4"/>
    <x v="1"/>
    <x v="8"/>
    <x v="9"/>
    <n v="2025"/>
    <s v="Monday"/>
    <n v="8"/>
    <s v="29-07-2025"/>
    <x v="0"/>
    <s v="VIP"/>
    <s v="High"/>
    <s v="Yes"/>
    <n v="4"/>
    <s v="Meera"/>
    <s v="Saxena"/>
    <m/>
    <m/>
    <m/>
    <m/>
    <m/>
    <m/>
    <s v="Needs Improvement"/>
    <s v="Low"/>
    <s v="No"/>
    <s v="No"/>
    <n v="0.19021333333333335"/>
    <m/>
    <m/>
    <m/>
    <m/>
    <m/>
    <m/>
    <m/>
    <m/>
    <m/>
    <m/>
    <m/>
    <m/>
    <m/>
    <m/>
    <m/>
  </r>
  <r>
    <s v="ORD10431"/>
    <s v="21-08-2025"/>
    <s v="CUST1184"/>
    <s v="Priya Bansal"/>
    <x v="1"/>
    <s v="Hyderabad"/>
    <s v="Telangana"/>
    <x v="3"/>
    <x v="0"/>
    <x v="15"/>
    <n v="1"/>
    <n v="4000"/>
    <n v="0.1"/>
    <n v="3600"/>
    <n v="2912.87"/>
    <n v="687.13"/>
    <n v="19.09"/>
    <x v="2"/>
    <x v="1"/>
    <x v="0"/>
    <x v="10"/>
    <n v="2025"/>
    <s v="Thursday"/>
    <n v="7"/>
    <s v="28-08-2025"/>
    <x v="1"/>
    <s v="VIP"/>
    <s v="Medium"/>
    <s v="No"/>
    <n v="3"/>
    <s v="Priya"/>
    <s v="Bansal"/>
    <m/>
    <m/>
    <m/>
    <m/>
    <m/>
    <m/>
    <s v="Needs Improvement"/>
    <s v="Low"/>
    <s v="No"/>
    <s v="No"/>
    <n v="0.19086944444444445"/>
    <m/>
    <m/>
    <m/>
    <m/>
    <m/>
    <m/>
    <m/>
    <m/>
    <m/>
    <m/>
    <m/>
    <m/>
    <m/>
    <m/>
    <m/>
  </r>
  <r>
    <s v="ORD10187"/>
    <s v="21-09-2024"/>
    <s v="CUST1026"/>
    <s v="Karan Chopra"/>
    <x v="1"/>
    <s v="Jaipur"/>
    <s v="Rajasthan"/>
    <x v="3"/>
    <x v="4"/>
    <x v="13"/>
    <n v="6"/>
    <n v="1200"/>
    <n v="0.05"/>
    <n v="6840"/>
    <n v="3812.7"/>
    <n v="3027.3"/>
    <n v="44.26"/>
    <x v="2"/>
    <x v="0"/>
    <x v="6"/>
    <x v="3"/>
    <n v="2024"/>
    <s v="Saturday"/>
    <n v="2"/>
    <s v="23-09-2024"/>
    <x v="0"/>
    <s v="VIP"/>
    <s v="Low"/>
    <s v="No"/>
    <n v="4"/>
    <s v="Karan"/>
    <s v="Chopra"/>
    <m/>
    <m/>
    <m/>
    <m/>
    <m/>
    <m/>
    <s v="Good"/>
    <s v="Low"/>
    <s v="No"/>
    <s v="Yes"/>
    <n v="0.44258771929824564"/>
    <m/>
    <m/>
    <m/>
    <m/>
    <m/>
    <m/>
    <m/>
    <m/>
    <m/>
    <m/>
    <m/>
    <m/>
    <m/>
    <m/>
    <m/>
  </r>
  <r>
    <s v="ORD10645"/>
    <s v="21-09-2024"/>
    <s v="CUST1231"/>
    <s v="Meera Jain"/>
    <x v="0"/>
    <s v="Jaipur"/>
    <s v="Rajasthan"/>
    <x v="0"/>
    <x v="1"/>
    <x v="14"/>
    <n v="1"/>
    <n v="1800"/>
    <n v="0.15"/>
    <n v="1530"/>
    <n v="1174.92"/>
    <n v="355.08"/>
    <n v="23.21"/>
    <x v="3"/>
    <x v="1"/>
    <x v="2"/>
    <x v="3"/>
    <n v="2024"/>
    <s v="Saturday"/>
    <n v="2"/>
    <s v="23-09-2024"/>
    <x v="1"/>
    <s v="New"/>
    <s v="Medium"/>
    <s v="No"/>
    <n v="1"/>
    <s v="Meera"/>
    <s v="Jain"/>
    <m/>
    <m/>
    <m/>
    <m/>
    <m/>
    <m/>
    <s v="Needs Improvement"/>
    <s v="Low"/>
    <s v="No"/>
    <s v="No"/>
    <n v="0.23207843137254902"/>
    <m/>
    <m/>
    <m/>
    <m/>
    <m/>
    <m/>
    <m/>
    <m/>
    <m/>
    <m/>
    <m/>
    <m/>
    <m/>
    <m/>
    <m/>
  </r>
  <r>
    <s v="ORD10276"/>
    <s v="21-10-2024"/>
    <s v="CUST1057"/>
    <s v="Priya Malhotra"/>
    <x v="0"/>
    <s v="Mumbai"/>
    <s v="Maharashtra"/>
    <x v="1"/>
    <x v="2"/>
    <x v="7"/>
    <n v="4"/>
    <n v="35000"/>
    <n v="0.05"/>
    <n v="133000"/>
    <n v="98064.19"/>
    <n v="34935.81"/>
    <n v="26.27"/>
    <x v="0"/>
    <x v="2"/>
    <x v="8"/>
    <x v="4"/>
    <n v="2024"/>
    <s v="Monday"/>
    <n v="1"/>
    <s v="22-10-2024"/>
    <x v="0"/>
    <s v="New"/>
    <s v="Low"/>
    <s v="No"/>
    <n v="5"/>
    <s v="Priya"/>
    <s v="Malhotra"/>
    <m/>
    <m/>
    <m/>
    <m/>
    <m/>
    <m/>
    <s v="Needs Improvement"/>
    <s v="High"/>
    <s v="Yes"/>
    <s v="Yes"/>
    <n v="0.26267526315789475"/>
    <m/>
    <m/>
    <m/>
    <m/>
    <m/>
    <m/>
    <m/>
    <m/>
    <m/>
    <m/>
    <m/>
    <m/>
    <m/>
    <m/>
    <m/>
  </r>
  <r>
    <s v="ORD10560"/>
    <s v="21-10-2024"/>
    <s v="CUST1319"/>
    <s v="Kavya Yadav"/>
    <x v="0"/>
    <s v="Hyderabad"/>
    <s v="Telangana"/>
    <x v="3"/>
    <x v="0"/>
    <x v="1"/>
    <n v="6"/>
    <n v="6000"/>
    <n v="0.2"/>
    <n v="28800"/>
    <n v="17279.169999999998"/>
    <n v="11520.83"/>
    <n v="40"/>
    <x v="2"/>
    <x v="1"/>
    <x v="2"/>
    <x v="4"/>
    <n v="2024"/>
    <s v="Monday"/>
    <n v="1"/>
    <s v="22-10-2024"/>
    <x v="0"/>
    <s v="New"/>
    <s v="Low"/>
    <s v="No"/>
    <n v="4"/>
    <s v="Kavya"/>
    <s v="Yadav"/>
    <m/>
    <m/>
    <m/>
    <m/>
    <m/>
    <m/>
    <s v="Good"/>
    <s v="Medium"/>
    <s v="No"/>
    <s v="No"/>
    <n v="0.40002881944444446"/>
    <m/>
    <m/>
    <m/>
    <m/>
    <m/>
    <m/>
    <m/>
    <m/>
    <m/>
    <m/>
    <m/>
    <m/>
    <m/>
    <m/>
    <m/>
  </r>
  <r>
    <s v="ORD10907"/>
    <s v="21-10-2024"/>
    <s v="CUST1089"/>
    <s v="Aditi Agarwal"/>
    <x v="2"/>
    <s v="Delhi"/>
    <s v="Delhi"/>
    <x v="3"/>
    <x v="0"/>
    <x v="24"/>
    <n v="9"/>
    <n v="4000"/>
    <n v="0.1"/>
    <n v="32400"/>
    <n v="22419.94"/>
    <n v="9980.06"/>
    <n v="30.8"/>
    <x v="2"/>
    <x v="2"/>
    <x v="4"/>
    <x v="4"/>
    <n v="2024"/>
    <s v="Monday"/>
    <n v="4"/>
    <s v="25-10-2024"/>
    <x v="0"/>
    <s v="New"/>
    <s v="High"/>
    <s v="Yes"/>
    <n v="1"/>
    <s v="Aditi"/>
    <s v="Agarwal"/>
    <m/>
    <m/>
    <m/>
    <m/>
    <m/>
    <m/>
    <s v="Good"/>
    <s v="High"/>
    <s v="No"/>
    <s v="Yes"/>
    <n v="0.30802654320987655"/>
    <m/>
    <m/>
    <m/>
    <m/>
    <m/>
    <m/>
    <m/>
    <m/>
    <m/>
    <m/>
    <m/>
    <m/>
    <m/>
    <m/>
    <m/>
  </r>
  <r>
    <s v="ORD10465"/>
    <s v="21-10-2025"/>
    <s v="CUST1042"/>
    <s v="Meera Saxena"/>
    <x v="2"/>
    <s v="Lucknow"/>
    <s v="Uttar Pradesh"/>
    <x v="2"/>
    <x v="4"/>
    <x v="9"/>
    <n v="1"/>
    <n v="500"/>
    <n v="0"/>
    <n v="500"/>
    <n v="370.32"/>
    <n v="129.68"/>
    <n v="25.94"/>
    <x v="2"/>
    <x v="1"/>
    <x v="0"/>
    <x v="4"/>
    <n v="2025"/>
    <s v="Tuesday"/>
    <n v="7"/>
    <s v="28-10-2025"/>
    <x v="2"/>
    <s v="VIP"/>
    <s v="Medium"/>
    <s v="No"/>
    <n v="5"/>
    <s v="Meera"/>
    <s v="Saxena"/>
    <m/>
    <m/>
    <m/>
    <m/>
    <m/>
    <m/>
    <s v="Needs Improvement"/>
    <s v="Low"/>
    <s v="No"/>
    <s v="No"/>
    <n v="0.25936000000000003"/>
    <m/>
    <m/>
    <m/>
    <m/>
    <m/>
    <m/>
    <m/>
    <m/>
    <m/>
    <m/>
    <m/>
    <m/>
    <m/>
    <m/>
    <m/>
  </r>
  <r>
    <s v="ORD10511"/>
    <s v="21-10-2025"/>
    <s v="CUST1043"/>
    <s v="Ananya Gupta"/>
    <x v="1"/>
    <s v="Mumbai"/>
    <s v="Maharashtra"/>
    <x v="1"/>
    <x v="1"/>
    <x v="14"/>
    <n v="1"/>
    <n v="700"/>
    <n v="0"/>
    <n v="700"/>
    <n v="431.94"/>
    <n v="268.06"/>
    <n v="38.29"/>
    <x v="1"/>
    <x v="2"/>
    <x v="8"/>
    <x v="4"/>
    <n v="2025"/>
    <s v="Tuesday"/>
    <n v="1"/>
    <s v="22-10-2025"/>
    <x v="0"/>
    <s v="VIP"/>
    <s v="Medium"/>
    <s v="Yes"/>
    <n v="2"/>
    <s v="Ananya"/>
    <s v="Gupta"/>
    <m/>
    <m/>
    <m/>
    <m/>
    <m/>
    <m/>
    <s v="Good"/>
    <s v="Low"/>
    <s v="No"/>
    <s v="Yes"/>
    <n v="0.38294285714285714"/>
    <m/>
    <m/>
    <m/>
    <m/>
    <m/>
    <m/>
    <m/>
    <m/>
    <m/>
    <m/>
    <m/>
    <m/>
    <m/>
    <m/>
    <m/>
  </r>
  <r>
    <s v="ORD10550"/>
    <s v="21-10-2025"/>
    <s v="CUST1146"/>
    <s v="Rohan Chopra"/>
    <x v="0"/>
    <s v="Kolkata"/>
    <s v="West Bengal"/>
    <x v="1"/>
    <x v="0"/>
    <x v="0"/>
    <n v="1"/>
    <n v="6000"/>
    <n v="0"/>
    <n v="6000"/>
    <n v="4776.8599999999997"/>
    <n v="1223.1400000000001"/>
    <n v="20.39"/>
    <x v="3"/>
    <x v="0"/>
    <x v="7"/>
    <x v="4"/>
    <n v="2025"/>
    <s v="Tuesday"/>
    <n v="10"/>
    <s v="31-10-2025"/>
    <x v="0"/>
    <s v="Returning"/>
    <s v="High"/>
    <s v="Yes"/>
    <n v="1"/>
    <s v="Rohan"/>
    <s v="Chopra"/>
    <m/>
    <m/>
    <m/>
    <m/>
    <m/>
    <m/>
    <s v="Needs Improvement"/>
    <s v="Low"/>
    <s v="No"/>
    <s v="Yes"/>
    <n v="0.20385666666666669"/>
    <m/>
    <m/>
    <m/>
    <m/>
    <m/>
    <m/>
    <m/>
    <m/>
    <m/>
    <m/>
    <m/>
    <m/>
    <m/>
    <m/>
    <m/>
  </r>
  <r>
    <s v="ORD10549"/>
    <s v="21-11-2024"/>
    <s v="CUST1253"/>
    <s v="Kavya Sharma"/>
    <x v="0"/>
    <s v="Pune"/>
    <s v="Maharashtra"/>
    <x v="2"/>
    <x v="4"/>
    <x v="11"/>
    <n v="10"/>
    <n v="2000"/>
    <n v="0.15"/>
    <n v="17000"/>
    <n v="10254.799999999999"/>
    <n v="6745.2"/>
    <n v="39.68"/>
    <x v="1"/>
    <x v="2"/>
    <x v="9"/>
    <x v="11"/>
    <n v="2024"/>
    <s v="Thursday"/>
    <n v="6"/>
    <s v="27-11-2024"/>
    <x v="0"/>
    <s v="New"/>
    <s v="High"/>
    <s v="No"/>
    <n v="5"/>
    <s v="Kavya"/>
    <s v="Sharma"/>
    <m/>
    <m/>
    <m/>
    <m/>
    <m/>
    <m/>
    <s v="Good"/>
    <s v="Medium"/>
    <s v="No"/>
    <s v="Yes"/>
    <n v="0.39677647058823529"/>
    <m/>
    <m/>
    <m/>
    <m/>
    <m/>
    <m/>
    <m/>
    <m/>
    <m/>
    <m/>
    <m/>
    <m/>
    <m/>
    <m/>
    <m/>
  </r>
  <r>
    <s v="ORD10986"/>
    <s v="21-11-2024"/>
    <s v="CUST1323"/>
    <s v="Priya Mehta"/>
    <x v="2"/>
    <s v="Ahmedabad"/>
    <s v="Gujarat"/>
    <x v="1"/>
    <x v="4"/>
    <x v="9"/>
    <n v="9"/>
    <n v="1200"/>
    <n v="0.05"/>
    <n v="10260"/>
    <n v="8194.73"/>
    <n v="2065.27"/>
    <n v="20.13"/>
    <x v="0"/>
    <x v="1"/>
    <x v="7"/>
    <x v="11"/>
    <n v="2024"/>
    <s v="Thursday"/>
    <n v="4"/>
    <s v="25-11-2024"/>
    <x v="2"/>
    <s v="Returning"/>
    <s v="Medium"/>
    <s v="No"/>
    <n v="1"/>
    <s v="Priya"/>
    <s v="Mehta"/>
    <m/>
    <m/>
    <m/>
    <m/>
    <m/>
    <m/>
    <s v="Needs Improvement"/>
    <s v="Medium"/>
    <s v="No"/>
    <s v="No"/>
    <n v="0.20129337231968811"/>
    <m/>
    <m/>
    <m/>
    <m/>
    <m/>
    <m/>
    <m/>
    <m/>
    <m/>
    <m/>
    <m/>
    <m/>
    <m/>
    <m/>
    <m/>
  </r>
  <r>
    <s v="ORD10745"/>
    <s v="21-11-2025"/>
    <s v="CUST1186"/>
    <s v="Simran Mishra"/>
    <x v="2"/>
    <s v="Delhi"/>
    <s v="Delhi"/>
    <x v="0"/>
    <x v="4"/>
    <x v="19"/>
    <n v="2"/>
    <n v="2000"/>
    <n v="0"/>
    <n v="4000"/>
    <n v="2835.19"/>
    <n v="1164.81"/>
    <n v="29.12"/>
    <x v="0"/>
    <x v="1"/>
    <x v="3"/>
    <x v="11"/>
    <n v="2025"/>
    <s v="Friday"/>
    <n v="2"/>
    <s v="23-11-2025"/>
    <x v="0"/>
    <s v="VIP"/>
    <s v="Medium"/>
    <s v="No"/>
    <n v="4"/>
    <s v="Simran"/>
    <s v="Mishra"/>
    <m/>
    <m/>
    <m/>
    <m/>
    <m/>
    <m/>
    <s v="Needs Improvement"/>
    <s v="Low"/>
    <s v="No"/>
    <s v="No"/>
    <n v="0.29120249999999998"/>
    <m/>
    <m/>
    <m/>
    <m/>
    <m/>
    <m/>
    <m/>
    <m/>
    <m/>
    <m/>
    <m/>
    <m/>
    <m/>
    <m/>
    <m/>
  </r>
  <r>
    <s v="ORD10070"/>
    <s v="21-12-2025"/>
    <s v="CUST1343"/>
    <s v="Sneha Verma"/>
    <x v="0"/>
    <s v="Jaipur"/>
    <s v="Rajasthan"/>
    <x v="1"/>
    <x v="1"/>
    <x v="2"/>
    <n v="3"/>
    <n v="2500"/>
    <n v="0.2"/>
    <n v="6000"/>
    <n v="4205.13"/>
    <n v="1794.87"/>
    <n v="29.91"/>
    <x v="4"/>
    <x v="2"/>
    <x v="9"/>
    <x v="5"/>
    <n v="2025"/>
    <s v="Sunday"/>
    <n v="4"/>
    <s v="25-12-2025"/>
    <x v="1"/>
    <s v="New"/>
    <s v="Medium"/>
    <s v="No"/>
    <n v="5"/>
    <s v="Sneha"/>
    <s v="Verma"/>
    <m/>
    <m/>
    <m/>
    <m/>
    <m/>
    <m/>
    <s v="Needs Improvement"/>
    <s v="Low"/>
    <s v="No"/>
    <s v="Yes"/>
    <n v="0.29914499999999999"/>
    <m/>
    <m/>
    <m/>
    <m/>
    <m/>
    <m/>
    <m/>
    <m/>
    <m/>
    <m/>
    <m/>
    <m/>
    <m/>
    <m/>
    <m/>
  </r>
  <r>
    <s v="ORD10313"/>
    <s v="22-02-2024"/>
    <s v="CUST1249"/>
    <s v="Aditya Gupta"/>
    <x v="1"/>
    <s v="Pune"/>
    <s v="Maharashtra"/>
    <x v="1"/>
    <x v="2"/>
    <x v="21"/>
    <n v="10"/>
    <n v="12000"/>
    <n v="0.2"/>
    <n v="96000"/>
    <n v="53507.57"/>
    <n v="42492.43"/>
    <n v="44.26"/>
    <x v="0"/>
    <x v="1"/>
    <x v="4"/>
    <x v="7"/>
    <n v="2024"/>
    <s v="Thursday"/>
    <n v="5"/>
    <s v="27-02-2024"/>
    <x v="1"/>
    <s v="VIP"/>
    <s v="Medium"/>
    <s v="No"/>
    <n v="3"/>
    <s v="Aditya"/>
    <s v="Gupta"/>
    <m/>
    <m/>
    <m/>
    <m/>
    <m/>
    <m/>
    <s v="Good"/>
    <s v="High"/>
    <s v="Yes"/>
    <s v="No"/>
    <n v="0.44262947916666667"/>
    <m/>
    <m/>
    <m/>
    <m/>
    <m/>
    <m/>
    <m/>
    <m/>
    <m/>
    <m/>
    <m/>
    <m/>
    <m/>
    <m/>
    <m/>
  </r>
  <r>
    <s v="ORD10500"/>
    <s v="22-02-2024"/>
    <s v="CUST1325"/>
    <s v="Vikram Singh"/>
    <x v="0"/>
    <s v="Bengaluru"/>
    <s v="Karnataka"/>
    <x v="2"/>
    <x v="1"/>
    <x v="3"/>
    <n v="10"/>
    <n v="1200"/>
    <n v="0"/>
    <n v="12000"/>
    <n v="8300.91"/>
    <n v="3699.09"/>
    <n v="30.83"/>
    <x v="4"/>
    <x v="2"/>
    <x v="8"/>
    <x v="7"/>
    <n v="2024"/>
    <s v="Thursday"/>
    <n v="7"/>
    <s v="29-02-2024"/>
    <x v="2"/>
    <s v="Returning"/>
    <s v="High"/>
    <s v="Yes"/>
    <n v="3"/>
    <s v="Vikram"/>
    <s v="Singh"/>
    <m/>
    <m/>
    <m/>
    <m/>
    <m/>
    <m/>
    <s v="Good"/>
    <s v="Medium"/>
    <s v="No"/>
    <s v="Yes"/>
    <n v="0.30825750000000002"/>
    <m/>
    <m/>
    <m/>
    <m/>
    <m/>
    <m/>
    <m/>
    <m/>
    <m/>
    <m/>
    <m/>
    <m/>
    <m/>
    <m/>
    <m/>
  </r>
  <r>
    <s v="ORD10987"/>
    <s v="22-03-2024"/>
    <s v="CUST1290"/>
    <s v="Karan Yadav"/>
    <x v="2"/>
    <s v="Kolkata"/>
    <s v="West Bengal"/>
    <x v="1"/>
    <x v="3"/>
    <x v="18"/>
    <n v="10"/>
    <n v="350"/>
    <n v="0.1"/>
    <n v="3150"/>
    <n v="1868.12"/>
    <n v="1281.8800000000001"/>
    <n v="40.69"/>
    <x v="3"/>
    <x v="1"/>
    <x v="3"/>
    <x v="0"/>
    <n v="2024"/>
    <s v="Friday"/>
    <n v="6"/>
    <s v="28-03-2024"/>
    <x v="2"/>
    <s v="New"/>
    <s v="Low"/>
    <s v="No"/>
    <n v="3"/>
    <s v="Karan"/>
    <s v="Yadav"/>
    <m/>
    <m/>
    <m/>
    <m/>
    <m/>
    <m/>
    <s v="Good"/>
    <s v="Low"/>
    <s v="No"/>
    <s v="No"/>
    <n v="0.40694603174603178"/>
    <m/>
    <m/>
    <m/>
    <m/>
    <m/>
    <m/>
    <m/>
    <m/>
    <m/>
    <m/>
    <m/>
    <m/>
    <m/>
    <m/>
    <m/>
  </r>
  <r>
    <s v="ORD10593"/>
    <s v="22-04-2025"/>
    <s v="CUST1285"/>
    <s v="Rahul Mehta"/>
    <x v="2"/>
    <s v="Bengaluru"/>
    <s v="Karnataka"/>
    <x v="1"/>
    <x v="1"/>
    <x v="14"/>
    <n v="1"/>
    <n v="2500"/>
    <n v="0"/>
    <n v="2500"/>
    <n v="1699.14"/>
    <n v="800.86"/>
    <n v="32.03"/>
    <x v="0"/>
    <x v="0"/>
    <x v="8"/>
    <x v="8"/>
    <n v="2025"/>
    <s v="Tuesday"/>
    <n v="1"/>
    <s v="23-04-2025"/>
    <x v="0"/>
    <s v="Returning"/>
    <s v="Low"/>
    <s v="No"/>
    <n v="2"/>
    <s v="Rahul"/>
    <s v="Mehta"/>
    <m/>
    <m/>
    <m/>
    <m/>
    <m/>
    <m/>
    <s v="Good"/>
    <s v="Low"/>
    <s v="No"/>
    <s v="Yes"/>
    <n v="0.32034400000000002"/>
    <m/>
    <m/>
    <m/>
    <m/>
    <m/>
    <m/>
    <m/>
    <m/>
    <m/>
    <m/>
    <m/>
    <m/>
    <m/>
    <m/>
    <m/>
  </r>
  <r>
    <s v="ORD10306"/>
    <s v="22-05-2024"/>
    <s v="CUST1339"/>
    <s v="Rohan Malhotra"/>
    <x v="1"/>
    <s v="Kolkata"/>
    <s v="West Bengal"/>
    <x v="0"/>
    <x v="3"/>
    <x v="18"/>
    <n v="1"/>
    <n v="100"/>
    <n v="0.05"/>
    <n v="95"/>
    <n v="71.67"/>
    <n v="23.33"/>
    <n v="24.56"/>
    <x v="4"/>
    <x v="0"/>
    <x v="5"/>
    <x v="1"/>
    <n v="2024"/>
    <s v="Wednesday"/>
    <n v="10"/>
    <d v="2024-01-06T00:00:00"/>
    <x v="0"/>
    <s v="Returning"/>
    <s v="Low"/>
    <s v="Yes"/>
    <n v="3"/>
    <s v="Rohan"/>
    <s v="Malhotra"/>
    <m/>
    <m/>
    <m/>
    <m/>
    <m/>
    <m/>
    <s v="Needs Improvement"/>
    <s v="Low"/>
    <s v="No"/>
    <s v="Yes"/>
    <n v="0.24557894736842104"/>
    <m/>
    <m/>
    <m/>
    <m/>
    <m/>
    <m/>
    <m/>
    <m/>
    <m/>
    <m/>
    <m/>
    <m/>
    <m/>
    <m/>
    <m/>
  </r>
  <r>
    <s v="ORD10552"/>
    <s v="22-05-2024"/>
    <s v="CUST1224"/>
    <s v="Vikram Gupta"/>
    <x v="2"/>
    <s v="Lucknow"/>
    <s v="Uttar Pradesh"/>
    <x v="3"/>
    <x v="2"/>
    <x v="7"/>
    <n v="4"/>
    <n v="8000"/>
    <n v="0"/>
    <n v="32000"/>
    <n v="25042.400000000001"/>
    <n v="6957.6"/>
    <n v="21.74"/>
    <x v="0"/>
    <x v="0"/>
    <x v="7"/>
    <x v="1"/>
    <n v="2024"/>
    <s v="Wednesday"/>
    <n v="2"/>
    <s v="24-05-2024"/>
    <x v="0"/>
    <s v="VIP"/>
    <s v="Low"/>
    <s v="No"/>
    <n v="1"/>
    <s v="Vikram"/>
    <s v="Gupta"/>
    <m/>
    <m/>
    <m/>
    <m/>
    <m/>
    <m/>
    <s v="Needs Improvement"/>
    <s v="High"/>
    <s v="No"/>
    <s v="Yes"/>
    <n v="0.21742500000000001"/>
    <m/>
    <m/>
    <m/>
    <m/>
    <m/>
    <m/>
    <m/>
    <m/>
    <m/>
    <m/>
    <m/>
    <m/>
    <m/>
    <m/>
    <m/>
  </r>
  <r>
    <s v="ORD10778"/>
    <s v="22-05-2024"/>
    <s v="CUST1225"/>
    <s v="Kavya Jain"/>
    <x v="1"/>
    <s v="Jaipur"/>
    <s v="Rajasthan"/>
    <x v="2"/>
    <x v="0"/>
    <x v="23"/>
    <n v="2"/>
    <n v="2500"/>
    <n v="0.05"/>
    <n v="4750"/>
    <n v="3334.25"/>
    <n v="1415.75"/>
    <n v="29.81"/>
    <x v="1"/>
    <x v="0"/>
    <x v="8"/>
    <x v="1"/>
    <n v="2024"/>
    <s v="Wednesday"/>
    <n v="3"/>
    <s v="25-05-2024"/>
    <x v="1"/>
    <s v="VIP"/>
    <s v="Medium"/>
    <s v="Yes"/>
    <n v="4"/>
    <s v="Kavya"/>
    <s v="Jain"/>
    <m/>
    <m/>
    <m/>
    <m/>
    <m/>
    <m/>
    <s v="Needs Improvement"/>
    <s v="Low"/>
    <s v="No"/>
    <s v="Yes"/>
    <n v="0.29805263157894735"/>
    <m/>
    <m/>
    <m/>
    <m/>
    <m/>
    <m/>
    <m/>
    <m/>
    <m/>
    <m/>
    <m/>
    <m/>
    <m/>
    <m/>
    <m/>
  </r>
  <r>
    <s v="ORD10239"/>
    <s v="22-06-2024"/>
    <s v="CUST1001"/>
    <s v="Karan Verma"/>
    <x v="0"/>
    <s v="Delhi"/>
    <s v="Delhi"/>
    <x v="2"/>
    <x v="4"/>
    <x v="13"/>
    <n v="9"/>
    <n v="800"/>
    <n v="0.2"/>
    <n v="5760"/>
    <n v="3540.09"/>
    <n v="2219.91"/>
    <n v="38.54"/>
    <x v="0"/>
    <x v="0"/>
    <x v="1"/>
    <x v="2"/>
    <n v="2024"/>
    <s v="Saturday"/>
    <n v="1"/>
    <s v="23-06-2024"/>
    <x v="0"/>
    <s v="Returning"/>
    <s v="High"/>
    <s v="Yes"/>
    <n v="5"/>
    <s v="Karan"/>
    <s v="Verma"/>
    <m/>
    <m/>
    <m/>
    <m/>
    <m/>
    <m/>
    <s v="Good"/>
    <s v="Low"/>
    <s v="No"/>
    <s v="Yes"/>
    <n v="0.38540104166666667"/>
    <m/>
    <m/>
    <m/>
    <m/>
    <m/>
    <m/>
    <m/>
    <m/>
    <m/>
    <m/>
    <m/>
    <m/>
    <m/>
    <m/>
    <m/>
  </r>
  <r>
    <s v="ORD10833"/>
    <s v="22-06-2024"/>
    <s v="CUST1003"/>
    <s v="Meera Saxena"/>
    <x v="0"/>
    <s v="Lucknow"/>
    <s v="Uttar Pradesh"/>
    <x v="3"/>
    <x v="2"/>
    <x v="7"/>
    <n v="8"/>
    <n v="12000"/>
    <n v="0.05"/>
    <n v="91200"/>
    <n v="74529.06"/>
    <n v="16670.939999999999"/>
    <n v="18.28"/>
    <x v="4"/>
    <x v="0"/>
    <x v="6"/>
    <x v="2"/>
    <n v="2024"/>
    <s v="Saturday"/>
    <n v="9"/>
    <d v="2024-01-07T00:00:00"/>
    <x v="0"/>
    <s v="New"/>
    <s v="Medium"/>
    <s v="Yes"/>
    <n v="5"/>
    <s v="Meera"/>
    <s v="Saxena"/>
    <m/>
    <m/>
    <m/>
    <m/>
    <m/>
    <m/>
    <s v="Needs Improvement"/>
    <s v="High"/>
    <s v="Yes"/>
    <s v="Yes"/>
    <n v="0.18279539473684209"/>
    <m/>
    <m/>
    <m/>
    <m/>
    <m/>
    <m/>
    <m/>
    <m/>
    <m/>
    <m/>
    <m/>
    <m/>
    <m/>
    <m/>
    <m/>
  </r>
  <r>
    <s v="ORD10260"/>
    <s v="22-07-2024"/>
    <s v="CUST1112"/>
    <s v="Arjun Singh"/>
    <x v="1"/>
    <s v="Ahmedabad"/>
    <s v="Gujarat"/>
    <x v="2"/>
    <x v="2"/>
    <x v="8"/>
    <n v="8"/>
    <n v="50000"/>
    <n v="0.1"/>
    <n v="360000"/>
    <n v="281947.53000000003"/>
    <n v="78052.47"/>
    <n v="21.68"/>
    <x v="0"/>
    <x v="2"/>
    <x v="4"/>
    <x v="9"/>
    <n v="2024"/>
    <s v="Monday"/>
    <n v="6"/>
    <s v="28-07-2024"/>
    <x v="0"/>
    <s v="Returning"/>
    <s v="High"/>
    <s v="Yes"/>
    <n v="4"/>
    <s v="Arjun"/>
    <s v="Singh"/>
    <m/>
    <m/>
    <m/>
    <m/>
    <m/>
    <m/>
    <s v="Needs Improvement"/>
    <s v="High"/>
    <s v="Yes"/>
    <s v="Yes"/>
    <n v="0.21681241666666667"/>
    <m/>
    <m/>
    <m/>
    <m/>
    <m/>
    <m/>
    <m/>
    <m/>
    <m/>
    <m/>
    <m/>
    <m/>
    <m/>
    <m/>
    <m/>
  </r>
  <r>
    <s v="ORD10499"/>
    <s v="22-07-2024"/>
    <s v="CUST1258"/>
    <s v="Simran Gupta"/>
    <x v="2"/>
    <s v="Pune"/>
    <s v="Maharashtra"/>
    <x v="3"/>
    <x v="2"/>
    <x v="8"/>
    <n v="4"/>
    <n v="50000"/>
    <n v="0.15"/>
    <n v="170000"/>
    <n v="125682.55"/>
    <n v="44317.45"/>
    <n v="26.07"/>
    <x v="2"/>
    <x v="2"/>
    <x v="4"/>
    <x v="9"/>
    <n v="2024"/>
    <s v="Monday"/>
    <n v="8"/>
    <s v="30-07-2024"/>
    <x v="0"/>
    <s v="Returning"/>
    <s v="Low"/>
    <s v="No"/>
    <n v="2"/>
    <s v="Simran"/>
    <s v="Gupta"/>
    <m/>
    <m/>
    <m/>
    <m/>
    <m/>
    <m/>
    <s v="Needs Improvement"/>
    <s v="High"/>
    <s v="Yes"/>
    <s v="Yes"/>
    <n v="0.26069088235294113"/>
    <m/>
    <m/>
    <m/>
    <m/>
    <m/>
    <m/>
    <m/>
    <m/>
    <m/>
    <m/>
    <m/>
    <m/>
    <m/>
    <m/>
    <m/>
  </r>
  <r>
    <s v="ORD10827"/>
    <s v="22-07-2024"/>
    <s v="CUST1002"/>
    <s v="Nisha Jain"/>
    <x v="2"/>
    <s v="Jaipur"/>
    <s v="Rajasthan"/>
    <x v="0"/>
    <x v="4"/>
    <x v="19"/>
    <n v="7"/>
    <n v="1200"/>
    <n v="0.1"/>
    <n v="7560"/>
    <n v="5082.4799999999996"/>
    <n v="2477.52"/>
    <n v="32.770000000000003"/>
    <x v="0"/>
    <x v="1"/>
    <x v="7"/>
    <x v="9"/>
    <n v="2024"/>
    <s v="Monday"/>
    <n v="1"/>
    <s v="23-07-2024"/>
    <x v="0"/>
    <s v="Returning"/>
    <s v="Medium"/>
    <s v="Yes"/>
    <n v="2"/>
    <s v="Nisha"/>
    <s v="Jain"/>
    <m/>
    <m/>
    <m/>
    <m/>
    <m/>
    <m/>
    <s v="Good"/>
    <s v="Low"/>
    <s v="No"/>
    <s v="No"/>
    <n v="0.32771428571428574"/>
    <m/>
    <m/>
    <m/>
    <m/>
    <m/>
    <m/>
    <m/>
    <m/>
    <m/>
    <m/>
    <m/>
    <m/>
    <m/>
    <m/>
    <m/>
  </r>
  <r>
    <s v="ORD10882"/>
    <s v="22-07-2025"/>
    <s v="CUST1243"/>
    <s v="Pooja Saxena"/>
    <x v="2"/>
    <s v="Kolkata"/>
    <s v="West Bengal"/>
    <x v="3"/>
    <x v="0"/>
    <x v="0"/>
    <n v="3"/>
    <n v="6000"/>
    <n v="0"/>
    <n v="18000"/>
    <n v="13423.44"/>
    <n v="4576.5600000000004"/>
    <n v="25.43"/>
    <x v="3"/>
    <x v="0"/>
    <x v="5"/>
    <x v="9"/>
    <n v="2025"/>
    <s v="Tuesday"/>
    <n v="2"/>
    <s v="24-07-2025"/>
    <x v="2"/>
    <s v="New"/>
    <s v="Medium"/>
    <s v="Yes"/>
    <n v="4"/>
    <s v="Pooja"/>
    <s v="Saxena"/>
    <m/>
    <m/>
    <m/>
    <m/>
    <m/>
    <m/>
    <s v="Needs Improvement"/>
    <s v="Medium"/>
    <s v="No"/>
    <s v="Yes"/>
    <n v="0.25425333333333333"/>
    <m/>
    <m/>
    <m/>
    <m/>
    <m/>
    <m/>
    <m/>
    <m/>
    <m/>
    <m/>
    <m/>
    <m/>
    <m/>
    <m/>
    <m/>
  </r>
  <r>
    <s v="ORD10796"/>
    <s v="22-08-2024"/>
    <s v="CUST1134"/>
    <s v="Kavya Gupta"/>
    <x v="2"/>
    <s v="Jaipur"/>
    <s v="Rajasthan"/>
    <x v="3"/>
    <x v="1"/>
    <x v="3"/>
    <n v="7"/>
    <n v="1800"/>
    <n v="0.1"/>
    <n v="11340"/>
    <n v="9028.1299999999992"/>
    <n v="2311.87"/>
    <n v="20.39"/>
    <x v="3"/>
    <x v="0"/>
    <x v="8"/>
    <x v="10"/>
    <n v="2024"/>
    <s v="Thursday"/>
    <n v="5"/>
    <s v="27-08-2024"/>
    <x v="0"/>
    <s v="VIP"/>
    <s v="High"/>
    <s v="Yes"/>
    <n v="1"/>
    <s v="Kavya"/>
    <s v="Gupta"/>
    <m/>
    <m/>
    <m/>
    <m/>
    <m/>
    <m/>
    <s v="Needs Improvement"/>
    <s v="Medium"/>
    <s v="No"/>
    <s v="Yes"/>
    <n v="0.20386860670194001"/>
    <m/>
    <m/>
    <m/>
    <m/>
    <m/>
    <m/>
    <m/>
    <m/>
    <m/>
    <m/>
    <m/>
    <m/>
    <m/>
    <m/>
    <m/>
  </r>
  <r>
    <s v="ORD10888"/>
    <s v="22-08-2024"/>
    <s v="CUST1012"/>
    <s v="Kavya Agarwal"/>
    <x v="1"/>
    <s v="Bengaluru"/>
    <s v="Karnataka"/>
    <x v="2"/>
    <x v="4"/>
    <x v="16"/>
    <n v="7"/>
    <n v="500"/>
    <n v="0.1"/>
    <n v="3150"/>
    <n v="2548.7800000000002"/>
    <n v="601.22"/>
    <n v="19.09"/>
    <x v="4"/>
    <x v="0"/>
    <x v="2"/>
    <x v="10"/>
    <n v="2024"/>
    <s v="Thursday"/>
    <n v="10"/>
    <d v="2024-01-09T00:00:00"/>
    <x v="2"/>
    <s v="Returning"/>
    <s v="Medium"/>
    <s v="Yes"/>
    <n v="4"/>
    <s v="Kavya"/>
    <s v="Agarwal"/>
    <m/>
    <m/>
    <m/>
    <m/>
    <m/>
    <m/>
    <s v="Needs Improvement"/>
    <s v="Low"/>
    <s v="No"/>
    <s v="Yes"/>
    <n v="0.19086349206349207"/>
    <m/>
    <m/>
    <m/>
    <m/>
    <m/>
    <m/>
    <m/>
    <m/>
    <m/>
    <m/>
    <m/>
    <m/>
    <m/>
    <m/>
    <m/>
  </r>
  <r>
    <s v="ORD10955"/>
    <s v="22-08-2024"/>
    <s v="CUST1346"/>
    <s v="Ishita Gupta"/>
    <x v="2"/>
    <s v="Mumbai"/>
    <s v="Maharashtra"/>
    <x v="1"/>
    <x v="1"/>
    <x v="6"/>
    <n v="10"/>
    <n v="3500"/>
    <n v="0.1"/>
    <n v="31500"/>
    <n v="23234.21"/>
    <n v="8265.7900000000009"/>
    <n v="26.24"/>
    <x v="2"/>
    <x v="2"/>
    <x v="0"/>
    <x v="10"/>
    <n v="2024"/>
    <s v="Thursday"/>
    <n v="1"/>
    <s v="23-08-2024"/>
    <x v="0"/>
    <s v="New"/>
    <s v="Medium"/>
    <s v="No"/>
    <n v="4"/>
    <s v="Ishita"/>
    <s v="Gupta"/>
    <m/>
    <m/>
    <m/>
    <m/>
    <m/>
    <m/>
    <s v="Needs Improvement"/>
    <s v="High"/>
    <s v="No"/>
    <s v="Yes"/>
    <n v="0.26240603174603178"/>
    <m/>
    <m/>
    <m/>
    <m/>
    <m/>
    <m/>
    <m/>
    <m/>
    <m/>
    <m/>
    <m/>
    <m/>
    <m/>
    <m/>
    <m/>
  </r>
  <r>
    <s v="ORD10806"/>
    <s v="22-08-2025"/>
    <s v="CUST1222"/>
    <s v="Meera Sharma"/>
    <x v="1"/>
    <s v="Lucknow"/>
    <s v="Uttar Pradesh"/>
    <x v="1"/>
    <x v="3"/>
    <x v="17"/>
    <n v="6"/>
    <n v="100"/>
    <n v="0.2"/>
    <n v="480"/>
    <n v="362.3"/>
    <n v="117.7"/>
    <n v="24.52"/>
    <x v="2"/>
    <x v="1"/>
    <x v="3"/>
    <x v="10"/>
    <n v="2025"/>
    <s v="Friday"/>
    <n v="2"/>
    <s v="24-08-2025"/>
    <x v="2"/>
    <s v="VIP"/>
    <s v="High"/>
    <s v="No"/>
    <n v="3"/>
    <s v="Meera"/>
    <s v="Sharma"/>
    <m/>
    <m/>
    <m/>
    <m/>
    <m/>
    <m/>
    <s v="Needs Improvement"/>
    <s v="Low"/>
    <s v="No"/>
    <s v="No"/>
    <n v="0.24520833333333333"/>
    <m/>
    <m/>
    <m/>
    <m/>
    <m/>
    <m/>
    <m/>
    <m/>
    <m/>
    <m/>
    <m/>
    <m/>
    <m/>
    <m/>
    <m/>
  </r>
  <r>
    <s v="ORD10489"/>
    <s v="22-09-2024"/>
    <s v="CUST1337"/>
    <s v="Rohan Gupta"/>
    <x v="0"/>
    <s v="Ahmedabad"/>
    <s v="Gujarat"/>
    <x v="0"/>
    <x v="4"/>
    <x v="19"/>
    <n v="8"/>
    <n v="3000"/>
    <n v="0.05"/>
    <n v="22800"/>
    <n v="16930.599999999999"/>
    <n v="5869.4"/>
    <n v="25.74"/>
    <x v="1"/>
    <x v="0"/>
    <x v="3"/>
    <x v="3"/>
    <n v="2024"/>
    <s v="Sunday"/>
    <n v="1"/>
    <s v="23-09-2024"/>
    <x v="1"/>
    <s v="VIP"/>
    <s v="Low"/>
    <s v="No"/>
    <n v="4"/>
    <s v="Rohan"/>
    <s v="Gupta"/>
    <m/>
    <m/>
    <m/>
    <m/>
    <m/>
    <m/>
    <s v="Needs Improvement"/>
    <s v="Medium"/>
    <s v="No"/>
    <s v="Yes"/>
    <n v="0.25742982456140351"/>
    <m/>
    <m/>
    <m/>
    <m/>
    <m/>
    <m/>
    <m/>
    <m/>
    <m/>
    <m/>
    <m/>
    <m/>
    <m/>
    <m/>
    <m/>
  </r>
  <r>
    <s v="ORD10794"/>
    <s v="22-09-2025"/>
    <s v="CUST1191"/>
    <s v="Rohan Yadav"/>
    <x v="2"/>
    <s v="Ahmedabad"/>
    <s v="Gujarat"/>
    <x v="2"/>
    <x v="3"/>
    <x v="17"/>
    <n v="1"/>
    <n v="500"/>
    <n v="0.2"/>
    <n v="400"/>
    <n v="285.51"/>
    <n v="114.49"/>
    <n v="28.62"/>
    <x v="2"/>
    <x v="1"/>
    <x v="6"/>
    <x v="3"/>
    <n v="2025"/>
    <s v="Monday"/>
    <n v="7"/>
    <s v="29-09-2025"/>
    <x v="2"/>
    <s v="New"/>
    <s v="Medium"/>
    <s v="No"/>
    <n v="4"/>
    <s v="Rohan"/>
    <s v="Yadav"/>
    <m/>
    <m/>
    <m/>
    <m/>
    <m/>
    <m/>
    <s v="Needs Improvement"/>
    <s v="Low"/>
    <s v="No"/>
    <s v="No"/>
    <n v="0.28622500000000001"/>
    <m/>
    <m/>
    <m/>
    <m/>
    <m/>
    <m/>
    <m/>
    <m/>
    <m/>
    <m/>
    <m/>
    <m/>
    <m/>
    <m/>
    <m/>
  </r>
  <r>
    <s v="ORD10814"/>
    <s v="22-09-2025"/>
    <s v="CUST1146"/>
    <s v="Rohan Verma"/>
    <x v="0"/>
    <s v="Kolkata"/>
    <s v="West Bengal"/>
    <x v="0"/>
    <x v="1"/>
    <x v="3"/>
    <n v="5"/>
    <n v="3500"/>
    <n v="0.1"/>
    <n v="15750"/>
    <n v="12199.74"/>
    <n v="3550.26"/>
    <n v="22.54"/>
    <x v="2"/>
    <x v="0"/>
    <x v="8"/>
    <x v="3"/>
    <n v="2025"/>
    <s v="Monday"/>
    <n v="9"/>
    <d v="2025-01-10T00:00:00"/>
    <x v="0"/>
    <s v="New"/>
    <s v="Medium"/>
    <s v="Yes"/>
    <n v="3"/>
    <s v="Rohan"/>
    <s v="Verma"/>
    <m/>
    <m/>
    <m/>
    <m/>
    <m/>
    <m/>
    <s v="Needs Improvement"/>
    <s v="Medium"/>
    <s v="No"/>
    <s v="Yes"/>
    <n v="0.22541333333333335"/>
    <m/>
    <m/>
    <m/>
    <m/>
    <m/>
    <m/>
    <m/>
    <m/>
    <m/>
    <m/>
    <m/>
    <m/>
    <m/>
    <m/>
    <m/>
  </r>
  <r>
    <s v="ORD10656"/>
    <s v="22-10-2024"/>
    <s v="CUST1238"/>
    <s v="Karan Mishra"/>
    <x v="2"/>
    <s v="Jaipur"/>
    <s v="Rajasthan"/>
    <x v="2"/>
    <x v="3"/>
    <x v="18"/>
    <n v="3"/>
    <n v="200"/>
    <n v="0.15"/>
    <n v="510"/>
    <n v="394.77"/>
    <n v="115.23"/>
    <n v="22.59"/>
    <x v="3"/>
    <x v="0"/>
    <x v="1"/>
    <x v="4"/>
    <n v="2024"/>
    <s v="Tuesday"/>
    <n v="1"/>
    <s v="23-10-2024"/>
    <x v="1"/>
    <s v="Returning"/>
    <s v="Medium"/>
    <s v="Yes"/>
    <n v="1"/>
    <s v="Karan"/>
    <s v="Mishra"/>
    <m/>
    <m/>
    <m/>
    <m/>
    <m/>
    <m/>
    <s v="Needs Improvement"/>
    <s v="Low"/>
    <s v="No"/>
    <s v="Yes"/>
    <n v="0.22594117647058826"/>
    <m/>
    <m/>
    <m/>
    <m/>
    <m/>
    <m/>
    <m/>
    <m/>
    <m/>
    <m/>
    <m/>
    <m/>
    <m/>
    <m/>
    <m/>
  </r>
  <r>
    <s v="ORD10262"/>
    <s v="22-10-2025"/>
    <s v="CUST1011"/>
    <s v="Pooja Jain"/>
    <x v="1"/>
    <s v="Mumbai"/>
    <s v="Maharashtra"/>
    <x v="3"/>
    <x v="0"/>
    <x v="23"/>
    <n v="4"/>
    <n v="6000"/>
    <n v="0.2"/>
    <n v="19200"/>
    <n v="14360.85"/>
    <n v="4839.1499999999996"/>
    <n v="25.2"/>
    <x v="0"/>
    <x v="2"/>
    <x v="9"/>
    <x v="4"/>
    <n v="2025"/>
    <s v="Wednesday"/>
    <n v="6"/>
    <s v="28-10-2025"/>
    <x v="2"/>
    <s v="VIP"/>
    <s v="Medium"/>
    <s v="No"/>
    <n v="5"/>
    <s v="Pooja"/>
    <s v="Jain"/>
    <m/>
    <m/>
    <m/>
    <m/>
    <m/>
    <m/>
    <s v="Needs Improvement"/>
    <s v="Medium"/>
    <s v="No"/>
    <s v="Yes"/>
    <n v="0.25203906249999997"/>
    <m/>
    <m/>
    <m/>
    <m/>
    <m/>
    <m/>
    <m/>
    <m/>
    <m/>
    <m/>
    <m/>
    <m/>
    <m/>
    <m/>
    <m/>
  </r>
  <r>
    <s v="ORD10057"/>
    <s v="22-11-2025"/>
    <s v="CUST1288"/>
    <s v="Neha Saxena"/>
    <x v="1"/>
    <s v="Chennai"/>
    <s v="Tamil Nadu"/>
    <x v="3"/>
    <x v="3"/>
    <x v="22"/>
    <n v="7"/>
    <n v="350"/>
    <n v="0"/>
    <n v="2450"/>
    <n v="1364.05"/>
    <n v="1085.95"/>
    <n v="44.32"/>
    <x v="1"/>
    <x v="0"/>
    <x v="9"/>
    <x v="11"/>
    <n v="2025"/>
    <s v="Saturday"/>
    <n v="4"/>
    <s v="26-11-2025"/>
    <x v="2"/>
    <s v="VIP"/>
    <s v="Medium"/>
    <s v="No"/>
    <n v="1"/>
    <s v="Neha"/>
    <s v="Saxena"/>
    <m/>
    <m/>
    <m/>
    <m/>
    <m/>
    <m/>
    <s v="Good"/>
    <s v="Low"/>
    <s v="No"/>
    <s v="Yes"/>
    <n v="0.4432448979591837"/>
    <m/>
    <m/>
    <m/>
    <m/>
    <m/>
    <m/>
    <m/>
    <m/>
    <m/>
    <m/>
    <m/>
    <m/>
    <m/>
    <m/>
    <m/>
  </r>
  <r>
    <s v="ORD10105"/>
    <s v="22-12-2025"/>
    <s v="CUST1179"/>
    <s v="Aditi Saxena"/>
    <x v="1"/>
    <s v="Pune"/>
    <s v="Maharashtra"/>
    <x v="0"/>
    <x v="4"/>
    <x v="16"/>
    <n v="4"/>
    <n v="1200"/>
    <n v="0.1"/>
    <n v="4320"/>
    <n v="2745.8"/>
    <n v="1574.2"/>
    <n v="36.44"/>
    <x v="0"/>
    <x v="2"/>
    <x v="5"/>
    <x v="5"/>
    <n v="2025"/>
    <s v="Monday"/>
    <n v="4"/>
    <s v="26-12-2025"/>
    <x v="2"/>
    <s v="VIP"/>
    <s v="High"/>
    <s v="No"/>
    <n v="4"/>
    <s v="Aditi"/>
    <s v="Saxena"/>
    <m/>
    <m/>
    <m/>
    <m/>
    <m/>
    <m/>
    <s v="Good"/>
    <s v="Low"/>
    <s v="No"/>
    <s v="Yes"/>
    <n v="0.36439814814814814"/>
    <m/>
    <m/>
    <m/>
    <m/>
    <m/>
    <m/>
    <m/>
    <m/>
    <m/>
    <m/>
    <m/>
    <m/>
    <m/>
    <m/>
    <m/>
  </r>
  <r>
    <s v="ORD10393"/>
    <s v="22-12-2025"/>
    <s v="CUST1233"/>
    <s v="Riya Bansal"/>
    <x v="0"/>
    <s v="Bengaluru"/>
    <s v="Karnataka"/>
    <x v="0"/>
    <x v="0"/>
    <x v="23"/>
    <n v="1"/>
    <n v="2500"/>
    <n v="0.15"/>
    <n v="2125"/>
    <n v="1505.66"/>
    <n v="619.34"/>
    <n v="29.15"/>
    <x v="2"/>
    <x v="2"/>
    <x v="4"/>
    <x v="5"/>
    <n v="2025"/>
    <s v="Monday"/>
    <n v="5"/>
    <s v="27-12-2025"/>
    <x v="0"/>
    <s v="New"/>
    <s v="High"/>
    <s v="No"/>
    <n v="1"/>
    <s v="Riya"/>
    <s v="Bansal"/>
    <m/>
    <m/>
    <m/>
    <m/>
    <m/>
    <m/>
    <s v="Needs Improvement"/>
    <s v="Low"/>
    <s v="No"/>
    <s v="Yes"/>
    <n v="0.29145411764705886"/>
    <m/>
    <m/>
    <m/>
    <m/>
    <m/>
    <m/>
    <m/>
    <m/>
    <m/>
    <m/>
    <m/>
    <m/>
    <m/>
    <m/>
    <m/>
  </r>
  <r>
    <s v="ORD10611"/>
    <s v="22-12-2025"/>
    <s v="CUST1251"/>
    <s v="Simran Mehta"/>
    <x v="1"/>
    <s v="Bengaluru"/>
    <s v="Karnataka"/>
    <x v="3"/>
    <x v="1"/>
    <x v="6"/>
    <n v="2"/>
    <n v="1800"/>
    <n v="0.15"/>
    <n v="3060"/>
    <n v="2377.11"/>
    <n v="682.89"/>
    <n v="22.32"/>
    <x v="1"/>
    <x v="1"/>
    <x v="0"/>
    <x v="5"/>
    <n v="2025"/>
    <s v="Monday"/>
    <n v="3"/>
    <s v="25-12-2025"/>
    <x v="2"/>
    <s v="VIP"/>
    <s v="Low"/>
    <s v="No"/>
    <n v="1"/>
    <s v="Simran"/>
    <s v="Mehta"/>
    <m/>
    <m/>
    <m/>
    <m/>
    <m/>
    <m/>
    <s v="Needs Improvement"/>
    <s v="Low"/>
    <s v="No"/>
    <s v="No"/>
    <n v="0.22316666666666665"/>
    <m/>
    <m/>
    <m/>
    <m/>
    <m/>
    <m/>
    <m/>
    <m/>
    <m/>
    <m/>
    <m/>
    <m/>
    <m/>
    <m/>
    <m/>
  </r>
  <r>
    <s v="ORD10054"/>
    <s v="23-01-2024"/>
    <s v="CUST1026"/>
    <s v="Simran Yadav"/>
    <x v="0"/>
    <s v="Kolkata"/>
    <s v="West Bengal"/>
    <x v="0"/>
    <x v="4"/>
    <x v="16"/>
    <n v="10"/>
    <n v="1200"/>
    <n v="0.1"/>
    <n v="10800"/>
    <n v="5963.61"/>
    <n v="4836.3900000000003"/>
    <n v="44.78"/>
    <x v="2"/>
    <x v="0"/>
    <x v="3"/>
    <x v="6"/>
    <n v="2024"/>
    <s v="Tuesday"/>
    <n v="7"/>
    <s v="30-01-2024"/>
    <x v="0"/>
    <s v="New"/>
    <s v="High"/>
    <s v="Yes"/>
    <n v="5"/>
    <s v="Simran"/>
    <s v="Yadav"/>
    <m/>
    <m/>
    <m/>
    <m/>
    <m/>
    <m/>
    <s v="Good"/>
    <s v="Medium"/>
    <s v="No"/>
    <s v="Yes"/>
    <n v="0.4478138888888889"/>
    <m/>
    <m/>
    <m/>
    <m/>
    <m/>
    <m/>
    <m/>
    <m/>
    <m/>
    <m/>
    <m/>
    <m/>
    <m/>
    <m/>
    <m/>
  </r>
  <r>
    <s v="ORD10590"/>
    <s v="23-01-2025"/>
    <s v="CUST1339"/>
    <s v="Priya Sharma"/>
    <x v="1"/>
    <s v="Kolkata"/>
    <s v="West Bengal"/>
    <x v="0"/>
    <x v="1"/>
    <x v="14"/>
    <n v="1"/>
    <n v="1200"/>
    <n v="0.05"/>
    <n v="1140"/>
    <n v="790.9"/>
    <n v="349.1"/>
    <n v="30.62"/>
    <x v="1"/>
    <x v="0"/>
    <x v="3"/>
    <x v="6"/>
    <n v="2025"/>
    <s v="Thursday"/>
    <n v="3"/>
    <s v="26-01-2025"/>
    <x v="2"/>
    <s v="Returning"/>
    <s v="High"/>
    <s v="Yes"/>
    <n v="1"/>
    <s v="Priya"/>
    <s v="Sharma"/>
    <m/>
    <m/>
    <m/>
    <m/>
    <m/>
    <m/>
    <s v="Good"/>
    <s v="Low"/>
    <s v="No"/>
    <s v="Yes"/>
    <n v="0.30622807017543863"/>
    <m/>
    <m/>
    <m/>
    <m/>
    <m/>
    <m/>
    <m/>
    <m/>
    <m/>
    <m/>
    <m/>
    <m/>
    <m/>
    <m/>
    <m/>
  </r>
  <r>
    <s v="ORD10829"/>
    <s v="23-01-2025"/>
    <s v="CUST1211"/>
    <s v="Aditya Kapoor"/>
    <x v="0"/>
    <s v="Mumbai"/>
    <s v="Maharashtra"/>
    <x v="1"/>
    <x v="2"/>
    <x v="8"/>
    <n v="3"/>
    <n v="50000"/>
    <n v="0.1"/>
    <n v="135000"/>
    <n v="86640.86"/>
    <n v="48359.14"/>
    <n v="35.82"/>
    <x v="4"/>
    <x v="1"/>
    <x v="0"/>
    <x v="6"/>
    <n v="2025"/>
    <s v="Thursday"/>
    <n v="3"/>
    <s v="26-01-2025"/>
    <x v="0"/>
    <s v="Returning"/>
    <s v="Low"/>
    <s v="Yes"/>
    <n v="3"/>
    <s v="Aditya"/>
    <s v="Kapoor"/>
    <m/>
    <m/>
    <m/>
    <m/>
    <m/>
    <m/>
    <s v="Good"/>
    <s v="High"/>
    <s v="Yes"/>
    <s v="No"/>
    <n v="0.35821585185185184"/>
    <m/>
    <m/>
    <m/>
    <m/>
    <m/>
    <m/>
    <m/>
    <m/>
    <m/>
    <m/>
    <m/>
    <m/>
    <m/>
    <m/>
    <m/>
  </r>
  <r>
    <s v="ORD10076"/>
    <s v="23-02-2024"/>
    <s v="CUST1286"/>
    <s v="Pooja Kumar"/>
    <x v="0"/>
    <s v="Chennai"/>
    <s v="Tamil Nadu"/>
    <x v="3"/>
    <x v="3"/>
    <x v="18"/>
    <n v="7"/>
    <n v="350"/>
    <n v="0.2"/>
    <n v="1960"/>
    <n v="1252.47"/>
    <n v="707.53"/>
    <n v="36.1"/>
    <x v="0"/>
    <x v="2"/>
    <x v="5"/>
    <x v="7"/>
    <n v="2024"/>
    <s v="Friday"/>
    <n v="6"/>
    <s v="29-02-2024"/>
    <x v="0"/>
    <s v="VIP"/>
    <s v="Low"/>
    <s v="No"/>
    <n v="3"/>
    <s v="Pooja"/>
    <s v="Kumar"/>
    <m/>
    <m/>
    <m/>
    <m/>
    <m/>
    <m/>
    <s v="Good"/>
    <s v="Low"/>
    <s v="No"/>
    <s v="Yes"/>
    <n v="0.360984693877551"/>
    <m/>
    <m/>
    <m/>
    <m/>
    <m/>
    <m/>
    <m/>
    <m/>
    <m/>
    <m/>
    <m/>
    <m/>
    <m/>
    <m/>
    <m/>
  </r>
  <r>
    <s v="ORD10417"/>
    <s v="23-02-2024"/>
    <s v="CUST1301"/>
    <s v="Vikram Malhotra"/>
    <x v="1"/>
    <s v="Bengaluru"/>
    <s v="Karnataka"/>
    <x v="2"/>
    <x v="1"/>
    <x v="6"/>
    <n v="5"/>
    <n v="2500"/>
    <n v="0"/>
    <n v="12500"/>
    <n v="9413.4500000000007"/>
    <n v="3086.55"/>
    <n v="24.69"/>
    <x v="1"/>
    <x v="1"/>
    <x v="7"/>
    <x v="7"/>
    <n v="2024"/>
    <s v="Friday"/>
    <n v="4"/>
    <s v="27-02-2024"/>
    <x v="0"/>
    <s v="Returning"/>
    <s v="Medium"/>
    <s v="No"/>
    <n v="1"/>
    <s v="Vikram"/>
    <s v="Malhotra"/>
    <m/>
    <m/>
    <m/>
    <m/>
    <m/>
    <m/>
    <s v="Needs Improvement"/>
    <s v="Medium"/>
    <s v="No"/>
    <s v="No"/>
    <n v="0.246924"/>
    <m/>
    <m/>
    <m/>
    <m/>
    <m/>
    <m/>
    <m/>
    <m/>
    <m/>
    <m/>
    <m/>
    <m/>
    <m/>
    <m/>
    <m/>
  </r>
  <r>
    <s v="ORD10050"/>
    <s v="23-02-2025"/>
    <s v="CUST1136"/>
    <s v="Neha Bansal"/>
    <x v="1"/>
    <s v="Jaipur"/>
    <s v="Rajasthan"/>
    <x v="2"/>
    <x v="2"/>
    <x v="12"/>
    <n v="8"/>
    <n v="8000"/>
    <n v="0.05"/>
    <n v="60800"/>
    <n v="41147.160000000003"/>
    <n v="19652.84"/>
    <n v="32.32"/>
    <x v="1"/>
    <x v="1"/>
    <x v="8"/>
    <x v="7"/>
    <n v="2025"/>
    <s v="Sunday"/>
    <n v="3"/>
    <s v="26-02-2025"/>
    <x v="0"/>
    <s v="Returning"/>
    <s v="Medium"/>
    <s v="No"/>
    <n v="5"/>
    <s v="Neha"/>
    <s v="Bansal"/>
    <m/>
    <m/>
    <m/>
    <m/>
    <m/>
    <m/>
    <s v="Good"/>
    <s v="High"/>
    <s v="Yes"/>
    <s v="No"/>
    <n v="0.32323750000000001"/>
    <m/>
    <m/>
    <m/>
    <m/>
    <m/>
    <m/>
    <m/>
    <m/>
    <m/>
    <m/>
    <m/>
    <m/>
    <m/>
    <m/>
    <m/>
  </r>
  <r>
    <s v="ORD10289"/>
    <s v="23-02-2025"/>
    <s v="CUST1004"/>
    <s v="Vikram Saxena"/>
    <x v="1"/>
    <s v="Jaipur"/>
    <s v="Rajasthan"/>
    <x v="0"/>
    <x v="0"/>
    <x v="1"/>
    <n v="10"/>
    <n v="9000"/>
    <n v="0.15"/>
    <n v="76500"/>
    <n v="54493.13"/>
    <n v="22006.87"/>
    <n v="28.77"/>
    <x v="3"/>
    <x v="0"/>
    <x v="8"/>
    <x v="7"/>
    <n v="2025"/>
    <s v="Sunday"/>
    <n v="8"/>
    <d v="2025-03-03T00:00:00"/>
    <x v="0"/>
    <s v="New"/>
    <s v="Low"/>
    <s v="Yes"/>
    <n v="2"/>
    <s v="Vikram"/>
    <s v="Saxena"/>
    <m/>
    <m/>
    <m/>
    <m/>
    <m/>
    <m/>
    <s v="Needs Improvement"/>
    <s v="High"/>
    <s v="Yes"/>
    <s v="Yes"/>
    <n v="0.28767150326797386"/>
    <m/>
    <m/>
    <m/>
    <m/>
    <m/>
    <m/>
    <m/>
    <m/>
    <m/>
    <m/>
    <m/>
    <m/>
    <m/>
    <m/>
    <m/>
  </r>
  <r>
    <s v="ORD10328"/>
    <s v="23-03-2024"/>
    <s v="CUST1046"/>
    <s v="Nisha Saxena"/>
    <x v="0"/>
    <s v="Mumbai"/>
    <s v="Maharashtra"/>
    <x v="2"/>
    <x v="4"/>
    <x v="19"/>
    <n v="3"/>
    <n v="500"/>
    <n v="0.15"/>
    <n v="1275"/>
    <n v="763.01"/>
    <n v="511.99"/>
    <n v="40.159999999999997"/>
    <x v="4"/>
    <x v="0"/>
    <x v="4"/>
    <x v="0"/>
    <n v="2024"/>
    <s v="Saturday"/>
    <n v="1"/>
    <s v="24-03-2024"/>
    <x v="0"/>
    <s v="New"/>
    <s v="Low"/>
    <s v="No"/>
    <n v="5"/>
    <s v="Nisha"/>
    <s v="Saxena"/>
    <m/>
    <m/>
    <m/>
    <m/>
    <m/>
    <m/>
    <s v="Good"/>
    <s v="Low"/>
    <s v="No"/>
    <s v="Yes"/>
    <n v="0.40156078431372549"/>
    <m/>
    <m/>
    <m/>
    <m/>
    <m/>
    <m/>
    <m/>
    <m/>
    <m/>
    <m/>
    <m/>
    <m/>
    <m/>
    <m/>
    <m/>
  </r>
  <r>
    <s v="ORD10340"/>
    <s v="23-03-2024"/>
    <s v="CUST1040"/>
    <s v="Arjun Gupta"/>
    <x v="0"/>
    <s v="Lucknow"/>
    <s v="Uttar Pradesh"/>
    <x v="1"/>
    <x v="3"/>
    <x v="5"/>
    <n v="4"/>
    <n v="500"/>
    <n v="0"/>
    <n v="2000"/>
    <n v="1255.72"/>
    <n v="744.28"/>
    <n v="37.21"/>
    <x v="2"/>
    <x v="1"/>
    <x v="4"/>
    <x v="0"/>
    <n v="2024"/>
    <s v="Saturday"/>
    <n v="7"/>
    <s v="30-03-2024"/>
    <x v="0"/>
    <s v="New"/>
    <s v="High"/>
    <s v="Yes"/>
    <n v="3"/>
    <s v="Arjun"/>
    <s v="Gupta"/>
    <m/>
    <m/>
    <m/>
    <m/>
    <m/>
    <m/>
    <s v="Good"/>
    <s v="Low"/>
    <s v="No"/>
    <s v="No"/>
    <n v="0.37213999999999997"/>
    <m/>
    <m/>
    <m/>
    <m/>
    <m/>
    <m/>
    <m/>
    <m/>
    <m/>
    <m/>
    <m/>
    <m/>
    <m/>
    <m/>
    <m/>
  </r>
  <r>
    <s v="ORD10657"/>
    <s v="23-03-2024"/>
    <s v="CUST1012"/>
    <s v="Neha Bansal"/>
    <x v="2"/>
    <s v="Lucknow"/>
    <s v="Uttar Pradesh"/>
    <x v="3"/>
    <x v="0"/>
    <x v="1"/>
    <n v="10"/>
    <n v="15000"/>
    <n v="0.2"/>
    <n v="120000"/>
    <n v="89721.600000000006"/>
    <n v="30278.400000000001"/>
    <n v="25.23"/>
    <x v="3"/>
    <x v="0"/>
    <x v="9"/>
    <x v="0"/>
    <n v="2024"/>
    <s v="Saturday"/>
    <n v="10"/>
    <d v="2024-02-04T00:00:00"/>
    <x v="1"/>
    <s v="VIP"/>
    <s v="Low"/>
    <s v="No"/>
    <n v="1"/>
    <s v="Neha"/>
    <s v="Bansal"/>
    <m/>
    <m/>
    <m/>
    <m/>
    <m/>
    <m/>
    <s v="Needs Improvement"/>
    <s v="High"/>
    <s v="Yes"/>
    <s v="Yes"/>
    <n v="0.25231999999999999"/>
    <m/>
    <m/>
    <m/>
    <m/>
    <m/>
    <m/>
    <m/>
    <m/>
    <m/>
    <m/>
    <m/>
    <m/>
    <m/>
    <m/>
    <m/>
  </r>
  <r>
    <s v="ORD10852"/>
    <s v="23-03-2024"/>
    <s v="CUST1142"/>
    <s v="Neha Sharma"/>
    <x v="2"/>
    <s v="Bengaluru"/>
    <s v="Karnataka"/>
    <x v="1"/>
    <x v="4"/>
    <x v="19"/>
    <n v="2"/>
    <n v="2000"/>
    <n v="0.2"/>
    <n v="3200"/>
    <n v="1902.24"/>
    <n v="1297.76"/>
    <n v="40.549999999999997"/>
    <x v="1"/>
    <x v="0"/>
    <x v="7"/>
    <x v="0"/>
    <n v="2024"/>
    <s v="Saturday"/>
    <n v="6"/>
    <s v="29-03-2024"/>
    <x v="2"/>
    <s v="VIP"/>
    <s v="Low"/>
    <s v="Yes"/>
    <n v="3"/>
    <s v="Neha"/>
    <s v="Sharma"/>
    <m/>
    <m/>
    <m/>
    <m/>
    <m/>
    <m/>
    <s v="Good"/>
    <s v="Low"/>
    <s v="No"/>
    <s v="Yes"/>
    <n v="0.40555000000000002"/>
    <m/>
    <m/>
    <m/>
    <m/>
    <m/>
    <m/>
    <m/>
    <m/>
    <m/>
    <m/>
    <m/>
    <m/>
    <m/>
    <m/>
    <m/>
  </r>
  <r>
    <s v="ORD10678"/>
    <s v="23-03-2025"/>
    <s v="CUST1168"/>
    <s v="Aditi Malhotra"/>
    <x v="0"/>
    <s v="Ahmedabad"/>
    <s v="Gujarat"/>
    <x v="0"/>
    <x v="2"/>
    <x v="12"/>
    <n v="6"/>
    <n v="8000"/>
    <n v="0.2"/>
    <n v="38400"/>
    <n v="30172.1"/>
    <n v="8227.9"/>
    <n v="21.43"/>
    <x v="1"/>
    <x v="0"/>
    <x v="2"/>
    <x v="0"/>
    <n v="2025"/>
    <s v="Sunday"/>
    <n v="1"/>
    <s v="24-03-2025"/>
    <x v="1"/>
    <s v="VIP"/>
    <s v="Low"/>
    <s v="Yes"/>
    <n v="5"/>
    <s v="Aditi"/>
    <s v="Malhotra"/>
    <m/>
    <m/>
    <m/>
    <m/>
    <m/>
    <m/>
    <s v="Needs Improvement"/>
    <s v="High"/>
    <s v="No"/>
    <s v="Yes"/>
    <n v="0.21426822916666666"/>
    <m/>
    <m/>
    <m/>
    <m/>
    <m/>
    <m/>
    <m/>
    <m/>
    <m/>
    <m/>
    <m/>
    <m/>
    <m/>
    <m/>
    <m/>
  </r>
  <r>
    <s v="ORD10319"/>
    <s v="23-04-2024"/>
    <s v="CUST1339"/>
    <s v="Aditya Mishra"/>
    <x v="0"/>
    <s v="Mumbai"/>
    <s v="Maharashtra"/>
    <x v="0"/>
    <x v="4"/>
    <x v="9"/>
    <n v="7"/>
    <n v="3000"/>
    <n v="0.05"/>
    <n v="19950"/>
    <n v="12559.19"/>
    <n v="7390.81"/>
    <n v="37.049999999999997"/>
    <x v="4"/>
    <x v="0"/>
    <x v="3"/>
    <x v="8"/>
    <n v="2024"/>
    <s v="Tuesday"/>
    <n v="3"/>
    <s v="26-04-2024"/>
    <x v="0"/>
    <s v="Returning"/>
    <s v="Low"/>
    <s v="Yes"/>
    <n v="3"/>
    <s v="Aditya"/>
    <s v="Mishra"/>
    <m/>
    <m/>
    <m/>
    <m/>
    <m/>
    <m/>
    <s v="Good"/>
    <s v="Medium"/>
    <s v="No"/>
    <s v="Yes"/>
    <n v="0.37046666666666667"/>
    <m/>
    <m/>
    <m/>
    <m/>
    <m/>
    <m/>
    <m/>
    <m/>
    <m/>
    <m/>
    <m/>
    <m/>
    <m/>
    <m/>
    <m/>
  </r>
  <r>
    <s v="ORD10836"/>
    <s v="23-04-2024"/>
    <s v="CUST1106"/>
    <s v="Riya Gupta"/>
    <x v="2"/>
    <s v="Hyderabad"/>
    <s v="Telangana"/>
    <x v="1"/>
    <x v="3"/>
    <x v="5"/>
    <n v="10"/>
    <n v="100"/>
    <n v="0.05"/>
    <n v="950"/>
    <n v="549.92999999999995"/>
    <n v="400.07"/>
    <n v="42.11"/>
    <x v="0"/>
    <x v="1"/>
    <x v="1"/>
    <x v="8"/>
    <n v="2024"/>
    <s v="Tuesday"/>
    <n v="1"/>
    <s v="24-04-2024"/>
    <x v="2"/>
    <s v="Returning"/>
    <s v="High"/>
    <s v="No"/>
    <n v="4"/>
    <s v="Riya"/>
    <s v="Gupta"/>
    <m/>
    <m/>
    <m/>
    <m/>
    <m/>
    <m/>
    <s v="Good"/>
    <s v="Low"/>
    <s v="No"/>
    <s v="No"/>
    <n v="0.42112631578947368"/>
    <m/>
    <m/>
    <m/>
    <m/>
    <m/>
    <m/>
    <m/>
    <m/>
    <m/>
    <m/>
    <m/>
    <m/>
    <m/>
    <m/>
    <m/>
  </r>
  <r>
    <s v="ORD10843"/>
    <s v="23-04-2025"/>
    <s v="CUST1038"/>
    <s v="Arjun Mishra"/>
    <x v="1"/>
    <s v="Lucknow"/>
    <s v="Uttar Pradesh"/>
    <x v="2"/>
    <x v="0"/>
    <x v="1"/>
    <n v="7"/>
    <n v="2500"/>
    <n v="0.05"/>
    <n v="16625"/>
    <n v="13614.35"/>
    <n v="3010.65"/>
    <n v="18.11"/>
    <x v="2"/>
    <x v="2"/>
    <x v="6"/>
    <x v="8"/>
    <n v="2025"/>
    <s v="Wednesday"/>
    <n v="7"/>
    <s v="30-04-2025"/>
    <x v="1"/>
    <s v="New"/>
    <s v="Medium"/>
    <s v="Yes"/>
    <n v="1"/>
    <s v="Arjun"/>
    <s v="Mishra"/>
    <m/>
    <m/>
    <m/>
    <m/>
    <m/>
    <m/>
    <s v="Needs Improvement"/>
    <s v="Medium"/>
    <s v="No"/>
    <s v="Yes"/>
    <n v="0.18109172932330828"/>
    <m/>
    <m/>
    <m/>
    <m/>
    <m/>
    <m/>
    <m/>
    <m/>
    <m/>
    <m/>
    <m/>
    <m/>
    <m/>
    <m/>
    <m/>
  </r>
  <r>
    <s v="ORD10662"/>
    <s v="23-05-2024"/>
    <s v="CUST1114"/>
    <s v="Sneha Bansal"/>
    <x v="0"/>
    <s v="Jaipur"/>
    <s v="Rajasthan"/>
    <x v="0"/>
    <x v="3"/>
    <x v="22"/>
    <n v="5"/>
    <n v="800"/>
    <n v="0"/>
    <n v="4000"/>
    <n v="2511.5"/>
    <n v="1488.5"/>
    <n v="37.21"/>
    <x v="0"/>
    <x v="0"/>
    <x v="4"/>
    <x v="1"/>
    <n v="2024"/>
    <s v="Thursday"/>
    <n v="3"/>
    <s v="26-05-2024"/>
    <x v="1"/>
    <s v="VIP"/>
    <s v="High"/>
    <s v="No"/>
    <n v="4"/>
    <s v="Sneha"/>
    <s v="Bansal"/>
    <m/>
    <m/>
    <m/>
    <m/>
    <m/>
    <m/>
    <s v="Good"/>
    <s v="Low"/>
    <s v="No"/>
    <s v="Yes"/>
    <n v="0.37212499999999998"/>
    <m/>
    <m/>
    <m/>
    <m/>
    <m/>
    <m/>
    <m/>
    <m/>
    <m/>
    <m/>
    <m/>
    <m/>
    <m/>
    <m/>
    <m/>
  </r>
  <r>
    <s v="ORD10326"/>
    <s v="23-06-2024"/>
    <s v="CUST1055"/>
    <s v="Arjun Malhotra"/>
    <x v="1"/>
    <s v="Bengaluru"/>
    <s v="Karnataka"/>
    <x v="3"/>
    <x v="2"/>
    <x v="8"/>
    <n v="2"/>
    <n v="22000"/>
    <n v="0.2"/>
    <n v="35200"/>
    <n v="27132.37"/>
    <n v="8067.63"/>
    <n v="22.92"/>
    <x v="1"/>
    <x v="2"/>
    <x v="1"/>
    <x v="2"/>
    <n v="2024"/>
    <s v="Sunday"/>
    <n v="10"/>
    <d v="2024-03-07T00:00:00"/>
    <x v="0"/>
    <s v="Returning"/>
    <s v="High"/>
    <s v="No"/>
    <n v="3"/>
    <s v="Arjun"/>
    <s v="Malhotra"/>
    <m/>
    <m/>
    <m/>
    <m/>
    <m/>
    <m/>
    <s v="Needs Improvement"/>
    <s v="High"/>
    <s v="No"/>
    <s v="Yes"/>
    <n v="0.2291940340909091"/>
    <m/>
    <m/>
    <m/>
    <m/>
    <m/>
    <m/>
    <m/>
    <m/>
    <m/>
    <m/>
    <m/>
    <m/>
    <m/>
    <m/>
    <m/>
  </r>
  <r>
    <s v="ORD10391"/>
    <s v="23-06-2025"/>
    <s v="CUST1224"/>
    <s v="Aditya Saxena"/>
    <x v="0"/>
    <s v="Ahmedabad"/>
    <s v="Gujarat"/>
    <x v="0"/>
    <x v="3"/>
    <x v="18"/>
    <n v="4"/>
    <n v="200"/>
    <n v="0.15"/>
    <n v="680"/>
    <n v="427.37"/>
    <n v="252.63"/>
    <n v="37.15"/>
    <x v="2"/>
    <x v="2"/>
    <x v="0"/>
    <x v="2"/>
    <n v="2025"/>
    <s v="Monday"/>
    <n v="9"/>
    <d v="2025-02-07T00:00:00"/>
    <x v="0"/>
    <s v="New"/>
    <s v="High"/>
    <s v="No"/>
    <n v="3"/>
    <s v="Aditya"/>
    <s v="Saxena"/>
    <m/>
    <m/>
    <m/>
    <m/>
    <m/>
    <m/>
    <s v="Good"/>
    <s v="Low"/>
    <s v="No"/>
    <s v="Yes"/>
    <n v="0.37151470588235291"/>
    <m/>
    <m/>
    <m/>
    <m/>
    <m/>
    <m/>
    <m/>
    <m/>
    <m/>
    <m/>
    <m/>
    <m/>
    <m/>
    <m/>
    <m/>
  </r>
  <r>
    <s v="ORD10517"/>
    <s v="23-06-2025"/>
    <s v="CUST1121"/>
    <s v="Sneha Sharma"/>
    <x v="2"/>
    <s v="Ahmedabad"/>
    <s v="Gujarat"/>
    <x v="1"/>
    <x v="0"/>
    <x v="23"/>
    <n v="2"/>
    <n v="15000"/>
    <n v="0.15"/>
    <n v="25500"/>
    <n v="18865.8"/>
    <n v="6634.2"/>
    <n v="26.02"/>
    <x v="0"/>
    <x v="0"/>
    <x v="9"/>
    <x v="2"/>
    <n v="2025"/>
    <s v="Monday"/>
    <n v="10"/>
    <d v="2025-03-07T00:00:00"/>
    <x v="0"/>
    <s v="New"/>
    <s v="Low"/>
    <s v="Yes"/>
    <n v="3"/>
    <s v="Sneha"/>
    <s v="Sharma"/>
    <m/>
    <m/>
    <m/>
    <m/>
    <m/>
    <m/>
    <s v="Needs Improvement"/>
    <s v="Medium"/>
    <s v="No"/>
    <s v="Yes"/>
    <n v="0.26016470588235291"/>
    <m/>
    <m/>
    <m/>
    <m/>
    <m/>
    <m/>
    <m/>
    <m/>
    <m/>
    <m/>
    <m/>
    <m/>
    <m/>
    <m/>
    <m/>
  </r>
  <r>
    <s v="ORD10080"/>
    <s v="23-07-2024"/>
    <s v="CUST1027"/>
    <s v="Kavya Chopra"/>
    <x v="0"/>
    <s v="Pune"/>
    <s v="Maharashtra"/>
    <x v="1"/>
    <x v="1"/>
    <x v="20"/>
    <n v="9"/>
    <n v="2500"/>
    <n v="0.05"/>
    <n v="21375"/>
    <n v="16794.560000000001"/>
    <n v="4580.4399999999996"/>
    <n v="21.43"/>
    <x v="3"/>
    <x v="2"/>
    <x v="0"/>
    <x v="9"/>
    <n v="2024"/>
    <s v="Tuesday"/>
    <n v="10"/>
    <d v="2024-02-08T00:00:00"/>
    <x v="0"/>
    <s v="New"/>
    <s v="Low"/>
    <s v="No"/>
    <n v="4"/>
    <s v="Kavya"/>
    <s v="Chopra"/>
    <m/>
    <m/>
    <m/>
    <m/>
    <m/>
    <m/>
    <s v="Needs Improvement"/>
    <s v="Medium"/>
    <s v="No"/>
    <s v="Yes"/>
    <n v="0.21428959064327482"/>
    <m/>
    <m/>
    <m/>
    <m/>
    <m/>
    <m/>
    <m/>
    <m/>
    <m/>
    <m/>
    <m/>
    <m/>
    <m/>
    <m/>
    <m/>
  </r>
  <r>
    <s v="ORD10676"/>
    <s v="23-07-2024"/>
    <s v="CUST1168"/>
    <s v="Nisha Kapoor"/>
    <x v="1"/>
    <s v="Kolkata"/>
    <s v="West Bengal"/>
    <x v="0"/>
    <x v="0"/>
    <x v="1"/>
    <n v="10"/>
    <n v="6000"/>
    <n v="0.2"/>
    <n v="48000"/>
    <n v="32079.87"/>
    <n v="15920.13"/>
    <n v="33.17"/>
    <x v="3"/>
    <x v="0"/>
    <x v="0"/>
    <x v="9"/>
    <n v="2024"/>
    <s v="Tuesday"/>
    <n v="9"/>
    <d v="2024-01-08T00:00:00"/>
    <x v="0"/>
    <s v="VIP"/>
    <s v="Low"/>
    <s v="Yes"/>
    <n v="1"/>
    <s v="Nisha"/>
    <s v="Kapoor"/>
    <m/>
    <m/>
    <m/>
    <m/>
    <m/>
    <m/>
    <s v="Good"/>
    <s v="High"/>
    <s v="Yes"/>
    <s v="Yes"/>
    <n v="0.33166937499999999"/>
    <m/>
    <m/>
    <m/>
    <m/>
    <m/>
    <m/>
    <m/>
    <m/>
    <m/>
    <m/>
    <m/>
    <m/>
    <m/>
    <m/>
    <m/>
  </r>
  <r>
    <s v="ORD10182"/>
    <s v="23-07-2025"/>
    <s v="CUST1142"/>
    <s v="Meera Malhotra"/>
    <x v="2"/>
    <s v="Lucknow"/>
    <s v="Uttar Pradesh"/>
    <x v="2"/>
    <x v="3"/>
    <x v="17"/>
    <n v="2"/>
    <n v="100"/>
    <n v="0.15"/>
    <n v="170"/>
    <n v="108.47"/>
    <n v="61.53"/>
    <n v="36.19"/>
    <x v="1"/>
    <x v="1"/>
    <x v="4"/>
    <x v="9"/>
    <n v="2025"/>
    <s v="Wednesday"/>
    <n v="7"/>
    <s v="30-07-2025"/>
    <x v="1"/>
    <s v="New"/>
    <s v="High"/>
    <s v="Yes"/>
    <n v="1"/>
    <s v="Meera"/>
    <s v="Malhotra"/>
    <m/>
    <m/>
    <m/>
    <m/>
    <m/>
    <m/>
    <s v="Good"/>
    <s v="Low"/>
    <s v="No"/>
    <s v="No"/>
    <n v="0.36194117647058827"/>
    <m/>
    <m/>
    <m/>
    <m/>
    <m/>
    <m/>
    <m/>
    <m/>
    <m/>
    <m/>
    <m/>
    <m/>
    <m/>
    <m/>
    <m/>
  </r>
  <r>
    <s v="ORD10654"/>
    <s v="23-07-2025"/>
    <s v="CUST1276"/>
    <s v="Rohan Mehta"/>
    <x v="1"/>
    <s v="Chennai"/>
    <s v="Tamil Nadu"/>
    <x v="1"/>
    <x v="4"/>
    <x v="19"/>
    <n v="7"/>
    <n v="500"/>
    <n v="0.1"/>
    <n v="3150"/>
    <n v="2051.6799999999998"/>
    <n v="1098.32"/>
    <n v="34.869999999999997"/>
    <x v="1"/>
    <x v="1"/>
    <x v="6"/>
    <x v="9"/>
    <n v="2025"/>
    <s v="Wednesday"/>
    <n v="8"/>
    <s v="31-07-2025"/>
    <x v="0"/>
    <s v="New"/>
    <s v="Low"/>
    <s v="No"/>
    <n v="2"/>
    <s v="Rohan"/>
    <s v="Mehta"/>
    <m/>
    <m/>
    <m/>
    <m/>
    <m/>
    <m/>
    <s v="Good"/>
    <s v="Low"/>
    <s v="No"/>
    <s v="No"/>
    <n v="0.34867301587301586"/>
    <m/>
    <m/>
    <m/>
    <m/>
    <m/>
    <m/>
    <m/>
    <m/>
    <m/>
    <m/>
    <m/>
    <m/>
    <m/>
    <m/>
    <m/>
  </r>
  <r>
    <s v="ORD10229"/>
    <s v="23-08-2024"/>
    <s v="CUST1109"/>
    <s v="Rohan Gupta"/>
    <x v="2"/>
    <s v="Lucknow"/>
    <s v="Uttar Pradesh"/>
    <x v="0"/>
    <x v="2"/>
    <x v="12"/>
    <n v="3"/>
    <n v="22000"/>
    <n v="0.05"/>
    <n v="62700"/>
    <n v="45378.42"/>
    <n v="17321.580000000002"/>
    <n v="27.63"/>
    <x v="3"/>
    <x v="0"/>
    <x v="2"/>
    <x v="10"/>
    <n v="2024"/>
    <s v="Friday"/>
    <n v="2"/>
    <s v="25-08-2024"/>
    <x v="1"/>
    <s v="VIP"/>
    <s v="Low"/>
    <s v="No"/>
    <n v="3"/>
    <s v="Rohan"/>
    <s v="Gupta"/>
    <m/>
    <m/>
    <m/>
    <m/>
    <m/>
    <m/>
    <s v="Needs Improvement"/>
    <s v="High"/>
    <s v="Yes"/>
    <s v="Yes"/>
    <n v="0.27626124401913876"/>
    <m/>
    <m/>
    <m/>
    <m/>
    <m/>
    <m/>
    <m/>
    <m/>
    <m/>
    <m/>
    <m/>
    <m/>
    <m/>
    <m/>
    <m/>
  </r>
  <r>
    <s v="ORD10334"/>
    <s v="23-08-2024"/>
    <s v="CUST1251"/>
    <s v="Rahul Bansal"/>
    <x v="0"/>
    <s v="Lucknow"/>
    <s v="Uttar Pradesh"/>
    <x v="2"/>
    <x v="0"/>
    <x v="0"/>
    <n v="3"/>
    <n v="15000"/>
    <n v="0.2"/>
    <n v="36000"/>
    <n v="28129.78"/>
    <n v="7870.22"/>
    <n v="21.86"/>
    <x v="0"/>
    <x v="2"/>
    <x v="1"/>
    <x v="10"/>
    <n v="2024"/>
    <s v="Friday"/>
    <n v="2"/>
    <s v="25-08-2024"/>
    <x v="2"/>
    <s v="VIP"/>
    <s v="Low"/>
    <s v="Yes"/>
    <n v="3"/>
    <s v="Rahul"/>
    <s v="Bansal"/>
    <m/>
    <m/>
    <m/>
    <m/>
    <m/>
    <m/>
    <s v="Needs Improvement"/>
    <s v="High"/>
    <s v="No"/>
    <s v="Yes"/>
    <n v="0.21861722222222224"/>
    <m/>
    <m/>
    <m/>
    <m/>
    <m/>
    <m/>
    <m/>
    <m/>
    <m/>
    <m/>
    <m/>
    <m/>
    <m/>
    <m/>
    <m/>
  </r>
  <r>
    <s v="ORD10065"/>
    <s v="23-08-2025"/>
    <s v="CUST1063"/>
    <s v="Ishita Jain"/>
    <x v="1"/>
    <s v="Kolkata"/>
    <s v="West Bengal"/>
    <x v="2"/>
    <x v="2"/>
    <x v="8"/>
    <n v="3"/>
    <n v="35000"/>
    <n v="0"/>
    <n v="105000"/>
    <n v="67095.460000000006"/>
    <n v="37904.54"/>
    <n v="36.1"/>
    <x v="1"/>
    <x v="1"/>
    <x v="5"/>
    <x v="10"/>
    <n v="2025"/>
    <s v="Saturday"/>
    <n v="9"/>
    <d v="2025-01-09T00:00:00"/>
    <x v="1"/>
    <s v="Returning"/>
    <s v="Medium"/>
    <s v="Yes"/>
    <n v="5"/>
    <s v="Ishita"/>
    <s v="Jain"/>
    <m/>
    <m/>
    <m/>
    <m/>
    <m/>
    <m/>
    <s v="Good"/>
    <s v="High"/>
    <s v="Yes"/>
    <s v="No"/>
    <n v="0.36099561904761907"/>
    <m/>
    <m/>
    <m/>
    <m/>
    <m/>
    <m/>
    <m/>
    <m/>
    <m/>
    <m/>
    <m/>
    <m/>
    <m/>
    <m/>
    <m/>
  </r>
  <r>
    <s v="ORD10849"/>
    <s v="23-09-2024"/>
    <s v="CUST1011"/>
    <s v="Rahul Mehta"/>
    <x v="0"/>
    <s v="Kolkata"/>
    <s v="West Bengal"/>
    <x v="2"/>
    <x v="0"/>
    <x v="0"/>
    <n v="8"/>
    <n v="6000"/>
    <n v="0.1"/>
    <n v="43200"/>
    <n v="34563.35"/>
    <n v="8636.65"/>
    <n v="19.989999999999998"/>
    <x v="3"/>
    <x v="1"/>
    <x v="2"/>
    <x v="3"/>
    <n v="2024"/>
    <s v="Monday"/>
    <n v="10"/>
    <d v="2024-03-10T00:00:00"/>
    <x v="0"/>
    <s v="VIP"/>
    <s v="Low"/>
    <s v="Yes"/>
    <n v="1"/>
    <s v="Rahul"/>
    <s v="Mehta"/>
    <m/>
    <m/>
    <m/>
    <m/>
    <m/>
    <m/>
    <s v="Needs Improvement"/>
    <s v="High"/>
    <s v="No"/>
    <s v="No"/>
    <n v="0.19992245370370371"/>
    <m/>
    <m/>
    <m/>
    <m/>
    <m/>
    <m/>
    <m/>
    <m/>
    <m/>
    <m/>
    <m/>
    <m/>
    <m/>
    <m/>
    <m/>
  </r>
  <r>
    <s v="ORD10949"/>
    <s v="23-09-2025"/>
    <s v="CUST1128"/>
    <s v="Nisha Mehta"/>
    <x v="1"/>
    <s v="Bengaluru"/>
    <s v="Karnataka"/>
    <x v="2"/>
    <x v="1"/>
    <x v="14"/>
    <n v="5"/>
    <n v="3500"/>
    <n v="0.15"/>
    <n v="14875"/>
    <n v="11413.39"/>
    <n v="3461.61"/>
    <n v="23.27"/>
    <x v="0"/>
    <x v="0"/>
    <x v="1"/>
    <x v="3"/>
    <n v="2025"/>
    <s v="Tuesday"/>
    <n v="9"/>
    <d v="2025-02-10T00:00:00"/>
    <x v="1"/>
    <s v="VIP"/>
    <s v="Medium"/>
    <s v="Yes"/>
    <n v="3"/>
    <s v="Nisha"/>
    <s v="Mehta"/>
    <m/>
    <m/>
    <m/>
    <m/>
    <m/>
    <m/>
    <s v="Needs Improvement"/>
    <s v="Medium"/>
    <s v="No"/>
    <s v="Yes"/>
    <n v="0.23271327731092437"/>
    <m/>
    <m/>
    <m/>
    <m/>
    <m/>
    <m/>
    <m/>
    <m/>
    <m/>
    <m/>
    <m/>
    <m/>
    <m/>
    <m/>
    <m/>
  </r>
  <r>
    <s v="ORD10096"/>
    <s v="23-10-2024"/>
    <s v="CUST1208"/>
    <s v="Priya Malhotra"/>
    <x v="2"/>
    <s v="Lucknow"/>
    <s v="Uttar Pradesh"/>
    <x v="1"/>
    <x v="1"/>
    <x v="20"/>
    <n v="1"/>
    <n v="2500"/>
    <n v="0.2"/>
    <n v="2000"/>
    <n v="1232.23"/>
    <n v="767.77"/>
    <n v="38.39"/>
    <x v="2"/>
    <x v="1"/>
    <x v="1"/>
    <x v="4"/>
    <n v="2024"/>
    <s v="Wednesday"/>
    <n v="5"/>
    <s v="28-10-2024"/>
    <x v="2"/>
    <s v="Returning"/>
    <s v="Medium"/>
    <s v="Yes"/>
    <n v="3"/>
    <s v="Priya"/>
    <s v="Malhotra"/>
    <m/>
    <m/>
    <m/>
    <m/>
    <m/>
    <m/>
    <s v="Good"/>
    <s v="Low"/>
    <s v="No"/>
    <s v="No"/>
    <n v="0.38388499999999998"/>
    <m/>
    <m/>
    <m/>
    <m/>
    <m/>
    <m/>
    <m/>
    <m/>
    <m/>
    <m/>
    <m/>
    <m/>
    <m/>
    <m/>
    <m/>
  </r>
  <r>
    <s v="ORD10574"/>
    <s v="23-10-2024"/>
    <s v="CUST1342"/>
    <s v="Ananya Mehta"/>
    <x v="0"/>
    <s v="Ahmedabad"/>
    <s v="Gujarat"/>
    <x v="1"/>
    <x v="4"/>
    <x v="9"/>
    <n v="8"/>
    <n v="2000"/>
    <n v="0.1"/>
    <n v="14400"/>
    <n v="9836.64"/>
    <n v="4563.3599999999997"/>
    <n v="31.69"/>
    <x v="4"/>
    <x v="1"/>
    <x v="1"/>
    <x v="4"/>
    <n v="2024"/>
    <s v="Wednesday"/>
    <n v="2"/>
    <s v="25-10-2024"/>
    <x v="1"/>
    <s v="New"/>
    <s v="Low"/>
    <s v="No"/>
    <n v="4"/>
    <s v="Ananya"/>
    <s v="Mehta"/>
    <m/>
    <m/>
    <m/>
    <m/>
    <m/>
    <m/>
    <s v="Good"/>
    <s v="Medium"/>
    <s v="No"/>
    <s v="No"/>
    <n v="0.31689999999999996"/>
    <m/>
    <m/>
    <m/>
    <m/>
    <m/>
    <m/>
    <m/>
    <m/>
    <m/>
    <m/>
    <m/>
    <m/>
    <m/>
    <m/>
    <m/>
  </r>
  <r>
    <s v="ORD10756"/>
    <s v="23-10-2025"/>
    <s v="CUST1314"/>
    <s v="Vivaan Mishra"/>
    <x v="0"/>
    <s v="Bengaluru"/>
    <s v="Karnataka"/>
    <x v="0"/>
    <x v="3"/>
    <x v="18"/>
    <n v="9"/>
    <n v="100"/>
    <n v="0.15"/>
    <n v="765"/>
    <n v="457.52"/>
    <n v="307.48"/>
    <n v="40.19"/>
    <x v="3"/>
    <x v="0"/>
    <x v="7"/>
    <x v="4"/>
    <n v="2025"/>
    <s v="Thursday"/>
    <n v="6"/>
    <s v="29-10-2025"/>
    <x v="2"/>
    <s v="VIP"/>
    <s v="Low"/>
    <s v="Yes"/>
    <n v="4"/>
    <s v="Vivaan"/>
    <s v="Mishra"/>
    <m/>
    <m/>
    <m/>
    <m/>
    <m/>
    <m/>
    <s v="Good"/>
    <s v="Low"/>
    <s v="No"/>
    <s v="Yes"/>
    <n v="0.40193464052287586"/>
    <m/>
    <m/>
    <m/>
    <m/>
    <m/>
    <m/>
    <m/>
    <m/>
    <m/>
    <m/>
    <m/>
    <m/>
    <m/>
    <m/>
    <m/>
  </r>
  <r>
    <s v="ORD10925"/>
    <s v="23-11-2024"/>
    <s v="CUST1324"/>
    <s v="Aarav Singh"/>
    <x v="1"/>
    <s v="Bengaluru"/>
    <s v="Karnataka"/>
    <x v="0"/>
    <x v="0"/>
    <x v="24"/>
    <n v="9"/>
    <n v="2500"/>
    <n v="0.1"/>
    <n v="20250"/>
    <n v="15663.32"/>
    <n v="4586.68"/>
    <n v="22.65"/>
    <x v="1"/>
    <x v="2"/>
    <x v="7"/>
    <x v="11"/>
    <n v="2024"/>
    <s v="Saturday"/>
    <n v="5"/>
    <s v="28-11-2024"/>
    <x v="0"/>
    <s v="New"/>
    <s v="Low"/>
    <s v="No"/>
    <n v="4"/>
    <s v="Aarav"/>
    <s v="Singh"/>
    <m/>
    <m/>
    <m/>
    <m/>
    <m/>
    <m/>
    <s v="Needs Improvement"/>
    <s v="Medium"/>
    <s v="No"/>
    <s v="Yes"/>
    <n v="0.22650271604938274"/>
    <m/>
    <m/>
    <m/>
    <m/>
    <m/>
    <m/>
    <m/>
    <m/>
    <m/>
    <m/>
    <m/>
    <m/>
    <m/>
    <m/>
    <m/>
  </r>
  <r>
    <s v="ORD10079"/>
    <s v="23-11-2025"/>
    <s v="CUST1230"/>
    <s v="Vikram Kapoor"/>
    <x v="2"/>
    <s v="Lucknow"/>
    <s v="Uttar Pradesh"/>
    <x v="0"/>
    <x v="0"/>
    <x v="23"/>
    <n v="1"/>
    <n v="9000"/>
    <n v="0.1"/>
    <n v="8100"/>
    <n v="5790.37"/>
    <n v="2309.63"/>
    <n v="28.51"/>
    <x v="4"/>
    <x v="2"/>
    <x v="3"/>
    <x v="11"/>
    <n v="2025"/>
    <s v="Sunday"/>
    <n v="4"/>
    <s v="27-11-2025"/>
    <x v="2"/>
    <s v="VIP"/>
    <s v="High"/>
    <s v="No"/>
    <n v="4"/>
    <s v="Vikram"/>
    <s v="Kapoor"/>
    <m/>
    <m/>
    <m/>
    <m/>
    <m/>
    <m/>
    <s v="Needs Improvement"/>
    <s v="Low"/>
    <s v="No"/>
    <s v="Yes"/>
    <n v="0.28513950617283951"/>
    <m/>
    <m/>
    <m/>
    <m/>
    <m/>
    <m/>
    <m/>
    <m/>
    <m/>
    <m/>
    <m/>
    <m/>
    <m/>
    <m/>
    <m/>
  </r>
  <r>
    <s v="ORD10081"/>
    <s v="23-12-2024"/>
    <s v="CUST1258"/>
    <s v="Sneha Singh"/>
    <x v="0"/>
    <s v="Ahmedabad"/>
    <s v="Gujarat"/>
    <x v="1"/>
    <x v="0"/>
    <x v="23"/>
    <n v="2"/>
    <n v="4000"/>
    <n v="0.15"/>
    <n v="6800"/>
    <n v="3837.78"/>
    <n v="2962.22"/>
    <n v="43.56"/>
    <x v="0"/>
    <x v="2"/>
    <x v="7"/>
    <x v="5"/>
    <n v="2024"/>
    <s v="Monday"/>
    <n v="1"/>
    <s v="24-12-2024"/>
    <x v="2"/>
    <s v="Returning"/>
    <s v="Low"/>
    <s v="No"/>
    <n v="2"/>
    <s v="Sneha"/>
    <s v="Singh"/>
    <m/>
    <m/>
    <m/>
    <m/>
    <m/>
    <m/>
    <s v="Good"/>
    <s v="Low"/>
    <s v="No"/>
    <s v="Yes"/>
    <n v="0.43562058823529409"/>
    <m/>
    <m/>
    <m/>
    <m/>
    <m/>
    <m/>
    <m/>
    <m/>
    <m/>
    <m/>
    <m/>
    <m/>
    <m/>
    <m/>
    <m/>
  </r>
  <r>
    <s v="ORD10082"/>
    <s v="23-12-2025"/>
    <s v="CUST1041"/>
    <s v="Aarav Kumar"/>
    <x v="2"/>
    <s v="Bengaluru"/>
    <s v="Karnataka"/>
    <x v="3"/>
    <x v="2"/>
    <x v="8"/>
    <n v="8"/>
    <n v="50000"/>
    <n v="0.05"/>
    <n v="380000"/>
    <n v="272134.73"/>
    <n v="107865.27"/>
    <n v="28.39"/>
    <x v="3"/>
    <x v="0"/>
    <x v="5"/>
    <x v="5"/>
    <n v="2025"/>
    <s v="Tuesday"/>
    <n v="8"/>
    <s v="31-12-2025"/>
    <x v="2"/>
    <s v="VIP"/>
    <s v="Medium"/>
    <s v="Yes"/>
    <n v="3"/>
    <s v="Aarav"/>
    <s v="Kumar"/>
    <m/>
    <m/>
    <m/>
    <m/>
    <m/>
    <m/>
    <s v="Needs Improvement"/>
    <s v="High"/>
    <s v="Yes"/>
    <s v="Yes"/>
    <n v="0.28385597368421056"/>
    <m/>
    <m/>
    <m/>
    <m/>
    <m/>
    <m/>
    <m/>
    <m/>
    <m/>
    <m/>
    <m/>
    <m/>
    <m/>
    <m/>
    <m/>
  </r>
  <r>
    <s v="ORD10122"/>
    <s v="24-01-2025"/>
    <s v="CUST1158"/>
    <s v="Ananya Jain"/>
    <x v="1"/>
    <s v="Hyderabad"/>
    <s v="Telangana"/>
    <x v="2"/>
    <x v="1"/>
    <x v="2"/>
    <n v="9"/>
    <n v="1800"/>
    <n v="0.1"/>
    <n v="14580"/>
    <n v="10572.76"/>
    <n v="4007.24"/>
    <n v="27.48"/>
    <x v="4"/>
    <x v="2"/>
    <x v="9"/>
    <x v="6"/>
    <n v="2025"/>
    <s v="Friday"/>
    <n v="8"/>
    <d v="2025-01-02T00:00:00"/>
    <x v="1"/>
    <s v="Returning"/>
    <s v="Low"/>
    <s v="No"/>
    <n v="3"/>
    <s v="Ananya"/>
    <s v="Jain"/>
    <m/>
    <m/>
    <m/>
    <m/>
    <m/>
    <m/>
    <s v="Needs Improvement"/>
    <s v="Medium"/>
    <s v="No"/>
    <s v="Yes"/>
    <n v="0.27484499314128941"/>
    <m/>
    <m/>
    <m/>
    <m/>
    <m/>
    <m/>
    <m/>
    <m/>
    <m/>
    <m/>
    <m/>
    <m/>
    <m/>
    <m/>
    <m/>
  </r>
  <r>
    <s v="ORD10462"/>
    <s v="24-01-2025"/>
    <s v="CUST1193"/>
    <s v="Aditi Bansal"/>
    <x v="0"/>
    <s v="Lucknow"/>
    <s v="Uttar Pradesh"/>
    <x v="1"/>
    <x v="4"/>
    <x v="9"/>
    <n v="9"/>
    <n v="800"/>
    <n v="0.1"/>
    <n v="6480"/>
    <n v="4357.62"/>
    <n v="2122.38"/>
    <n v="32.75"/>
    <x v="0"/>
    <x v="2"/>
    <x v="9"/>
    <x v="6"/>
    <n v="2025"/>
    <s v="Friday"/>
    <n v="8"/>
    <d v="2025-01-02T00:00:00"/>
    <x v="0"/>
    <s v="New"/>
    <s v="Low"/>
    <s v="Yes"/>
    <n v="1"/>
    <s v="Aditi"/>
    <s v="Bansal"/>
    <m/>
    <m/>
    <m/>
    <m/>
    <m/>
    <m/>
    <s v="Good"/>
    <s v="Low"/>
    <s v="No"/>
    <s v="Yes"/>
    <n v="0.32752777777777781"/>
    <m/>
    <m/>
    <m/>
    <m/>
    <m/>
    <m/>
    <m/>
    <m/>
    <m/>
    <m/>
    <m/>
    <m/>
    <m/>
    <m/>
    <m/>
  </r>
  <r>
    <s v="ORD10385"/>
    <s v="24-02-2024"/>
    <s v="CUST1094"/>
    <s v="Vivaan Malhotra"/>
    <x v="0"/>
    <s v="Bengaluru"/>
    <s v="Karnataka"/>
    <x v="3"/>
    <x v="3"/>
    <x v="18"/>
    <n v="3"/>
    <n v="800"/>
    <n v="0.15"/>
    <n v="2040"/>
    <n v="1152.06"/>
    <n v="887.94"/>
    <n v="43.53"/>
    <x v="4"/>
    <x v="1"/>
    <x v="2"/>
    <x v="7"/>
    <n v="2024"/>
    <s v="Saturday"/>
    <n v="4"/>
    <s v="28-02-2024"/>
    <x v="0"/>
    <s v="Returning"/>
    <s v="Low"/>
    <s v="No"/>
    <n v="3"/>
    <s v="Vivaan"/>
    <s v="Malhotra"/>
    <m/>
    <m/>
    <m/>
    <m/>
    <m/>
    <m/>
    <s v="Good"/>
    <s v="Low"/>
    <s v="No"/>
    <s v="No"/>
    <n v="0.43526470588235294"/>
    <m/>
    <m/>
    <m/>
    <m/>
    <m/>
    <m/>
    <m/>
    <m/>
    <m/>
    <m/>
    <m/>
    <m/>
    <m/>
    <m/>
    <m/>
  </r>
  <r>
    <s v="ORD10764"/>
    <s v="24-02-2024"/>
    <s v="CUST1217"/>
    <s v="Sneha Verma"/>
    <x v="0"/>
    <s v="Pune"/>
    <s v="Maharashtra"/>
    <x v="2"/>
    <x v="1"/>
    <x v="14"/>
    <n v="10"/>
    <n v="1200"/>
    <n v="0"/>
    <n v="12000"/>
    <n v="8692.2999999999993"/>
    <n v="3307.7"/>
    <n v="27.56"/>
    <x v="1"/>
    <x v="1"/>
    <x v="7"/>
    <x v="7"/>
    <n v="2024"/>
    <s v="Saturday"/>
    <n v="6"/>
    <d v="2024-01-03T00:00:00"/>
    <x v="0"/>
    <s v="New"/>
    <s v="Medium"/>
    <s v="Yes"/>
    <n v="3"/>
    <s v="Sneha"/>
    <s v="Verma"/>
    <m/>
    <m/>
    <m/>
    <m/>
    <m/>
    <m/>
    <s v="Needs Improvement"/>
    <s v="Medium"/>
    <s v="No"/>
    <s v="No"/>
    <n v="0.27564166666666667"/>
    <m/>
    <m/>
    <m/>
    <m/>
    <m/>
    <m/>
    <m/>
    <m/>
    <m/>
    <m/>
    <m/>
    <m/>
    <m/>
    <m/>
    <m/>
  </r>
  <r>
    <s v="ORD10872"/>
    <s v="24-02-2024"/>
    <s v="CUST1010"/>
    <s v="Simran Chopra"/>
    <x v="2"/>
    <s v="Delhi"/>
    <s v="Delhi"/>
    <x v="0"/>
    <x v="0"/>
    <x v="1"/>
    <n v="6"/>
    <n v="15000"/>
    <n v="0"/>
    <n v="90000"/>
    <n v="60472.27"/>
    <n v="29527.73"/>
    <n v="32.81"/>
    <x v="3"/>
    <x v="0"/>
    <x v="2"/>
    <x v="7"/>
    <n v="2024"/>
    <s v="Saturday"/>
    <n v="2"/>
    <s v="26-02-2024"/>
    <x v="0"/>
    <s v="Returning"/>
    <s v="Medium"/>
    <s v="Yes"/>
    <n v="1"/>
    <s v="Simran"/>
    <s v="Chopra"/>
    <m/>
    <m/>
    <m/>
    <m/>
    <m/>
    <m/>
    <s v="Good"/>
    <s v="High"/>
    <s v="Yes"/>
    <s v="Yes"/>
    <n v="0.3280858888888889"/>
    <m/>
    <m/>
    <m/>
    <m/>
    <m/>
    <m/>
    <m/>
    <m/>
    <m/>
    <m/>
    <m/>
    <m/>
    <m/>
    <m/>
    <m/>
  </r>
  <r>
    <s v="ORD10049"/>
    <s v="24-02-2025"/>
    <s v="CUST1196"/>
    <s v="Pooja Mishra"/>
    <x v="1"/>
    <s v="Chennai"/>
    <s v="Tamil Nadu"/>
    <x v="3"/>
    <x v="0"/>
    <x v="1"/>
    <n v="10"/>
    <n v="9000"/>
    <n v="0.05"/>
    <n v="85500"/>
    <n v="64216.52"/>
    <n v="21283.48"/>
    <n v="24.89"/>
    <x v="4"/>
    <x v="2"/>
    <x v="4"/>
    <x v="7"/>
    <n v="2025"/>
    <s v="Monday"/>
    <n v="1"/>
    <s v="25-02-2025"/>
    <x v="0"/>
    <s v="VIP"/>
    <s v="High"/>
    <s v="No"/>
    <n v="1"/>
    <s v="Pooja"/>
    <s v="Mishra"/>
    <m/>
    <m/>
    <m/>
    <m/>
    <m/>
    <m/>
    <s v="Needs Improvement"/>
    <s v="High"/>
    <s v="Yes"/>
    <s v="Yes"/>
    <n v="0.24892959064327486"/>
    <m/>
    <m/>
    <m/>
    <m/>
    <m/>
    <m/>
    <m/>
    <m/>
    <m/>
    <m/>
    <m/>
    <m/>
    <m/>
    <m/>
    <m/>
  </r>
  <r>
    <s v="ORD10046"/>
    <s v="24-03-2025"/>
    <s v="CUST1323"/>
    <s v="Simran Agarwal"/>
    <x v="2"/>
    <s v="Delhi"/>
    <s v="Delhi"/>
    <x v="3"/>
    <x v="0"/>
    <x v="24"/>
    <n v="9"/>
    <n v="4000"/>
    <n v="0.1"/>
    <n v="32400"/>
    <n v="18072.55"/>
    <n v="14327.45"/>
    <n v="44.22"/>
    <x v="0"/>
    <x v="0"/>
    <x v="7"/>
    <x v="0"/>
    <n v="2025"/>
    <s v="Monday"/>
    <n v="8"/>
    <d v="2025-01-04T00:00:00"/>
    <x v="0"/>
    <s v="VIP"/>
    <s v="Medium"/>
    <s v="Yes"/>
    <n v="2"/>
    <s v="Simran"/>
    <s v="Agarwal"/>
    <m/>
    <m/>
    <m/>
    <m/>
    <m/>
    <m/>
    <s v="Good"/>
    <s v="High"/>
    <s v="Yes"/>
    <s v="Yes"/>
    <n v="0.44220524691358026"/>
    <m/>
    <m/>
    <m/>
    <m/>
    <m/>
    <m/>
    <m/>
    <m/>
    <m/>
    <m/>
    <m/>
    <m/>
    <m/>
    <m/>
    <m/>
  </r>
  <r>
    <s v="ORD10579"/>
    <s v="24-03-2025"/>
    <s v="CUST1083"/>
    <s v="Ishita Chopra"/>
    <x v="1"/>
    <s v="Lucknow"/>
    <s v="Uttar Pradesh"/>
    <x v="3"/>
    <x v="4"/>
    <x v="9"/>
    <n v="4"/>
    <n v="1200"/>
    <n v="0.15"/>
    <n v="4080"/>
    <n v="2465.63"/>
    <n v="1614.37"/>
    <n v="39.57"/>
    <x v="1"/>
    <x v="0"/>
    <x v="7"/>
    <x v="0"/>
    <n v="2025"/>
    <s v="Monday"/>
    <n v="5"/>
    <s v="29-03-2025"/>
    <x v="0"/>
    <s v="VIP"/>
    <s v="High"/>
    <s v="Yes"/>
    <n v="2"/>
    <s v="Ishita"/>
    <s v="Chopra"/>
    <m/>
    <m/>
    <m/>
    <m/>
    <m/>
    <m/>
    <s v="Good"/>
    <s v="Low"/>
    <s v="No"/>
    <s v="Yes"/>
    <n v="0.39567892156862744"/>
    <m/>
    <m/>
    <m/>
    <m/>
    <m/>
    <m/>
    <m/>
    <m/>
    <m/>
    <m/>
    <m/>
    <m/>
    <m/>
    <m/>
    <m/>
  </r>
  <r>
    <s v="ORD10373"/>
    <s v="24-04-2024"/>
    <s v="CUST1268"/>
    <s v="Nisha Agarwal"/>
    <x v="1"/>
    <s v="Kolkata"/>
    <s v="West Bengal"/>
    <x v="0"/>
    <x v="3"/>
    <x v="5"/>
    <n v="7"/>
    <n v="200"/>
    <n v="0.05"/>
    <n v="1330"/>
    <n v="1066.52"/>
    <n v="263.48"/>
    <n v="19.809999999999999"/>
    <x v="4"/>
    <x v="2"/>
    <x v="6"/>
    <x v="8"/>
    <n v="2024"/>
    <s v="Wednesday"/>
    <n v="10"/>
    <d v="2024-04-05T00:00:00"/>
    <x v="1"/>
    <s v="VIP"/>
    <s v="Low"/>
    <s v="No"/>
    <n v="3"/>
    <s v="Nisha"/>
    <s v="Agarwal"/>
    <m/>
    <m/>
    <m/>
    <m/>
    <m/>
    <m/>
    <s v="Needs Improvement"/>
    <s v="Low"/>
    <s v="No"/>
    <s v="Yes"/>
    <n v="0.19810526315789476"/>
    <m/>
    <m/>
    <m/>
    <m/>
    <m/>
    <m/>
    <m/>
    <m/>
    <m/>
    <m/>
    <m/>
    <m/>
    <m/>
    <m/>
    <m/>
  </r>
  <r>
    <s v="ORD10502"/>
    <s v="24-04-2024"/>
    <s v="CUST1067"/>
    <s v="Neha Jain"/>
    <x v="1"/>
    <s v="Bengaluru"/>
    <s v="Karnataka"/>
    <x v="0"/>
    <x v="3"/>
    <x v="18"/>
    <n v="6"/>
    <n v="350"/>
    <n v="0.1"/>
    <n v="1890"/>
    <n v="1388.02"/>
    <n v="501.98"/>
    <n v="26.56"/>
    <x v="3"/>
    <x v="0"/>
    <x v="5"/>
    <x v="8"/>
    <n v="2024"/>
    <s v="Wednesday"/>
    <n v="2"/>
    <s v="26-04-2024"/>
    <x v="0"/>
    <s v="Returning"/>
    <s v="Low"/>
    <s v="No"/>
    <n v="2"/>
    <s v="Neha"/>
    <s v="Jain"/>
    <m/>
    <m/>
    <m/>
    <m/>
    <m/>
    <m/>
    <s v="Needs Improvement"/>
    <s v="Low"/>
    <s v="No"/>
    <s v="Yes"/>
    <n v="0.26559788359788361"/>
    <m/>
    <m/>
    <m/>
    <m/>
    <m/>
    <m/>
    <m/>
    <m/>
    <m/>
    <m/>
    <m/>
    <m/>
    <m/>
    <m/>
    <m/>
  </r>
  <r>
    <s v="ORD10677"/>
    <s v="24-04-2025"/>
    <s v="CUST1102"/>
    <s v="Ananya Kumar"/>
    <x v="1"/>
    <s v="Chennai"/>
    <s v="Tamil Nadu"/>
    <x v="1"/>
    <x v="3"/>
    <x v="18"/>
    <n v="4"/>
    <n v="200"/>
    <n v="0.1"/>
    <n v="720"/>
    <n v="466.41"/>
    <n v="253.59"/>
    <n v="35.22"/>
    <x v="2"/>
    <x v="2"/>
    <x v="1"/>
    <x v="8"/>
    <n v="2025"/>
    <s v="Thursday"/>
    <n v="4"/>
    <s v="28-04-2025"/>
    <x v="2"/>
    <s v="Returning"/>
    <s v="Medium"/>
    <s v="No"/>
    <n v="1"/>
    <s v="Ananya"/>
    <s v="Kumar"/>
    <m/>
    <m/>
    <m/>
    <m/>
    <m/>
    <m/>
    <s v="Good"/>
    <s v="Low"/>
    <s v="No"/>
    <s v="Yes"/>
    <n v="0.35220833333333335"/>
    <m/>
    <m/>
    <m/>
    <m/>
    <m/>
    <m/>
    <m/>
    <m/>
    <m/>
    <m/>
    <m/>
    <m/>
    <m/>
    <m/>
    <m/>
  </r>
  <r>
    <s v="ORD10622"/>
    <s v="24-05-2024"/>
    <s v="CUST1315"/>
    <s v="Sneha Kapoor"/>
    <x v="1"/>
    <s v="Ahmedabad"/>
    <s v="Gujarat"/>
    <x v="0"/>
    <x v="3"/>
    <x v="22"/>
    <n v="6"/>
    <n v="800"/>
    <n v="0.05"/>
    <n v="4560"/>
    <n v="3351.4"/>
    <n v="1208.5999999999999"/>
    <n v="26.5"/>
    <x v="4"/>
    <x v="1"/>
    <x v="6"/>
    <x v="1"/>
    <n v="2024"/>
    <s v="Friday"/>
    <n v="5"/>
    <s v="29-05-2024"/>
    <x v="1"/>
    <s v="Returning"/>
    <s v="High"/>
    <s v="Yes"/>
    <n v="2"/>
    <s v="Sneha"/>
    <s v="Kapoor"/>
    <m/>
    <m/>
    <m/>
    <m/>
    <m/>
    <m/>
    <s v="Needs Improvement"/>
    <s v="Low"/>
    <s v="No"/>
    <s v="No"/>
    <n v="0.2650438596491228"/>
    <m/>
    <m/>
    <m/>
    <m/>
    <m/>
    <m/>
    <m/>
    <m/>
    <m/>
    <m/>
    <m/>
    <m/>
    <m/>
    <m/>
    <m/>
  </r>
  <r>
    <s v="ORD10716"/>
    <s v="24-05-2025"/>
    <s v="CUST1314"/>
    <s v="Neha Malhotra"/>
    <x v="1"/>
    <s v="Chennai"/>
    <s v="Tamil Nadu"/>
    <x v="2"/>
    <x v="0"/>
    <x v="0"/>
    <n v="9"/>
    <n v="4000"/>
    <n v="0"/>
    <n v="36000"/>
    <n v="21309.06"/>
    <n v="14690.94"/>
    <n v="40.81"/>
    <x v="4"/>
    <x v="2"/>
    <x v="8"/>
    <x v="1"/>
    <n v="2025"/>
    <s v="Saturday"/>
    <n v="4"/>
    <s v="28-05-2025"/>
    <x v="1"/>
    <s v="New"/>
    <s v="Medium"/>
    <s v="Yes"/>
    <n v="3"/>
    <s v="Neha"/>
    <s v="Malhotra"/>
    <m/>
    <m/>
    <m/>
    <m/>
    <m/>
    <m/>
    <s v="Good"/>
    <s v="High"/>
    <s v="Yes"/>
    <s v="Yes"/>
    <n v="0.40808166666666668"/>
    <m/>
    <m/>
    <m/>
    <m/>
    <m/>
    <m/>
    <m/>
    <m/>
    <m/>
    <m/>
    <m/>
    <m/>
    <m/>
    <m/>
    <m/>
  </r>
  <r>
    <s v="ORD10141"/>
    <s v="24-06-2025"/>
    <s v="CUST1201"/>
    <s v="Nisha Verma"/>
    <x v="0"/>
    <s v="Chennai"/>
    <s v="Tamil Nadu"/>
    <x v="0"/>
    <x v="0"/>
    <x v="23"/>
    <n v="2"/>
    <n v="6000"/>
    <n v="0.15"/>
    <n v="10200"/>
    <n v="6680.31"/>
    <n v="3519.69"/>
    <n v="34.51"/>
    <x v="4"/>
    <x v="0"/>
    <x v="4"/>
    <x v="2"/>
    <n v="2025"/>
    <s v="Tuesday"/>
    <n v="6"/>
    <s v="30-06-2025"/>
    <x v="1"/>
    <s v="VIP"/>
    <s v="High"/>
    <s v="No"/>
    <n v="5"/>
    <s v="Nisha"/>
    <s v="Verma"/>
    <m/>
    <m/>
    <m/>
    <m/>
    <m/>
    <m/>
    <s v="Good"/>
    <s v="Medium"/>
    <s v="No"/>
    <s v="Yes"/>
    <n v="0.34506764705882353"/>
    <m/>
    <m/>
    <m/>
    <m/>
    <m/>
    <m/>
    <m/>
    <m/>
    <m/>
    <m/>
    <m/>
    <m/>
    <m/>
    <m/>
    <m/>
  </r>
  <r>
    <s v="ORD10092"/>
    <s v="24-07-2024"/>
    <s v="CUST1014"/>
    <s v="Sneha Kapoor"/>
    <x v="1"/>
    <s v="Bengaluru"/>
    <s v="Karnataka"/>
    <x v="0"/>
    <x v="0"/>
    <x v="24"/>
    <n v="9"/>
    <n v="4000"/>
    <n v="0"/>
    <n v="36000"/>
    <n v="27482.43"/>
    <n v="8517.57"/>
    <n v="23.66"/>
    <x v="4"/>
    <x v="0"/>
    <x v="4"/>
    <x v="9"/>
    <n v="2024"/>
    <s v="Wednesday"/>
    <n v="3"/>
    <s v="27-07-2024"/>
    <x v="0"/>
    <s v="VIP"/>
    <s v="Low"/>
    <s v="Yes"/>
    <n v="3"/>
    <s v="Sneha"/>
    <s v="Kapoor"/>
    <m/>
    <m/>
    <m/>
    <m/>
    <m/>
    <m/>
    <s v="Needs Improvement"/>
    <s v="High"/>
    <s v="No"/>
    <s v="Yes"/>
    <n v="0.23659916666666667"/>
    <m/>
    <m/>
    <m/>
    <m/>
    <m/>
    <m/>
    <m/>
    <m/>
    <m/>
    <m/>
    <m/>
    <m/>
    <m/>
    <m/>
    <m/>
  </r>
  <r>
    <s v="ORD10267"/>
    <s v="24-08-2024"/>
    <s v="CUST1270"/>
    <s v="Vikram Bansal"/>
    <x v="1"/>
    <s v="Pune"/>
    <s v="Maharashtra"/>
    <x v="3"/>
    <x v="2"/>
    <x v="4"/>
    <n v="9"/>
    <n v="8000"/>
    <n v="0"/>
    <n v="72000"/>
    <n v="43283.11"/>
    <n v="28716.89"/>
    <n v="39.880000000000003"/>
    <x v="3"/>
    <x v="0"/>
    <x v="8"/>
    <x v="10"/>
    <n v="2024"/>
    <s v="Saturday"/>
    <n v="9"/>
    <d v="2024-02-09T00:00:00"/>
    <x v="2"/>
    <s v="Returning"/>
    <s v="High"/>
    <s v="Yes"/>
    <n v="5"/>
    <s v="Vikram"/>
    <s v="Bansal"/>
    <m/>
    <m/>
    <m/>
    <m/>
    <m/>
    <m/>
    <s v="Good"/>
    <s v="High"/>
    <s v="Yes"/>
    <s v="Yes"/>
    <n v="0.39884569444444445"/>
    <m/>
    <m/>
    <m/>
    <m/>
    <m/>
    <m/>
    <m/>
    <m/>
    <m/>
    <m/>
    <m/>
    <m/>
    <m/>
    <m/>
    <m/>
  </r>
  <r>
    <s v="ORD10924"/>
    <s v="24-08-2024"/>
    <s v="CUST1086"/>
    <s v="Simran Bansal"/>
    <x v="2"/>
    <s v="Kolkata"/>
    <s v="West Bengal"/>
    <x v="2"/>
    <x v="2"/>
    <x v="8"/>
    <n v="10"/>
    <n v="12000"/>
    <n v="0.15"/>
    <n v="102000"/>
    <n v="63754.21"/>
    <n v="38245.79"/>
    <n v="37.5"/>
    <x v="1"/>
    <x v="1"/>
    <x v="1"/>
    <x v="10"/>
    <n v="2024"/>
    <s v="Saturday"/>
    <n v="9"/>
    <d v="2024-02-09T00:00:00"/>
    <x v="2"/>
    <s v="VIP"/>
    <s v="Low"/>
    <s v="No"/>
    <n v="2"/>
    <s v="Simran"/>
    <s v="Bansal"/>
    <m/>
    <m/>
    <m/>
    <m/>
    <m/>
    <m/>
    <s v="Good"/>
    <s v="High"/>
    <s v="Yes"/>
    <s v="No"/>
    <n v="0.3749587254901961"/>
    <m/>
    <m/>
    <m/>
    <m/>
    <m/>
    <m/>
    <m/>
    <m/>
    <m/>
    <m/>
    <m/>
    <m/>
    <m/>
    <m/>
    <m/>
  </r>
  <r>
    <s v="ORD10121"/>
    <s v="24-08-2025"/>
    <s v="CUST1171"/>
    <s v="Priya Saxena"/>
    <x v="2"/>
    <s v="Kolkata"/>
    <s v="West Bengal"/>
    <x v="3"/>
    <x v="4"/>
    <x v="13"/>
    <n v="1"/>
    <n v="500"/>
    <n v="0.05"/>
    <n v="475"/>
    <n v="322.73"/>
    <n v="152.27000000000001"/>
    <n v="32.06"/>
    <x v="2"/>
    <x v="0"/>
    <x v="2"/>
    <x v="10"/>
    <n v="2025"/>
    <s v="Sunday"/>
    <n v="9"/>
    <d v="2025-02-09T00:00:00"/>
    <x v="0"/>
    <s v="VIP"/>
    <s v="Medium"/>
    <s v="Yes"/>
    <n v="5"/>
    <s v="Priya"/>
    <s v="Saxena"/>
    <m/>
    <m/>
    <m/>
    <m/>
    <m/>
    <m/>
    <s v="Good"/>
    <s v="Low"/>
    <s v="No"/>
    <s v="Yes"/>
    <n v="0.32056842105263161"/>
    <m/>
    <m/>
    <m/>
    <m/>
    <m/>
    <m/>
    <m/>
    <m/>
    <m/>
    <m/>
    <m/>
    <m/>
    <m/>
    <m/>
    <m/>
  </r>
  <r>
    <s v="ORD10746"/>
    <s v="24-08-2025"/>
    <s v="CUST1210"/>
    <s v="Riya Saxena"/>
    <x v="0"/>
    <s v="Pune"/>
    <s v="Maharashtra"/>
    <x v="0"/>
    <x v="1"/>
    <x v="6"/>
    <n v="9"/>
    <n v="1200"/>
    <n v="0.05"/>
    <n v="10260"/>
    <n v="7556.83"/>
    <n v="2703.17"/>
    <n v="26.35"/>
    <x v="4"/>
    <x v="1"/>
    <x v="9"/>
    <x v="10"/>
    <n v="2025"/>
    <s v="Sunday"/>
    <n v="3"/>
    <s v="27-08-2025"/>
    <x v="0"/>
    <s v="Returning"/>
    <s v="Low"/>
    <s v="Yes"/>
    <n v="4"/>
    <s v="Riya"/>
    <s v="Saxena"/>
    <m/>
    <m/>
    <m/>
    <m/>
    <m/>
    <m/>
    <s v="Needs Improvement"/>
    <s v="Medium"/>
    <s v="No"/>
    <s v="No"/>
    <n v="0.26346686159844057"/>
    <m/>
    <m/>
    <m/>
    <m/>
    <m/>
    <m/>
    <m/>
    <m/>
    <m/>
    <m/>
    <m/>
    <m/>
    <m/>
    <m/>
    <m/>
  </r>
  <r>
    <s v="ORD10016"/>
    <s v="24-09-2024"/>
    <s v="CUST1203"/>
    <s v="Rohan Mishra"/>
    <x v="1"/>
    <s v="Mumbai"/>
    <s v="Maharashtra"/>
    <x v="0"/>
    <x v="1"/>
    <x v="20"/>
    <n v="10"/>
    <n v="3500"/>
    <n v="0.1"/>
    <n v="31500"/>
    <n v="19355.02"/>
    <n v="12144.98"/>
    <n v="38.56"/>
    <x v="4"/>
    <x v="1"/>
    <x v="2"/>
    <x v="3"/>
    <n v="2024"/>
    <s v="Tuesday"/>
    <n v="4"/>
    <s v="28-09-2024"/>
    <x v="0"/>
    <s v="New"/>
    <s v="Medium"/>
    <s v="Yes"/>
    <n v="1"/>
    <s v="Rohan"/>
    <s v="Mishra"/>
    <m/>
    <m/>
    <m/>
    <m/>
    <m/>
    <m/>
    <s v="Good"/>
    <s v="High"/>
    <s v="Yes"/>
    <s v="No"/>
    <n v="0.38555492063492064"/>
    <m/>
    <m/>
    <m/>
    <m/>
    <m/>
    <m/>
    <m/>
    <m/>
    <m/>
    <m/>
    <m/>
    <m/>
    <m/>
    <m/>
    <m/>
  </r>
  <r>
    <s v="ORD10400"/>
    <s v="24-09-2024"/>
    <s v="CUST1258"/>
    <s v="Vivaan Agarwal"/>
    <x v="2"/>
    <s v="Hyderabad"/>
    <s v="Telangana"/>
    <x v="0"/>
    <x v="0"/>
    <x v="0"/>
    <n v="1"/>
    <n v="2500"/>
    <n v="0.1"/>
    <n v="2250"/>
    <n v="1343.64"/>
    <n v="906.36"/>
    <n v="40.28"/>
    <x v="4"/>
    <x v="2"/>
    <x v="5"/>
    <x v="3"/>
    <n v="2024"/>
    <s v="Tuesday"/>
    <n v="6"/>
    <s v="30-09-2024"/>
    <x v="0"/>
    <s v="New"/>
    <s v="Low"/>
    <s v="Yes"/>
    <n v="4"/>
    <s v="Vivaan"/>
    <s v="Agarwal"/>
    <m/>
    <m/>
    <m/>
    <m/>
    <m/>
    <m/>
    <s v="Good"/>
    <s v="Low"/>
    <s v="No"/>
    <s v="Yes"/>
    <n v="0.40282666666666667"/>
    <m/>
    <m/>
    <m/>
    <m/>
    <m/>
    <m/>
    <m/>
    <m/>
    <m/>
    <m/>
    <m/>
    <m/>
    <m/>
    <m/>
    <m/>
  </r>
  <r>
    <s v="ORD10858"/>
    <s v="24-09-2024"/>
    <s v="CUST1243"/>
    <s v="Kavya Saxena"/>
    <x v="2"/>
    <s v="Pune"/>
    <s v="Maharashtra"/>
    <x v="3"/>
    <x v="4"/>
    <x v="11"/>
    <n v="9"/>
    <n v="3000"/>
    <n v="0"/>
    <n v="27000"/>
    <n v="18841.11"/>
    <n v="8158.89"/>
    <n v="30.22"/>
    <x v="4"/>
    <x v="0"/>
    <x v="6"/>
    <x v="3"/>
    <n v="2024"/>
    <s v="Tuesday"/>
    <n v="5"/>
    <s v="29-09-2024"/>
    <x v="0"/>
    <s v="VIP"/>
    <s v="High"/>
    <s v="Yes"/>
    <n v="4"/>
    <s v="Kavya"/>
    <s v="Saxena"/>
    <m/>
    <m/>
    <m/>
    <m/>
    <m/>
    <m/>
    <s v="Good"/>
    <s v="Medium"/>
    <s v="No"/>
    <s v="Yes"/>
    <n v="0.30218111111111112"/>
    <m/>
    <m/>
    <m/>
    <m/>
    <m/>
    <m/>
    <m/>
    <m/>
    <m/>
    <m/>
    <m/>
    <m/>
    <m/>
    <m/>
    <m/>
  </r>
  <r>
    <s v="ORD10168"/>
    <s v="24-10-2025"/>
    <s v="CUST1282"/>
    <s v="Kavya Sharma"/>
    <x v="2"/>
    <s v="Bengaluru"/>
    <s v="Karnataka"/>
    <x v="0"/>
    <x v="2"/>
    <x v="12"/>
    <n v="10"/>
    <n v="35000"/>
    <n v="0.05"/>
    <n v="332500"/>
    <n v="219861.6"/>
    <n v="112638.39999999999"/>
    <n v="33.880000000000003"/>
    <x v="4"/>
    <x v="2"/>
    <x v="1"/>
    <x v="4"/>
    <n v="2025"/>
    <s v="Friday"/>
    <n v="5"/>
    <s v="29-10-2025"/>
    <x v="2"/>
    <s v="New"/>
    <s v="High"/>
    <s v="Yes"/>
    <n v="5"/>
    <s v="Kavya"/>
    <s v="Sharma"/>
    <m/>
    <m/>
    <m/>
    <m/>
    <m/>
    <m/>
    <s v="Good"/>
    <s v="High"/>
    <s v="Yes"/>
    <s v="Yes"/>
    <n v="0.33876210526315786"/>
    <m/>
    <m/>
    <m/>
    <m/>
    <m/>
    <m/>
    <m/>
    <m/>
    <m/>
    <m/>
    <m/>
    <m/>
    <m/>
    <m/>
    <m/>
  </r>
  <r>
    <s v="ORD10685"/>
    <s v="24-10-2025"/>
    <s v="CUST1128"/>
    <s v="Karan Bansal"/>
    <x v="2"/>
    <s v="Hyderabad"/>
    <s v="Telangana"/>
    <x v="3"/>
    <x v="2"/>
    <x v="21"/>
    <n v="8"/>
    <n v="8000"/>
    <n v="0.1"/>
    <n v="57600"/>
    <n v="33868.720000000001"/>
    <n v="23731.279999999999"/>
    <n v="41.2"/>
    <x v="3"/>
    <x v="2"/>
    <x v="4"/>
    <x v="4"/>
    <n v="2025"/>
    <s v="Friday"/>
    <n v="6"/>
    <s v="30-10-2025"/>
    <x v="0"/>
    <s v="VIP"/>
    <s v="Medium"/>
    <s v="Yes"/>
    <n v="1"/>
    <s v="Karan"/>
    <s v="Bansal"/>
    <m/>
    <m/>
    <m/>
    <m/>
    <m/>
    <m/>
    <s v="Good"/>
    <s v="High"/>
    <s v="Yes"/>
    <s v="Yes"/>
    <n v="0.41200138888888888"/>
    <m/>
    <m/>
    <m/>
    <m/>
    <m/>
    <m/>
    <m/>
    <m/>
    <m/>
    <m/>
    <m/>
    <m/>
    <m/>
    <m/>
    <m/>
  </r>
  <r>
    <s v="ORD10823"/>
    <s v="24-10-2025"/>
    <s v="CUST1067"/>
    <s v="Ananya Gupta"/>
    <x v="1"/>
    <s v="Ahmedabad"/>
    <s v="Gujarat"/>
    <x v="0"/>
    <x v="0"/>
    <x v="15"/>
    <n v="7"/>
    <n v="2500"/>
    <n v="0.1"/>
    <n v="15750"/>
    <n v="8750.49"/>
    <n v="6999.51"/>
    <n v="44.44"/>
    <x v="0"/>
    <x v="1"/>
    <x v="4"/>
    <x v="4"/>
    <n v="2025"/>
    <s v="Friday"/>
    <n v="4"/>
    <s v="28-10-2025"/>
    <x v="2"/>
    <s v="Returning"/>
    <s v="Low"/>
    <s v="Yes"/>
    <n v="3"/>
    <s v="Ananya"/>
    <s v="Gupta"/>
    <m/>
    <m/>
    <m/>
    <m/>
    <m/>
    <m/>
    <s v="Good"/>
    <s v="Medium"/>
    <s v="No"/>
    <s v="No"/>
    <n v="0.44441333333333333"/>
    <m/>
    <m/>
    <m/>
    <m/>
    <m/>
    <m/>
    <m/>
    <m/>
    <m/>
    <m/>
    <m/>
    <m/>
    <m/>
    <m/>
    <m/>
  </r>
  <r>
    <s v="ORD10934"/>
    <s v="24-10-2025"/>
    <s v="CUST1203"/>
    <s v="Simran Kapoor"/>
    <x v="0"/>
    <s v="Lucknow"/>
    <s v="Uttar Pradesh"/>
    <x v="3"/>
    <x v="4"/>
    <x v="13"/>
    <n v="1"/>
    <n v="3000"/>
    <n v="0.1"/>
    <n v="2700"/>
    <n v="2162.4299999999998"/>
    <n v="537.57000000000005"/>
    <n v="19.91"/>
    <x v="1"/>
    <x v="2"/>
    <x v="9"/>
    <x v="4"/>
    <n v="2025"/>
    <s v="Friday"/>
    <n v="10"/>
    <d v="2025-03-11T00:00:00"/>
    <x v="2"/>
    <s v="VIP"/>
    <s v="Medium"/>
    <s v="Yes"/>
    <n v="4"/>
    <s v="Simran"/>
    <s v="Kapoor"/>
    <m/>
    <m/>
    <m/>
    <m/>
    <m/>
    <m/>
    <s v="Needs Improvement"/>
    <s v="Low"/>
    <s v="No"/>
    <s v="Yes"/>
    <n v="0.19910000000000003"/>
    <m/>
    <m/>
    <m/>
    <m/>
    <m/>
    <m/>
    <m/>
    <m/>
    <m/>
    <m/>
    <m/>
    <m/>
    <m/>
    <m/>
    <m/>
  </r>
  <r>
    <s v="ORD10365"/>
    <s v="24-11-2024"/>
    <s v="CUST1066"/>
    <s v="Sneha Jain"/>
    <x v="1"/>
    <s v="Jaipur"/>
    <s v="Rajasthan"/>
    <x v="1"/>
    <x v="4"/>
    <x v="19"/>
    <n v="10"/>
    <n v="1200"/>
    <n v="0.1"/>
    <n v="10800"/>
    <n v="7661.79"/>
    <n v="3138.21"/>
    <n v="29.06"/>
    <x v="0"/>
    <x v="1"/>
    <x v="2"/>
    <x v="11"/>
    <n v="2024"/>
    <s v="Sunday"/>
    <n v="1"/>
    <s v="25-11-2024"/>
    <x v="0"/>
    <s v="Returning"/>
    <s v="Medium"/>
    <s v="No"/>
    <n v="4"/>
    <s v="Sneha"/>
    <s v="Jain"/>
    <m/>
    <m/>
    <m/>
    <m/>
    <m/>
    <m/>
    <s v="Needs Improvement"/>
    <s v="Medium"/>
    <s v="No"/>
    <s v="No"/>
    <n v="0.29057500000000003"/>
    <m/>
    <m/>
    <m/>
    <m/>
    <m/>
    <m/>
    <m/>
    <m/>
    <m/>
    <m/>
    <m/>
    <m/>
    <m/>
    <m/>
    <m/>
  </r>
  <r>
    <s v="ORD10387"/>
    <s v="24-11-2025"/>
    <s v="CUST1349"/>
    <s v="Arjun Mehta"/>
    <x v="0"/>
    <s v="Lucknow"/>
    <s v="Uttar Pradesh"/>
    <x v="1"/>
    <x v="0"/>
    <x v="23"/>
    <n v="2"/>
    <n v="4000"/>
    <n v="0.15"/>
    <n v="6800"/>
    <n v="3787.67"/>
    <n v="3012.33"/>
    <n v="44.3"/>
    <x v="0"/>
    <x v="2"/>
    <x v="7"/>
    <x v="11"/>
    <n v="2025"/>
    <s v="Monday"/>
    <n v="2"/>
    <s v="26-11-2025"/>
    <x v="0"/>
    <s v="New"/>
    <s v="Medium"/>
    <s v="No"/>
    <n v="4"/>
    <s v="Arjun"/>
    <s v="Mehta"/>
    <m/>
    <m/>
    <m/>
    <m/>
    <m/>
    <m/>
    <s v="Good"/>
    <s v="Low"/>
    <s v="No"/>
    <s v="Yes"/>
    <n v="0.44298970588235292"/>
    <m/>
    <m/>
    <m/>
    <m/>
    <m/>
    <m/>
    <m/>
    <m/>
    <m/>
    <m/>
    <m/>
    <m/>
    <m/>
    <m/>
    <m/>
  </r>
  <r>
    <s v="ORD10066"/>
    <s v="24-12-2024"/>
    <s v="CUST1143"/>
    <s v="Nisha Singh"/>
    <x v="0"/>
    <s v="Ahmedabad"/>
    <s v="Gujarat"/>
    <x v="1"/>
    <x v="0"/>
    <x v="1"/>
    <n v="8"/>
    <n v="4000"/>
    <n v="0"/>
    <n v="32000"/>
    <n v="18592.61"/>
    <n v="13407.39"/>
    <n v="41.9"/>
    <x v="3"/>
    <x v="0"/>
    <x v="0"/>
    <x v="5"/>
    <n v="2024"/>
    <s v="Tuesday"/>
    <n v="9"/>
    <d v="2025-02-01T00:00:00"/>
    <x v="0"/>
    <s v="New"/>
    <s v="Low"/>
    <s v="No"/>
    <n v="3"/>
    <s v="Nisha"/>
    <s v="Singh"/>
    <m/>
    <m/>
    <m/>
    <m/>
    <m/>
    <m/>
    <s v="Good"/>
    <s v="High"/>
    <s v="Yes"/>
    <s v="Yes"/>
    <n v="0.41898093749999998"/>
    <m/>
    <m/>
    <m/>
    <m/>
    <m/>
    <m/>
    <m/>
    <m/>
    <m/>
    <m/>
    <m/>
    <m/>
    <m/>
    <m/>
    <m/>
  </r>
  <r>
    <s v="ORD10175"/>
    <s v="24-12-2024"/>
    <s v="CUST1025"/>
    <s v="Pooja Malhotra"/>
    <x v="1"/>
    <s v="Jaipur"/>
    <s v="Rajasthan"/>
    <x v="2"/>
    <x v="2"/>
    <x v="8"/>
    <n v="4"/>
    <n v="12000"/>
    <n v="0"/>
    <n v="48000"/>
    <n v="35736.559999999998"/>
    <n v="12263.44"/>
    <n v="25.55"/>
    <x v="2"/>
    <x v="1"/>
    <x v="9"/>
    <x v="5"/>
    <n v="2024"/>
    <s v="Tuesday"/>
    <n v="5"/>
    <s v="29-12-2024"/>
    <x v="0"/>
    <s v="Returning"/>
    <s v="Medium"/>
    <s v="No"/>
    <n v="1"/>
    <s v="Pooja"/>
    <s v="Malhotra"/>
    <m/>
    <m/>
    <m/>
    <m/>
    <m/>
    <m/>
    <s v="Needs Improvement"/>
    <s v="High"/>
    <s v="Yes"/>
    <s v="No"/>
    <n v="0.25548833333333332"/>
    <m/>
    <m/>
    <m/>
    <m/>
    <m/>
    <m/>
    <m/>
    <m/>
    <m/>
    <m/>
    <m/>
    <m/>
    <m/>
    <m/>
    <m/>
  </r>
  <r>
    <s v="ORD10804"/>
    <s v="24-12-2024"/>
    <s v="CUST1222"/>
    <s v="Aditya Bansal"/>
    <x v="0"/>
    <s v="Hyderabad"/>
    <s v="Telangana"/>
    <x v="0"/>
    <x v="0"/>
    <x v="15"/>
    <n v="5"/>
    <n v="6000"/>
    <n v="0"/>
    <n v="30000"/>
    <n v="23685.08"/>
    <n v="6314.92"/>
    <n v="21.05"/>
    <x v="3"/>
    <x v="0"/>
    <x v="9"/>
    <x v="5"/>
    <n v="2024"/>
    <s v="Tuesday"/>
    <n v="8"/>
    <d v="2025-01-01T00:00:00"/>
    <x v="2"/>
    <s v="New"/>
    <s v="Medium"/>
    <s v="Yes"/>
    <n v="3"/>
    <s v="Aditya"/>
    <s v="Bansal"/>
    <m/>
    <m/>
    <m/>
    <m/>
    <m/>
    <m/>
    <s v="Needs Improvement"/>
    <s v="High"/>
    <s v="No"/>
    <s v="Yes"/>
    <n v="0.21049733333333334"/>
    <m/>
    <m/>
    <m/>
    <m/>
    <m/>
    <m/>
    <m/>
    <m/>
    <m/>
    <m/>
    <m/>
    <m/>
    <m/>
    <m/>
    <m/>
  </r>
  <r>
    <s v="ORD10873"/>
    <s v="24-12-2025"/>
    <s v="CUST1216"/>
    <s v="Simran Bansal"/>
    <x v="0"/>
    <s v="Jaipur"/>
    <s v="Rajasthan"/>
    <x v="0"/>
    <x v="3"/>
    <x v="22"/>
    <n v="3"/>
    <n v="500"/>
    <n v="0.2"/>
    <n v="1200"/>
    <n v="965.4"/>
    <n v="234.6"/>
    <n v="19.55"/>
    <x v="3"/>
    <x v="0"/>
    <x v="5"/>
    <x v="5"/>
    <n v="2025"/>
    <s v="Wednesday"/>
    <n v="10"/>
    <d v="2026-03-01T00:00:00"/>
    <x v="1"/>
    <s v="VIP"/>
    <s v="High"/>
    <s v="No"/>
    <n v="1"/>
    <s v="Simran"/>
    <s v="Bansal"/>
    <m/>
    <m/>
    <m/>
    <m/>
    <m/>
    <m/>
    <s v="Needs Improvement"/>
    <s v="Low"/>
    <s v="No"/>
    <s v="Yes"/>
    <n v="0.19550000000000001"/>
    <m/>
    <m/>
    <m/>
    <m/>
    <m/>
    <m/>
    <m/>
    <m/>
    <m/>
    <m/>
    <m/>
    <m/>
    <m/>
    <m/>
    <m/>
  </r>
  <r>
    <s v="ORD10738"/>
    <s v="25-01-2024"/>
    <s v="CUST1027"/>
    <s v="Vikram Yadav"/>
    <x v="0"/>
    <s v="Chennai"/>
    <s v="Tamil Nadu"/>
    <x v="0"/>
    <x v="3"/>
    <x v="10"/>
    <n v="9"/>
    <n v="350"/>
    <n v="0.2"/>
    <n v="2520"/>
    <n v="2002.32"/>
    <n v="517.67999999999995"/>
    <n v="20.54"/>
    <x v="4"/>
    <x v="1"/>
    <x v="3"/>
    <x v="6"/>
    <n v="2024"/>
    <s v="Thursday"/>
    <n v="8"/>
    <d v="2024-02-02T00:00:00"/>
    <x v="0"/>
    <s v="New"/>
    <s v="Medium"/>
    <s v="No"/>
    <n v="1"/>
    <s v="Vikram"/>
    <s v="Yadav"/>
    <m/>
    <m/>
    <m/>
    <m/>
    <m/>
    <m/>
    <s v="Needs Improvement"/>
    <s v="Low"/>
    <s v="No"/>
    <s v="No"/>
    <n v="0.2054285714285714"/>
    <m/>
    <m/>
    <m/>
    <m/>
    <m/>
    <m/>
    <m/>
    <m/>
    <m/>
    <m/>
    <m/>
    <m/>
    <m/>
    <m/>
    <m/>
  </r>
  <r>
    <s v="ORD10245"/>
    <s v="25-02-2024"/>
    <s v="CUST1277"/>
    <s v="Vivaan Kapoor"/>
    <x v="0"/>
    <s v="Ahmedabad"/>
    <s v="Gujarat"/>
    <x v="2"/>
    <x v="3"/>
    <x v="18"/>
    <n v="4"/>
    <n v="800"/>
    <n v="0.05"/>
    <n v="3040"/>
    <n v="2064.61"/>
    <n v="975.39"/>
    <n v="32.090000000000003"/>
    <x v="2"/>
    <x v="1"/>
    <x v="2"/>
    <x v="7"/>
    <n v="2024"/>
    <s v="Sunday"/>
    <n v="9"/>
    <d v="2024-05-03T00:00:00"/>
    <x v="2"/>
    <s v="VIP"/>
    <s v="High"/>
    <s v="No"/>
    <n v="3"/>
    <s v="Vivaan"/>
    <s v="Kapoor"/>
    <m/>
    <m/>
    <m/>
    <m/>
    <m/>
    <m/>
    <s v="Good"/>
    <s v="Low"/>
    <s v="No"/>
    <s v="No"/>
    <n v="0.32085197368421053"/>
    <m/>
    <m/>
    <m/>
    <m/>
    <m/>
    <m/>
    <m/>
    <m/>
    <m/>
    <m/>
    <m/>
    <m/>
    <m/>
    <m/>
    <m/>
  </r>
  <r>
    <s v="ORD10459"/>
    <s v="25-02-2024"/>
    <s v="CUST1196"/>
    <s v="Meera Jain"/>
    <x v="2"/>
    <s v="Hyderabad"/>
    <s v="Telangana"/>
    <x v="2"/>
    <x v="3"/>
    <x v="17"/>
    <n v="4"/>
    <n v="200"/>
    <n v="0.2"/>
    <n v="640"/>
    <n v="457.07"/>
    <n v="182.93"/>
    <n v="28.58"/>
    <x v="1"/>
    <x v="2"/>
    <x v="9"/>
    <x v="7"/>
    <n v="2024"/>
    <s v="Sunday"/>
    <n v="4"/>
    <s v="29-02-2024"/>
    <x v="0"/>
    <s v="New"/>
    <s v="Low"/>
    <s v="Yes"/>
    <n v="2"/>
    <s v="Meera"/>
    <s v="Jain"/>
    <m/>
    <m/>
    <m/>
    <m/>
    <m/>
    <m/>
    <s v="Needs Improvement"/>
    <s v="Low"/>
    <s v="No"/>
    <s v="Yes"/>
    <n v="0.28582812499999999"/>
    <m/>
    <m/>
    <m/>
    <m/>
    <m/>
    <m/>
    <m/>
    <m/>
    <m/>
    <m/>
    <m/>
    <m/>
    <m/>
    <m/>
    <m/>
  </r>
  <r>
    <s v="ORD10532"/>
    <s v="25-02-2024"/>
    <s v="CUST1153"/>
    <s v="Karan Singh"/>
    <x v="0"/>
    <s v="Jaipur"/>
    <s v="Rajasthan"/>
    <x v="2"/>
    <x v="1"/>
    <x v="20"/>
    <n v="4"/>
    <n v="1800"/>
    <n v="0.05"/>
    <n v="6840"/>
    <n v="4393.6400000000003"/>
    <n v="2446.36"/>
    <n v="35.770000000000003"/>
    <x v="4"/>
    <x v="1"/>
    <x v="8"/>
    <x v="7"/>
    <n v="2024"/>
    <s v="Sunday"/>
    <n v="2"/>
    <s v="27-02-2024"/>
    <x v="2"/>
    <s v="VIP"/>
    <s v="Low"/>
    <s v="No"/>
    <n v="3"/>
    <s v="Karan"/>
    <s v="Singh"/>
    <m/>
    <m/>
    <m/>
    <m/>
    <m/>
    <m/>
    <s v="Good"/>
    <s v="Low"/>
    <s v="No"/>
    <s v="No"/>
    <n v="0.35765497076023395"/>
    <m/>
    <m/>
    <m/>
    <m/>
    <m/>
    <m/>
    <m/>
    <m/>
    <m/>
    <m/>
    <m/>
    <m/>
    <m/>
    <m/>
    <m/>
  </r>
  <r>
    <s v="ORD10588"/>
    <s v="25-02-2024"/>
    <s v="CUST1319"/>
    <s v="Kavya Kumar"/>
    <x v="2"/>
    <s v="Ahmedabad"/>
    <s v="Gujarat"/>
    <x v="3"/>
    <x v="3"/>
    <x v="17"/>
    <n v="9"/>
    <n v="800"/>
    <n v="0"/>
    <n v="7200"/>
    <n v="5331.5"/>
    <n v="1868.5"/>
    <n v="25.95"/>
    <x v="2"/>
    <x v="0"/>
    <x v="6"/>
    <x v="7"/>
    <n v="2024"/>
    <s v="Sunday"/>
    <n v="6"/>
    <d v="2024-02-03T00:00:00"/>
    <x v="2"/>
    <s v="Returning"/>
    <s v="High"/>
    <s v="Yes"/>
    <n v="1"/>
    <s v="Kavya"/>
    <s v="Kumar"/>
    <m/>
    <m/>
    <m/>
    <m/>
    <m/>
    <m/>
    <s v="Needs Improvement"/>
    <s v="Low"/>
    <s v="No"/>
    <s v="Yes"/>
    <n v="0.25951388888888888"/>
    <m/>
    <m/>
    <m/>
    <m/>
    <m/>
    <m/>
    <m/>
    <m/>
    <m/>
    <m/>
    <m/>
    <m/>
    <m/>
    <m/>
    <m/>
  </r>
  <r>
    <s v="ORD10915"/>
    <s v="25-02-2024"/>
    <s v="CUST1023"/>
    <s v="Ananya Agarwal"/>
    <x v="1"/>
    <s v="Bengaluru"/>
    <s v="Karnataka"/>
    <x v="2"/>
    <x v="2"/>
    <x v="7"/>
    <n v="3"/>
    <n v="15000"/>
    <n v="0.15"/>
    <n v="38250"/>
    <n v="22826.91"/>
    <n v="15423.09"/>
    <n v="40.32"/>
    <x v="3"/>
    <x v="0"/>
    <x v="9"/>
    <x v="7"/>
    <n v="2024"/>
    <s v="Sunday"/>
    <n v="9"/>
    <d v="2024-05-03T00:00:00"/>
    <x v="0"/>
    <s v="VIP"/>
    <s v="High"/>
    <s v="No"/>
    <n v="3"/>
    <s v="Ananya"/>
    <s v="Agarwal"/>
    <m/>
    <m/>
    <m/>
    <m/>
    <m/>
    <m/>
    <s v="Good"/>
    <s v="High"/>
    <s v="Yes"/>
    <s v="Yes"/>
    <n v="0.40321803921568627"/>
    <m/>
    <m/>
    <m/>
    <m/>
    <m/>
    <m/>
    <m/>
    <m/>
    <m/>
    <m/>
    <m/>
    <m/>
    <m/>
    <m/>
    <m/>
  </r>
  <r>
    <s v="ORD10918"/>
    <s v="25-03-2024"/>
    <s v="CUST1312"/>
    <s v="Arjun Gupta"/>
    <x v="0"/>
    <s v="Lucknow"/>
    <s v="Uttar Pradesh"/>
    <x v="1"/>
    <x v="0"/>
    <x v="15"/>
    <n v="10"/>
    <n v="9000"/>
    <n v="0.15"/>
    <n v="76500"/>
    <n v="52399.72"/>
    <n v="24100.28"/>
    <n v="31.5"/>
    <x v="2"/>
    <x v="0"/>
    <x v="4"/>
    <x v="0"/>
    <n v="2024"/>
    <s v="Monday"/>
    <n v="4"/>
    <s v="29-03-2024"/>
    <x v="1"/>
    <s v="New"/>
    <s v="Low"/>
    <s v="Yes"/>
    <n v="1"/>
    <s v="Arjun"/>
    <s v="Gupta"/>
    <m/>
    <m/>
    <m/>
    <m/>
    <m/>
    <m/>
    <s v="Good"/>
    <s v="High"/>
    <s v="Yes"/>
    <s v="Yes"/>
    <n v="0.31503633986928103"/>
    <m/>
    <m/>
    <m/>
    <m/>
    <m/>
    <m/>
    <m/>
    <m/>
    <m/>
    <m/>
    <m/>
    <m/>
    <m/>
    <m/>
    <m/>
  </r>
  <r>
    <s v="ORD10707"/>
    <s v="25-03-2025"/>
    <s v="CUST1291"/>
    <s v="Rahul Mehta"/>
    <x v="2"/>
    <s v="Delhi"/>
    <s v="Delhi"/>
    <x v="2"/>
    <x v="3"/>
    <x v="10"/>
    <n v="1"/>
    <n v="800"/>
    <n v="0.15"/>
    <n v="680"/>
    <n v="475.21"/>
    <n v="204.79"/>
    <n v="30.12"/>
    <x v="3"/>
    <x v="1"/>
    <x v="0"/>
    <x v="0"/>
    <n v="2025"/>
    <s v="Tuesday"/>
    <n v="7"/>
    <d v="2025-01-04T00:00:00"/>
    <x v="1"/>
    <s v="VIP"/>
    <s v="Medium"/>
    <s v="No"/>
    <n v="4"/>
    <s v="Rahul"/>
    <s v="Mehta"/>
    <m/>
    <m/>
    <m/>
    <m/>
    <m/>
    <m/>
    <s v="Good"/>
    <s v="Low"/>
    <s v="No"/>
    <s v="No"/>
    <n v="0.30116176470588235"/>
    <m/>
    <m/>
    <m/>
    <m/>
    <m/>
    <m/>
    <m/>
    <m/>
    <m/>
    <m/>
    <m/>
    <m/>
    <m/>
    <m/>
    <m/>
  </r>
  <r>
    <s v="ORD10563"/>
    <s v="25-04-2024"/>
    <s v="CUST1011"/>
    <s v="Rohan Mehta"/>
    <x v="2"/>
    <s v="Chennai"/>
    <s v="Tamil Nadu"/>
    <x v="3"/>
    <x v="3"/>
    <x v="17"/>
    <n v="9"/>
    <n v="800"/>
    <n v="0.15"/>
    <n v="6120"/>
    <n v="4569.3"/>
    <n v="1550.7"/>
    <n v="25.34"/>
    <x v="0"/>
    <x v="1"/>
    <x v="7"/>
    <x v="8"/>
    <n v="2024"/>
    <s v="Thursday"/>
    <n v="5"/>
    <s v="30-04-2024"/>
    <x v="1"/>
    <s v="New"/>
    <s v="High"/>
    <s v="No"/>
    <n v="3"/>
    <s v="Rohan"/>
    <s v="Mehta"/>
    <m/>
    <m/>
    <m/>
    <m/>
    <m/>
    <m/>
    <s v="Needs Improvement"/>
    <s v="Low"/>
    <s v="No"/>
    <s v="No"/>
    <n v="0.2533823529411765"/>
    <m/>
    <m/>
    <m/>
    <m/>
    <m/>
    <m/>
    <m/>
    <m/>
    <m/>
    <m/>
    <m/>
    <m/>
    <m/>
    <m/>
    <m/>
  </r>
  <r>
    <s v="ORD10795"/>
    <s v="25-04-2025"/>
    <s v="CUST1034"/>
    <s v="Riya Yadav"/>
    <x v="2"/>
    <s v="Pune"/>
    <s v="Maharashtra"/>
    <x v="2"/>
    <x v="0"/>
    <x v="24"/>
    <n v="4"/>
    <n v="9000"/>
    <n v="0.2"/>
    <n v="28800"/>
    <n v="17737.91"/>
    <n v="11062.09"/>
    <n v="38.409999999999997"/>
    <x v="3"/>
    <x v="1"/>
    <x v="3"/>
    <x v="8"/>
    <n v="2025"/>
    <s v="Friday"/>
    <n v="1"/>
    <s v="26-04-2025"/>
    <x v="1"/>
    <s v="Returning"/>
    <s v="Low"/>
    <s v="No"/>
    <n v="4"/>
    <s v="Riya"/>
    <s v="Yadav"/>
    <m/>
    <m/>
    <m/>
    <m/>
    <m/>
    <m/>
    <s v="Good"/>
    <s v="Medium"/>
    <s v="No"/>
    <s v="No"/>
    <n v="0.38410034722222225"/>
    <m/>
    <m/>
    <m/>
    <m/>
    <m/>
    <m/>
    <m/>
    <m/>
    <m/>
    <m/>
    <m/>
    <m/>
    <m/>
    <m/>
    <m/>
  </r>
  <r>
    <s v="ORD10384"/>
    <s v="25-05-2024"/>
    <s v="CUST1066"/>
    <s v="Kavya Chopra"/>
    <x v="0"/>
    <s v="Jaipur"/>
    <s v="Rajasthan"/>
    <x v="0"/>
    <x v="0"/>
    <x v="15"/>
    <n v="6"/>
    <n v="15000"/>
    <n v="0.15"/>
    <n v="76500"/>
    <n v="48545.58"/>
    <n v="27954.42"/>
    <n v="36.54"/>
    <x v="4"/>
    <x v="1"/>
    <x v="0"/>
    <x v="1"/>
    <n v="2024"/>
    <s v="Saturday"/>
    <n v="5"/>
    <s v="30-05-2024"/>
    <x v="0"/>
    <s v="VIP"/>
    <s v="Medium"/>
    <s v="No"/>
    <n v="4"/>
    <s v="Kavya"/>
    <s v="Chopra"/>
    <m/>
    <m/>
    <m/>
    <m/>
    <m/>
    <m/>
    <s v="Good"/>
    <s v="High"/>
    <s v="Yes"/>
    <s v="No"/>
    <n v="0.36541725490196075"/>
    <m/>
    <m/>
    <m/>
    <m/>
    <m/>
    <m/>
    <m/>
    <m/>
    <m/>
    <m/>
    <m/>
    <m/>
    <m/>
    <m/>
    <m/>
  </r>
  <r>
    <s v="ORD10542"/>
    <s v="25-05-2024"/>
    <s v="CUST1048"/>
    <s v="Aditya Malhotra"/>
    <x v="0"/>
    <s v="Mumbai"/>
    <s v="Maharashtra"/>
    <x v="3"/>
    <x v="2"/>
    <x v="21"/>
    <n v="10"/>
    <n v="8000"/>
    <n v="0"/>
    <n v="80000"/>
    <n v="63323.46"/>
    <n v="16676.54"/>
    <n v="20.85"/>
    <x v="4"/>
    <x v="2"/>
    <x v="9"/>
    <x v="1"/>
    <n v="2024"/>
    <s v="Saturday"/>
    <n v="5"/>
    <s v="30-05-2024"/>
    <x v="0"/>
    <s v="New"/>
    <s v="Medium"/>
    <s v="Yes"/>
    <n v="4"/>
    <s v="Aditya"/>
    <s v="Malhotra"/>
    <m/>
    <m/>
    <m/>
    <m/>
    <m/>
    <m/>
    <s v="Needs Improvement"/>
    <s v="High"/>
    <s v="Yes"/>
    <s v="Yes"/>
    <n v="0.20845675000000002"/>
    <m/>
    <m/>
    <m/>
    <m/>
    <m/>
    <m/>
    <m/>
    <m/>
    <m/>
    <m/>
    <m/>
    <m/>
    <m/>
    <m/>
    <m/>
  </r>
  <r>
    <s v="ORD10410"/>
    <s v="25-06-2025"/>
    <s v="CUST1017"/>
    <s v="Karan Kapoor"/>
    <x v="0"/>
    <s v="Ahmedabad"/>
    <s v="Gujarat"/>
    <x v="1"/>
    <x v="0"/>
    <x v="23"/>
    <n v="8"/>
    <n v="4000"/>
    <n v="0.2"/>
    <n v="25600"/>
    <n v="17227.95"/>
    <n v="8372.0499999999993"/>
    <n v="32.700000000000003"/>
    <x v="3"/>
    <x v="1"/>
    <x v="2"/>
    <x v="2"/>
    <n v="2025"/>
    <s v="Wednesday"/>
    <n v="2"/>
    <s v="27-06-2025"/>
    <x v="0"/>
    <s v="New"/>
    <s v="Medium"/>
    <s v="No"/>
    <n v="1"/>
    <s v="Karan"/>
    <s v="Kapoor"/>
    <m/>
    <m/>
    <m/>
    <m/>
    <m/>
    <m/>
    <s v="Good"/>
    <s v="Medium"/>
    <s v="No"/>
    <s v="No"/>
    <n v="0.32703320312499995"/>
    <m/>
    <m/>
    <m/>
    <m/>
    <m/>
    <m/>
    <m/>
    <m/>
    <m/>
    <m/>
    <m/>
    <m/>
    <m/>
    <m/>
    <m/>
  </r>
  <r>
    <s v="ORD10752"/>
    <s v="25-06-2025"/>
    <s v="CUST1137"/>
    <s v="Aditya Malhotra"/>
    <x v="0"/>
    <s v="Mumbai"/>
    <s v="Maharashtra"/>
    <x v="3"/>
    <x v="1"/>
    <x v="2"/>
    <n v="10"/>
    <n v="1800"/>
    <n v="0"/>
    <n v="18000"/>
    <n v="12828.63"/>
    <n v="5171.37"/>
    <n v="28.73"/>
    <x v="0"/>
    <x v="0"/>
    <x v="4"/>
    <x v="2"/>
    <n v="2025"/>
    <s v="Wednesday"/>
    <n v="8"/>
    <d v="2025-03-07T00:00:00"/>
    <x v="2"/>
    <s v="Returning"/>
    <s v="Low"/>
    <s v="No"/>
    <n v="2"/>
    <s v="Aditya"/>
    <s v="Malhotra"/>
    <m/>
    <m/>
    <m/>
    <m/>
    <m/>
    <m/>
    <s v="Needs Improvement"/>
    <s v="Medium"/>
    <s v="No"/>
    <s v="Yes"/>
    <n v="0.28729833333333332"/>
    <m/>
    <m/>
    <m/>
    <m/>
    <m/>
    <m/>
    <m/>
    <m/>
    <m/>
    <m/>
    <m/>
    <m/>
    <m/>
    <m/>
    <m/>
  </r>
  <r>
    <s v="ORD10523"/>
    <s v="25-07-2024"/>
    <s v="CUST1292"/>
    <s v="Nisha Sharma"/>
    <x v="1"/>
    <s v="Hyderabad"/>
    <s v="Telangana"/>
    <x v="2"/>
    <x v="4"/>
    <x v="11"/>
    <n v="5"/>
    <n v="800"/>
    <n v="0.2"/>
    <n v="3200"/>
    <n v="1992.56"/>
    <n v="1207.44"/>
    <n v="37.729999999999997"/>
    <x v="1"/>
    <x v="2"/>
    <x v="3"/>
    <x v="9"/>
    <n v="2024"/>
    <s v="Thursday"/>
    <n v="1"/>
    <s v="26-07-2024"/>
    <x v="0"/>
    <s v="New"/>
    <s v="Medium"/>
    <s v="Yes"/>
    <n v="3"/>
    <s v="Nisha"/>
    <s v="Sharma"/>
    <m/>
    <m/>
    <m/>
    <m/>
    <m/>
    <m/>
    <s v="Good"/>
    <s v="Low"/>
    <s v="No"/>
    <s v="Yes"/>
    <n v="0.37732500000000002"/>
    <m/>
    <m/>
    <m/>
    <m/>
    <m/>
    <m/>
    <m/>
    <m/>
    <m/>
    <m/>
    <m/>
    <m/>
    <m/>
    <m/>
    <m/>
  </r>
  <r>
    <s v="ORD10040"/>
    <s v="25-07-2025"/>
    <s v="CUST1317"/>
    <s v="Vikram Agarwal"/>
    <x v="1"/>
    <s v="Bengaluru"/>
    <s v="Karnataka"/>
    <x v="2"/>
    <x v="4"/>
    <x v="16"/>
    <n v="2"/>
    <n v="800"/>
    <n v="0"/>
    <n v="1600"/>
    <n v="1137.53"/>
    <n v="462.47"/>
    <n v="28.9"/>
    <x v="4"/>
    <x v="1"/>
    <x v="0"/>
    <x v="9"/>
    <n v="2025"/>
    <s v="Friday"/>
    <n v="7"/>
    <d v="2025-01-08T00:00:00"/>
    <x v="1"/>
    <s v="VIP"/>
    <s v="Medium"/>
    <s v="No"/>
    <n v="5"/>
    <s v="Vikram"/>
    <s v="Agarwal"/>
    <m/>
    <m/>
    <m/>
    <m/>
    <m/>
    <m/>
    <s v="Needs Improvement"/>
    <s v="Low"/>
    <s v="No"/>
    <s v="No"/>
    <n v="0.28904375000000004"/>
    <m/>
    <m/>
    <m/>
    <m/>
    <m/>
    <m/>
    <m/>
    <m/>
    <m/>
    <m/>
    <m/>
    <m/>
    <m/>
    <m/>
    <m/>
  </r>
  <r>
    <s v="ORD10488"/>
    <s v="25-08-2025"/>
    <s v="CUST1293"/>
    <s v="Priya Kapoor"/>
    <x v="0"/>
    <s v="Kolkata"/>
    <s v="West Bengal"/>
    <x v="1"/>
    <x v="2"/>
    <x v="7"/>
    <n v="3"/>
    <n v="35000"/>
    <n v="0.1"/>
    <n v="94500"/>
    <n v="65471.42"/>
    <n v="29028.58"/>
    <n v="30.72"/>
    <x v="1"/>
    <x v="2"/>
    <x v="3"/>
    <x v="10"/>
    <n v="2025"/>
    <s v="Monday"/>
    <n v="8"/>
    <d v="2025-02-09T00:00:00"/>
    <x v="0"/>
    <s v="Returning"/>
    <s v="Low"/>
    <s v="No"/>
    <n v="5"/>
    <s v="Priya"/>
    <s v="Kapoor"/>
    <m/>
    <m/>
    <m/>
    <m/>
    <m/>
    <m/>
    <s v="Good"/>
    <s v="High"/>
    <s v="Yes"/>
    <s v="Yes"/>
    <n v="0.30718074074074075"/>
    <m/>
    <m/>
    <m/>
    <m/>
    <m/>
    <m/>
    <m/>
    <m/>
    <m/>
    <m/>
    <m/>
    <m/>
    <m/>
    <m/>
    <m/>
  </r>
  <r>
    <s v="ORD10970"/>
    <s v="25-08-2025"/>
    <s v="CUST1102"/>
    <s v="Aarav Malhotra"/>
    <x v="0"/>
    <s v="Ahmedabad"/>
    <s v="Gujarat"/>
    <x v="3"/>
    <x v="0"/>
    <x v="1"/>
    <n v="6"/>
    <n v="6000"/>
    <n v="0.15"/>
    <n v="30600"/>
    <n v="17118.09"/>
    <n v="13481.91"/>
    <n v="44.06"/>
    <x v="1"/>
    <x v="1"/>
    <x v="0"/>
    <x v="10"/>
    <n v="2025"/>
    <s v="Monday"/>
    <n v="6"/>
    <s v="31-08-2025"/>
    <x v="0"/>
    <s v="Returning"/>
    <s v="High"/>
    <s v="No"/>
    <n v="4"/>
    <s v="Aarav"/>
    <s v="Malhotra"/>
    <m/>
    <m/>
    <m/>
    <m/>
    <m/>
    <m/>
    <s v="Good"/>
    <s v="High"/>
    <s v="Yes"/>
    <s v="No"/>
    <n v="0.44058529411764707"/>
    <m/>
    <m/>
    <m/>
    <m/>
    <m/>
    <m/>
    <m/>
    <m/>
    <m/>
    <m/>
    <m/>
    <m/>
    <m/>
    <m/>
    <m/>
  </r>
  <r>
    <s v="ORD10705"/>
    <s v="25-09-2025"/>
    <s v="CUST1307"/>
    <s v="Pooja Chopra"/>
    <x v="0"/>
    <s v="Ahmedabad"/>
    <s v="Gujarat"/>
    <x v="3"/>
    <x v="3"/>
    <x v="22"/>
    <n v="9"/>
    <n v="200"/>
    <n v="0.15"/>
    <n v="1530"/>
    <n v="880.07"/>
    <n v="649.92999999999995"/>
    <n v="42.48"/>
    <x v="0"/>
    <x v="0"/>
    <x v="3"/>
    <x v="3"/>
    <n v="2025"/>
    <s v="Thursday"/>
    <n v="2"/>
    <s v="27-09-2025"/>
    <x v="0"/>
    <s v="Returning"/>
    <s v="Low"/>
    <s v="No"/>
    <n v="1"/>
    <s v="Pooja"/>
    <s v="Chopra"/>
    <m/>
    <m/>
    <m/>
    <m/>
    <m/>
    <m/>
    <s v="Good"/>
    <s v="Low"/>
    <s v="No"/>
    <s v="Yes"/>
    <n v="0.42479084967320258"/>
    <m/>
    <m/>
    <m/>
    <m/>
    <m/>
    <m/>
    <m/>
    <m/>
    <m/>
    <m/>
    <m/>
    <m/>
    <m/>
    <m/>
    <m/>
  </r>
  <r>
    <s v="ORD10859"/>
    <s v="25-09-2025"/>
    <s v="CUST1331"/>
    <s v="Priya Mehta"/>
    <x v="0"/>
    <s v="Pune"/>
    <s v="Maharashtra"/>
    <x v="3"/>
    <x v="0"/>
    <x v="1"/>
    <n v="2"/>
    <n v="4000"/>
    <n v="0.15"/>
    <n v="6800"/>
    <n v="4697.88"/>
    <n v="2102.12"/>
    <n v="30.91"/>
    <x v="1"/>
    <x v="2"/>
    <x v="1"/>
    <x v="3"/>
    <n v="2025"/>
    <s v="Thursday"/>
    <n v="5"/>
    <s v="30-09-2025"/>
    <x v="0"/>
    <s v="VIP"/>
    <s v="Low"/>
    <s v="No"/>
    <n v="5"/>
    <s v="Priya"/>
    <s v="Mehta"/>
    <m/>
    <m/>
    <m/>
    <m/>
    <m/>
    <m/>
    <s v="Good"/>
    <s v="Low"/>
    <s v="No"/>
    <s v="Yes"/>
    <n v="0.30913529411764706"/>
    <m/>
    <m/>
    <m/>
    <m/>
    <m/>
    <m/>
    <m/>
    <m/>
    <m/>
    <m/>
    <m/>
    <m/>
    <m/>
    <m/>
    <m/>
  </r>
  <r>
    <s v="ORD10309"/>
    <s v="25-10-2025"/>
    <s v="CUST1250"/>
    <s v="Ishita Gupta"/>
    <x v="2"/>
    <s v="Bengaluru"/>
    <s v="Karnataka"/>
    <x v="3"/>
    <x v="3"/>
    <x v="10"/>
    <n v="3"/>
    <n v="100"/>
    <n v="0"/>
    <n v="300"/>
    <n v="223.43"/>
    <n v="76.569999999999993"/>
    <n v="25.52"/>
    <x v="4"/>
    <x v="1"/>
    <x v="5"/>
    <x v="4"/>
    <n v="2025"/>
    <s v="Saturday"/>
    <n v="1"/>
    <s v="26-10-2025"/>
    <x v="0"/>
    <s v="Returning"/>
    <s v="High"/>
    <s v="Yes"/>
    <n v="4"/>
    <s v="Ishita"/>
    <s v="Gupta"/>
    <m/>
    <m/>
    <m/>
    <m/>
    <m/>
    <m/>
    <s v="Needs Improvement"/>
    <s v="Low"/>
    <s v="No"/>
    <s v="No"/>
    <n v="0.25523333333333331"/>
    <m/>
    <m/>
    <m/>
    <m/>
    <m/>
    <m/>
    <m/>
    <m/>
    <m/>
    <m/>
    <m/>
    <m/>
    <m/>
    <m/>
    <m/>
  </r>
  <r>
    <s v="ORD10089"/>
    <s v="25-11-2025"/>
    <s v="CUST1121"/>
    <s v="Sneha Jain"/>
    <x v="0"/>
    <s v="Chennai"/>
    <s v="Tamil Nadu"/>
    <x v="1"/>
    <x v="4"/>
    <x v="9"/>
    <n v="1"/>
    <n v="800"/>
    <n v="0.2"/>
    <n v="640"/>
    <n v="373.81"/>
    <n v="266.19"/>
    <n v="41.59"/>
    <x v="3"/>
    <x v="2"/>
    <x v="9"/>
    <x v="11"/>
    <n v="2025"/>
    <s v="Tuesday"/>
    <n v="8"/>
    <d v="2025-03-12T00:00:00"/>
    <x v="0"/>
    <s v="Returning"/>
    <s v="Medium"/>
    <s v="No"/>
    <n v="1"/>
    <s v="Sneha"/>
    <s v="Jain"/>
    <m/>
    <m/>
    <m/>
    <m/>
    <m/>
    <m/>
    <s v="Good"/>
    <s v="Low"/>
    <s v="No"/>
    <s v="Yes"/>
    <n v="0.415921875"/>
    <m/>
    <m/>
    <m/>
    <m/>
    <m/>
    <m/>
    <m/>
    <m/>
    <m/>
    <m/>
    <m/>
    <m/>
    <m/>
    <m/>
    <m/>
  </r>
  <r>
    <s v="ORD10280"/>
    <s v="25-11-2025"/>
    <s v="CUST1294"/>
    <s v="Rohan Mehta"/>
    <x v="0"/>
    <s v="Chennai"/>
    <s v="Tamil Nadu"/>
    <x v="0"/>
    <x v="1"/>
    <x v="2"/>
    <n v="2"/>
    <n v="2500"/>
    <n v="0.2"/>
    <n v="4000"/>
    <n v="2650.72"/>
    <n v="1349.28"/>
    <n v="33.729999999999997"/>
    <x v="4"/>
    <x v="0"/>
    <x v="4"/>
    <x v="11"/>
    <n v="2025"/>
    <s v="Tuesday"/>
    <n v="10"/>
    <d v="2025-05-12T00:00:00"/>
    <x v="0"/>
    <s v="New"/>
    <s v="High"/>
    <s v="Yes"/>
    <n v="5"/>
    <s v="Rohan"/>
    <s v="Mehta"/>
    <m/>
    <m/>
    <m/>
    <m/>
    <m/>
    <m/>
    <s v="Good"/>
    <s v="Low"/>
    <s v="No"/>
    <s v="Yes"/>
    <n v="0.33732000000000001"/>
    <m/>
    <m/>
    <m/>
    <m/>
    <m/>
    <m/>
    <m/>
    <m/>
    <m/>
    <m/>
    <m/>
    <m/>
    <m/>
    <m/>
    <m/>
  </r>
  <r>
    <s v="ORD10595"/>
    <s v="25-11-2025"/>
    <s v="CUST1308"/>
    <s v="Vikram Jain"/>
    <x v="2"/>
    <s v="Ahmedabad"/>
    <s v="Gujarat"/>
    <x v="1"/>
    <x v="0"/>
    <x v="15"/>
    <n v="5"/>
    <n v="6000"/>
    <n v="0"/>
    <n v="30000"/>
    <n v="22318.39"/>
    <n v="7681.61"/>
    <n v="25.61"/>
    <x v="3"/>
    <x v="1"/>
    <x v="2"/>
    <x v="11"/>
    <n v="2025"/>
    <s v="Tuesday"/>
    <n v="6"/>
    <d v="2025-01-12T00:00:00"/>
    <x v="1"/>
    <s v="VIP"/>
    <s v="Low"/>
    <s v="Yes"/>
    <n v="2"/>
    <s v="Vikram"/>
    <s v="Jain"/>
    <m/>
    <m/>
    <m/>
    <m/>
    <m/>
    <m/>
    <s v="Needs Improvement"/>
    <s v="High"/>
    <s v="No"/>
    <s v="No"/>
    <n v="0.25605366666666668"/>
    <m/>
    <m/>
    <m/>
    <m/>
    <m/>
    <m/>
    <m/>
    <m/>
    <m/>
    <m/>
    <m/>
    <m/>
    <m/>
    <m/>
    <m/>
  </r>
  <r>
    <s v="ORD10318"/>
    <s v="25-12-2024"/>
    <s v="CUST1018"/>
    <s v="Aarav Bansal"/>
    <x v="2"/>
    <s v="Kolkata"/>
    <s v="West Bengal"/>
    <x v="1"/>
    <x v="2"/>
    <x v="12"/>
    <n v="2"/>
    <n v="50000"/>
    <n v="0.15"/>
    <n v="85000"/>
    <n v="52531.02"/>
    <n v="32468.98"/>
    <n v="38.200000000000003"/>
    <x v="3"/>
    <x v="0"/>
    <x v="6"/>
    <x v="5"/>
    <n v="2024"/>
    <s v="Wednesday"/>
    <n v="4"/>
    <s v="29-12-2024"/>
    <x v="0"/>
    <s v="VIP"/>
    <s v="High"/>
    <s v="Yes"/>
    <n v="1"/>
    <s v="Aarav"/>
    <s v="Bansal"/>
    <m/>
    <m/>
    <m/>
    <m/>
    <m/>
    <m/>
    <s v="Good"/>
    <s v="High"/>
    <s v="Yes"/>
    <s v="Yes"/>
    <n v="0.38198799999999999"/>
    <m/>
    <m/>
    <m/>
    <m/>
    <m/>
    <m/>
    <m/>
    <m/>
    <m/>
    <m/>
    <m/>
    <m/>
    <m/>
    <m/>
    <m/>
  </r>
  <r>
    <s v="ORD10011"/>
    <s v="25-12-2025"/>
    <s v="CUST1017"/>
    <s v="Neha Verma"/>
    <x v="1"/>
    <s v="Ahmedabad"/>
    <s v="Gujarat"/>
    <x v="3"/>
    <x v="0"/>
    <x v="0"/>
    <n v="4"/>
    <n v="2500"/>
    <n v="0"/>
    <n v="10000"/>
    <n v="5681.98"/>
    <n v="4318.0200000000004"/>
    <n v="43.18"/>
    <x v="0"/>
    <x v="0"/>
    <x v="9"/>
    <x v="5"/>
    <n v="2025"/>
    <s v="Thursday"/>
    <n v="1"/>
    <s v="26-12-2025"/>
    <x v="0"/>
    <s v="New"/>
    <s v="High"/>
    <s v="Yes"/>
    <n v="5"/>
    <s v="Neha"/>
    <s v="Verma"/>
    <m/>
    <m/>
    <m/>
    <m/>
    <m/>
    <m/>
    <s v="Good"/>
    <s v="Medium"/>
    <s v="No"/>
    <s v="Yes"/>
    <n v="0.43180200000000002"/>
    <m/>
    <m/>
    <m/>
    <m/>
    <m/>
    <m/>
    <m/>
    <m/>
    <m/>
    <m/>
    <m/>
    <m/>
    <m/>
    <m/>
    <m/>
  </r>
  <r>
    <s v="ORD10034"/>
    <s v="25-12-2025"/>
    <s v="CUST1268"/>
    <s v="Ananya Bansal"/>
    <x v="1"/>
    <s v="Jaipur"/>
    <s v="Rajasthan"/>
    <x v="2"/>
    <x v="2"/>
    <x v="21"/>
    <n v="6"/>
    <n v="50000"/>
    <n v="0.15"/>
    <n v="255000"/>
    <n v="152377.03"/>
    <n v="102622.97"/>
    <n v="40.24"/>
    <x v="4"/>
    <x v="1"/>
    <x v="5"/>
    <x v="5"/>
    <n v="2025"/>
    <s v="Thursday"/>
    <n v="3"/>
    <s v="28-12-2025"/>
    <x v="2"/>
    <s v="Returning"/>
    <s v="Medium"/>
    <s v="Yes"/>
    <n v="1"/>
    <s v="Ananya"/>
    <s v="Bansal"/>
    <m/>
    <m/>
    <m/>
    <m/>
    <m/>
    <m/>
    <s v="Good"/>
    <s v="High"/>
    <s v="Yes"/>
    <s v="No"/>
    <n v="0.40244301960784312"/>
    <m/>
    <m/>
    <m/>
    <m/>
    <m/>
    <m/>
    <m/>
    <m/>
    <m/>
    <m/>
    <m/>
    <m/>
    <m/>
    <m/>
    <m/>
  </r>
  <r>
    <s v="ORD10704"/>
    <s v="25-12-2025"/>
    <s v="CUST1225"/>
    <s v="Sneha Agarwal"/>
    <x v="2"/>
    <s v="Lucknow"/>
    <s v="Uttar Pradesh"/>
    <x v="3"/>
    <x v="1"/>
    <x v="2"/>
    <n v="7"/>
    <n v="1200"/>
    <n v="0.1"/>
    <n v="7560"/>
    <n v="4845.8900000000003"/>
    <n v="2714.11"/>
    <n v="35.9"/>
    <x v="0"/>
    <x v="2"/>
    <x v="2"/>
    <x v="5"/>
    <n v="2025"/>
    <s v="Thursday"/>
    <n v="8"/>
    <d v="2026-02-01T00:00:00"/>
    <x v="0"/>
    <s v="New"/>
    <s v="High"/>
    <s v="No"/>
    <n v="5"/>
    <s v="Sneha"/>
    <s v="Agarwal"/>
    <m/>
    <m/>
    <m/>
    <m/>
    <m/>
    <m/>
    <s v="Good"/>
    <s v="Low"/>
    <s v="No"/>
    <s v="Yes"/>
    <n v="0.35900925925925925"/>
    <m/>
    <m/>
    <m/>
    <m/>
    <m/>
    <m/>
    <m/>
    <m/>
    <m/>
    <m/>
    <m/>
    <m/>
    <m/>
    <m/>
    <m/>
  </r>
  <r>
    <s v="ORD10952"/>
    <s v="26-01-2024"/>
    <s v="CUST1070"/>
    <s v="Priya Kapoor"/>
    <x v="1"/>
    <s v="Lucknow"/>
    <s v="Uttar Pradesh"/>
    <x v="0"/>
    <x v="2"/>
    <x v="21"/>
    <n v="8"/>
    <n v="8000"/>
    <n v="0"/>
    <n v="64000"/>
    <n v="40403.57"/>
    <n v="23596.43"/>
    <n v="36.869999999999997"/>
    <x v="2"/>
    <x v="2"/>
    <x v="0"/>
    <x v="6"/>
    <n v="2024"/>
    <s v="Friday"/>
    <n v="10"/>
    <d v="2024-05-02T00:00:00"/>
    <x v="1"/>
    <s v="Returning"/>
    <s v="Medium"/>
    <s v="No"/>
    <n v="5"/>
    <s v="Priya"/>
    <s v="Kapoor"/>
    <m/>
    <m/>
    <m/>
    <m/>
    <m/>
    <m/>
    <s v="Good"/>
    <s v="High"/>
    <s v="Yes"/>
    <s v="Yes"/>
    <n v="0.36869421875000002"/>
    <m/>
    <m/>
    <m/>
    <m/>
    <m/>
    <m/>
    <m/>
    <m/>
    <m/>
    <m/>
    <m/>
    <m/>
    <m/>
    <m/>
    <m/>
  </r>
  <r>
    <s v="ORD10457"/>
    <s v="26-01-2025"/>
    <s v="CUST1007"/>
    <s v="Vikram Sharma"/>
    <x v="1"/>
    <s v="Mumbai"/>
    <s v="Maharashtra"/>
    <x v="1"/>
    <x v="3"/>
    <x v="5"/>
    <n v="10"/>
    <n v="800"/>
    <n v="0.15"/>
    <n v="6800"/>
    <n v="4664.28"/>
    <n v="2135.7199999999998"/>
    <n v="31.41"/>
    <x v="0"/>
    <x v="2"/>
    <x v="1"/>
    <x v="6"/>
    <n v="2025"/>
    <s v="Sunday"/>
    <n v="9"/>
    <d v="2025-04-02T00:00:00"/>
    <x v="0"/>
    <s v="New"/>
    <s v="High"/>
    <s v="Yes"/>
    <n v="1"/>
    <s v="Vikram"/>
    <s v="Sharma"/>
    <m/>
    <m/>
    <m/>
    <m/>
    <m/>
    <m/>
    <s v="Good"/>
    <s v="Low"/>
    <s v="No"/>
    <s v="Yes"/>
    <n v="0.31407647058823529"/>
    <m/>
    <m/>
    <m/>
    <m/>
    <m/>
    <m/>
    <m/>
    <m/>
    <m/>
    <m/>
    <m/>
    <m/>
    <m/>
    <m/>
    <m/>
  </r>
  <r>
    <s v="ORD10935"/>
    <s v="26-01-2025"/>
    <s v="CUST1147"/>
    <s v="Vivaan Malhotra"/>
    <x v="0"/>
    <s v="Kolkata"/>
    <s v="West Bengal"/>
    <x v="0"/>
    <x v="4"/>
    <x v="13"/>
    <n v="5"/>
    <n v="500"/>
    <n v="0.15"/>
    <n v="2125"/>
    <n v="1292.8399999999999"/>
    <n v="832.16"/>
    <n v="39.159999999999997"/>
    <x v="2"/>
    <x v="2"/>
    <x v="4"/>
    <x v="6"/>
    <n v="2025"/>
    <s v="Sunday"/>
    <n v="2"/>
    <s v="28-01-2025"/>
    <x v="0"/>
    <s v="Returning"/>
    <s v="Medium"/>
    <s v="Yes"/>
    <n v="2"/>
    <s v="Vivaan"/>
    <s v="Malhotra"/>
    <m/>
    <m/>
    <m/>
    <m/>
    <m/>
    <m/>
    <s v="Good"/>
    <s v="Low"/>
    <s v="No"/>
    <s v="Yes"/>
    <n v="0.39160470588235291"/>
    <m/>
    <m/>
    <m/>
    <m/>
    <m/>
    <m/>
    <m/>
    <m/>
    <m/>
    <m/>
    <m/>
    <m/>
    <m/>
    <m/>
    <m/>
  </r>
  <r>
    <s v="ORD10332"/>
    <s v="26-02-2025"/>
    <s v="CUST1038"/>
    <s v="Kavya Bansal"/>
    <x v="0"/>
    <s v="Hyderabad"/>
    <s v="Telangana"/>
    <x v="1"/>
    <x v="2"/>
    <x v="8"/>
    <n v="4"/>
    <n v="8000"/>
    <n v="0.05"/>
    <n v="30400"/>
    <n v="24036.33"/>
    <n v="6363.67"/>
    <n v="20.93"/>
    <x v="4"/>
    <x v="2"/>
    <x v="6"/>
    <x v="7"/>
    <n v="2025"/>
    <s v="Wednesday"/>
    <n v="4"/>
    <d v="2025-02-03T00:00:00"/>
    <x v="2"/>
    <s v="VIP"/>
    <s v="Medium"/>
    <s v="Yes"/>
    <n v="4"/>
    <s v="Kavya"/>
    <s v="Bansal"/>
    <m/>
    <m/>
    <m/>
    <m/>
    <m/>
    <m/>
    <s v="Needs Improvement"/>
    <s v="High"/>
    <s v="No"/>
    <s v="Yes"/>
    <n v="0.20933125"/>
    <m/>
    <m/>
    <m/>
    <m/>
    <m/>
    <m/>
    <m/>
    <m/>
    <m/>
    <m/>
    <m/>
    <m/>
    <m/>
    <m/>
    <m/>
  </r>
  <r>
    <s v="ORD10371"/>
    <s v="26-02-2025"/>
    <s v="CUST1132"/>
    <s v="Simran Singh"/>
    <x v="0"/>
    <s v="Pune"/>
    <s v="Maharashtra"/>
    <x v="3"/>
    <x v="1"/>
    <x v="14"/>
    <n v="6"/>
    <n v="700"/>
    <n v="0.05"/>
    <n v="3990"/>
    <n v="2890.48"/>
    <n v="1099.52"/>
    <n v="27.56"/>
    <x v="1"/>
    <x v="2"/>
    <x v="6"/>
    <x v="7"/>
    <n v="2025"/>
    <s v="Wednesday"/>
    <n v="5"/>
    <d v="2025-03-03T00:00:00"/>
    <x v="0"/>
    <s v="New"/>
    <s v="Low"/>
    <s v="No"/>
    <n v="4"/>
    <s v="Simran"/>
    <s v="Singh"/>
    <m/>
    <m/>
    <m/>
    <m/>
    <m/>
    <m/>
    <s v="Needs Improvement"/>
    <s v="Low"/>
    <s v="No"/>
    <s v="Yes"/>
    <n v="0.27556892230576441"/>
    <m/>
    <m/>
    <m/>
    <m/>
    <m/>
    <m/>
    <m/>
    <m/>
    <m/>
    <m/>
    <m/>
    <m/>
    <m/>
    <m/>
    <m/>
  </r>
  <r>
    <s v="ORD10603"/>
    <s v="26-03-2024"/>
    <s v="CUST1190"/>
    <s v="Riya Mehta"/>
    <x v="0"/>
    <s v="Pune"/>
    <s v="Maharashtra"/>
    <x v="2"/>
    <x v="1"/>
    <x v="2"/>
    <n v="3"/>
    <n v="3500"/>
    <n v="0.2"/>
    <n v="8400"/>
    <n v="5966.18"/>
    <n v="2433.8200000000002"/>
    <n v="28.97"/>
    <x v="2"/>
    <x v="0"/>
    <x v="5"/>
    <x v="0"/>
    <n v="2024"/>
    <s v="Tuesday"/>
    <n v="3"/>
    <s v="29-03-2024"/>
    <x v="0"/>
    <s v="Returning"/>
    <s v="Low"/>
    <s v="Yes"/>
    <n v="3"/>
    <s v="Riya"/>
    <s v="Mehta"/>
    <m/>
    <m/>
    <m/>
    <m/>
    <m/>
    <m/>
    <s v="Needs Improvement"/>
    <s v="Low"/>
    <s v="No"/>
    <s v="Yes"/>
    <n v="0.28974047619047621"/>
    <m/>
    <m/>
    <m/>
    <m/>
    <m/>
    <m/>
    <m/>
    <m/>
    <m/>
    <m/>
    <m/>
    <m/>
    <m/>
    <m/>
    <m/>
  </r>
  <r>
    <s v="ORD10287"/>
    <s v="26-04-2024"/>
    <s v="CUST1197"/>
    <s v="Meera Bansal"/>
    <x v="2"/>
    <s v="Mumbai"/>
    <s v="Maharashtra"/>
    <x v="2"/>
    <x v="3"/>
    <x v="17"/>
    <n v="3"/>
    <n v="100"/>
    <n v="0"/>
    <n v="300"/>
    <n v="171.91"/>
    <n v="128.09"/>
    <n v="42.7"/>
    <x v="3"/>
    <x v="1"/>
    <x v="7"/>
    <x v="8"/>
    <n v="2024"/>
    <s v="Friday"/>
    <n v="8"/>
    <d v="2024-04-05T00:00:00"/>
    <x v="0"/>
    <s v="New"/>
    <s v="Medium"/>
    <s v="Yes"/>
    <n v="2"/>
    <s v="Meera"/>
    <s v="Bansal"/>
    <m/>
    <m/>
    <m/>
    <m/>
    <m/>
    <m/>
    <s v="Good"/>
    <s v="Low"/>
    <s v="No"/>
    <s v="No"/>
    <n v="0.42696666666666666"/>
    <m/>
    <m/>
    <m/>
    <m/>
    <m/>
    <m/>
    <m/>
    <m/>
    <m/>
    <m/>
    <m/>
    <m/>
    <m/>
    <m/>
    <m/>
  </r>
  <r>
    <s v="ORD10589"/>
    <s v="26-04-2024"/>
    <s v="CUST1139"/>
    <s v="Ananya Bansal"/>
    <x v="0"/>
    <s v="Chennai"/>
    <s v="Tamil Nadu"/>
    <x v="0"/>
    <x v="0"/>
    <x v="15"/>
    <n v="4"/>
    <n v="9000"/>
    <n v="0.15"/>
    <n v="30600"/>
    <n v="23739.72"/>
    <n v="6860.28"/>
    <n v="22.42"/>
    <x v="1"/>
    <x v="2"/>
    <x v="0"/>
    <x v="8"/>
    <n v="2024"/>
    <s v="Friday"/>
    <n v="1"/>
    <s v="27-04-2024"/>
    <x v="2"/>
    <s v="VIP"/>
    <s v="Medium"/>
    <s v="No"/>
    <n v="1"/>
    <s v="Ananya"/>
    <s v="Bansal"/>
    <m/>
    <m/>
    <m/>
    <m/>
    <m/>
    <m/>
    <s v="Needs Improvement"/>
    <s v="High"/>
    <s v="No"/>
    <s v="Yes"/>
    <n v="0.2241921568627451"/>
    <m/>
    <m/>
    <m/>
    <m/>
    <m/>
    <m/>
    <m/>
    <m/>
    <m/>
    <m/>
    <m/>
    <m/>
    <m/>
    <m/>
    <m/>
  </r>
  <r>
    <s v="ORD10936"/>
    <s v="26-04-2024"/>
    <s v="CUST1035"/>
    <s v="Ananya Gupta"/>
    <x v="0"/>
    <s v="Ahmedabad"/>
    <s v="Gujarat"/>
    <x v="3"/>
    <x v="4"/>
    <x v="13"/>
    <n v="5"/>
    <n v="3000"/>
    <n v="0.2"/>
    <n v="12000"/>
    <n v="9214.7199999999993"/>
    <n v="2785.28"/>
    <n v="23.21"/>
    <x v="1"/>
    <x v="2"/>
    <x v="9"/>
    <x v="8"/>
    <n v="2024"/>
    <s v="Friday"/>
    <n v="10"/>
    <d v="2024-06-05T00:00:00"/>
    <x v="2"/>
    <s v="New"/>
    <s v="High"/>
    <s v="No"/>
    <n v="5"/>
    <s v="Ananya"/>
    <s v="Gupta"/>
    <m/>
    <m/>
    <m/>
    <m/>
    <m/>
    <m/>
    <s v="Needs Improvement"/>
    <s v="Medium"/>
    <s v="No"/>
    <s v="Yes"/>
    <n v="0.23210666666666668"/>
    <m/>
    <m/>
    <m/>
    <m/>
    <m/>
    <m/>
    <m/>
    <m/>
    <m/>
    <m/>
    <m/>
    <m/>
    <m/>
    <m/>
    <m/>
  </r>
  <r>
    <s v="ORD10192"/>
    <s v="26-04-2025"/>
    <s v="CUST1318"/>
    <s v="Aditya Malhotra"/>
    <x v="2"/>
    <s v="Chennai"/>
    <s v="Tamil Nadu"/>
    <x v="1"/>
    <x v="3"/>
    <x v="22"/>
    <n v="5"/>
    <n v="500"/>
    <n v="0"/>
    <n v="2500"/>
    <n v="1766.71"/>
    <n v="733.29"/>
    <n v="29.33"/>
    <x v="4"/>
    <x v="0"/>
    <x v="0"/>
    <x v="8"/>
    <n v="2025"/>
    <s v="Saturday"/>
    <n v="1"/>
    <s v="27-04-2025"/>
    <x v="1"/>
    <s v="Returning"/>
    <s v="Low"/>
    <s v="Yes"/>
    <n v="2"/>
    <s v="Aditya"/>
    <s v="Malhotra"/>
    <m/>
    <m/>
    <m/>
    <m/>
    <m/>
    <m/>
    <s v="Needs Improvement"/>
    <s v="Low"/>
    <s v="No"/>
    <s v="Yes"/>
    <n v="0.29331599999999997"/>
    <m/>
    <m/>
    <m/>
    <m/>
    <m/>
    <m/>
    <m/>
    <m/>
    <m/>
    <m/>
    <m/>
    <m/>
    <m/>
    <m/>
    <m/>
  </r>
  <r>
    <s v="ORD10861"/>
    <s v="26-04-2025"/>
    <s v="CUST1144"/>
    <s v="Priya Kapoor"/>
    <x v="1"/>
    <s v="Ahmedabad"/>
    <s v="Gujarat"/>
    <x v="1"/>
    <x v="0"/>
    <x v="24"/>
    <n v="4"/>
    <n v="2500"/>
    <n v="0"/>
    <n v="10000"/>
    <n v="6610.22"/>
    <n v="3389.78"/>
    <n v="33.9"/>
    <x v="2"/>
    <x v="0"/>
    <x v="2"/>
    <x v="8"/>
    <n v="2025"/>
    <s v="Saturday"/>
    <n v="7"/>
    <d v="2025-03-05T00:00:00"/>
    <x v="0"/>
    <s v="Returning"/>
    <s v="Low"/>
    <s v="Yes"/>
    <n v="3"/>
    <s v="Priya"/>
    <s v="Kapoor"/>
    <m/>
    <m/>
    <m/>
    <m/>
    <m/>
    <m/>
    <s v="Good"/>
    <s v="Medium"/>
    <s v="No"/>
    <s v="Yes"/>
    <n v="0.338978"/>
    <m/>
    <m/>
    <m/>
    <m/>
    <m/>
    <m/>
    <m/>
    <m/>
    <m/>
    <m/>
    <m/>
    <m/>
    <m/>
    <m/>
    <m/>
  </r>
  <r>
    <s v="ORD10466"/>
    <s v="26-05-2024"/>
    <s v="CUST1204"/>
    <s v="Priya Sharma"/>
    <x v="2"/>
    <s v="Pune"/>
    <s v="Maharashtra"/>
    <x v="2"/>
    <x v="1"/>
    <x v="3"/>
    <n v="2"/>
    <n v="3500"/>
    <n v="0.1"/>
    <n v="6300"/>
    <n v="5046.96"/>
    <n v="1253.04"/>
    <n v="19.89"/>
    <x v="1"/>
    <x v="2"/>
    <x v="2"/>
    <x v="1"/>
    <n v="2024"/>
    <s v="Sunday"/>
    <n v="5"/>
    <s v="31-05-2024"/>
    <x v="0"/>
    <s v="VIP"/>
    <s v="Medium"/>
    <s v="No"/>
    <n v="3"/>
    <s v="Priya"/>
    <s v="Sharma"/>
    <m/>
    <m/>
    <m/>
    <m/>
    <m/>
    <m/>
    <s v="Needs Improvement"/>
    <s v="Low"/>
    <s v="No"/>
    <s v="Yes"/>
    <n v="0.1988952380952381"/>
    <m/>
    <m/>
    <m/>
    <m/>
    <m/>
    <m/>
    <m/>
    <m/>
    <m/>
    <m/>
    <m/>
    <m/>
    <m/>
    <m/>
    <m/>
  </r>
  <r>
    <s v="ORD10567"/>
    <s v="26-05-2024"/>
    <s v="CUST1042"/>
    <s v="Priya Singh"/>
    <x v="2"/>
    <s v="Pune"/>
    <s v="Maharashtra"/>
    <x v="2"/>
    <x v="4"/>
    <x v="13"/>
    <n v="3"/>
    <n v="500"/>
    <n v="0.1"/>
    <n v="1350"/>
    <n v="955.81"/>
    <n v="394.19"/>
    <n v="29.2"/>
    <x v="0"/>
    <x v="2"/>
    <x v="1"/>
    <x v="1"/>
    <n v="2024"/>
    <s v="Sunday"/>
    <n v="4"/>
    <s v="30-05-2024"/>
    <x v="2"/>
    <s v="Returning"/>
    <s v="Medium"/>
    <s v="Yes"/>
    <n v="3"/>
    <s v="Priya"/>
    <s v="Singh"/>
    <m/>
    <m/>
    <m/>
    <m/>
    <m/>
    <m/>
    <s v="Needs Improvement"/>
    <s v="Low"/>
    <s v="No"/>
    <s v="Yes"/>
    <n v="0.29199259259259258"/>
    <m/>
    <m/>
    <m/>
    <m/>
    <m/>
    <m/>
    <m/>
    <m/>
    <m/>
    <m/>
    <m/>
    <m/>
    <m/>
    <m/>
    <m/>
  </r>
  <r>
    <s v="ORD10455"/>
    <s v="26-06-2024"/>
    <s v="CUST1007"/>
    <s v="Pooja Singh"/>
    <x v="0"/>
    <s v="Mumbai"/>
    <s v="Maharashtra"/>
    <x v="3"/>
    <x v="0"/>
    <x v="1"/>
    <n v="2"/>
    <n v="6000"/>
    <n v="0.1"/>
    <n v="10800"/>
    <n v="7847.04"/>
    <n v="2952.96"/>
    <n v="27.34"/>
    <x v="1"/>
    <x v="0"/>
    <x v="0"/>
    <x v="2"/>
    <n v="2024"/>
    <s v="Wednesday"/>
    <n v="1"/>
    <s v="27-06-2024"/>
    <x v="2"/>
    <s v="VIP"/>
    <s v="High"/>
    <s v="No"/>
    <n v="1"/>
    <s v="Pooja"/>
    <s v="Singh"/>
    <m/>
    <m/>
    <m/>
    <m/>
    <m/>
    <m/>
    <s v="Needs Improvement"/>
    <s v="Medium"/>
    <s v="No"/>
    <s v="Yes"/>
    <n v="0.27342222222222223"/>
    <m/>
    <m/>
    <m/>
    <m/>
    <m/>
    <m/>
    <m/>
    <m/>
    <m/>
    <m/>
    <m/>
    <m/>
    <m/>
    <m/>
    <m/>
  </r>
  <r>
    <s v="ORD10787"/>
    <s v="26-06-2024"/>
    <s v="CUST1106"/>
    <s v="Simran Agarwal"/>
    <x v="1"/>
    <s v="Ahmedabad"/>
    <s v="Gujarat"/>
    <x v="0"/>
    <x v="3"/>
    <x v="10"/>
    <n v="8"/>
    <n v="800"/>
    <n v="0.2"/>
    <n v="5120"/>
    <n v="3698.79"/>
    <n v="1421.21"/>
    <n v="27.76"/>
    <x v="2"/>
    <x v="0"/>
    <x v="9"/>
    <x v="2"/>
    <n v="2024"/>
    <s v="Wednesday"/>
    <n v="2"/>
    <s v="28-06-2024"/>
    <x v="0"/>
    <s v="Returning"/>
    <s v="Low"/>
    <s v="No"/>
    <n v="4"/>
    <s v="Simran"/>
    <s v="Agarwal"/>
    <m/>
    <m/>
    <m/>
    <m/>
    <m/>
    <m/>
    <s v="Needs Improvement"/>
    <s v="Low"/>
    <s v="No"/>
    <s v="Yes"/>
    <n v="0.27758007812500002"/>
    <m/>
    <m/>
    <m/>
    <m/>
    <m/>
    <m/>
    <m/>
    <m/>
    <m/>
    <m/>
    <m/>
    <m/>
    <m/>
    <m/>
    <m/>
  </r>
  <r>
    <s v="ORD10120"/>
    <s v="26-06-2025"/>
    <s v="CUST1105"/>
    <s v="Neha Mishra"/>
    <x v="2"/>
    <s v="Jaipur"/>
    <s v="Rajasthan"/>
    <x v="2"/>
    <x v="2"/>
    <x v="12"/>
    <n v="7"/>
    <n v="22000"/>
    <n v="0.2"/>
    <n v="123200"/>
    <n v="75838.45"/>
    <n v="47361.55"/>
    <n v="38.44"/>
    <x v="0"/>
    <x v="2"/>
    <x v="8"/>
    <x v="2"/>
    <n v="2025"/>
    <s v="Thursday"/>
    <n v="3"/>
    <s v="29-06-2025"/>
    <x v="2"/>
    <s v="VIP"/>
    <s v="Low"/>
    <s v="Yes"/>
    <n v="3"/>
    <s v="Neha"/>
    <s v="Mishra"/>
    <m/>
    <m/>
    <m/>
    <m/>
    <m/>
    <m/>
    <s v="Good"/>
    <s v="High"/>
    <s v="Yes"/>
    <s v="Yes"/>
    <n v="0.38442816558441562"/>
    <m/>
    <m/>
    <m/>
    <m/>
    <m/>
    <m/>
    <m/>
    <m/>
    <m/>
    <m/>
    <m/>
    <m/>
    <m/>
    <m/>
    <m/>
  </r>
  <r>
    <s v="ORD10162"/>
    <s v="26-06-2025"/>
    <s v="CUST1031"/>
    <s v="Rohan Yadav"/>
    <x v="0"/>
    <s v="Chennai"/>
    <s v="Tamil Nadu"/>
    <x v="1"/>
    <x v="2"/>
    <x v="21"/>
    <n v="5"/>
    <n v="8000"/>
    <n v="0.05"/>
    <n v="38000"/>
    <n v="25948.22"/>
    <n v="12051.78"/>
    <n v="31.72"/>
    <x v="1"/>
    <x v="2"/>
    <x v="8"/>
    <x v="2"/>
    <n v="2025"/>
    <s v="Thursday"/>
    <n v="4"/>
    <s v="30-06-2025"/>
    <x v="2"/>
    <s v="Returning"/>
    <s v="High"/>
    <s v="No"/>
    <n v="4"/>
    <s v="Rohan"/>
    <s v="Yadav"/>
    <m/>
    <m/>
    <m/>
    <m/>
    <m/>
    <m/>
    <s v="Good"/>
    <s v="High"/>
    <s v="Yes"/>
    <s v="Yes"/>
    <n v="0.3171521052631579"/>
    <m/>
    <m/>
    <m/>
    <m/>
    <m/>
    <m/>
    <m/>
    <m/>
    <m/>
    <m/>
    <m/>
    <m/>
    <m/>
    <m/>
    <m/>
  </r>
  <r>
    <s v="ORD10985"/>
    <s v="26-06-2025"/>
    <s v="CUST1280"/>
    <s v="Ishita Sharma"/>
    <x v="1"/>
    <s v="Pune"/>
    <s v="Maharashtra"/>
    <x v="2"/>
    <x v="4"/>
    <x v="9"/>
    <n v="6"/>
    <n v="800"/>
    <n v="0.15"/>
    <n v="4080"/>
    <n v="3193.63"/>
    <n v="886.37"/>
    <n v="21.72"/>
    <x v="4"/>
    <x v="2"/>
    <x v="5"/>
    <x v="2"/>
    <n v="2025"/>
    <s v="Thursday"/>
    <n v="1"/>
    <s v="27-06-2025"/>
    <x v="2"/>
    <s v="VIP"/>
    <s v="Low"/>
    <s v="No"/>
    <n v="3"/>
    <s v="Ishita"/>
    <s v="Sharma"/>
    <m/>
    <m/>
    <m/>
    <m/>
    <m/>
    <m/>
    <s v="Needs Improvement"/>
    <s v="Low"/>
    <s v="No"/>
    <s v="Yes"/>
    <n v="0.21724754901960786"/>
    <m/>
    <m/>
    <m/>
    <m/>
    <m/>
    <m/>
    <m/>
    <m/>
    <m/>
    <m/>
    <m/>
    <m/>
    <m/>
    <m/>
    <m/>
  </r>
  <r>
    <s v="ORD10333"/>
    <s v="26-07-2024"/>
    <s v="CUST1292"/>
    <s v="Vivaan Kumar"/>
    <x v="2"/>
    <s v="Chennai"/>
    <s v="Tamil Nadu"/>
    <x v="1"/>
    <x v="0"/>
    <x v="23"/>
    <n v="4"/>
    <n v="6000"/>
    <n v="0.1"/>
    <n v="21600"/>
    <n v="12067.18"/>
    <n v="9532.82"/>
    <n v="44.13"/>
    <x v="4"/>
    <x v="1"/>
    <x v="1"/>
    <x v="9"/>
    <n v="2024"/>
    <s v="Friday"/>
    <n v="6"/>
    <d v="2024-01-08T00:00:00"/>
    <x v="0"/>
    <s v="New"/>
    <s v="Medium"/>
    <s v="Yes"/>
    <n v="3"/>
    <s v="Vivaan"/>
    <s v="Kumar"/>
    <m/>
    <m/>
    <m/>
    <m/>
    <m/>
    <m/>
    <s v="Good"/>
    <s v="Medium"/>
    <s v="No"/>
    <s v="No"/>
    <n v="0.44133425925925923"/>
    <m/>
    <m/>
    <m/>
    <m/>
    <m/>
    <m/>
    <m/>
    <m/>
    <m/>
    <m/>
    <m/>
    <m/>
    <m/>
    <m/>
    <m/>
  </r>
  <r>
    <s v="ORD10883"/>
    <s v="26-07-2024"/>
    <s v="CUST1068"/>
    <s v="Neha Jain"/>
    <x v="1"/>
    <s v="Ahmedabad"/>
    <s v="Gujarat"/>
    <x v="3"/>
    <x v="4"/>
    <x v="16"/>
    <n v="2"/>
    <n v="800"/>
    <n v="0.05"/>
    <n v="1520"/>
    <n v="872.6"/>
    <n v="647.4"/>
    <n v="42.59"/>
    <x v="2"/>
    <x v="1"/>
    <x v="1"/>
    <x v="9"/>
    <n v="2024"/>
    <s v="Friday"/>
    <n v="8"/>
    <d v="2024-03-08T00:00:00"/>
    <x v="0"/>
    <s v="New"/>
    <s v="Medium"/>
    <s v="Yes"/>
    <n v="4"/>
    <s v="Neha"/>
    <s v="Jain"/>
    <m/>
    <m/>
    <m/>
    <m/>
    <m/>
    <m/>
    <s v="Good"/>
    <s v="Low"/>
    <s v="No"/>
    <s v="No"/>
    <n v="0.42592105263157892"/>
    <m/>
    <m/>
    <m/>
    <m/>
    <m/>
    <m/>
    <m/>
    <m/>
    <m/>
    <m/>
    <m/>
    <m/>
    <m/>
    <m/>
    <m/>
  </r>
  <r>
    <s v="ORD10274"/>
    <s v="26-07-2025"/>
    <s v="CUST1293"/>
    <s v="Rahul Kapoor"/>
    <x v="1"/>
    <s v="Kolkata"/>
    <s v="West Bengal"/>
    <x v="3"/>
    <x v="4"/>
    <x v="19"/>
    <n v="3"/>
    <n v="800"/>
    <n v="0.15"/>
    <n v="2040"/>
    <n v="1339.74"/>
    <n v="700.26"/>
    <n v="34.33"/>
    <x v="2"/>
    <x v="2"/>
    <x v="0"/>
    <x v="9"/>
    <n v="2025"/>
    <s v="Saturday"/>
    <n v="4"/>
    <s v="30-07-2025"/>
    <x v="2"/>
    <s v="Returning"/>
    <s v="Medium"/>
    <s v="Yes"/>
    <n v="1"/>
    <s v="Rahul"/>
    <s v="Kapoor"/>
    <m/>
    <m/>
    <m/>
    <m/>
    <m/>
    <m/>
    <s v="Good"/>
    <s v="Low"/>
    <s v="No"/>
    <s v="Yes"/>
    <n v="0.34326470588235292"/>
    <m/>
    <m/>
    <m/>
    <m/>
    <m/>
    <m/>
    <m/>
    <m/>
    <m/>
    <m/>
    <m/>
    <m/>
    <m/>
    <m/>
    <m/>
  </r>
  <r>
    <s v="ORD10975"/>
    <s v="26-07-2025"/>
    <s v="CUST1041"/>
    <s v="Aditi Chopra"/>
    <x v="2"/>
    <s v="Bengaluru"/>
    <s v="Karnataka"/>
    <x v="0"/>
    <x v="1"/>
    <x v="6"/>
    <n v="8"/>
    <n v="3500"/>
    <n v="0.2"/>
    <n v="22400"/>
    <n v="12408.86"/>
    <n v="9991.14"/>
    <n v="44.6"/>
    <x v="2"/>
    <x v="2"/>
    <x v="9"/>
    <x v="9"/>
    <n v="2025"/>
    <s v="Saturday"/>
    <n v="3"/>
    <s v="29-07-2025"/>
    <x v="2"/>
    <s v="Returning"/>
    <s v="Medium"/>
    <s v="No"/>
    <n v="1"/>
    <s v="Aditi"/>
    <s v="Chopra"/>
    <m/>
    <m/>
    <m/>
    <m/>
    <m/>
    <m/>
    <s v="Good"/>
    <s v="Medium"/>
    <s v="No"/>
    <s v="Yes"/>
    <n v="0.44603303571428571"/>
    <m/>
    <m/>
    <m/>
    <m/>
    <m/>
    <m/>
    <m/>
    <m/>
    <m/>
    <m/>
    <m/>
    <m/>
    <m/>
    <m/>
    <m/>
  </r>
  <r>
    <s v="ORD10413"/>
    <s v="26-08-2024"/>
    <s v="CUST1344"/>
    <s v="Riya Yadav"/>
    <x v="0"/>
    <s v="Chennai"/>
    <s v="Tamil Nadu"/>
    <x v="1"/>
    <x v="2"/>
    <x v="12"/>
    <n v="10"/>
    <n v="22000"/>
    <n v="0.15"/>
    <n v="187000"/>
    <n v="130164.81"/>
    <n v="56835.19"/>
    <n v="30.39"/>
    <x v="2"/>
    <x v="0"/>
    <x v="7"/>
    <x v="10"/>
    <n v="2024"/>
    <s v="Monday"/>
    <n v="7"/>
    <d v="2024-02-09T00:00:00"/>
    <x v="0"/>
    <s v="VIP"/>
    <s v="High"/>
    <s v="No"/>
    <n v="5"/>
    <s v="Riya"/>
    <s v="Yadav"/>
    <m/>
    <m/>
    <m/>
    <m/>
    <m/>
    <m/>
    <s v="Good"/>
    <s v="High"/>
    <s v="Yes"/>
    <s v="Yes"/>
    <n v="0.30393149732620323"/>
    <m/>
    <m/>
    <m/>
    <m/>
    <m/>
    <m/>
    <m/>
    <m/>
    <m/>
    <m/>
    <m/>
    <m/>
    <m/>
    <m/>
    <m/>
  </r>
  <r>
    <s v="ORD10446"/>
    <s v="26-08-2024"/>
    <s v="CUST1030"/>
    <s v="Sneha Kapoor"/>
    <x v="2"/>
    <s v="Bengaluru"/>
    <s v="Karnataka"/>
    <x v="3"/>
    <x v="0"/>
    <x v="15"/>
    <n v="7"/>
    <n v="6000"/>
    <n v="0.05"/>
    <n v="39900"/>
    <n v="22698.89"/>
    <n v="17201.11"/>
    <n v="43.11"/>
    <x v="0"/>
    <x v="1"/>
    <x v="1"/>
    <x v="10"/>
    <n v="2024"/>
    <s v="Monday"/>
    <n v="5"/>
    <s v="31-08-2024"/>
    <x v="1"/>
    <s v="New"/>
    <s v="Low"/>
    <s v="Yes"/>
    <n v="5"/>
    <s v="Sneha"/>
    <s v="Kapoor"/>
    <m/>
    <m/>
    <m/>
    <m/>
    <m/>
    <m/>
    <s v="Good"/>
    <s v="High"/>
    <s v="Yes"/>
    <s v="No"/>
    <n v="0.43110551378446116"/>
    <m/>
    <m/>
    <m/>
    <m/>
    <m/>
    <m/>
    <m/>
    <m/>
    <m/>
    <m/>
    <m/>
    <m/>
    <m/>
    <m/>
    <m/>
  </r>
  <r>
    <s v="ORD10619"/>
    <s v="26-08-2024"/>
    <s v="CUST1160"/>
    <s v="Neha Chopra"/>
    <x v="2"/>
    <s v="Bengaluru"/>
    <s v="Karnataka"/>
    <x v="1"/>
    <x v="1"/>
    <x v="20"/>
    <n v="8"/>
    <n v="3500"/>
    <n v="0.2"/>
    <n v="22400"/>
    <n v="13844.24"/>
    <n v="8555.76"/>
    <n v="38.200000000000003"/>
    <x v="0"/>
    <x v="0"/>
    <x v="5"/>
    <x v="10"/>
    <n v="2024"/>
    <s v="Monday"/>
    <n v="1"/>
    <s v="27-08-2024"/>
    <x v="2"/>
    <s v="VIP"/>
    <s v="Medium"/>
    <s v="Yes"/>
    <n v="3"/>
    <s v="Neha"/>
    <s v="Chopra"/>
    <m/>
    <m/>
    <m/>
    <m/>
    <m/>
    <m/>
    <s v="Good"/>
    <s v="Medium"/>
    <s v="No"/>
    <s v="Yes"/>
    <n v="0.38195357142857145"/>
    <m/>
    <m/>
    <m/>
    <m/>
    <m/>
    <m/>
    <m/>
    <m/>
    <m/>
    <m/>
    <m/>
    <m/>
    <m/>
    <m/>
    <m/>
  </r>
  <r>
    <s v="ORD10415"/>
    <s v="26-08-2025"/>
    <s v="CUST1012"/>
    <s v="Neha Mehta"/>
    <x v="2"/>
    <s v="Jaipur"/>
    <s v="Rajasthan"/>
    <x v="2"/>
    <x v="2"/>
    <x v="12"/>
    <n v="10"/>
    <n v="15000"/>
    <n v="0.15"/>
    <n v="127500"/>
    <n v="99798.47"/>
    <n v="27701.53"/>
    <n v="21.73"/>
    <x v="1"/>
    <x v="0"/>
    <x v="3"/>
    <x v="10"/>
    <n v="2025"/>
    <s v="Tuesday"/>
    <n v="1"/>
    <s v="27-08-2025"/>
    <x v="2"/>
    <s v="Returning"/>
    <s v="Medium"/>
    <s v="Yes"/>
    <n v="1"/>
    <s v="Neha"/>
    <s v="Mehta"/>
    <m/>
    <m/>
    <m/>
    <m/>
    <m/>
    <m/>
    <s v="Needs Improvement"/>
    <s v="High"/>
    <s v="Yes"/>
    <s v="Yes"/>
    <n v="0.2172669019607843"/>
    <m/>
    <m/>
    <m/>
    <m/>
    <m/>
    <m/>
    <m/>
    <m/>
    <m/>
    <m/>
    <m/>
    <m/>
    <m/>
    <m/>
    <m/>
  </r>
  <r>
    <s v="ORD10625"/>
    <s v="26-09-2024"/>
    <s v="CUST1268"/>
    <s v="Nisha Mishra"/>
    <x v="0"/>
    <s v="Lucknow"/>
    <s v="Uttar Pradesh"/>
    <x v="0"/>
    <x v="0"/>
    <x v="15"/>
    <n v="4"/>
    <n v="6000"/>
    <n v="0.05"/>
    <n v="22800"/>
    <n v="13319.99"/>
    <n v="9480.01"/>
    <n v="41.58"/>
    <x v="3"/>
    <x v="0"/>
    <x v="5"/>
    <x v="3"/>
    <n v="2024"/>
    <s v="Thursday"/>
    <n v="10"/>
    <d v="2024-06-10T00:00:00"/>
    <x v="0"/>
    <s v="Returning"/>
    <s v="High"/>
    <s v="No"/>
    <n v="2"/>
    <s v="Nisha"/>
    <s v="Mishra"/>
    <m/>
    <m/>
    <m/>
    <m/>
    <m/>
    <m/>
    <s v="Good"/>
    <s v="Medium"/>
    <s v="No"/>
    <s v="Yes"/>
    <n v="0.41578991228070178"/>
    <m/>
    <m/>
    <m/>
    <m/>
    <m/>
    <m/>
    <m/>
    <m/>
    <m/>
    <m/>
    <m/>
    <m/>
    <m/>
    <m/>
    <m/>
  </r>
  <r>
    <s v="ORD10206"/>
    <s v="26-09-2025"/>
    <s v="CUST1187"/>
    <s v="Riya Verma"/>
    <x v="2"/>
    <s v="Chennai"/>
    <s v="Tamil Nadu"/>
    <x v="3"/>
    <x v="2"/>
    <x v="4"/>
    <n v="8"/>
    <n v="15000"/>
    <n v="0.2"/>
    <n v="96000"/>
    <n v="71375.78"/>
    <n v="24624.22"/>
    <n v="25.65"/>
    <x v="1"/>
    <x v="1"/>
    <x v="3"/>
    <x v="3"/>
    <n v="2025"/>
    <s v="Friday"/>
    <n v="10"/>
    <d v="2025-06-10T00:00:00"/>
    <x v="2"/>
    <s v="VIP"/>
    <s v="Medium"/>
    <s v="No"/>
    <n v="1"/>
    <s v="Riya"/>
    <s v="Verma"/>
    <m/>
    <m/>
    <m/>
    <m/>
    <m/>
    <m/>
    <s v="Needs Improvement"/>
    <s v="High"/>
    <s v="Yes"/>
    <s v="No"/>
    <n v="0.25650229166666666"/>
    <m/>
    <m/>
    <m/>
    <m/>
    <m/>
    <m/>
    <m/>
    <m/>
    <m/>
    <m/>
    <m/>
    <m/>
    <m/>
    <m/>
    <m/>
  </r>
  <r>
    <s v="ORD10895"/>
    <s v="26-09-2025"/>
    <s v="CUST1016"/>
    <s v="Arjun Gupta"/>
    <x v="0"/>
    <s v="Delhi"/>
    <s v="Delhi"/>
    <x v="3"/>
    <x v="3"/>
    <x v="5"/>
    <n v="6"/>
    <n v="500"/>
    <n v="0.15"/>
    <n v="2550"/>
    <n v="1794.39"/>
    <n v="755.61"/>
    <n v="29.63"/>
    <x v="0"/>
    <x v="1"/>
    <x v="0"/>
    <x v="3"/>
    <n v="2025"/>
    <s v="Friday"/>
    <n v="6"/>
    <d v="2025-02-10T00:00:00"/>
    <x v="2"/>
    <s v="Returning"/>
    <s v="Low"/>
    <s v="No"/>
    <n v="4"/>
    <s v="Arjun"/>
    <s v="Gupta"/>
    <m/>
    <m/>
    <m/>
    <m/>
    <m/>
    <m/>
    <s v="Needs Improvement"/>
    <s v="Low"/>
    <s v="No"/>
    <s v="No"/>
    <n v="0.29631764705882352"/>
    <m/>
    <m/>
    <m/>
    <m/>
    <m/>
    <m/>
    <m/>
    <m/>
    <m/>
    <m/>
    <m/>
    <m/>
    <m/>
    <m/>
    <m/>
  </r>
  <r>
    <s v="ORD10402"/>
    <s v="26-10-2024"/>
    <s v="CUST1051"/>
    <s v="Rohan Mishra"/>
    <x v="0"/>
    <s v="Mumbai"/>
    <s v="Maharashtra"/>
    <x v="0"/>
    <x v="0"/>
    <x v="15"/>
    <n v="4"/>
    <n v="6000"/>
    <n v="0.05"/>
    <n v="22800"/>
    <n v="15608.09"/>
    <n v="7191.91"/>
    <n v="31.54"/>
    <x v="2"/>
    <x v="2"/>
    <x v="6"/>
    <x v="4"/>
    <n v="2024"/>
    <s v="Saturday"/>
    <n v="8"/>
    <d v="2024-03-11T00:00:00"/>
    <x v="1"/>
    <s v="Returning"/>
    <s v="Medium"/>
    <s v="Yes"/>
    <n v="2"/>
    <s v="Rohan"/>
    <s v="Mishra"/>
    <m/>
    <m/>
    <m/>
    <m/>
    <m/>
    <m/>
    <s v="Good"/>
    <s v="Medium"/>
    <s v="No"/>
    <s v="Yes"/>
    <n v="0.315434649122807"/>
    <m/>
    <m/>
    <m/>
    <m/>
    <m/>
    <m/>
    <m/>
    <m/>
    <m/>
    <m/>
    <m/>
    <m/>
    <m/>
    <m/>
    <m/>
  </r>
  <r>
    <s v="ORD10663"/>
    <s v="26-10-2024"/>
    <s v="CUST1015"/>
    <s v="Rahul Bansal"/>
    <x v="0"/>
    <s v="Jaipur"/>
    <s v="Rajasthan"/>
    <x v="3"/>
    <x v="3"/>
    <x v="10"/>
    <n v="3"/>
    <n v="200"/>
    <n v="0.2"/>
    <n v="480"/>
    <n v="346.52"/>
    <n v="133.47999999999999"/>
    <n v="27.81"/>
    <x v="3"/>
    <x v="2"/>
    <x v="0"/>
    <x v="4"/>
    <n v="2024"/>
    <s v="Saturday"/>
    <n v="7"/>
    <d v="2024-02-11T00:00:00"/>
    <x v="0"/>
    <s v="Returning"/>
    <s v="High"/>
    <s v="No"/>
    <n v="4"/>
    <s v="Rahul"/>
    <s v="Bansal"/>
    <m/>
    <m/>
    <m/>
    <m/>
    <m/>
    <m/>
    <s v="Needs Improvement"/>
    <s v="Low"/>
    <s v="No"/>
    <s v="Yes"/>
    <n v="0.27808333333333329"/>
    <m/>
    <m/>
    <m/>
    <m/>
    <m/>
    <m/>
    <m/>
    <m/>
    <m/>
    <m/>
    <m/>
    <m/>
    <m/>
    <m/>
    <m/>
  </r>
  <r>
    <s v="ORD10702"/>
    <s v="26-10-2024"/>
    <s v="CUST1130"/>
    <s v="Sneha Chopra"/>
    <x v="1"/>
    <s v="Hyderabad"/>
    <s v="Telangana"/>
    <x v="0"/>
    <x v="4"/>
    <x v="9"/>
    <n v="1"/>
    <n v="1200"/>
    <n v="0"/>
    <n v="1200"/>
    <n v="896.21"/>
    <n v="303.79000000000002"/>
    <n v="25.32"/>
    <x v="0"/>
    <x v="2"/>
    <x v="0"/>
    <x v="4"/>
    <n v="2024"/>
    <s v="Saturday"/>
    <n v="7"/>
    <d v="2024-02-11T00:00:00"/>
    <x v="0"/>
    <s v="Returning"/>
    <s v="Low"/>
    <s v="No"/>
    <n v="4"/>
    <s v="Sneha"/>
    <s v="Chopra"/>
    <m/>
    <m/>
    <m/>
    <m/>
    <m/>
    <m/>
    <s v="Needs Improvement"/>
    <s v="Low"/>
    <s v="No"/>
    <s v="Yes"/>
    <n v="0.25315833333333337"/>
    <m/>
    <m/>
    <m/>
    <m/>
    <m/>
    <m/>
    <m/>
    <m/>
    <m/>
    <m/>
    <m/>
    <m/>
    <m/>
    <m/>
    <m/>
  </r>
  <r>
    <s v="ORD10718"/>
    <s v="26-10-2024"/>
    <s v="CUST1043"/>
    <s v="Kavya Sharma"/>
    <x v="0"/>
    <s v="Hyderabad"/>
    <s v="Telangana"/>
    <x v="1"/>
    <x v="3"/>
    <x v="17"/>
    <n v="3"/>
    <n v="500"/>
    <n v="0.05"/>
    <n v="1425"/>
    <n v="951.17"/>
    <n v="473.83"/>
    <n v="33.25"/>
    <x v="0"/>
    <x v="0"/>
    <x v="9"/>
    <x v="4"/>
    <n v="2024"/>
    <s v="Saturday"/>
    <n v="7"/>
    <d v="2024-02-11T00:00:00"/>
    <x v="2"/>
    <s v="VIP"/>
    <s v="Medium"/>
    <s v="No"/>
    <n v="4"/>
    <s v="Kavya"/>
    <s v="Sharma"/>
    <m/>
    <m/>
    <m/>
    <m/>
    <m/>
    <m/>
    <s v="Good"/>
    <s v="Low"/>
    <s v="No"/>
    <s v="Yes"/>
    <n v="0.33251228070175437"/>
    <m/>
    <m/>
    <m/>
    <m/>
    <m/>
    <m/>
    <m/>
    <m/>
    <m/>
    <m/>
    <m/>
    <m/>
    <m/>
    <m/>
    <m/>
  </r>
  <r>
    <s v="ORD10637"/>
    <s v="26-11-2024"/>
    <s v="CUST1005"/>
    <s v="Karan Mehta"/>
    <x v="0"/>
    <s v="Chennai"/>
    <s v="Tamil Nadu"/>
    <x v="0"/>
    <x v="3"/>
    <x v="22"/>
    <n v="7"/>
    <n v="800"/>
    <n v="0"/>
    <n v="5600"/>
    <n v="4394.43"/>
    <n v="1205.57"/>
    <n v="21.53"/>
    <x v="0"/>
    <x v="0"/>
    <x v="2"/>
    <x v="11"/>
    <n v="2024"/>
    <s v="Tuesday"/>
    <n v="2"/>
    <s v="28-11-2024"/>
    <x v="0"/>
    <s v="New"/>
    <s v="Medium"/>
    <s v="No"/>
    <n v="2"/>
    <s v="Karan"/>
    <s v="Mehta"/>
    <m/>
    <m/>
    <m/>
    <m/>
    <m/>
    <m/>
    <s v="Needs Improvement"/>
    <s v="Low"/>
    <s v="No"/>
    <s v="Yes"/>
    <n v="0.21528035714285712"/>
    <m/>
    <m/>
    <m/>
    <m/>
    <m/>
    <m/>
    <m/>
    <m/>
    <m/>
    <m/>
    <m/>
    <m/>
    <m/>
    <m/>
    <m/>
  </r>
  <r>
    <s v="ORD10568"/>
    <s v="26-11-2025"/>
    <s v="CUST1103"/>
    <s v="Ananya Gupta"/>
    <x v="0"/>
    <s v="Pune"/>
    <s v="Maharashtra"/>
    <x v="3"/>
    <x v="4"/>
    <x v="16"/>
    <n v="3"/>
    <n v="3000"/>
    <n v="0.15"/>
    <n v="7650"/>
    <n v="4494.97"/>
    <n v="3155.03"/>
    <n v="41.24"/>
    <x v="0"/>
    <x v="1"/>
    <x v="2"/>
    <x v="11"/>
    <n v="2025"/>
    <s v="Wednesday"/>
    <n v="6"/>
    <d v="2025-02-12T00:00:00"/>
    <x v="1"/>
    <s v="Returning"/>
    <s v="High"/>
    <s v="No"/>
    <n v="5"/>
    <s v="Ananya"/>
    <s v="Gupta"/>
    <m/>
    <m/>
    <m/>
    <m/>
    <m/>
    <m/>
    <s v="Good"/>
    <s v="Low"/>
    <s v="No"/>
    <s v="No"/>
    <n v="0.41242222222222225"/>
    <m/>
    <m/>
    <m/>
    <m/>
    <m/>
    <m/>
    <m/>
    <m/>
    <m/>
    <m/>
    <m/>
    <m/>
    <m/>
    <m/>
    <m/>
  </r>
  <r>
    <s v="ORD10029"/>
    <s v="26-12-2024"/>
    <s v="CUST1215"/>
    <s v="Aditi Yadav"/>
    <x v="1"/>
    <s v="Lucknow"/>
    <s v="Uttar Pradesh"/>
    <x v="3"/>
    <x v="2"/>
    <x v="12"/>
    <n v="7"/>
    <n v="22000"/>
    <n v="0"/>
    <n v="154000"/>
    <n v="120186.37"/>
    <n v="33813.629999999997"/>
    <n v="21.96"/>
    <x v="4"/>
    <x v="2"/>
    <x v="0"/>
    <x v="5"/>
    <n v="2024"/>
    <s v="Thursday"/>
    <n v="5"/>
    <s v="31-12-2024"/>
    <x v="2"/>
    <s v="Returning"/>
    <s v="Medium"/>
    <s v="Yes"/>
    <n v="4"/>
    <s v="Aditi"/>
    <s v="Yadav"/>
    <m/>
    <m/>
    <m/>
    <m/>
    <m/>
    <m/>
    <s v="Needs Improvement"/>
    <s v="High"/>
    <s v="Yes"/>
    <s v="Yes"/>
    <n v="0.21956902597402594"/>
    <m/>
    <m/>
    <m/>
    <m/>
    <m/>
    <m/>
    <m/>
    <m/>
    <m/>
    <m/>
    <m/>
    <m/>
    <m/>
    <m/>
    <m/>
  </r>
  <r>
    <s v="ORD10124"/>
    <s v="26-12-2024"/>
    <s v="CUST1251"/>
    <s v="Karan Saxena"/>
    <x v="1"/>
    <s v="Chennai"/>
    <s v="Tamil Nadu"/>
    <x v="1"/>
    <x v="3"/>
    <x v="18"/>
    <n v="8"/>
    <n v="500"/>
    <n v="0.05"/>
    <n v="3800"/>
    <n v="2829.04"/>
    <n v="970.96"/>
    <n v="25.55"/>
    <x v="3"/>
    <x v="2"/>
    <x v="2"/>
    <x v="5"/>
    <n v="2024"/>
    <s v="Thursday"/>
    <n v="3"/>
    <s v="29-12-2024"/>
    <x v="0"/>
    <s v="VIP"/>
    <s v="Low"/>
    <s v="Yes"/>
    <n v="4"/>
    <s v="Karan"/>
    <s v="Saxena"/>
    <m/>
    <m/>
    <m/>
    <m/>
    <m/>
    <m/>
    <s v="Needs Improvement"/>
    <s v="Low"/>
    <s v="No"/>
    <s v="Yes"/>
    <n v="0.2555157894736842"/>
    <m/>
    <m/>
    <m/>
    <m/>
    <m/>
    <m/>
    <m/>
    <m/>
    <m/>
    <m/>
    <m/>
    <m/>
    <m/>
    <m/>
    <m/>
  </r>
  <r>
    <s v="ORD10576"/>
    <s v="26-12-2024"/>
    <s v="CUST1072"/>
    <s v="Ananya Agarwal"/>
    <x v="1"/>
    <s v="Ahmedabad"/>
    <s v="Gujarat"/>
    <x v="0"/>
    <x v="1"/>
    <x v="20"/>
    <n v="2"/>
    <n v="1200"/>
    <n v="0.05"/>
    <n v="2280"/>
    <n v="1536.86"/>
    <n v="743.14"/>
    <n v="32.590000000000003"/>
    <x v="4"/>
    <x v="2"/>
    <x v="9"/>
    <x v="5"/>
    <n v="2024"/>
    <s v="Thursday"/>
    <n v="10"/>
    <d v="2025-05-01T00:00:00"/>
    <x v="0"/>
    <s v="Returning"/>
    <s v="Medium"/>
    <s v="Yes"/>
    <n v="5"/>
    <s v="Ananya"/>
    <s v="Agarwal"/>
    <m/>
    <m/>
    <m/>
    <m/>
    <m/>
    <m/>
    <s v="Good"/>
    <s v="Low"/>
    <s v="No"/>
    <s v="Yes"/>
    <n v="0.32593859649122808"/>
    <m/>
    <m/>
    <m/>
    <m/>
    <m/>
    <m/>
    <m/>
    <m/>
    <m/>
    <m/>
    <m/>
    <m/>
    <m/>
    <m/>
    <m/>
  </r>
  <r>
    <s v="ORD10545"/>
    <s v="26-12-2025"/>
    <s v="CUST1254"/>
    <s v="Ishita Kapoor"/>
    <x v="0"/>
    <s v="Pune"/>
    <s v="Maharashtra"/>
    <x v="3"/>
    <x v="3"/>
    <x v="18"/>
    <n v="4"/>
    <n v="100"/>
    <n v="0.1"/>
    <n v="360"/>
    <n v="243.4"/>
    <n v="116.6"/>
    <n v="32.39"/>
    <x v="0"/>
    <x v="2"/>
    <x v="6"/>
    <x v="5"/>
    <n v="2025"/>
    <s v="Friday"/>
    <n v="9"/>
    <d v="2026-04-01T00:00:00"/>
    <x v="0"/>
    <s v="VIP"/>
    <s v="High"/>
    <s v="No"/>
    <n v="4"/>
    <s v="Ishita"/>
    <s v="Kapoor"/>
    <m/>
    <m/>
    <m/>
    <m/>
    <m/>
    <m/>
    <s v="Good"/>
    <s v="Low"/>
    <s v="No"/>
    <s v="Yes"/>
    <n v="0.32388888888888889"/>
    <m/>
    <m/>
    <m/>
    <m/>
    <m/>
    <m/>
    <m/>
    <m/>
    <m/>
    <m/>
    <m/>
    <m/>
    <m/>
    <m/>
    <m/>
  </r>
  <r>
    <s v="ORD10687"/>
    <s v="27-01-2024"/>
    <s v="CUST1018"/>
    <s v="Rohan Saxena"/>
    <x v="0"/>
    <s v="Kolkata"/>
    <s v="West Bengal"/>
    <x v="1"/>
    <x v="3"/>
    <x v="17"/>
    <n v="10"/>
    <n v="350"/>
    <n v="0"/>
    <n v="3500"/>
    <n v="2764.94"/>
    <n v="735.06"/>
    <n v="21"/>
    <x v="3"/>
    <x v="1"/>
    <x v="5"/>
    <x v="6"/>
    <n v="2024"/>
    <s v="Saturday"/>
    <n v="6"/>
    <d v="2024-02-02T00:00:00"/>
    <x v="0"/>
    <s v="VIP"/>
    <s v="High"/>
    <s v="Yes"/>
    <n v="2"/>
    <s v="Rohan"/>
    <s v="Saxena"/>
    <m/>
    <m/>
    <m/>
    <m/>
    <m/>
    <m/>
    <s v="Needs Improvement"/>
    <s v="Low"/>
    <s v="No"/>
    <s v="No"/>
    <n v="0.21001714285714285"/>
    <m/>
    <m/>
    <m/>
    <m/>
    <m/>
    <m/>
    <m/>
    <m/>
    <m/>
    <m/>
    <m/>
    <m/>
    <m/>
    <m/>
    <m/>
  </r>
  <r>
    <s v="ORD10064"/>
    <s v="27-02-2025"/>
    <s v="CUST1049"/>
    <s v="Neha Mehta"/>
    <x v="0"/>
    <s v="Mumbai"/>
    <s v="Maharashtra"/>
    <x v="0"/>
    <x v="4"/>
    <x v="9"/>
    <n v="7"/>
    <n v="2000"/>
    <n v="0.05"/>
    <n v="13300"/>
    <n v="8746.84"/>
    <n v="4553.16"/>
    <n v="34.229999999999997"/>
    <x v="0"/>
    <x v="2"/>
    <x v="9"/>
    <x v="7"/>
    <n v="2025"/>
    <s v="Thursday"/>
    <n v="6"/>
    <d v="2025-05-03T00:00:00"/>
    <x v="2"/>
    <s v="New"/>
    <s v="Low"/>
    <s v="Yes"/>
    <n v="1"/>
    <s v="Neha"/>
    <s v="Mehta"/>
    <m/>
    <m/>
    <m/>
    <m/>
    <m/>
    <m/>
    <s v="Good"/>
    <s v="Medium"/>
    <s v="No"/>
    <s v="Yes"/>
    <n v="0.34234285714285712"/>
    <m/>
    <m/>
    <m/>
    <m/>
    <m/>
    <m/>
    <m/>
    <m/>
    <m/>
    <m/>
    <m/>
    <m/>
    <m/>
    <m/>
    <m/>
  </r>
  <r>
    <s v="ORD10107"/>
    <s v="27-02-2025"/>
    <s v="CUST1071"/>
    <s v="Aarav Kapoor"/>
    <x v="2"/>
    <s v="Delhi"/>
    <s v="Delhi"/>
    <x v="2"/>
    <x v="4"/>
    <x v="9"/>
    <n v="4"/>
    <n v="500"/>
    <n v="0"/>
    <n v="2000"/>
    <n v="1154.29"/>
    <n v="845.71"/>
    <n v="42.29"/>
    <x v="4"/>
    <x v="1"/>
    <x v="6"/>
    <x v="7"/>
    <n v="2025"/>
    <s v="Thursday"/>
    <n v="6"/>
    <d v="2025-05-03T00:00:00"/>
    <x v="2"/>
    <s v="Returning"/>
    <s v="Medium"/>
    <s v="No"/>
    <n v="1"/>
    <s v="Aarav"/>
    <s v="Kapoor"/>
    <m/>
    <m/>
    <m/>
    <m/>
    <m/>
    <m/>
    <s v="Good"/>
    <s v="Low"/>
    <s v="No"/>
    <s v="No"/>
    <n v="0.42285500000000004"/>
    <m/>
    <m/>
    <m/>
    <m/>
    <m/>
    <m/>
    <m/>
    <m/>
    <m/>
    <m/>
    <m/>
    <m/>
    <m/>
    <m/>
    <m/>
  </r>
  <r>
    <s v="ORD10180"/>
    <s v="27-02-2025"/>
    <s v="CUST1199"/>
    <s v="Meera Mehta"/>
    <x v="1"/>
    <s v="Delhi"/>
    <s v="Delhi"/>
    <x v="2"/>
    <x v="0"/>
    <x v="15"/>
    <n v="2"/>
    <n v="6000"/>
    <n v="0.2"/>
    <n v="9600"/>
    <n v="6714.94"/>
    <n v="2885.06"/>
    <n v="30.05"/>
    <x v="3"/>
    <x v="2"/>
    <x v="9"/>
    <x v="7"/>
    <n v="2025"/>
    <s v="Thursday"/>
    <n v="10"/>
    <d v="2025-09-03T00:00:00"/>
    <x v="0"/>
    <s v="Returning"/>
    <s v="Low"/>
    <s v="No"/>
    <n v="1"/>
    <s v="Meera"/>
    <s v="Mehta"/>
    <m/>
    <m/>
    <m/>
    <m/>
    <m/>
    <m/>
    <s v="Good"/>
    <s v="Low"/>
    <s v="No"/>
    <s v="Yes"/>
    <n v="0.30052708333333333"/>
    <m/>
    <m/>
    <m/>
    <m/>
    <m/>
    <m/>
    <m/>
    <m/>
    <m/>
    <m/>
    <m/>
    <m/>
    <m/>
    <m/>
    <m/>
  </r>
  <r>
    <s v="ORD10379"/>
    <s v="27-03-2024"/>
    <s v="CUST1194"/>
    <s v="Nisha Singh"/>
    <x v="2"/>
    <s v="Pune"/>
    <s v="Maharashtra"/>
    <x v="1"/>
    <x v="0"/>
    <x v="0"/>
    <n v="6"/>
    <n v="6000"/>
    <n v="0.05"/>
    <n v="34200"/>
    <n v="20489.57"/>
    <n v="13710.43"/>
    <n v="40.090000000000003"/>
    <x v="3"/>
    <x v="0"/>
    <x v="5"/>
    <x v="0"/>
    <n v="2024"/>
    <s v="Wednesday"/>
    <n v="7"/>
    <d v="2024-03-04T00:00:00"/>
    <x v="0"/>
    <s v="VIP"/>
    <s v="Low"/>
    <s v="Yes"/>
    <n v="4"/>
    <s v="Nisha"/>
    <s v="Singh"/>
    <m/>
    <m/>
    <m/>
    <m/>
    <m/>
    <m/>
    <s v="Good"/>
    <s v="High"/>
    <s v="Yes"/>
    <s v="Yes"/>
    <n v="0.40088976608187138"/>
    <m/>
    <m/>
    <m/>
    <m/>
    <m/>
    <m/>
    <m/>
    <m/>
    <m/>
    <m/>
    <m/>
    <m/>
    <m/>
    <m/>
    <m/>
  </r>
  <r>
    <s v="ORD10514"/>
    <s v="27-03-2024"/>
    <s v="CUST1220"/>
    <s v="Meera Jain"/>
    <x v="1"/>
    <s v="Chennai"/>
    <s v="Tamil Nadu"/>
    <x v="3"/>
    <x v="2"/>
    <x v="12"/>
    <n v="6"/>
    <n v="8000"/>
    <n v="0.1"/>
    <n v="43200"/>
    <n v="25522.47"/>
    <n v="17677.53"/>
    <n v="40.92"/>
    <x v="4"/>
    <x v="2"/>
    <x v="0"/>
    <x v="0"/>
    <n v="2024"/>
    <s v="Wednesday"/>
    <n v="1"/>
    <s v="28-03-2024"/>
    <x v="1"/>
    <s v="VIP"/>
    <s v="Medium"/>
    <s v="No"/>
    <n v="1"/>
    <s v="Meera"/>
    <s v="Jain"/>
    <m/>
    <m/>
    <m/>
    <m/>
    <m/>
    <m/>
    <s v="Good"/>
    <s v="High"/>
    <s v="Yes"/>
    <s v="Yes"/>
    <n v="0.4092020833333333"/>
    <m/>
    <m/>
    <m/>
    <m/>
    <m/>
    <m/>
    <m/>
    <m/>
    <m/>
    <m/>
    <m/>
    <m/>
    <m/>
    <m/>
    <m/>
  </r>
  <r>
    <s v="ORD10784"/>
    <s v="27-03-2024"/>
    <s v="CUST1202"/>
    <s v="Ananya Malhotra"/>
    <x v="1"/>
    <s v="Kolkata"/>
    <s v="West Bengal"/>
    <x v="0"/>
    <x v="4"/>
    <x v="11"/>
    <n v="7"/>
    <n v="500"/>
    <n v="0.2"/>
    <n v="2800"/>
    <n v="1819.36"/>
    <n v="980.64"/>
    <n v="35.020000000000003"/>
    <x v="0"/>
    <x v="0"/>
    <x v="5"/>
    <x v="0"/>
    <n v="2024"/>
    <s v="Wednesday"/>
    <n v="3"/>
    <s v="30-03-2024"/>
    <x v="0"/>
    <s v="Returning"/>
    <s v="Medium"/>
    <s v="No"/>
    <n v="5"/>
    <s v="Ananya"/>
    <s v="Malhotra"/>
    <m/>
    <m/>
    <m/>
    <m/>
    <m/>
    <m/>
    <s v="Good"/>
    <s v="Low"/>
    <s v="No"/>
    <s v="Yes"/>
    <n v="0.35022857142857144"/>
    <m/>
    <m/>
    <m/>
    <m/>
    <m/>
    <m/>
    <m/>
    <m/>
    <m/>
    <m/>
    <m/>
    <m/>
    <m/>
    <m/>
    <m/>
  </r>
  <r>
    <s v="ORD10039"/>
    <s v="27-03-2025"/>
    <s v="CUST1130"/>
    <s v="Kavya Verma"/>
    <x v="2"/>
    <s v="Mumbai"/>
    <s v="Maharashtra"/>
    <x v="2"/>
    <x v="2"/>
    <x v="12"/>
    <n v="5"/>
    <n v="22000"/>
    <n v="0.15"/>
    <n v="93500"/>
    <n v="75798.990000000005"/>
    <n v="17701.009999999998"/>
    <n v="18.93"/>
    <x v="4"/>
    <x v="2"/>
    <x v="5"/>
    <x v="0"/>
    <n v="2025"/>
    <s v="Thursday"/>
    <n v="6"/>
    <d v="2025-02-04T00:00:00"/>
    <x v="0"/>
    <s v="VIP"/>
    <s v="High"/>
    <s v="Yes"/>
    <n v="2"/>
    <s v="Kavya"/>
    <s v="Verma"/>
    <m/>
    <m/>
    <m/>
    <m/>
    <m/>
    <m/>
    <s v="Needs Improvement"/>
    <s v="High"/>
    <s v="Yes"/>
    <s v="Yes"/>
    <n v="0.18931561497326202"/>
    <m/>
    <m/>
    <m/>
    <m/>
    <m/>
    <m/>
    <m/>
    <m/>
    <m/>
    <m/>
    <m/>
    <m/>
    <m/>
    <m/>
    <m/>
  </r>
  <r>
    <s v="ORD10963"/>
    <s v="27-03-2025"/>
    <s v="CUST1035"/>
    <s v="Ishita Jain"/>
    <x v="2"/>
    <s v="Delhi"/>
    <s v="Delhi"/>
    <x v="0"/>
    <x v="2"/>
    <x v="12"/>
    <n v="2"/>
    <n v="50000"/>
    <n v="0.15"/>
    <n v="85000"/>
    <n v="53327.6"/>
    <n v="31672.400000000001"/>
    <n v="37.26"/>
    <x v="0"/>
    <x v="1"/>
    <x v="3"/>
    <x v="0"/>
    <n v="2025"/>
    <s v="Thursday"/>
    <n v="8"/>
    <d v="2025-04-04T00:00:00"/>
    <x v="1"/>
    <s v="Returning"/>
    <s v="Medium"/>
    <s v="No"/>
    <n v="1"/>
    <s v="Ishita"/>
    <s v="Jain"/>
    <m/>
    <m/>
    <m/>
    <m/>
    <m/>
    <m/>
    <s v="Good"/>
    <s v="High"/>
    <s v="Yes"/>
    <s v="No"/>
    <n v="0.37261647058823533"/>
    <m/>
    <m/>
    <m/>
    <m/>
    <m/>
    <m/>
    <m/>
    <m/>
    <m/>
    <m/>
    <m/>
    <m/>
    <m/>
    <m/>
    <m/>
  </r>
  <r>
    <s v="ORD10630"/>
    <s v="27-04-2025"/>
    <s v="CUST1243"/>
    <s v="Aditi Agarwal"/>
    <x v="2"/>
    <s v="Delhi"/>
    <s v="Delhi"/>
    <x v="1"/>
    <x v="3"/>
    <x v="17"/>
    <n v="1"/>
    <n v="800"/>
    <n v="0"/>
    <n v="800"/>
    <n v="545.9"/>
    <n v="254.1"/>
    <n v="31.76"/>
    <x v="0"/>
    <x v="2"/>
    <x v="5"/>
    <x v="8"/>
    <n v="2025"/>
    <s v="Sunday"/>
    <n v="10"/>
    <d v="2025-07-05T00:00:00"/>
    <x v="2"/>
    <s v="VIP"/>
    <s v="Low"/>
    <s v="Yes"/>
    <n v="2"/>
    <s v="Aditi"/>
    <s v="Agarwal"/>
    <m/>
    <m/>
    <m/>
    <m/>
    <m/>
    <m/>
    <s v="Good"/>
    <s v="Low"/>
    <s v="No"/>
    <s v="Yes"/>
    <n v="0.31762499999999999"/>
    <m/>
    <m/>
    <m/>
    <m/>
    <m/>
    <m/>
    <m/>
    <m/>
    <m/>
    <m/>
    <m/>
    <m/>
    <m/>
    <m/>
    <m/>
  </r>
  <r>
    <s v="ORD10696"/>
    <s v="27-05-2024"/>
    <s v="CUST1125"/>
    <s v="Pooja Agarwal"/>
    <x v="2"/>
    <s v="Lucknow"/>
    <s v="Uttar Pradesh"/>
    <x v="2"/>
    <x v="4"/>
    <x v="11"/>
    <n v="1"/>
    <n v="2000"/>
    <n v="0.05"/>
    <n v="1900"/>
    <n v="1437.24"/>
    <n v="462.76"/>
    <n v="24.36"/>
    <x v="4"/>
    <x v="0"/>
    <x v="6"/>
    <x v="1"/>
    <n v="2024"/>
    <s v="Monday"/>
    <n v="8"/>
    <d v="2024-04-06T00:00:00"/>
    <x v="0"/>
    <s v="New"/>
    <s v="Medium"/>
    <s v="Yes"/>
    <n v="2"/>
    <s v="Pooja"/>
    <s v="Agarwal"/>
    <m/>
    <m/>
    <m/>
    <m/>
    <m/>
    <m/>
    <s v="Needs Improvement"/>
    <s v="Low"/>
    <s v="No"/>
    <s v="Yes"/>
    <n v="0.24355789473684211"/>
    <m/>
    <m/>
    <m/>
    <m/>
    <m/>
    <m/>
    <m/>
    <m/>
    <m/>
    <m/>
    <m/>
    <m/>
    <m/>
    <m/>
    <m/>
  </r>
  <r>
    <s v="ORD10008"/>
    <s v="27-05-2025"/>
    <s v="CUST1321"/>
    <s v="Priya Chopra"/>
    <x v="1"/>
    <s v="Pune"/>
    <s v="Maharashtra"/>
    <x v="3"/>
    <x v="1"/>
    <x v="2"/>
    <n v="8"/>
    <n v="700"/>
    <n v="0.1"/>
    <n v="5040"/>
    <n v="4013.9"/>
    <n v="1026.0999999999999"/>
    <n v="20.36"/>
    <x v="2"/>
    <x v="1"/>
    <x v="4"/>
    <x v="1"/>
    <n v="2025"/>
    <s v="Tuesday"/>
    <n v="3"/>
    <s v="30-05-2025"/>
    <x v="1"/>
    <s v="VIP"/>
    <s v="High"/>
    <s v="Yes"/>
    <n v="5"/>
    <s v="Priya"/>
    <s v="Chopra"/>
    <m/>
    <m/>
    <m/>
    <m/>
    <m/>
    <m/>
    <s v="Needs Improvement"/>
    <s v="Low"/>
    <s v="No"/>
    <s v="No"/>
    <n v="0.20359126984126982"/>
    <m/>
    <m/>
    <m/>
    <m/>
    <m/>
    <m/>
    <m/>
    <m/>
    <m/>
    <m/>
    <m/>
    <m/>
    <m/>
    <m/>
    <m/>
  </r>
  <r>
    <s v="ORD10173"/>
    <s v="27-06-2024"/>
    <s v="CUST1115"/>
    <s v="Nisha Chopra"/>
    <x v="2"/>
    <s v="Chennai"/>
    <s v="Tamil Nadu"/>
    <x v="2"/>
    <x v="0"/>
    <x v="1"/>
    <n v="7"/>
    <n v="9000"/>
    <n v="0.1"/>
    <n v="56700"/>
    <n v="43233.06"/>
    <n v="13466.94"/>
    <n v="23.75"/>
    <x v="0"/>
    <x v="0"/>
    <x v="0"/>
    <x v="2"/>
    <n v="2024"/>
    <s v="Thursday"/>
    <n v="9"/>
    <d v="2024-06-07T00:00:00"/>
    <x v="1"/>
    <s v="New"/>
    <s v="Low"/>
    <s v="Yes"/>
    <n v="5"/>
    <s v="Nisha"/>
    <s v="Chopra"/>
    <m/>
    <m/>
    <m/>
    <m/>
    <m/>
    <m/>
    <s v="Needs Improvement"/>
    <s v="High"/>
    <s v="Yes"/>
    <s v="Yes"/>
    <n v="0.23751216931216931"/>
    <m/>
    <m/>
    <m/>
    <m/>
    <m/>
    <m/>
    <m/>
    <m/>
    <m/>
    <m/>
    <m/>
    <m/>
    <m/>
    <m/>
    <m/>
  </r>
  <r>
    <s v="ORD10228"/>
    <s v="27-06-2024"/>
    <s v="CUST1335"/>
    <s v="Aditya Kapoor"/>
    <x v="0"/>
    <s v="Ahmedabad"/>
    <s v="Gujarat"/>
    <x v="2"/>
    <x v="3"/>
    <x v="17"/>
    <n v="10"/>
    <n v="800"/>
    <n v="0.2"/>
    <n v="6400"/>
    <n v="4151.2299999999996"/>
    <n v="2248.77"/>
    <n v="35.14"/>
    <x v="2"/>
    <x v="0"/>
    <x v="1"/>
    <x v="2"/>
    <n v="2024"/>
    <s v="Thursday"/>
    <n v="7"/>
    <d v="2024-04-07T00:00:00"/>
    <x v="2"/>
    <s v="Returning"/>
    <s v="Medium"/>
    <s v="No"/>
    <n v="4"/>
    <s v="Aditya"/>
    <s v="Kapoor"/>
    <m/>
    <m/>
    <m/>
    <m/>
    <m/>
    <m/>
    <s v="Good"/>
    <s v="Low"/>
    <s v="No"/>
    <s v="Yes"/>
    <n v="0.3513703125"/>
    <m/>
    <m/>
    <m/>
    <m/>
    <m/>
    <m/>
    <m/>
    <m/>
    <m/>
    <m/>
    <m/>
    <m/>
    <m/>
    <m/>
    <m/>
  </r>
  <r>
    <s v="ORD10208"/>
    <s v="27-06-2025"/>
    <s v="CUST1300"/>
    <s v="Kavya Saxena"/>
    <x v="1"/>
    <s v="Jaipur"/>
    <s v="Rajasthan"/>
    <x v="3"/>
    <x v="4"/>
    <x v="13"/>
    <n v="3"/>
    <n v="2000"/>
    <n v="0"/>
    <n v="6000"/>
    <n v="4815.2"/>
    <n v="1184.8"/>
    <n v="19.75"/>
    <x v="3"/>
    <x v="2"/>
    <x v="4"/>
    <x v="2"/>
    <n v="2025"/>
    <s v="Friday"/>
    <n v="1"/>
    <s v="28-06-2025"/>
    <x v="1"/>
    <s v="New"/>
    <s v="Medium"/>
    <s v="No"/>
    <n v="5"/>
    <s v="Kavya"/>
    <s v="Saxena"/>
    <m/>
    <m/>
    <m/>
    <m/>
    <m/>
    <m/>
    <s v="Needs Improvement"/>
    <s v="Low"/>
    <s v="No"/>
    <s v="Yes"/>
    <n v="0.19746666666666665"/>
    <m/>
    <m/>
    <m/>
    <m/>
    <m/>
    <m/>
    <m/>
    <m/>
    <m/>
    <m/>
    <m/>
    <m/>
    <m/>
    <m/>
    <m/>
  </r>
  <r>
    <s v="ORD10694"/>
    <s v="27-06-2025"/>
    <s v="CUST1186"/>
    <s v="Aditi Singh"/>
    <x v="1"/>
    <s v="Hyderabad"/>
    <s v="Telangana"/>
    <x v="3"/>
    <x v="3"/>
    <x v="22"/>
    <n v="10"/>
    <n v="200"/>
    <n v="0.2"/>
    <n v="1600"/>
    <n v="1225.71"/>
    <n v="374.29"/>
    <n v="23.39"/>
    <x v="0"/>
    <x v="2"/>
    <x v="2"/>
    <x v="2"/>
    <n v="2025"/>
    <s v="Friday"/>
    <n v="9"/>
    <d v="2025-06-07T00:00:00"/>
    <x v="0"/>
    <s v="VIP"/>
    <s v="Low"/>
    <s v="Yes"/>
    <n v="2"/>
    <s v="Aditi"/>
    <s v="Singh"/>
    <m/>
    <m/>
    <m/>
    <m/>
    <m/>
    <m/>
    <s v="Needs Improvement"/>
    <s v="Low"/>
    <s v="No"/>
    <s v="Yes"/>
    <n v="0.23393125000000001"/>
    <m/>
    <m/>
    <m/>
    <m/>
    <m/>
    <m/>
    <m/>
    <m/>
    <m/>
    <m/>
    <m/>
    <m/>
    <m/>
    <m/>
    <m/>
  </r>
  <r>
    <s v="ORD10249"/>
    <s v="27-07-2025"/>
    <s v="CUST1211"/>
    <s v="Arjun Jain"/>
    <x v="1"/>
    <s v="Mumbai"/>
    <s v="Maharashtra"/>
    <x v="3"/>
    <x v="1"/>
    <x v="6"/>
    <n v="5"/>
    <n v="1800"/>
    <n v="0.1"/>
    <n v="8100"/>
    <n v="5207.63"/>
    <n v="2892.37"/>
    <n v="35.71"/>
    <x v="3"/>
    <x v="0"/>
    <x v="8"/>
    <x v="9"/>
    <n v="2025"/>
    <s v="Sunday"/>
    <n v="9"/>
    <d v="2025-05-08T00:00:00"/>
    <x v="0"/>
    <s v="New"/>
    <s v="Medium"/>
    <s v="No"/>
    <n v="3"/>
    <s v="Arjun"/>
    <s v="Jain"/>
    <m/>
    <m/>
    <m/>
    <m/>
    <m/>
    <m/>
    <s v="Good"/>
    <s v="Low"/>
    <s v="No"/>
    <s v="Yes"/>
    <n v="0.35708271604938269"/>
    <m/>
    <m/>
    <m/>
    <m/>
    <m/>
    <m/>
    <m/>
    <m/>
    <m/>
    <m/>
    <m/>
    <m/>
    <m/>
    <m/>
    <m/>
  </r>
  <r>
    <s v="ORD10875"/>
    <s v="27-07-2025"/>
    <s v="CUST1012"/>
    <s v="Aditi Malhotra"/>
    <x v="2"/>
    <s v="Hyderabad"/>
    <s v="Telangana"/>
    <x v="2"/>
    <x v="3"/>
    <x v="10"/>
    <n v="7"/>
    <n v="500"/>
    <n v="0.2"/>
    <n v="2800"/>
    <n v="2010.4"/>
    <n v="789.6"/>
    <n v="28.2"/>
    <x v="1"/>
    <x v="1"/>
    <x v="1"/>
    <x v="9"/>
    <n v="2025"/>
    <s v="Sunday"/>
    <n v="1"/>
    <s v="28-07-2025"/>
    <x v="2"/>
    <s v="New"/>
    <s v="High"/>
    <s v="No"/>
    <n v="2"/>
    <s v="Aditi"/>
    <s v="Malhotra"/>
    <m/>
    <m/>
    <m/>
    <m/>
    <m/>
    <m/>
    <s v="Needs Improvement"/>
    <s v="Low"/>
    <s v="No"/>
    <s v="No"/>
    <n v="0.28200000000000003"/>
    <m/>
    <m/>
    <m/>
    <m/>
    <m/>
    <m/>
    <m/>
    <m/>
    <m/>
    <m/>
    <m/>
    <m/>
    <m/>
    <m/>
    <m/>
  </r>
  <r>
    <s v="ORD10898"/>
    <s v="27-07-2025"/>
    <s v="CUST1331"/>
    <s v="Kavya Kapoor"/>
    <x v="0"/>
    <s v="Lucknow"/>
    <s v="Uttar Pradesh"/>
    <x v="2"/>
    <x v="3"/>
    <x v="5"/>
    <n v="4"/>
    <n v="800"/>
    <n v="0"/>
    <n v="3200"/>
    <n v="2076.0500000000002"/>
    <n v="1123.95"/>
    <n v="35.119999999999997"/>
    <x v="3"/>
    <x v="1"/>
    <x v="7"/>
    <x v="9"/>
    <n v="2025"/>
    <s v="Sunday"/>
    <n v="7"/>
    <d v="2025-03-08T00:00:00"/>
    <x v="0"/>
    <s v="VIP"/>
    <s v="Medium"/>
    <s v="No"/>
    <n v="3"/>
    <s v="Kavya"/>
    <s v="Kapoor"/>
    <m/>
    <m/>
    <m/>
    <m/>
    <m/>
    <m/>
    <s v="Good"/>
    <s v="Low"/>
    <s v="No"/>
    <s v="No"/>
    <n v="0.35123437499999999"/>
    <m/>
    <m/>
    <m/>
    <m/>
    <m/>
    <m/>
    <m/>
    <m/>
    <m/>
    <m/>
    <m/>
    <m/>
    <m/>
    <m/>
    <m/>
  </r>
  <r>
    <s v="ORD10225"/>
    <s v="27-08-2025"/>
    <s v="CUST1279"/>
    <s v="Aditi Malhotra"/>
    <x v="1"/>
    <s v="Delhi"/>
    <s v="Delhi"/>
    <x v="3"/>
    <x v="4"/>
    <x v="11"/>
    <n v="10"/>
    <n v="3000"/>
    <n v="0.15"/>
    <n v="25500"/>
    <n v="17822.72"/>
    <n v="7677.28"/>
    <n v="30.11"/>
    <x v="0"/>
    <x v="1"/>
    <x v="6"/>
    <x v="10"/>
    <n v="2025"/>
    <s v="Wednesday"/>
    <n v="4"/>
    <s v="31-08-2025"/>
    <x v="0"/>
    <s v="VIP"/>
    <s v="High"/>
    <s v="No"/>
    <n v="2"/>
    <s v="Aditi"/>
    <s v="Malhotra"/>
    <m/>
    <m/>
    <m/>
    <m/>
    <m/>
    <m/>
    <s v="Good"/>
    <s v="Medium"/>
    <s v="No"/>
    <s v="No"/>
    <n v="0.30106980392156862"/>
    <m/>
    <m/>
    <m/>
    <m/>
    <m/>
    <m/>
    <m/>
    <m/>
    <m/>
    <m/>
    <m/>
    <m/>
    <m/>
    <m/>
    <m/>
  </r>
  <r>
    <s v="ORD10232"/>
    <s v="27-08-2025"/>
    <s v="CUST1068"/>
    <s v="Arjun Sharma"/>
    <x v="2"/>
    <s v="Ahmedabad"/>
    <s v="Gujarat"/>
    <x v="2"/>
    <x v="3"/>
    <x v="10"/>
    <n v="6"/>
    <n v="500"/>
    <n v="0.2"/>
    <n v="2400"/>
    <n v="1565.08"/>
    <n v="834.92"/>
    <n v="34.79"/>
    <x v="2"/>
    <x v="0"/>
    <x v="2"/>
    <x v="10"/>
    <n v="2025"/>
    <s v="Wednesday"/>
    <n v="2"/>
    <s v="29-08-2025"/>
    <x v="0"/>
    <s v="New"/>
    <s v="Medium"/>
    <s v="Yes"/>
    <n v="5"/>
    <s v="Arjun"/>
    <s v="Sharma"/>
    <m/>
    <m/>
    <m/>
    <m/>
    <m/>
    <m/>
    <s v="Good"/>
    <s v="Low"/>
    <s v="No"/>
    <s v="Yes"/>
    <n v="0.34788333333333332"/>
    <m/>
    <m/>
    <m/>
    <m/>
    <m/>
    <m/>
    <m/>
    <m/>
    <m/>
    <m/>
    <m/>
    <m/>
    <m/>
    <m/>
    <m/>
  </r>
  <r>
    <s v="ORD10041"/>
    <s v="27-09-2024"/>
    <s v="CUST1283"/>
    <s v="Aditya Gupta"/>
    <x v="2"/>
    <s v="Lucknow"/>
    <s v="Uttar Pradesh"/>
    <x v="2"/>
    <x v="2"/>
    <x v="12"/>
    <n v="2"/>
    <n v="12000"/>
    <n v="0.05"/>
    <n v="22800"/>
    <n v="14016.61"/>
    <n v="8783.39"/>
    <n v="38.520000000000003"/>
    <x v="4"/>
    <x v="0"/>
    <x v="5"/>
    <x v="3"/>
    <n v="2024"/>
    <s v="Friday"/>
    <n v="2"/>
    <s v="29-09-2024"/>
    <x v="0"/>
    <s v="Returning"/>
    <s v="Medium"/>
    <s v="Yes"/>
    <n v="2"/>
    <s v="Aditya"/>
    <s v="Gupta"/>
    <m/>
    <m/>
    <m/>
    <m/>
    <m/>
    <m/>
    <s v="Good"/>
    <s v="Medium"/>
    <s v="No"/>
    <s v="Yes"/>
    <n v="0.38523640350877192"/>
    <m/>
    <m/>
    <m/>
    <m/>
    <m/>
    <m/>
    <m/>
    <m/>
    <m/>
    <m/>
    <m/>
    <m/>
    <m/>
    <m/>
    <m/>
  </r>
  <r>
    <s v="ORD10183"/>
    <s v="27-09-2024"/>
    <s v="CUST1243"/>
    <s v="Vivaan Gupta"/>
    <x v="0"/>
    <s v="Lucknow"/>
    <s v="Uttar Pradesh"/>
    <x v="2"/>
    <x v="2"/>
    <x v="8"/>
    <n v="9"/>
    <n v="15000"/>
    <n v="0.15"/>
    <n v="114750"/>
    <n v="80835.210000000006"/>
    <n v="33914.79"/>
    <n v="29.56"/>
    <x v="2"/>
    <x v="0"/>
    <x v="5"/>
    <x v="3"/>
    <n v="2024"/>
    <s v="Friday"/>
    <n v="7"/>
    <d v="2024-04-10T00:00:00"/>
    <x v="2"/>
    <s v="VIP"/>
    <s v="High"/>
    <s v="No"/>
    <n v="1"/>
    <s v="Vivaan"/>
    <s v="Gupta"/>
    <m/>
    <m/>
    <m/>
    <m/>
    <m/>
    <m/>
    <s v="Needs Improvement"/>
    <s v="High"/>
    <s v="Yes"/>
    <s v="Yes"/>
    <n v="0.2955537254901961"/>
    <m/>
    <m/>
    <m/>
    <m/>
    <m/>
    <m/>
    <m/>
    <m/>
    <m/>
    <m/>
    <m/>
    <m/>
    <m/>
    <m/>
    <m/>
  </r>
  <r>
    <s v="ORD10227"/>
    <s v="27-09-2024"/>
    <s v="CUST1106"/>
    <s v="Meera Saxena"/>
    <x v="0"/>
    <s v="Chennai"/>
    <s v="Tamil Nadu"/>
    <x v="2"/>
    <x v="2"/>
    <x v="4"/>
    <n v="8"/>
    <n v="12000"/>
    <n v="0"/>
    <n v="96000"/>
    <n v="53909.59"/>
    <n v="42090.41"/>
    <n v="43.84"/>
    <x v="4"/>
    <x v="1"/>
    <x v="7"/>
    <x v="3"/>
    <n v="2024"/>
    <s v="Friday"/>
    <n v="6"/>
    <d v="2024-03-10T00:00:00"/>
    <x v="0"/>
    <s v="New"/>
    <s v="High"/>
    <s v="No"/>
    <n v="1"/>
    <s v="Meera"/>
    <s v="Saxena"/>
    <m/>
    <m/>
    <m/>
    <m/>
    <m/>
    <m/>
    <s v="Good"/>
    <s v="High"/>
    <s v="Yes"/>
    <s v="No"/>
    <n v="0.43844177083333336"/>
    <m/>
    <m/>
    <m/>
    <m/>
    <m/>
    <m/>
    <m/>
    <m/>
    <m/>
    <m/>
    <m/>
    <m/>
    <m/>
    <m/>
    <m/>
  </r>
  <r>
    <s v="ORD10264"/>
    <s v="27-09-2025"/>
    <s v="CUST1338"/>
    <s v="Aditi Chopra"/>
    <x v="0"/>
    <s v="Ahmedabad"/>
    <s v="Gujarat"/>
    <x v="3"/>
    <x v="1"/>
    <x v="2"/>
    <n v="1"/>
    <n v="3500"/>
    <n v="0.1"/>
    <n v="3150"/>
    <n v="2345.71"/>
    <n v="804.29"/>
    <n v="25.53"/>
    <x v="3"/>
    <x v="0"/>
    <x v="9"/>
    <x v="3"/>
    <n v="2025"/>
    <s v="Saturday"/>
    <n v="4"/>
    <d v="2025-01-10T00:00:00"/>
    <x v="0"/>
    <s v="VIP"/>
    <s v="Low"/>
    <s v="No"/>
    <n v="3"/>
    <s v="Aditi"/>
    <s v="Chopra"/>
    <m/>
    <m/>
    <m/>
    <m/>
    <m/>
    <m/>
    <s v="Needs Improvement"/>
    <s v="Low"/>
    <s v="No"/>
    <s v="Yes"/>
    <n v="0.25533015873015874"/>
    <m/>
    <m/>
    <m/>
    <m/>
    <m/>
    <m/>
    <m/>
    <m/>
    <m/>
    <m/>
    <m/>
    <m/>
    <m/>
    <m/>
    <m/>
  </r>
  <r>
    <s v="ORD10547"/>
    <s v="27-10-2024"/>
    <s v="CUST1016"/>
    <s v="Arjun Gupta"/>
    <x v="0"/>
    <s v="Bengaluru"/>
    <s v="Karnataka"/>
    <x v="2"/>
    <x v="2"/>
    <x v="12"/>
    <n v="5"/>
    <n v="35000"/>
    <n v="0.15"/>
    <n v="148750"/>
    <n v="95959.87"/>
    <n v="52790.13"/>
    <n v="35.49"/>
    <x v="2"/>
    <x v="1"/>
    <x v="6"/>
    <x v="4"/>
    <n v="2024"/>
    <s v="Sunday"/>
    <n v="10"/>
    <d v="2024-06-11T00:00:00"/>
    <x v="1"/>
    <s v="New"/>
    <s v="Low"/>
    <s v="No"/>
    <n v="3"/>
    <s v="Arjun"/>
    <s v="Gupta"/>
    <m/>
    <m/>
    <m/>
    <m/>
    <m/>
    <m/>
    <s v="Good"/>
    <s v="High"/>
    <s v="Yes"/>
    <s v="No"/>
    <n v="0.3548916302521008"/>
    <m/>
    <m/>
    <m/>
    <m/>
    <m/>
    <m/>
    <m/>
    <m/>
    <m/>
    <m/>
    <m/>
    <m/>
    <m/>
    <m/>
    <m/>
  </r>
  <r>
    <s v="ORD10920"/>
    <s v="27-10-2024"/>
    <s v="CUST1173"/>
    <s v="Rahul Kapoor"/>
    <x v="2"/>
    <s v="Jaipur"/>
    <s v="Rajasthan"/>
    <x v="3"/>
    <x v="0"/>
    <x v="1"/>
    <n v="10"/>
    <n v="4000"/>
    <n v="0"/>
    <n v="40000"/>
    <n v="26659.64"/>
    <n v="13340.36"/>
    <n v="33.35"/>
    <x v="4"/>
    <x v="0"/>
    <x v="0"/>
    <x v="4"/>
    <n v="2024"/>
    <s v="Sunday"/>
    <n v="10"/>
    <d v="2024-06-11T00:00:00"/>
    <x v="0"/>
    <s v="VIP"/>
    <s v="Low"/>
    <s v="Yes"/>
    <n v="3"/>
    <s v="Rahul"/>
    <s v="Kapoor"/>
    <m/>
    <m/>
    <m/>
    <m/>
    <m/>
    <m/>
    <s v="Good"/>
    <s v="High"/>
    <s v="Yes"/>
    <s v="Yes"/>
    <n v="0.333509"/>
    <m/>
    <m/>
    <m/>
    <m/>
    <m/>
    <m/>
    <m/>
    <m/>
    <m/>
    <m/>
    <m/>
    <m/>
    <m/>
    <m/>
    <m/>
  </r>
  <r>
    <s v="ORD10090"/>
    <s v="27-10-2025"/>
    <s v="CUST1014"/>
    <s v="Karan Malhotra"/>
    <x v="1"/>
    <s v="Lucknow"/>
    <s v="Uttar Pradesh"/>
    <x v="2"/>
    <x v="0"/>
    <x v="0"/>
    <n v="6"/>
    <n v="9000"/>
    <n v="0.1"/>
    <n v="48600"/>
    <n v="39333.94"/>
    <n v="9266.06"/>
    <n v="19.07"/>
    <x v="3"/>
    <x v="2"/>
    <x v="0"/>
    <x v="4"/>
    <n v="2025"/>
    <s v="Monday"/>
    <n v="5"/>
    <d v="2025-01-11T00:00:00"/>
    <x v="0"/>
    <s v="Returning"/>
    <s v="High"/>
    <s v="No"/>
    <n v="2"/>
    <s v="Karan"/>
    <s v="Malhotra"/>
    <m/>
    <m/>
    <m/>
    <m/>
    <m/>
    <m/>
    <s v="Needs Improvement"/>
    <s v="High"/>
    <s v="No"/>
    <s v="Yes"/>
    <n v="0.190659670781893"/>
    <m/>
    <m/>
    <m/>
    <m/>
    <m/>
    <m/>
    <m/>
    <m/>
    <m/>
    <m/>
    <m/>
    <m/>
    <m/>
    <m/>
    <m/>
  </r>
  <r>
    <s v="ORD10152"/>
    <s v="27-10-2025"/>
    <s v="CUST1110"/>
    <s v="Rohan Saxena"/>
    <x v="0"/>
    <s v="Bengaluru"/>
    <s v="Karnataka"/>
    <x v="2"/>
    <x v="2"/>
    <x v="12"/>
    <n v="10"/>
    <n v="8000"/>
    <n v="0.2"/>
    <n v="64000"/>
    <n v="41268.519999999997"/>
    <n v="22731.48"/>
    <n v="35.520000000000003"/>
    <x v="2"/>
    <x v="2"/>
    <x v="2"/>
    <x v="4"/>
    <n v="2025"/>
    <s v="Monday"/>
    <n v="3"/>
    <s v="30-10-2025"/>
    <x v="2"/>
    <s v="New"/>
    <s v="Low"/>
    <s v="No"/>
    <n v="3"/>
    <s v="Rohan"/>
    <s v="Saxena"/>
    <m/>
    <m/>
    <m/>
    <m/>
    <m/>
    <m/>
    <s v="Good"/>
    <s v="High"/>
    <s v="Yes"/>
    <s v="Yes"/>
    <n v="0.35517937500000002"/>
    <m/>
    <m/>
    <m/>
    <m/>
    <m/>
    <m/>
    <m/>
    <m/>
    <m/>
    <m/>
    <m/>
    <m/>
    <m/>
    <m/>
    <m/>
  </r>
  <r>
    <s v="ORD10480"/>
    <s v="27-10-2025"/>
    <s v="CUST1077"/>
    <s v="Pooja Singh"/>
    <x v="2"/>
    <s v="Chennai"/>
    <s v="Tamil Nadu"/>
    <x v="1"/>
    <x v="1"/>
    <x v="2"/>
    <n v="1"/>
    <n v="700"/>
    <n v="0.2"/>
    <n v="560"/>
    <n v="373.59"/>
    <n v="186.41"/>
    <n v="33.29"/>
    <x v="2"/>
    <x v="1"/>
    <x v="9"/>
    <x v="4"/>
    <n v="2025"/>
    <s v="Monday"/>
    <n v="6"/>
    <d v="2025-02-11T00:00:00"/>
    <x v="1"/>
    <s v="Returning"/>
    <s v="High"/>
    <s v="Yes"/>
    <n v="4"/>
    <s v="Pooja"/>
    <s v="Singh"/>
    <m/>
    <m/>
    <m/>
    <m/>
    <m/>
    <m/>
    <s v="Good"/>
    <s v="Low"/>
    <s v="No"/>
    <s v="No"/>
    <n v="0.33287499999999998"/>
    <m/>
    <m/>
    <m/>
    <m/>
    <m/>
    <m/>
    <m/>
    <m/>
    <m/>
    <m/>
    <m/>
    <m/>
    <m/>
    <m/>
    <m/>
  </r>
  <r>
    <s v="ORD10679"/>
    <s v="27-10-2025"/>
    <s v="CUST1221"/>
    <s v="Ananya Malhotra"/>
    <x v="0"/>
    <s v="Bengaluru"/>
    <s v="Karnataka"/>
    <x v="3"/>
    <x v="4"/>
    <x v="11"/>
    <n v="10"/>
    <n v="2000"/>
    <n v="0.2"/>
    <n v="16000"/>
    <n v="12113.94"/>
    <n v="3886.06"/>
    <n v="24.29"/>
    <x v="0"/>
    <x v="2"/>
    <x v="4"/>
    <x v="4"/>
    <n v="2025"/>
    <s v="Monday"/>
    <n v="4"/>
    <s v="31-10-2025"/>
    <x v="0"/>
    <s v="VIP"/>
    <s v="High"/>
    <s v="No"/>
    <n v="4"/>
    <s v="Ananya"/>
    <s v="Malhotra"/>
    <m/>
    <m/>
    <m/>
    <m/>
    <m/>
    <m/>
    <s v="Needs Improvement"/>
    <s v="Medium"/>
    <s v="No"/>
    <s v="Yes"/>
    <n v="0.24287875"/>
    <m/>
    <m/>
    <m/>
    <m/>
    <m/>
    <m/>
    <m/>
    <m/>
    <m/>
    <m/>
    <m/>
    <m/>
    <m/>
    <m/>
    <m/>
  </r>
  <r>
    <s v="ORD10767"/>
    <s v="27-10-2025"/>
    <s v="CUST1223"/>
    <s v="Aditi Yadav"/>
    <x v="0"/>
    <s v="Delhi"/>
    <s v="Delhi"/>
    <x v="3"/>
    <x v="3"/>
    <x v="10"/>
    <n v="4"/>
    <n v="500"/>
    <n v="0"/>
    <n v="2000"/>
    <n v="1551.11"/>
    <n v="448.89"/>
    <n v="22.44"/>
    <x v="1"/>
    <x v="1"/>
    <x v="3"/>
    <x v="4"/>
    <n v="2025"/>
    <s v="Monday"/>
    <n v="1"/>
    <s v="28-10-2025"/>
    <x v="1"/>
    <s v="New"/>
    <s v="High"/>
    <s v="No"/>
    <n v="4"/>
    <s v="Aditi"/>
    <s v="Yadav"/>
    <m/>
    <m/>
    <m/>
    <m/>
    <m/>
    <m/>
    <s v="Needs Improvement"/>
    <s v="Low"/>
    <s v="No"/>
    <s v="No"/>
    <n v="0.22444500000000001"/>
    <m/>
    <m/>
    <m/>
    <m/>
    <m/>
    <m/>
    <m/>
    <m/>
    <m/>
    <m/>
    <m/>
    <m/>
    <m/>
    <m/>
    <m/>
  </r>
  <r>
    <s v="ORD10850"/>
    <s v="27-10-2025"/>
    <s v="CUST1093"/>
    <s v="Aditi Saxena"/>
    <x v="2"/>
    <s v="Hyderabad"/>
    <s v="Telangana"/>
    <x v="3"/>
    <x v="4"/>
    <x v="11"/>
    <n v="9"/>
    <n v="2000"/>
    <n v="0.15"/>
    <n v="15300"/>
    <n v="8633.25"/>
    <n v="6666.75"/>
    <n v="43.57"/>
    <x v="2"/>
    <x v="2"/>
    <x v="8"/>
    <x v="4"/>
    <n v="2025"/>
    <s v="Monday"/>
    <n v="10"/>
    <d v="2025-06-11T00:00:00"/>
    <x v="0"/>
    <s v="VIP"/>
    <s v="High"/>
    <s v="Yes"/>
    <n v="2"/>
    <s v="Aditi"/>
    <s v="Saxena"/>
    <m/>
    <m/>
    <m/>
    <m/>
    <m/>
    <m/>
    <s v="Good"/>
    <s v="Medium"/>
    <s v="No"/>
    <s v="Yes"/>
    <n v="0.43573529411764705"/>
    <m/>
    <m/>
    <m/>
    <m/>
    <m/>
    <m/>
    <m/>
    <m/>
    <m/>
    <m/>
    <m/>
    <m/>
    <m/>
    <m/>
    <m/>
  </r>
  <r>
    <s v="ORD10263"/>
    <s v="27-11-2024"/>
    <s v="CUST1307"/>
    <s v="Aditi Gupta"/>
    <x v="2"/>
    <s v="Jaipur"/>
    <s v="Rajasthan"/>
    <x v="3"/>
    <x v="0"/>
    <x v="0"/>
    <n v="3"/>
    <n v="15000"/>
    <n v="0.1"/>
    <n v="40500"/>
    <n v="31762.880000000001"/>
    <n v="8737.1200000000008"/>
    <n v="21.57"/>
    <x v="4"/>
    <x v="1"/>
    <x v="0"/>
    <x v="11"/>
    <n v="2024"/>
    <s v="Wednesday"/>
    <n v="8"/>
    <d v="2024-05-12T00:00:00"/>
    <x v="0"/>
    <s v="VIP"/>
    <s v="Medium"/>
    <s v="No"/>
    <n v="1"/>
    <s v="Aditi"/>
    <s v="Gupta"/>
    <m/>
    <m/>
    <m/>
    <m/>
    <m/>
    <m/>
    <s v="Needs Improvement"/>
    <s v="High"/>
    <s v="No"/>
    <s v="No"/>
    <n v="0.21573135802469137"/>
    <m/>
    <m/>
    <m/>
    <m/>
    <m/>
    <m/>
    <m/>
    <m/>
    <m/>
    <m/>
    <m/>
    <m/>
    <m/>
    <m/>
    <m/>
  </r>
  <r>
    <s v="ORD10339"/>
    <s v="27-11-2025"/>
    <s v="CUST1191"/>
    <s v="Sneha Malhotra"/>
    <x v="0"/>
    <s v="Hyderabad"/>
    <s v="Telangana"/>
    <x v="1"/>
    <x v="0"/>
    <x v="24"/>
    <n v="6"/>
    <n v="6000"/>
    <n v="0.2"/>
    <n v="28800"/>
    <n v="16263.48"/>
    <n v="12536.52"/>
    <n v="43.53"/>
    <x v="4"/>
    <x v="0"/>
    <x v="8"/>
    <x v="11"/>
    <n v="2025"/>
    <s v="Thursday"/>
    <n v="7"/>
    <d v="2025-04-12T00:00:00"/>
    <x v="0"/>
    <s v="VIP"/>
    <s v="High"/>
    <s v="No"/>
    <n v="4"/>
    <s v="Sneha"/>
    <s v="Malhotra"/>
    <m/>
    <m/>
    <m/>
    <m/>
    <m/>
    <m/>
    <s v="Good"/>
    <s v="Medium"/>
    <s v="No"/>
    <s v="Yes"/>
    <n v="0.43529583333333333"/>
    <m/>
    <m/>
    <m/>
    <m/>
    <m/>
    <m/>
    <m/>
    <m/>
    <m/>
    <m/>
    <m/>
    <m/>
    <m/>
    <m/>
    <m/>
  </r>
  <r>
    <s v="ORD10866"/>
    <s v="27-11-2025"/>
    <s v="CUST1178"/>
    <s v="Rohan Saxena"/>
    <x v="2"/>
    <s v="Pune"/>
    <s v="Maharashtra"/>
    <x v="1"/>
    <x v="4"/>
    <x v="11"/>
    <n v="7"/>
    <n v="500"/>
    <n v="0.2"/>
    <n v="2800"/>
    <n v="1818.14"/>
    <n v="981.86"/>
    <n v="35.07"/>
    <x v="0"/>
    <x v="0"/>
    <x v="2"/>
    <x v="11"/>
    <n v="2025"/>
    <s v="Thursday"/>
    <n v="4"/>
    <d v="2025-01-12T00:00:00"/>
    <x v="2"/>
    <s v="New"/>
    <s v="High"/>
    <s v="No"/>
    <n v="1"/>
    <s v="Rohan"/>
    <s v="Saxena"/>
    <m/>
    <m/>
    <m/>
    <m/>
    <m/>
    <m/>
    <s v="Good"/>
    <s v="Low"/>
    <s v="No"/>
    <s v="Yes"/>
    <n v="0.35066428571428571"/>
    <m/>
    <m/>
    <m/>
    <m/>
    <m/>
    <m/>
    <m/>
    <m/>
    <m/>
    <m/>
    <m/>
    <m/>
    <m/>
    <m/>
    <m/>
  </r>
  <r>
    <s v="ORD10874"/>
    <s v="28-01-2025"/>
    <s v="CUST1290"/>
    <s v="Arjun Kumar"/>
    <x v="2"/>
    <s v="Ahmedabad"/>
    <s v="Gujarat"/>
    <x v="0"/>
    <x v="3"/>
    <x v="10"/>
    <n v="9"/>
    <n v="350"/>
    <n v="0.2"/>
    <n v="2520"/>
    <n v="1485.97"/>
    <n v="1034.03"/>
    <n v="41.03"/>
    <x v="3"/>
    <x v="0"/>
    <x v="6"/>
    <x v="6"/>
    <n v="2025"/>
    <s v="Tuesday"/>
    <n v="10"/>
    <d v="2025-07-02T00:00:00"/>
    <x v="0"/>
    <s v="New"/>
    <s v="Low"/>
    <s v="Yes"/>
    <n v="2"/>
    <s v="Arjun"/>
    <s v="Kumar"/>
    <m/>
    <m/>
    <m/>
    <m/>
    <m/>
    <m/>
    <s v="Good"/>
    <s v="Low"/>
    <s v="No"/>
    <s v="Yes"/>
    <n v="0.41032936507936507"/>
    <m/>
    <m/>
    <m/>
    <m/>
    <m/>
    <m/>
    <m/>
    <m/>
    <m/>
    <m/>
    <m/>
    <m/>
    <m/>
    <m/>
    <m/>
  </r>
  <r>
    <s v="ORD10494"/>
    <s v="28-02-2024"/>
    <s v="CUST1169"/>
    <s v="Priya Jain"/>
    <x v="2"/>
    <s v="Pune"/>
    <s v="Maharashtra"/>
    <x v="1"/>
    <x v="4"/>
    <x v="11"/>
    <n v="8"/>
    <n v="3000"/>
    <n v="0.15"/>
    <n v="20400"/>
    <n v="14610.34"/>
    <n v="5789.66"/>
    <n v="28.38"/>
    <x v="0"/>
    <x v="0"/>
    <x v="4"/>
    <x v="7"/>
    <n v="2024"/>
    <s v="Wednesday"/>
    <n v="6"/>
    <d v="2024-05-03T00:00:00"/>
    <x v="0"/>
    <s v="Returning"/>
    <s v="Medium"/>
    <s v="Yes"/>
    <n v="1"/>
    <s v="Priya"/>
    <s v="Jain"/>
    <m/>
    <m/>
    <m/>
    <m/>
    <m/>
    <m/>
    <s v="Needs Improvement"/>
    <s v="Medium"/>
    <s v="No"/>
    <s v="Yes"/>
    <n v="0.28380686274509803"/>
    <m/>
    <m/>
    <m/>
    <m/>
    <m/>
    <m/>
    <m/>
    <m/>
    <m/>
    <m/>
    <m/>
    <m/>
    <m/>
    <m/>
    <m/>
  </r>
  <r>
    <s v="ORD10221"/>
    <s v="28-03-2024"/>
    <s v="CUST1177"/>
    <s v="Rahul Mehta"/>
    <x v="1"/>
    <s v="Delhi"/>
    <s v="Delhi"/>
    <x v="3"/>
    <x v="4"/>
    <x v="13"/>
    <n v="7"/>
    <n v="3000"/>
    <n v="0.2"/>
    <n v="16800"/>
    <n v="12634.27"/>
    <n v="4165.7299999999996"/>
    <n v="24.8"/>
    <x v="2"/>
    <x v="2"/>
    <x v="6"/>
    <x v="0"/>
    <n v="2024"/>
    <s v="Thursday"/>
    <n v="5"/>
    <d v="2024-02-04T00:00:00"/>
    <x v="0"/>
    <s v="VIP"/>
    <s v="Medium"/>
    <s v="Yes"/>
    <n v="1"/>
    <s v="Rahul"/>
    <s v="Mehta"/>
    <m/>
    <m/>
    <m/>
    <m/>
    <m/>
    <m/>
    <s v="Needs Improvement"/>
    <s v="Medium"/>
    <s v="No"/>
    <s v="Yes"/>
    <n v="0.24796011904761903"/>
    <m/>
    <m/>
    <m/>
    <m/>
    <m/>
    <m/>
    <m/>
    <m/>
    <m/>
    <m/>
    <m/>
    <m/>
    <m/>
    <m/>
    <m/>
  </r>
  <r>
    <s v="ORD10569"/>
    <s v="28-03-2025"/>
    <s v="CUST1184"/>
    <s v="Riya Jain"/>
    <x v="0"/>
    <s v="Bengaluru"/>
    <s v="Karnataka"/>
    <x v="2"/>
    <x v="1"/>
    <x v="14"/>
    <n v="2"/>
    <n v="1200"/>
    <n v="0.2"/>
    <n v="1920"/>
    <n v="1540.64"/>
    <n v="379.36"/>
    <n v="19.760000000000002"/>
    <x v="4"/>
    <x v="1"/>
    <x v="9"/>
    <x v="0"/>
    <n v="2025"/>
    <s v="Friday"/>
    <n v="6"/>
    <d v="2025-03-04T00:00:00"/>
    <x v="1"/>
    <s v="New"/>
    <s v="High"/>
    <s v="Yes"/>
    <n v="4"/>
    <s v="Riya"/>
    <s v="Jain"/>
    <m/>
    <m/>
    <m/>
    <m/>
    <m/>
    <m/>
    <s v="Needs Improvement"/>
    <s v="Low"/>
    <s v="No"/>
    <s v="No"/>
    <n v="0.19758333333333333"/>
    <m/>
    <m/>
    <m/>
    <m/>
    <m/>
    <m/>
    <m/>
    <m/>
    <m/>
    <m/>
    <m/>
    <m/>
    <m/>
    <m/>
    <m/>
  </r>
  <r>
    <s v="ORD10612"/>
    <s v="28-03-2025"/>
    <s v="CUST1028"/>
    <s v="Ananya Malhotra"/>
    <x v="1"/>
    <s v="Ahmedabad"/>
    <s v="Gujarat"/>
    <x v="3"/>
    <x v="3"/>
    <x v="17"/>
    <n v="6"/>
    <n v="500"/>
    <n v="0.15"/>
    <n v="2550"/>
    <n v="1581.99"/>
    <n v="968.01"/>
    <n v="37.96"/>
    <x v="0"/>
    <x v="0"/>
    <x v="7"/>
    <x v="0"/>
    <n v="2025"/>
    <s v="Friday"/>
    <n v="7"/>
    <d v="2025-04-04T00:00:00"/>
    <x v="2"/>
    <s v="Returning"/>
    <s v="Medium"/>
    <s v="No"/>
    <n v="2"/>
    <s v="Ananya"/>
    <s v="Malhotra"/>
    <m/>
    <m/>
    <m/>
    <m/>
    <m/>
    <m/>
    <s v="Good"/>
    <s v="Low"/>
    <s v="No"/>
    <s v="Yes"/>
    <n v="0.37961176470588237"/>
    <m/>
    <m/>
    <m/>
    <m/>
    <m/>
    <m/>
    <m/>
    <m/>
    <m/>
    <m/>
    <m/>
    <m/>
    <m/>
    <m/>
    <m/>
  </r>
  <r>
    <s v="ORD10758"/>
    <s v="28-04-2024"/>
    <s v="CUST1331"/>
    <s v="Aditi Sharma"/>
    <x v="2"/>
    <s v="Bengaluru"/>
    <s v="Karnataka"/>
    <x v="3"/>
    <x v="4"/>
    <x v="11"/>
    <n v="4"/>
    <n v="2000"/>
    <n v="0.05"/>
    <n v="7600"/>
    <n v="4670.97"/>
    <n v="2929.03"/>
    <n v="38.54"/>
    <x v="4"/>
    <x v="2"/>
    <x v="7"/>
    <x v="8"/>
    <n v="2024"/>
    <s v="Sunday"/>
    <n v="5"/>
    <d v="2024-03-05T00:00:00"/>
    <x v="0"/>
    <s v="New"/>
    <s v="Low"/>
    <s v="Yes"/>
    <n v="2"/>
    <s v="Aditi"/>
    <s v="Sharma"/>
    <m/>
    <m/>
    <m/>
    <m/>
    <m/>
    <m/>
    <s v="Good"/>
    <s v="Low"/>
    <s v="No"/>
    <s v="Yes"/>
    <n v="0.38539868421052637"/>
    <m/>
    <m/>
    <m/>
    <m/>
    <m/>
    <m/>
    <m/>
    <m/>
    <m/>
    <m/>
    <m/>
    <m/>
    <m/>
    <m/>
    <m/>
  </r>
  <r>
    <s v="ORD10159"/>
    <s v="28-04-2025"/>
    <s v="CUST1092"/>
    <s v="Vivaan Kapoor"/>
    <x v="1"/>
    <s v="Ahmedabad"/>
    <s v="Gujarat"/>
    <x v="2"/>
    <x v="2"/>
    <x v="7"/>
    <n v="1"/>
    <n v="12000"/>
    <n v="0"/>
    <n v="12000"/>
    <n v="9581.5300000000007"/>
    <n v="2418.4699999999998"/>
    <n v="20.149999999999999"/>
    <x v="2"/>
    <x v="1"/>
    <x v="6"/>
    <x v="8"/>
    <n v="2025"/>
    <s v="Monday"/>
    <n v="6"/>
    <d v="2025-04-05T00:00:00"/>
    <x v="2"/>
    <s v="Returning"/>
    <s v="High"/>
    <s v="No"/>
    <n v="3"/>
    <s v="Vivaan"/>
    <s v="Kapoor"/>
    <m/>
    <m/>
    <m/>
    <m/>
    <m/>
    <m/>
    <s v="Needs Improvement"/>
    <s v="Medium"/>
    <s v="No"/>
    <s v="No"/>
    <n v="0.20153916666666666"/>
    <m/>
    <m/>
    <m/>
    <m/>
    <m/>
    <m/>
    <m/>
    <m/>
    <m/>
    <m/>
    <m/>
    <m/>
    <m/>
    <m/>
    <m/>
  </r>
  <r>
    <s v="ORD10479"/>
    <s v="28-05-2024"/>
    <s v="CUST1101"/>
    <s v="Aarav Jain"/>
    <x v="1"/>
    <s v="Bengaluru"/>
    <s v="Karnataka"/>
    <x v="1"/>
    <x v="4"/>
    <x v="9"/>
    <n v="8"/>
    <n v="2000"/>
    <n v="0.1"/>
    <n v="14400"/>
    <n v="11047.35"/>
    <n v="3352.65"/>
    <n v="23.28"/>
    <x v="2"/>
    <x v="1"/>
    <x v="1"/>
    <x v="1"/>
    <n v="2024"/>
    <s v="Tuesday"/>
    <n v="4"/>
    <d v="2024-01-06T00:00:00"/>
    <x v="0"/>
    <s v="VIP"/>
    <s v="Low"/>
    <s v="Yes"/>
    <n v="1"/>
    <s v="Aarav"/>
    <s v="Jain"/>
    <m/>
    <m/>
    <m/>
    <m/>
    <m/>
    <m/>
    <s v="Needs Improvement"/>
    <s v="Medium"/>
    <s v="No"/>
    <s v="No"/>
    <n v="0.23282291666666668"/>
    <m/>
    <m/>
    <m/>
    <m/>
    <m/>
    <m/>
    <m/>
    <m/>
    <m/>
    <m/>
    <m/>
    <m/>
    <m/>
    <m/>
    <m/>
  </r>
  <r>
    <s v="ORD10782"/>
    <s v="28-05-2024"/>
    <s v="CUST1038"/>
    <s v="Nisha Gupta"/>
    <x v="2"/>
    <s v="Ahmedabad"/>
    <s v="Gujarat"/>
    <x v="2"/>
    <x v="4"/>
    <x v="11"/>
    <n v="3"/>
    <n v="800"/>
    <n v="0.2"/>
    <n v="1920"/>
    <n v="1322.14"/>
    <n v="597.86"/>
    <n v="31.14"/>
    <x v="0"/>
    <x v="2"/>
    <x v="0"/>
    <x v="1"/>
    <n v="2024"/>
    <s v="Tuesday"/>
    <n v="2"/>
    <s v="30-05-2024"/>
    <x v="2"/>
    <s v="Returning"/>
    <s v="Low"/>
    <s v="No"/>
    <n v="1"/>
    <s v="Nisha"/>
    <s v="Gupta"/>
    <m/>
    <m/>
    <m/>
    <m/>
    <m/>
    <m/>
    <s v="Good"/>
    <s v="Low"/>
    <s v="No"/>
    <s v="Yes"/>
    <n v="0.31138541666666669"/>
    <m/>
    <m/>
    <m/>
    <m/>
    <m/>
    <m/>
    <m/>
    <m/>
    <m/>
    <m/>
    <m/>
    <m/>
    <m/>
    <m/>
    <m/>
  </r>
  <r>
    <s v="ORD10632"/>
    <s v="28-05-2025"/>
    <s v="CUST1228"/>
    <s v="Vivaan Kumar"/>
    <x v="1"/>
    <s v="Delhi"/>
    <s v="Delhi"/>
    <x v="3"/>
    <x v="1"/>
    <x v="14"/>
    <n v="1"/>
    <n v="700"/>
    <n v="0.05"/>
    <n v="665"/>
    <n v="380.83"/>
    <n v="284.17"/>
    <n v="42.73"/>
    <x v="3"/>
    <x v="1"/>
    <x v="4"/>
    <x v="1"/>
    <n v="2025"/>
    <s v="Wednesday"/>
    <n v="3"/>
    <s v="31-05-2025"/>
    <x v="0"/>
    <s v="VIP"/>
    <s v="High"/>
    <s v="Yes"/>
    <n v="3"/>
    <s v="Vivaan"/>
    <s v="Kumar"/>
    <m/>
    <m/>
    <m/>
    <m/>
    <m/>
    <m/>
    <s v="Good"/>
    <s v="Low"/>
    <s v="No"/>
    <s v="No"/>
    <n v="0.42732330827067672"/>
    <m/>
    <m/>
    <m/>
    <m/>
    <m/>
    <m/>
    <m/>
    <m/>
    <m/>
    <m/>
    <m/>
    <m/>
    <m/>
    <m/>
    <m/>
  </r>
  <r>
    <s v="ORD10671"/>
    <s v="28-05-2025"/>
    <s v="CUST1242"/>
    <s v="Arjun Mishra"/>
    <x v="0"/>
    <s v="Bengaluru"/>
    <s v="Karnataka"/>
    <x v="3"/>
    <x v="0"/>
    <x v="15"/>
    <n v="4"/>
    <n v="4000"/>
    <n v="0.1"/>
    <n v="14400"/>
    <n v="10899.84"/>
    <n v="3500.16"/>
    <n v="24.31"/>
    <x v="3"/>
    <x v="0"/>
    <x v="4"/>
    <x v="1"/>
    <n v="2025"/>
    <s v="Wednesday"/>
    <n v="5"/>
    <d v="2025-02-06T00:00:00"/>
    <x v="0"/>
    <s v="Returning"/>
    <s v="Low"/>
    <s v="Yes"/>
    <n v="4"/>
    <s v="Arjun"/>
    <s v="Mishra"/>
    <m/>
    <m/>
    <m/>
    <m/>
    <m/>
    <m/>
    <s v="Needs Improvement"/>
    <s v="Medium"/>
    <s v="No"/>
    <s v="Yes"/>
    <n v="0.24306666666666665"/>
    <m/>
    <m/>
    <m/>
    <m/>
    <m/>
    <m/>
    <m/>
    <m/>
    <m/>
    <m/>
    <m/>
    <m/>
    <m/>
    <m/>
    <m/>
  </r>
  <r>
    <s v="ORD10460"/>
    <s v="28-07-2024"/>
    <s v="CUST1240"/>
    <s v="Priya Gupta"/>
    <x v="1"/>
    <s v="Hyderabad"/>
    <s v="Telangana"/>
    <x v="3"/>
    <x v="0"/>
    <x v="15"/>
    <n v="3"/>
    <n v="15000"/>
    <n v="0.2"/>
    <n v="36000"/>
    <n v="20559.759999999998"/>
    <n v="15440.24"/>
    <n v="42.89"/>
    <x v="2"/>
    <x v="1"/>
    <x v="4"/>
    <x v="9"/>
    <n v="2024"/>
    <s v="Sunday"/>
    <n v="4"/>
    <d v="2024-01-08T00:00:00"/>
    <x v="1"/>
    <s v="VIP"/>
    <s v="Low"/>
    <s v="No"/>
    <n v="3"/>
    <s v="Priya"/>
    <s v="Gupta"/>
    <m/>
    <m/>
    <m/>
    <m/>
    <m/>
    <m/>
    <s v="Good"/>
    <s v="High"/>
    <s v="Yes"/>
    <s v="No"/>
    <n v="0.42889555555555553"/>
    <m/>
    <m/>
    <m/>
    <m/>
    <m/>
    <m/>
    <m/>
    <m/>
    <m/>
    <m/>
    <m/>
    <m/>
    <m/>
    <m/>
    <m/>
  </r>
  <r>
    <s v="ORD10583"/>
    <s v="28-07-2024"/>
    <s v="CUST1340"/>
    <s v="Vivaan Singh"/>
    <x v="0"/>
    <s v="Kolkata"/>
    <s v="West Bengal"/>
    <x v="1"/>
    <x v="3"/>
    <x v="10"/>
    <n v="6"/>
    <n v="100"/>
    <n v="0.05"/>
    <n v="570"/>
    <n v="455.73"/>
    <n v="114.27"/>
    <n v="20.05"/>
    <x v="3"/>
    <x v="0"/>
    <x v="7"/>
    <x v="9"/>
    <n v="2024"/>
    <s v="Sunday"/>
    <n v="9"/>
    <d v="2024-06-08T00:00:00"/>
    <x v="0"/>
    <s v="Returning"/>
    <s v="Low"/>
    <s v="No"/>
    <n v="5"/>
    <s v="Vivaan"/>
    <s v="Singh"/>
    <m/>
    <m/>
    <m/>
    <m/>
    <m/>
    <m/>
    <s v="Needs Improvement"/>
    <s v="Low"/>
    <s v="No"/>
    <s v="Yes"/>
    <n v="0.2004736842105263"/>
    <m/>
    <m/>
    <m/>
    <m/>
    <m/>
    <m/>
    <m/>
    <m/>
    <m/>
    <m/>
    <m/>
    <m/>
    <m/>
    <m/>
    <m/>
  </r>
  <r>
    <s v="ORD10104"/>
    <s v="28-07-2025"/>
    <s v="CUST1161"/>
    <s v="Karan Malhotra"/>
    <x v="1"/>
    <s v="Lucknow"/>
    <s v="Uttar Pradesh"/>
    <x v="0"/>
    <x v="1"/>
    <x v="3"/>
    <n v="3"/>
    <n v="3500"/>
    <n v="0.05"/>
    <n v="9975"/>
    <n v="6901.49"/>
    <n v="3073.51"/>
    <n v="30.81"/>
    <x v="3"/>
    <x v="1"/>
    <x v="0"/>
    <x v="9"/>
    <n v="2025"/>
    <s v="Monday"/>
    <n v="6"/>
    <d v="2025-03-08T00:00:00"/>
    <x v="2"/>
    <s v="VIP"/>
    <s v="Medium"/>
    <s v="Yes"/>
    <n v="2"/>
    <s v="Karan"/>
    <s v="Malhotra"/>
    <m/>
    <m/>
    <m/>
    <m/>
    <m/>
    <m/>
    <s v="Good"/>
    <s v="Low"/>
    <s v="No"/>
    <s v="No"/>
    <n v="0.30812130325814541"/>
    <m/>
    <m/>
    <m/>
    <m/>
    <m/>
    <m/>
    <m/>
    <m/>
    <m/>
    <m/>
    <m/>
    <m/>
    <m/>
    <m/>
    <m/>
  </r>
  <r>
    <s v="ORD10653"/>
    <s v="28-07-2025"/>
    <s v="CUST1272"/>
    <s v="Sneha Kumar"/>
    <x v="0"/>
    <s v="Pune"/>
    <s v="Maharashtra"/>
    <x v="0"/>
    <x v="1"/>
    <x v="3"/>
    <n v="10"/>
    <n v="700"/>
    <n v="0.15"/>
    <n v="5950"/>
    <n v="3605.93"/>
    <n v="2344.0700000000002"/>
    <n v="39.4"/>
    <x v="4"/>
    <x v="0"/>
    <x v="9"/>
    <x v="9"/>
    <n v="2025"/>
    <s v="Monday"/>
    <n v="6"/>
    <d v="2025-03-08T00:00:00"/>
    <x v="0"/>
    <s v="New"/>
    <s v="Low"/>
    <s v="Yes"/>
    <n v="5"/>
    <s v="Sneha"/>
    <s v="Kumar"/>
    <m/>
    <m/>
    <m/>
    <m/>
    <m/>
    <m/>
    <s v="Good"/>
    <s v="Low"/>
    <s v="No"/>
    <s v="Yes"/>
    <n v="0.39396134453781517"/>
    <m/>
    <m/>
    <m/>
    <m/>
    <m/>
    <m/>
    <m/>
    <m/>
    <m/>
    <m/>
    <m/>
    <m/>
    <m/>
    <m/>
    <m/>
  </r>
  <r>
    <s v="ORD10025"/>
    <s v="28-08-2024"/>
    <s v="CUST1076"/>
    <s v="Aarav Sharma"/>
    <x v="2"/>
    <s v="Mumbai"/>
    <s v="Maharashtra"/>
    <x v="2"/>
    <x v="3"/>
    <x v="22"/>
    <n v="10"/>
    <n v="350"/>
    <n v="0"/>
    <n v="3500"/>
    <n v="2687.2"/>
    <n v="812.8"/>
    <n v="23.22"/>
    <x v="3"/>
    <x v="2"/>
    <x v="9"/>
    <x v="10"/>
    <n v="2024"/>
    <s v="Wednesday"/>
    <n v="5"/>
    <d v="2024-02-09T00:00:00"/>
    <x v="0"/>
    <s v="Returning"/>
    <s v="High"/>
    <s v="Yes"/>
    <n v="4"/>
    <s v="Aarav"/>
    <s v="Sharma"/>
    <m/>
    <m/>
    <m/>
    <m/>
    <m/>
    <m/>
    <s v="Needs Improvement"/>
    <s v="Low"/>
    <s v="No"/>
    <s v="Yes"/>
    <n v="0.23222857142857142"/>
    <m/>
    <m/>
    <m/>
    <m/>
    <m/>
    <m/>
    <m/>
    <m/>
    <m/>
    <m/>
    <m/>
    <m/>
    <m/>
    <m/>
    <m/>
  </r>
  <r>
    <s v="ORD10199"/>
    <s v="28-08-2024"/>
    <s v="CUST1057"/>
    <s v="Nisha Mishra"/>
    <x v="0"/>
    <s v="Delhi"/>
    <s v="Delhi"/>
    <x v="3"/>
    <x v="4"/>
    <x v="19"/>
    <n v="4"/>
    <n v="2000"/>
    <n v="0.1"/>
    <n v="7200"/>
    <n v="5265.65"/>
    <n v="1934.35"/>
    <n v="26.87"/>
    <x v="1"/>
    <x v="0"/>
    <x v="2"/>
    <x v="10"/>
    <n v="2024"/>
    <s v="Wednesday"/>
    <n v="1"/>
    <s v="29-08-2024"/>
    <x v="0"/>
    <s v="VIP"/>
    <s v="High"/>
    <s v="Yes"/>
    <n v="3"/>
    <s v="Nisha"/>
    <s v="Mishra"/>
    <m/>
    <m/>
    <m/>
    <m/>
    <m/>
    <m/>
    <s v="Needs Improvement"/>
    <s v="Low"/>
    <s v="No"/>
    <s v="Yes"/>
    <n v="0.26865972222222223"/>
    <m/>
    <m/>
    <m/>
    <m/>
    <m/>
    <m/>
    <m/>
    <m/>
    <m/>
    <m/>
    <m/>
    <m/>
    <m/>
    <m/>
    <m/>
  </r>
  <r>
    <s v="ORD10573"/>
    <s v="28-08-2024"/>
    <s v="CUST1349"/>
    <s v="Riya Chopra"/>
    <x v="1"/>
    <s v="Delhi"/>
    <s v="Delhi"/>
    <x v="1"/>
    <x v="2"/>
    <x v="8"/>
    <n v="7"/>
    <n v="22000"/>
    <n v="0.05"/>
    <n v="146300"/>
    <n v="112922.44"/>
    <n v="33377.56"/>
    <n v="22.81"/>
    <x v="4"/>
    <x v="2"/>
    <x v="7"/>
    <x v="10"/>
    <n v="2024"/>
    <s v="Wednesday"/>
    <n v="9"/>
    <d v="2024-06-09T00:00:00"/>
    <x v="0"/>
    <s v="New"/>
    <s v="Low"/>
    <s v="Yes"/>
    <n v="2"/>
    <s v="Riya"/>
    <s v="Chopra"/>
    <m/>
    <m/>
    <m/>
    <m/>
    <m/>
    <m/>
    <s v="Needs Improvement"/>
    <s v="High"/>
    <s v="Yes"/>
    <s v="Yes"/>
    <n v="0.22814463431305534"/>
    <m/>
    <m/>
    <m/>
    <m/>
    <m/>
    <m/>
    <m/>
    <m/>
    <m/>
    <m/>
    <m/>
    <m/>
    <m/>
    <m/>
    <m/>
  </r>
  <r>
    <s v="ORD10749"/>
    <s v="28-08-2024"/>
    <s v="CUST1214"/>
    <s v="Kavya Sharma"/>
    <x v="0"/>
    <s v="Mumbai"/>
    <s v="Maharashtra"/>
    <x v="3"/>
    <x v="3"/>
    <x v="18"/>
    <n v="10"/>
    <n v="350"/>
    <n v="0.05"/>
    <n v="3325"/>
    <n v="2550.1999999999998"/>
    <n v="774.8"/>
    <n v="23.3"/>
    <x v="0"/>
    <x v="0"/>
    <x v="0"/>
    <x v="10"/>
    <n v="2024"/>
    <s v="Wednesday"/>
    <n v="9"/>
    <d v="2024-06-09T00:00:00"/>
    <x v="2"/>
    <s v="VIP"/>
    <s v="High"/>
    <s v="No"/>
    <n v="5"/>
    <s v="Kavya"/>
    <s v="Sharma"/>
    <m/>
    <m/>
    <m/>
    <m/>
    <m/>
    <m/>
    <s v="Needs Improvement"/>
    <s v="Low"/>
    <s v="No"/>
    <s v="Yes"/>
    <n v="0.23302255639097744"/>
    <m/>
    <m/>
    <m/>
    <m/>
    <m/>
    <m/>
    <m/>
    <m/>
    <m/>
    <m/>
    <m/>
    <m/>
    <m/>
    <m/>
    <m/>
  </r>
  <r>
    <s v="ORD10320"/>
    <s v="28-09-2024"/>
    <s v="CUST1103"/>
    <s v="Simran Mehta"/>
    <x v="2"/>
    <s v="Delhi"/>
    <s v="Delhi"/>
    <x v="2"/>
    <x v="1"/>
    <x v="14"/>
    <n v="6"/>
    <n v="700"/>
    <n v="0.1"/>
    <n v="3780"/>
    <n v="2149.83"/>
    <n v="1630.17"/>
    <n v="43.13"/>
    <x v="1"/>
    <x v="2"/>
    <x v="8"/>
    <x v="3"/>
    <n v="2024"/>
    <s v="Saturday"/>
    <n v="3"/>
    <d v="2024-01-10T00:00:00"/>
    <x v="2"/>
    <s v="Returning"/>
    <s v="Low"/>
    <s v="Yes"/>
    <n v="4"/>
    <s v="Simran"/>
    <s v="Mehta"/>
    <m/>
    <m/>
    <m/>
    <m/>
    <m/>
    <m/>
    <s v="Good"/>
    <s v="Low"/>
    <s v="No"/>
    <s v="Yes"/>
    <n v="0.43126190476190479"/>
    <m/>
    <m/>
    <m/>
    <m/>
    <m/>
    <m/>
    <m/>
    <m/>
    <m/>
    <m/>
    <m/>
    <m/>
    <m/>
    <m/>
    <m/>
  </r>
  <r>
    <s v="ORD10959"/>
    <s v="28-09-2024"/>
    <s v="CUST1064"/>
    <s v="Aditi Yadav"/>
    <x v="2"/>
    <s v="Delhi"/>
    <s v="Delhi"/>
    <x v="0"/>
    <x v="1"/>
    <x v="20"/>
    <n v="6"/>
    <n v="1200"/>
    <n v="0.1"/>
    <n v="6480"/>
    <n v="4105.96"/>
    <n v="2374.04"/>
    <n v="36.64"/>
    <x v="0"/>
    <x v="1"/>
    <x v="0"/>
    <x v="3"/>
    <n v="2024"/>
    <s v="Saturday"/>
    <n v="9"/>
    <d v="2024-07-10T00:00:00"/>
    <x v="0"/>
    <s v="New"/>
    <s v="Low"/>
    <s v="No"/>
    <n v="3"/>
    <s v="Aditi"/>
    <s v="Yadav"/>
    <m/>
    <m/>
    <m/>
    <m/>
    <m/>
    <m/>
    <s v="Good"/>
    <s v="Low"/>
    <s v="No"/>
    <s v="No"/>
    <n v="0.36636419753086419"/>
    <m/>
    <m/>
    <m/>
    <m/>
    <m/>
    <m/>
    <m/>
    <m/>
    <m/>
    <m/>
    <m/>
    <m/>
    <m/>
    <m/>
    <m/>
  </r>
  <r>
    <s v="ORD10399"/>
    <s v="28-09-2025"/>
    <s v="CUST1045"/>
    <s v="Kavya Gupta"/>
    <x v="2"/>
    <s v="Pune"/>
    <s v="Maharashtra"/>
    <x v="3"/>
    <x v="1"/>
    <x v="14"/>
    <n v="6"/>
    <n v="2500"/>
    <n v="0.05"/>
    <n v="14250"/>
    <n v="10494.96"/>
    <n v="3755.04"/>
    <n v="26.35"/>
    <x v="2"/>
    <x v="0"/>
    <x v="9"/>
    <x v="3"/>
    <n v="2025"/>
    <s v="Sunday"/>
    <n v="4"/>
    <d v="2025-02-10T00:00:00"/>
    <x v="0"/>
    <s v="New"/>
    <s v="Medium"/>
    <s v="No"/>
    <n v="3"/>
    <s v="Kavya"/>
    <s v="Gupta"/>
    <m/>
    <m/>
    <m/>
    <m/>
    <m/>
    <m/>
    <s v="Needs Improvement"/>
    <s v="Medium"/>
    <s v="No"/>
    <s v="Yes"/>
    <n v="0.26351157894736843"/>
    <m/>
    <m/>
    <m/>
    <m/>
    <m/>
    <m/>
    <m/>
    <m/>
    <m/>
    <m/>
    <m/>
    <m/>
    <m/>
    <m/>
    <m/>
  </r>
  <r>
    <s v="ORD10973"/>
    <s v="28-09-2025"/>
    <s v="CUST1236"/>
    <s v="Aarav Kapoor"/>
    <x v="2"/>
    <s v="Ahmedabad"/>
    <s v="Gujarat"/>
    <x v="2"/>
    <x v="0"/>
    <x v="23"/>
    <n v="9"/>
    <n v="15000"/>
    <n v="0.2"/>
    <n v="108000"/>
    <n v="70726.16"/>
    <n v="37273.839999999997"/>
    <n v="34.51"/>
    <x v="3"/>
    <x v="0"/>
    <x v="8"/>
    <x v="3"/>
    <n v="2025"/>
    <s v="Sunday"/>
    <n v="7"/>
    <d v="2025-05-10T00:00:00"/>
    <x v="0"/>
    <s v="VIP"/>
    <s v="High"/>
    <s v="Yes"/>
    <n v="4"/>
    <s v="Aarav"/>
    <s v="Kapoor"/>
    <m/>
    <m/>
    <m/>
    <m/>
    <m/>
    <m/>
    <s v="Good"/>
    <s v="High"/>
    <s v="Yes"/>
    <s v="Yes"/>
    <n v="0.34512814814814813"/>
    <m/>
    <m/>
    <m/>
    <m/>
    <m/>
    <m/>
    <m/>
    <m/>
    <m/>
    <m/>
    <m/>
    <m/>
    <m/>
    <m/>
    <m/>
  </r>
  <r>
    <s v="ORD10896"/>
    <s v="28-10-2024"/>
    <s v="CUST1069"/>
    <s v="Aditi Yadav"/>
    <x v="1"/>
    <s v="Lucknow"/>
    <s v="Uttar Pradesh"/>
    <x v="0"/>
    <x v="1"/>
    <x v="2"/>
    <n v="3"/>
    <n v="1800"/>
    <n v="0.2"/>
    <n v="4320"/>
    <n v="3115.44"/>
    <n v="1204.56"/>
    <n v="27.88"/>
    <x v="4"/>
    <x v="2"/>
    <x v="6"/>
    <x v="4"/>
    <n v="2024"/>
    <s v="Monday"/>
    <n v="3"/>
    <s v="31-10-2024"/>
    <x v="0"/>
    <s v="VIP"/>
    <s v="High"/>
    <s v="Yes"/>
    <n v="3"/>
    <s v="Aditi"/>
    <s v="Yadav"/>
    <m/>
    <m/>
    <m/>
    <m/>
    <m/>
    <m/>
    <s v="Needs Improvement"/>
    <s v="Low"/>
    <s v="No"/>
    <s v="Yes"/>
    <n v="0.27883333333333332"/>
    <m/>
    <m/>
    <m/>
    <m/>
    <m/>
    <m/>
    <m/>
    <m/>
    <m/>
    <m/>
    <m/>
    <m/>
    <m/>
    <m/>
    <m/>
  </r>
  <r>
    <s v="ORD10071"/>
    <s v="28-11-2024"/>
    <s v="CUST1186"/>
    <s v="Aditya Mehta"/>
    <x v="2"/>
    <s v="Kolkata"/>
    <s v="West Bengal"/>
    <x v="3"/>
    <x v="1"/>
    <x v="6"/>
    <n v="2"/>
    <n v="2500"/>
    <n v="0"/>
    <n v="5000"/>
    <n v="3371.13"/>
    <n v="1628.87"/>
    <n v="32.58"/>
    <x v="4"/>
    <x v="0"/>
    <x v="1"/>
    <x v="11"/>
    <n v="2024"/>
    <s v="Thursday"/>
    <n v="3"/>
    <d v="2024-01-12T00:00:00"/>
    <x v="1"/>
    <s v="VIP"/>
    <s v="Low"/>
    <s v="No"/>
    <n v="3"/>
    <s v="Aditya"/>
    <s v="Mehta"/>
    <m/>
    <m/>
    <m/>
    <m/>
    <m/>
    <m/>
    <s v="Good"/>
    <s v="Low"/>
    <s v="No"/>
    <s v="Yes"/>
    <n v="0.32577399999999995"/>
    <m/>
    <m/>
    <m/>
    <m/>
    <m/>
    <m/>
    <m/>
    <m/>
    <m/>
    <m/>
    <m/>
    <m/>
    <m/>
    <m/>
    <m/>
  </r>
  <r>
    <s v="ORD10912"/>
    <s v="28-11-2024"/>
    <s v="CUST1277"/>
    <s v="Rahul Jain"/>
    <x v="1"/>
    <s v="Hyderabad"/>
    <s v="Telangana"/>
    <x v="0"/>
    <x v="4"/>
    <x v="13"/>
    <n v="3"/>
    <n v="800"/>
    <n v="0.05"/>
    <n v="2280"/>
    <n v="1739.92"/>
    <n v="540.08000000000004"/>
    <n v="23.69"/>
    <x v="0"/>
    <x v="1"/>
    <x v="2"/>
    <x v="11"/>
    <n v="2024"/>
    <s v="Thursday"/>
    <n v="6"/>
    <d v="2024-04-12T00:00:00"/>
    <x v="0"/>
    <s v="Returning"/>
    <s v="High"/>
    <s v="No"/>
    <n v="4"/>
    <s v="Rahul"/>
    <s v="Jain"/>
    <m/>
    <m/>
    <m/>
    <m/>
    <m/>
    <m/>
    <s v="Needs Improvement"/>
    <s v="Low"/>
    <s v="No"/>
    <s v="No"/>
    <n v="0.23687719298245616"/>
    <m/>
    <m/>
    <m/>
    <m/>
    <m/>
    <m/>
    <m/>
    <m/>
    <m/>
    <m/>
    <m/>
    <m/>
    <m/>
    <m/>
    <m/>
  </r>
  <r>
    <s v="ORD10525"/>
    <s v="28-11-2025"/>
    <s v="CUST1257"/>
    <s v="Meera Yadav"/>
    <x v="1"/>
    <s v="Bengaluru"/>
    <s v="Karnataka"/>
    <x v="0"/>
    <x v="1"/>
    <x v="3"/>
    <n v="2"/>
    <n v="1200"/>
    <n v="0.05"/>
    <n v="2280"/>
    <n v="1865.55"/>
    <n v="414.45"/>
    <n v="18.18"/>
    <x v="4"/>
    <x v="2"/>
    <x v="3"/>
    <x v="11"/>
    <n v="2025"/>
    <s v="Friday"/>
    <n v="3"/>
    <d v="2025-01-12T00:00:00"/>
    <x v="0"/>
    <s v="Returning"/>
    <s v="Medium"/>
    <s v="No"/>
    <n v="1"/>
    <s v="Meera"/>
    <s v="Yadav"/>
    <m/>
    <m/>
    <m/>
    <m/>
    <m/>
    <m/>
    <s v="Needs Improvement"/>
    <s v="Low"/>
    <s v="No"/>
    <s v="Yes"/>
    <n v="0.18177631578947367"/>
    <m/>
    <m/>
    <m/>
    <m/>
    <m/>
    <m/>
    <m/>
    <m/>
    <m/>
    <m/>
    <m/>
    <m/>
    <m/>
    <m/>
    <m/>
  </r>
  <r>
    <s v="ORD10711"/>
    <s v="28-11-2025"/>
    <s v="CUST1313"/>
    <s v="Vivaan Yadav"/>
    <x v="0"/>
    <s v="Hyderabad"/>
    <s v="Telangana"/>
    <x v="1"/>
    <x v="4"/>
    <x v="13"/>
    <n v="7"/>
    <n v="800"/>
    <n v="0.2"/>
    <n v="4480"/>
    <n v="3507.56"/>
    <n v="972.44"/>
    <n v="21.71"/>
    <x v="1"/>
    <x v="0"/>
    <x v="2"/>
    <x v="11"/>
    <n v="2025"/>
    <s v="Friday"/>
    <n v="10"/>
    <d v="2025-08-12T00:00:00"/>
    <x v="0"/>
    <s v="VIP"/>
    <s v="Medium"/>
    <s v="Yes"/>
    <n v="2"/>
    <s v="Vivaan"/>
    <s v="Yadav"/>
    <m/>
    <m/>
    <m/>
    <m/>
    <m/>
    <m/>
    <s v="Needs Improvement"/>
    <s v="Low"/>
    <s v="No"/>
    <s v="Yes"/>
    <n v="0.21706250000000002"/>
    <m/>
    <m/>
    <m/>
    <m/>
    <m/>
    <m/>
    <m/>
    <m/>
    <m/>
    <m/>
    <m/>
    <m/>
    <m/>
    <m/>
    <m/>
  </r>
  <r>
    <s v="ORD10296"/>
    <s v="28-12-2024"/>
    <s v="CUST1016"/>
    <s v="Neha Mehta"/>
    <x v="1"/>
    <s v="Ahmedabad"/>
    <s v="Gujarat"/>
    <x v="3"/>
    <x v="2"/>
    <x v="4"/>
    <n v="10"/>
    <n v="50000"/>
    <n v="0.1"/>
    <n v="450000"/>
    <n v="281575.89"/>
    <n v="168424.11"/>
    <n v="37.43"/>
    <x v="3"/>
    <x v="0"/>
    <x v="1"/>
    <x v="5"/>
    <n v="2024"/>
    <s v="Saturday"/>
    <n v="2"/>
    <s v="30-12-2024"/>
    <x v="0"/>
    <s v="New"/>
    <s v="High"/>
    <s v="Yes"/>
    <n v="3"/>
    <s v="Neha"/>
    <s v="Mehta"/>
    <m/>
    <m/>
    <m/>
    <m/>
    <m/>
    <m/>
    <s v="Good"/>
    <s v="High"/>
    <s v="Yes"/>
    <s v="Yes"/>
    <n v="0.37427579999999999"/>
    <m/>
    <m/>
    <m/>
    <m/>
    <m/>
    <m/>
    <m/>
    <m/>
    <m/>
    <m/>
    <m/>
    <m/>
    <m/>
    <m/>
    <m/>
  </r>
  <r>
    <s v="ORD10791"/>
    <s v="28-12-2024"/>
    <s v="CUST1300"/>
    <s v="Neha Agarwal"/>
    <x v="2"/>
    <s v="Hyderabad"/>
    <s v="Telangana"/>
    <x v="3"/>
    <x v="4"/>
    <x v="13"/>
    <n v="10"/>
    <n v="1200"/>
    <n v="0.2"/>
    <n v="9600"/>
    <n v="5339.5"/>
    <n v="4260.5"/>
    <n v="44.38"/>
    <x v="4"/>
    <x v="2"/>
    <x v="8"/>
    <x v="5"/>
    <n v="2024"/>
    <s v="Saturday"/>
    <n v="4"/>
    <d v="2025-01-01T00:00:00"/>
    <x v="0"/>
    <s v="VIP"/>
    <s v="Low"/>
    <s v="Yes"/>
    <n v="1"/>
    <s v="Neha"/>
    <s v="Agarwal"/>
    <m/>
    <m/>
    <m/>
    <m/>
    <m/>
    <m/>
    <s v="Good"/>
    <s v="Low"/>
    <s v="No"/>
    <s v="Yes"/>
    <n v="0.44380208333333332"/>
    <m/>
    <m/>
    <m/>
    <m/>
    <m/>
    <m/>
    <m/>
    <m/>
    <m/>
    <m/>
    <m/>
    <m/>
    <m/>
    <m/>
    <m/>
  </r>
  <r>
    <s v="ORD10991"/>
    <s v="28-12-2024"/>
    <s v="CUST1119"/>
    <s v="Aditya Sharma"/>
    <x v="2"/>
    <s v="Hyderabad"/>
    <s v="Telangana"/>
    <x v="2"/>
    <x v="0"/>
    <x v="23"/>
    <n v="10"/>
    <n v="15000"/>
    <n v="0"/>
    <n v="150000"/>
    <n v="108578.49"/>
    <n v="41421.51"/>
    <n v="27.61"/>
    <x v="0"/>
    <x v="0"/>
    <x v="5"/>
    <x v="5"/>
    <n v="2024"/>
    <s v="Saturday"/>
    <n v="10"/>
    <d v="2025-07-01T00:00:00"/>
    <x v="0"/>
    <s v="New"/>
    <s v="Medium"/>
    <s v="Yes"/>
    <n v="2"/>
    <s v="Aditya"/>
    <s v="Sharma"/>
    <m/>
    <m/>
    <m/>
    <m/>
    <m/>
    <m/>
    <s v="Needs Improvement"/>
    <s v="High"/>
    <s v="Yes"/>
    <s v="Yes"/>
    <n v="0.27614340000000004"/>
    <m/>
    <m/>
    <m/>
    <m/>
    <m/>
    <m/>
    <m/>
    <m/>
    <m/>
    <m/>
    <m/>
    <m/>
    <m/>
    <m/>
    <m/>
  </r>
  <r>
    <s v="ORD10337"/>
    <s v="29-01-2025"/>
    <s v="CUST1219"/>
    <s v="Ananya Yadav"/>
    <x v="1"/>
    <s v="Kolkata"/>
    <s v="West Bengal"/>
    <x v="3"/>
    <x v="0"/>
    <x v="24"/>
    <n v="8"/>
    <n v="2500"/>
    <n v="0"/>
    <n v="20000"/>
    <n v="11176.66"/>
    <n v="8823.34"/>
    <n v="44.12"/>
    <x v="1"/>
    <x v="0"/>
    <x v="3"/>
    <x v="6"/>
    <n v="2025"/>
    <s v="Wednesday"/>
    <n v="6"/>
    <d v="2025-04-02T00:00:00"/>
    <x v="1"/>
    <s v="VIP"/>
    <s v="Low"/>
    <s v="No"/>
    <n v="1"/>
    <s v="Ananya"/>
    <s v="Yadav"/>
    <m/>
    <m/>
    <m/>
    <m/>
    <m/>
    <m/>
    <s v="Good"/>
    <s v="Medium"/>
    <s v="No"/>
    <s v="Yes"/>
    <n v="0.44116700000000003"/>
    <m/>
    <m/>
    <m/>
    <m/>
    <m/>
    <m/>
    <m/>
    <m/>
    <m/>
    <m/>
    <m/>
    <m/>
    <m/>
    <m/>
    <m/>
  </r>
  <r>
    <s v="ORD10627"/>
    <s v="29-01-2025"/>
    <s v="CUST1268"/>
    <s v="Neha Kapoor"/>
    <x v="2"/>
    <s v="Ahmedabad"/>
    <s v="Gujarat"/>
    <x v="3"/>
    <x v="2"/>
    <x v="4"/>
    <n v="9"/>
    <n v="22000"/>
    <n v="0.15"/>
    <n v="168300"/>
    <n v="106731.77"/>
    <n v="61568.23"/>
    <n v="36.58"/>
    <x v="2"/>
    <x v="0"/>
    <x v="0"/>
    <x v="6"/>
    <n v="2025"/>
    <s v="Wednesday"/>
    <n v="8"/>
    <d v="2025-06-02T00:00:00"/>
    <x v="0"/>
    <s v="VIP"/>
    <s v="Low"/>
    <s v="No"/>
    <n v="5"/>
    <s v="Neha"/>
    <s v="Kapoor"/>
    <m/>
    <m/>
    <m/>
    <m/>
    <m/>
    <m/>
    <s v="Good"/>
    <s v="High"/>
    <s v="Yes"/>
    <s v="Yes"/>
    <n v="0.36582430184194892"/>
    <m/>
    <m/>
    <m/>
    <m/>
    <m/>
    <m/>
    <m/>
    <m/>
    <m/>
    <m/>
    <m/>
    <m/>
    <m/>
    <m/>
    <m/>
  </r>
  <r>
    <s v="ORD10259"/>
    <s v="29-03-2025"/>
    <s v="CUST1049"/>
    <s v="Meera Mishra"/>
    <x v="2"/>
    <s v="Pune"/>
    <s v="Maharashtra"/>
    <x v="2"/>
    <x v="1"/>
    <x v="3"/>
    <n v="2"/>
    <n v="1200"/>
    <n v="0.15"/>
    <n v="2040"/>
    <n v="1231.71"/>
    <n v="808.29"/>
    <n v="39.619999999999997"/>
    <x v="4"/>
    <x v="0"/>
    <x v="0"/>
    <x v="0"/>
    <n v="2025"/>
    <s v="Saturday"/>
    <n v="4"/>
    <d v="2025-02-04T00:00:00"/>
    <x v="0"/>
    <s v="Returning"/>
    <s v="Low"/>
    <s v="Yes"/>
    <n v="5"/>
    <s v="Meera"/>
    <s v="Mishra"/>
    <m/>
    <m/>
    <m/>
    <m/>
    <m/>
    <m/>
    <s v="Good"/>
    <s v="Low"/>
    <s v="No"/>
    <s v="Yes"/>
    <n v="0.3962205882352941"/>
    <m/>
    <m/>
    <m/>
    <m/>
    <m/>
    <m/>
    <m/>
    <m/>
    <m/>
    <m/>
    <m/>
    <m/>
    <m/>
    <m/>
    <m/>
  </r>
  <r>
    <s v="ORD10706"/>
    <s v="29-03-2025"/>
    <s v="CUST1342"/>
    <s v="Ananya Sharma"/>
    <x v="0"/>
    <s v="Pune"/>
    <s v="Maharashtra"/>
    <x v="3"/>
    <x v="4"/>
    <x v="13"/>
    <n v="2"/>
    <n v="1200"/>
    <n v="0.05"/>
    <n v="2280"/>
    <n v="1591.34"/>
    <n v="688.66"/>
    <n v="30.2"/>
    <x v="2"/>
    <x v="2"/>
    <x v="6"/>
    <x v="0"/>
    <n v="2025"/>
    <s v="Saturday"/>
    <n v="1"/>
    <s v="30-03-2025"/>
    <x v="0"/>
    <s v="Returning"/>
    <s v="High"/>
    <s v="Yes"/>
    <n v="2"/>
    <s v="Ananya"/>
    <s v="Sharma"/>
    <m/>
    <m/>
    <m/>
    <m/>
    <m/>
    <m/>
    <s v="Good"/>
    <s v="Low"/>
    <s v="No"/>
    <s v="Yes"/>
    <n v="0.30204385964912278"/>
    <m/>
    <m/>
    <m/>
    <m/>
    <m/>
    <m/>
    <m/>
    <m/>
    <m/>
    <m/>
    <m/>
    <m/>
    <m/>
    <m/>
    <m/>
  </r>
  <r>
    <s v="ORD10241"/>
    <s v="29-04-2024"/>
    <s v="CUST1295"/>
    <s v="Ananya Yadav"/>
    <x v="0"/>
    <s v="Mumbai"/>
    <s v="Maharashtra"/>
    <x v="2"/>
    <x v="4"/>
    <x v="11"/>
    <n v="9"/>
    <n v="1200"/>
    <n v="0.1"/>
    <n v="9720"/>
    <n v="7645.27"/>
    <n v="2074.73"/>
    <n v="21.34"/>
    <x v="3"/>
    <x v="1"/>
    <x v="6"/>
    <x v="8"/>
    <n v="2024"/>
    <s v="Monday"/>
    <n v="9"/>
    <d v="2024-08-05T00:00:00"/>
    <x v="0"/>
    <s v="Returning"/>
    <s v="Medium"/>
    <s v="No"/>
    <n v="5"/>
    <s v="Ananya"/>
    <s v="Yadav"/>
    <m/>
    <m/>
    <m/>
    <m/>
    <m/>
    <m/>
    <s v="Needs Improvement"/>
    <s v="Low"/>
    <s v="No"/>
    <s v="No"/>
    <n v="0.21344958847736625"/>
    <m/>
    <m/>
    <m/>
    <m/>
    <m/>
    <m/>
    <m/>
    <m/>
    <m/>
    <m/>
    <m/>
    <m/>
    <m/>
    <m/>
    <m/>
  </r>
  <r>
    <s v="ORD10650"/>
    <s v="29-04-2025"/>
    <s v="CUST1096"/>
    <s v="Ananya Kapoor"/>
    <x v="1"/>
    <s v="Ahmedabad"/>
    <s v="Gujarat"/>
    <x v="1"/>
    <x v="4"/>
    <x v="9"/>
    <n v="1"/>
    <n v="1200"/>
    <n v="0.2"/>
    <n v="960"/>
    <n v="599.22"/>
    <n v="360.78"/>
    <n v="37.58"/>
    <x v="3"/>
    <x v="1"/>
    <x v="4"/>
    <x v="8"/>
    <n v="2025"/>
    <s v="Tuesday"/>
    <n v="4"/>
    <d v="2025-03-05T00:00:00"/>
    <x v="2"/>
    <s v="VIP"/>
    <s v="Medium"/>
    <s v="No"/>
    <n v="1"/>
    <s v="Ananya"/>
    <s v="Kapoor"/>
    <m/>
    <m/>
    <m/>
    <m/>
    <m/>
    <m/>
    <s v="Good"/>
    <s v="Low"/>
    <s v="No"/>
    <s v="No"/>
    <n v="0.37581249999999999"/>
    <m/>
    <m/>
    <m/>
    <m/>
    <m/>
    <m/>
    <m/>
    <m/>
    <m/>
    <m/>
    <m/>
    <m/>
    <m/>
    <m/>
    <m/>
  </r>
  <r>
    <s v="ORD10811"/>
    <s v="29-04-2025"/>
    <s v="CUST1061"/>
    <s v="Priya Singh"/>
    <x v="0"/>
    <s v="Delhi"/>
    <s v="Delhi"/>
    <x v="2"/>
    <x v="1"/>
    <x v="14"/>
    <n v="7"/>
    <n v="1200"/>
    <n v="0.15"/>
    <n v="7140"/>
    <n v="5734.49"/>
    <n v="1405.51"/>
    <n v="19.690000000000001"/>
    <x v="4"/>
    <x v="0"/>
    <x v="6"/>
    <x v="8"/>
    <n v="2025"/>
    <s v="Tuesday"/>
    <n v="1"/>
    <s v="30-04-2025"/>
    <x v="0"/>
    <s v="Returning"/>
    <s v="Medium"/>
    <s v="Yes"/>
    <n v="3"/>
    <s v="Priya"/>
    <s v="Singh"/>
    <m/>
    <m/>
    <m/>
    <m/>
    <m/>
    <m/>
    <s v="Needs Improvement"/>
    <s v="Low"/>
    <s v="No"/>
    <s v="Yes"/>
    <n v="0.19685014005602242"/>
    <m/>
    <m/>
    <m/>
    <m/>
    <m/>
    <m/>
    <m/>
    <m/>
    <m/>
    <m/>
    <m/>
    <m/>
    <m/>
    <m/>
    <m/>
  </r>
  <r>
    <s v="ORD10226"/>
    <s v="29-05-2025"/>
    <s v="CUST1315"/>
    <s v="Karan Agarwal"/>
    <x v="1"/>
    <s v="Jaipur"/>
    <s v="Rajasthan"/>
    <x v="3"/>
    <x v="4"/>
    <x v="13"/>
    <n v="2"/>
    <n v="2000"/>
    <n v="0.1"/>
    <n v="3600"/>
    <n v="2804.24"/>
    <n v="795.76"/>
    <n v="22.1"/>
    <x v="4"/>
    <x v="2"/>
    <x v="4"/>
    <x v="1"/>
    <n v="2025"/>
    <s v="Thursday"/>
    <n v="1"/>
    <s v="30-05-2025"/>
    <x v="0"/>
    <s v="VIP"/>
    <s v="High"/>
    <s v="Yes"/>
    <n v="4"/>
    <s v="Karan"/>
    <s v="Agarwal"/>
    <m/>
    <m/>
    <m/>
    <m/>
    <m/>
    <m/>
    <s v="Needs Improvement"/>
    <s v="Low"/>
    <s v="No"/>
    <s v="Yes"/>
    <n v="0.22104444444444443"/>
    <m/>
    <m/>
    <m/>
    <m/>
    <m/>
    <m/>
    <m/>
    <m/>
    <m/>
    <m/>
    <m/>
    <m/>
    <m/>
    <m/>
    <m/>
  </r>
  <r>
    <s v="ORD10535"/>
    <s v="29-05-2025"/>
    <s v="CUST1234"/>
    <s v="Ishita Mehta"/>
    <x v="0"/>
    <s v="Delhi"/>
    <s v="Delhi"/>
    <x v="0"/>
    <x v="3"/>
    <x v="17"/>
    <n v="1"/>
    <n v="350"/>
    <n v="0.1"/>
    <n v="315"/>
    <n v="228.44"/>
    <n v="86.56"/>
    <n v="27.48"/>
    <x v="3"/>
    <x v="1"/>
    <x v="8"/>
    <x v="1"/>
    <n v="2025"/>
    <s v="Thursday"/>
    <n v="2"/>
    <s v="31-05-2025"/>
    <x v="2"/>
    <s v="Returning"/>
    <s v="Low"/>
    <s v="Yes"/>
    <n v="4"/>
    <s v="Ishita"/>
    <s v="Mehta"/>
    <m/>
    <m/>
    <m/>
    <m/>
    <m/>
    <m/>
    <s v="Needs Improvement"/>
    <s v="Low"/>
    <s v="No"/>
    <s v="No"/>
    <n v="0.27479365079365081"/>
    <m/>
    <m/>
    <m/>
    <m/>
    <m/>
    <m/>
    <m/>
    <m/>
    <m/>
    <m/>
    <m/>
    <m/>
    <m/>
    <m/>
    <m/>
  </r>
  <r>
    <s v="ORD10904"/>
    <s v="29-05-2025"/>
    <s v="CUST1061"/>
    <s v="Aditya Agarwal"/>
    <x v="1"/>
    <s v="Kolkata"/>
    <s v="West Bengal"/>
    <x v="2"/>
    <x v="3"/>
    <x v="17"/>
    <n v="10"/>
    <n v="350"/>
    <n v="0.05"/>
    <n v="3325"/>
    <n v="2688.8"/>
    <n v="636.20000000000005"/>
    <n v="19.13"/>
    <x v="0"/>
    <x v="2"/>
    <x v="4"/>
    <x v="1"/>
    <n v="2025"/>
    <s v="Thursday"/>
    <n v="3"/>
    <d v="2025-01-06T00:00:00"/>
    <x v="0"/>
    <s v="New"/>
    <s v="Low"/>
    <s v="Yes"/>
    <n v="2"/>
    <s v="Aditya"/>
    <s v="Agarwal"/>
    <m/>
    <m/>
    <m/>
    <m/>
    <m/>
    <m/>
    <s v="Needs Improvement"/>
    <s v="Low"/>
    <s v="No"/>
    <s v="Yes"/>
    <n v="0.19133834586466167"/>
    <m/>
    <m/>
    <m/>
    <m/>
    <m/>
    <m/>
    <m/>
    <m/>
    <m/>
    <m/>
    <m/>
    <m/>
    <m/>
    <m/>
    <m/>
  </r>
  <r>
    <s v="ORD10323"/>
    <s v="29-06-2024"/>
    <s v="CUST1339"/>
    <s v="Rahul Kumar"/>
    <x v="1"/>
    <s v="Ahmedabad"/>
    <s v="Gujarat"/>
    <x v="2"/>
    <x v="3"/>
    <x v="5"/>
    <n v="8"/>
    <n v="350"/>
    <n v="0.05"/>
    <n v="2660"/>
    <n v="2157.87"/>
    <n v="502.13"/>
    <n v="18.88"/>
    <x v="1"/>
    <x v="0"/>
    <x v="3"/>
    <x v="2"/>
    <n v="2024"/>
    <s v="Saturday"/>
    <n v="9"/>
    <d v="2024-08-07T00:00:00"/>
    <x v="0"/>
    <s v="Returning"/>
    <s v="Low"/>
    <s v="No"/>
    <n v="2"/>
    <s v="Rahul"/>
    <s v="Kumar"/>
    <m/>
    <m/>
    <m/>
    <m/>
    <m/>
    <m/>
    <s v="Needs Improvement"/>
    <s v="Low"/>
    <s v="No"/>
    <s v="Yes"/>
    <n v="0.18877067669172931"/>
    <m/>
    <m/>
    <m/>
    <m/>
    <m/>
    <m/>
    <m/>
    <m/>
    <m/>
    <m/>
    <m/>
    <m/>
    <m/>
    <m/>
    <m/>
  </r>
  <r>
    <s v="ORD10897"/>
    <s v="29-06-2025"/>
    <s v="CUST1176"/>
    <s v="Pooja Gupta"/>
    <x v="1"/>
    <s v="Kolkata"/>
    <s v="West Bengal"/>
    <x v="3"/>
    <x v="0"/>
    <x v="24"/>
    <n v="2"/>
    <n v="6000"/>
    <n v="0.05"/>
    <n v="11400"/>
    <n v="6817.57"/>
    <n v="4582.43"/>
    <n v="40.200000000000003"/>
    <x v="4"/>
    <x v="0"/>
    <x v="6"/>
    <x v="2"/>
    <n v="2025"/>
    <s v="Sunday"/>
    <n v="6"/>
    <d v="2025-05-07T00:00:00"/>
    <x v="2"/>
    <s v="VIP"/>
    <s v="Low"/>
    <s v="No"/>
    <n v="5"/>
    <s v="Pooja"/>
    <s v="Gupta"/>
    <m/>
    <m/>
    <m/>
    <m/>
    <m/>
    <m/>
    <s v="Good"/>
    <s v="Medium"/>
    <s v="No"/>
    <s v="Yes"/>
    <n v="0.40196754385964917"/>
    <m/>
    <m/>
    <m/>
    <m/>
    <m/>
    <m/>
    <m/>
    <m/>
    <m/>
    <m/>
    <m/>
    <m/>
    <m/>
    <m/>
    <m/>
  </r>
  <r>
    <s v="ORD10944"/>
    <s v="29-06-2025"/>
    <s v="CUST1224"/>
    <s v="Rohan Kumar"/>
    <x v="0"/>
    <s v="Ahmedabad"/>
    <s v="Gujarat"/>
    <x v="2"/>
    <x v="4"/>
    <x v="9"/>
    <n v="5"/>
    <n v="3000"/>
    <n v="0.15"/>
    <n v="12750"/>
    <n v="9126.4699999999993"/>
    <n v="3623.53"/>
    <n v="28.42"/>
    <x v="2"/>
    <x v="0"/>
    <x v="9"/>
    <x v="2"/>
    <n v="2025"/>
    <s v="Sunday"/>
    <n v="9"/>
    <d v="2025-08-07T00:00:00"/>
    <x v="0"/>
    <s v="VIP"/>
    <s v="High"/>
    <s v="Yes"/>
    <n v="4"/>
    <s v="Rohan"/>
    <s v="Kumar"/>
    <m/>
    <m/>
    <m/>
    <m/>
    <m/>
    <m/>
    <s v="Needs Improvement"/>
    <s v="Medium"/>
    <s v="No"/>
    <s v="Yes"/>
    <n v="0.28419843137254902"/>
    <m/>
    <m/>
    <m/>
    <m/>
    <m/>
    <m/>
    <m/>
    <m/>
    <m/>
    <m/>
    <m/>
    <m/>
    <m/>
    <m/>
    <m/>
  </r>
  <r>
    <s v="ORD10447"/>
    <s v="29-07-2024"/>
    <s v="CUST1341"/>
    <s v="Kavya Gupta"/>
    <x v="1"/>
    <s v="Kolkata"/>
    <s v="West Bengal"/>
    <x v="0"/>
    <x v="1"/>
    <x v="3"/>
    <n v="7"/>
    <n v="1200"/>
    <n v="0.05"/>
    <n v="7980"/>
    <n v="6151.24"/>
    <n v="1828.76"/>
    <n v="22.92"/>
    <x v="3"/>
    <x v="2"/>
    <x v="8"/>
    <x v="9"/>
    <n v="2024"/>
    <s v="Monday"/>
    <n v="5"/>
    <d v="2024-03-08T00:00:00"/>
    <x v="2"/>
    <s v="VIP"/>
    <s v="High"/>
    <s v="No"/>
    <n v="3"/>
    <s v="Kavya"/>
    <s v="Gupta"/>
    <m/>
    <m/>
    <m/>
    <m/>
    <m/>
    <m/>
    <s v="Needs Improvement"/>
    <s v="Low"/>
    <s v="No"/>
    <s v="Yes"/>
    <n v="0.22916791979949874"/>
    <m/>
    <m/>
    <m/>
    <m/>
    <m/>
    <m/>
    <m/>
    <m/>
    <m/>
    <m/>
    <m/>
    <m/>
    <m/>
    <m/>
    <m/>
  </r>
  <r>
    <s v="ORD10697"/>
    <s v="29-07-2024"/>
    <s v="CUST1168"/>
    <s v="Aarav Mishra"/>
    <x v="2"/>
    <s v="Pune"/>
    <s v="Maharashtra"/>
    <x v="0"/>
    <x v="0"/>
    <x v="23"/>
    <n v="2"/>
    <n v="15000"/>
    <n v="0.05"/>
    <n v="28500"/>
    <n v="20847.87"/>
    <n v="7652.13"/>
    <n v="26.85"/>
    <x v="3"/>
    <x v="2"/>
    <x v="5"/>
    <x v="9"/>
    <n v="2024"/>
    <s v="Monday"/>
    <n v="8"/>
    <d v="2024-06-08T00:00:00"/>
    <x v="0"/>
    <s v="Returning"/>
    <s v="Low"/>
    <s v="No"/>
    <n v="3"/>
    <s v="Aarav"/>
    <s v="Mishra"/>
    <m/>
    <m/>
    <m/>
    <m/>
    <m/>
    <m/>
    <s v="Needs Improvement"/>
    <s v="Medium"/>
    <s v="No"/>
    <s v="Yes"/>
    <n v="0.26849578947368419"/>
    <m/>
    <m/>
    <m/>
    <m/>
    <m/>
    <m/>
    <m/>
    <m/>
    <m/>
    <m/>
    <m/>
    <m/>
    <m/>
    <m/>
    <m/>
  </r>
  <r>
    <s v="ORD10753"/>
    <s v="29-07-2025"/>
    <s v="CUST1249"/>
    <s v="Neha Bansal"/>
    <x v="1"/>
    <s v="Hyderabad"/>
    <s v="Telangana"/>
    <x v="3"/>
    <x v="2"/>
    <x v="8"/>
    <n v="6"/>
    <n v="35000"/>
    <n v="0.15"/>
    <n v="178500"/>
    <n v="144281.60000000001"/>
    <n v="34218.400000000001"/>
    <n v="19.170000000000002"/>
    <x v="2"/>
    <x v="0"/>
    <x v="5"/>
    <x v="9"/>
    <n v="2025"/>
    <s v="Tuesday"/>
    <n v="3"/>
    <d v="2025-01-08T00:00:00"/>
    <x v="0"/>
    <s v="New"/>
    <s v="Medium"/>
    <s v="Yes"/>
    <n v="2"/>
    <s v="Neha"/>
    <s v="Bansal"/>
    <m/>
    <m/>
    <m/>
    <m/>
    <m/>
    <m/>
    <s v="Needs Improvement"/>
    <s v="High"/>
    <s v="Yes"/>
    <s v="Yes"/>
    <n v="0.1916997198879552"/>
    <m/>
    <m/>
    <m/>
    <m/>
    <m/>
    <m/>
    <m/>
    <m/>
    <m/>
    <m/>
    <m/>
    <m/>
    <m/>
    <m/>
    <m/>
  </r>
  <r>
    <s v="ORD10366"/>
    <s v="29-08-2025"/>
    <s v="CUST1059"/>
    <s v="Neha Gupta"/>
    <x v="2"/>
    <s v="Chennai"/>
    <s v="Tamil Nadu"/>
    <x v="0"/>
    <x v="2"/>
    <x v="4"/>
    <n v="4"/>
    <n v="12000"/>
    <n v="0.1"/>
    <n v="43200"/>
    <n v="33895.32"/>
    <n v="9304.68"/>
    <n v="21.54"/>
    <x v="1"/>
    <x v="1"/>
    <x v="1"/>
    <x v="10"/>
    <n v="2025"/>
    <s v="Friday"/>
    <n v="2"/>
    <s v="31-08-2025"/>
    <x v="0"/>
    <s v="VIP"/>
    <s v="High"/>
    <s v="No"/>
    <n v="3"/>
    <s v="Neha"/>
    <s v="Gupta"/>
    <m/>
    <m/>
    <m/>
    <m/>
    <m/>
    <m/>
    <s v="Needs Improvement"/>
    <s v="High"/>
    <s v="No"/>
    <s v="No"/>
    <n v="0.21538611111111111"/>
    <m/>
    <m/>
    <m/>
    <m/>
    <m/>
    <m/>
    <m/>
    <m/>
    <m/>
    <m/>
    <m/>
    <m/>
    <m/>
    <m/>
    <m/>
  </r>
  <r>
    <s v="ORD10403"/>
    <s v="29-09-2024"/>
    <s v="CUST1341"/>
    <s v="Vikram Gupta"/>
    <x v="1"/>
    <s v="Jaipur"/>
    <s v="Rajasthan"/>
    <x v="2"/>
    <x v="3"/>
    <x v="17"/>
    <n v="9"/>
    <n v="200"/>
    <n v="0"/>
    <n v="1800"/>
    <n v="1165.27"/>
    <n v="634.73"/>
    <n v="35.26"/>
    <x v="2"/>
    <x v="2"/>
    <x v="1"/>
    <x v="3"/>
    <n v="2024"/>
    <s v="Sunday"/>
    <n v="6"/>
    <d v="2024-05-10T00:00:00"/>
    <x v="2"/>
    <s v="Returning"/>
    <s v="Medium"/>
    <s v="No"/>
    <n v="5"/>
    <s v="Vikram"/>
    <s v="Gupta"/>
    <m/>
    <m/>
    <m/>
    <m/>
    <m/>
    <m/>
    <s v="Good"/>
    <s v="Low"/>
    <s v="No"/>
    <s v="Yes"/>
    <n v="0.35262777777777776"/>
    <m/>
    <m/>
    <m/>
    <m/>
    <m/>
    <m/>
    <m/>
    <m/>
    <m/>
    <m/>
    <m/>
    <m/>
    <m/>
    <m/>
    <m/>
  </r>
  <r>
    <s v="ORD10469"/>
    <s v="29-09-2024"/>
    <s v="CUST1310"/>
    <s v="Ishita Jain"/>
    <x v="0"/>
    <s v="Hyderabad"/>
    <s v="Telangana"/>
    <x v="0"/>
    <x v="4"/>
    <x v="11"/>
    <n v="7"/>
    <n v="3000"/>
    <n v="0.2"/>
    <n v="16800"/>
    <n v="12673.35"/>
    <n v="4126.6499999999996"/>
    <n v="24.56"/>
    <x v="0"/>
    <x v="2"/>
    <x v="3"/>
    <x v="3"/>
    <n v="2024"/>
    <s v="Sunday"/>
    <n v="8"/>
    <d v="2024-07-10T00:00:00"/>
    <x v="2"/>
    <s v="VIP"/>
    <s v="Medium"/>
    <s v="No"/>
    <n v="5"/>
    <s v="Ishita"/>
    <s v="Jain"/>
    <m/>
    <m/>
    <m/>
    <m/>
    <m/>
    <m/>
    <s v="Needs Improvement"/>
    <s v="Medium"/>
    <s v="No"/>
    <s v="Yes"/>
    <n v="0.24563392857142854"/>
    <m/>
    <m/>
    <m/>
    <m/>
    <m/>
    <m/>
    <m/>
    <m/>
    <m/>
    <m/>
    <m/>
    <m/>
    <m/>
    <m/>
    <m/>
  </r>
  <r>
    <s v="ORD10848"/>
    <s v="29-09-2024"/>
    <s v="CUST1272"/>
    <s v="Nisha Saxena"/>
    <x v="1"/>
    <s v="Kolkata"/>
    <s v="West Bengal"/>
    <x v="0"/>
    <x v="2"/>
    <x v="21"/>
    <n v="4"/>
    <n v="50000"/>
    <n v="0.05"/>
    <n v="190000"/>
    <n v="149840.41"/>
    <n v="40159.589999999997"/>
    <n v="21.14"/>
    <x v="4"/>
    <x v="2"/>
    <x v="5"/>
    <x v="3"/>
    <n v="2024"/>
    <s v="Sunday"/>
    <n v="9"/>
    <d v="2024-08-10T00:00:00"/>
    <x v="1"/>
    <s v="VIP"/>
    <s v="High"/>
    <s v="Yes"/>
    <n v="4"/>
    <s v="Nisha"/>
    <s v="Saxena"/>
    <m/>
    <m/>
    <m/>
    <m/>
    <m/>
    <m/>
    <s v="Needs Improvement"/>
    <s v="High"/>
    <s v="Yes"/>
    <s v="Yes"/>
    <n v="0.21136626315789472"/>
    <m/>
    <m/>
    <m/>
    <m/>
    <m/>
    <m/>
    <m/>
    <m/>
    <m/>
    <m/>
    <m/>
    <m/>
    <m/>
    <m/>
    <m/>
  </r>
  <r>
    <s v="ORD10926"/>
    <s v="29-09-2025"/>
    <s v="CUST1347"/>
    <s v="Sneha Jain"/>
    <x v="0"/>
    <s v="Jaipur"/>
    <s v="Rajasthan"/>
    <x v="2"/>
    <x v="4"/>
    <x v="19"/>
    <n v="6"/>
    <n v="2000"/>
    <n v="0.1"/>
    <n v="10800"/>
    <n v="7231.24"/>
    <n v="3568.76"/>
    <n v="33.04"/>
    <x v="2"/>
    <x v="2"/>
    <x v="0"/>
    <x v="3"/>
    <n v="2025"/>
    <s v="Monday"/>
    <n v="2"/>
    <d v="2025-01-10T00:00:00"/>
    <x v="0"/>
    <s v="Returning"/>
    <s v="Low"/>
    <s v="Yes"/>
    <n v="3"/>
    <s v="Sneha"/>
    <s v="Jain"/>
    <m/>
    <m/>
    <m/>
    <m/>
    <m/>
    <m/>
    <s v="Good"/>
    <s v="Medium"/>
    <s v="No"/>
    <s v="Yes"/>
    <n v="0.33044074074074076"/>
    <m/>
    <m/>
    <m/>
    <m/>
    <m/>
    <m/>
    <m/>
    <m/>
    <m/>
    <m/>
    <m/>
    <m/>
    <m/>
    <m/>
    <m/>
  </r>
  <r>
    <s v="ORD10190"/>
    <s v="29-10-2024"/>
    <s v="CUST1019"/>
    <s v="Nisha Yadav"/>
    <x v="1"/>
    <s v="Lucknow"/>
    <s v="Uttar Pradesh"/>
    <x v="3"/>
    <x v="1"/>
    <x v="6"/>
    <n v="3"/>
    <n v="700"/>
    <n v="0.15"/>
    <n v="1785"/>
    <n v="1176.75"/>
    <n v="608.25"/>
    <n v="34.08"/>
    <x v="0"/>
    <x v="0"/>
    <x v="6"/>
    <x v="4"/>
    <n v="2024"/>
    <s v="Tuesday"/>
    <n v="5"/>
    <d v="2024-03-11T00:00:00"/>
    <x v="2"/>
    <s v="VIP"/>
    <s v="High"/>
    <s v="No"/>
    <n v="3"/>
    <s v="Nisha"/>
    <s v="Yadav"/>
    <m/>
    <m/>
    <m/>
    <m/>
    <m/>
    <m/>
    <s v="Good"/>
    <s v="Low"/>
    <s v="No"/>
    <s v="Yes"/>
    <n v="0.34075630252100841"/>
    <m/>
    <m/>
    <m/>
    <m/>
    <m/>
    <m/>
    <m/>
    <m/>
    <m/>
    <m/>
    <m/>
    <m/>
    <m/>
    <m/>
    <m/>
  </r>
  <r>
    <s v="ORD10336"/>
    <s v="29-10-2024"/>
    <s v="CUST1343"/>
    <s v="Priya Gupta"/>
    <x v="1"/>
    <s v="Ahmedabad"/>
    <s v="Gujarat"/>
    <x v="2"/>
    <x v="2"/>
    <x v="21"/>
    <n v="4"/>
    <n v="12000"/>
    <n v="0.1"/>
    <n v="43200"/>
    <n v="23945.81"/>
    <n v="19254.189999999999"/>
    <n v="44.57"/>
    <x v="3"/>
    <x v="0"/>
    <x v="5"/>
    <x v="4"/>
    <n v="2024"/>
    <s v="Tuesday"/>
    <n v="4"/>
    <d v="2024-02-11T00:00:00"/>
    <x v="0"/>
    <s v="New"/>
    <s v="Medium"/>
    <s v="No"/>
    <n v="2"/>
    <s v="Priya"/>
    <s v="Gupta"/>
    <m/>
    <m/>
    <m/>
    <m/>
    <m/>
    <m/>
    <s v="Good"/>
    <s v="High"/>
    <s v="Yes"/>
    <s v="Yes"/>
    <n v="0.44569884259259257"/>
    <m/>
    <m/>
    <m/>
    <m/>
    <m/>
    <m/>
    <m/>
    <m/>
    <m/>
    <m/>
    <m/>
    <m/>
    <m/>
    <m/>
    <m/>
  </r>
  <r>
    <s v="ORD10369"/>
    <s v="29-10-2025"/>
    <s v="CUST1222"/>
    <s v="Aditi Jain"/>
    <x v="2"/>
    <s v="Ahmedabad"/>
    <s v="Gujarat"/>
    <x v="2"/>
    <x v="1"/>
    <x v="14"/>
    <n v="4"/>
    <n v="1800"/>
    <n v="0"/>
    <n v="7200"/>
    <n v="5523.22"/>
    <n v="1676.78"/>
    <n v="23.29"/>
    <x v="4"/>
    <x v="1"/>
    <x v="5"/>
    <x v="4"/>
    <n v="2025"/>
    <s v="Wednesday"/>
    <n v="5"/>
    <d v="2025-03-11T00:00:00"/>
    <x v="1"/>
    <s v="VIP"/>
    <s v="Medium"/>
    <s v="Yes"/>
    <n v="1"/>
    <s v="Aditi"/>
    <s v="Jain"/>
    <m/>
    <m/>
    <m/>
    <m/>
    <m/>
    <m/>
    <s v="Needs Improvement"/>
    <s v="Low"/>
    <s v="No"/>
    <s v="No"/>
    <n v="0.2328861111111111"/>
    <m/>
    <m/>
    <m/>
    <m/>
    <m/>
    <m/>
    <m/>
    <m/>
    <m/>
    <m/>
    <m/>
    <m/>
    <m/>
    <m/>
    <m/>
  </r>
  <r>
    <s v="ORD10620"/>
    <s v="29-10-2025"/>
    <s v="CUST1248"/>
    <s v="Meera Kapoor"/>
    <x v="1"/>
    <s v="Hyderabad"/>
    <s v="Telangana"/>
    <x v="1"/>
    <x v="4"/>
    <x v="19"/>
    <n v="9"/>
    <n v="2000"/>
    <n v="0.1"/>
    <n v="16200"/>
    <n v="10928.04"/>
    <n v="5271.96"/>
    <n v="32.54"/>
    <x v="1"/>
    <x v="1"/>
    <x v="2"/>
    <x v="4"/>
    <n v="2025"/>
    <s v="Wednesday"/>
    <n v="4"/>
    <d v="2025-02-11T00:00:00"/>
    <x v="0"/>
    <s v="Returning"/>
    <s v="Low"/>
    <s v="Yes"/>
    <n v="2"/>
    <s v="Meera"/>
    <s v="Kapoor"/>
    <m/>
    <m/>
    <m/>
    <m/>
    <m/>
    <m/>
    <s v="Good"/>
    <s v="Medium"/>
    <s v="No"/>
    <s v="No"/>
    <n v="0.32542962962962962"/>
    <m/>
    <m/>
    <m/>
    <m/>
    <m/>
    <m/>
    <m/>
    <m/>
    <m/>
    <m/>
    <m/>
    <m/>
    <m/>
    <m/>
    <m/>
  </r>
  <r>
    <s v="ORD10628"/>
    <s v="29-10-2025"/>
    <s v="CUST1188"/>
    <s v="Riya Agarwal"/>
    <x v="1"/>
    <s v="Jaipur"/>
    <s v="Rajasthan"/>
    <x v="0"/>
    <x v="1"/>
    <x v="6"/>
    <n v="2"/>
    <n v="3500"/>
    <n v="0.15"/>
    <n v="5950"/>
    <n v="3313.14"/>
    <n v="2636.86"/>
    <n v="44.32"/>
    <x v="4"/>
    <x v="2"/>
    <x v="5"/>
    <x v="4"/>
    <n v="2025"/>
    <s v="Wednesday"/>
    <n v="6"/>
    <d v="2025-04-11T00:00:00"/>
    <x v="0"/>
    <s v="VIP"/>
    <s v="Low"/>
    <s v="No"/>
    <n v="3"/>
    <s v="Riya"/>
    <s v="Agarwal"/>
    <m/>
    <m/>
    <m/>
    <m/>
    <m/>
    <m/>
    <s v="Good"/>
    <s v="Low"/>
    <s v="No"/>
    <s v="Yes"/>
    <n v="0.44316974789915969"/>
    <m/>
    <m/>
    <m/>
    <m/>
    <m/>
    <m/>
    <m/>
    <m/>
    <m/>
    <m/>
    <m/>
    <m/>
    <m/>
    <m/>
    <m/>
  </r>
  <r>
    <s v="ORD10246"/>
    <s v="29-11-2024"/>
    <s v="CUST1096"/>
    <s v="Aditi Kumar"/>
    <x v="2"/>
    <s v="Delhi"/>
    <s v="Delhi"/>
    <x v="0"/>
    <x v="2"/>
    <x v="4"/>
    <n v="7"/>
    <n v="35000"/>
    <n v="0"/>
    <n v="245000"/>
    <n v="191760.85"/>
    <n v="53239.15"/>
    <n v="21.73"/>
    <x v="4"/>
    <x v="0"/>
    <x v="3"/>
    <x v="11"/>
    <n v="2024"/>
    <s v="Friday"/>
    <n v="6"/>
    <d v="2024-05-12T00:00:00"/>
    <x v="1"/>
    <s v="Returning"/>
    <s v="Low"/>
    <s v="No"/>
    <n v="4"/>
    <s v="Aditi"/>
    <s v="Kumar"/>
    <m/>
    <m/>
    <m/>
    <m/>
    <m/>
    <m/>
    <s v="Needs Improvement"/>
    <s v="High"/>
    <s v="Yes"/>
    <s v="Yes"/>
    <n v="0.21730265306122448"/>
    <m/>
    <m/>
    <m/>
    <m/>
    <m/>
    <m/>
    <m/>
    <m/>
    <m/>
    <m/>
    <m/>
    <m/>
    <m/>
    <m/>
    <m/>
  </r>
  <r>
    <s v="ORD10052"/>
    <s v="29-11-2025"/>
    <s v="CUST1313"/>
    <s v="Pooja Bansal"/>
    <x v="1"/>
    <s v="Kolkata"/>
    <s v="West Bengal"/>
    <x v="3"/>
    <x v="0"/>
    <x v="1"/>
    <n v="9"/>
    <n v="9000"/>
    <n v="0.2"/>
    <n v="64800"/>
    <n v="38703.01"/>
    <n v="26096.99"/>
    <n v="40.270000000000003"/>
    <x v="4"/>
    <x v="0"/>
    <x v="4"/>
    <x v="11"/>
    <n v="2025"/>
    <s v="Saturday"/>
    <n v="3"/>
    <d v="2025-02-12T00:00:00"/>
    <x v="0"/>
    <s v="New"/>
    <s v="Medium"/>
    <s v="No"/>
    <n v="4"/>
    <s v="Pooja"/>
    <s v="Bansal"/>
    <m/>
    <m/>
    <m/>
    <m/>
    <m/>
    <m/>
    <s v="Good"/>
    <s v="High"/>
    <s v="Yes"/>
    <s v="Yes"/>
    <n v="0.40273132716049387"/>
    <m/>
    <m/>
    <m/>
    <m/>
    <m/>
    <m/>
    <m/>
    <m/>
    <m/>
    <m/>
    <m/>
    <m/>
    <m/>
    <m/>
    <m/>
  </r>
  <r>
    <s v="ORD10682"/>
    <s v="29-12-2024"/>
    <s v="CUST1226"/>
    <s v="Arjun Chopra"/>
    <x v="0"/>
    <s v="Pune"/>
    <s v="Maharashtra"/>
    <x v="1"/>
    <x v="0"/>
    <x v="23"/>
    <n v="5"/>
    <n v="4000"/>
    <n v="0.05"/>
    <n v="19000"/>
    <n v="14952.28"/>
    <n v="4047.72"/>
    <n v="21.3"/>
    <x v="4"/>
    <x v="0"/>
    <x v="6"/>
    <x v="5"/>
    <n v="2024"/>
    <s v="Sunday"/>
    <n v="1"/>
    <s v="30-12-2024"/>
    <x v="0"/>
    <s v="Returning"/>
    <s v="Low"/>
    <s v="No"/>
    <n v="4"/>
    <s v="Arjun"/>
    <s v="Chopra"/>
    <m/>
    <m/>
    <m/>
    <m/>
    <m/>
    <m/>
    <s v="Needs Improvement"/>
    <s v="Medium"/>
    <s v="No"/>
    <s v="Yes"/>
    <n v="0.21303789473684209"/>
    <m/>
    <m/>
    <m/>
    <m/>
    <m/>
    <m/>
    <m/>
    <m/>
    <m/>
    <m/>
    <m/>
    <m/>
    <m/>
    <m/>
    <m/>
  </r>
  <r>
    <s v="ORD10305"/>
    <s v="29-12-2025"/>
    <s v="CUST1306"/>
    <s v="Riya Jain"/>
    <x v="1"/>
    <s v="Lucknow"/>
    <s v="Uttar Pradesh"/>
    <x v="1"/>
    <x v="3"/>
    <x v="22"/>
    <n v="4"/>
    <n v="200"/>
    <n v="0"/>
    <n v="800"/>
    <n v="464.69"/>
    <n v="335.31"/>
    <n v="41.91"/>
    <x v="4"/>
    <x v="2"/>
    <x v="0"/>
    <x v="5"/>
    <n v="2025"/>
    <s v="Monday"/>
    <n v="10"/>
    <d v="2026-08-01T00:00:00"/>
    <x v="2"/>
    <s v="Returning"/>
    <s v="Low"/>
    <s v="Yes"/>
    <n v="5"/>
    <s v="Riya"/>
    <s v="Jain"/>
    <m/>
    <m/>
    <m/>
    <m/>
    <m/>
    <m/>
    <s v="Good"/>
    <s v="Low"/>
    <s v="No"/>
    <s v="Yes"/>
    <n v="0.4191375"/>
    <m/>
    <m/>
    <m/>
    <m/>
    <m/>
    <m/>
    <m/>
    <m/>
    <m/>
    <m/>
    <m/>
    <m/>
    <m/>
    <m/>
    <m/>
  </r>
  <r>
    <s v="ORD10863"/>
    <s v="29-12-2025"/>
    <s v="CUST1064"/>
    <s v="Aditi Sharma"/>
    <x v="1"/>
    <s v="Kolkata"/>
    <s v="West Bengal"/>
    <x v="3"/>
    <x v="0"/>
    <x v="1"/>
    <n v="2"/>
    <n v="2500"/>
    <n v="0"/>
    <n v="5000"/>
    <n v="3460.39"/>
    <n v="1539.61"/>
    <n v="30.79"/>
    <x v="2"/>
    <x v="0"/>
    <x v="2"/>
    <x v="5"/>
    <n v="2025"/>
    <s v="Monday"/>
    <n v="10"/>
    <d v="2026-08-01T00:00:00"/>
    <x v="2"/>
    <s v="VIP"/>
    <s v="High"/>
    <s v="Yes"/>
    <n v="4"/>
    <s v="Aditi"/>
    <s v="Sharma"/>
    <m/>
    <m/>
    <m/>
    <m/>
    <m/>
    <m/>
    <s v="Good"/>
    <s v="Low"/>
    <s v="No"/>
    <s v="Yes"/>
    <n v="0.30792199999999997"/>
    <m/>
    <m/>
    <m/>
    <m/>
    <m/>
    <m/>
    <m/>
    <m/>
    <m/>
    <m/>
    <m/>
    <m/>
    <m/>
    <m/>
    <m/>
  </r>
  <r>
    <s v="ORD10140"/>
    <s v="30-01-2024"/>
    <s v="CUST1220"/>
    <s v="Pooja Sharma"/>
    <x v="1"/>
    <s v="Hyderabad"/>
    <s v="Telangana"/>
    <x v="3"/>
    <x v="1"/>
    <x v="2"/>
    <n v="3"/>
    <n v="2500"/>
    <n v="0.15"/>
    <n v="6375"/>
    <n v="4280.08"/>
    <n v="2094.92"/>
    <n v="32.86"/>
    <x v="2"/>
    <x v="1"/>
    <x v="2"/>
    <x v="6"/>
    <n v="2024"/>
    <s v="Tuesday"/>
    <n v="10"/>
    <d v="2024-09-02T00:00:00"/>
    <x v="0"/>
    <s v="VIP"/>
    <s v="Low"/>
    <s v="Yes"/>
    <n v="3"/>
    <s v="Pooja"/>
    <s v="Sharma"/>
    <m/>
    <m/>
    <m/>
    <m/>
    <m/>
    <m/>
    <s v="Good"/>
    <s v="Low"/>
    <s v="No"/>
    <s v="No"/>
    <n v="0.3286149019607843"/>
    <m/>
    <m/>
    <m/>
    <m/>
    <m/>
    <m/>
    <m/>
    <m/>
    <m/>
    <m/>
    <m/>
    <m/>
    <m/>
    <m/>
    <m/>
  </r>
  <r>
    <s v="ORD10350"/>
    <s v="30-01-2024"/>
    <s v="CUST1035"/>
    <s v="Simran Yadav"/>
    <x v="0"/>
    <s v="Mumbai"/>
    <s v="Maharashtra"/>
    <x v="2"/>
    <x v="3"/>
    <x v="18"/>
    <n v="3"/>
    <n v="500"/>
    <n v="0.05"/>
    <n v="1425"/>
    <n v="973.45"/>
    <n v="451.55"/>
    <n v="31.69"/>
    <x v="3"/>
    <x v="1"/>
    <x v="0"/>
    <x v="6"/>
    <n v="2024"/>
    <s v="Tuesday"/>
    <n v="2"/>
    <d v="2024-01-02T00:00:00"/>
    <x v="0"/>
    <s v="VIP"/>
    <s v="High"/>
    <s v="No"/>
    <n v="1"/>
    <s v="Simran"/>
    <s v="Yadav"/>
    <m/>
    <m/>
    <m/>
    <m/>
    <m/>
    <m/>
    <s v="Good"/>
    <s v="Low"/>
    <s v="No"/>
    <s v="No"/>
    <n v="0.31687719298245615"/>
    <m/>
    <m/>
    <m/>
    <m/>
    <m/>
    <m/>
    <m/>
    <m/>
    <m/>
    <m/>
    <m/>
    <m/>
    <m/>
    <m/>
    <m/>
  </r>
  <r>
    <s v="ORD10741"/>
    <s v="30-03-2024"/>
    <s v="CUST1175"/>
    <s v="Simran Verma"/>
    <x v="2"/>
    <s v="Bengaluru"/>
    <s v="Karnataka"/>
    <x v="2"/>
    <x v="3"/>
    <x v="5"/>
    <n v="3"/>
    <n v="800"/>
    <n v="0.05"/>
    <n v="2280"/>
    <n v="1699.14"/>
    <n v="580.86"/>
    <n v="25.48"/>
    <x v="0"/>
    <x v="0"/>
    <x v="2"/>
    <x v="0"/>
    <n v="2024"/>
    <s v="Saturday"/>
    <n v="2"/>
    <d v="2024-01-04T00:00:00"/>
    <x v="0"/>
    <s v="VIP"/>
    <s v="Low"/>
    <s v="Yes"/>
    <n v="2"/>
    <s v="Simran"/>
    <s v="Verma"/>
    <m/>
    <m/>
    <m/>
    <m/>
    <m/>
    <m/>
    <s v="Needs Improvement"/>
    <s v="Low"/>
    <s v="No"/>
    <s v="Yes"/>
    <n v="0.25476315789473686"/>
    <m/>
    <m/>
    <m/>
    <m/>
    <m/>
    <m/>
    <m/>
    <m/>
    <m/>
    <m/>
    <m/>
    <m/>
    <m/>
    <m/>
    <m/>
  </r>
  <r>
    <s v="ORD10059"/>
    <s v="30-03-2025"/>
    <s v="CUST1051"/>
    <s v="Sneha Kapoor"/>
    <x v="1"/>
    <s v="Lucknow"/>
    <s v="Uttar Pradesh"/>
    <x v="0"/>
    <x v="1"/>
    <x v="6"/>
    <n v="1"/>
    <n v="1800"/>
    <n v="0.05"/>
    <n v="1710"/>
    <n v="1335.46"/>
    <n v="374.54"/>
    <n v="21.9"/>
    <x v="1"/>
    <x v="1"/>
    <x v="0"/>
    <x v="0"/>
    <n v="2025"/>
    <s v="Sunday"/>
    <n v="8"/>
    <d v="2025-07-04T00:00:00"/>
    <x v="0"/>
    <s v="New"/>
    <s v="Low"/>
    <s v="No"/>
    <n v="1"/>
    <s v="Sneha"/>
    <s v="Kapoor"/>
    <m/>
    <m/>
    <m/>
    <m/>
    <m/>
    <m/>
    <s v="Needs Improvement"/>
    <s v="Low"/>
    <s v="No"/>
    <s v="No"/>
    <n v="0.21902923976608188"/>
    <m/>
    <m/>
    <m/>
    <m/>
    <m/>
    <m/>
    <m/>
    <m/>
    <m/>
    <m/>
    <m/>
    <m/>
    <m/>
    <m/>
    <m/>
  </r>
  <r>
    <s v="ORD10341"/>
    <s v="30-03-2025"/>
    <s v="CUST1012"/>
    <s v="Vikram Chopra"/>
    <x v="1"/>
    <s v="Kolkata"/>
    <s v="West Bengal"/>
    <x v="0"/>
    <x v="4"/>
    <x v="9"/>
    <n v="8"/>
    <n v="1200"/>
    <n v="0.15"/>
    <n v="8160"/>
    <n v="4904.54"/>
    <n v="3255.46"/>
    <n v="39.9"/>
    <x v="4"/>
    <x v="0"/>
    <x v="3"/>
    <x v="0"/>
    <n v="2025"/>
    <s v="Sunday"/>
    <n v="1"/>
    <s v="31-03-2025"/>
    <x v="0"/>
    <s v="VIP"/>
    <s v="High"/>
    <s v="No"/>
    <n v="4"/>
    <s v="Vikram"/>
    <s v="Chopra"/>
    <m/>
    <m/>
    <m/>
    <m/>
    <m/>
    <m/>
    <s v="Good"/>
    <s v="Low"/>
    <s v="No"/>
    <s v="Yes"/>
    <n v="0.39895343137254902"/>
    <m/>
    <m/>
    <m/>
    <m/>
    <m/>
    <m/>
    <m/>
    <m/>
    <m/>
    <m/>
    <m/>
    <m/>
    <m/>
    <m/>
    <m/>
  </r>
  <r>
    <s v="ORD10943"/>
    <s v="30-03-2025"/>
    <s v="CUST1053"/>
    <s v="Pooja Gupta"/>
    <x v="2"/>
    <s v="Pune"/>
    <s v="Maharashtra"/>
    <x v="0"/>
    <x v="1"/>
    <x v="20"/>
    <n v="5"/>
    <n v="1200"/>
    <n v="0"/>
    <n v="6000"/>
    <n v="4208.55"/>
    <n v="1791.45"/>
    <n v="29.86"/>
    <x v="3"/>
    <x v="2"/>
    <x v="1"/>
    <x v="0"/>
    <n v="2025"/>
    <s v="Sunday"/>
    <n v="1"/>
    <s v="31-03-2025"/>
    <x v="0"/>
    <s v="Returning"/>
    <s v="High"/>
    <s v="Yes"/>
    <n v="1"/>
    <s v="Pooja"/>
    <s v="Gupta"/>
    <m/>
    <m/>
    <m/>
    <m/>
    <m/>
    <m/>
    <s v="Needs Improvement"/>
    <s v="Low"/>
    <s v="No"/>
    <s v="Yes"/>
    <n v="0.29857500000000003"/>
    <m/>
    <m/>
    <m/>
    <m/>
    <m/>
    <m/>
    <m/>
    <m/>
    <m/>
    <m/>
    <m/>
    <m/>
    <m/>
    <m/>
    <m/>
  </r>
  <r>
    <s v="ORD10198"/>
    <s v="30-04-2024"/>
    <s v="CUST1255"/>
    <s v="Rahul Bansal"/>
    <x v="2"/>
    <s v="Lucknow"/>
    <s v="Uttar Pradesh"/>
    <x v="0"/>
    <x v="0"/>
    <x v="23"/>
    <n v="2"/>
    <n v="15000"/>
    <n v="0.2"/>
    <n v="24000"/>
    <n v="18285.25"/>
    <n v="5714.75"/>
    <n v="23.81"/>
    <x v="3"/>
    <x v="2"/>
    <x v="3"/>
    <x v="8"/>
    <n v="2024"/>
    <s v="Tuesday"/>
    <n v="5"/>
    <d v="2024-05-05T00:00:00"/>
    <x v="0"/>
    <s v="VIP"/>
    <s v="Medium"/>
    <s v="No"/>
    <n v="2"/>
    <s v="Rahul"/>
    <s v="Bansal"/>
    <m/>
    <m/>
    <m/>
    <m/>
    <m/>
    <m/>
    <s v="Needs Improvement"/>
    <s v="Medium"/>
    <s v="No"/>
    <s v="Yes"/>
    <n v="0.23811458333333332"/>
    <m/>
    <m/>
    <m/>
    <m/>
    <m/>
    <m/>
    <m/>
    <m/>
    <m/>
    <m/>
    <m/>
    <m/>
    <m/>
    <m/>
    <m/>
  </r>
  <r>
    <s v="ORD10101"/>
    <s v="30-04-2025"/>
    <s v="CUST1264"/>
    <s v="Rohan Jain"/>
    <x v="1"/>
    <s v="Delhi"/>
    <s v="Delhi"/>
    <x v="0"/>
    <x v="2"/>
    <x v="7"/>
    <n v="3"/>
    <n v="50000"/>
    <n v="0.1"/>
    <n v="135000"/>
    <n v="79678.89"/>
    <n v="55321.11"/>
    <n v="40.98"/>
    <x v="2"/>
    <x v="1"/>
    <x v="5"/>
    <x v="8"/>
    <n v="2025"/>
    <s v="Wednesday"/>
    <n v="9"/>
    <d v="2025-09-05T00:00:00"/>
    <x v="2"/>
    <s v="VIP"/>
    <s v="Medium"/>
    <s v="No"/>
    <n v="5"/>
    <s v="Rohan"/>
    <s v="Jain"/>
    <m/>
    <m/>
    <m/>
    <m/>
    <m/>
    <m/>
    <s v="Good"/>
    <s v="High"/>
    <s v="Yes"/>
    <s v="No"/>
    <n v="0.40978599999999998"/>
    <m/>
    <m/>
    <m/>
    <m/>
    <m/>
    <m/>
    <m/>
    <m/>
    <m/>
    <m/>
    <m/>
    <m/>
    <m/>
    <m/>
    <m/>
  </r>
  <r>
    <s v="ORD10672"/>
    <s v="30-04-2025"/>
    <s v="CUST1138"/>
    <s v="Vikram Saxena"/>
    <x v="0"/>
    <s v="Bengaluru"/>
    <s v="Karnataka"/>
    <x v="2"/>
    <x v="0"/>
    <x v="0"/>
    <n v="3"/>
    <n v="6000"/>
    <n v="0.2"/>
    <n v="14400"/>
    <n v="10951.69"/>
    <n v="3448.31"/>
    <n v="23.95"/>
    <x v="0"/>
    <x v="1"/>
    <x v="4"/>
    <x v="8"/>
    <n v="2025"/>
    <s v="Wednesday"/>
    <n v="10"/>
    <d v="2025-10-05T00:00:00"/>
    <x v="2"/>
    <s v="Returning"/>
    <s v="Medium"/>
    <s v="No"/>
    <n v="3"/>
    <s v="Vikram"/>
    <s v="Saxena"/>
    <m/>
    <m/>
    <m/>
    <m/>
    <m/>
    <m/>
    <s v="Needs Improvement"/>
    <s v="Medium"/>
    <s v="No"/>
    <s v="No"/>
    <n v="0.23946597222222221"/>
    <m/>
    <m/>
    <m/>
    <m/>
    <m/>
    <m/>
    <m/>
    <m/>
    <m/>
    <m/>
    <m/>
    <m/>
    <m/>
    <m/>
    <m/>
  </r>
  <r>
    <s v="ORD10626"/>
    <s v="30-05-2024"/>
    <s v="CUST1001"/>
    <s v="Neha Verma"/>
    <x v="2"/>
    <s v="Bengaluru"/>
    <s v="Karnataka"/>
    <x v="3"/>
    <x v="2"/>
    <x v="4"/>
    <n v="4"/>
    <n v="8000"/>
    <n v="0.2"/>
    <n v="25600"/>
    <n v="17366.41"/>
    <n v="8233.59"/>
    <n v="32.159999999999997"/>
    <x v="3"/>
    <x v="1"/>
    <x v="1"/>
    <x v="1"/>
    <n v="2024"/>
    <s v="Thursday"/>
    <n v="3"/>
    <d v="2024-02-06T00:00:00"/>
    <x v="0"/>
    <s v="VIP"/>
    <s v="Medium"/>
    <s v="No"/>
    <n v="3"/>
    <s v="Neha"/>
    <s v="Verma"/>
    <m/>
    <m/>
    <m/>
    <m/>
    <m/>
    <m/>
    <s v="Good"/>
    <s v="Medium"/>
    <s v="No"/>
    <s v="No"/>
    <n v="0.32162460937499998"/>
    <m/>
    <m/>
    <m/>
    <m/>
    <m/>
    <m/>
    <m/>
    <m/>
    <m/>
    <m/>
    <m/>
    <m/>
    <m/>
    <m/>
    <m/>
  </r>
  <r>
    <s v="ORD10958"/>
    <s v="30-05-2024"/>
    <s v="CUST1271"/>
    <s v="Ananya Singh"/>
    <x v="1"/>
    <s v="Bengaluru"/>
    <s v="Karnataka"/>
    <x v="2"/>
    <x v="1"/>
    <x v="6"/>
    <n v="3"/>
    <n v="2500"/>
    <n v="0"/>
    <n v="7500"/>
    <n v="4233.28"/>
    <n v="3266.72"/>
    <n v="43.56"/>
    <x v="0"/>
    <x v="2"/>
    <x v="1"/>
    <x v="1"/>
    <n v="2024"/>
    <s v="Thursday"/>
    <n v="2"/>
    <d v="2024-01-06T00:00:00"/>
    <x v="0"/>
    <s v="Returning"/>
    <s v="High"/>
    <s v="No"/>
    <n v="5"/>
    <s v="Ananya"/>
    <s v="Singh"/>
    <m/>
    <m/>
    <m/>
    <m/>
    <m/>
    <m/>
    <s v="Good"/>
    <s v="Low"/>
    <s v="No"/>
    <s v="Yes"/>
    <n v="0.43556266666666665"/>
    <m/>
    <m/>
    <m/>
    <m/>
    <m/>
    <m/>
    <m/>
    <m/>
    <m/>
    <m/>
    <m/>
    <m/>
    <m/>
    <m/>
    <m/>
  </r>
  <r>
    <s v="ORD10993"/>
    <s v="30-05-2024"/>
    <s v="CUST1018"/>
    <s v="Vivaan Mehta"/>
    <x v="0"/>
    <s v="Chennai"/>
    <s v="Tamil Nadu"/>
    <x v="1"/>
    <x v="3"/>
    <x v="10"/>
    <n v="6"/>
    <n v="800"/>
    <n v="0.1"/>
    <n v="4320"/>
    <n v="2828.47"/>
    <n v="1491.53"/>
    <n v="34.53"/>
    <x v="1"/>
    <x v="1"/>
    <x v="5"/>
    <x v="1"/>
    <n v="2024"/>
    <s v="Thursday"/>
    <n v="1"/>
    <s v="31-05-2024"/>
    <x v="0"/>
    <s v="Returning"/>
    <s v="High"/>
    <s v="Yes"/>
    <n v="1"/>
    <s v="Vivaan"/>
    <s v="Mehta"/>
    <m/>
    <m/>
    <m/>
    <m/>
    <m/>
    <m/>
    <s v="Good"/>
    <s v="Low"/>
    <s v="No"/>
    <s v="No"/>
    <n v="0.34526157407407404"/>
    <m/>
    <m/>
    <m/>
    <m/>
    <m/>
    <m/>
    <m/>
    <m/>
    <m/>
    <m/>
    <m/>
    <m/>
    <m/>
    <m/>
    <m/>
  </r>
  <r>
    <s v="ORD10195"/>
    <s v="30-05-2025"/>
    <s v="CUST1024"/>
    <s v="Priya Kumar"/>
    <x v="0"/>
    <s v="Hyderabad"/>
    <s v="Telangana"/>
    <x v="0"/>
    <x v="3"/>
    <x v="17"/>
    <n v="3"/>
    <n v="100"/>
    <n v="0.15"/>
    <n v="255"/>
    <n v="151.75"/>
    <n v="103.25"/>
    <n v="40.49"/>
    <x v="4"/>
    <x v="0"/>
    <x v="4"/>
    <x v="1"/>
    <n v="2025"/>
    <s v="Friday"/>
    <n v="10"/>
    <d v="2025-09-06T00:00:00"/>
    <x v="0"/>
    <s v="Returning"/>
    <s v="Medium"/>
    <s v="No"/>
    <n v="2"/>
    <s v="Priya"/>
    <s v="Kumar"/>
    <m/>
    <m/>
    <m/>
    <m/>
    <m/>
    <m/>
    <s v="Good"/>
    <s v="Low"/>
    <s v="No"/>
    <s v="Yes"/>
    <n v="0.40490196078431373"/>
    <m/>
    <m/>
    <m/>
    <m/>
    <m/>
    <m/>
    <m/>
    <m/>
    <m/>
    <m/>
    <m/>
    <m/>
    <m/>
    <m/>
    <m/>
  </r>
  <r>
    <s v="ORD10213"/>
    <s v="30-06-2024"/>
    <s v="CUST1264"/>
    <s v="Arjun Mehta"/>
    <x v="2"/>
    <s v="Ahmedabad"/>
    <s v="Gujarat"/>
    <x v="2"/>
    <x v="4"/>
    <x v="9"/>
    <n v="4"/>
    <n v="1200"/>
    <n v="0.15"/>
    <n v="4080"/>
    <n v="3304.26"/>
    <n v="775.74"/>
    <n v="19.010000000000002"/>
    <x v="0"/>
    <x v="0"/>
    <x v="0"/>
    <x v="2"/>
    <n v="2024"/>
    <s v="Sunday"/>
    <n v="2"/>
    <d v="2024-02-07T00:00:00"/>
    <x v="0"/>
    <s v="New"/>
    <s v="Low"/>
    <s v="No"/>
    <n v="1"/>
    <s v="Arjun"/>
    <s v="Mehta"/>
    <m/>
    <m/>
    <m/>
    <m/>
    <m/>
    <m/>
    <s v="Needs Improvement"/>
    <s v="Low"/>
    <s v="No"/>
    <s v="Yes"/>
    <n v="0.19013235294117647"/>
    <m/>
    <m/>
    <m/>
    <m/>
    <m/>
    <m/>
    <m/>
    <m/>
    <m/>
    <m/>
    <m/>
    <m/>
    <m/>
    <m/>
    <m/>
  </r>
  <r>
    <s v="ORD10510"/>
    <s v="30-06-2024"/>
    <s v="CUST1074"/>
    <s v="Aditya Mehta"/>
    <x v="2"/>
    <s v="Jaipur"/>
    <s v="Rajasthan"/>
    <x v="2"/>
    <x v="0"/>
    <x v="24"/>
    <n v="1"/>
    <n v="6000"/>
    <n v="0.05"/>
    <n v="5700"/>
    <n v="3424.1"/>
    <n v="2275.9"/>
    <n v="39.93"/>
    <x v="4"/>
    <x v="2"/>
    <x v="8"/>
    <x v="2"/>
    <n v="2024"/>
    <s v="Sunday"/>
    <n v="7"/>
    <d v="2024-07-07T00:00:00"/>
    <x v="1"/>
    <s v="New"/>
    <s v="High"/>
    <s v="Yes"/>
    <n v="5"/>
    <s v="Aditya"/>
    <s v="Mehta"/>
    <m/>
    <m/>
    <m/>
    <m/>
    <m/>
    <m/>
    <s v="Good"/>
    <s v="Low"/>
    <s v="No"/>
    <s v="Yes"/>
    <n v="0.39928070175438596"/>
    <m/>
    <m/>
    <m/>
    <m/>
    <m/>
    <m/>
    <m/>
    <m/>
    <m/>
    <m/>
    <m/>
    <m/>
    <m/>
    <m/>
    <m/>
  </r>
  <r>
    <s v="ORD10561"/>
    <s v="30-06-2024"/>
    <s v="CUST1005"/>
    <s v="Simran Jain"/>
    <x v="0"/>
    <s v="Bengaluru"/>
    <s v="Karnataka"/>
    <x v="1"/>
    <x v="2"/>
    <x v="21"/>
    <n v="7"/>
    <n v="15000"/>
    <n v="0"/>
    <n v="105000"/>
    <n v="62590.06"/>
    <n v="42409.94"/>
    <n v="40.39"/>
    <x v="4"/>
    <x v="2"/>
    <x v="9"/>
    <x v="2"/>
    <n v="2024"/>
    <s v="Sunday"/>
    <n v="5"/>
    <d v="2024-05-07T00:00:00"/>
    <x v="0"/>
    <s v="New"/>
    <s v="Low"/>
    <s v="Yes"/>
    <n v="5"/>
    <s v="Simran"/>
    <s v="Jain"/>
    <m/>
    <m/>
    <m/>
    <m/>
    <m/>
    <m/>
    <s v="Good"/>
    <s v="High"/>
    <s v="Yes"/>
    <s v="Yes"/>
    <n v="0.40390419047619047"/>
    <m/>
    <m/>
    <m/>
    <m/>
    <m/>
    <m/>
    <m/>
    <m/>
    <m/>
    <m/>
    <m/>
    <m/>
    <m/>
    <m/>
    <m/>
  </r>
  <r>
    <s v="ORD10030"/>
    <s v="30-06-2025"/>
    <s v="CUST1340"/>
    <s v="Aarav Verma"/>
    <x v="1"/>
    <s v="Chennai"/>
    <s v="Tamil Nadu"/>
    <x v="2"/>
    <x v="1"/>
    <x v="2"/>
    <n v="8"/>
    <n v="1200"/>
    <n v="0.2"/>
    <n v="7680"/>
    <n v="5451.35"/>
    <n v="2228.65"/>
    <n v="29.02"/>
    <x v="2"/>
    <x v="1"/>
    <x v="4"/>
    <x v="2"/>
    <n v="2025"/>
    <s v="Monday"/>
    <n v="1"/>
    <d v="2025-01-07T00:00:00"/>
    <x v="2"/>
    <s v="New"/>
    <s v="Medium"/>
    <s v="No"/>
    <n v="3"/>
    <s v="Aarav"/>
    <s v="Verma"/>
    <m/>
    <m/>
    <m/>
    <m/>
    <m/>
    <m/>
    <s v="Needs Improvement"/>
    <s v="Low"/>
    <s v="No"/>
    <s v="No"/>
    <n v="0.29018880208333336"/>
    <m/>
    <m/>
    <m/>
    <m/>
    <m/>
    <m/>
    <m/>
    <m/>
    <m/>
    <m/>
    <m/>
    <m/>
    <m/>
    <m/>
    <m/>
  </r>
  <r>
    <s v="ORD10170"/>
    <s v="30-06-2025"/>
    <s v="CUST1199"/>
    <s v="Sneha Saxena"/>
    <x v="2"/>
    <s v="Hyderabad"/>
    <s v="Telangana"/>
    <x v="3"/>
    <x v="0"/>
    <x v="15"/>
    <n v="4"/>
    <n v="4000"/>
    <n v="0.1"/>
    <n v="14400"/>
    <n v="10158.290000000001"/>
    <n v="4241.71"/>
    <n v="29.46"/>
    <x v="2"/>
    <x v="0"/>
    <x v="3"/>
    <x v="2"/>
    <n v="2025"/>
    <s v="Monday"/>
    <n v="1"/>
    <d v="2025-01-07T00:00:00"/>
    <x v="0"/>
    <s v="VIP"/>
    <s v="High"/>
    <s v="No"/>
    <n v="5"/>
    <s v="Sneha"/>
    <s v="Saxena"/>
    <m/>
    <m/>
    <m/>
    <m/>
    <m/>
    <m/>
    <s v="Needs Improvement"/>
    <s v="Medium"/>
    <s v="No"/>
    <s v="Yes"/>
    <n v="0.29456319444444445"/>
    <m/>
    <m/>
    <m/>
    <m/>
    <m/>
    <m/>
    <m/>
    <m/>
    <m/>
    <m/>
    <m/>
    <m/>
    <m/>
    <m/>
    <m/>
  </r>
  <r>
    <s v="ORD10344"/>
    <s v="30-06-2025"/>
    <s v="CUST1208"/>
    <s v="Kavya Agarwal"/>
    <x v="2"/>
    <s v="Chennai"/>
    <s v="Tamil Nadu"/>
    <x v="2"/>
    <x v="0"/>
    <x v="24"/>
    <n v="8"/>
    <n v="15000"/>
    <n v="0.05"/>
    <n v="114000"/>
    <n v="91030.96"/>
    <n v="22969.040000000001"/>
    <n v="20.149999999999999"/>
    <x v="0"/>
    <x v="2"/>
    <x v="7"/>
    <x v="2"/>
    <n v="2025"/>
    <s v="Monday"/>
    <n v="5"/>
    <d v="2025-05-07T00:00:00"/>
    <x v="0"/>
    <s v="VIP"/>
    <s v="High"/>
    <s v="No"/>
    <n v="3"/>
    <s v="Kavya"/>
    <s v="Agarwal"/>
    <m/>
    <m/>
    <m/>
    <m/>
    <m/>
    <m/>
    <s v="Needs Improvement"/>
    <s v="High"/>
    <s v="Yes"/>
    <s v="Yes"/>
    <n v="0.20148280701754387"/>
    <m/>
    <m/>
    <m/>
    <m/>
    <m/>
    <m/>
    <m/>
    <m/>
    <m/>
    <m/>
    <m/>
    <m/>
    <m/>
    <m/>
    <m/>
  </r>
  <r>
    <s v="ORD10420"/>
    <s v="30-06-2025"/>
    <s v="CUST1203"/>
    <s v="Arjun Chopra"/>
    <x v="2"/>
    <s v="Hyderabad"/>
    <s v="Telangana"/>
    <x v="0"/>
    <x v="4"/>
    <x v="13"/>
    <n v="5"/>
    <n v="500"/>
    <n v="0.05"/>
    <n v="2375"/>
    <n v="1499.03"/>
    <n v="875.97"/>
    <n v="36.880000000000003"/>
    <x v="4"/>
    <x v="2"/>
    <x v="5"/>
    <x v="2"/>
    <n v="2025"/>
    <s v="Monday"/>
    <n v="10"/>
    <d v="2025-10-07T00:00:00"/>
    <x v="0"/>
    <s v="VIP"/>
    <s v="Medium"/>
    <s v="No"/>
    <n v="3"/>
    <s v="Arjun"/>
    <s v="Chopra"/>
    <m/>
    <m/>
    <m/>
    <m/>
    <m/>
    <m/>
    <s v="Good"/>
    <s v="Low"/>
    <s v="No"/>
    <s v="Yes"/>
    <n v="0.36882947368421054"/>
    <m/>
    <m/>
    <m/>
    <m/>
    <m/>
    <m/>
    <m/>
    <m/>
    <m/>
    <m/>
    <m/>
    <m/>
    <m/>
    <m/>
    <m/>
  </r>
  <r>
    <s v="ORD10117"/>
    <s v="30-07-2024"/>
    <s v="CUST1229"/>
    <s v="Simran Mishra"/>
    <x v="1"/>
    <s v="Mumbai"/>
    <s v="Maharashtra"/>
    <x v="1"/>
    <x v="2"/>
    <x v="21"/>
    <n v="10"/>
    <n v="8000"/>
    <n v="0.05"/>
    <n v="76000"/>
    <n v="53987.73"/>
    <n v="22012.27"/>
    <n v="28.96"/>
    <x v="2"/>
    <x v="0"/>
    <x v="7"/>
    <x v="9"/>
    <n v="2024"/>
    <s v="Tuesday"/>
    <n v="2"/>
    <d v="2024-01-08T00:00:00"/>
    <x v="0"/>
    <s v="Returning"/>
    <s v="Medium"/>
    <s v="Yes"/>
    <n v="5"/>
    <s v="Simran"/>
    <s v="Mishra"/>
    <m/>
    <m/>
    <m/>
    <m/>
    <m/>
    <m/>
    <s v="Needs Improvement"/>
    <s v="High"/>
    <s v="Yes"/>
    <s v="Yes"/>
    <n v="0.28963513157894738"/>
    <m/>
    <m/>
    <m/>
    <m/>
    <m/>
    <m/>
    <m/>
    <m/>
    <m/>
    <m/>
    <m/>
    <m/>
    <m/>
    <m/>
    <m/>
  </r>
  <r>
    <s v="ORD10998"/>
    <s v="30-07-2025"/>
    <s v="CUST1290"/>
    <s v="Karan Verma"/>
    <x v="2"/>
    <s v="Lucknow"/>
    <s v="Uttar Pradesh"/>
    <x v="2"/>
    <x v="2"/>
    <x v="8"/>
    <n v="6"/>
    <n v="22000"/>
    <n v="0.1"/>
    <n v="118800"/>
    <n v="79811.009999999995"/>
    <n v="38988.99"/>
    <n v="32.82"/>
    <x v="0"/>
    <x v="2"/>
    <x v="1"/>
    <x v="9"/>
    <n v="2025"/>
    <s v="Wednesday"/>
    <n v="9"/>
    <d v="2025-08-08T00:00:00"/>
    <x v="1"/>
    <s v="New"/>
    <s v="Low"/>
    <s v="Yes"/>
    <n v="4"/>
    <s v="Karan"/>
    <s v="Verma"/>
    <m/>
    <m/>
    <m/>
    <m/>
    <m/>
    <m/>
    <s v="Good"/>
    <s v="High"/>
    <s v="Yes"/>
    <s v="Yes"/>
    <n v="0.32819015151515152"/>
    <m/>
    <m/>
    <m/>
    <m/>
    <m/>
    <m/>
    <m/>
    <m/>
    <m/>
    <m/>
    <m/>
    <m/>
    <m/>
    <m/>
    <m/>
  </r>
  <r>
    <s v="ORD10905"/>
    <s v="30-08-2024"/>
    <s v="CUST1163"/>
    <s v="Aditya Singh"/>
    <x v="2"/>
    <s v="Pune"/>
    <s v="Maharashtra"/>
    <x v="0"/>
    <x v="3"/>
    <x v="10"/>
    <n v="10"/>
    <n v="200"/>
    <n v="0"/>
    <n v="2000"/>
    <n v="1531.63"/>
    <n v="468.37"/>
    <n v="23.42"/>
    <x v="0"/>
    <x v="1"/>
    <x v="7"/>
    <x v="10"/>
    <n v="2024"/>
    <s v="Friday"/>
    <n v="3"/>
    <d v="2024-02-09T00:00:00"/>
    <x v="0"/>
    <s v="VIP"/>
    <s v="Low"/>
    <s v="No"/>
    <n v="5"/>
    <s v="Aditya"/>
    <s v="Singh"/>
    <m/>
    <m/>
    <m/>
    <m/>
    <m/>
    <m/>
    <s v="Needs Improvement"/>
    <s v="Low"/>
    <s v="No"/>
    <s v="No"/>
    <n v="0.234185"/>
    <m/>
    <m/>
    <m/>
    <m/>
    <m/>
    <m/>
    <m/>
    <m/>
    <m/>
    <m/>
    <m/>
    <m/>
    <m/>
    <m/>
    <m/>
  </r>
  <r>
    <s v="ORD10651"/>
    <s v="30-09-2024"/>
    <s v="CUST1326"/>
    <s v="Neha Verma"/>
    <x v="2"/>
    <s v="Kolkata"/>
    <s v="West Bengal"/>
    <x v="3"/>
    <x v="0"/>
    <x v="15"/>
    <n v="7"/>
    <n v="4000"/>
    <n v="0.1"/>
    <n v="25200"/>
    <n v="19236.919999999998"/>
    <n v="5963.08"/>
    <n v="23.66"/>
    <x v="1"/>
    <x v="0"/>
    <x v="3"/>
    <x v="3"/>
    <n v="2024"/>
    <s v="Monday"/>
    <n v="8"/>
    <d v="2024-08-10T00:00:00"/>
    <x v="1"/>
    <s v="New"/>
    <s v="Low"/>
    <s v="No"/>
    <n v="5"/>
    <s v="Neha"/>
    <s v="Verma"/>
    <m/>
    <m/>
    <m/>
    <m/>
    <m/>
    <m/>
    <s v="Needs Improvement"/>
    <s v="Medium"/>
    <s v="No"/>
    <s v="Yes"/>
    <n v="0.23663015873015872"/>
    <m/>
    <m/>
    <m/>
    <m/>
    <m/>
    <m/>
    <m/>
    <m/>
    <m/>
    <m/>
    <m/>
    <m/>
    <m/>
    <m/>
    <m/>
  </r>
  <r>
    <s v="ORD10572"/>
    <s v="30-09-2025"/>
    <s v="CUST1079"/>
    <s v="Simran Saxena"/>
    <x v="2"/>
    <s v="Hyderabad"/>
    <s v="Telangana"/>
    <x v="1"/>
    <x v="0"/>
    <x v="24"/>
    <n v="5"/>
    <n v="2500"/>
    <n v="0.15"/>
    <n v="10625"/>
    <n v="6036.36"/>
    <n v="4588.6400000000003"/>
    <n v="43.19"/>
    <x v="2"/>
    <x v="2"/>
    <x v="2"/>
    <x v="3"/>
    <n v="2025"/>
    <s v="Tuesday"/>
    <n v="4"/>
    <d v="2025-04-10T00:00:00"/>
    <x v="0"/>
    <s v="Returning"/>
    <s v="Low"/>
    <s v="No"/>
    <n v="4"/>
    <s v="Simran"/>
    <s v="Saxena"/>
    <m/>
    <m/>
    <m/>
    <m/>
    <m/>
    <m/>
    <s v="Good"/>
    <s v="Medium"/>
    <s v="No"/>
    <s v="Yes"/>
    <n v="0.43187200000000003"/>
    <m/>
    <m/>
    <m/>
    <m/>
    <m/>
    <m/>
    <m/>
    <m/>
    <m/>
    <m/>
    <m/>
    <m/>
    <m/>
    <m/>
    <m/>
  </r>
  <r>
    <s v="ORD10885"/>
    <s v="30-10-2024"/>
    <s v="CUST1087"/>
    <s v="Nisha Jain"/>
    <x v="2"/>
    <s v="Mumbai"/>
    <s v="Maharashtra"/>
    <x v="3"/>
    <x v="0"/>
    <x v="1"/>
    <n v="8"/>
    <n v="2500"/>
    <n v="0.2"/>
    <n v="16000"/>
    <n v="11359.84"/>
    <n v="4640.16"/>
    <n v="29"/>
    <x v="4"/>
    <x v="1"/>
    <x v="8"/>
    <x v="4"/>
    <n v="2024"/>
    <s v="Wednesday"/>
    <n v="5"/>
    <d v="2024-04-11T00:00:00"/>
    <x v="0"/>
    <s v="New"/>
    <s v="Low"/>
    <s v="No"/>
    <n v="3"/>
    <s v="Nisha"/>
    <s v="Jain"/>
    <m/>
    <m/>
    <m/>
    <m/>
    <m/>
    <m/>
    <s v="Needs Improvement"/>
    <s v="Medium"/>
    <s v="No"/>
    <s v="No"/>
    <n v="0.29000999999999999"/>
    <m/>
    <m/>
    <m/>
    <m/>
    <m/>
    <m/>
    <m/>
    <m/>
    <m/>
    <m/>
    <m/>
    <m/>
    <m/>
    <m/>
    <m/>
  </r>
  <r>
    <s v="ORD10812"/>
    <s v="30-11-2024"/>
    <s v="CUST1052"/>
    <s v="Aditya Verma"/>
    <x v="1"/>
    <s v="Hyderabad"/>
    <s v="Telangana"/>
    <x v="1"/>
    <x v="4"/>
    <x v="9"/>
    <n v="6"/>
    <n v="800"/>
    <n v="0.2"/>
    <n v="3840"/>
    <n v="2996.6"/>
    <n v="843.4"/>
    <n v="21.96"/>
    <x v="2"/>
    <x v="0"/>
    <x v="1"/>
    <x v="11"/>
    <n v="2024"/>
    <s v="Saturday"/>
    <n v="10"/>
    <d v="2024-10-12T00:00:00"/>
    <x v="2"/>
    <s v="Returning"/>
    <s v="Low"/>
    <s v="Yes"/>
    <n v="1"/>
    <s v="Aditya"/>
    <s v="Verma"/>
    <m/>
    <m/>
    <m/>
    <m/>
    <m/>
    <m/>
    <s v="Needs Improvement"/>
    <s v="Low"/>
    <s v="No"/>
    <s v="Yes"/>
    <n v="0.21963541666666667"/>
    <m/>
    <m/>
    <m/>
    <m/>
    <m/>
    <m/>
    <m/>
    <m/>
    <m/>
    <m/>
    <m/>
    <m/>
    <m/>
    <m/>
    <m/>
  </r>
  <r>
    <s v="ORD10953"/>
    <s v="30-11-2024"/>
    <s v="CUST1160"/>
    <s v="Neha Mehta"/>
    <x v="0"/>
    <s v="Lucknow"/>
    <s v="Uttar Pradesh"/>
    <x v="2"/>
    <x v="1"/>
    <x v="14"/>
    <n v="8"/>
    <n v="2500"/>
    <n v="0"/>
    <n v="20000"/>
    <n v="11873.88"/>
    <n v="8126.12"/>
    <n v="40.630000000000003"/>
    <x v="4"/>
    <x v="1"/>
    <x v="8"/>
    <x v="11"/>
    <n v="2024"/>
    <s v="Saturday"/>
    <n v="7"/>
    <d v="2024-07-12T00:00:00"/>
    <x v="0"/>
    <s v="New"/>
    <s v="High"/>
    <s v="No"/>
    <n v="3"/>
    <s v="Neha"/>
    <s v="Mehta"/>
    <m/>
    <m/>
    <m/>
    <m/>
    <m/>
    <m/>
    <s v="Good"/>
    <s v="Medium"/>
    <s v="No"/>
    <s v="No"/>
    <n v="0.406306"/>
    <m/>
    <m/>
    <m/>
    <m/>
    <m/>
    <m/>
    <m/>
    <m/>
    <m/>
    <m/>
    <m/>
    <m/>
    <m/>
    <m/>
    <m/>
  </r>
  <r>
    <s v="ORD10921"/>
    <s v="30-11-2025"/>
    <s v="CUST1173"/>
    <s v="Aarav Bansal"/>
    <x v="1"/>
    <s v="Bengaluru"/>
    <s v="Karnataka"/>
    <x v="0"/>
    <x v="2"/>
    <x v="7"/>
    <n v="5"/>
    <n v="8000"/>
    <n v="0.2"/>
    <n v="32000"/>
    <n v="18814.88"/>
    <n v="13185.12"/>
    <n v="41.2"/>
    <x v="2"/>
    <x v="2"/>
    <x v="5"/>
    <x v="11"/>
    <n v="2025"/>
    <s v="Sunday"/>
    <n v="7"/>
    <d v="2025-07-12T00:00:00"/>
    <x v="1"/>
    <s v="Returning"/>
    <s v="Medium"/>
    <s v="Yes"/>
    <n v="1"/>
    <s v="Aarav"/>
    <s v="Bansal"/>
    <m/>
    <m/>
    <m/>
    <m/>
    <m/>
    <m/>
    <s v="Good"/>
    <s v="High"/>
    <s v="Yes"/>
    <s v="Yes"/>
    <n v="0.41203500000000004"/>
    <m/>
    <m/>
    <m/>
    <m/>
    <m/>
    <m/>
    <m/>
    <m/>
    <m/>
    <m/>
    <m/>
    <m/>
    <m/>
    <m/>
    <m/>
  </r>
  <r>
    <s v="ORD10508"/>
    <s v="30-12-2024"/>
    <s v="CUST1009"/>
    <s v="Aditi Mishra"/>
    <x v="1"/>
    <s v="Kolkata"/>
    <s v="West Bengal"/>
    <x v="1"/>
    <x v="4"/>
    <x v="16"/>
    <n v="6"/>
    <n v="500"/>
    <n v="0"/>
    <n v="3000"/>
    <n v="1793.16"/>
    <n v="1206.8399999999999"/>
    <n v="40.229999999999997"/>
    <x v="4"/>
    <x v="0"/>
    <x v="0"/>
    <x v="5"/>
    <n v="2024"/>
    <s v="Monday"/>
    <n v="4"/>
    <d v="2025-03-01T00:00:00"/>
    <x v="0"/>
    <s v="VIP"/>
    <s v="High"/>
    <s v="Yes"/>
    <n v="4"/>
    <s v="Aditi"/>
    <s v="Mishra"/>
    <m/>
    <m/>
    <m/>
    <m/>
    <m/>
    <m/>
    <s v="Good"/>
    <s v="Low"/>
    <s v="No"/>
    <s v="Yes"/>
    <n v="0.40227999999999997"/>
    <m/>
    <m/>
    <m/>
    <m/>
    <m/>
    <m/>
    <m/>
    <m/>
    <m/>
    <m/>
    <m/>
    <m/>
    <m/>
    <m/>
    <m/>
  </r>
  <r>
    <s v="ORD10524"/>
    <s v="30-12-2024"/>
    <s v="CUST1258"/>
    <s v="Arjun Kapoor"/>
    <x v="2"/>
    <s v="Pune"/>
    <s v="Maharashtra"/>
    <x v="1"/>
    <x v="1"/>
    <x v="20"/>
    <n v="4"/>
    <n v="1800"/>
    <n v="0.15"/>
    <n v="6120"/>
    <n v="3913.47"/>
    <n v="2206.5300000000002"/>
    <n v="36.049999999999997"/>
    <x v="3"/>
    <x v="1"/>
    <x v="9"/>
    <x v="5"/>
    <n v="2024"/>
    <s v="Monday"/>
    <n v="3"/>
    <d v="2025-02-01T00:00:00"/>
    <x v="0"/>
    <s v="VIP"/>
    <s v="Low"/>
    <s v="No"/>
    <n v="2"/>
    <s v="Arjun"/>
    <s v="Kapoor"/>
    <m/>
    <m/>
    <m/>
    <m/>
    <m/>
    <m/>
    <s v="Good"/>
    <s v="Low"/>
    <s v="No"/>
    <s v="No"/>
    <n v="0.36054411764705885"/>
    <m/>
    <m/>
    <m/>
    <m/>
    <m/>
    <m/>
    <m/>
    <m/>
    <m/>
    <m/>
    <m/>
    <m/>
    <m/>
    <m/>
    <m/>
  </r>
  <r>
    <s v="ORD10158"/>
    <s v="30-12-2025"/>
    <s v="CUST1262"/>
    <s v="Sneha Sharma"/>
    <x v="0"/>
    <s v="Chennai"/>
    <s v="Tamil Nadu"/>
    <x v="3"/>
    <x v="1"/>
    <x v="6"/>
    <n v="9"/>
    <n v="700"/>
    <n v="0.1"/>
    <n v="5670"/>
    <n v="3878.05"/>
    <n v="1791.95"/>
    <n v="31.6"/>
    <x v="0"/>
    <x v="2"/>
    <x v="0"/>
    <x v="5"/>
    <n v="2025"/>
    <s v="Tuesday"/>
    <n v="10"/>
    <d v="2026-09-01T00:00:00"/>
    <x v="0"/>
    <s v="New"/>
    <s v="High"/>
    <s v="Yes"/>
    <n v="2"/>
    <s v="Sneha"/>
    <s v="Sharma"/>
    <m/>
    <m/>
    <m/>
    <m/>
    <m/>
    <m/>
    <s v="Good"/>
    <s v="Low"/>
    <s v="No"/>
    <s v="Yes"/>
    <n v="0.31604056437389771"/>
    <m/>
    <m/>
    <m/>
    <m/>
    <m/>
    <m/>
    <m/>
    <m/>
    <m/>
    <m/>
    <m/>
    <m/>
    <m/>
    <m/>
    <m/>
  </r>
  <r>
    <s v="ORD10303"/>
    <s v="31-01-2024"/>
    <s v="CUST1246"/>
    <s v="Riya Chopra"/>
    <x v="2"/>
    <s v="Kolkata"/>
    <s v="West Bengal"/>
    <x v="0"/>
    <x v="0"/>
    <x v="24"/>
    <n v="6"/>
    <n v="9000"/>
    <n v="0.15"/>
    <n v="45900"/>
    <n v="26644.01"/>
    <n v="19255.990000000002"/>
    <n v="41.95"/>
    <x v="0"/>
    <x v="0"/>
    <x v="5"/>
    <x v="6"/>
    <n v="2024"/>
    <s v="Wednesday"/>
    <n v="2"/>
    <d v="2024-02-02T00:00:00"/>
    <x v="2"/>
    <s v="New"/>
    <s v="High"/>
    <s v="Yes"/>
    <n v="4"/>
    <s v="Riya"/>
    <s v="Chopra"/>
    <m/>
    <m/>
    <m/>
    <m/>
    <m/>
    <m/>
    <s v="Good"/>
    <s v="High"/>
    <s v="Yes"/>
    <s v="Yes"/>
    <n v="0.41952047930283226"/>
    <m/>
    <m/>
    <m/>
    <m/>
    <m/>
    <m/>
    <m/>
    <m/>
    <m/>
    <m/>
    <m/>
    <m/>
    <m/>
    <m/>
    <m/>
  </r>
  <r>
    <s v="ORD10519"/>
    <s v="31-01-2024"/>
    <s v="CUST1126"/>
    <s v="Aditya Sharma"/>
    <x v="1"/>
    <s v="Mumbai"/>
    <s v="Maharashtra"/>
    <x v="2"/>
    <x v="4"/>
    <x v="11"/>
    <n v="8"/>
    <n v="3000"/>
    <n v="0.05"/>
    <n v="22800"/>
    <n v="13409.7"/>
    <n v="9390.2999999999993"/>
    <n v="41.19"/>
    <x v="2"/>
    <x v="2"/>
    <x v="9"/>
    <x v="6"/>
    <n v="2024"/>
    <s v="Wednesday"/>
    <n v="3"/>
    <d v="2024-03-02T00:00:00"/>
    <x v="0"/>
    <s v="VIP"/>
    <s v="Low"/>
    <s v="No"/>
    <n v="4"/>
    <s v="Aditya"/>
    <s v="Sharma"/>
    <m/>
    <m/>
    <m/>
    <m/>
    <m/>
    <m/>
    <s v="Good"/>
    <s v="Medium"/>
    <s v="No"/>
    <s v="Yes"/>
    <n v="0.41185526315789472"/>
    <m/>
    <m/>
    <m/>
    <m/>
    <m/>
    <m/>
    <m/>
    <m/>
    <m/>
    <m/>
    <m/>
    <m/>
    <m/>
    <m/>
    <m/>
  </r>
  <r>
    <s v="ORD10212"/>
    <s v="31-01-2025"/>
    <s v="CUST1028"/>
    <s v="Aarav Yadav"/>
    <x v="0"/>
    <s v="Kolkata"/>
    <s v="West Bengal"/>
    <x v="3"/>
    <x v="0"/>
    <x v="0"/>
    <n v="5"/>
    <n v="2500"/>
    <n v="0.15"/>
    <n v="10625"/>
    <n v="8614.48"/>
    <n v="2010.52"/>
    <n v="18.920000000000002"/>
    <x v="3"/>
    <x v="1"/>
    <x v="6"/>
    <x v="6"/>
    <n v="2025"/>
    <s v="Friday"/>
    <n v="7"/>
    <d v="2025-07-02T00:00:00"/>
    <x v="0"/>
    <s v="VIP"/>
    <s v="High"/>
    <s v="No"/>
    <n v="5"/>
    <s v="Aarav"/>
    <s v="Yadav"/>
    <m/>
    <m/>
    <m/>
    <m/>
    <m/>
    <m/>
    <s v="Needs Improvement"/>
    <s v="Medium"/>
    <s v="No"/>
    <s v="No"/>
    <n v="0.18922541176470589"/>
    <m/>
    <m/>
    <m/>
    <m/>
    <m/>
    <m/>
    <m/>
    <m/>
    <m/>
    <m/>
    <m/>
    <m/>
    <m/>
    <m/>
    <m/>
  </r>
  <r>
    <s v="ORD10900"/>
    <s v="31-03-2024"/>
    <s v="CUST1168"/>
    <s v="Neha Singh"/>
    <x v="2"/>
    <s v="Delhi"/>
    <s v="Delhi"/>
    <x v="3"/>
    <x v="2"/>
    <x v="8"/>
    <n v="4"/>
    <n v="22000"/>
    <n v="0.1"/>
    <n v="79200"/>
    <n v="53261.42"/>
    <n v="25938.58"/>
    <n v="32.75"/>
    <x v="2"/>
    <x v="1"/>
    <x v="5"/>
    <x v="0"/>
    <n v="2024"/>
    <s v="Sunday"/>
    <n v="6"/>
    <d v="2024-06-04T00:00:00"/>
    <x v="0"/>
    <s v="New"/>
    <s v="Medium"/>
    <s v="No"/>
    <n v="5"/>
    <s v="Neha"/>
    <s v="Singh"/>
    <m/>
    <m/>
    <m/>
    <m/>
    <m/>
    <m/>
    <s v="Good"/>
    <s v="High"/>
    <s v="Yes"/>
    <s v="No"/>
    <n v="0.32750732323232323"/>
    <m/>
    <m/>
    <m/>
    <m/>
    <m/>
    <m/>
    <m/>
    <m/>
    <m/>
    <m/>
    <m/>
    <m/>
    <m/>
    <m/>
    <m/>
  </r>
  <r>
    <s v="ORD10103"/>
    <s v="31-05-2024"/>
    <s v="CUST1057"/>
    <s v="Rahul Sharma"/>
    <x v="0"/>
    <s v="Lucknow"/>
    <s v="Uttar Pradesh"/>
    <x v="0"/>
    <x v="1"/>
    <x v="2"/>
    <n v="9"/>
    <n v="3500"/>
    <n v="0.15"/>
    <n v="26775"/>
    <n v="18865.5"/>
    <n v="7909.5"/>
    <n v="29.54"/>
    <x v="4"/>
    <x v="2"/>
    <x v="1"/>
    <x v="1"/>
    <n v="2024"/>
    <s v="Friday"/>
    <n v="4"/>
    <d v="2024-04-06T00:00:00"/>
    <x v="0"/>
    <s v="VIP"/>
    <s v="Low"/>
    <s v="No"/>
    <n v="5"/>
    <s v="Rahul"/>
    <s v="Sharma"/>
    <m/>
    <m/>
    <m/>
    <m/>
    <m/>
    <m/>
    <s v="Needs Improvement"/>
    <s v="Medium"/>
    <s v="No"/>
    <s v="Yes"/>
    <n v="0.29540616246498602"/>
    <m/>
    <m/>
    <m/>
    <m/>
    <m/>
    <m/>
    <m/>
    <m/>
    <m/>
    <m/>
    <m/>
    <m/>
    <m/>
    <m/>
    <m/>
  </r>
  <r>
    <s v="ORD10109"/>
    <s v="31-05-2025"/>
    <s v="CUST1058"/>
    <s v="Neha Gupta"/>
    <x v="1"/>
    <s v="Pune"/>
    <s v="Maharashtra"/>
    <x v="2"/>
    <x v="1"/>
    <x v="20"/>
    <n v="9"/>
    <n v="2500"/>
    <n v="0.05"/>
    <n v="21375"/>
    <n v="12869.01"/>
    <n v="8505.99"/>
    <n v="39.79"/>
    <x v="0"/>
    <x v="0"/>
    <x v="4"/>
    <x v="1"/>
    <n v="2025"/>
    <s v="Saturday"/>
    <n v="8"/>
    <d v="2025-08-06T00:00:00"/>
    <x v="0"/>
    <s v="New"/>
    <s v="High"/>
    <s v="No"/>
    <n v="3"/>
    <s v="Neha"/>
    <s v="Gupta"/>
    <m/>
    <m/>
    <m/>
    <m/>
    <m/>
    <m/>
    <s v="Good"/>
    <s v="Medium"/>
    <s v="No"/>
    <s v="Yes"/>
    <n v="0.39794105263157892"/>
    <m/>
    <m/>
    <m/>
    <m/>
    <m/>
    <m/>
    <m/>
    <m/>
    <m/>
    <m/>
    <m/>
    <m/>
    <m/>
    <m/>
    <m/>
  </r>
  <r>
    <s v="ORD10472"/>
    <s v="31-05-2025"/>
    <s v="CUST1045"/>
    <s v="Priya Chopra"/>
    <x v="1"/>
    <s v="Pune"/>
    <s v="Maharashtra"/>
    <x v="2"/>
    <x v="4"/>
    <x v="9"/>
    <n v="3"/>
    <n v="3000"/>
    <n v="0.2"/>
    <n v="7200"/>
    <n v="4927.97"/>
    <n v="2272.0300000000002"/>
    <n v="31.56"/>
    <x v="2"/>
    <x v="1"/>
    <x v="2"/>
    <x v="1"/>
    <n v="2025"/>
    <s v="Saturday"/>
    <n v="1"/>
    <d v="2025-01-06T00:00:00"/>
    <x v="0"/>
    <s v="Returning"/>
    <s v="High"/>
    <s v="Yes"/>
    <n v="2"/>
    <s v="Priya"/>
    <s v="Chopra"/>
    <m/>
    <m/>
    <m/>
    <m/>
    <m/>
    <m/>
    <s v="Good"/>
    <s v="Low"/>
    <s v="No"/>
    <s v="No"/>
    <n v="0.31555972222222223"/>
    <m/>
    <m/>
    <m/>
    <m/>
    <m/>
    <m/>
    <m/>
    <m/>
    <m/>
    <m/>
    <m/>
    <m/>
    <m/>
    <m/>
    <m/>
  </r>
  <r>
    <s v="ORD10728"/>
    <s v="31-07-2025"/>
    <s v="CUST1244"/>
    <s v="Nisha Mishra"/>
    <x v="0"/>
    <s v="Delhi"/>
    <s v="Delhi"/>
    <x v="0"/>
    <x v="1"/>
    <x v="20"/>
    <n v="2"/>
    <n v="1200"/>
    <n v="0"/>
    <n v="2400"/>
    <n v="1332.83"/>
    <n v="1067.17"/>
    <n v="44.47"/>
    <x v="3"/>
    <x v="1"/>
    <x v="9"/>
    <x v="9"/>
    <n v="2025"/>
    <s v="Thursday"/>
    <n v="9"/>
    <d v="2025-09-08T00:00:00"/>
    <x v="0"/>
    <s v="VIP"/>
    <s v="Low"/>
    <s v="No"/>
    <n v="5"/>
    <s v="Nisha"/>
    <s v="Mishra"/>
    <m/>
    <m/>
    <m/>
    <m/>
    <m/>
    <m/>
    <s v="Good"/>
    <s v="Low"/>
    <s v="No"/>
    <s v="No"/>
    <n v="0.44465416666666668"/>
    <m/>
    <m/>
    <m/>
    <m/>
    <m/>
    <m/>
    <m/>
    <m/>
    <m/>
    <m/>
    <m/>
    <m/>
    <m/>
    <m/>
    <m/>
  </r>
  <r>
    <s v="ORD10297"/>
    <s v="31-08-2024"/>
    <s v="CUST1155"/>
    <s v="Rahul Kapoor"/>
    <x v="0"/>
    <s v="Chennai"/>
    <s v="Tamil Nadu"/>
    <x v="3"/>
    <x v="2"/>
    <x v="8"/>
    <n v="7"/>
    <n v="8000"/>
    <n v="0.15"/>
    <n v="47600"/>
    <n v="36840.19"/>
    <n v="10759.81"/>
    <n v="22.6"/>
    <x v="1"/>
    <x v="1"/>
    <x v="7"/>
    <x v="10"/>
    <n v="2024"/>
    <s v="Saturday"/>
    <n v="6"/>
    <d v="2024-06-09T00:00:00"/>
    <x v="2"/>
    <s v="New"/>
    <s v="Low"/>
    <s v="No"/>
    <n v="5"/>
    <s v="Rahul"/>
    <s v="Kapoor"/>
    <m/>
    <m/>
    <m/>
    <m/>
    <m/>
    <m/>
    <s v="Needs Improvement"/>
    <s v="High"/>
    <s v="Yes"/>
    <s v="No"/>
    <n v="0.22604642857142856"/>
    <m/>
    <m/>
    <m/>
    <m/>
    <m/>
    <m/>
    <m/>
    <m/>
    <m/>
    <m/>
    <m/>
    <m/>
    <m/>
    <m/>
    <m/>
  </r>
  <r>
    <s v="ORD10111"/>
    <s v="31-10-2025"/>
    <s v="CUST1061"/>
    <s v="Riya Kumar"/>
    <x v="2"/>
    <s v="Chennai"/>
    <s v="Tamil Nadu"/>
    <x v="2"/>
    <x v="3"/>
    <x v="22"/>
    <n v="10"/>
    <n v="100"/>
    <n v="0.1"/>
    <n v="900"/>
    <n v="510.1"/>
    <n v="389.9"/>
    <n v="43.32"/>
    <x v="3"/>
    <x v="0"/>
    <x v="0"/>
    <x v="4"/>
    <n v="2025"/>
    <s v="Friday"/>
    <n v="6"/>
    <d v="2025-06-11T00:00:00"/>
    <x v="0"/>
    <s v="VIP"/>
    <s v="Low"/>
    <s v="No"/>
    <n v="3"/>
    <s v="Riya"/>
    <s v="Kumar"/>
    <m/>
    <m/>
    <m/>
    <m/>
    <m/>
    <m/>
    <s v="Good"/>
    <s v="Low"/>
    <s v="No"/>
    <s v="Yes"/>
    <n v="0.43322222222222218"/>
    <m/>
    <m/>
    <m/>
    <m/>
    <m/>
    <m/>
    <m/>
    <m/>
    <m/>
    <m/>
    <m/>
    <m/>
    <m/>
    <m/>
    <m/>
  </r>
  <r>
    <s v="ORD10474"/>
    <s v="31-10-2025"/>
    <s v="CUST1115"/>
    <s v="Ananya Verma"/>
    <x v="0"/>
    <s v="Lucknow"/>
    <s v="Uttar Pradesh"/>
    <x v="1"/>
    <x v="4"/>
    <x v="11"/>
    <n v="6"/>
    <n v="2000"/>
    <n v="0.15"/>
    <n v="10200"/>
    <n v="7836.46"/>
    <n v="2363.54"/>
    <n v="23.17"/>
    <x v="1"/>
    <x v="2"/>
    <x v="3"/>
    <x v="4"/>
    <n v="2025"/>
    <s v="Friday"/>
    <n v="9"/>
    <d v="2025-09-11T00:00:00"/>
    <x v="2"/>
    <s v="VIP"/>
    <s v="High"/>
    <s v="Yes"/>
    <n v="1"/>
    <s v="Ananya"/>
    <s v="Verma"/>
    <m/>
    <m/>
    <m/>
    <m/>
    <m/>
    <m/>
    <s v="Needs Improvement"/>
    <s v="Medium"/>
    <s v="No"/>
    <s v="Yes"/>
    <n v="0.23171960784313725"/>
    <m/>
    <m/>
    <m/>
    <m/>
    <m/>
    <m/>
    <m/>
    <m/>
    <m/>
    <m/>
    <m/>
    <m/>
    <m/>
    <m/>
    <m/>
  </r>
  <r>
    <s v="ORD10010"/>
    <s v="31-12-2025"/>
    <s v="CUST1333"/>
    <s v="Sneha Malhotra"/>
    <x v="1"/>
    <s v="Ahmedabad"/>
    <s v="Gujarat"/>
    <x v="2"/>
    <x v="4"/>
    <x v="19"/>
    <n v="4"/>
    <n v="3000"/>
    <n v="0.05"/>
    <n v="11400"/>
    <n v="9333.07"/>
    <n v="2066.9299999999998"/>
    <n v="18.13"/>
    <x v="1"/>
    <x v="2"/>
    <x v="6"/>
    <x v="5"/>
    <n v="2025"/>
    <s v="Wednesday"/>
    <n v="5"/>
    <d v="2026-05-01T00:00:00"/>
    <x v="2"/>
    <s v="New"/>
    <s v="Medium"/>
    <s v="Yes"/>
    <n v="5"/>
    <s v="Sneha"/>
    <s v="Malhotra"/>
    <m/>
    <m/>
    <m/>
    <m/>
    <m/>
    <m/>
    <s v="Needs Improvement"/>
    <s v="Medium"/>
    <s v="No"/>
    <s v="Yes"/>
    <n v="0.181309649122807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5F088-43FB-4510-BBFC-5B09C04AB362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314B2-C992-4A02-8DF0-8B95E69F4163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9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2"/>
        <item x="0"/>
        <item x="3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2AECB-A491-45BE-9AA6-AF14F6B2C65A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29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6">
        <item x="11"/>
        <item x="13"/>
        <item x="24"/>
        <item x="1"/>
        <item x="18"/>
        <item x="21"/>
        <item x="6"/>
        <item x="2"/>
        <item x="7"/>
        <item x="12"/>
        <item x="5"/>
        <item x="15"/>
        <item x="17"/>
        <item x="10"/>
        <item x="3"/>
        <item x="14"/>
        <item x="4"/>
        <item x="23"/>
        <item x="22"/>
        <item x="19"/>
        <item x="0"/>
        <item x="8"/>
        <item x="20"/>
        <item x="16"/>
        <item x="9"/>
        <item t="default"/>
      </items>
    </pivotField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1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C50BB-AB5B-477F-A7C5-7AF8E2A54347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6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6"/>
        <item x="7"/>
        <item x="0"/>
        <item x="8"/>
        <item x="1"/>
        <item x="2"/>
        <item x="9"/>
        <item x="10"/>
        <item x="3"/>
        <item x="4"/>
        <item x="1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0AA3D-F9C5-46DE-A27C-5EFF3C9B57F5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4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11">
        <item x="7"/>
        <item x="8"/>
        <item x="1"/>
        <item x="5"/>
        <item x="2"/>
        <item x="4"/>
        <item x="6"/>
        <item x="9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0DB44-13A9-4F0C-8CE5-5E7C78384EF3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FB208-9FE7-4525-A59E-12A041FF3E11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9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axis="axisRow"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 numFmtId="1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E2B44-9A98-4495-A987-EBE1625AD25D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755E8-AF5D-4B62-BDD4-13F047E03C40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axis="axisRow" compact="0" outline="0" showAll="0" sortType="descending">
      <items count="6"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" outline="0" showAll="0"/>
    <pivotField compact="0" numFmtId="1" outline="0" showAll="0"/>
    <pivotField compact="0" numFmtId="9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2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 v="2"/>
    </i>
    <i>
      <x v="3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2" fld="15" baseField="0" baseItem="0" numFmtId="1"/>
    <dataField name="Sum of Profit" fld="15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C63D4-87B7-4796-A83F-B61DDEA36418}" name="PivotTabl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86:B99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6"/>
        <item x="7"/>
        <item x="0"/>
        <item x="8"/>
        <item x="1"/>
        <item x="2"/>
        <item x="9"/>
        <item x="10"/>
        <item x="3"/>
        <item x="4"/>
        <item x="1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3" baseField="0" baseItem="0" numFmtId="1"/>
  </dataFields>
  <formats count="6">
    <format dxfId="137">
      <pivotArea type="all" dataOnly="0" outline="0" fieldPosition="0"/>
    </format>
    <format dxfId="138">
      <pivotArea outline="0" collapsedLevelsAreSubtotals="1" fieldPosition="0"/>
    </format>
    <format dxfId="139">
      <pivotArea field="20" type="button" dataOnly="0" labelOnly="1" outline="0" axis="axisRow" fieldPosition="0"/>
    </format>
    <format dxfId="140">
      <pivotArea dataOnly="0" labelOnly="1" outline="0" fieldPosition="0">
        <references count="1">
          <reference field="20" count="0"/>
        </references>
      </pivotArea>
    </format>
    <format dxfId="141">
      <pivotArea dataOnly="0" labelOnly="1" grandRow="1" outline="0" fieldPosition="0"/>
    </format>
    <format dxfId="14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1189B-C77D-4CC5-B135-4ECB6E529416}" name="PivotTable1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1:B27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axis="axisRow" compact="0" outline="0" showAll="0">
      <items count="6">
        <item x="4"/>
        <item x="1"/>
        <item x="2"/>
        <item x="0"/>
        <item x="3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 numFmtId="1"/>
  </dataFields>
  <formats count="6">
    <format dxfId="131">
      <pivotArea type="all" dataOnly="0" outline="0" fieldPosition="0"/>
    </format>
    <format dxfId="132">
      <pivotArea outline="0" collapsedLevelsAreSubtotals="1" fieldPosition="0"/>
    </format>
    <format dxfId="133">
      <pivotArea field="8" type="button" dataOnly="0" labelOnly="1" outline="0" axis="axisRow" fieldPosition="0"/>
    </format>
    <format dxfId="134">
      <pivotArea dataOnly="0" labelOnly="1" outline="0" fieldPosition="0">
        <references count="1">
          <reference field="8" count="0"/>
        </references>
      </pivotArea>
    </format>
    <format dxfId="135">
      <pivotArea dataOnly="0" labelOnly="1" grandRow="1" outline="0" fieldPosition="0"/>
    </format>
    <format dxfId="13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4F867-4111-498F-AA66-10568F109E23}" name="PivotTable1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22:B126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"/>
  </dataFields>
  <formats count="6">
    <format dxfId="125">
      <pivotArea type="all" dataOnly="0" outline="0" fieldPosition="0"/>
    </format>
    <format dxfId="126">
      <pivotArea outline="0" collapsedLevelsAreSubtotals="1" fieldPosition="0"/>
    </format>
    <format dxfId="127">
      <pivotArea field="4" type="button" dataOnly="0" labelOnly="1" outline="0" axis="axisRow" fieldPosition="0"/>
    </format>
    <format dxfId="128">
      <pivotArea dataOnly="0" labelOnly="1" outline="0" fieldPosition="0">
        <references count="1">
          <reference field="4" count="0"/>
        </references>
      </pivotArea>
    </format>
    <format dxfId="129">
      <pivotArea dataOnly="0" labelOnly="1" grandRow="1" outline="0" fieldPosition="0"/>
    </format>
    <format dxfId="130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74517-3317-4187-B830-5381964C2FC6}" name="PivotTable1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56:B160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 numFmtId="1"/>
  </dataFields>
  <formats count="6"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25" type="button" dataOnly="0" labelOnly="1" outline="0" axis="axisRow" fieldPosition="0"/>
    </format>
    <format dxfId="122">
      <pivotArea dataOnly="0" labelOnly="1" outline="0" fieldPosition="0">
        <references count="1">
          <reference field="25" count="0"/>
        </references>
      </pivotArea>
    </format>
    <format dxfId="123">
      <pivotArea dataOnly="0" labelOnly="1" grandRow="1" outline="0" fieldPosition="0"/>
    </format>
    <format dxfId="124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CFF2B-01CF-4D67-9956-3C0AF4397411}" name="PivotTable1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B4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2">
    <i>
      <x v="1"/>
    </i>
    <i t="grand">
      <x/>
    </i>
  </rowItems>
  <colItems count="1">
    <i/>
  </colItems>
  <dataFields count="1">
    <dataField name="Sum of Sales" fld="13" baseField="0" baseItem="0" numFmtId="1"/>
  </dataFields>
  <formats count="6">
    <format dxfId="113">
      <pivotArea type="all" dataOnly="0" outline="0" fieldPosition="0"/>
    </format>
    <format dxfId="114">
      <pivotArea outline="0" collapsedLevelsAreSubtotals="1" fieldPosition="0"/>
    </format>
    <format dxfId="115">
      <pivotArea field="7" type="button" dataOnly="0" labelOnly="1" outline="0" axis="axisRow" fieldPosition="0"/>
    </format>
    <format dxfId="116">
      <pivotArea dataOnly="0" labelOnly="1" outline="0" fieldPosition="0">
        <references count="1">
          <reference field="7" count="0"/>
        </references>
      </pivotArea>
    </format>
    <format dxfId="117">
      <pivotArea dataOnly="0" labelOnly="1" grandRow="1" outline="0" fieldPosition="0"/>
    </format>
    <format dxfId="11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96ED0-7060-4993-B31D-55B1D081DDCC}" name="PivotTable1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0:B66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axis="axisRow" compact="0" outline="0" showAll="0" sortType="descending">
      <items count="26">
        <item x="9"/>
        <item x="16"/>
        <item x="20"/>
        <item x="8"/>
        <item x="0"/>
        <item x="19"/>
        <item x="22"/>
        <item x="23"/>
        <item x="4"/>
        <item x="14"/>
        <item x="3"/>
        <item x="10"/>
        <item x="17"/>
        <item x="15"/>
        <item x="5"/>
        <item x="12"/>
        <item x="7"/>
        <item x="2"/>
        <item x="6"/>
        <item x="21"/>
        <item x="18"/>
        <item x="1"/>
        <item x="24"/>
        <item x="13"/>
        <item x="11"/>
        <item t="default"/>
      </items>
    </pivotField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13" baseField="0" baseItem="0" numFmtId="1"/>
  </dataFields>
  <formats count="6"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9" type="button" dataOnly="0" labelOnly="1" outline="0" axis="axisRow" fieldPosition="0"/>
    </format>
    <format dxfId="110">
      <pivotArea dataOnly="0" labelOnly="1" outline="0" fieldPosition="0">
        <references count="1">
          <reference field="9" count="0"/>
        </references>
      </pivotArea>
    </format>
    <format dxfId="111">
      <pivotArea dataOnly="0" labelOnly="1" grandRow="1" outline="0" fieldPosition="0"/>
    </format>
    <format dxfId="11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0F8D6-3517-4398-9F84-54982247E6EA}" name="PivotTable1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72:B78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axis="axisRow" compact="0" outline="0" showAll="0">
      <items count="6">
        <item x="4"/>
        <item x="1"/>
        <item x="2"/>
        <item x="0"/>
        <item x="3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9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2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5" baseField="0" baseItem="0" numFmtId="1"/>
  </dataFields>
  <formats count="6"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8" type="button" dataOnly="0" labelOnly="1" outline="0" axis="axisRow" fieldPosition="0"/>
    </format>
    <format dxfId="104">
      <pivotArea dataOnly="0" labelOnly="1" outline="0" fieldPosition="0">
        <references count="1">
          <reference field="8" count="0"/>
        </references>
      </pivotArea>
    </format>
    <format dxfId="105">
      <pivotArea dataOnly="0" labelOnly="1" grandRow="1" outline="0" fieldPosition="0"/>
    </format>
    <format dxfId="10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17203-958C-45C6-AF1E-49F4DD8CCF66}" name="PivotTable1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4:B115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axis="axisRow" compact="0" outline="0" showAll="0" sortType="descending">
      <items count="11">
        <item x="3"/>
        <item x="0"/>
        <item x="9"/>
        <item x="6"/>
        <item x="4"/>
        <item x="2"/>
        <item x="5"/>
        <item x="1"/>
        <item x="8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3" baseField="0" baseItem="0" numFmtId="1"/>
  </dataFields>
  <formats count="6">
    <format dxfId="95">
      <pivotArea type="all" dataOnly="0" outline="0" fieldPosition="0"/>
    </format>
    <format dxfId="96">
      <pivotArea outline="0" collapsedLevelsAreSubtotals="1" fieldPosition="0"/>
    </format>
    <format dxfId="97">
      <pivotArea field="19" type="button" dataOnly="0" labelOnly="1" outline="0" axis="axisRow" fieldPosition="0"/>
    </format>
    <format dxfId="98">
      <pivotArea dataOnly="0" labelOnly="1" outline="0" fieldPosition="0">
        <references count="1">
          <reference field="19" count="0"/>
        </references>
      </pivotArea>
    </format>
    <format dxfId="99">
      <pivotArea dataOnly="0" labelOnly="1" grandRow="1" outline="0" fieldPosition="0"/>
    </format>
    <format dxfId="10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DF1CC-F84C-436B-8F20-3223CFBB11F9}" name="PivotTable1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39:B145" firstHeaderRow="1" firstDataRow="1" firstDataCol="1"/>
  <pivotFields count="5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9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2" outline="0" showAll="0"/>
    <pivotField axis="axisRow"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3" baseField="0" baseItem="0" numFmtId="1"/>
  </dataFields>
  <formats count="6">
    <format dxfId="89">
      <pivotArea type="all" dataOnly="0" outline="0" fieldPosition="0"/>
    </format>
    <format dxfId="90">
      <pivotArea outline="0" collapsedLevelsAreSubtotals="1" fieldPosition="0"/>
    </format>
    <format dxfId="91">
      <pivotArea field="17" type="button" dataOnly="0" labelOnly="1" outline="0" axis="axisRow" fieldPosition="0"/>
    </format>
    <format dxfId="92">
      <pivotArea dataOnly="0" labelOnly="1" outline="0" fieldPosition="0">
        <references count="1">
          <reference field="17" count="0"/>
        </references>
      </pivotArea>
    </format>
    <format dxfId="93">
      <pivotArea dataOnly="0" labelOnly="1" grandRow="1" outline="0" fieldPosition="0"/>
    </format>
    <format dxfId="94">
      <pivotArea dataOnly="0" labelOnly="1" outline="0" axis="axisValues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Segment" xr10:uid="{C18B6A2B-CAC1-4E5B-A149-9BF9756CEFF0}" sourceName="Customer_Segment">
  <pivotTables>
    <pivotTable tabId="11" name="PivotTable4"/>
    <pivotTable tabId="17" name="PivotTable14"/>
  </pivotTables>
  <data>
    <tabular pivotCacheId="741318400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8393FC1-8EDD-4D15-967B-C0A5D9EFCC01}" sourceName="Region">
  <pivotTables>
    <pivotTable tabId="11" name="PivotTable4"/>
    <pivotTable tabId="17" name="PivotTable14"/>
    <pivotTable tabId="17" name="PivotTable19"/>
    <pivotTable tabId="17" name="PivotTable18"/>
    <pivotTable tabId="17" name="PivotTable11"/>
    <pivotTable tabId="17" name="PivotTable16"/>
    <pivotTable tabId="17" name="PivotTable13"/>
    <pivotTable tabId="17" name="PivotTable15"/>
    <pivotTable tabId="17" name="PivotTable17"/>
    <pivotTable tabId="17" name="PivotTable12"/>
  </pivotTables>
  <data>
    <tabular pivotCacheId="741318400">
      <items count="4">
        <i x="0"/>
        <i x="1" s="1"/>
        <i x="3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72B85DCD-5252-4F7B-9F5D-29EE8C0D8536}" sourceName="Category">
  <pivotTables>
    <pivotTable tabId="11" name="PivotTable4"/>
    <pivotTable tabId="17" name="PivotTable14"/>
  </pivotTables>
  <data>
    <tabular pivotCacheId="741318400">
      <items count="5">
        <i x="4" s="1"/>
        <i x="1" s="1"/>
        <i x="2" s="1"/>
        <i x="0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Channel" xr10:uid="{F5EB54CA-6238-48BD-9021-85D4308400BA}" sourceName="Sales_Channel">
  <pivotTables>
    <pivotTable tabId="11" name="PivotTable4"/>
    <pivotTable tabId="17" name="PivotTable14"/>
  </pivotTables>
  <data>
    <tabular pivotCacheId="741318400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Segment" xr10:uid="{54A270CF-FF3F-4EA7-83E9-9B963B03836C}" cache="Slicer_Customer_Segment" caption="Customer_Segment" rowHeight="228600"/>
  <slicer name="Region" xr10:uid="{17A72294-8360-4FA7-BBC8-508286F1A699}" cache="Slicer_Region" caption="Region" rowHeight="228600"/>
  <slicer name="Category" xr10:uid="{5AF9BA68-46D1-4820-90B7-11DB3AA474C5}" cache="Slicer_Category" caption="Category" rowHeight="228600"/>
  <slicer name="Sales_Channel" xr10:uid="{1CFD68B1-4C52-46D4-A090-10DC5BF89B7F}" cache="Slicer_Sales_Channel" caption="Sales_Channel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79561-9EE3-490C-A0E3-F1286D5B13D9}" name="SalesTable" displayName="SalesTable" ref="A1:AE1001" totalsRowShown="0" headerRowDxfId="88" dataDxfId="87">
  <autoFilter ref="A1:AE1001" xr:uid="{07179561-9EE3-490C-A0E3-F1286D5B13D9}"/>
  <tableColumns count="31">
    <tableColumn id="1" xr3:uid="{70D4FF66-0B1E-4E96-8964-8FE7BFC06825}" name="Order_ID" dataDxfId="86"/>
    <tableColumn id="2" xr3:uid="{BEB68341-C859-47FA-87F0-254F2A116FC4}" name="Order_Date" dataDxfId="85"/>
    <tableColumn id="3" xr3:uid="{877F171A-24B9-4C5C-A252-19878F68302E}" name="Customer_ID" dataDxfId="84"/>
    <tableColumn id="4" xr3:uid="{B558530F-97AE-42BD-8D3A-7474D9F36166}" name="Customer_Name" dataDxfId="83"/>
    <tableColumn id="5" xr3:uid="{9A7E67F1-7444-41E8-BA19-BA63A5A108E2}" name="Customer_Segment" dataDxfId="82"/>
    <tableColumn id="6" xr3:uid="{E46D70EA-0C70-4466-8A73-6C6EA10CC36B}" name="City" dataDxfId="81"/>
    <tableColumn id="7" xr3:uid="{9A89DB19-7914-41C8-A0C0-A834E99A8754}" name="State" dataDxfId="80"/>
    <tableColumn id="8" xr3:uid="{9C9104D5-3EB0-465D-A786-962573C4C2B6}" name="Region" dataDxfId="79"/>
    <tableColumn id="9" xr3:uid="{0A0A96F9-F44F-4D73-9E96-3157EDD685F0}" name="Category" dataDxfId="78"/>
    <tableColumn id="10" xr3:uid="{70B9DBE7-554C-4D9E-9105-9D0E2CB1EFF0}" name="Product" dataDxfId="77"/>
    <tableColumn id="11" xr3:uid="{07950F81-6989-42A3-B07F-2F88E3D43C17}" name="Quantity" dataDxfId="76"/>
    <tableColumn id="12" xr3:uid="{5CA9B120-1E99-428D-8F43-5D4D4ACDA3AA}" name="Unit_Price" dataDxfId="75"/>
    <tableColumn id="13" xr3:uid="{01642916-B3B1-423E-88DB-08547151385A}" name="Discount" dataDxfId="74"/>
    <tableColumn id="14" xr3:uid="{4DD5764C-4695-4692-9D7D-325116E02DB2}" name="Sales" dataDxfId="73"/>
    <tableColumn id="15" xr3:uid="{F88B6885-8005-43F4-A536-30E26123F3F3}" name="Cost" dataDxfId="72"/>
    <tableColumn id="16" xr3:uid="{5D4BF49F-2093-4977-B2D8-0026E59545B8}" name="Profit" dataDxfId="71"/>
    <tableColumn id="17" xr3:uid="{ED31C1ED-41BD-4C72-A7D5-CD147EAFA14B}" name="Profit_Margin_%" dataDxfId="70"/>
    <tableColumn id="18" xr3:uid="{B189E1D9-21A3-441F-8FA3-2B502AD30E1E}" name="Payment_Method" dataDxfId="69"/>
    <tableColumn id="19" xr3:uid="{DD550BA1-F0E6-456E-A274-156B8D86BC84}" name="Sales_Channel" dataDxfId="68"/>
    <tableColumn id="20" xr3:uid="{9AB98C23-4963-4A8A-841E-834359BC9F69}" name="Salesperson" dataDxfId="67"/>
    <tableColumn id="21" xr3:uid="{5C081353-0905-4229-B8FE-6A095E28B719}" name="Month" dataDxfId="66"/>
    <tableColumn id="22" xr3:uid="{86D099E2-97D5-4E77-9714-966101411DEB}" name="Year" dataDxfId="65"/>
    <tableColumn id="23" xr3:uid="{F76D06FD-41BB-41F3-89C4-8AF28E7445B8}" name="Day_Name" dataDxfId="64"/>
    <tableColumn id="24" xr3:uid="{2DBD1940-4A4A-4C33-A4A9-2FA872BD6377}" name="Delivery_Days" dataDxfId="63"/>
    <tableColumn id="25" xr3:uid="{6ED84004-3EBC-4C8D-8149-5313E8854B7F}" name="Delivery_Date" dataDxfId="62"/>
    <tableColumn id="26" xr3:uid="{C87D356D-B5DB-4ECF-B7F6-6084AFCCAA66}" name="Order_Status" dataDxfId="61"/>
    <tableColumn id="27" xr3:uid="{042DA2DC-1114-4085-B4AC-BB8133896513}" name="Customer_Type" dataDxfId="60"/>
    <tableColumn id="28" xr3:uid="{E83164AC-30BD-4F8C-B218-68F9DF0FB44E}" name="Priority" dataDxfId="59"/>
    <tableColumn id="29" xr3:uid="{92411667-45A9-434B-A4AA-5D41AB809163}" name="Return_Requested" dataDxfId="58"/>
    <tableColumn id="30" xr3:uid="{F3464B97-F19F-4D72-B9D8-92AF88AA65DD}" name="Rating" dataDxfId="57"/>
    <tableColumn id="31" xr3:uid="{089AF56F-51AA-481F-A2DB-EF81BA52DCF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FF6E17-71BC-459C-863A-1B06F052F55A}" name="Table3" displayName="Table3" ref="A3:BF50" totalsRowShown="0">
  <autoFilter ref="A3:BF50" xr:uid="{E4FF6E17-71BC-459C-863A-1B06F052F55A}"/>
  <tableColumns count="58">
    <tableColumn id="1" xr3:uid="{2A9138B7-7487-42C1-872A-0A90FF57A66D}" name="Order_ID"/>
    <tableColumn id="2" xr3:uid="{DC8ADAC5-DD4B-44DD-A9FC-C8154AA92921}" name="Order_Date" dataDxfId="56"/>
    <tableColumn id="3" xr3:uid="{6ABB177E-E24F-4D05-BBBC-5D14CB3772CC}" name="Customer_ID"/>
    <tableColumn id="4" xr3:uid="{7DECF9BA-6C04-443F-9E3C-520DFBCED105}" name="Customer_Name"/>
    <tableColumn id="5" xr3:uid="{A22C0E5F-9861-407F-8DC4-711C6DAD0EF4}" name="Customer_Segment"/>
    <tableColumn id="6" xr3:uid="{B9C46BE8-1310-453F-AA9D-B497E728A1E4}" name="City"/>
    <tableColumn id="7" xr3:uid="{CCEA02A2-A601-40D8-9E91-C0856F519A2F}" name="State"/>
    <tableColumn id="8" xr3:uid="{AB3A8D19-9BB5-403D-9A98-D998444B549F}" name="Region"/>
    <tableColumn id="9" xr3:uid="{B12E0629-391C-458B-85FA-AD23973D18E6}" name="Category"/>
    <tableColumn id="10" xr3:uid="{057CC8AC-B5F3-4CB0-A99E-AD2C368FF281}" name="Product"/>
    <tableColumn id="11" xr3:uid="{B284EED1-70BF-4F61-BFB2-C49CDB697C57}" name="Quantity"/>
    <tableColumn id="12" xr3:uid="{9D18D9F9-587B-44C9-AE14-2B2F1A924899}" name="Unit_Price"/>
    <tableColumn id="13" xr3:uid="{B3424183-5A29-4608-BF2D-1A6630C9CD26}" name="Discount"/>
    <tableColumn id="14" xr3:uid="{2CC10299-E4EA-4EA0-84B1-E8BA84C4B326}" name="Sales"/>
    <tableColumn id="15" xr3:uid="{C560C9A1-45EB-4D7E-81F1-DA1A13716726}" name="Cost"/>
    <tableColumn id="16" xr3:uid="{30CCEEA3-4AC8-4C3C-A3CB-CD2D4C1D6313}" name="Profit"/>
    <tableColumn id="17" xr3:uid="{10A582FD-9C76-4D88-96D1-3CD6F60D3D9E}" name="Profit_Margin_%"/>
    <tableColumn id="18" xr3:uid="{7FE86308-16E4-4D64-8BC4-DDD60658CC78}" name="Payment_Method"/>
    <tableColumn id="19" xr3:uid="{387F040D-F164-4515-BACF-784B6B3A87FD}" name="Sales_Channel"/>
    <tableColumn id="20" xr3:uid="{3477301B-8F7C-4182-A5BA-725BE054CA36}" name="Salesperson"/>
    <tableColumn id="21" xr3:uid="{F6E505D0-F8D8-4B1B-B945-BC08F1498202}" name="Month"/>
    <tableColumn id="22" xr3:uid="{5706DCEE-8F42-492C-96F3-D4E6D289FDE2}" name="Year"/>
    <tableColumn id="23" xr3:uid="{C92C679C-CCD6-4C43-99CD-11C15F4836DC}" name="Day_Name"/>
    <tableColumn id="24" xr3:uid="{FA204DFC-07EA-4C78-99D8-B567F49B6640}" name="Delivery_Days"/>
    <tableColumn id="25" xr3:uid="{29BF6C4F-15B6-46A6-A1D7-E5A7DDC5760B}" name="Delivery_Date" dataDxfId="55"/>
    <tableColumn id="26" xr3:uid="{14D15CAC-34F4-44C7-BD44-42980F5F249A}" name="Order_Status"/>
    <tableColumn id="27" xr3:uid="{27FDD315-2A83-4294-A526-8F521B7381FD}" name="Customer_Type"/>
    <tableColumn id="28" xr3:uid="{F24C8823-A444-447F-8BA5-EA1C2752F982}" name="Priority"/>
    <tableColumn id="29" xr3:uid="{ED3988B8-5F3D-480E-BA5C-02EECBCCEEFD}" name="Return_Requested"/>
    <tableColumn id="30" xr3:uid="{7AA378A0-2482-4B4C-9CF8-C7E4C295FA5F}" name="Rating"/>
    <tableColumn id="31" xr3:uid="{D794230A-2645-4762-9161-E7B01744E747}" name="First_name"/>
    <tableColumn id="32" xr3:uid="{8423FCDF-B99D-49AB-B82D-1B889A4CA19C}" name="Last_Name"/>
    <tableColumn id="33" xr3:uid="{A73523D1-5E7C-4AF3-A66B-11911B7192A0}" name="SUM"/>
    <tableColumn id="34" xr3:uid="{93C508B5-E144-41B1-AB75-30254F944849}" name="Average"/>
    <tableColumn id="35" xr3:uid="{52DBE2DC-2A14-45EE-9AE4-9E8601198EC6}" name="Count"/>
    <tableColumn id="36" xr3:uid="{2C840CB7-1711-4335-8F25-5065FCDA00E3}" name="Counta"/>
    <tableColumn id="37" xr3:uid="{FD5F0929-E761-4B78-8AFA-0F095266DA6F}" name="MIN"/>
    <tableColumn id="38" xr3:uid="{03C65D80-B54D-4279-9086-81187065DE00}" name="Max"/>
    <tableColumn id="39" xr3:uid="{2E408670-E946-4277-A4DF-C7D25E81C821}" name="IF"/>
    <tableColumn id="40" xr3:uid="{7D0C9E60-EACE-42D6-8DD6-1D48C5FBC6C0}" name="IFS"/>
    <tableColumn id="41" xr3:uid="{D8739ADD-BF3C-49FC-A269-A9DB254FA69F}" name="AND"/>
    <tableColumn id="42" xr3:uid="{EF555329-3357-4B4F-8437-AEF75FF564E0}" name="OR"/>
    <tableColumn id="43" xr3:uid="{98DD5E6E-6198-4C10-96F5-7408B91B1CD3}" name="IFERROR"/>
    <tableColumn id="44" xr3:uid="{ECB5FB2E-D2B1-4508-9EA1-A2AD6BD25977}" name="SUMIFS"/>
    <tableColumn id="45" xr3:uid="{EC6CE29C-A2BC-4C84-BE44-C81084B2645A}" name="COUNTIFS"/>
    <tableColumn id="46" xr3:uid="{A903DD88-4440-4024-8DC5-34674654FB50}" name="AVERAGEIFS"/>
    <tableColumn id="47" xr3:uid="{6678FCAC-86E6-490A-B8CB-7D51A4E40647}" name="Region-wise Sales"/>
    <tableColumn id="48" xr3:uid="{875897DB-B553-4721-B020-AC45CF6FBED8}" name="Category-wise Sales"/>
    <tableColumn id="49" xr3:uid="{0C3C3879-F58D-4FA4-90CE-F3C165C4E61A}" name="Total Sales"/>
    <tableColumn id="50" xr3:uid="{36D080B6-AA0E-40C8-B245-8BBA36801D31}" name="Salesperson-wise Sales"/>
    <tableColumn id="51" xr3:uid="{A5E27429-2DCC-4723-BEB1-083D9337029F}" name="Monthly Sales"/>
    <tableColumn id="52" xr3:uid="{CC964493-396D-4553-B6D8-B7D97B84ADE2}" name="Year-wise Sales"/>
    <tableColumn id="53" xr3:uid="{59774A6D-340C-42C2-AD87-8528A50519AA}" name="Profit Analysis"/>
    <tableColumn id="54" xr3:uid="{7DD9BC9A-AEC8-4F85-BDDE-67152E9CF6AB}" name="Profit Margin Analysis"/>
    <tableColumn id="55" xr3:uid="{69FCC479-82FB-4251-ADA3-BF08BA76F004}" name="Discount Analysis"/>
    <tableColumn id="56" xr3:uid="{3A7943A0-C50B-4A09-9A87-8E33FC1A279F}" name="Region_Total_Sales"/>
    <tableColumn id="57" xr3:uid="{8EE028DB-5CE7-4D04-BEE8-2345A58B1ACF}" name="Product_wise Sales"/>
    <tableColumn id="58" xr3:uid="{E0E763A2-21CA-419A-A421-4789B56343A2}" name="Total Sales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7F0C0E-9EDA-4F42-B1BD-B9BF069909A5}" name="Table2" displayName="Table2" ref="A1:AX1001" totalsRowShown="0" headerRowDxfId="52" dataDxfId="51" tableBorderDxfId="50">
  <autoFilter ref="A1:AX1001" xr:uid="{5F7F0C0E-9EDA-4F42-B1BD-B9BF069909A5}"/>
  <sortState xmlns:xlrd2="http://schemas.microsoft.com/office/spreadsheetml/2017/richdata2" ref="A2:AF1001">
    <sortCondition ref="B1:B1001"/>
  </sortState>
  <tableColumns count="50">
    <tableColumn id="1" xr3:uid="{11267007-79CF-4791-980B-CE34730E1BA8}" name="Order_ID" dataDxfId="49"/>
    <tableColumn id="2" xr3:uid="{75C5F7B9-95C1-400E-ADE2-9F899ED55C9A}" name="Order_Date" dataDxfId="48"/>
    <tableColumn id="3" xr3:uid="{44C64DCD-0B23-4764-AAF7-B3E9A5722AD2}" name="Customer_ID" dataDxfId="47"/>
    <tableColumn id="4" xr3:uid="{AFEC3ED4-DA88-4F68-A4A8-7D4BA8E56E29}" name="Customer_Name" dataDxfId="46"/>
    <tableColumn id="6" xr3:uid="{18622026-32D9-4093-AC9C-DF279814349B}" name="Customer_Segment" dataDxfId="45"/>
    <tableColumn id="7" xr3:uid="{EABDB8B1-D1CA-49A9-9B1D-7C1841D5A183}" name="City" dataDxfId="44"/>
    <tableColumn id="8" xr3:uid="{17C25AF5-0DF4-43D1-BA72-99536CE38D61}" name="State" dataDxfId="43"/>
    <tableColumn id="9" xr3:uid="{EF4F6A07-41E9-4785-A85D-85F1CF4E5C3A}" name="Region" dataDxfId="42"/>
    <tableColumn id="10" xr3:uid="{9378B068-BB8A-4E84-85EB-4E30346D0662}" name="Category" dataDxfId="41"/>
    <tableColumn id="11" xr3:uid="{2E574617-B8AC-467B-B7A1-88E390F36DA1}" name="Product" dataDxfId="40"/>
    <tableColumn id="12" xr3:uid="{9C366621-A976-4DA6-831D-781D6837A254}" name="Quantity" dataDxfId="39"/>
    <tableColumn id="13" xr3:uid="{5D8CFB04-0D0C-4733-8DCB-FA85AA8CDF2E}" name="Unit_Price" dataDxfId="38"/>
    <tableColumn id="14" xr3:uid="{FD148C35-A1B4-41C9-93B7-CAE9D1E506E8}" name="Discount" dataDxfId="37"/>
    <tableColumn id="15" xr3:uid="{D80CE05B-CE2B-48B7-917B-37AAA524AC78}" name="Sales" dataDxfId="36"/>
    <tableColumn id="16" xr3:uid="{64CA7C0E-6112-4DB5-BB52-B382E6DD8B52}" name="Cost" dataDxfId="35"/>
    <tableColumn id="17" xr3:uid="{B4161576-FDC2-4248-865E-37F0F50E7F97}" name="Profit" dataDxfId="34"/>
    <tableColumn id="18" xr3:uid="{3B77E402-807D-4874-8AF6-1DC3C0974FED}" name="Profit_Margin_%" dataDxfId="33"/>
    <tableColumn id="19" xr3:uid="{27C14CAE-9E08-4674-9397-5CBC683EBA35}" name="Payment_Method" dataDxfId="32"/>
    <tableColumn id="20" xr3:uid="{217568B1-C36C-4A23-98FB-52364643191C}" name="Sales_Channel" dataDxfId="31"/>
    <tableColumn id="21" xr3:uid="{7F658606-436D-48C4-83FB-7003911D92B9}" name="Salesperson" dataDxfId="30"/>
    <tableColumn id="22" xr3:uid="{0BD7D899-2AA9-4DBC-A301-903B0A3E1D75}" name="Month" dataDxfId="29"/>
    <tableColumn id="23" xr3:uid="{0ECC027D-9E62-44BF-818F-F96490724788}" name="Year" dataDxfId="28"/>
    <tableColumn id="24" xr3:uid="{2A1E6D47-2C7C-4109-9009-3E844C8547B7}" name="Day_Name" dataDxfId="27"/>
    <tableColumn id="25" xr3:uid="{3AF93FDA-09D1-4669-857F-B4AB687D4096}" name="Delivery_Days" dataDxfId="26"/>
    <tableColumn id="26" xr3:uid="{013340BA-3119-4D40-998B-5987E9F1A184}" name="Delivery_Date" dataDxfId="25"/>
    <tableColumn id="27" xr3:uid="{C4AF3EAF-49AC-4C2A-84F7-7C9E2FBBE776}" name="Order_Status" dataDxfId="24"/>
    <tableColumn id="28" xr3:uid="{966E411C-56B0-496B-976A-D1DEACAEA76E}" name="Customer_Type" dataDxfId="23"/>
    <tableColumn id="29" xr3:uid="{F89480C6-5C00-43E9-A919-1F4997BF9E22}" name="Priority" dataDxfId="22"/>
    <tableColumn id="30" xr3:uid="{C4B788E6-A8A6-41AA-A328-F91A77BDAABB}" name="Return_Requested" dataDxfId="21"/>
    <tableColumn id="31" xr3:uid="{5A6395E7-FB84-4B22-9A1D-382B8AEA69BC}" name="Rating" dataDxfId="20"/>
    <tableColumn id="33" xr3:uid="{52C03294-7E39-4975-BC1B-18D5C34483B7}" name="First_name" dataDxfId="19"/>
    <tableColumn id="34" xr3:uid="{35EE0809-929E-4E97-9C7B-165CCD1CF839}" name="Last_Name" dataDxfId="18"/>
    <tableColumn id="5" xr3:uid="{072354AD-56AD-4793-A047-CD57145FAEBD}" name="SUM" dataDxfId="17"/>
    <tableColumn id="32" xr3:uid="{B1C97AFF-F268-444B-91FE-649985CD1797}" name="Average" dataDxfId="16"/>
    <tableColumn id="35" xr3:uid="{3838F578-8B5B-4A76-A6F2-8B1E29D1A9D2}" name="Count" dataDxfId="15"/>
    <tableColumn id="36" xr3:uid="{4317B8E8-818C-45E0-9493-788EFA3A5AD5}" name="Counta" dataDxfId="14"/>
    <tableColumn id="37" xr3:uid="{9A16856E-3049-4A6F-A32B-0F3759A783F1}" name="MIN" dataDxfId="13"/>
    <tableColumn id="38" xr3:uid="{CD1D9600-A549-4A1A-A440-B1C44CAD77AA}" name="Max" dataDxfId="12"/>
    <tableColumn id="39" xr3:uid="{AC84EB25-2BBC-4DA7-BAB4-14C4AACDBA0C}" name="IF" dataDxfId="11">
      <calculatedColumnFormula>IF(Q2&gt;=30,"Good","Needs Improvement")</calculatedColumnFormula>
    </tableColumn>
    <tableColumn id="40" xr3:uid="{DC8D6B0A-54DB-4456-9C51-B60BFA193E20}" name="IFS" dataDxfId="10">
      <calculatedColumnFormula array="1">_xlfn.IFS(N2&lt;10000,"Low",N2&lt;30000,"Medium",N2&gt;=30000,"High")</calculatedColumnFormula>
    </tableColumn>
    <tableColumn id="41" xr3:uid="{6C791DD3-3EE4-42C9-9FF0-0D9983BA6123}" name="AND" dataDxfId="9">
      <calculatedColumnFormula>IF(AND(N2&gt;=30000,P2&gt;=10000),"Yes","No")</calculatedColumnFormula>
    </tableColumn>
    <tableColumn id="42" xr3:uid="{38F6C1DE-2E19-4804-AD50-DA9594242B88}" name="OR" dataDxfId="8">
      <calculatedColumnFormula>IF(OR(S2="Online",S2="Marketplace"),"Yes","No")</calculatedColumnFormula>
    </tableColumn>
    <tableColumn id="43" xr3:uid="{3157ADA7-06F3-45B6-A576-2330AB27F791}" name="IFERROR" dataDxfId="7">
      <calculatedColumnFormula>IFERROR(P2/N2,"No Error")</calculatedColumnFormula>
    </tableColumn>
    <tableColumn id="45" xr3:uid="{26A15E21-9ED5-4639-B1F8-E82921E9E9B6}" name="COUNTIFS" dataDxfId="6"/>
    <tableColumn id="46" xr3:uid="{248CA3F4-AEEA-47B1-BE26-92A7DDF114D0}" name="AVERAGEIFS" dataDxfId="5"/>
    <tableColumn id="47" xr3:uid="{980FD60A-2E49-4ADF-BECD-58FAEBC4551F}" name="Region-wise Sales" dataDxfId="4"/>
    <tableColumn id="48" xr3:uid="{013E0801-7E57-4E57-87DB-4F2C7CE26930}" name="Category-wise Sales" dataDxfId="3"/>
    <tableColumn id="49" xr3:uid="{68D87794-865E-4D31-ADC9-5B5AC74F3202}" name="Total Sales" dataDxfId="2"/>
    <tableColumn id="56" xr3:uid="{C924A9EA-324F-4136-9EA8-46C4710D4ADA}" name="Region_Total_Sales" dataDxfId="1"/>
    <tableColumn id="59" xr3:uid="{8D967B4B-2E8A-4F20-9F1E-C383A5C341E0}" name="Performance" dataDxfId="0">
      <calculatedColumnFormula>IF(P2&gt;=20000,"Excellent",IF(P2&gt;=10000,"Good",IF(P2&gt;=5000,"Average","Low")))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openxmlformats.org/officeDocument/2006/relationships/drawing" Target="../drawings/drawing10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050C-F306-4027-A949-B4E45C6F89F4}">
  <dimension ref="A1:AJ1001"/>
  <sheetViews>
    <sheetView topLeftCell="T1" workbookViewId="0"/>
  </sheetViews>
  <sheetFormatPr defaultRowHeight="15"/>
  <cols>
    <col min="1" max="1" width="11.5703125" bestFit="1" customWidth="1"/>
    <col min="2" max="2" width="13.85546875" style="2" bestFit="1" customWidth="1"/>
    <col min="3" max="3" width="15" bestFit="1" customWidth="1"/>
    <col min="4" max="4" width="18.5703125" bestFit="1" customWidth="1"/>
    <col min="5" max="5" width="21.28515625" bestFit="1" customWidth="1"/>
    <col min="6" max="6" width="11.85546875" bestFit="1" customWidth="1"/>
    <col min="7" max="7" width="13.42578125" bestFit="1" customWidth="1"/>
    <col min="8" max="8" width="9.5703125" bestFit="1" customWidth="1"/>
    <col min="9" max="9" width="14.7109375" bestFit="1" customWidth="1"/>
    <col min="10" max="10" width="12.85546875" bestFit="1" customWidth="1"/>
    <col min="11" max="11" width="11.28515625" bestFit="1" customWidth="1"/>
    <col min="12" max="12" width="12.7109375" bestFit="1" customWidth="1"/>
    <col min="13" max="13" width="11.28515625" bestFit="1" customWidth="1"/>
    <col min="14" max="14" width="8" bestFit="1" customWidth="1"/>
    <col min="15" max="16" width="10.42578125" bestFit="1" customWidth="1"/>
    <col min="17" max="17" width="18.7109375" bestFit="1" customWidth="1"/>
    <col min="18" max="18" width="19.85546875" bestFit="1" customWidth="1"/>
    <col min="19" max="19" width="16.42578125" bestFit="1" customWidth="1"/>
    <col min="20" max="20" width="14.140625" bestFit="1" customWidth="1"/>
    <col min="21" max="21" width="11" bestFit="1" customWidth="1"/>
    <col min="22" max="22" width="7.42578125" bestFit="1" customWidth="1"/>
    <col min="23" max="23" width="13.140625" bestFit="1" customWidth="1"/>
    <col min="24" max="24" width="16.28515625" bestFit="1" customWidth="1"/>
    <col min="25" max="25" width="16.28515625" style="2" bestFit="1" customWidth="1"/>
    <col min="26" max="26" width="15.28515625" bestFit="1" customWidth="1"/>
    <col min="27" max="27" width="17.5703125" bestFit="1" customWidth="1"/>
    <col min="28" max="28" width="10" bestFit="1" customWidth="1"/>
    <col min="29" max="29" width="20.42578125" bestFit="1" customWidth="1"/>
    <col min="30" max="30" width="9.140625" bestFit="1" customWidth="1"/>
    <col min="31" max="31" width="11.42578125" bestFit="1" customWidth="1"/>
  </cols>
  <sheetData>
    <row r="1" spans="1:3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t="s">
        <v>30</v>
      </c>
    </row>
    <row r="2" spans="1:36">
      <c r="A2" s="5" t="s">
        <v>31</v>
      </c>
      <c r="B2" s="1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>
        <v>4</v>
      </c>
      <c r="L2" s="5">
        <v>12000</v>
      </c>
      <c r="M2" s="5">
        <v>0.05</v>
      </c>
      <c r="N2" s="5">
        <v>45600</v>
      </c>
      <c r="O2" s="5">
        <v>32350.14</v>
      </c>
      <c r="P2" s="5">
        <v>13249.86</v>
      </c>
      <c r="Q2" s="5">
        <v>29.06</v>
      </c>
      <c r="R2" s="5" t="s">
        <v>41</v>
      </c>
      <c r="S2" s="5" t="s">
        <v>42</v>
      </c>
      <c r="T2" s="5" t="s">
        <v>43</v>
      </c>
      <c r="U2" s="5" t="s">
        <v>44</v>
      </c>
      <c r="V2" s="5">
        <v>2024</v>
      </c>
      <c r="W2" s="5" t="s">
        <v>45</v>
      </c>
      <c r="X2" s="5">
        <v>9</v>
      </c>
      <c r="Y2" s="1" t="s">
        <v>46</v>
      </c>
      <c r="Z2" s="5" t="s">
        <v>47</v>
      </c>
      <c r="AA2" s="5" t="s">
        <v>48</v>
      </c>
      <c r="AB2" s="5" t="s">
        <v>49</v>
      </c>
      <c r="AC2" s="5" t="s">
        <v>50</v>
      </c>
      <c r="AD2" s="5">
        <v>2</v>
      </c>
    </row>
    <row r="3" spans="1:36">
      <c r="A3" s="5" t="s">
        <v>51</v>
      </c>
      <c r="B3" s="1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H3" s="5" t="s">
        <v>58</v>
      </c>
      <c r="I3" s="5" t="s">
        <v>59</v>
      </c>
      <c r="J3" s="5" t="s">
        <v>60</v>
      </c>
      <c r="K3" s="5">
        <v>1</v>
      </c>
      <c r="L3" s="5">
        <v>800</v>
      </c>
      <c r="M3" s="5">
        <v>0.15</v>
      </c>
      <c r="N3" s="5">
        <v>680</v>
      </c>
      <c r="O3" s="5">
        <v>413.53</v>
      </c>
      <c r="P3" s="5">
        <v>266.47000000000003</v>
      </c>
      <c r="Q3" s="5">
        <v>39.19</v>
      </c>
      <c r="R3" s="5" t="s">
        <v>61</v>
      </c>
      <c r="S3" s="5" t="s">
        <v>62</v>
      </c>
      <c r="T3" s="5" t="s">
        <v>63</v>
      </c>
      <c r="U3" s="5" t="s">
        <v>64</v>
      </c>
      <c r="V3" s="5">
        <v>2024</v>
      </c>
      <c r="W3" s="5" t="s">
        <v>65</v>
      </c>
      <c r="X3" s="5">
        <v>5</v>
      </c>
      <c r="Y3" s="1" t="s">
        <v>66</v>
      </c>
      <c r="Z3" s="5" t="s">
        <v>47</v>
      </c>
      <c r="AA3" s="5" t="s">
        <v>67</v>
      </c>
      <c r="AB3" s="5" t="s">
        <v>49</v>
      </c>
      <c r="AC3" s="5" t="s">
        <v>50</v>
      </c>
      <c r="AD3" s="5">
        <v>5</v>
      </c>
    </row>
    <row r="4" spans="1:36">
      <c r="A4" s="5" t="s">
        <v>68</v>
      </c>
      <c r="B4" s="1">
        <v>45778</v>
      </c>
      <c r="C4" s="5" t="s">
        <v>69</v>
      </c>
      <c r="D4" s="5" t="s">
        <v>70</v>
      </c>
      <c r="E4" s="5" t="s">
        <v>55</v>
      </c>
      <c r="F4" s="5" t="s">
        <v>36</v>
      </c>
      <c r="G4" s="5" t="s">
        <v>37</v>
      </c>
      <c r="H4" s="5" t="s">
        <v>58</v>
      </c>
      <c r="I4" s="5" t="s">
        <v>71</v>
      </c>
      <c r="J4" s="5" t="s">
        <v>72</v>
      </c>
      <c r="K4" s="5">
        <v>9</v>
      </c>
      <c r="L4" s="5">
        <v>1800</v>
      </c>
      <c r="M4" s="5">
        <v>0.2</v>
      </c>
      <c r="N4" s="5">
        <v>12960</v>
      </c>
      <c r="O4" s="5">
        <v>9593.44</v>
      </c>
      <c r="P4" s="5">
        <v>3366.56</v>
      </c>
      <c r="Q4" s="5">
        <v>25.98</v>
      </c>
      <c r="R4" s="5" t="s">
        <v>73</v>
      </c>
      <c r="S4" s="5" t="s">
        <v>74</v>
      </c>
      <c r="T4" s="5" t="s">
        <v>75</v>
      </c>
      <c r="U4" s="5" t="s">
        <v>76</v>
      </c>
      <c r="V4" s="5">
        <v>2025</v>
      </c>
      <c r="W4" s="5" t="s">
        <v>45</v>
      </c>
      <c r="X4" s="5">
        <v>10</v>
      </c>
      <c r="Y4" s="1" t="s">
        <v>77</v>
      </c>
      <c r="Z4" s="5" t="s">
        <v>47</v>
      </c>
      <c r="AA4" s="5" t="s">
        <v>67</v>
      </c>
      <c r="AB4" s="5" t="s">
        <v>78</v>
      </c>
      <c r="AC4" s="5" t="s">
        <v>50</v>
      </c>
      <c r="AD4" s="5">
        <v>2</v>
      </c>
    </row>
    <row r="5" spans="1:36">
      <c r="A5" s="5" t="s">
        <v>79</v>
      </c>
      <c r="B5" s="1">
        <v>46001</v>
      </c>
      <c r="C5" s="5" t="s">
        <v>80</v>
      </c>
      <c r="D5" s="5" t="s">
        <v>81</v>
      </c>
      <c r="E5" s="8" t="s">
        <v>55</v>
      </c>
      <c r="F5" s="5" t="s">
        <v>82</v>
      </c>
      <c r="G5" s="5" t="s">
        <v>83</v>
      </c>
      <c r="H5" s="5" t="s">
        <v>38</v>
      </c>
      <c r="I5" s="5" t="s">
        <v>84</v>
      </c>
      <c r="J5" s="5" t="s">
        <v>85</v>
      </c>
      <c r="K5" s="5">
        <v>5</v>
      </c>
      <c r="L5" s="5">
        <v>100</v>
      </c>
      <c r="M5" s="5">
        <v>0.2</v>
      </c>
      <c r="N5" s="5">
        <v>400</v>
      </c>
      <c r="O5" s="5">
        <v>298.75</v>
      </c>
      <c r="P5" s="5">
        <v>101.25</v>
      </c>
      <c r="Q5" s="5">
        <v>25.31</v>
      </c>
      <c r="R5" s="5" t="s">
        <v>61</v>
      </c>
      <c r="S5" s="5" t="s">
        <v>74</v>
      </c>
      <c r="T5" s="5" t="s">
        <v>86</v>
      </c>
      <c r="U5" s="5" t="s">
        <v>87</v>
      </c>
      <c r="V5" s="5">
        <v>2025</v>
      </c>
      <c r="W5" s="5" t="s">
        <v>45</v>
      </c>
      <c r="X5" s="5">
        <v>3</v>
      </c>
      <c r="Y5" s="1" t="s">
        <v>88</v>
      </c>
      <c r="Z5" s="5" t="s">
        <v>89</v>
      </c>
      <c r="AA5" s="5" t="s">
        <v>90</v>
      </c>
      <c r="AB5" s="5" t="s">
        <v>78</v>
      </c>
      <c r="AC5" s="5" t="s">
        <v>50</v>
      </c>
      <c r="AD5" s="5">
        <v>3</v>
      </c>
    </row>
    <row r="6" spans="1:36">
      <c r="A6" s="5" t="s">
        <v>91</v>
      </c>
      <c r="B6" s="1">
        <v>45902</v>
      </c>
      <c r="C6" s="5" t="s">
        <v>92</v>
      </c>
      <c r="D6" s="5" t="s">
        <v>93</v>
      </c>
      <c r="E6" s="5" t="s">
        <v>55</v>
      </c>
      <c r="F6" s="5" t="s">
        <v>36</v>
      </c>
      <c r="G6" s="5" t="s">
        <v>37</v>
      </c>
      <c r="H6" s="5" t="s">
        <v>94</v>
      </c>
      <c r="I6" s="5" t="s">
        <v>95</v>
      </c>
      <c r="J6" s="5" t="s">
        <v>96</v>
      </c>
      <c r="K6" s="5">
        <v>6</v>
      </c>
      <c r="L6" s="5">
        <v>4000</v>
      </c>
      <c r="M6" s="5">
        <v>0.15</v>
      </c>
      <c r="N6" s="5">
        <v>20400</v>
      </c>
      <c r="O6" s="5">
        <v>12678.96</v>
      </c>
      <c r="P6" s="5">
        <v>7721.04</v>
      </c>
      <c r="Q6" s="5">
        <v>37.85</v>
      </c>
      <c r="R6" s="5" t="s">
        <v>41</v>
      </c>
      <c r="S6" s="5" t="s">
        <v>62</v>
      </c>
      <c r="T6" s="5" t="s">
        <v>97</v>
      </c>
      <c r="U6" s="5" t="s">
        <v>98</v>
      </c>
      <c r="V6" s="5">
        <v>2025</v>
      </c>
      <c r="W6" s="5" t="s">
        <v>45</v>
      </c>
      <c r="X6" s="5">
        <v>8</v>
      </c>
      <c r="Y6" s="1" t="s">
        <v>99</v>
      </c>
      <c r="Z6" s="5" t="s">
        <v>47</v>
      </c>
      <c r="AA6" s="5" t="s">
        <v>90</v>
      </c>
      <c r="AB6" s="5" t="s">
        <v>49</v>
      </c>
      <c r="AC6" s="5" t="s">
        <v>50</v>
      </c>
      <c r="AD6" s="5">
        <v>1</v>
      </c>
    </row>
    <row r="7" spans="1:36">
      <c r="A7" s="5" t="s">
        <v>100</v>
      </c>
      <c r="B7" s="1">
        <v>45697</v>
      </c>
      <c r="C7" s="5" t="s">
        <v>101</v>
      </c>
      <c r="D7" s="5" t="s">
        <v>102</v>
      </c>
      <c r="E7" s="5" t="s">
        <v>103</v>
      </c>
      <c r="F7" s="5" t="s">
        <v>104</v>
      </c>
      <c r="G7" s="5" t="s">
        <v>104</v>
      </c>
      <c r="H7" s="5" t="s">
        <v>58</v>
      </c>
      <c r="I7" s="5" t="s">
        <v>39</v>
      </c>
      <c r="J7" s="5" t="s">
        <v>105</v>
      </c>
      <c r="K7" s="5">
        <v>3</v>
      </c>
      <c r="L7" s="5">
        <v>50000</v>
      </c>
      <c r="M7" s="5">
        <v>0.15</v>
      </c>
      <c r="N7" s="5">
        <v>127500</v>
      </c>
      <c r="O7" s="5">
        <v>83262.240000000005</v>
      </c>
      <c r="P7" s="5">
        <v>44237.760000000002</v>
      </c>
      <c r="Q7" s="5">
        <v>34.700000000000003</v>
      </c>
      <c r="R7" s="5" t="s">
        <v>106</v>
      </c>
      <c r="S7" s="5" t="s">
        <v>42</v>
      </c>
      <c r="T7" s="5" t="s">
        <v>107</v>
      </c>
      <c r="U7" s="5" t="s">
        <v>108</v>
      </c>
      <c r="V7" s="5">
        <v>2025</v>
      </c>
      <c r="W7" s="5" t="s">
        <v>109</v>
      </c>
      <c r="X7" s="5">
        <v>2</v>
      </c>
      <c r="Y7" s="1">
        <v>45756</v>
      </c>
      <c r="Z7" s="5" t="s">
        <v>110</v>
      </c>
      <c r="AA7" s="5" t="s">
        <v>67</v>
      </c>
      <c r="AB7" s="5" t="s">
        <v>111</v>
      </c>
      <c r="AC7" s="5" t="s">
        <v>50</v>
      </c>
      <c r="AD7" s="5">
        <v>1</v>
      </c>
    </row>
    <row r="8" spans="1:36">
      <c r="A8" s="5" t="s">
        <v>112</v>
      </c>
      <c r="B8" s="1" t="s">
        <v>113</v>
      </c>
      <c r="C8" s="5" t="s">
        <v>114</v>
      </c>
      <c r="D8" s="5" t="s">
        <v>115</v>
      </c>
      <c r="E8" s="5" t="s">
        <v>103</v>
      </c>
      <c r="F8" s="5" t="s">
        <v>116</v>
      </c>
      <c r="G8" s="5" t="s">
        <v>37</v>
      </c>
      <c r="H8" s="5" t="s">
        <v>38</v>
      </c>
      <c r="I8" s="5" t="s">
        <v>71</v>
      </c>
      <c r="J8" s="5" t="s">
        <v>117</v>
      </c>
      <c r="K8" s="5">
        <v>8</v>
      </c>
      <c r="L8" s="5">
        <v>700</v>
      </c>
      <c r="M8" s="5">
        <v>0.1</v>
      </c>
      <c r="N8" s="5">
        <v>5040</v>
      </c>
      <c r="O8" s="5">
        <v>4013.9</v>
      </c>
      <c r="P8" s="5">
        <v>1026.0999999999999</v>
      </c>
      <c r="Q8" s="5">
        <v>20.36</v>
      </c>
      <c r="R8" s="5" t="s">
        <v>73</v>
      </c>
      <c r="S8" s="5" t="s">
        <v>62</v>
      </c>
      <c r="T8" s="5" t="s">
        <v>118</v>
      </c>
      <c r="U8" s="5" t="s">
        <v>119</v>
      </c>
      <c r="V8" s="5">
        <v>2025</v>
      </c>
      <c r="W8" s="5" t="s">
        <v>109</v>
      </c>
      <c r="X8" s="5">
        <v>3</v>
      </c>
      <c r="Y8" s="1" t="s">
        <v>120</v>
      </c>
      <c r="Z8" s="5" t="s">
        <v>89</v>
      </c>
      <c r="AA8" s="5" t="s">
        <v>48</v>
      </c>
      <c r="AB8" s="5" t="s">
        <v>111</v>
      </c>
      <c r="AC8" s="5" t="s">
        <v>121</v>
      </c>
      <c r="AD8" s="5">
        <v>5</v>
      </c>
      <c r="AE8" t="s">
        <v>122</v>
      </c>
    </row>
    <row r="9" spans="1:36">
      <c r="A9" s="5" t="s">
        <v>123</v>
      </c>
      <c r="B9" s="1">
        <v>45331</v>
      </c>
      <c r="C9" s="5" t="s">
        <v>124</v>
      </c>
      <c r="D9" s="5" t="s">
        <v>125</v>
      </c>
      <c r="E9" s="5" t="s">
        <v>55</v>
      </c>
      <c r="F9" s="5" t="s">
        <v>82</v>
      </c>
      <c r="G9" s="5" t="s">
        <v>83</v>
      </c>
      <c r="H9" s="5" t="s">
        <v>58</v>
      </c>
      <c r="I9" s="5" t="s">
        <v>71</v>
      </c>
      <c r="J9" s="5" t="s">
        <v>72</v>
      </c>
      <c r="K9" s="5">
        <v>2</v>
      </c>
      <c r="L9" s="5">
        <v>1800</v>
      </c>
      <c r="M9" s="5">
        <v>0.1</v>
      </c>
      <c r="N9" s="5">
        <v>3240</v>
      </c>
      <c r="O9" s="5">
        <v>2550.08</v>
      </c>
      <c r="P9" s="5">
        <v>689.92</v>
      </c>
      <c r="Q9" s="5">
        <v>21.29</v>
      </c>
      <c r="R9" s="5" t="s">
        <v>41</v>
      </c>
      <c r="S9" s="5" t="s">
        <v>74</v>
      </c>
      <c r="T9" s="5" t="s">
        <v>118</v>
      </c>
      <c r="U9" s="5" t="s">
        <v>108</v>
      </c>
      <c r="V9" s="5">
        <v>2024</v>
      </c>
      <c r="W9" s="5" t="s">
        <v>126</v>
      </c>
      <c r="X9" s="5">
        <v>1</v>
      </c>
      <c r="Y9" s="1">
        <v>45360</v>
      </c>
      <c r="Z9" s="5" t="s">
        <v>47</v>
      </c>
      <c r="AA9" s="5" t="s">
        <v>48</v>
      </c>
      <c r="AB9" s="5" t="s">
        <v>78</v>
      </c>
      <c r="AC9" s="5" t="s">
        <v>121</v>
      </c>
      <c r="AD9" s="5">
        <v>3</v>
      </c>
    </row>
    <row r="10" spans="1:36">
      <c r="A10" s="5" t="s">
        <v>127</v>
      </c>
      <c r="B10" s="1" t="s">
        <v>128</v>
      </c>
      <c r="C10" s="5" t="s">
        <v>129</v>
      </c>
      <c r="D10" s="5" t="s">
        <v>130</v>
      </c>
      <c r="E10" s="5" t="s">
        <v>103</v>
      </c>
      <c r="F10" s="5" t="s">
        <v>131</v>
      </c>
      <c r="G10" s="5" t="s">
        <v>132</v>
      </c>
      <c r="H10" s="5" t="s">
        <v>94</v>
      </c>
      <c r="I10" s="5" t="s">
        <v>59</v>
      </c>
      <c r="J10" s="5" t="s">
        <v>133</v>
      </c>
      <c r="K10" s="5">
        <v>4</v>
      </c>
      <c r="L10" s="5">
        <v>3000</v>
      </c>
      <c r="M10" s="5">
        <v>0.05</v>
      </c>
      <c r="N10" s="5">
        <v>11400</v>
      </c>
      <c r="O10" s="5">
        <v>9333.07</v>
      </c>
      <c r="P10" s="5">
        <v>2066.9299999999998</v>
      </c>
      <c r="Q10" s="5">
        <v>18.13</v>
      </c>
      <c r="R10" s="5" t="s">
        <v>106</v>
      </c>
      <c r="S10" s="5" t="s">
        <v>74</v>
      </c>
      <c r="T10" s="5" t="s">
        <v>86</v>
      </c>
      <c r="U10" s="5" t="s">
        <v>64</v>
      </c>
      <c r="V10" s="5">
        <v>2025</v>
      </c>
      <c r="W10" s="5" t="s">
        <v>134</v>
      </c>
      <c r="X10" s="5">
        <v>5</v>
      </c>
      <c r="Y10" s="1">
        <v>46143</v>
      </c>
      <c r="Z10" s="5" t="s">
        <v>110</v>
      </c>
      <c r="AA10" s="5" t="s">
        <v>90</v>
      </c>
      <c r="AB10" s="5" t="s">
        <v>78</v>
      </c>
      <c r="AC10" s="5" t="s">
        <v>121</v>
      </c>
      <c r="AD10" s="5">
        <v>5</v>
      </c>
      <c r="AJ10" s="7"/>
    </row>
    <row r="11" spans="1:36">
      <c r="A11" s="5" t="s">
        <v>135</v>
      </c>
      <c r="B11" s="1" t="s">
        <v>136</v>
      </c>
      <c r="C11" s="5" t="s">
        <v>33</v>
      </c>
      <c r="D11" s="5" t="s">
        <v>137</v>
      </c>
      <c r="E11" s="5" t="s">
        <v>103</v>
      </c>
      <c r="F11" s="5" t="s">
        <v>131</v>
      </c>
      <c r="G11" s="5" t="s">
        <v>132</v>
      </c>
      <c r="H11" s="5" t="s">
        <v>38</v>
      </c>
      <c r="I11" s="5" t="s">
        <v>95</v>
      </c>
      <c r="J11" s="5" t="s">
        <v>96</v>
      </c>
      <c r="K11" s="5">
        <v>4</v>
      </c>
      <c r="L11" s="5">
        <v>2500</v>
      </c>
      <c r="M11" s="5">
        <v>0</v>
      </c>
      <c r="N11" s="5">
        <v>10000</v>
      </c>
      <c r="O11" s="5">
        <v>5681.98</v>
      </c>
      <c r="P11" s="5">
        <v>4318.0200000000004</v>
      </c>
      <c r="Q11" s="5">
        <v>43.18</v>
      </c>
      <c r="R11" s="5" t="s">
        <v>61</v>
      </c>
      <c r="S11" s="5" t="s">
        <v>42</v>
      </c>
      <c r="T11" s="5" t="s">
        <v>138</v>
      </c>
      <c r="U11" s="5" t="s">
        <v>64</v>
      </c>
      <c r="V11" s="5">
        <v>2025</v>
      </c>
      <c r="W11" s="5" t="s">
        <v>139</v>
      </c>
      <c r="X11" s="5">
        <v>1</v>
      </c>
      <c r="Y11" s="1" t="s">
        <v>140</v>
      </c>
      <c r="Z11" s="5" t="s">
        <v>47</v>
      </c>
      <c r="AA11" s="5" t="s">
        <v>90</v>
      </c>
      <c r="AB11" s="5" t="s">
        <v>111</v>
      </c>
      <c r="AC11" s="5" t="s">
        <v>121</v>
      </c>
      <c r="AD11" s="5">
        <v>5</v>
      </c>
      <c r="AH11" s="6"/>
    </row>
    <row r="12" spans="1:36">
      <c r="A12" s="5" t="s">
        <v>141</v>
      </c>
      <c r="B12" s="1">
        <v>45447</v>
      </c>
      <c r="C12" s="5" t="s">
        <v>142</v>
      </c>
      <c r="D12" s="5" t="s">
        <v>143</v>
      </c>
      <c r="E12" s="5" t="s">
        <v>103</v>
      </c>
      <c r="F12" s="5" t="s">
        <v>144</v>
      </c>
      <c r="G12" s="5" t="s">
        <v>145</v>
      </c>
      <c r="H12" s="5" t="s">
        <v>58</v>
      </c>
      <c r="I12" s="5" t="s">
        <v>71</v>
      </c>
      <c r="J12" s="5" t="s">
        <v>117</v>
      </c>
      <c r="K12" s="5">
        <v>8</v>
      </c>
      <c r="L12" s="5">
        <v>2500</v>
      </c>
      <c r="M12" s="5">
        <v>0.05</v>
      </c>
      <c r="N12" s="5">
        <v>19000</v>
      </c>
      <c r="O12" s="5">
        <v>12267.55</v>
      </c>
      <c r="P12" s="5">
        <v>6732.45</v>
      </c>
      <c r="Q12" s="5">
        <v>35.43</v>
      </c>
      <c r="R12" s="5" t="s">
        <v>106</v>
      </c>
      <c r="S12" s="5" t="s">
        <v>74</v>
      </c>
      <c r="T12" s="5" t="s">
        <v>75</v>
      </c>
      <c r="U12" s="5" t="s">
        <v>44</v>
      </c>
      <c r="V12" s="5">
        <v>2024</v>
      </c>
      <c r="W12" s="5" t="s">
        <v>65</v>
      </c>
      <c r="X12" s="5">
        <v>2</v>
      </c>
      <c r="Y12" s="1">
        <v>45508</v>
      </c>
      <c r="Z12" s="5" t="s">
        <v>110</v>
      </c>
      <c r="AA12" s="5" t="s">
        <v>48</v>
      </c>
      <c r="AB12" s="5" t="s">
        <v>78</v>
      </c>
      <c r="AC12" s="5" t="s">
        <v>121</v>
      </c>
      <c r="AD12" s="5">
        <v>2</v>
      </c>
    </row>
    <row r="13" spans="1:36">
      <c r="A13" s="5" t="s">
        <v>146</v>
      </c>
      <c r="B13" s="1">
        <v>45450</v>
      </c>
      <c r="C13" s="5" t="s">
        <v>147</v>
      </c>
      <c r="D13" s="5" t="s">
        <v>148</v>
      </c>
      <c r="E13" s="5" t="s">
        <v>103</v>
      </c>
      <c r="F13" s="5" t="s">
        <v>149</v>
      </c>
      <c r="G13" s="5" t="s">
        <v>150</v>
      </c>
      <c r="H13" s="5" t="s">
        <v>58</v>
      </c>
      <c r="I13" s="5" t="s">
        <v>95</v>
      </c>
      <c r="J13" s="5" t="s">
        <v>96</v>
      </c>
      <c r="K13" s="5">
        <v>8</v>
      </c>
      <c r="L13" s="5">
        <v>4000</v>
      </c>
      <c r="M13" s="5">
        <v>0.15</v>
      </c>
      <c r="N13" s="5">
        <v>27200</v>
      </c>
      <c r="O13" s="5">
        <v>16794.580000000002</v>
      </c>
      <c r="P13" s="5">
        <v>10405.42</v>
      </c>
      <c r="Q13" s="5">
        <v>38.26</v>
      </c>
      <c r="R13" s="5" t="s">
        <v>106</v>
      </c>
      <c r="S13" s="5" t="s">
        <v>42</v>
      </c>
      <c r="T13" s="5" t="s">
        <v>107</v>
      </c>
      <c r="U13" s="5" t="s">
        <v>151</v>
      </c>
      <c r="V13" s="5">
        <v>2024</v>
      </c>
      <c r="W13" s="5" t="s">
        <v>65</v>
      </c>
      <c r="X13" s="5">
        <v>5</v>
      </c>
      <c r="Y13" s="1">
        <v>45603</v>
      </c>
      <c r="Z13" s="5" t="s">
        <v>110</v>
      </c>
      <c r="AA13" s="5" t="s">
        <v>90</v>
      </c>
      <c r="AB13" s="5" t="s">
        <v>49</v>
      </c>
      <c r="AC13" s="5" t="s">
        <v>121</v>
      </c>
      <c r="AD13" s="5">
        <v>2</v>
      </c>
    </row>
    <row r="14" spans="1:36">
      <c r="A14" s="5" t="s">
        <v>152</v>
      </c>
      <c r="B14" s="1" t="s">
        <v>153</v>
      </c>
      <c r="C14" s="5" t="s">
        <v>154</v>
      </c>
      <c r="D14" s="5" t="s">
        <v>155</v>
      </c>
      <c r="E14" s="5" t="s">
        <v>55</v>
      </c>
      <c r="F14" s="5" t="s">
        <v>156</v>
      </c>
      <c r="G14" s="5" t="s">
        <v>157</v>
      </c>
      <c r="H14" s="5" t="s">
        <v>94</v>
      </c>
      <c r="I14" s="5" t="s">
        <v>71</v>
      </c>
      <c r="J14" s="5" t="s">
        <v>158</v>
      </c>
      <c r="K14" s="5">
        <v>4</v>
      </c>
      <c r="L14" s="5">
        <v>2500</v>
      </c>
      <c r="M14" s="5">
        <v>0</v>
      </c>
      <c r="N14" s="5">
        <v>10000</v>
      </c>
      <c r="O14" s="5">
        <v>8160.33</v>
      </c>
      <c r="P14" s="5">
        <v>1839.67</v>
      </c>
      <c r="Q14" s="5">
        <v>18.399999999999999</v>
      </c>
      <c r="R14" s="5" t="s">
        <v>73</v>
      </c>
      <c r="S14" s="5" t="s">
        <v>74</v>
      </c>
      <c r="T14" s="5" t="s">
        <v>159</v>
      </c>
      <c r="U14" s="5" t="s">
        <v>160</v>
      </c>
      <c r="V14" s="5">
        <v>2024</v>
      </c>
      <c r="W14" s="5" t="s">
        <v>126</v>
      </c>
      <c r="X14" s="5">
        <v>7</v>
      </c>
      <c r="Y14" s="1" t="s">
        <v>161</v>
      </c>
      <c r="Z14" s="5" t="s">
        <v>47</v>
      </c>
      <c r="AA14" s="5" t="s">
        <v>90</v>
      </c>
      <c r="AB14" s="5" t="s">
        <v>49</v>
      </c>
      <c r="AC14" s="5" t="s">
        <v>121</v>
      </c>
      <c r="AD14" s="5">
        <v>3</v>
      </c>
    </row>
    <row r="15" spans="1:36">
      <c r="A15" s="5" t="s">
        <v>162</v>
      </c>
      <c r="B15" s="1">
        <v>45571</v>
      </c>
      <c r="C15" s="5" t="s">
        <v>163</v>
      </c>
      <c r="D15" s="5" t="s">
        <v>164</v>
      </c>
      <c r="E15" s="5" t="s">
        <v>35</v>
      </c>
      <c r="F15" s="5" t="s">
        <v>104</v>
      </c>
      <c r="G15" s="5" t="s">
        <v>104</v>
      </c>
      <c r="H15" s="5" t="s">
        <v>38</v>
      </c>
      <c r="I15" s="5" t="s">
        <v>39</v>
      </c>
      <c r="J15" s="5" t="s">
        <v>165</v>
      </c>
      <c r="K15" s="5">
        <v>8</v>
      </c>
      <c r="L15" s="5">
        <v>35000</v>
      </c>
      <c r="M15" s="5">
        <v>0.2</v>
      </c>
      <c r="N15" s="5">
        <v>224000</v>
      </c>
      <c r="O15" s="5">
        <v>128045.14</v>
      </c>
      <c r="P15" s="5">
        <v>95954.86</v>
      </c>
      <c r="Q15" s="5">
        <v>42.84</v>
      </c>
      <c r="R15" s="5" t="s">
        <v>166</v>
      </c>
      <c r="S15" s="5" t="s">
        <v>74</v>
      </c>
      <c r="T15" s="5" t="s">
        <v>63</v>
      </c>
      <c r="U15" s="5" t="s">
        <v>160</v>
      </c>
      <c r="V15" s="5">
        <v>2024</v>
      </c>
      <c r="W15" s="5" t="s">
        <v>126</v>
      </c>
      <c r="X15" s="5">
        <v>1</v>
      </c>
      <c r="Y15" s="1">
        <v>45602</v>
      </c>
      <c r="Z15" s="5" t="s">
        <v>89</v>
      </c>
      <c r="AA15" s="5" t="s">
        <v>90</v>
      </c>
      <c r="AB15" s="5" t="s">
        <v>111</v>
      </c>
      <c r="AC15" s="5" t="s">
        <v>121</v>
      </c>
      <c r="AD15" s="5">
        <v>5</v>
      </c>
    </row>
    <row r="16" spans="1:36">
      <c r="A16" s="5" t="s">
        <v>167</v>
      </c>
      <c r="B16" s="1" t="s">
        <v>168</v>
      </c>
      <c r="C16" s="5" t="s">
        <v>169</v>
      </c>
      <c r="D16" s="5" t="s">
        <v>170</v>
      </c>
      <c r="E16" s="5" t="s">
        <v>103</v>
      </c>
      <c r="F16" s="5" t="s">
        <v>36</v>
      </c>
      <c r="G16" s="5" t="s">
        <v>37</v>
      </c>
      <c r="H16" s="5" t="s">
        <v>171</v>
      </c>
      <c r="I16" s="5" t="s">
        <v>71</v>
      </c>
      <c r="J16" s="5" t="s">
        <v>172</v>
      </c>
      <c r="K16" s="5">
        <v>10</v>
      </c>
      <c r="L16" s="5">
        <v>3500</v>
      </c>
      <c r="M16" s="5">
        <v>0.1</v>
      </c>
      <c r="N16" s="5">
        <v>31500</v>
      </c>
      <c r="O16" s="5">
        <v>19355.02</v>
      </c>
      <c r="P16" s="5">
        <v>12144.98</v>
      </c>
      <c r="Q16" s="5">
        <v>38.56</v>
      </c>
      <c r="R16" s="5" t="s">
        <v>166</v>
      </c>
      <c r="S16" s="5" t="s">
        <v>62</v>
      </c>
      <c r="T16" s="5" t="s">
        <v>173</v>
      </c>
      <c r="U16" s="5" t="s">
        <v>108</v>
      </c>
      <c r="V16" s="5">
        <v>2024</v>
      </c>
      <c r="W16" s="5" t="s">
        <v>109</v>
      </c>
      <c r="X16" s="5">
        <v>4</v>
      </c>
      <c r="Y16" s="1" t="s">
        <v>174</v>
      </c>
      <c r="Z16" s="5" t="s">
        <v>47</v>
      </c>
      <c r="AA16" s="5" t="s">
        <v>90</v>
      </c>
      <c r="AB16" s="5" t="s">
        <v>78</v>
      </c>
      <c r="AC16" s="5" t="s">
        <v>121</v>
      </c>
      <c r="AD16" s="5">
        <v>1</v>
      </c>
    </row>
    <row r="17" spans="1:30">
      <c r="A17" s="5" t="s">
        <v>175</v>
      </c>
      <c r="B17" s="1">
        <v>45599</v>
      </c>
      <c r="C17" s="5" t="s">
        <v>176</v>
      </c>
      <c r="D17" s="5" t="s">
        <v>177</v>
      </c>
      <c r="E17" s="5" t="s">
        <v>55</v>
      </c>
      <c r="F17" s="5" t="s">
        <v>131</v>
      </c>
      <c r="G17" s="5" t="s">
        <v>132</v>
      </c>
      <c r="H17" s="5" t="s">
        <v>58</v>
      </c>
      <c r="I17" s="5" t="s">
        <v>95</v>
      </c>
      <c r="J17" s="5" t="s">
        <v>96</v>
      </c>
      <c r="K17" s="5">
        <v>5</v>
      </c>
      <c r="L17" s="5">
        <v>4000</v>
      </c>
      <c r="M17" s="5">
        <v>0.1</v>
      </c>
      <c r="N17" s="5">
        <v>18000</v>
      </c>
      <c r="O17" s="5">
        <v>11285.04</v>
      </c>
      <c r="P17" s="5">
        <v>6714.96</v>
      </c>
      <c r="Q17" s="5">
        <v>37.31</v>
      </c>
      <c r="R17" s="5" t="s">
        <v>41</v>
      </c>
      <c r="S17" s="5" t="s">
        <v>62</v>
      </c>
      <c r="T17" s="5" t="s">
        <v>173</v>
      </c>
      <c r="U17" s="5" t="s">
        <v>178</v>
      </c>
      <c r="V17" s="5">
        <v>2024</v>
      </c>
      <c r="W17" s="5" t="s">
        <v>126</v>
      </c>
      <c r="X17" s="5">
        <v>4</v>
      </c>
      <c r="Y17" s="1" t="s">
        <v>179</v>
      </c>
      <c r="Z17" s="5" t="s">
        <v>47</v>
      </c>
      <c r="AA17" s="5" t="s">
        <v>90</v>
      </c>
      <c r="AB17" s="5" t="s">
        <v>78</v>
      </c>
      <c r="AC17" s="5" t="s">
        <v>121</v>
      </c>
      <c r="AD17" s="5">
        <v>1</v>
      </c>
    </row>
    <row r="18" spans="1:30">
      <c r="A18" s="5" t="s">
        <v>180</v>
      </c>
      <c r="B18" s="1" t="s">
        <v>181</v>
      </c>
      <c r="C18" s="5" t="s">
        <v>182</v>
      </c>
      <c r="D18" s="5" t="s">
        <v>183</v>
      </c>
      <c r="E18" s="5" t="s">
        <v>103</v>
      </c>
      <c r="F18" s="5" t="s">
        <v>131</v>
      </c>
      <c r="G18" s="5" t="s">
        <v>132</v>
      </c>
      <c r="H18" s="5" t="s">
        <v>94</v>
      </c>
      <c r="I18" s="5" t="s">
        <v>95</v>
      </c>
      <c r="J18" s="5" t="s">
        <v>184</v>
      </c>
      <c r="K18" s="5">
        <v>5</v>
      </c>
      <c r="L18" s="5">
        <v>15000</v>
      </c>
      <c r="M18" s="5">
        <v>0.05</v>
      </c>
      <c r="N18" s="5">
        <v>71250</v>
      </c>
      <c r="O18" s="5">
        <v>48910.31</v>
      </c>
      <c r="P18" s="5">
        <v>22339.69</v>
      </c>
      <c r="Q18" s="5">
        <v>31.35</v>
      </c>
      <c r="R18" s="5" t="s">
        <v>61</v>
      </c>
      <c r="S18" s="5" t="s">
        <v>74</v>
      </c>
      <c r="T18" s="5" t="s">
        <v>43</v>
      </c>
      <c r="U18" s="5" t="s">
        <v>64</v>
      </c>
      <c r="V18" s="5">
        <v>2024</v>
      </c>
      <c r="W18" s="5" t="s">
        <v>109</v>
      </c>
      <c r="X18" s="5">
        <v>4</v>
      </c>
      <c r="Y18" s="1" t="s">
        <v>185</v>
      </c>
      <c r="Z18" s="5" t="s">
        <v>47</v>
      </c>
      <c r="AA18" s="5" t="s">
        <v>67</v>
      </c>
      <c r="AB18" s="5" t="s">
        <v>49</v>
      </c>
      <c r="AC18" s="5" t="s">
        <v>50</v>
      </c>
      <c r="AD18" s="5">
        <v>2</v>
      </c>
    </row>
    <row r="19" spans="1:30">
      <c r="A19" s="5" t="s">
        <v>186</v>
      </c>
      <c r="B19" s="1" t="s">
        <v>187</v>
      </c>
      <c r="C19" s="5" t="s">
        <v>188</v>
      </c>
      <c r="D19" s="5" t="s">
        <v>189</v>
      </c>
      <c r="E19" s="5" t="s">
        <v>35</v>
      </c>
      <c r="F19" s="5" t="s">
        <v>56</v>
      </c>
      <c r="G19" s="5" t="s">
        <v>57</v>
      </c>
      <c r="H19" s="5" t="s">
        <v>94</v>
      </c>
      <c r="I19" s="5" t="s">
        <v>59</v>
      </c>
      <c r="J19" s="5" t="s">
        <v>133</v>
      </c>
      <c r="K19" s="5">
        <v>9</v>
      </c>
      <c r="L19" s="5">
        <v>500</v>
      </c>
      <c r="M19" s="5">
        <v>0</v>
      </c>
      <c r="N19" s="5">
        <v>4500</v>
      </c>
      <c r="O19" s="5">
        <v>2518.77</v>
      </c>
      <c r="P19" s="5">
        <v>1981.23</v>
      </c>
      <c r="Q19" s="5">
        <v>44.03</v>
      </c>
      <c r="R19" s="5" t="s">
        <v>73</v>
      </c>
      <c r="S19" s="5" t="s">
        <v>74</v>
      </c>
      <c r="T19" s="5" t="s">
        <v>159</v>
      </c>
      <c r="U19" s="5" t="s">
        <v>178</v>
      </c>
      <c r="V19" s="5">
        <v>2024</v>
      </c>
      <c r="W19" s="5" t="s">
        <v>126</v>
      </c>
      <c r="X19" s="5">
        <v>3</v>
      </c>
      <c r="Y19" s="1" t="s">
        <v>190</v>
      </c>
      <c r="Z19" s="5" t="s">
        <v>89</v>
      </c>
      <c r="AA19" s="5" t="s">
        <v>67</v>
      </c>
      <c r="AB19" s="5" t="s">
        <v>49</v>
      </c>
      <c r="AC19" s="5" t="s">
        <v>50</v>
      </c>
      <c r="AD19" s="5">
        <v>2</v>
      </c>
    </row>
    <row r="20" spans="1:30">
      <c r="A20" s="5" t="s">
        <v>191</v>
      </c>
      <c r="B20" s="1">
        <v>45479</v>
      </c>
      <c r="C20" s="5" t="s">
        <v>192</v>
      </c>
      <c r="D20" s="5" t="s">
        <v>193</v>
      </c>
      <c r="E20" s="5" t="s">
        <v>35</v>
      </c>
      <c r="F20" s="5" t="s">
        <v>149</v>
      </c>
      <c r="G20" s="5" t="s">
        <v>150</v>
      </c>
      <c r="H20" s="5" t="s">
        <v>171</v>
      </c>
      <c r="I20" s="5" t="s">
        <v>39</v>
      </c>
      <c r="J20" s="5" t="s">
        <v>40</v>
      </c>
      <c r="K20" s="5">
        <v>9</v>
      </c>
      <c r="L20" s="5">
        <v>22000</v>
      </c>
      <c r="M20" s="5">
        <v>0.2</v>
      </c>
      <c r="N20" s="5">
        <v>158400</v>
      </c>
      <c r="O20" s="5">
        <v>128870.38</v>
      </c>
      <c r="P20" s="5">
        <v>29529.62</v>
      </c>
      <c r="Q20" s="5">
        <v>18.64</v>
      </c>
      <c r="R20" s="5" t="s">
        <v>166</v>
      </c>
      <c r="S20" s="5" t="s">
        <v>42</v>
      </c>
      <c r="T20" s="5" t="s">
        <v>86</v>
      </c>
      <c r="U20" s="5" t="s">
        <v>160</v>
      </c>
      <c r="V20" s="5">
        <v>2024</v>
      </c>
      <c r="W20" s="5" t="s">
        <v>194</v>
      </c>
      <c r="X20" s="5">
        <v>4</v>
      </c>
      <c r="Y20" s="1">
        <v>45602</v>
      </c>
      <c r="Z20" s="5" t="s">
        <v>47</v>
      </c>
      <c r="AA20" s="5" t="s">
        <v>67</v>
      </c>
      <c r="AB20" s="5" t="s">
        <v>49</v>
      </c>
      <c r="AC20" s="5" t="s">
        <v>121</v>
      </c>
      <c r="AD20" s="5">
        <v>4</v>
      </c>
    </row>
    <row r="21" spans="1:30">
      <c r="A21" s="5" t="s">
        <v>195</v>
      </c>
      <c r="B21" s="1">
        <v>45515</v>
      </c>
      <c r="C21" s="5" t="s">
        <v>196</v>
      </c>
      <c r="D21" s="5" t="s">
        <v>197</v>
      </c>
      <c r="E21" s="5" t="s">
        <v>55</v>
      </c>
      <c r="F21" s="5" t="s">
        <v>104</v>
      </c>
      <c r="G21" s="5" t="s">
        <v>104</v>
      </c>
      <c r="H21" s="5" t="s">
        <v>58</v>
      </c>
      <c r="I21" s="5" t="s">
        <v>71</v>
      </c>
      <c r="J21" s="5" t="s">
        <v>117</v>
      </c>
      <c r="K21" s="5">
        <v>4</v>
      </c>
      <c r="L21" s="5">
        <v>2500</v>
      </c>
      <c r="M21" s="5">
        <v>0.1</v>
      </c>
      <c r="N21" s="5">
        <v>9000</v>
      </c>
      <c r="O21" s="5">
        <v>5007.5</v>
      </c>
      <c r="P21" s="5">
        <v>3992.5</v>
      </c>
      <c r="Q21" s="5">
        <v>44.36</v>
      </c>
      <c r="R21" s="5" t="s">
        <v>61</v>
      </c>
      <c r="S21" s="5" t="s">
        <v>62</v>
      </c>
      <c r="T21" s="5" t="s">
        <v>107</v>
      </c>
      <c r="U21" s="5" t="s">
        <v>198</v>
      </c>
      <c r="V21" s="5">
        <v>2024</v>
      </c>
      <c r="W21" s="5" t="s">
        <v>194</v>
      </c>
      <c r="X21" s="5">
        <v>4</v>
      </c>
      <c r="Y21" s="1">
        <v>45637</v>
      </c>
      <c r="Z21" s="5" t="s">
        <v>47</v>
      </c>
      <c r="AA21" s="5" t="s">
        <v>67</v>
      </c>
      <c r="AB21" s="5" t="s">
        <v>111</v>
      </c>
      <c r="AC21" s="5" t="s">
        <v>50</v>
      </c>
      <c r="AD21" s="5">
        <v>1</v>
      </c>
    </row>
    <row r="22" spans="1:30">
      <c r="A22" s="5" t="s">
        <v>199</v>
      </c>
      <c r="B22" s="1" t="s">
        <v>200</v>
      </c>
      <c r="C22" s="5" t="s">
        <v>201</v>
      </c>
      <c r="D22" s="5" t="s">
        <v>202</v>
      </c>
      <c r="E22" s="5" t="s">
        <v>103</v>
      </c>
      <c r="F22" s="5" t="s">
        <v>36</v>
      </c>
      <c r="G22" s="5" t="s">
        <v>37</v>
      </c>
      <c r="H22" s="5" t="s">
        <v>58</v>
      </c>
      <c r="I22" s="5" t="s">
        <v>84</v>
      </c>
      <c r="J22" s="5" t="s">
        <v>85</v>
      </c>
      <c r="K22" s="5">
        <v>10</v>
      </c>
      <c r="L22" s="5">
        <v>350</v>
      </c>
      <c r="M22" s="5">
        <v>0</v>
      </c>
      <c r="N22" s="5">
        <v>3500</v>
      </c>
      <c r="O22" s="5">
        <v>2251.67</v>
      </c>
      <c r="P22" s="5">
        <v>1248.33</v>
      </c>
      <c r="Q22" s="5">
        <v>35.67</v>
      </c>
      <c r="R22" s="5" t="s">
        <v>166</v>
      </c>
      <c r="S22" s="5" t="s">
        <v>42</v>
      </c>
      <c r="T22" s="5" t="s">
        <v>86</v>
      </c>
      <c r="U22" s="5" t="s">
        <v>44</v>
      </c>
      <c r="V22" s="5">
        <v>2024</v>
      </c>
      <c r="W22" s="5" t="s">
        <v>45</v>
      </c>
      <c r="X22" s="5">
        <v>10</v>
      </c>
      <c r="Y22" s="1">
        <v>45296</v>
      </c>
      <c r="Z22" s="5" t="s">
        <v>110</v>
      </c>
      <c r="AA22" s="5" t="s">
        <v>67</v>
      </c>
      <c r="AB22" s="5" t="s">
        <v>49</v>
      </c>
      <c r="AC22" s="5" t="s">
        <v>50</v>
      </c>
      <c r="AD22" s="5">
        <v>1</v>
      </c>
    </row>
    <row r="23" spans="1:30">
      <c r="A23" s="5" t="s">
        <v>203</v>
      </c>
      <c r="B23" s="1">
        <v>45972</v>
      </c>
      <c r="C23" s="5" t="s">
        <v>204</v>
      </c>
      <c r="D23" s="5" t="s">
        <v>205</v>
      </c>
      <c r="E23" s="5" t="s">
        <v>55</v>
      </c>
      <c r="F23" s="5" t="s">
        <v>131</v>
      </c>
      <c r="G23" s="5" t="s">
        <v>132</v>
      </c>
      <c r="H23" s="5" t="s">
        <v>94</v>
      </c>
      <c r="I23" s="5" t="s">
        <v>59</v>
      </c>
      <c r="J23" s="5" t="s">
        <v>206</v>
      </c>
      <c r="K23" s="5">
        <v>6</v>
      </c>
      <c r="L23" s="5">
        <v>2000</v>
      </c>
      <c r="M23" s="5">
        <v>0</v>
      </c>
      <c r="N23" s="5">
        <v>12000</v>
      </c>
      <c r="O23" s="5">
        <v>7617.09</v>
      </c>
      <c r="P23" s="5">
        <v>4382.91</v>
      </c>
      <c r="Q23" s="5">
        <v>36.520000000000003</v>
      </c>
      <c r="R23" s="5" t="s">
        <v>61</v>
      </c>
      <c r="S23" s="5" t="s">
        <v>62</v>
      </c>
      <c r="T23" s="5" t="s">
        <v>159</v>
      </c>
      <c r="U23" s="5" t="s">
        <v>198</v>
      </c>
      <c r="V23" s="5">
        <v>2025</v>
      </c>
      <c r="W23" s="5" t="s">
        <v>109</v>
      </c>
      <c r="X23" s="5">
        <v>6</v>
      </c>
      <c r="Y23" s="1" t="s">
        <v>207</v>
      </c>
      <c r="Z23" s="5" t="s">
        <v>89</v>
      </c>
      <c r="AA23" s="5" t="s">
        <v>48</v>
      </c>
      <c r="AB23" s="5" t="s">
        <v>49</v>
      </c>
      <c r="AC23" s="5" t="s">
        <v>121</v>
      </c>
      <c r="AD23" s="5">
        <v>4</v>
      </c>
    </row>
    <row r="24" spans="1:30">
      <c r="A24" s="5" t="s">
        <v>208</v>
      </c>
      <c r="B24" s="1" t="s">
        <v>209</v>
      </c>
      <c r="C24" s="5" t="s">
        <v>210</v>
      </c>
      <c r="D24" s="5" t="s">
        <v>211</v>
      </c>
      <c r="E24" s="5" t="s">
        <v>103</v>
      </c>
      <c r="F24" s="5" t="s">
        <v>156</v>
      </c>
      <c r="G24" s="5" t="s">
        <v>157</v>
      </c>
      <c r="H24" s="5" t="s">
        <v>171</v>
      </c>
      <c r="I24" s="5" t="s">
        <v>95</v>
      </c>
      <c r="J24" s="5" t="s">
        <v>96</v>
      </c>
      <c r="K24" s="5">
        <v>10</v>
      </c>
      <c r="L24" s="5">
        <v>6000</v>
      </c>
      <c r="M24" s="5">
        <v>0.15</v>
      </c>
      <c r="N24" s="5">
        <v>51000</v>
      </c>
      <c r="O24" s="5">
        <v>32000.799999999999</v>
      </c>
      <c r="P24" s="5">
        <v>18999.2</v>
      </c>
      <c r="Q24" s="5">
        <v>37.25</v>
      </c>
      <c r="R24" s="5" t="s">
        <v>166</v>
      </c>
      <c r="S24" s="5" t="s">
        <v>62</v>
      </c>
      <c r="T24" s="5" t="s">
        <v>138</v>
      </c>
      <c r="U24" s="5" t="s">
        <v>151</v>
      </c>
      <c r="V24" s="5">
        <v>2025</v>
      </c>
      <c r="W24" s="5" t="s">
        <v>109</v>
      </c>
      <c r="X24" s="5">
        <v>1</v>
      </c>
      <c r="Y24" s="1" t="s">
        <v>212</v>
      </c>
      <c r="Z24" s="5" t="s">
        <v>47</v>
      </c>
      <c r="AA24" s="5" t="s">
        <v>48</v>
      </c>
      <c r="AB24" s="5" t="s">
        <v>49</v>
      </c>
      <c r="AC24" s="5" t="s">
        <v>50</v>
      </c>
      <c r="AD24" s="5">
        <v>2</v>
      </c>
    </row>
    <row r="25" spans="1:30">
      <c r="A25" s="5" t="s">
        <v>213</v>
      </c>
      <c r="B25" s="1" t="s">
        <v>214</v>
      </c>
      <c r="C25" s="5" t="s">
        <v>215</v>
      </c>
      <c r="D25" s="5" t="s">
        <v>216</v>
      </c>
      <c r="E25" s="5" t="s">
        <v>35</v>
      </c>
      <c r="F25" s="5" t="s">
        <v>36</v>
      </c>
      <c r="G25" s="5" t="s">
        <v>37</v>
      </c>
      <c r="H25" s="5" t="s">
        <v>94</v>
      </c>
      <c r="I25" s="5" t="s">
        <v>84</v>
      </c>
      <c r="J25" s="5" t="s">
        <v>217</v>
      </c>
      <c r="K25" s="5">
        <v>10</v>
      </c>
      <c r="L25" s="5">
        <v>350</v>
      </c>
      <c r="M25" s="5">
        <v>0</v>
      </c>
      <c r="N25" s="5">
        <v>3500</v>
      </c>
      <c r="O25" s="5">
        <v>2687.2</v>
      </c>
      <c r="P25" s="5">
        <v>812.8</v>
      </c>
      <c r="Q25" s="5">
        <v>23.22</v>
      </c>
      <c r="R25" s="5" t="s">
        <v>41</v>
      </c>
      <c r="S25" s="5" t="s">
        <v>74</v>
      </c>
      <c r="T25" s="5" t="s">
        <v>138</v>
      </c>
      <c r="U25" s="5" t="s">
        <v>218</v>
      </c>
      <c r="V25" s="5">
        <v>2024</v>
      </c>
      <c r="W25" s="5" t="s">
        <v>134</v>
      </c>
      <c r="X25" s="5">
        <v>5</v>
      </c>
      <c r="Y25" s="1">
        <v>45331</v>
      </c>
      <c r="Z25" s="5" t="s">
        <v>47</v>
      </c>
      <c r="AA25" s="5" t="s">
        <v>67</v>
      </c>
      <c r="AB25" s="5" t="s">
        <v>111</v>
      </c>
      <c r="AC25" s="5" t="s">
        <v>121</v>
      </c>
      <c r="AD25" s="5">
        <v>4</v>
      </c>
    </row>
    <row r="26" spans="1:30">
      <c r="A26" s="5" t="s">
        <v>219</v>
      </c>
      <c r="B26" s="1">
        <v>45964</v>
      </c>
      <c r="C26" s="5" t="s">
        <v>220</v>
      </c>
      <c r="D26" s="5" t="s">
        <v>221</v>
      </c>
      <c r="E26" s="5" t="s">
        <v>103</v>
      </c>
      <c r="F26" s="5" t="s">
        <v>56</v>
      </c>
      <c r="G26" s="5" t="s">
        <v>57</v>
      </c>
      <c r="H26" s="5" t="s">
        <v>38</v>
      </c>
      <c r="I26" s="5" t="s">
        <v>71</v>
      </c>
      <c r="J26" s="5" t="s">
        <v>117</v>
      </c>
      <c r="K26" s="5">
        <v>3</v>
      </c>
      <c r="L26" s="5">
        <v>700</v>
      </c>
      <c r="M26" s="5">
        <v>0</v>
      </c>
      <c r="N26" s="5">
        <v>2100</v>
      </c>
      <c r="O26" s="5">
        <v>1610.93</v>
      </c>
      <c r="P26" s="5">
        <v>489.07</v>
      </c>
      <c r="Q26" s="5">
        <v>23.29</v>
      </c>
      <c r="R26" s="5" t="s">
        <v>106</v>
      </c>
      <c r="S26" s="5" t="s">
        <v>62</v>
      </c>
      <c r="T26" s="5" t="s">
        <v>118</v>
      </c>
      <c r="U26" s="5" t="s">
        <v>178</v>
      </c>
      <c r="V26" s="5">
        <v>2025</v>
      </c>
      <c r="W26" s="5" t="s">
        <v>109</v>
      </c>
      <c r="X26" s="5">
        <v>4</v>
      </c>
      <c r="Y26" s="1" t="s">
        <v>222</v>
      </c>
      <c r="Z26" s="5" t="s">
        <v>47</v>
      </c>
      <c r="AA26" s="5" t="s">
        <v>67</v>
      </c>
      <c r="AB26" s="5" t="s">
        <v>111</v>
      </c>
      <c r="AC26" s="5" t="s">
        <v>50</v>
      </c>
      <c r="AD26" s="5">
        <v>4</v>
      </c>
    </row>
    <row r="27" spans="1:30">
      <c r="A27" s="5" t="s">
        <v>223</v>
      </c>
      <c r="B27" s="1">
        <v>45662</v>
      </c>
      <c r="C27" s="5" t="s">
        <v>224</v>
      </c>
      <c r="D27" s="5" t="s">
        <v>225</v>
      </c>
      <c r="E27" s="5" t="s">
        <v>103</v>
      </c>
      <c r="F27" s="5" t="s">
        <v>144</v>
      </c>
      <c r="G27" s="5" t="s">
        <v>145</v>
      </c>
      <c r="H27" s="5" t="s">
        <v>94</v>
      </c>
      <c r="I27" s="5" t="s">
        <v>59</v>
      </c>
      <c r="J27" s="5" t="s">
        <v>133</v>
      </c>
      <c r="K27" s="5">
        <v>9</v>
      </c>
      <c r="L27" s="5">
        <v>2000</v>
      </c>
      <c r="M27" s="5">
        <v>0.05</v>
      </c>
      <c r="N27" s="5">
        <v>17100</v>
      </c>
      <c r="O27" s="5">
        <v>12875.95</v>
      </c>
      <c r="P27" s="5">
        <v>4224.05</v>
      </c>
      <c r="Q27" s="5">
        <v>24.7</v>
      </c>
      <c r="R27" s="5" t="s">
        <v>73</v>
      </c>
      <c r="S27" s="5" t="s">
        <v>62</v>
      </c>
      <c r="T27" s="5" t="s">
        <v>138</v>
      </c>
      <c r="U27" s="5" t="s">
        <v>119</v>
      </c>
      <c r="V27" s="5">
        <v>2025</v>
      </c>
      <c r="W27" s="5" t="s">
        <v>139</v>
      </c>
      <c r="X27" s="5">
        <v>8</v>
      </c>
      <c r="Y27" s="1">
        <v>45905</v>
      </c>
      <c r="Z27" s="5" t="s">
        <v>47</v>
      </c>
      <c r="AA27" s="5" t="s">
        <v>90</v>
      </c>
      <c r="AB27" s="5" t="s">
        <v>111</v>
      </c>
      <c r="AC27" s="5" t="s">
        <v>50</v>
      </c>
      <c r="AD27" s="5">
        <v>2</v>
      </c>
    </row>
    <row r="28" spans="1:30">
      <c r="A28" s="5" t="s">
        <v>226</v>
      </c>
      <c r="B28" s="1">
        <v>45357</v>
      </c>
      <c r="C28" s="5" t="s">
        <v>227</v>
      </c>
      <c r="D28" s="5" t="s">
        <v>228</v>
      </c>
      <c r="E28" s="5" t="s">
        <v>55</v>
      </c>
      <c r="F28" s="5" t="s">
        <v>116</v>
      </c>
      <c r="G28" s="5" t="s">
        <v>37</v>
      </c>
      <c r="H28" s="5" t="s">
        <v>171</v>
      </c>
      <c r="I28" s="5" t="s">
        <v>84</v>
      </c>
      <c r="J28" s="5" t="s">
        <v>229</v>
      </c>
      <c r="K28" s="5">
        <v>9</v>
      </c>
      <c r="L28" s="5">
        <v>100</v>
      </c>
      <c r="M28" s="5">
        <v>0.05</v>
      </c>
      <c r="N28" s="5">
        <v>855</v>
      </c>
      <c r="O28" s="5">
        <v>630.45000000000005</v>
      </c>
      <c r="P28" s="5">
        <v>224.55</v>
      </c>
      <c r="Q28" s="5">
        <v>26.26</v>
      </c>
      <c r="R28" s="5" t="s">
        <v>41</v>
      </c>
      <c r="S28" s="5" t="s">
        <v>62</v>
      </c>
      <c r="T28" s="5" t="s">
        <v>75</v>
      </c>
      <c r="U28" s="5" t="s">
        <v>160</v>
      </c>
      <c r="V28" s="5">
        <v>2024</v>
      </c>
      <c r="W28" s="5" t="s">
        <v>126</v>
      </c>
      <c r="X28" s="5">
        <v>4</v>
      </c>
      <c r="Y28" s="1">
        <v>45479</v>
      </c>
      <c r="Z28" s="5" t="s">
        <v>110</v>
      </c>
      <c r="AA28" s="5" t="s">
        <v>90</v>
      </c>
      <c r="AB28" s="5" t="s">
        <v>49</v>
      </c>
      <c r="AC28" s="5" t="s">
        <v>50</v>
      </c>
      <c r="AD28" s="5">
        <v>4</v>
      </c>
    </row>
    <row r="29" spans="1:30">
      <c r="A29" s="5" t="s">
        <v>230</v>
      </c>
      <c r="B29" s="1" t="s">
        <v>231</v>
      </c>
      <c r="C29" s="5" t="s">
        <v>232</v>
      </c>
      <c r="D29" s="5" t="s">
        <v>177</v>
      </c>
      <c r="E29" s="5" t="s">
        <v>103</v>
      </c>
      <c r="F29" s="5" t="s">
        <v>144</v>
      </c>
      <c r="G29" s="5" t="s">
        <v>145</v>
      </c>
      <c r="H29" s="5" t="s">
        <v>38</v>
      </c>
      <c r="I29" s="5" t="s">
        <v>39</v>
      </c>
      <c r="J29" s="5" t="s">
        <v>165</v>
      </c>
      <c r="K29" s="5">
        <v>7</v>
      </c>
      <c r="L29" s="5">
        <v>22000</v>
      </c>
      <c r="M29" s="5">
        <v>0</v>
      </c>
      <c r="N29" s="5">
        <v>154000</v>
      </c>
      <c r="O29" s="5">
        <v>120186.37</v>
      </c>
      <c r="P29" s="5">
        <v>33813.629999999997</v>
      </c>
      <c r="Q29" s="5">
        <v>21.96</v>
      </c>
      <c r="R29" s="5" t="s">
        <v>166</v>
      </c>
      <c r="S29" s="5" t="s">
        <v>74</v>
      </c>
      <c r="T29" s="5" t="s">
        <v>159</v>
      </c>
      <c r="U29" s="5" t="s">
        <v>64</v>
      </c>
      <c r="V29" s="5">
        <v>2024</v>
      </c>
      <c r="W29" s="5" t="s">
        <v>139</v>
      </c>
      <c r="X29" s="5">
        <v>5</v>
      </c>
      <c r="Y29" s="1" t="s">
        <v>233</v>
      </c>
      <c r="Z29" s="5" t="s">
        <v>110</v>
      </c>
      <c r="AA29" s="5" t="s">
        <v>67</v>
      </c>
      <c r="AB29" s="5" t="s">
        <v>78</v>
      </c>
      <c r="AC29" s="5" t="s">
        <v>121</v>
      </c>
      <c r="AD29" s="5">
        <v>4</v>
      </c>
    </row>
    <row r="30" spans="1:30">
      <c r="A30" s="5" t="s">
        <v>234</v>
      </c>
      <c r="B30" s="1" t="s">
        <v>235</v>
      </c>
      <c r="C30" s="5" t="s">
        <v>236</v>
      </c>
      <c r="D30" s="5" t="s">
        <v>34</v>
      </c>
      <c r="E30" s="5" t="s">
        <v>103</v>
      </c>
      <c r="F30" s="5" t="s">
        <v>82</v>
      </c>
      <c r="G30" s="5" t="s">
        <v>83</v>
      </c>
      <c r="H30" s="5" t="s">
        <v>94</v>
      </c>
      <c r="I30" s="5" t="s">
        <v>71</v>
      </c>
      <c r="J30" s="5" t="s">
        <v>117</v>
      </c>
      <c r="K30" s="5">
        <v>8</v>
      </c>
      <c r="L30" s="5">
        <v>1200</v>
      </c>
      <c r="M30" s="5">
        <v>0.2</v>
      </c>
      <c r="N30" s="5">
        <v>7680</v>
      </c>
      <c r="O30" s="5">
        <v>5451.35</v>
      </c>
      <c r="P30" s="5">
        <v>2228.65</v>
      </c>
      <c r="Q30" s="5">
        <v>29.02</v>
      </c>
      <c r="R30" s="5" t="s">
        <v>73</v>
      </c>
      <c r="S30" s="5" t="s">
        <v>62</v>
      </c>
      <c r="T30" s="5" t="s">
        <v>118</v>
      </c>
      <c r="U30" s="5" t="s">
        <v>160</v>
      </c>
      <c r="V30" s="5">
        <v>2025</v>
      </c>
      <c r="W30" s="5" t="s">
        <v>126</v>
      </c>
      <c r="X30" s="5">
        <v>1</v>
      </c>
      <c r="Y30" s="1">
        <v>45664</v>
      </c>
      <c r="Z30" s="5" t="s">
        <v>110</v>
      </c>
      <c r="AA30" s="5" t="s">
        <v>90</v>
      </c>
      <c r="AB30" s="5" t="s">
        <v>78</v>
      </c>
      <c r="AC30" s="5" t="s">
        <v>50</v>
      </c>
      <c r="AD30" s="5">
        <v>3</v>
      </c>
    </row>
    <row r="31" spans="1:30">
      <c r="A31" s="5" t="s">
        <v>237</v>
      </c>
      <c r="B31" s="1">
        <v>45841</v>
      </c>
      <c r="C31" s="5" t="s">
        <v>238</v>
      </c>
      <c r="D31" s="5" t="s">
        <v>239</v>
      </c>
      <c r="E31" s="5" t="s">
        <v>35</v>
      </c>
      <c r="F31" s="5" t="s">
        <v>149</v>
      </c>
      <c r="G31" s="5" t="s">
        <v>150</v>
      </c>
      <c r="H31" s="5" t="s">
        <v>58</v>
      </c>
      <c r="I31" s="5" t="s">
        <v>71</v>
      </c>
      <c r="J31" s="5" t="s">
        <v>240</v>
      </c>
      <c r="K31" s="5">
        <v>6</v>
      </c>
      <c r="L31" s="5">
        <v>2500</v>
      </c>
      <c r="M31" s="5">
        <v>0.1</v>
      </c>
      <c r="N31" s="5">
        <v>13500</v>
      </c>
      <c r="O31" s="5">
        <v>9139.27</v>
      </c>
      <c r="P31" s="5">
        <v>4360.7299999999996</v>
      </c>
      <c r="Q31" s="5">
        <v>32.299999999999997</v>
      </c>
      <c r="R31" s="5" t="s">
        <v>106</v>
      </c>
      <c r="S31" s="5" t="s">
        <v>74</v>
      </c>
      <c r="T31" s="5" t="s">
        <v>86</v>
      </c>
      <c r="U31" s="5" t="s">
        <v>178</v>
      </c>
      <c r="V31" s="5">
        <v>2025</v>
      </c>
      <c r="W31" s="5" t="s">
        <v>194</v>
      </c>
      <c r="X31" s="5">
        <v>5</v>
      </c>
      <c r="Y31" s="1">
        <v>45994</v>
      </c>
      <c r="Z31" s="5" t="s">
        <v>47</v>
      </c>
      <c r="AA31" s="5" t="s">
        <v>90</v>
      </c>
      <c r="AB31" s="5" t="s">
        <v>49</v>
      </c>
      <c r="AC31" s="5" t="s">
        <v>121</v>
      </c>
      <c r="AD31" s="5">
        <v>2</v>
      </c>
    </row>
    <row r="32" spans="1:30">
      <c r="A32" s="5" t="s">
        <v>241</v>
      </c>
      <c r="B32" s="1" t="s">
        <v>242</v>
      </c>
      <c r="C32" s="5" t="s">
        <v>243</v>
      </c>
      <c r="D32" s="5" t="s">
        <v>244</v>
      </c>
      <c r="E32" s="5" t="s">
        <v>35</v>
      </c>
      <c r="F32" s="5" t="s">
        <v>245</v>
      </c>
      <c r="G32" s="5" t="s">
        <v>246</v>
      </c>
      <c r="H32" s="5" t="s">
        <v>171</v>
      </c>
      <c r="I32" s="5" t="s">
        <v>71</v>
      </c>
      <c r="J32" s="5" t="s">
        <v>72</v>
      </c>
      <c r="K32" s="5">
        <v>10</v>
      </c>
      <c r="L32" s="5">
        <v>1200</v>
      </c>
      <c r="M32" s="5">
        <v>0.15</v>
      </c>
      <c r="N32" s="5">
        <v>10200</v>
      </c>
      <c r="O32" s="5">
        <v>6072.09</v>
      </c>
      <c r="P32" s="5">
        <v>4127.91</v>
      </c>
      <c r="Q32" s="5">
        <v>40.47</v>
      </c>
      <c r="R32" s="5" t="s">
        <v>106</v>
      </c>
      <c r="S32" s="5" t="s">
        <v>42</v>
      </c>
      <c r="T32" s="5" t="s">
        <v>43</v>
      </c>
      <c r="U32" s="5" t="s">
        <v>64</v>
      </c>
      <c r="V32" s="5">
        <v>2025</v>
      </c>
      <c r="W32" s="5" t="s">
        <v>134</v>
      </c>
      <c r="X32" s="5">
        <v>5</v>
      </c>
      <c r="Y32" s="1" t="s">
        <v>247</v>
      </c>
      <c r="Z32" s="5" t="s">
        <v>47</v>
      </c>
      <c r="AA32" s="5" t="s">
        <v>67</v>
      </c>
      <c r="AB32" s="5" t="s">
        <v>111</v>
      </c>
      <c r="AC32" s="5" t="s">
        <v>50</v>
      </c>
      <c r="AD32" s="5">
        <v>4</v>
      </c>
    </row>
    <row r="33" spans="1:30">
      <c r="A33" s="5" t="s">
        <v>248</v>
      </c>
      <c r="B33" s="1">
        <v>45669</v>
      </c>
      <c r="C33" s="5" t="s">
        <v>249</v>
      </c>
      <c r="D33" s="5" t="s">
        <v>239</v>
      </c>
      <c r="E33" s="5" t="s">
        <v>103</v>
      </c>
      <c r="F33" s="5" t="s">
        <v>149</v>
      </c>
      <c r="G33" s="5" t="s">
        <v>150</v>
      </c>
      <c r="H33" s="5" t="s">
        <v>94</v>
      </c>
      <c r="I33" s="5" t="s">
        <v>39</v>
      </c>
      <c r="J33" s="5" t="s">
        <v>165</v>
      </c>
      <c r="K33" s="5">
        <v>4</v>
      </c>
      <c r="L33" s="5">
        <v>8000</v>
      </c>
      <c r="M33" s="5">
        <v>0.1</v>
      </c>
      <c r="N33" s="5">
        <v>28800</v>
      </c>
      <c r="O33" s="5">
        <v>22031.46</v>
      </c>
      <c r="P33" s="5">
        <v>6768.54</v>
      </c>
      <c r="Q33" s="5">
        <v>23.5</v>
      </c>
      <c r="R33" s="5" t="s">
        <v>61</v>
      </c>
      <c r="S33" s="5" t="s">
        <v>74</v>
      </c>
      <c r="T33" s="5" t="s">
        <v>107</v>
      </c>
      <c r="U33" s="5" t="s">
        <v>64</v>
      </c>
      <c r="V33" s="5">
        <v>2025</v>
      </c>
      <c r="W33" s="5" t="s">
        <v>126</v>
      </c>
      <c r="X33" s="5">
        <v>10</v>
      </c>
      <c r="Y33" s="1">
        <v>45973</v>
      </c>
      <c r="Z33" s="5" t="s">
        <v>47</v>
      </c>
      <c r="AA33" s="5" t="s">
        <v>48</v>
      </c>
      <c r="AB33" s="5" t="s">
        <v>78</v>
      </c>
      <c r="AC33" s="5" t="s">
        <v>121</v>
      </c>
      <c r="AD33" s="5">
        <v>4</v>
      </c>
    </row>
    <row r="34" spans="1:30">
      <c r="A34" s="5" t="s">
        <v>250</v>
      </c>
      <c r="B34" s="1" t="s">
        <v>136</v>
      </c>
      <c r="C34" s="5" t="s">
        <v>251</v>
      </c>
      <c r="D34" s="5" t="s">
        <v>252</v>
      </c>
      <c r="E34" s="5" t="s">
        <v>103</v>
      </c>
      <c r="F34" s="5" t="s">
        <v>56</v>
      </c>
      <c r="G34" s="5" t="s">
        <v>57</v>
      </c>
      <c r="H34" s="5" t="s">
        <v>94</v>
      </c>
      <c r="I34" s="5" t="s">
        <v>39</v>
      </c>
      <c r="J34" s="5" t="s">
        <v>253</v>
      </c>
      <c r="K34" s="5">
        <v>6</v>
      </c>
      <c r="L34" s="5">
        <v>50000</v>
      </c>
      <c r="M34" s="5">
        <v>0.15</v>
      </c>
      <c r="N34" s="5">
        <v>255000</v>
      </c>
      <c r="O34" s="5">
        <v>152377.03</v>
      </c>
      <c r="P34" s="5">
        <v>102622.97</v>
      </c>
      <c r="Q34" s="5">
        <v>40.24</v>
      </c>
      <c r="R34" s="5" t="s">
        <v>166</v>
      </c>
      <c r="S34" s="5" t="s">
        <v>62</v>
      </c>
      <c r="T34" s="5" t="s">
        <v>63</v>
      </c>
      <c r="U34" s="5" t="s">
        <v>64</v>
      </c>
      <c r="V34" s="5">
        <v>2025</v>
      </c>
      <c r="W34" s="5" t="s">
        <v>139</v>
      </c>
      <c r="X34" s="5">
        <v>3</v>
      </c>
      <c r="Y34" s="1" t="s">
        <v>254</v>
      </c>
      <c r="Z34" s="5" t="s">
        <v>110</v>
      </c>
      <c r="AA34" s="5" t="s">
        <v>67</v>
      </c>
      <c r="AB34" s="5" t="s">
        <v>78</v>
      </c>
      <c r="AC34" s="5" t="s">
        <v>121</v>
      </c>
      <c r="AD34" s="5">
        <v>1</v>
      </c>
    </row>
    <row r="35" spans="1:30">
      <c r="A35" s="5" t="s">
        <v>255</v>
      </c>
      <c r="B35" s="1" t="s">
        <v>256</v>
      </c>
      <c r="C35" s="5" t="s">
        <v>257</v>
      </c>
      <c r="D35" s="5" t="s">
        <v>258</v>
      </c>
      <c r="E35" s="5" t="s">
        <v>35</v>
      </c>
      <c r="F35" s="5" t="s">
        <v>116</v>
      </c>
      <c r="G35" s="5" t="s">
        <v>37</v>
      </c>
      <c r="H35" s="5" t="s">
        <v>171</v>
      </c>
      <c r="I35" s="5" t="s">
        <v>71</v>
      </c>
      <c r="J35" s="5" t="s">
        <v>117</v>
      </c>
      <c r="K35" s="5">
        <v>8</v>
      </c>
      <c r="L35" s="5">
        <v>3500</v>
      </c>
      <c r="M35" s="5">
        <v>0.2</v>
      </c>
      <c r="N35" s="5">
        <v>22400</v>
      </c>
      <c r="O35" s="5">
        <v>12493.58</v>
      </c>
      <c r="P35" s="5">
        <v>9906.42</v>
      </c>
      <c r="Q35" s="5">
        <v>44.23</v>
      </c>
      <c r="R35" s="5" t="s">
        <v>61</v>
      </c>
      <c r="S35" s="5" t="s">
        <v>62</v>
      </c>
      <c r="T35" s="5" t="s">
        <v>159</v>
      </c>
      <c r="U35" s="5" t="s">
        <v>198</v>
      </c>
      <c r="V35" s="5">
        <v>2025</v>
      </c>
      <c r="W35" s="5" t="s">
        <v>65</v>
      </c>
      <c r="X35" s="5">
        <v>7</v>
      </c>
      <c r="Y35" s="1" t="s">
        <v>259</v>
      </c>
      <c r="Z35" s="5" t="s">
        <v>47</v>
      </c>
      <c r="AA35" s="5" t="s">
        <v>48</v>
      </c>
      <c r="AB35" s="5" t="s">
        <v>111</v>
      </c>
      <c r="AC35" s="5" t="s">
        <v>50</v>
      </c>
      <c r="AD35" s="5">
        <v>5</v>
      </c>
    </row>
    <row r="36" spans="1:30">
      <c r="A36" s="5" t="s">
        <v>260</v>
      </c>
      <c r="B36" s="1" t="s">
        <v>261</v>
      </c>
      <c r="C36" s="5" t="s">
        <v>262</v>
      </c>
      <c r="D36" s="5" t="s">
        <v>263</v>
      </c>
      <c r="E36" s="5" t="s">
        <v>35</v>
      </c>
      <c r="F36" s="5" t="s">
        <v>104</v>
      </c>
      <c r="G36" s="5" t="s">
        <v>104</v>
      </c>
      <c r="H36" s="5" t="s">
        <v>58</v>
      </c>
      <c r="I36" s="5" t="s">
        <v>59</v>
      </c>
      <c r="J36" s="5" t="s">
        <v>206</v>
      </c>
      <c r="K36" s="5">
        <v>2</v>
      </c>
      <c r="L36" s="5">
        <v>800</v>
      </c>
      <c r="M36" s="5">
        <v>0.15</v>
      </c>
      <c r="N36" s="5">
        <v>1360</v>
      </c>
      <c r="O36" s="5">
        <v>1001.59</v>
      </c>
      <c r="P36" s="5">
        <v>358.41</v>
      </c>
      <c r="Q36" s="5">
        <v>26.35</v>
      </c>
      <c r="R36" s="5" t="s">
        <v>61</v>
      </c>
      <c r="S36" s="5" t="s">
        <v>74</v>
      </c>
      <c r="T36" s="5" t="s">
        <v>75</v>
      </c>
      <c r="U36" s="5" t="s">
        <v>119</v>
      </c>
      <c r="V36" s="5">
        <v>2025</v>
      </c>
      <c r="W36" s="5" t="s">
        <v>139</v>
      </c>
      <c r="X36" s="5">
        <v>9</v>
      </c>
      <c r="Y36" s="1" t="s">
        <v>264</v>
      </c>
      <c r="Z36" s="5" t="s">
        <v>47</v>
      </c>
      <c r="AA36" s="5" t="s">
        <v>48</v>
      </c>
      <c r="AB36" s="5" t="s">
        <v>49</v>
      </c>
      <c r="AC36" s="5" t="s">
        <v>50</v>
      </c>
      <c r="AD36" s="5">
        <v>5</v>
      </c>
    </row>
    <row r="37" spans="1:30">
      <c r="A37" s="5" t="s">
        <v>265</v>
      </c>
      <c r="B37" s="1" t="s">
        <v>266</v>
      </c>
      <c r="C37" s="5" t="s">
        <v>267</v>
      </c>
      <c r="D37" s="5" t="s">
        <v>268</v>
      </c>
      <c r="E37" s="5" t="s">
        <v>35</v>
      </c>
      <c r="F37" s="5" t="s">
        <v>82</v>
      </c>
      <c r="G37" s="5" t="s">
        <v>83</v>
      </c>
      <c r="H37" s="5" t="s">
        <v>58</v>
      </c>
      <c r="I37" s="5" t="s">
        <v>71</v>
      </c>
      <c r="J37" s="5" t="s">
        <v>172</v>
      </c>
      <c r="K37" s="5">
        <v>9</v>
      </c>
      <c r="L37" s="5">
        <v>1800</v>
      </c>
      <c r="M37" s="5">
        <v>0.15</v>
      </c>
      <c r="N37" s="5">
        <v>13770</v>
      </c>
      <c r="O37" s="5">
        <v>10186.64</v>
      </c>
      <c r="P37" s="5">
        <v>3583.36</v>
      </c>
      <c r="Q37" s="5">
        <v>26.02</v>
      </c>
      <c r="R37" s="5" t="s">
        <v>73</v>
      </c>
      <c r="S37" s="5" t="s">
        <v>62</v>
      </c>
      <c r="T37" s="5" t="s">
        <v>173</v>
      </c>
      <c r="U37" s="5" t="s">
        <v>151</v>
      </c>
      <c r="V37" s="5">
        <v>2025</v>
      </c>
      <c r="W37" s="5" t="s">
        <v>139</v>
      </c>
      <c r="X37" s="5">
        <v>6</v>
      </c>
      <c r="Y37" s="1" t="s">
        <v>269</v>
      </c>
      <c r="Z37" s="5" t="s">
        <v>47</v>
      </c>
      <c r="AA37" s="5" t="s">
        <v>48</v>
      </c>
      <c r="AB37" s="5" t="s">
        <v>111</v>
      </c>
      <c r="AC37" s="5" t="s">
        <v>121</v>
      </c>
      <c r="AD37" s="5">
        <v>2</v>
      </c>
    </row>
    <row r="38" spans="1:30">
      <c r="A38" s="5" t="s">
        <v>270</v>
      </c>
      <c r="B38" s="1" t="s">
        <v>271</v>
      </c>
      <c r="C38" s="5" t="s">
        <v>272</v>
      </c>
      <c r="D38" s="5" t="s">
        <v>273</v>
      </c>
      <c r="E38" s="5" t="s">
        <v>35</v>
      </c>
      <c r="F38" s="5" t="s">
        <v>149</v>
      </c>
      <c r="G38" s="5" t="s">
        <v>150</v>
      </c>
      <c r="H38" s="5" t="s">
        <v>38</v>
      </c>
      <c r="I38" s="5" t="s">
        <v>71</v>
      </c>
      <c r="J38" s="5" t="s">
        <v>240</v>
      </c>
      <c r="K38" s="5">
        <v>10</v>
      </c>
      <c r="L38" s="5">
        <v>3500</v>
      </c>
      <c r="M38" s="5">
        <v>0.2</v>
      </c>
      <c r="N38" s="5">
        <v>28000</v>
      </c>
      <c r="O38" s="5">
        <v>17639.62</v>
      </c>
      <c r="P38" s="5">
        <v>10360.379999999999</v>
      </c>
      <c r="Q38" s="5">
        <v>37</v>
      </c>
      <c r="R38" s="5" t="s">
        <v>61</v>
      </c>
      <c r="S38" s="5" t="s">
        <v>74</v>
      </c>
      <c r="T38" s="5" t="s">
        <v>43</v>
      </c>
      <c r="U38" s="5" t="s">
        <v>87</v>
      </c>
      <c r="V38" s="5">
        <v>2024</v>
      </c>
      <c r="W38" s="5" t="s">
        <v>134</v>
      </c>
      <c r="X38" s="5">
        <v>2</v>
      </c>
      <c r="Y38" s="1" t="s">
        <v>274</v>
      </c>
      <c r="Z38" s="5" t="s">
        <v>47</v>
      </c>
      <c r="AA38" s="5" t="s">
        <v>48</v>
      </c>
      <c r="AB38" s="5" t="s">
        <v>78</v>
      </c>
      <c r="AC38" s="5" t="s">
        <v>121</v>
      </c>
      <c r="AD38" s="5">
        <v>4</v>
      </c>
    </row>
    <row r="39" spans="1:30">
      <c r="A39" s="5" t="s">
        <v>275</v>
      </c>
      <c r="B39" s="1" t="s">
        <v>276</v>
      </c>
      <c r="C39" s="5" t="s">
        <v>277</v>
      </c>
      <c r="D39" s="5" t="s">
        <v>278</v>
      </c>
      <c r="E39" s="5" t="s">
        <v>35</v>
      </c>
      <c r="F39" s="5" t="s">
        <v>36</v>
      </c>
      <c r="G39" s="5" t="s">
        <v>37</v>
      </c>
      <c r="H39" s="5" t="s">
        <v>94</v>
      </c>
      <c r="I39" s="5" t="s">
        <v>39</v>
      </c>
      <c r="J39" s="5" t="s">
        <v>165</v>
      </c>
      <c r="K39" s="5">
        <v>5</v>
      </c>
      <c r="L39" s="5">
        <v>22000</v>
      </c>
      <c r="M39" s="5">
        <v>0.15</v>
      </c>
      <c r="N39" s="5">
        <v>93500</v>
      </c>
      <c r="O39" s="5">
        <v>75798.990000000005</v>
      </c>
      <c r="P39" s="5">
        <v>17701.009999999998</v>
      </c>
      <c r="Q39" s="5">
        <v>18.93</v>
      </c>
      <c r="R39" s="5" t="s">
        <v>166</v>
      </c>
      <c r="S39" s="5" t="s">
        <v>74</v>
      </c>
      <c r="T39" s="5" t="s">
        <v>63</v>
      </c>
      <c r="U39" s="5" t="s">
        <v>178</v>
      </c>
      <c r="V39" s="5">
        <v>2025</v>
      </c>
      <c r="W39" s="5" t="s">
        <v>139</v>
      </c>
      <c r="X39" s="5">
        <v>6</v>
      </c>
      <c r="Y39" s="1">
        <v>45692</v>
      </c>
      <c r="Z39" s="5" t="s">
        <v>47</v>
      </c>
      <c r="AA39" s="5" t="s">
        <v>48</v>
      </c>
      <c r="AB39" s="5" t="s">
        <v>111</v>
      </c>
      <c r="AC39" s="5" t="s">
        <v>121</v>
      </c>
      <c r="AD39" s="5">
        <v>2</v>
      </c>
    </row>
    <row r="40" spans="1:30">
      <c r="A40" s="5" t="s">
        <v>279</v>
      </c>
      <c r="B40" s="1" t="s">
        <v>280</v>
      </c>
      <c r="C40" s="5" t="s">
        <v>281</v>
      </c>
      <c r="D40" s="5" t="s">
        <v>70</v>
      </c>
      <c r="E40" s="5" t="s">
        <v>103</v>
      </c>
      <c r="F40" s="5" t="s">
        <v>245</v>
      </c>
      <c r="G40" s="5" t="s">
        <v>246</v>
      </c>
      <c r="H40" s="5" t="s">
        <v>94</v>
      </c>
      <c r="I40" s="5" t="s">
        <v>59</v>
      </c>
      <c r="J40" s="5" t="s">
        <v>60</v>
      </c>
      <c r="K40" s="5">
        <v>2</v>
      </c>
      <c r="L40" s="5">
        <v>800</v>
      </c>
      <c r="M40" s="5">
        <v>0</v>
      </c>
      <c r="N40" s="5">
        <v>1600</v>
      </c>
      <c r="O40" s="5">
        <v>1137.53</v>
      </c>
      <c r="P40" s="5">
        <v>462.47</v>
      </c>
      <c r="Q40" s="5">
        <v>28.9</v>
      </c>
      <c r="R40" s="5" t="s">
        <v>166</v>
      </c>
      <c r="S40" s="5" t="s">
        <v>62</v>
      </c>
      <c r="T40" s="5" t="s">
        <v>159</v>
      </c>
      <c r="U40" s="5" t="s">
        <v>151</v>
      </c>
      <c r="V40" s="5">
        <v>2025</v>
      </c>
      <c r="W40" s="5" t="s">
        <v>194</v>
      </c>
      <c r="X40" s="5">
        <v>7</v>
      </c>
      <c r="Y40" s="1">
        <v>45665</v>
      </c>
      <c r="Z40" s="5" t="s">
        <v>89</v>
      </c>
      <c r="AA40" s="5" t="s">
        <v>48</v>
      </c>
      <c r="AB40" s="5" t="s">
        <v>78</v>
      </c>
      <c r="AC40" s="5" t="s">
        <v>50</v>
      </c>
      <c r="AD40" s="5">
        <v>5</v>
      </c>
    </row>
    <row r="41" spans="1:30">
      <c r="A41" s="5" t="s">
        <v>282</v>
      </c>
      <c r="B41" s="1" t="s">
        <v>283</v>
      </c>
      <c r="C41" s="5" t="s">
        <v>284</v>
      </c>
      <c r="D41" s="5" t="s">
        <v>285</v>
      </c>
      <c r="E41" s="5" t="s">
        <v>35</v>
      </c>
      <c r="F41" s="5" t="s">
        <v>144</v>
      </c>
      <c r="G41" s="5" t="s">
        <v>145</v>
      </c>
      <c r="H41" s="5" t="s">
        <v>94</v>
      </c>
      <c r="I41" s="5" t="s">
        <v>39</v>
      </c>
      <c r="J41" s="5" t="s">
        <v>165</v>
      </c>
      <c r="K41" s="5">
        <v>2</v>
      </c>
      <c r="L41" s="5">
        <v>12000</v>
      </c>
      <c r="M41" s="5">
        <v>0.05</v>
      </c>
      <c r="N41" s="5">
        <v>22800</v>
      </c>
      <c r="O41" s="5">
        <v>14016.61</v>
      </c>
      <c r="P41" s="5">
        <v>8783.39</v>
      </c>
      <c r="Q41" s="5">
        <v>38.520000000000003</v>
      </c>
      <c r="R41" s="5" t="s">
        <v>166</v>
      </c>
      <c r="S41" s="5" t="s">
        <v>42</v>
      </c>
      <c r="T41" s="5" t="s">
        <v>63</v>
      </c>
      <c r="U41" s="5" t="s">
        <v>108</v>
      </c>
      <c r="V41" s="5">
        <v>2024</v>
      </c>
      <c r="W41" s="5" t="s">
        <v>194</v>
      </c>
      <c r="X41" s="5">
        <v>2</v>
      </c>
      <c r="Y41" s="1" t="s">
        <v>286</v>
      </c>
      <c r="Z41" s="5" t="s">
        <v>47</v>
      </c>
      <c r="AA41" s="5" t="s">
        <v>67</v>
      </c>
      <c r="AB41" s="5" t="s">
        <v>78</v>
      </c>
      <c r="AC41" s="5" t="s">
        <v>121</v>
      </c>
      <c r="AD41" s="5">
        <v>2</v>
      </c>
    </row>
    <row r="42" spans="1:30">
      <c r="A42" s="5" t="s">
        <v>287</v>
      </c>
      <c r="B42" s="1">
        <v>45698</v>
      </c>
      <c r="C42" s="5" t="s">
        <v>288</v>
      </c>
      <c r="D42" s="5" t="s">
        <v>289</v>
      </c>
      <c r="E42" s="5" t="s">
        <v>35</v>
      </c>
      <c r="F42" s="5" t="s">
        <v>116</v>
      </c>
      <c r="G42" s="5" t="s">
        <v>37</v>
      </c>
      <c r="H42" s="5" t="s">
        <v>171</v>
      </c>
      <c r="I42" s="5" t="s">
        <v>84</v>
      </c>
      <c r="J42" s="5" t="s">
        <v>290</v>
      </c>
      <c r="K42" s="5">
        <v>2</v>
      </c>
      <c r="L42" s="5">
        <v>200</v>
      </c>
      <c r="M42" s="5">
        <v>0.1</v>
      </c>
      <c r="N42" s="5">
        <v>360</v>
      </c>
      <c r="O42" s="5">
        <v>239.32</v>
      </c>
      <c r="P42" s="5">
        <v>120.68</v>
      </c>
      <c r="Q42" s="5">
        <v>33.520000000000003</v>
      </c>
      <c r="R42" s="5" t="s">
        <v>73</v>
      </c>
      <c r="S42" s="5" t="s">
        <v>74</v>
      </c>
      <c r="T42" s="5" t="s">
        <v>43</v>
      </c>
      <c r="U42" s="5" t="s">
        <v>87</v>
      </c>
      <c r="V42" s="5">
        <v>2025</v>
      </c>
      <c r="W42" s="5" t="s">
        <v>139</v>
      </c>
      <c r="X42" s="5">
        <v>10</v>
      </c>
      <c r="Y42" s="1">
        <v>46001</v>
      </c>
      <c r="Z42" s="5" t="s">
        <v>47</v>
      </c>
      <c r="AA42" s="5" t="s">
        <v>90</v>
      </c>
      <c r="AB42" s="5" t="s">
        <v>78</v>
      </c>
      <c r="AC42" s="5" t="s">
        <v>50</v>
      </c>
      <c r="AD42" s="5">
        <v>4</v>
      </c>
    </row>
    <row r="43" spans="1:30">
      <c r="A43" s="5" t="s">
        <v>291</v>
      </c>
      <c r="B43" s="1">
        <v>45815</v>
      </c>
      <c r="C43" s="5" t="s">
        <v>292</v>
      </c>
      <c r="D43" s="5" t="s">
        <v>293</v>
      </c>
      <c r="E43" s="5" t="s">
        <v>55</v>
      </c>
      <c r="F43" s="5" t="s">
        <v>36</v>
      </c>
      <c r="G43" s="5" t="s">
        <v>37</v>
      </c>
      <c r="H43" s="5" t="s">
        <v>171</v>
      </c>
      <c r="I43" s="5" t="s">
        <v>71</v>
      </c>
      <c r="J43" s="5" t="s">
        <v>240</v>
      </c>
      <c r="K43" s="5">
        <v>7</v>
      </c>
      <c r="L43" s="5">
        <v>1800</v>
      </c>
      <c r="M43" s="5">
        <v>0.2</v>
      </c>
      <c r="N43" s="5">
        <v>10080</v>
      </c>
      <c r="O43" s="5">
        <v>5762.93</v>
      </c>
      <c r="P43" s="5">
        <v>4317.07</v>
      </c>
      <c r="Q43" s="5">
        <v>42.83</v>
      </c>
      <c r="R43" s="5" t="s">
        <v>106</v>
      </c>
      <c r="S43" s="5" t="s">
        <v>74</v>
      </c>
      <c r="T43" s="5" t="s">
        <v>86</v>
      </c>
      <c r="U43" s="5" t="s">
        <v>151</v>
      </c>
      <c r="V43" s="5">
        <v>2025</v>
      </c>
      <c r="W43" s="5" t="s">
        <v>45</v>
      </c>
      <c r="X43" s="5">
        <v>8</v>
      </c>
      <c r="Y43" s="1" t="s">
        <v>294</v>
      </c>
      <c r="Z43" s="5" t="s">
        <v>110</v>
      </c>
      <c r="AA43" s="5" t="s">
        <v>48</v>
      </c>
      <c r="AB43" s="5" t="s">
        <v>111</v>
      </c>
      <c r="AC43" s="5" t="s">
        <v>121</v>
      </c>
      <c r="AD43" s="5">
        <v>3</v>
      </c>
    </row>
    <row r="44" spans="1:30">
      <c r="A44" s="5" t="s">
        <v>295</v>
      </c>
      <c r="B44" s="1">
        <v>45606</v>
      </c>
      <c r="C44" s="5" t="s">
        <v>296</v>
      </c>
      <c r="D44" s="5" t="s">
        <v>297</v>
      </c>
      <c r="E44" s="5" t="s">
        <v>55</v>
      </c>
      <c r="F44" s="5" t="s">
        <v>144</v>
      </c>
      <c r="G44" s="5" t="s">
        <v>145</v>
      </c>
      <c r="H44" s="5" t="s">
        <v>94</v>
      </c>
      <c r="I44" s="5" t="s">
        <v>39</v>
      </c>
      <c r="J44" s="5" t="s">
        <v>105</v>
      </c>
      <c r="K44" s="5">
        <v>8</v>
      </c>
      <c r="L44" s="5">
        <v>35000</v>
      </c>
      <c r="M44" s="5">
        <v>0.15</v>
      </c>
      <c r="N44" s="5">
        <v>238000</v>
      </c>
      <c r="O44" s="5">
        <v>158909.97</v>
      </c>
      <c r="P44" s="5">
        <v>79090.03</v>
      </c>
      <c r="Q44" s="5">
        <v>33.229999999999997</v>
      </c>
      <c r="R44" s="5" t="s">
        <v>61</v>
      </c>
      <c r="S44" s="5" t="s">
        <v>62</v>
      </c>
      <c r="T44" s="5" t="s">
        <v>173</v>
      </c>
      <c r="U44" s="5" t="s">
        <v>87</v>
      </c>
      <c r="V44" s="5">
        <v>2024</v>
      </c>
      <c r="W44" s="5" t="s">
        <v>194</v>
      </c>
      <c r="X44" s="5">
        <v>3</v>
      </c>
      <c r="Y44" s="1" t="s">
        <v>298</v>
      </c>
      <c r="Z44" s="5" t="s">
        <v>89</v>
      </c>
      <c r="AA44" s="5" t="s">
        <v>90</v>
      </c>
      <c r="AB44" s="5" t="s">
        <v>78</v>
      </c>
      <c r="AC44" s="5" t="s">
        <v>50</v>
      </c>
      <c r="AD44" s="5">
        <v>4</v>
      </c>
    </row>
    <row r="45" spans="1:30">
      <c r="A45" s="5" t="s">
        <v>299</v>
      </c>
      <c r="B45" s="1" t="s">
        <v>300</v>
      </c>
      <c r="C45" s="5" t="s">
        <v>301</v>
      </c>
      <c r="D45" s="5" t="s">
        <v>302</v>
      </c>
      <c r="E45" s="5" t="s">
        <v>35</v>
      </c>
      <c r="F45" s="5" t="s">
        <v>116</v>
      </c>
      <c r="G45" s="5" t="s">
        <v>37</v>
      </c>
      <c r="H45" s="5" t="s">
        <v>94</v>
      </c>
      <c r="I45" s="5" t="s">
        <v>71</v>
      </c>
      <c r="J45" s="5" t="s">
        <v>172</v>
      </c>
      <c r="K45" s="5">
        <v>1</v>
      </c>
      <c r="L45" s="5">
        <v>2500</v>
      </c>
      <c r="M45" s="5">
        <v>0</v>
      </c>
      <c r="N45" s="5">
        <v>2500</v>
      </c>
      <c r="O45" s="5">
        <v>1453.25</v>
      </c>
      <c r="P45" s="5">
        <v>1046.75</v>
      </c>
      <c r="Q45" s="5">
        <v>41.87</v>
      </c>
      <c r="R45" s="5" t="s">
        <v>166</v>
      </c>
      <c r="S45" s="5" t="s">
        <v>74</v>
      </c>
      <c r="T45" s="5" t="s">
        <v>86</v>
      </c>
      <c r="U45" s="5" t="s">
        <v>198</v>
      </c>
      <c r="V45" s="5">
        <v>2024</v>
      </c>
      <c r="W45" s="5" t="s">
        <v>126</v>
      </c>
      <c r="X45" s="5">
        <v>5</v>
      </c>
      <c r="Y45" s="1" t="s">
        <v>303</v>
      </c>
      <c r="Z45" s="5" t="s">
        <v>47</v>
      </c>
      <c r="AA45" s="5" t="s">
        <v>48</v>
      </c>
      <c r="AB45" s="5" t="s">
        <v>78</v>
      </c>
      <c r="AC45" s="5" t="s">
        <v>50</v>
      </c>
      <c r="AD45" s="5">
        <v>4</v>
      </c>
    </row>
    <row r="46" spans="1:30">
      <c r="A46" s="5" t="s">
        <v>304</v>
      </c>
      <c r="B46" s="1" t="s">
        <v>305</v>
      </c>
      <c r="C46" s="5" t="s">
        <v>306</v>
      </c>
      <c r="D46" s="5" t="s">
        <v>307</v>
      </c>
      <c r="E46" s="5" t="s">
        <v>35</v>
      </c>
      <c r="F46" s="5" t="s">
        <v>104</v>
      </c>
      <c r="G46" s="5" t="s">
        <v>104</v>
      </c>
      <c r="H46" s="5" t="s">
        <v>38</v>
      </c>
      <c r="I46" s="5" t="s">
        <v>95</v>
      </c>
      <c r="J46" s="5" t="s">
        <v>184</v>
      </c>
      <c r="K46" s="5">
        <v>9</v>
      </c>
      <c r="L46" s="5">
        <v>4000</v>
      </c>
      <c r="M46" s="5">
        <v>0.1</v>
      </c>
      <c r="N46" s="5">
        <v>32400</v>
      </c>
      <c r="O46" s="5">
        <v>18072.55</v>
      </c>
      <c r="P46" s="5">
        <v>14327.45</v>
      </c>
      <c r="Q46" s="5">
        <v>44.22</v>
      </c>
      <c r="R46" s="5" t="s">
        <v>61</v>
      </c>
      <c r="S46" s="5" t="s">
        <v>42</v>
      </c>
      <c r="T46" s="5" t="s">
        <v>43</v>
      </c>
      <c r="U46" s="5" t="s">
        <v>178</v>
      </c>
      <c r="V46" s="5">
        <v>2025</v>
      </c>
      <c r="W46" s="5" t="s">
        <v>126</v>
      </c>
      <c r="X46" s="5">
        <v>8</v>
      </c>
      <c r="Y46" s="1">
        <v>45661</v>
      </c>
      <c r="Z46" s="5" t="s">
        <v>47</v>
      </c>
      <c r="AA46" s="5" t="s">
        <v>48</v>
      </c>
      <c r="AB46" s="5" t="s">
        <v>78</v>
      </c>
      <c r="AC46" s="5" t="s">
        <v>121</v>
      </c>
      <c r="AD46" s="5">
        <v>2</v>
      </c>
    </row>
    <row r="47" spans="1:30">
      <c r="A47" s="5" t="s">
        <v>308</v>
      </c>
      <c r="B47" s="1">
        <v>45783</v>
      </c>
      <c r="C47" s="5" t="s">
        <v>309</v>
      </c>
      <c r="D47" s="5" t="s">
        <v>310</v>
      </c>
      <c r="E47" s="5" t="s">
        <v>103</v>
      </c>
      <c r="F47" s="5" t="s">
        <v>36</v>
      </c>
      <c r="G47" s="5" t="s">
        <v>37</v>
      </c>
      <c r="H47" s="5" t="s">
        <v>38</v>
      </c>
      <c r="I47" s="5" t="s">
        <v>71</v>
      </c>
      <c r="J47" s="5" t="s">
        <v>72</v>
      </c>
      <c r="K47" s="5">
        <v>3</v>
      </c>
      <c r="L47" s="5">
        <v>2500</v>
      </c>
      <c r="M47" s="5">
        <v>0.1</v>
      </c>
      <c r="N47" s="5">
        <v>6750</v>
      </c>
      <c r="O47" s="5">
        <v>5233.78</v>
      </c>
      <c r="P47" s="5">
        <v>1516.22</v>
      </c>
      <c r="Q47" s="5">
        <v>22.46</v>
      </c>
      <c r="R47" s="5" t="s">
        <v>166</v>
      </c>
      <c r="S47" s="5" t="s">
        <v>74</v>
      </c>
      <c r="T47" s="5" t="s">
        <v>63</v>
      </c>
      <c r="U47" s="5" t="s">
        <v>160</v>
      </c>
      <c r="V47" s="5">
        <v>2025</v>
      </c>
      <c r="W47" s="5" t="s">
        <v>139</v>
      </c>
      <c r="X47" s="5">
        <v>5</v>
      </c>
      <c r="Y47" s="1">
        <v>45936</v>
      </c>
      <c r="Z47" s="5" t="s">
        <v>110</v>
      </c>
      <c r="AA47" s="5" t="s">
        <v>48</v>
      </c>
      <c r="AB47" s="5" t="s">
        <v>111</v>
      </c>
      <c r="AC47" s="5" t="s">
        <v>121</v>
      </c>
      <c r="AD47" s="5">
        <v>1</v>
      </c>
    </row>
    <row r="48" spans="1:30">
      <c r="A48" s="5" t="s">
        <v>311</v>
      </c>
      <c r="B48" s="1" t="s">
        <v>271</v>
      </c>
      <c r="C48" s="5" t="s">
        <v>312</v>
      </c>
      <c r="D48" s="5" t="s">
        <v>313</v>
      </c>
      <c r="E48" s="5" t="s">
        <v>35</v>
      </c>
      <c r="F48" s="5" t="s">
        <v>116</v>
      </c>
      <c r="G48" s="5" t="s">
        <v>37</v>
      </c>
      <c r="H48" s="5" t="s">
        <v>94</v>
      </c>
      <c r="I48" s="5" t="s">
        <v>71</v>
      </c>
      <c r="J48" s="5" t="s">
        <v>240</v>
      </c>
      <c r="K48" s="5">
        <v>9</v>
      </c>
      <c r="L48" s="5">
        <v>1800</v>
      </c>
      <c r="M48" s="5">
        <v>0</v>
      </c>
      <c r="N48" s="5">
        <v>16200</v>
      </c>
      <c r="O48" s="5">
        <v>11446.58</v>
      </c>
      <c r="P48" s="5">
        <v>4753.42</v>
      </c>
      <c r="Q48" s="5">
        <v>29.34</v>
      </c>
      <c r="R48" s="5" t="s">
        <v>41</v>
      </c>
      <c r="S48" s="5" t="s">
        <v>62</v>
      </c>
      <c r="T48" s="5" t="s">
        <v>97</v>
      </c>
      <c r="U48" s="5" t="s">
        <v>87</v>
      </c>
      <c r="V48" s="5">
        <v>2024</v>
      </c>
      <c r="W48" s="5" t="s">
        <v>134</v>
      </c>
      <c r="X48" s="5">
        <v>5</v>
      </c>
      <c r="Y48" s="1" t="s">
        <v>314</v>
      </c>
      <c r="Z48" s="5" t="s">
        <v>89</v>
      </c>
      <c r="AA48" s="5" t="s">
        <v>67</v>
      </c>
      <c r="AB48" s="5" t="s">
        <v>111</v>
      </c>
      <c r="AC48" s="5" t="s">
        <v>50</v>
      </c>
      <c r="AD48" s="5">
        <v>4</v>
      </c>
    </row>
    <row r="49" spans="1:30">
      <c r="A49" s="5" t="s">
        <v>315</v>
      </c>
      <c r="B49" s="1" t="s">
        <v>316</v>
      </c>
      <c r="C49" s="5" t="s">
        <v>317</v>
      </c>
      <c r="D49" s="5" t="s">
        <v>318</v>
      </c>
      <c r="E49" s="5" t="s">
        <v>103</v>
      </c>
      <c r="F49" s="5" t="s">
        <v>82</v>
      </c>
      <c r="G49" s="5" t="s">
        <v>83</v>
      </c>
      <c r="H49" s="5" t="s">
        <v>38</v>
      </c>
      <c r="I49" s="5" t="s">
        <v>95</v>
      </c>
      <c r="J49" s="5" t="s">
        <v>319</v>
      </c>
      <c r="K49" s="5">
        <v>10</v>
      </c>
      <c r="L49" s="5">
        <v>9000</v>
      </c>
      <c r="M49" s="5">
        <v>0.05</v>
      </c>
      <c r="N49" s="5">
        <v>85500</v>
      </c>
      <c r="O49" s="5">
        <v>64216.52</v>
      </c>
      <c r="P49" s="5">
        <v>21283.48</v>
      </c>
      <c r="Q49" s="5">
        <v>24.89</v>
      </c>
      <c r="R49" s="5" t="s">
        <v>166</v>
      </c>
      <c r="S49" s="5" t="s">
        <v>74</v>
      </c>
      <c r="T49" s="5" t="s">
        <v>118</v>
      </c>
      <c r="U49" s="5" t="s">
        <v>98</v>
      </c>
      <c r="V49" s="5">
        <v>2025</v>
      </c>
      <c r="W49" s="5" t="s">
        <v>126</v>
      </c>
      <c r="X49" s="5">
        <v>1</v>
      </c>
      <c r="Y49" s="1" t="s">
        <v>320</v>
      </c>
      <c r="Z49" s="5" t="s">
        <v>47</v>
      </c>
      <c r="AA49" s="5" t="s">
        <v>48</v>
      </c>
      <c r="AB49" s="5" t="s">
        <v>111</v>
      </c>
      <c r="AC49" s="5" t="s">
        <v>50</v>
      </c>
      <c r="AD49" s="5">
        <v>1</v>
      </c>
    </row>
    <row r="50" spans="1:30">
      <c r="A50" s="5" t="s">
        <v>321</v>
      </c>
      <c r="B50" s="1" t="s">
        <v>322</v>
      </c>
      <c r="C50" s="5" t="s">
        <v>154</v>
      </c>
      <c r="D50" s="5" t="s">
        <v>323</v>
      </c>
      <c r="E50" s="5" t="s">
        <v>103</v>
      </c>
      <c r="F50" s="5" t="s">
        <v>56</v>
      </c>
      <c r="G50" s="5" t="s">
        <v>57</v>
      </c>
      <c r="H50" s="5" t="s">
        <v>94</v>
      </c>
      <c r="I50" s="5" t="s">
        <v>39</v>
      </c>
      <c r="J50" s="5" t="s">
        <v>165</v>
      </c>
      <c r="K50" s="5">
        <v>8</v>
      </c>
      <c r="L50" s="5">
        <v>8000</v>
      </c>
      <c r="M50" s="5">
        <v>0.05</v>
      </c>
      <c r="N50" s="5">
        <v>60800</v>
      </c>
      <c r="O50" s="5">
        <v>41147.160000000003</v>
      </c>
      <c r="P50" s="5">
        <v>19652.84</v>
      </c>
      <c r="Q50" s="5">
        <v>32.32</v>
      </c>
      <c r="R50" s="5" t="s">
        <v>106</v>
      </c>
      <c r="S50" s="5" t="s">
        <v>62</v>
      </c>
      <c r="T50" s="5" t="s">
        <v>107</v>
      </c>
      <c r="U50" s="5" t="s">
        <v>98</v>
      </c>
      <c r="V50" s="5">
        <v>2025</v>
      </c>
      <c r="W50" s="5" t="s">
        <v>45</v>
      </c>
      <c r="X50" s="5">
        <v>3</v>
      </c>
      <c r="Y50" s="1" t="s">
        <v>324</v>
      </c>
      <c r="Z50" s="5" t="s">
        <v>47</v>
      </c>
      <c r="AA50" s="5" t="s">
        <v>67</v>
      </c>
      <c r="AB50" s="5" t="s">
        <v>78</v>
      </c>
      <c r="AC50" s="5" t="s">
        <v>50</v>
      </c>
      <c r="AD50" s="5">
        <v>5</v>
      </c>
    </row>
    <row r="51" spans="1:30">
      <c r="A51" s="5" t="s">
        <v>325</v>
      </c>
      <c r="B51" s="1">
        <v>45326</v>
      </c>
      <c r="C51" s="5" t="s">
        <v>326</v>
      </c>
      <c r="D51" s="5" t="s">
        <v>327</v>
      </c>
      <c r="E51" s="5" t="s">
        <v>103</v>
      </c>
      <c r="F51" s="5" t="s">
        <v>104</v>
      </c>
      <c r="G51" s="5" t="s">
        <v>104</v>
      </c>
      <c r="H51" s="5" t="s">
        <v>171</v>
      </c>
      <c r="I51" s="5" t="s">
        <v>59</v>
      </c>
      <c r="J51" s="5" t="s">
        <v>328</v>
      </c>
      <c r="K51" s="5">
        <v>4</v>
      </c>
      <c r="L51" s="5">
        <v>1200</v>
      </c>
      <c r="M51" s="5">
        <v>0.05</v>
      </c>
      <c r="N51" s="5">
        <v>4560</v>
      </c>
      <c r="O51" s="5">
        <v>3444.17</v>
      </c>
      <c r="P51" s="5">
        <v>1115.83</v>
      </c>
      <c r="Q51" s="5">
        <v>24.47</v>
      </c>
      <c r="R51" s="5" t="s">
        <v>106</v>
      </c>
      <c r="S51" s="5" t="s">
        <v>74</v>
      </c>
      <c r="T51" s="5" t="s">
        <v>97</v>
      </c>
      <c r="U51" s="5" t="s">
        <v>44</v>
      </c>
      <c r="V51" s="5">
        <v>2024</v>
      </c>
      <c r="W51" s="5" t="s">
        <v>109</v>
      </c>
      <c r="X51" s="5">
        <v>7</v>
      </c>
      <c r="Y51" s="1">
        <v>45539</v>
      </c>
      <c r="Z51" s="5" t="s">
        <v>47</v>
      </c>
      <c r="AA51" s="5" t="s">
        <v>90</v>
      </c>
      <c r="AB51" s="5" t="s">
        <v>78</v>
      </c>
      <c r="AC51" s="5" t="s">
        <v>50</v>
      </c>
      <c r="AD51" s="5">
        <v>3</v>
      </c>
    </row>
    <row r="52" spans="1:30">
      <c r="A52" s="5" t="s">
        <v>329</v>
      </c>
      <c r="B52" s="1" t="s">
        <v>330</v>
      </c>
      <c r="C52" s="5" t="s">
        <v>331</v>
      </c>
      <c r="D52" s="5" t="s">
        <v>332</v>
      </c>
      <c r="E52" s="5" t="s">
        <v>103</v>
      </c>
      <c r="F52" s="5" t="s">
        <v>156</v>
      </c>
      <c r="G52" s="5" t="s">
        <v>157</v>
      </c>
      <c r="H52" s="5" t="s">
        <v>38</v>
      </c>
      <c r="I52" s="5" t="s">
        <v>95</v>
      </c>
      <c r="J52" s="5" t="s">
        <v>319</v>
      </c>
      <c r="K52" s="5">
        <v>9</v>
      </c>
      <c r="L52" s="5">
        <v>9000</v>
      </c>
      <c r="M52" s="5">
        <v>0.2</v>
      </c>
      <c r="N52" s="5">
        <v>64800</v>
      </c>
      <c r="O52" s="5">
        <v>38703.01</v>
      </c>
      <c r="P52" s="5">
        <v>26096.99</v>
      </c>
      <c r="Q52" s="5">
        <v>40.270000000000003</v>
      </c>
      <c r="R52" s="5" t="s">
        <v>166</v>
      </c>
      <c r="S52" s="5" t="s">
        <v>42</v>
      </c>
      <c r="T52" s="5" t="s">
        <v>118</v>
      </c>
      <c r="U52" s="5" t="s">
        <v>198</v>
      </c>
      <c r="V52" s="5">
        <v>2025</v>
      </c>
      <c r="W52" s="5" t="s">
        <v>65</v>
      </c>
      <c r="X52" s="5">
        <v>3</v>
      </c>
      <c r="Y52" s="1">
        <v>45700</v>
      </c>
      <c r="Z52" s="5" t="s">
        <v>47</v>
      </c>
      <c r="AA52" s="5" t="s">
        <v>90</v>
      </c>
      <c r="AB52" s="5" t="s">
        <v>78</v>
      </c>
      <c r="AC52" s="5" t="s">
        <v>50</v>
      </c>
      <c r="AD52" s="5">
        <v>4</v>
      </c>
    </row>
    <row r="53" spans="1:30">
      <c r="A53" s="5" t="s">
        <v>333</v>
      </c>
      <c r="B53" s="1">
        <v>45571</v>
      </c>
      <c r="C53" s="5" t="s">
        <v>334</v>
      </c>
      <c r="D53" s="5" t="s">
        <v>335</v>
      </c>
      <c r="E53" s="5" t="s">
        <v>55</v>
      </c>
      <c r="F53" s="5" t="s">
        <v>116</v>
      </c>
      <c r="G53" s="5" t="s">
        <v>37</v>
      </c>
      <c r="H53" s="5" t="s">
        <v>171</v>
      </c>
      <c r="I53" s="5" t="s">
        <v>39</v>
      </c>
      <c r="J53" s="5" t="s">
        <v>253</v>
      </c>
      <c r="K53" s="5">
        <v>5</v>
      </c>
      <c r="L53" s="5">
        <v>50000</v>
      </c>
      <c r="M53" s="5">
        <v>0.2</v>
      </c>
      <c r="N53" s="5">
        <v>200000</v>
      </c>
      <c r="O53" s="5">
        <v>161042.72</v>
      </c>
      <c r="P53" s="5">
        <v>38957.279999999999</v>
      </c>
      <c r="Q53" s="5">
        <v>19.48</v>
      </c>
      <c r="R53" s="5" t="s">
        <v>166</v>
      </c>
      <c r="S53" s="5" t="s">
        <v>62</v>
      </c>
      <c r="T53" s="5" t="s">
        <v>86</v>
      </c>
      <c r="U53" s="5" t="s">
        <v>160</v>
      </c>
      <c r="V53" s="5">
        <v>2024</v>
      </c>
      <c r="W53" s="5" t="s">
        <v>126</v>
      </c>
      <c r="X53" s="5">
        <v>2</v>
      </c>
      <c r="Y53" s="1">
        <v>45632</v>
      </c>
      <c r="Z53" s="5" t="s">
        <v>110</v>
      </c>
      <c r="AA53" s="5" t="s">
        <v>67</v>
      </c>
      <c r="AB53" s="5" t="s">
        <v>78</v>
      </c>
      <c r="AC53" s="5" t="s">
        <v>121</v>
      </c>
      <c r="AD53" s="5">
        <v>2</v>
      </c>
    </row>
    <row r="54" spans="1:30">
      <c r="A54" s="5" t="s">
        <v>336</v>
      </c>
      <c r="B54" s="1" t="s">
        <v>337</v>
      </c>
      <c r="C54" s="5" t="s">
        <v>338</v>
      </c>
      <c r="D54" s="5" t="s">
        <v>339</v>
      </c>
      <c r="E54" s="5" t="s">
        <v>55</v>
      </c>
      <c r="F54" s="5" t="s">
        <v>156</v>
      </c>
      <c r="G54" s="5" t="s">
        <v>157</v>
      </c>
      <c r="H54" s="5" t="s">
        <v>171</v>
      </c>
      <c r="I54" s="5" t="s">
        <v>59</v>
      </c>
      <c r="J54" s="5" t="s">
        <v>60</v>
      </c>
      <c r="K54" s="5">
        <v>10</v>
      </c>
      <c r="L54" s="5">
        <v>1200</v>
      </c>
      <c r="M54" s="5">
        <v>0.1</v>
      </c>
      <c r="N54" s="5">
        <v>10800</v>
      </c>
      <c r="O54" s="5">
        <v>5963.61</v>
      </c>
      <c r="P54" s="5">
        <v>4836.3900000000003</v>
      </c>
      <c r="Q54" s="5">
        <v>44.78</v>
      </c>
      <c r="R54" s="5" t="s">
        <v>73</v>
      </c>
      <c r="S54" s="5" t="s">
        <v>42</v>
      </c>
      <c r="T54" s="5" t="s">
        <v>97</v>
      </c>
      <c r="U54" s="5" t="s">
        <v>76</v>
      </c>
      <c r="V54" s="5">
        <v>2024</v>
      </c>
      <c r="W54" s="5" t="s">
        <v>109</v>
      </c>
      <c r="X54" s="5">
        <v>7</v>
      </c>
      <c r="Y54" s="1" t="s">
        <v>340</v>
      </c>
      <c r="Z54" s="5" t="s">
        <v>47</v>
      </c>
      <c r="AA54" s="5" t="s">
        <v>90</v>
      </c>
      <c r="AB54" s="5" t="s">
        <v>111</v>
      </c>
      <c r="AC54" s="5" t="s">
        <v>121</v>
      </c>
      <c r="AD54" s="5">
        <v>5</v>
      </c>
    </row>
    <row r="55" spans="1:30">
      <c r="A55" s="5" t="s">
        <v>341</v>
      </c>
      <c r="B55" s="1">
        <v>45384</v>
      </c>
      <c r="C55" s="5" t="s">
        <v>342</v>
      </c>
      <c r="D55" s="5" t="s">
        <v>343</v>
      </c>
      <c r="E55" s="5" t="s">
        <v>103</v>
      </c>
      <c r="F55" s="5" t="s">
        <v>116</v>
      </c>
      <c r="G55" s="5" t="s">
        <v>37</v>
      </c>
      <c r="H55" s="5" t="s">
        <v>94</v>
      </c>
      <c r="I55" s="5" t="s">
        <v>95</v>
      </c>
      <c r="J55" s="5" t="s">
        <v>344</v>
      </c>
      <c r="K55" s="5">
        <v>1</v>
      </c>
      <c r="L55" s="5">
        <v>6000</v>
      </c>
      <c r="M55" s="5">
        <v>0.15</v>
      </c>
      <c r="N55" s="5">
        <v>5100</v>
      </c>
      <c r="O55" s="5">
        <v>3813.46</v>
      </c>
      <c r="P55" s="5">
        <v>1286.54</v>
      </c>
      <c r="Q55" s="5">
        <v>25.23</v>
      </c>
      <c r="R55" s="5" t="s">
        <v>73</v>
      </c>
      <c r="S55" s="5" t="s">
        <v>74</v>
      </c>
      <c r="T55" s="5" t="s">
        <v>118</v>
      </c>
      <c r="U55" s="5" t="s">
        <v>98</v>
      </c>
      <c r="V55" s="5">
        <v>2024</v>
      </c>
      <c r="W55" s="5" t="s">
        <v>45</v>
      </c>
      <c r="X55" s="5">
        <v>10</v>
      </c>
      <c r="Y55" s="1" t="s">
        <v>345</v>
      </c>
      <c r="Z55" s="5" t="s">
        <v>47</v>
      </c>
      <c r="AA55" s="5" t="s">
        <v>48</v>
      </c>
      <c r="AB55" s="5" t="s">
        <v>78</v>
      </c>
      <c r="AC55" s="5" t="s">
        <v>50</v>
      </c>
      <c r="AD55" s="5">
        <v>2</v>
      </c>
    </row>
    <row r="56" spans="1:30">
      <c r="A56" s="5" t="s">
        <v>346</v>
      </c>
      <c r="B56" s="1" t="s">
        <v>187</v>
      </c>
      <c r="C56" s="5" t="s">
        <v>347</v>
      </c>
      <c r="D56" s="5" t="s">
        <v>348</v>
      </c>
      <c r="E56" s="5" t="s">
        <v>103</v>
      </c>
      <c r="F56" s="5" t="s">
        <v>116</v>
      </c>
      <c r="G56" s="5" t="s">
        <v>37</v>
      </c>
      <c r="H56" s="5" t="s">
        <v>171</v>
      </c>
      <c r="I56" s="5" t="s">
        <v>71</v>
      </c>
      <c r="J56" s="5" t="s">
        <v>240</v>
      </c>
      <c r="K56" s="5">
        <v>6</v>
      </c>
      <c r="L56" s="5">
        <v>700</v>
      </c>
      <c r="M56" s="5">
        <v>0.15</v>
      </c>
      <c r="N56" s="5">
        <v>3570</v>
      </c>
      <c r="O56" s="5">
        <v>2792.59</v>
      </c>
      <c r="P56" s="5">
        <v>777.41</v>
      </c>
      <c r="Q56" s="5">
        <v>21.78</v>
      </c>
      <c r="R56" s="5" t="s">
        <v>106</v>
      </c>
      <c r="S56" s="5" t="s">
        <v>62</v>
      </c>
      <c r="T56" s="5" t="s">
        <v>43</v>
      </c>
      <c r="U56" s="5" t="s">
        <v>178</v>
      </c>
      <c r="V56" s="5">
        <v>2024</v>
      </c>
      <c r="W56" s="5" t="s">
        <v>126</v>
      </c>
      <c r="X56" s="5">
        <v>3</v>
      </c>
      <c r="Y56" s="1" t="s">
        <v>190</v>
      </c>
      <c r="Z56" s="5" t="s">
        <v>47</v>
      </c>
      <c r="AA56" s="5" t="s">
        <v>67</v>
      </c>
      <c r="AB56" s="5" t="s">
        <v>111</v>
      </c>
      <c r="AC56" s="5" t="s">
        <v>121</v>
      </c>
      <c r="AD56" s="5">
        <v>4</v>
      </c>
    </row>
    <row r="57" spans="1:30">
      <c r="A57" s="5" t="s">
        <v>349</v>
      </c>
      <c r="B57" s="1" t="s">
        <v>259</v>
      </c>
      <c r="C57" s="5" t="s">
        <v>350</v>
      </c>
      <c r="D57" s="5" t="s">
        <v>351</v>
      </c>
      <c r="E57" s="5" t="s">
        <v>103</v>
      </c>
      <c r="F57" s="5" t="s">
        <v>82</v>
      </c>
      <c r="G57" s="5" t="s">
        <v>83</v>
      </c>
      <c r="H57" s="5" t="s">
        <v>38</v>
      </c>
      <c r="I57" s="5" t="s">
        <v>84</v>
      </c>
      <c r="J57" s="5" t="s">
        <v>217</v>
      </c>
      <c r="K57" s="5">
        <v>7</v>
      </c>
      <c r="L57" s="5">
        <v>350</v>
      </c>
      <c r="M57" s="5">
        <v>0</v>
      </c>
      <c r="N57" s="5">
        <v>2450</v>
      </c>
      <c r="O57" s="5">
        <v>1364.05</v>
      </c>
      <c r="P57" s="5">
        <v>1085.95</v>
      </c>
      <c r="Q57" s="5">
        <v>44.32</v>
      </c>
      <c r="R57" s="5" t="s">
        <v>106</v>
      </c>
      <c r="S57" s="5" t="s">
        <v>42</v>
      </c>
      <c r="T57" s="5" t="s">
        <v>138</v>
      </c>
      <c r="U57" s="5" t="s">
        <v>198</v>
      </c>
      <c r="V57" s="5">
        <v>2025</v>
      </c>
      <c r="W57" s="5" t="s">
        <v>65</v>
      </c>
      <c r="X57" s="5">
        <v>4</v>
      </c>
      <c r="Y57" s="1" t="s">
        <v>352</v>
      </c>
      <c r="Z57" s="5" t="s">
        <v>110</v>
      </c>
      <c r="AA57" s="5" t="s">
        <v>48</v>
      </c>
      <c r="AB57" s="5" t="s">
        <v>78</v>
      </c>
      <c r="AC57" s="5" t="s">
        <v>50</v>
      </c>
      <c r="AD57" s="5">
        <v>1</v>
      </c>
    </row>
    <row r="58" spans="1:30">
      <c r="A58" s="5" t="s">
        <v>353</v>
      </c>
      <c r="B58" s="1">
        <v>45539</v>
      </c>
      <c r="C58" s="5" t="s">
        <v>354</v>
      </c>
      <c r="D58" s="5" t="s">
        <v>355</v>
      </c>
      <c r="E58" s="5" t="s">
        <v>103</v>
      </c>
      <c r="F58" s="5" t="s">
        <v>245</v>
      </c>
      <c r="G58" s="5" t="s">
        <v>246</v>
      </c>
      <c r="H58" s="5" t="s">
        <v>94</v>
      </c>
      <c r="I58" s="5" t="s">
        <v>39</v>
      </c>
      <c r="J58" s="5" t="s">
        <v>356</v>
      </c>
      <c r="K58" s="5">
        <v>5</v>
      </c>
      <c r="L58" s="5">
        <v>22000</v>
      </c>
      <c r="M58" s="5">
        <v>0</v>
      </c>
      <c r="N58" s="5">
        <v>110000</v>
      </c>
      <c r="O58" s="5">
        <v>64529.22</v>
      </c>
      <c r="P58" s="5">
        <v>45470.78</v>
      </c>
      <c r="Q58" s="5">
        <v>41.34</v>
      </c>
      <c r="R58" s="5" t="s">
        <v>41</v>
      </c>
      <c r="S58" s="5" t="s">
        <v>42</v>
      </c>
      <c r="T58" s="5" t="s">
        <v>118</v>
      </c>
      <c r="U58" s="5" t="s">
        <v>44</v>
      </c>
      <c r="V58" s="5">
        <v>2024</v>
      </c>
      <c r="W58" s="5" t="s">
        <v>109</v>
      </c>
      <c r="X58" s="5">
        <v>4</v>
      </c>
      <c r="Y58" s="1" t="s">
        <v>357</v>
      </c>
      <c r="Z58" s="5" t="s">
        <v>89</v>
      </c>
      <c r="AA58" s="5" t="s">
        <v>67</v>
      </c>
      <c r="AB58" s="5" t="s">
        <v>111</v>
      </c>
      <c r="AC58" s="5" t="s">
        <v>121</v>
      </c>
      <c r="AD58" s="5">
        <v>4</v>
      </c>
    </row>
    <row r="59" spans="1:30">
      <c r="A59" s="5" t="s">
        <v>358</v>
      </c>
      <c r="B59" s="1" t="s">
        <v>359</v>
      </c>
      <c r="C59" s="5" t="s">
        <v>360</v>
      </c>
      <c r="D59" s="5" t="s">
        <v>361</v>
      </c>
      <c r="E59" s="5" t="s">
        <v>103</v>
      </c>
      <c r="F59" s="5" t="s">
        <v>144</v>
      </c>
      <c r="G59" s="5" t="s">
        <v>145</v>
      </c>
      <c r="H59" s="5" t="s">
        <v>171</v>
      </c>
      <c r="I59" s="5" t="s">
        <v>71</v>
      </c>
      <c r="J59" s="5" t="s">
        <v>240</v>
      </c>
      <c r="K59" s="5">
        <v>1</v>
      </c>
      <c r="L59" s="5">
        <v>1800</v>
      </c>
      <c r="M59" s="5">
        <v>0.05</v>
      </c>
      <c r="N59" s="5">
        <v>1710</v>
      </c>
      <c r="O59" s="5">
        <v>1335.46</v>
      </c>
      <c r="P59" s="5">
        <v>374.54</v>
      </c>
      <c r="Q59" s="5">
        <v>21.9</v>
      </c>
      <c r="R59" s="5" t="s">
        <v>106</v>
      </c>
      <c r="S59" s="5" t="s">
        <v>62</v>
      </c>
      <c r="T59" s="5" t="s">
        <v>159</v>
      </c>
      <c r="U59" s="5" t="s">
        <v>178</v>
      </c>
      <c r="V59" s="5">
        <v>2025</v>
      </c>
      <c r="W59" s="5" t="s">
        <v>45</v>
      </c>
      <c r="X59" s="5">
        <v>8</v>
      </c>
      <c r="Y59" s="1">
        <v>45842</v>
      </c>
      <c r="Z59" s="5" t="s">
        <v>47</v>
      </c>
      <c r="AA59" s="5" t="s">
        <v>90</v>
      </c>
      <c r="AB59" s="5" t="s">
        <v>49</v>
      </c>
      <c r="AC59" s="5" t="s">
        <v>50</v>
      </c>
      <c r="AD59" s="5">
        <v>1</v>
      </c>
    </row>
    <row r="60" spans="1:30">
      <c r="A60" s="5" t="s">
        <v>362</v>
      </c>
      <c r="B60" s="1">
        <v>45509</v>
      </c>
      <c r="C60" s="5" t="s">
        <v>363</v>
      </c>
      <c r="D60" s="5" t="s">
        <v>364</v>
      </c>
      <c r="E60" s="5" t="s">
        <v>35</v>
      </c>
      <c r="F60" s="5" t="s">
        <v>149</v>
      </c>
      <c r="G60" s="5" t="s">
        <v>150</v>
      </c>
      <c r="H60" s="5" t="s">
        <v>38</v>
      </c>
      <c r="I60" s="5" t="s">
        <v>59</v>
      </c>
      <c r="J60" s="5" t="s">
        <v>328</v>
      </c>
      <c r="K60" s="5">
        <v>1</v>
      </c>
      <c r="L60" s="5">
        <v>1200</v>
      </c>
      <c r="M60" s="5">
        <v>0.05</v>
      </c>
      <c r="N60" s="5">
        <v>1140</v>
      </c>
      <c r="O60" s="5">
        <v>648.12</v>
      </c>
      <c r="P60" s="5">
        <v>491.88</v>
      </c>
      <c r="Q60" s="5">
        <v>43.15</v>
      </c>
      <c r="R60" s="5" t="s">
        <v>61</v>
      </c>
      <c r="S60" s="5" t="s">
        <v>74</v>
      </c>
      <c r="T60" s="5" t="s">
        <v>63</v>
      </c>
      <c r="U60" s="5" t="s">
        <v>119</v>
      </c>
      <c r="V60" s="5">
        <v>2024</v>
      </c>
      <c r="W60" s="5" t="s">
        <v>134</v>
      </c>
      <c r="X60" s="5">
        <v>10</v>
      </c>
      <c r="Y60" s="1" t="s">
        <v>365</v>
      </c>
      <c r="Z60" s="5" t="s">
        <v>47</v>
      </c>
      <c r="AA60" s="5" t="s">
        <v>90</v>
      </c>
      <c r="AB60" s="5" t="s">
        <v>78</v>
      </c>
      <c r="AC60" s="5" t="s">
        <v>121</v>
      </c>
      <c r="AD60" s="5">
        <v>2</v>
      </c>
    </row>
    <row r="61" spans="1:30">
      <c r="A61" s="5" t="s">
        <v>366</v>
      </c>
      <c r="B61" s="1" t="s">
        <v>367</v>
      </c>
      <c r="C61" s="5" t="s">
        <v>368</v>
      </c>
      <c r="D61" s="5" t="s">
        <v>273</v>
      </c>
      <c r="E61" s="5" t="s">
        <v>35</v>
      </c>
      <c r="F61" s="5" t="s">
        <v>131</v>
      </c>
      <c r="G61" s="5" t="s">
        <v>132</v>
      </c>
      <c r="H61" s="5" t="s">
        <v>38</v>
      </c>
      <c r="I61" s="5" t="s">
        <v>84</v>
      </c>
      <c r="J61" s="5" t="s">
        <v>85</v>
      </c>
      <c r="K61" s="5">
        <v>2</v>
      </c>
      <c r="L61" s="5">
        <v>100</v>
      </c>
      <c r="M61" s="5">
        <v>0.05</v>
      </c>
      <c r="N61" s="5">
        <v>190</v>
      </c>
      <c r="O61" s="5">
        <v>134.71</v>
      </c>
      <c r="P61" s="5">
        <v>55.29</v>
      </c>
      <c r="Q61" s="5">
        <v>29.1</v>
      </c>
      <c r="R61" s="5" t="s">
        <v>166</v>
      </c>
      <c r="S61" s="5" t="s">
        <v>42</v>
      </c>
      <c r="T61" s="5" t="s">
        <v>173</v>
      </c>
      <c r="U61" s="5" t="s">
        <v>76</v>
      </c>
      <c r="V61" s="5">
        <v>2024</v>
      </c>
      <c r="W61" s="5" t="s">
        <v>109</v>
      </c>
      <c r="X61" s="5">
        <v>6</v>
      </c>
      <c r="Y61" s="1" t="s">
        <v>369</v>
      </c>
      <c r="Z61" s="5" t="s">
        <v>47</v>
      </c>
      <c r="AA61" s="5" t="s">
        <v>48</v>
      </c>
      <c r="AB61" s="5" t="s">
        <v>49</v>
      </c>
      <c r="AC61" s="5" t="s">
        <v>50</v>
      </c>
      <c r="AD61" s="5">
        <v>4</v>
      </c>
    </row>
    <row r="62" spans="1:30">
      <c r="A62" s="5" t="s">
        <v>370</v>
      </c>
      <c r="B62" s="1" t="s">
        <v>371</v>
      </c>
      <c r="C62" s="5" t="s">
        <v>312</v>
      </c>
      <c r="D62" s="5" t="s">
        <v>102</v>
      </c>
      <c r="E62" s="5" t="s">
        <v>55</v>
      </c>
      <c r="F62" s="5" t="s">
        <v>82</v>
      </c>
      <c r="G62" s="5" t="s">
        <v>83</v>
      </c>
      <c r="H62" s="5" t="s">
        <v>58</v>
      </c>
      <c r="I62" s="5" t="s">
        <v>59</v>
      </c>
      <c r="J62" s="5" t="s">
        <v>372</v>
      </c>
      <c r="K62" s="5">
        <v>2</v>
      </c>
      <c r="L62" s="5">
        <v>2000</v>
      </c>
      <c r="M62" s="5">
        <v>0.2</v>
      </c>
      <c r="N62" s="5">
        <v>3200</v>
      </c>
      <c r="O62" s="5">
        <v>2388.34</v>
      </c>
      <c r="P62" s="5">
        <v>811.66</v>
      </c>
      <c r="Q62" s="5">
        <v>25.36</v>
      </c>
      <c r="R62" s="5" t="s">
        <v>106</v>
      </c>
      <c r="S62" s="5" t="s">
        <v>62</v>
      </c>
      <c r="T62" s="5" t="s">
        <v>75</v>
      </c>
      <c r="U62" s="5" t="s">
        <v>218</v>
      </c>
      <c r="V62" s="5">
        <v>2024</v>
      </c>
      <c r="W62" s="5" t="s">
        <v>134</v>
      </c>
      <c r="X62" s="5">
        <v>10</v>
      </c>
      <c r="Y62" s="1" t="s">
        <v>373</v>
      </c>
      <c r="Z62" s="5" t="s">
        <v>47</v>
      </c>
      <c r="AA62" s="5" t="s">
        <v>67</v>
      </c>
      <c r="AB62" s="5" t="s">
        <v>111</v>
      </c>
      <c r="AC62" s="5" t="s">
        <v>121</v>
      </c>
      <c r="AD62" s="5">
        <v>4</v>
      </c>
    </row>
    <row r="63" spans="1:30">
      <c r="A63" s="5" t="s">
        <v>374</v>
      </c>
      <c r="B63" s="1">
        <v>45507</v>
      </c>
      <c r="C63" s="5" t="s">
        <v>375</v>
      </c>
      <c r="D63" s="5" t="s">
        <v>177</v>
      </c>
      <c r="E63" s="5" t="s">
        <v>55</v>
      </c>
      <c r="F63" s="5" t="s">
        <v>56</v>
      </c>
      <c r="G63" s="5" t="s">
        <v>57</v>
      </c>
      <c r="H63" s="5" t="s">
        <v>94</v>
      </c>
      <c r="I63" s="5" t="s">
        <v>39</v>
      </c>
      <c r="J63" s="5" t="s">
        <v>356</v>
      </c>
      <c r="K63" s="5">
        <v>6</v>
      </c>
      <c r="L63" s="5">
        <v>35000</v>
      </c>
      <c r="M63" s="5">
        <v>0.05</v>
      </c>
      <c r="N63" s="5">
        <v>199500</v>
      </c>
      <c r="O63" s="5">
        <v>143353.85999999999</v>
      </c>
      <c r="P63" s="5">
        <v>56146.14</v>
      </c>
      <c r="Q63" s="5">
        <v>28.14</v>
      </c>
      <c r="R63" s="5" t="s">
        <v>41</v>
      </c>
      <c r="S63" s="5" t="s">
        <v>42</v>
      </c>
      <c r="T63" s="5" t="s">
        <v>159</v>
      </c>
      <c r="U63" s="5" t="s">
        <v>178</v>
      </c>
      <c r="V63" s="5">
        <v>2024</v>
      </c>
      <c r="W63" s="5" t="s">
        <v>194</v>
      </c>
      <c r="X63" s="5">
        <v>3</v>
      </c>
      <c r="Y63" s="1">
        <v>45599</v>
      </c>
      <c r="Z63" s="5" t="s">
        <v>47</v>
      </c>
      <c r="AA63" s="5" t="s">
        <v>67</v>
      </c>
      <c r="AB63" s="5" t="s">
        <v>111</v>
      </c>
      <c r="AC63" s="5" t="s">
        <v>50</v>
      </c>
      <c r="AD63" s="5">
        <v>1</v>
      </c>
    </row>
    <row r="64" spans="1:30">
      <c r="A64" s="5" t="s">
        <v>376</v>
      </c>
      <c r="B64" s="1" t="s">
        <v>377</v>
      </c>
      <c r="C64" s="5" t="s">
        <v>378</v>
      </c>
      <c r="D64" s="5" t="s">
        <v>379</v>
      </c>
      <c r="E64" s="5" t="s">
        <v>55</v>
      </c>
      <c r="F64" s="5" t="s">
        <v>36</v>
      </c>
      <c r="G64" s="5" t="s">
        <v>37</v>
      </c>
      <c r="H64" s="5" t="s">
        <v>171</v>
      </c>
      <c r="I64" s="5" t="s">
        <v>59</v>
      </c>
      <c r="J64" s="5" t="s">
        <v>206</v>
      </c>
      <c r="K64" s="5">
        <v>7</v>
      </c>
      <c r="L64" s="5">
        <v>2000</v>
      </c>
      <c r="M64" s="5">
        <v>0.05</v>
      </c>
      <c r="N64" s="5">
        <v>13300</v>
      </c>
      <c r="O64" s="5">
        <v>8746.84</v>
      </c>
      <c r="P64" s="5">
        <v>4553.16</v>
      </c>
      <c r="Q64" s="5">
        <v>34.229999999999997</v>
      </c>
      <c r="R64" s="5" t="s">
        <v>61</v>
      </c>
      <c r="S64" s="5" t="s">
        <v>74</v>
      </c>
      <c r="T64" s="5" t="s">
        <v>138</v>
      </c>
      <c r="U64" s="5" t="s">
        <v>98</v>
      </c>
      <c r="V64" s="5">
        <v>2025</v>
      </c>
      <c r="W64" s="5" t="s">
        <v>139</v>
      </c>
      <c r="X64" s="5">
        <v>6</v>
      </c>
      <c r="Y64" s="1">
        <v>45780</v>
      </c>
      <c r="Z64" s="5" t="s">
        <v>110</v>
      </c>
      <c r="AA64" s="5" t="s">
        <v>90</v>
      </c>
      <c r="AB64" s="5" t="s">
        <v>49</v>
      </c>
      <c r="AC64" s="5" t="s">
        <v>121</v>
      </c>
      <c r="AD64" s="5">
        <v>1</v>
      </c>
    </row>
    <row r="65" spans="1:30">
      <c r="A65" s="5" t="s">
        <v>380</v>
      </c>
      <c r="B65" s="1" t="s">
        <v>381</v>
      </c>
      <c r="C65" s="5" t="s">
        <v>382</v>
      </c>
      <c r="D65" s="5" t="s">
        <v>383</v>
      </c>
      <c r="E65" s="5" t="s">
        <v>103</v>
      </c>
      <c r="F65" s="5" t="s">
        <v>156</v>
      </c>
      <c r="G65" s="5" t="s">
        <v>157</v>
      </c>
      <c r="H65" s="5" t="s">
        <v>94</v>
      </c>
      <c r="I65" s="5" t="s">
        <v>39</v>
      </c>
      <c r="J65" s="5" t="s">
        <v>40</v>
      </c>
      <c r="K65" s="5">
        <v>3</v>
      </c>
      <c r="L65" s="5">
        <v>35000</v>
      </c>
      <c r="M65" s="5">
        <v>0</v>
      </c>
      <c r="N65" s="5">
        <v>105000</v>
      </c>
      <c r="O65" s="5">
        <v>67095.460000000006</v>
      </c>
      <c r="P65" s="5">
        <v>37904.54</v>
      </c>
      <c r="Q65" s="5">
        <v>36.1</v>
      </c>
      <c r="R65" s="5" t="s">
        <v>106</v>
      </c>
      <c r="S65" s="5" t="s">
        <v>62</v>
      </c>
      <c r="T65" s="5" t="s">
        <v>63</v>
      </c>
      <c r="U65" s="5" t="s">
        <v>218</v>
      </c>
      <c r="V65" s="5">
        <v>2025</v>
      </c>
      <c r="W65" s="5" t="s">
        <v>65</v>
      </c>
      <c r="X65" s="5">
        <v>9</v>
      </c>
      <c r="Y65" s="1">
        <v>45666</v>
      </c>
      <c r="Z65" s="5" t="s">
        <v>89</v>
      </c>
      <c r="AA65" s="5" t="s">
        <v>67</v>
      </c>
      <c r="AB65" s="5" t="s">
        <v>78</v>
      </c>
      <c r="AC65" s="5" t="s">
        <v>121</v>
      </c>
      <c r="AD65" s="5">
        <v>5</v>
      </c>
    </row>
    <row r="66" spans="1:30">
      <c r="A66" s="5" t="s">
        <v>384</v>
      </c>
      <c r="B66" s="1" t="s">
        <v>385</v>
      </c>
      <c r="C66" s="5" t="s">
        <v>386</v>
      </c>
      <c r="D66" s="5" t="s">
        <v>387</v>
      </c>
      <c r="E66" s="5" t="s">
        <v>55</v>
      </c>
      <c r="F66" s="5" t="s">
        <v>131</v>
      </c>
      <c r="G66" s="5" t="s">
        <v>132</v>
      </c>
      <c r="H66" s="5" t="s">
        <v>58</v>
      </c>
      <c r="I66" s="5" t="s">
        <v>95</v>
      </c>
      <c r="J66" s="5" t="s">
        <v>319</v>
      </c>
      <c r="K66" s="5">
        <v>8</v>
      </c>
      <c r="L66" s="5">
        <v>4000</v>
      </c>
      <c r="M66" s="5">
        <v>0</v>
      </c>
      <c r="N66" s="5">
        <v>32000</v>
      </c>
      <c r="O66" s="5">
        <v>18592.61</v>
      </c>
      <c r="P66" s="5">
        <v>13407.39</v>
      </c>
      <c r="Q66" s="5">
        <v>41.9</v>
      </c>
      <c r="R66" s="5" t="s">
        <v>41</v>
      </c>
      <c r="S66" s="5" t="s">
        <v>42</v>
      </c>
      <c r="T66" s="5" t="s">
        <v>159</v>
      </c>
      <c r="U66" s="5" t="s">
        <v>64</v>
      </c>
      <c r="V66" s="5">
        <v>2024</v>
      </c>
      <c r="W66" s="5" t="s">
        <v>109</v>
      </c>
      <c r="X66" s="5">
        <v>9</v>
      </c>
      <c r="Y66" s="1">
        <v>45689</v>
      </c>
      <c r="Z66" s="5" t="s">
        <v>47</v>
      </c>
      <c r="AA66" s="5" t="s">
        <v>90</v>
      </c>
      <c r="AB66" s="5" t="s">
        <v>49</v>
      </c>
      <c r="AC66" s="5" t="s">
        <v>50</v>
      </c>
      <c r="AD66" s="5">
        <v>3</v>
      </c>
    </row>
    <row r="67" spans="1:30">
      <c r="A67" s="5" t="s">
        <v>388</v>
      </c>
      <c r="B67" s="1">
        <v>45758</v>
      </c>
      <c r="C67" s="5" t="s">
        <v>389</v>
      </c>
      <c r="D67" s="5" t="s">
        <v>34</v>
      </c>
      <c r="E67" s="5" t="s">
        <v>103</v>
      </c>
      <c r="F67" s="5" t="s">
        <v>82</v>
      </c>
      <c r="G67" s="5" t="s">
        <v>83</v>
      </c>
      <c r="H67" s="5" t="s">
        <v>38</v>
      </c>
      <c r="I67" s="5" t="s">
        <v>84</v>
      </c>
      <c r="J67" s="5" t="s">
        <v>390</v>
      </c>
      <c r="K67" s="5">
        <v>3</v>
      </c>
      <c r="L67" s="5">
        <v>200</v>
      </c>
      <c r="M67" s="5">
        <v>0.2</v>
      </c>
      <c r="N67" s="5">
        <v>480</v>
      </c>
      <c r="O67" s="5">
        <v>282.39</v>
      </c>
      <c r="P67" s="5">
        <v>197.61</v>
      </c>
      <c r="Q67" s="5">
        <v>41.17</v>
      </c>
      <c r="R67" s="5" t="s">
        <v>166</v>
      </c>
      <c r="S67" s="5" t="s">
        <v>62</v>
      </c>
      <c r="T67" s="5" t="s">
        <v>138</v>
      </c>
      <c r="U67" s="5" t="s">
        <v>198</v>
      </c>
      <c r="V67" s="5">
        <v>2025</v>
      </c>
      <c r="W67" s="5" t="s">
        <v>109</v>
      </c>
      <c r="X67" s="5">
        <v>7</v>
      </c>
      <c r="Y67" s="1">
        <v>45972</v>
      </c>
      <c r="Z67" s="5" t="s">
        <v>47</v>
      </c>
      <c r="AA67" s="5" t="s">
        <v>67</v>
      </c>
      <c r="AB67" s="5" t="s">
        <v>49</v>
      </c>
      <c r="AC67" s="5" t="s">
        <v>50</v>
      </c>
      <c r="AD67" s="5">
        <v>3</v>
      </c>
    </row>
    <row r="68" spans="1:30">
      <c r="A68" s="5" t="s">
        <v>391</v>
      </c>
      <c r="B68" s="1">
        <v>45571</v>
      </c>
      <c r="C68" s="5" t="s">
        <v>392</v>
      </c>
      <c r="D68" s="5" t="s">
        <v>393</v>
      </c>
      <c r="E68" s="5" t="s">
        <v>55</v>
      </c>
      <c r="F68" s="5" t="s">
        <v>82</v>
      </c>
      <c r="G68" s="5" t="s">
        <v>83</v>
      </c>
      <c r="H68" s="5" t="s">
        <v>94</v>
      </c>
      <c r="I68" s="5" t="s">
        <v>59</v>
      </c>
      <c r="J68" s="5" t="s">
        <v>372</v>
      </c>
      <c r="K68" s="5">
        <v>2</v>
      </c>
      <c r="L68" s="5">
        <v>500</v>
      </c>
      <c r="M68" s="5">
        <v>0.05</v>
      </c>
      <c r="N68" s="5">
        <v>950</v>
      </c>
      <c r="O68" s="5">
        <v>695.37</v>
      </c>
      <c r="P68" s="5">
        <v>254.63</v>
      </c>
      <c r="Q68" s="5">
        <v>26.8</v>
      </c>
      <c r="R68" s="5" t="s">
        <v>41</v>
      </c>
      <c r="S68" s="5" t="s">
        <v>62</v>
      </c>
      <c r="T68" s="5" t="s">
        <v>75</v>
      </c>
      <c r="U68" s="5" t="s">
        <v>160</v>
      </c>
      <c r="V68" s="5">
        <v>2024</v>
      </c>
      <c r="W68" s="5" t="s">
        <v>126</v>
      </c>
      <c r="X68" s="5">
        <v>10</v>
      </c>
      <c r="Y68" s="1" t="s">
        <v>394</v>
      </c>
      <c r="Z68" s="5" t="s">
        <v>47</v>
      </c>
      <c r="AA68" s="5" t="s">
        <v>67</v>
      </c>
      <c r="AB68" s="5" t="s">
        <v>49</v>
      </c>
      <c r="AC68" s="5" t="s">
        <v>121</v>
      </c>
      <c r="AD68" s="5">
        <v>3</v>
      </c>
    </row>
    <row r="69" spans="1:30">
      <c r="A69" s="5" t="s">
        <v>395</v>
      </c>
      <c r="B69" s="1" t="s">
        <v>396</v>
      </c>
      <c r="C69" s="5" t="s">
        <v>397</v>
      </c>
      <c r="D69" s="5" t="s">
        <v>398</v>
      </c>
      <c r="E69" s="5" t="s">
        <v>35</v>
      </c>
      <c r="F69" s="5" t="s">
        <v>156</v>
      </c>
      <c r="G69" s="5" t="s">
        <v>157</v>
      </c>
      <c r="H69" s="5" t="s">
        <v>171</v>
      </c>
      <c r="I69" s="5" t="s">
        <v>39</v>
      </c>
      <c r="J69" s="5" t="s">
        <v>40</v>
      </c>
      <c r="K69" s="5">
        <v>10</v>
      </c>
      <c r="L69" s="5">
        <v>22000</v>
      </c>
      <c r="M69" s="5">
        <v>0.2</v>
      </c>
      <c r="N69" s="5">
        <v>176000</v>
      </c>
      <c r="O69" s="5">
        <v>107279.03999999999</v>
      </c>
      <c r="P69" s="5">
        <v>68720.960000000006</v>
      </c>
      <c r="Q69" s="5">
        <v>39.049999999999997</v>
      </c>
      <c r="R69" s="5" t="s">
        <v>73</v>
      </c>
      <c r="S69" s="5" t="s">
        <v>74</v>
      </c>
      <c r="T69" s="5" t="s">
        <v>159</v>
      </c>
      <c r="U69" s="5" t="s">
        <v>198</v>
      </c>
      <c r="V69" s="5">
        <v>2025</v>
      </c>
      <c r="W69" s="5" t="s">
        <v>194</v>
      </c>
      <c r="X69" s="5">
        <v>5</v>
      </c>
      <c r="Y69" s="1" t="s">
        <v>399</v>
      </c>
      <c r="Z69" s="5" t="s">
        <v>47</v>
      </c>
      <c r="AA69" s="5" t="s">
        <v>67</v>
      </c>
      <c r="AB69" s="5" t="s">
        <v>78</v>
      </c>
      <c r="AC69" s="5" t="s">
        <v>121</v>
      </c>
      <c r="AD69" s="5">
        <v>1</v>
      </c>
    </row>
    <row r="70" spans="1:30">
      <c r="A70" s="5" t="s">
        <v>400</v>
      </c>
      <c r="B70" s="1" t="s">
        <v>401</v>
      </c>
      <c r="C70" s="5" t="s">
        <v>402</v>
      </c>
      <c r="D70" s="5" t="s">
        <v>403</v>
      </c>
      <c r="E70" s="5" t="s">
        <v>55</v>
      </c>
      <c r="F70" s="5" t="s">
        <v>56</v>
      </c>
      <c r="G70" s="5" t="s">
        <v>57</v>
      </c>
      <c r="H70" s="5" t="s">
        <v>58</v>
      </c>
      <c r="I70" s="5" t="s">
        <v>71</v>
      </c>
      <c r="J70" s="5" t="s">
        <v>117</v>
      </c>
      <c r="K70" s="5">
        <v>3</v>
      </c>
      <c r="L70" s="5">
        <v>2500</v>
      </c>
      <c r="M70" s="5">
        <v>0.2</v>
      </c>
      <c r="N70" s="5">
        <v>6000</v>
      </c>
      <c r="O70" s="5">
        <v>4205.13</v>
      </c>
      <c r="P70" s="5">
        <v>1794.87</v>
      </c>
      <c r="Q70" s="5">
        <v>29.91</v>
      </c>
      <c r="R70" s="5" t="s">
        <v>166</v>
      </c>
      <c r="S70" s="5" t="s">
        <v>74</v>
      </c>
      <c r="T70" s="5" t="s">
        <v>138</v>
      </c>
      <c r="U70" s="5" t="s">
        <v>64</v>
      </c>
      <c r="V70" s="5">
        <v>2025</v>
      </c>
      <c r="W70" s="5" t="s">
        <v>45</v>
      </c>
      <c r="X70" s="5">
        <v>4</v>
      </c>
      <c r="Y70" s="1" t="s">
        <v>136</v>
      </c>
      <c r="Z70" s="5" t="s">
        <v>89</v>
      </c>
      <c r="AA70" s="5" t="s">
        <v>90</v>
      </c>
      <c r="AB70" s="5" t="s">
        <v>78</v>
      </c>
      <c r="AC70" s="5" t="s">
        <v>50</v>
      </c>
      <c r="AD70" s="5">
        <v>5</v>
      </c>
    </row>
    <row r="71" spans="1:30">
      <c r="A71" s="5" t="s">
        <v>404</v>
      </c>
      <c r="B71" s="1" t="s">
        <v>405</v>
      </c>
      <c r="C71" s="5" t="s">
        <v>406</v>
      </c>
      <c r="D71" s="5" t="s">
        <v>228</v>
      </c>
      <c r="E71" s="5" t="s">
        <v>35</v>
      </c>
      <c r="F71" s="5" t="s">
        <v>156</v>
      </c>
      <c r="G71" s="5" t="s">
        <v>157</v>
      </c>
      <c r="H71" s="5" t="s">
        <v>38</v>
      </c>
      <c r="I71" s="5" t="s">
        <v>71</v>
      </c>
      <c r="J71" s="5" t="s">
        <v>240</v>
      </c>
      <c r="K71" s="5">
        <v>2</v>
      </c>
      <c r="L71" s="5">
        <v>2500</v>
      </c>
      <c r="M71" s="5">
        <v>0</v>
      </c>
      <c r="N71" s="5">
        <v>5000</v>
      </c>
      <c r="O71" s="5">
        <v>3371.13</v>
      </c>
      <c r="P71" s="5">
        <v>1628.87</v>
      </c>
      <c r="Q71" s="5">
        <v>32.58</v>
      </c>
      <c r="R71" s="5" t="s">
        <v>166</v>
      </c>
      <c r="S71" s="5" t="s">
        <v>42</v>
      </c>
      <c r="T71" s="5" t="s">
        <v>75</v>
      </c>
      <c r="U71" s="5" t="s">
        <v>198</v>
      </c>
      <c r="V71" s="5">
        <v>2024</v>
      </c>
      <c r="W71" s="5" t="s">
        <v>139</v>
      </c>
      <c r="X71" s="5">
        <v>3</v>
      </c>
      <c r="Y71" s="1">
        <v>45303</v>
      </c>
      <c r="Z71" s="5" t="s">
        <v>89</v>
      </c>
      <c r="AA71" s="5" t="s">
        <v>48</v>
      </c>
      <c r="AB71" s="5" t="s">
        <v>49</v>
      </c>
      <c r="AC71" s="5" t="s">
        <v>50</v>
      </c>
      <c r="AD71" s="5">
        <v>3</v>
      </c>
    </row>
    <row r="72" spans="1:30">
      <c r="A72" s="5" t="s">
        <v>407</v>
      </c>
      <c r="B72" s="1">
        <v>45940</v>
      </c>
      <c r="C72" s="5" t="s">
        <v>408</v>
      </c>
      <c r="D72" s="5" t="s">
        <v>409</v>
      </c>
      <c r="E72" s="5" t="s">
        <v>103</v>
      </c>
      <c r="F72" s="5" t="s">
        <v>82</v>
      </c>
      <c r="G72" s="5" t="s">
        <v>83</v>
      </c>
      <c r="H72" s="5" t="s">
        <v>38</v>
      </c>
      <c r="I72" s="5" t="s">
        <v>95</v>
      </c>
      <c r="J72" s="5" t="s">
        <v>184</v>
      </c>
      <c r="K72" s="5">
        <v>3</v>
      </c>
      <c r="L72" s="5">
        <v>2500</v>
      </c>
      <c r="M72" s="5">
        <v>0.2</v>
      </c>
      <c r="N72" s="5">
        <v>6000</v>
      </c>
      <c r="O72" s="5">
        <v>4126.12</v>
      </c>
      <c r="P72" s="5">
        <v>1873.88</v>
      </c>
      <c r="Q72" s="5">
        <v>31.23</v>
      </c>
      <c r="R72" s="5" t="s">
        <v>73</v>
      </c>
      <c r="S72" s="5" t="s">
        <v>74</v>
      </c>
      <c r="T72" s="5" t="s">
        <v>118</v>
      </c>
      <c r="U72" s="5" t="s">
        <v>87</v>
      </c>
      <c r="V72" s="5">
        <v>2025</v>
      </c>
      <c r="W72" s="5" t="s">
        <v>194</v>
      </c>
      <c r="X72" s="5">
        <v>2</v>
      </c>
      <c r="Y72" s="1">
        <v>46001</v>
      </c>
      <c r="Z72" s="5" t="s">
        <v>89</v>
      </c>
      <c r="AA72" s="5" t="s">
        <v>67</v>
      </c>
      <c r="AB72" s="5" t="s">
        <v>49</v>
      </c>
      <c r="AC72" s="5" t="s">
        <v>121</v>
      </c>
      <c r="AD72" s="5">
        <v>5</v>
      </c>
    </row>
    <row r="73" spans="1:30">
      <c r="A73" s="5" t="s">
        <v>410</v>
      </c>
      <c r="B73" s="1" t="s">
        <v>411</v>
      </c>
      <c r="C73" s="5" t="s">
        <v>412</v>
      </c>
      <c r="D73" s="5" t="s">
        <v>413</v>
      </c>
      <c r="E73" s="5" t="s">
        <v>103</v>
      </c>
      <c r="F73" s="5" t="s">
        <v>245</v>
      </c>
      <c r="G73" s="5" t="s">
        <v>246</v>
      </c>
      <c r="H73" s="5" t="s">
        <v>171</v>
      </c>
      <c r="I73" s="5" t="s">
        <v>39</v>
      </c>
      <c r="J73" s="5" t="s">
        <v>105</v>
      </c>
      <c r="K73" s="5">
        <v>8</v>
      </c>
      <c r="L73" s="5">
        <v>22000</v>
      </c>
      <c r="M73" s="5">
        <v>0.2</v>
      </c>
      <c r="N73" s="5">
        <v>140800</v>
      </c>
      <c r="O73" s="5">
        <v>101883.98</v>
      </c>
      <c r="P73" s="5">
        <v>38916.019999999997</v>
      </c>
      <c r="Q73" s="5">
        <v>27.64</v>
      </c>
      <c r="R73" s="5" t="s">
        <v>73</v>
      </c>
      <c r="S73" s="5" t="s">
        <v>62</v>
      </c>
      <c r="T73" s="5" t="s">
        <v>173</v>
      </c>
      <c r="U73" s="5" t="s">
        <v>218</v>
      </c>
      <c r="V73" s="5">
        <v>2025</v>
      </c>
      <c r="W73" s="5" t="s">
        <v>65</v>
      </c>
      <c r="X73" s="5">
        <v>8</v>
      </c>
      <c r="Y73" s="1" t="s">
        <v>414</v>
      </c>
      <c r="Z73" s="5" t="s">
        <v>89</v>
      </c>
      <c r="AA73" s="5" t="s">
        <v>67</v>
      </c>
      <c r="AB73" s="5" t="s">
        <v>78</v>
      </c>
      <c r="AC73" s="5" t="s">
        <v>50</v>
      </c>
      <c r="AD73" s="5">
        <v>3</v>
      </c>
    </row>
    <row r="74" spans="1:30">
      <c r="A74" s="5" t="s">
        <v>415</v>
      </c>
      <c r="B74" s="1" t="s">
        <v>416</v>
      </c>
      <c r="C74" s="5" t="s">
        <v>417</v>
      </c>
      <c r="D74" s="5" t="s">
        <v>418</v>
      </c>
      <c r="E74" s="5" t="s">
        <v>35</v>
      </c>
      <c r="F74" s="5" t="s">
        <v>144</v>
      </c>
      <c r="G74" s="5" t="s">
        <v>145</v>
      </c>
      <c r="H74" s="5" t="s">
        <v>94</v>
      </c>
      <c r="I74" s="5" t="s">
        <v>39</v>
      </c>
      <c r="J74" s="5" t="s">
        <v>40</v>
      </c>
      <c r="K74" s="5">
        <v>9</v>
      </c>
      <c r="L74" s="5">
        <v>8000</v>
      </c>
      <c r="M74" s="5">
        <v>0.1</v>
      </c>
      <c r="N74" s="5">
        <v>64800</v>
      </c>
      <c r="O74" s="5">
        <v>36635.35</v>
      </c>
      <c r="P74" s="5">
        <v>28164.65</v>
      </c>
      <c r="Q74" s="5">
        <v>43.46</v>
      </c>
      <c r="R74" s="5" t="s">
        <v>166</v>
      </c>
      <c r="S74" s="5" t="s">
        <v>42</v>
      </c>
      <c r="T74" s="5" t="s">
        <v>107</v>
      </c>
      <c r="U74" s="5" t="s">
        <v>44</v>
      </c>
      <c r="V74" s="5">
        <v>2025</v>
      </c>
      <c r="W74" s="5" t="s">
        <v>139</v>
      </c>
      <c r="X74" s="5">
        <v>8</v>
      </c>
      <c r="Y74" s="1" t="s">
        <v>419</v>
      </c>
      <c r="Z74" s="5" t="s">
        <v>47</v>
      </c>
      <c r="AA74" s="5" t="s">
        <v>48</v>
      </c>
      <c r="AB74" s="5" t="s">
        <v>49</v>
      </c>
      <c r="AC74" s="5" t="s">
        <v>50</v>
      </c>
      <c r="AD74" s="5">
        <v>5</v>
      </c>
    </row>
    <row r="75" spans="1:30">
      <c r="A75" s="5" t="s">
        <v>420</v>
      </c>
      <c r="B75" s="1">
        <v>45385</v>
      </c>
      <c r="C75" s="5" t="s">
        <v>421</v>
      </c>
      <c r="D75" s="5" t="s">
        <v>422</v>
      </c>
      <c r="E75" s="5" t="s">
        <v>103</v>
      </c>
      <c r="F75" s="5" t="s">
        <v>149</v>
      </c>
      <c r="G75" s="5" t="s">
        <v>150</v>
      </c>
      <c r="H75" s="5" t="s">
        <v>38</v>
      </c>
      <c r="I75" s="5" t="s">
        <v>84</v>
      </c>
      <c r="J75" s="5" t="s">
        <v>217</v>
      </c>
      <c r="K75" s="5">
        <v>8</v>
      </c>
      <c r="L75" s="5">
        <v>800</v>
      </c>
      <c r="M75" s="5">
        <v>0.05</v>
      </c>
      <c r="N75" s="5">
        <v>6080</v>
      </c>
      <c r="O75" s="5">
        <v>4675.28</v>
      </c>
      <c r="P75" s="5">
        <v>1404.72</v>
      </c>
      <c r="Q75" s="5">
        <v>23.1</v>
      </c>
      <c r="R75" s="5" t="s">
        <v>106</v>
      </c>
      <c r="S75" s="5" t="s">
        <v>74</v>
      </c>
      <c r="T75" s="5" t="s">
        <v>138</v>
      </c>
      <c r="U75" s="5" t="s">
        <v>178</v>
      </c>
      <c r="V75" s="5">
        <v>2024</v>
      </c>
      <c r="W75" s="5" t="s">
        <v>126</v>
      </c>
      <c r="X75" s="5">
        <v>8</v>
      </c>
      <c r="Y75" s="1">
        <v>45629</v>
      </c>
      <c r="Z75" s="5" t="s">
        <v>47</v>
      </c>
      <c r="AA75" s="5" t="s">
        <v>67</v>
      </c>
      <c r="AB75" s="5" t="s">
        <v>111</v>
      </c>
      <c r="AC75" s="5" t="s">
        <v>121</v>
      </c>
      <c r="AD75" s="5">
        <v>3</v>
      </c>
    </row>
    <row r="76" spans="1:30">
      <c r="A76" s="5" t="s">
        <v>423</v>
      </c>
      <c r="B76" s="1" t="s">
        <v>424</v>
      </c>
      <c r="C76" s="5" t="s">
        <v>425</v>
      </c>
      <c r="D76" s="5" t="s">
        <v>426</v>
      </c>
      <c r="E76" s="5" t="s">
        <v>55</v>
      </c>
      <c r="F76" s="5" t="s">
        <v>82</v>
      </c>
      <c r="G76" s="5" t="s">
        <v>83</v>
      </c>
      <c r="H76" s="5" t="s">
        <v>38</v>
      </c>
      <c r="I76" s="5" t="s">
        <v>84</v>
      </c>
      <c r="J76" s="5" t="s">
        <v>290</v>
      </c>
      <c r="K76" s="5">
        <v>7</v>
      </c>
      <c r="L76" s="5">
        <v>350</v>
      </c>
      <c r="M76" s="5">
        <v>0.2</v>
      </c>
      <c r="N76" s="5">
        <v>1960</v>
      </c>
      <c r="O76" s="5">
        <v>1252.47</v>
      </c>
      <c r="P76" s="5">
        <v>707.53</v>
      </c>
      <c r="Q76" s="5">
        <v>36.1</v>
      </c>
      <c r="R76" s="5" t="s">
        <v>61</v>
      </c>
      <c r="S76" s="5" t="s">
        <v>74</v>
      </c>
      <c r="T76" s="5" t="s">
        <v>63</v>
      </c>
      <c r="U76" s="5" t="s">
        <v>98</v>
      </c>
      <c r="V76" s="5">
        <v>2024</v>
      </c>
      <c r="W76" s="5" t="s">
        <v>194</v>
      </c>
      <c r="X76" s="5">
        <v>6</v>
      </c>
      <c r="Y76" s="1" t="s">
        <v>427</v>
      </c>
      <c r="Z76" s="5" t="s">
        <v>47</v>
      </c>
      <c r="AA76" s="5" t="s">
        <v>48</v>
      </c>
      <c r="AB76" s="5" t="s">
        <v>49</v>
      </c>
      <c r="AC76" s="5" t="s">
        <v>50</v>
      </c>
      <c r="AD76" s="5">
        <v>3</v>
      </c>
    </row>
    <row r="77" spans="1:30">
      <c r="A77" s="5" t="s">
        <v>428</v>
      </c>
      <c r="B77" s="1" t="s">
        <v>429</v>
      </c>
      <c r="C77" s="5" t="s">
        <v>430</v>
      </c>
      <c r="D77" s="5" t="s">
        <v>418</v>
      </c>
      <c r="E77" s="5" t="s">
        <v>103</v>
      </c>
      <c r="F77" s="5" t="s">
        <v>156</v>
      </c>
      <c r="G77" s="5" t="s">
        <v>157</v>
      </c>
      <c r="H77" s="5" t="s">
        <v>94</v>
      </c>
      <c r="I77" s="5" t="s">
        <v>95</v>
      </c>
      <c r="J77" s="5" t="s">
        <v>96</v>
      </c>
      <c r="K77" s="5">
        <v>2</v>
      </c>
      <c r="L77" s="5">
        <v>6000</v>
      </c>
      <c r="M77" s="5">
        <v>0.2</v>
      </c>
      <c r="N77" s="5">
        <v>9600</v>
      </c>
      <c r="O77" s="5">
        <v>7016.94</v>
      </c>
      <c r="P77" s="5">
        <v>2583.06</v>
      </c>
      <c r="Q77" s="5">
        <v>26.91</v>
      </c>
      <c r="R77" s="5" t="s">
        <v>41</v>
      </c>
      <c r="S77" s="5" t="s">
        <v>62</v>
      </c>
      <c r="T77" s="5" t="s">
        <v>43</v>
      </c>
      <c r="U77" s="5" t="s">
        <v>76</v>
      </c>
      <c r="V77" s="5">
        <v>2025</v>
      </c>
      <c r="W77" s="5" t="s">
        <v>126</v>
      </c>
      <c r="X77" s="5">
        <v>6</v>
      </c>
      <c r="Y77" s="1" t="s">
        <v>431</v>
      </c>
      <c r="Z77" s="5" t="s">
        <v>47</v>
      </c>
      <c r="AA77" s="5" t="s">
        <v>67</v>
      </c>
      <c r="AB77" s="5" t="s">
        <v>78</v>
      </c>
      <c r="AC77" s="5" t="s">
        <v>121</v>
      </c>
      <c r="AD77" s="5">
        <v>2</v>
      </c>
    </row>
    <row r="78" spans="1:30">
      <c r="A78" s="5" t="s">
        <v>432</v>
      </c>
      <c r="B78" s="1" t="s">
        <v>433</v>
      </c>
      <c r="C78" s="5" t="s">
        <v>238</v>
      </c>
      <c r="D78" s="5" t="s">
        <v>434</v>
      </c>
      <c r="E78" s="5" t="s">
        <v>103</v>
      </c>
      <c r="F78" s="5" t="s">
        <v>82</v>
      </c>
      <c r="G78" s="5" t="s">
        <v>83</v>
      </c>
      <c r="H78" s="5" t="s">
        <v>171</v>
      </c>
      <c r="I78" s="5" t="s">
        <v>71</v>
      </c>
      <c r="J78" s="5" t="s">
        <v>117</v>
      </c>
      <c r="K78" s="5">
        <v>4</v>
      </c>
      <c r="L78" s="5">
        <v>1200</v>
      </c>
      <c r="M78" s="5">
        <v>0.05</v>
      </c>
      <c r="N78" s="5">
        <v>4560</v>
      </c>
      <c r="O78" s="5">
        <v>3133.07</v>
      </c>
      <c r="P78" s="5">
        <v>1426.93</v>
      </c>
      <c r="Q78" s="5">
        <v>31.29</v>
      </c>
      <c r="R78" s="5" t="s">
        <v>41</v>
      </c>
      <c r="S78" s="5" t="s">
        <v>74</v>
      </c>
      <c r="T78" s="5" t="s">
        <v>63</v>
      </c>
      <c r="U78" s="5" t="s">
        <v>178</v>
      </c>
      <c r="V78" s="5">
        <v>2024</v>
      </c>
      <c r="W78" s="5" t="s">
        <v>134</v>
      </c>
      <c r="X78" s="5">
        <v>5</v>
      </c>
      <c r="Y78" s="1" t="s">
        <v>435</v>
      </c>
      <c r="Z78" s="5" t="s">
        <v>47</v>
      </c>
      <c r="AA78" s="5" t="s">
        <v>67</v>
      </c>
      <c r="AB78" s="5" t="s">
        <v>49</v>
      </c>
      <c r="AC78" s="5" t="s">
        <v>121</v>
      </c>
      <c r="AD78" s="5">
        <v>2</v>
      </c>
    </row>
    <row r="79" spans="1:30">
      <c r="A79" s="5" t="s">
        <v>436</v>
      </c>
      <c r="B79" s="1" t="s">
        <v>437</v>
      </c>
      <c r="C79" s="5" t="s">
        <v>438</v>
      </c>
      <c r="D79" s="5" t="s">
        <v>439</v>
      </c>
      <c r="E79" s="5" t="s">
        <v>35</v>
      </c>
      <c r="F79" s="5" t="s">
        <v>144</v>
      </c>
      <c r="G79" s="5" t="s">
        <v>145</v>
      </c>
      <c r="H79" s="5" t="s">
        <v>171</v>
      </c>
      <c r="I79" s="5" t="s">
        <v>95</v>
      </c>
      <c r="J79" s="5" t="s">
        <v>440</v>
      </c>
      <c r="K79" s="5">
        <v>1</v>
      </c>
      <c r="L79" s="5">
        <v>9000</v>
      </c>
      <c r="M79" s="5">
        <v>0.1</v>
      </c>
      <c r="N79" s="5">
        <v>8100</v>
      </c>
      <c r="O79" s="5">
        <v>5790.37</v>
      </c>
      <c r="P79" s="5">
        <v>2309.63</v>
      </c>
      <c r="Q79" s="5">
        <v>28.51</v>
      </c>
      <c r="R79" s="5" t="s">
        <v>166</v>
      </c>
      <c r="S79" s="5" t="s">
        <v>74</v>
      </c>
      <c r="T79" s="5" t="s">
        <v>97</v>
      </c>
      <c r="U79" s="5" t="s">
        <v>198</v>
      </c>
      <c r="V79" s="5">
        <v>2025</v>
      </c>
      <c r="W79" s="5" t="s">
        <v>45</v>
      </c>
      <c r="X79" s="5">
        <v>4</v>
      </c>
      <c r="Y79" s="1" t="s">
        <v>441</v>
      </c>
      <c r="Z79" s="5" t="s">
        <v>110</v>
      </c>
      <c r="AA79" s="5" t="s">
        <v>48</v>
      </c>
      <c r="AB79" s="5" t="s">
        <v>111</v>
      </c>
      <c r="AC79" s="5" t="s">
        <v>50</v>
      </c>
      <c r="AD79" s="5">
        <v>4</v>
      </c>
    </row>
    <row r="80" spans="1:30">
      <c r="A80" s="5" t="s">
        <v>442</v>
      </c>
      <c r="B80" s="1" t="s">
        <v>443</v>
      </c>
      <c r="C80" s="5" t="s">
        <v>444</v>
      </c>
      <c r="D80" s="5" t="s">
        <v>313</v>
      </c>
      <c r="E80" s="5" t="s">
        <v>55</v>
      </c>
      <c r="F80" s="5" t="s">
        <v>116</v>
      </c>
      <c r="G80" s="5" t="s">
        <v>37</v>
      </c>
      <c r="H80" s="5" t="s">
        <v>58</v>
      </c>
      <c r="I80" s="5" t="s">
        <v>71</v>
      </c>
      <c r="J80" s="5" t="s">
        <v>172</v>
      </c>
      <c r="K80" s="5">
        <v>9</v>
      </c>
      <c r="L80" s="5">
        <v>2500</v>
      </c>
      <c r="M80" s="5">
        <v>0.05</v>
      </c>
      <c r="N80" s="5">
        <v>21375</v>
      </c>
      <c r="O80" s="5">
        <v>16794.560000000001</v>
      </c>
      <c r="P80" s="5">
        <v>4580.4399999999996</v>
      </c>
      <c r="Q80" s="5">
        <v>21.43</v>
      </c>
      <c r="R80" s="5" t="s">
        <v>41</v>
      </c>
      <c r="S80" s="5" t="s">
        <v>74</v>
      </c>
      <c r="T80" s="5" t="s">
        <v>159</v>
      </c>
      <c r="U80" s="5" t="s">
        <v>151</v>
      </c>
      <c r="V80" s="5">
        <v>2024</v>
      </c>
      <c r="W80" s="5" t="s">
        <v>109</v>
      </c>
      <c r="X80" s="5">
        <v>10</v>
      </c>
      <c r="Y80" s="1">
        <v>45330</v>
      </c>
      <c r="Z80" s="5" t="s">
        <v>47</v>
      </c>
      <c r="AA80" s="5" t="s">
        <v>90</v>
      </c>
      <c r="AB80" s="5" t="s">
        <v>49</v>
      </c>
      <c r="AC80" s="5" t="s">
        <v>50</v>
      </c>
      <c r="AD80" s="5">
        <v>4</v>
      </c>
    </row>
    <row r="81" spans="1:30">
      <c r="A81" s="5" t="s">
        <v>445</v>
      </c>
      <c r="B81" s="1" t="s">
        <v>446</v>
      </c>
      <c r="C81" s="5" t="s">
        <v>447</v>
      </c>
      <c r="D81" s="5" t="s">
        <v>448</v>
      </c>
      <c r="E81" s="5" t="s">
        <v>55</v>
      </c>
      <c r="F81" s="5" t="s">
        <v>131</v>
      </c>
      <c r="G81" s="5" t="s">
        <v>132</v>
      </c>
      <c r="H81" s="5" t="s">
        <v>58</v>
      </c>
      <c r="I81" s="5" t="s">
        <v>95</v>
      </c>
      <c r="J81" s="5" t="s">
        <v>440</v>
      </c>
      <c r="K81" s="5">
        <v>2</v>
      </c>
      <c r="L81" s="5">
        <v>4000</v>
      </c>
      <c r="M81" s="5">
        <v>0.15</v>
      </c>
      <c r="N81" s="5">
        <v>6800</v>
      </c>
      <c r="O81" s="5">
        <v>3837.78</v>
      </c>
      <c r="P81" s="5">
        <v>2962.22</v>
      </c>
      <c r="Q81" s="5">
        <v>43.56</v>
      </c>
      <c r="R81" s="5" t="s">
        <v>61</v>
      </c>
      <c r="S81" s="5" t="s">
        <v>74</v>
      </c>
      <c r="T81" s="5" t="s">
        <v>43</v>
      </c>
      <c r="U81" s="5" t="s">
        <v>64</v>
      </c>
      <c r="V81" s="5">
        <v>2024</v>
      </c>
      <c r="W81" s="5" t="s">
        <v>126</v>
      </c>
      <c r="X81" s="5">
        <v>1</v>
      </c>
      <c r="Y81" s="1" t="s">
        <v>385</v>
      </c>
      <c r="Z81" s="5" t="s">
        <v>110</v>
      </c>
      <c r="AA81" s="5" t="s">
        <v>67</v>
      </c>
      <c r="AB81" s="5" t="s">
        <v>49</v>
      </c>
      <c r="AC81" s="5" t="s">
        <v>50</v>
      </c>
      <c r="AD81" s="5">
        <v>2</v>
      </c>
    </row>
    <row r="82" spans="1:30">
      <c r="A82" s="5" t="s">
        <v>449</v>
      </c>
      <c r="B82" s="1" t="s">
        <v>450</v>
      </c>
      <c r="C82" s="5" t="s">
        <v>124</v>
      </c>
      <c r="D82" s="5" t="s">
        <v>451</v>
      </c>
      <c r="E82" s="5" t="s">
        <v>35</v>
      </c>
      <c r="F82" s="5" t="s">
        <v>245</v>
      </c>
      <c r="G82" s="5" t="s">
        <v>246</v>
      </c>
      <c r="H82" s="5" t="s">
        <v>38</v>
      </c>
      <c r="I82" s="5" t="s">
        <v>39</v>
      </c>
      <c r="J82" s="5" t="s">
        <v>40</v>
      </c>
      <c r="K82" s="5">
        <v>8</v>
      </c>
      <c r="L82" s="5">
        <v>50000</v>
      </c>
      <c r="M82" s="5">
        <v>0.05</v>
      </c>
      <c r="N82" s="5">
        <v>380000</v>
      </c>
      <c r="O82" s="5">
        <v>272134.73</v>
      </c>
      <c r="P82" s="5">
        <v>107865.27</v>
      </c>
      <c r="Q82" s="5">
        <v>28.39</v>
      </c>
      <c r="R82" s="5" t="s">
        <v>41</v>
      </c>
      <c r="S82" s="5" t="s">
        <v>42</v>
      </c>
      <c r="T82" s="5" t="s">
        <v>63</v>
      </c>
      <c r="U82" s="5" t="s">
        <v>64</v>
      </c>
      <c r="V82" s="5">
        <v>2025</v>
      </c>
      <c r="W82" s="5" t="s">
        <v>109</v>
      </c>
      <c r="X82" s="5">
        <v>8</v>
      </c>
      <c r="Y82" s="1" t="s">
        <v>128</v>
      </c>
      <c r="Z82" s="5" t="s">
        <v>110</v>
      </c>
      <c r="AA82" s="5" t="s">
        <v>48</v>
      </c>
      <c r="AB82" s="5" t="s">
        <v>78</v>
      </c>
      <c r="AC82" s="5" t="s">
        <v>121</v>
      </c>
      <c r="AD82" s="5">
        <v>3</v>
      </c>
    </row>
    <row r="83" spans="1:30">
      <c r="A83" s="5" t="s">
        <v>452</v>
      </c>
      <c r="B83" s="1" t="s">
        <v>453</v>
      </c>
      <c r="C83" s="5" t="s">
        <v>454</v>
      </c>
      <c r="D83" s="5" t="s">
        <v>455</v>
      </c>
      <c r="E83" s="5" t="s">
        <v>35</v>
      </c>
      <c r="F83" s="5" t="s">
        <v>149</v>
      </c>
      <c r="G83" s="5" t="s">
        <v>150</v>
      </c>
      <c r="H83" s="5" t="s">
        <v>38</v>
      </c>
      <c r="I83" s="5" t="s">
        <v>84</v>
      </c>
      <c r="J83" s="5" t="s">
        <v>390</v>
      </c>
      <c r="K83" s="5">
        <v>1</v>
      </c>
      <c r="L83" s="5">
        <v>200</v>
      </c>
      <c r="M83" s="5">
        <v>0.15</v>
      </c>
      <c r="N83" s="5">
        <v>170</v>
      </c>
      <c r="O83" s="5">
        <v>96.38</v>
      </c>
      <c r="P83" s="5">
        <v>73.62</v>
      </c>
      <c r="Q83" s="5">
        <v>43.31</v>
      </c>
      <c r="R83" s="5" t="s">
        <v>73</v>
      </c>
      <c r="S83" s="5" t="s">
        <v>62</v>
      </c>
      <c r="T83" s="5" t="s">
        <v>75</v>
      </c>
      <c r="U83" s="5" t="s">
        <v>87</v>
      </c>
      <c r="V83" s="5">
        <v>2025</v>
      </c>
      <c r="W83" s="5" t="s">
        <v>139</v>
      </c>
      <c r="X83" s="5">
        <v>10</v>
      </c>
      <c r="Y83" s="1" t="s">
        <v>456</v>
      </c>
      <c r="Z83" s="5" t="s">
        <v>110</v>
      </c>
      <c r="AA83" s="5" t="s">
        <v>90</v>
      </c>
      <c r="AB83" s="5" t="s">
        <v>111</v>
      </c>
      <c r="AC83" s="5" t="s">
        <v>50</v>
      </c>
      <c r="AD83" s="5">
        <v>2</v>
      </c>
    </row>
    <row r="84" spans="1:30">
      <c r="A84" s="5" t="s">
        <v>457</v>
      </c>
      <c r="B84" s="1">
        <v>45568</v>
      </c>
      <c r="C84" s="5" t="s">
        <v>458</v>
      </c>
      <c r="D84" s="5" t="s">
        <v>459</v>
      </c>
      <c r="E84" s="5" t="s">
        <v>55</v>
      </c>
      <c r="F84" s="5" t="s">
        <v>144</v>
      </c>
      <c r="G84" s="5" t="s">
        <v>145</v>
      </c>
      <c r="H84" s="5" t="s">
        <v>94</v>
      </c>
      <c r="I84" s="5" t="s">
        <v>71</v>
      </c>
      <c r="J84" s="5" t="s">
        <v>117</v>
      </c>
      <c r="K84" s="5">
        <v>2</v>
      </c>
      <c r="L84" s="5">
        <v>3500</v>
      </c>
      <c r="M84" s="5">
        <v>0.1</v>
      </c>
      <c r="N84" s="5">
        <v>6300</v>
      </c>
      <c r="O84" s="5">
        <v>4327.96</v>
      </c>
      <c r="P84" s="5">
        <v>1972.04</v>
      </c>
      <c r="Q84" s="5">
        <v>31.3</v>
      </c>
      <c r="R84" s="5" t="s">
        <v>106</v>
      </c>
      <c r="S84" s="5" t="s">
        <v>42</v>
      </c>
      <c r="T84" s="5" t="s">
        <v>75</v>
      </c>
      <c r="U84" s="5" t="s">
        <v>178</v>
      </c>
      <c r="V84" s="5">
        <v>2024</v>
      </c>
      <c r="W84" s="5" t="s">
        <v>45</v>
      </c>
      <c r="X84" s="5">
        <v>9</v>
      </c>
      <c r="Y84" s="1" t="s">
        <v>460</v>
      </c>
      <c r="Z84" s="5" t="s">
        <v>89</v>
      </c>
      <c r="AA84" s="5" t="s">
        <v>67</v>
      </c>
      <c r="AB84" s="5" t="s">
        <v>78</v>
      </c>
      <c r="AC84" s="5" t="s">
        <v>121</v>
      </c>
      <c r="AD84" s="5">
        <v>3</v>
      </c>
    </row>
    <row r="85" spans="1:30">
      <c r="A85" s="5" t="s">
        <v>461</v>
      </c>
      <c r="B85" s="1" t="s">
        <v>462</v>
      </c>
      <c r="C85" s="5" t="s">
        <v>463</v>
      </c>
      <c r="D85" s="5" t="s">
        <v>464</v>
      </c>
      <c r="E85" s="5" t="s">
        <v>103</v>
      </c>
      <c r="F85" s="5" t="s">
        <v>36</v>
      </c>
      <c r="G85" s="5" t="s">
        <v>37</v>
      </c>
      <c r="H85" s="5" t="s">
        <v>94</v>
      </c>
      <c r="I85" s="5" t="s">
        <v>84</v>
      </c>
      <c r="J85" s="5" t="s">
        <v>85</v>
      </c>
      <c r="K85" s="5">
        <v>2</v>
      </c>
      <c r="L85" s="5">
        <v>800</v>
      </c>
      <c r="M85" s="5">
        <v>0.1</v>
      </c>
      <c r="N85" s="5">
        <v>1440</v>
      </c>
      <c r="O85" s="5">
        <v>1004.29</v>
      </c>
      <c r="P85" s="5">
        <v>435.71</v>
      </c>
      <c r="Q85" s="5">
        <v>30.26</v>
      </c>
      <c r="R85" s="5" t="s">
        <v>166</v>
      </c>
      <c r="S85" s="5" t="s">
        <v>42</v>
      </c>
      <c r="T85" s="5" t="s">
        <v>118</v>
      </c>
      <c r="U85" s="5" t="s">
        <v>119</v>
      </c>
      <c r="V85" s="5">
        <v>2024</v>
      </c>
      <c r="W85" s="5" t="s">
        <v>139</v>
      </c>
      <c r="X85" s="5">
        <v>1</v>
      </c>
      <c r="Y85" s="1" t="s">
        <v>465</v>
      </c>
      <c r="Z85" s="5" t="s">
        <v>47</v>
      </c>
      <c r="AA85" s="5" t="s">
        <v>90</v>
      </c>
      <c r="AB85" s="5" t="s">
        <v>49</v>
      </c>
      <c r="AC85" s="5" t="s">
        <v>50</v>
      </c>
      <c r="AD85" s="5">
        <v>1</v>
      </c>
    </row>
    <row r="86" spans="1:30">
      <c r="A86" s="5" t="s">
        <v>466</v>
      </c>
      <c r="B86" s="1" t="s">
        <v>467</v>
      </c>
      <c r="C86" s="5" t="s">
        <v>288</v>
      </c>
      <c r="D86" s="5" t="s">
        <v>468</v>
      </c>
      <c r="E86" s="5" t="s">
        <v>35</v>
      </c>
      <c r="F86" s="5" t="s">
        <v>116</v>
      </c>
      <c r="G86" s="5" t="s">
        <v>37</v>
      </c>
      <c r="H86" s="5" t="s">
        <v>38</v>
      </c>
      <c r="I86" s="5" t="s">
        <v>95</v>
      </c>
      <c r="J86" s="5" t="s">
        <v>344</v>
      </c>
      <c r="K86" s="5">
        <v>4</v>
      </c>
      <c r="L86" s="5">
        <v>2500</v>
      </c>
      <c r="M86" s="5">
        <v>0.1</v>
      </c>
      <c r="N86" s="5">
        <v>9000</v>
      </c>
      <c r="O86" s="5">
        <v>7353.57</v>
      </c>
      <c r="P86" s="5">
        <v>1646.43</v>
      </c>
      <c r="Q86" s="5">
        <v>18.29</v>
      </c>
      <c r="R86" s="5" t="s">
        <v>61</v>
      </c>
      <c r="S86" s="5" t="s">
        <v>62</v>
      </c>
      <c r="T86" s="5" t="s">
        <v>43</v>
      </c>
      <c r="U86" s="5" t="s">
        <v>198</v>
      </c>
      <c r="V86" s="5">
        <v>2024</v>
      </c>
      <c r="W86" s="5" t="s">
        <v>134</v>
      </c>
      <c r="X86" s="5">
        <v>9</v>
      </c>
      <c r="Y86" s="1" t="s">
        <v>469</v>
      </c>
      <c r="Z86" s="5" t="s">
        <v>110</v>
      </c>
      <c r="AA86" s="5" t="s">
        <v>48</v>
      </c>
      <c r="AB86" s="5" t="s">
        <v>78</v>
      </c>
      <c r="AC86" s="5" t="s">
        <v>50</v>
      </c>
      <c r="AD86" s="5">
        <v>1</v>
      </c>
    </row>
    <row r="87" spans="1:30">
      <c r="A87" s="5" t="s">
        <v>470</v>
      </c>
      <c r="B87" s="1">
        <v>45572</v>
      </c>
      <c r="C87" s="5" t="s">
        <v>220</v>
      </c>
      <c r="D87" s="5" t="s">
        <v>225</v>
      </c>
      <c r="E87" s="5" t="s">
        <v>35</v>
      </c>
      <c r="F87" s="5" t="s">
        <v>82</v>
      </c>
      <c r="G87" s="5" t="s">
        <v>83</v>
      </c>
      <c r="H87" s="5" t="s">
        <v>94</v>
      </c>
      <c r="I87" s="5" t="s">
        <v>71</v>
      </c>
      <c r="J87" s="5" t="s">
        <v>158</v>
      </c>
      <c r="K87" s="5">
        <v>8</v>
      </c>
      <c r="L87" s="5">
        <v>2500</v>
      </c>
      <c r="M87" s="5">
        <v>0.1</v>
      </c>
      <c r="N87" s="5">
        <v>18000</v>
      </c>
      <c r="O87" s="5">
        <v>11685.31</v>
      </c>
      <c r="P87" s="5">
        <v>6314.69</v>
      </c>
      <c r="Q87" s="5">
        <v>35.08</v>
      </c>
      <c r="R87" s="5" t="s">
        <v>106</v>
      </c>
      <c r="S87" s="5" t="s">
        <v>62</v>
      </c>
      <c r="T87" s="5" t="s">
        <v>63</v>
      </c>
      <c r="U87" s="5" t="s">
        <v>151</v>
      </c>
      <c r="V87" s="5">
        <v>2024</v>
      </c>
      <c r="W87" s="5" t="s">
        <v>134</v>
      </c>
      <c r="X87" s="5">
        <v>8</v>
      </c>
      <c r="Y87" s="1" t="s">
        <v>471</v>
      </c>
      <c r="Z87" s="5" t="s">
        <v>110</v>
      </c>
      <c r="AA87" s="5" t="s">
        <v>90</v>
      </c>
      <c r="AB87" s="5" t="s">
        <v>111</v>
      </c>
      <c r="AC87" s="5" t="s">
        <v>50</v>
      </c>
      <c r="AD87" s="5">
        <v>3</v>
      </c>
    </row>
    <row r="88" spans="1:30">
      <c r="A88" s="5" t="s">
        <v>472</v>
      </c>
      <c r="B88" s="1">
        <v>45909</v>
      </c>
      <c r="C88" s="5" t="s">
        <v>473</v>
      </c>
      <c r="D88" s="5" t="s">
        <v>221</v>
      </c>
      <c r="E88" s="5" t="s">
        <v>103</v>
      </c>
      <c r="F88" s="5" t="s">
        <v>36</v>
      </c>
      <c r="G88" s="5" t="s">
        <v>37</v>
      </c>
      <c r="H88" s="5" t="s">
        <v>171</v>
      </c>
      <c r="I88" s="5" t="s">
        <v>39</v>
      </c>
      <c r="J88" s="5" t="s">
        <v>40</v>
      </c>
      <c r="K88" s="5">
        <v>5</v>
      </c>
      <c r="L88" s="5">
        <v>15000</v>
      </c>
      <c r="M88" s="5">
        <v>0.15</v>
      </c>
      <c r="N88" s="5">
        <v>63750</v>
      </c>
      <c r="O88" s="5">
        <v>46935.08</v>
      </c>
      <c r="P88" s="5">
        <v>16814.919999999998</v>
      </c>
      <c r="Q88" s="5">
        <v>26.38</v>
      </c>
      <c r="R88" s="5" t="s">
        <v>41</v>
      </c>
      <c r="S88" s="5" t="s">
        <v>62</v>
      </c>
      <c r="T88" s="5" t="s">
        <v>159</v>
      </c>
      <c r="U88" s="5" t="s">
        <v>108</v>
      </c>
      <c r="V88" s="5">
        <v>2025</v>
      </c>
      <c r="W88" s="5" t="s">
        <v>109</v>
      </c>
      <c r="X88" s="5">
        <v>7</v>
      </c>
      <c r="Y88" s="1" t="s">
        <v>474</v>
      </c>
      <c r="Z88" s="5" t="s">
        <v>47</v>
      </c>
      <c r="AA88" s="5" t="s">
        <v>48</v>
      </c>
      <c r="AB88" s="5" t="s">
        <v>49</v>
      </c>
      <c r="AC88" s="5" t="s">
        <v>121</v>
      </c>
      <c r="AD88" s="5">
        <v>4</v>
      </c>
    </row>
    <row r="89" spans="1:30">
      <c r="A89" s="5" t="s">
        <v>475</v>
      </c>
      <c r="B89" s="1" t="s">
        <v>476</v>
      </c>
      <c r="C89" s="5" t="s">
        <v>477</v>
      </c>
      <c r="D89" s="5" t="s">
        <v>478</v>
      </c>
      <c r="E89" s="5" t="s">
        <v>55</v>
      </c>
      <c r="F89" s="5" t="s">
        <v>82</v>
      </c>
      <c r="G89" s="5" t="s">
        <v>83</v>
      </c>
      <c r="H89" s="5" t="s">
        <v>58</v>
      </c>
      <c r="I89" s="5" t="s">
        <v>59</v>
      </c>
      <c r="J89" s="5" t="s">
        <v>206</v>
      </c>
      <c r="K89" s="5">
        <v>1</v>
      </c>
      <c r="L89" s="5">
        <v>800</v>
      </c>
      <c r="M89" s="5">
        <v>0.2</v>
      </c>
      <c r="N89" s="5">
        <v>640</v>
      </c>
      <c r="O89" s="5">
        <v>373.81</v>
      </c>
      <c r="P89" s="5">
        <v>266.19</v>
      </c>
      <c r="Q89" s="5">
        <v>41.59</v>
      </c>
      <c r="R89" s="5" t="s">
        <v>41</v>
      </c>
      <c r="S89" s="5" t="s">
        <v>74</v>
      </c>
      <c r="T89" s="5" t="s">
        <v>138</v>
      </c>
      <c r="U89" s="5" t="s">
        <v>198</v>
      </c>
      <c r="V89" s="5">
        <v>2025</v>
      </c>
      <c r="W89" s="5" t="s">
        <v>109</v>
      </c>
      <c r="X89" s="5">
        <v>8</v>
      </c>
      <c r="Y89" s="1">
        <v>45728</v>
      </c>
      <c r="Z89" s="5" t="s">
        <v>47</v>
      </c>
      <c r="AA89" s="5" t="s">
        <v>67</v>
      </c>
      <c r="AB89" s="5" t="s">
        <v>78</v>
      </c>
      <c r="AC89" s="5" t="s">
        <v>50</v>
      </c>
      <c r="AD89" s="5">
        <v>1</v>
      </c>
    </row>
    <row r="90" spans="1:30">
      <c r="A90" s="5" t="s">
        <v>479</v>
      </c>
      <c r="B90" s="1" t="s">
        <v>480</v>
      </c>
      <c r="C90" s="5" t="s">
        <v>481</v>
      </c>
      <c r="D90" s="5" t="s">
        <v>258</v>
      </c>
      <c r="E90" s="5" t="s">
        <v>103</v>
      </c>
      <c r="F90" s="5" t="s">
        <v>144</v>
      </c>
      <c r="G90" s="5" t="s">
        <v>145</v>
      </c>
      <c r="H90" s="5" t="s">
        <v>94</v>
      </c>
      <c r="I90" s="5" t="s">
        <v>95</v>
      </c>
      <c r="J90" s="5" t="s">
        <v>96</v>
      </c>
      <c r="K90" s="5">
        <v>6</v>
      </c>
      <c r="L90" s="5">
        <v>9000</v>
      </c>
      <c r="M90" s="5">
        <v>0.1</v>
      </c>
      <c r="N90" s="5">
        <v>48600</v>
      </c>
      <c r="O90" s="5">
        <v>39333.94</v>
      </c>
      <c r="P90" s="5">
        <v>9266.06</v>
      </c>
      <c r="Q90" s="5">
        <v>19.07</v>
      </c>
      <c r="R90" s="5" t="s">
        <v>41</v>
      </c>
      <c r="S90" s="5" t="s">
        <v>74</v>
      </c>
      <c r="T90" s="5" t="s">
        <v>159</v>
      </c>
      <c r="U90" s="5" t="s">
        <v>87</v>
      </c>
      <c r="V90" s="5">
        <v>2025</v>
      </c>
      <c r="W90" s="5" t="s">
        <v>126</v>
      </c>
      <c r="X90" s="5">
        <v>5</v>
      </c>
      <c r="Y90" s="1">
        <v>45668</v>
      </c>
      <c r="Z90" s="5" t="s">
        <v>47</v>
      </c>
      <c r="AA90" s="5" t="s">
        <v>67</v>
      </c>
      <c r="AB90" s="5" t="s">
        <v>111</v>
      </c>
      <c r="AC90" s="5" t="s">
        <v>50</v>
      </c>
      <c r="AD90" s="5">
        <v>2</v>
      </c>
    </row>
    <row r="91" spans="1:30">
      <c r="A91" s="5" t="s">
        <v>482</v>
      </c>
      <c r="B91" s="1" t="s">
        <v>483</v>
      </c>
      <c r="C91" s="5" t="s">
        <v>484</v>
      </c>
      <c r="D91" s="5" t="s">
        <v>485</v>
      </c>
      <c r="E91" s="5" t="s">
        <v>103</v>
      </c>
      <c r="F91" s="5" t="s">
        <v>144</v>
      </c>
      <c r="G91" s="5" t="s">
        <v>145</v>
      </c>
      <c r="H91" s="5" t="s">
        <v>171</v>
      </c>
      <c r="I91" s="5" t="s">
        <v>84</v>
      </c>
      <c r="J91" s="5" t="s">
        <v>290</v>
      </c>
      <c r="K91" s="5">
        <v>4</v>
      </c>
      <c r="L91" s="5">
        <v>100</v>
      </c>
      <c r="M91" s="5">
        <v>0.05</v>
      </c>
      <c r="N91" s="5">
        <v>380</v>
      </c>
      <c r="O91" s="5">
        <v>301.2</v>
      </c>
      <c r="P91" s="5">
        <v>78.8</v>
      </c>
      <c r="Q91" s="5">
        <v>20.74</v>
      </c>
      <c r="R91" s="5" t="s">
        <v>61</v>
      </c>
      <c r="S91" s="5" t="s">
        <v>42</v>
      </c>
      <c r="T91" s="5" t="s">
        <v>173</v>
      </c>
      <c r="U91" s="5" t="s">
        <v>178</v>
      </c>
      <c r="V91" s="5">
        <v>2024</v>
      </c>
      <c r="W91" s="5" t="s">
        <v>65</v>
      </c>
      <c r="X91" s="5">
        <v>8</v>
      </c>
      <c r="Y91" s="1" t="s">
        <v>486</v>
      </c>
      <c r="Z91" s="5" t="s">
        <v>47</v>
      </c>
      <c r="AA91" s="5" t="s">
        <v>48</v>
      </c>
      <c r="AB91" s="5" t="s">
        <v>111</v>
      </c>
      <c r="AC91" s="5" t="s">
        <v>50</v>
      </c>
      <c r="AD91" s="5">
        <v>3</v>
      </c>
    </row>
    <row r="92" spans="1:30">
      <c r="A92" s="5" t="s">
        <v>487</v>
      </c>
      <c r="B92" s="1" t="s">
        <v>488</v>
      </c>
      <c r="C92" s="5" t="s">
        <v>481</v>
      </c>
      <c r="D92" s="5" t="s">
        <v>361</v>
      </c>
      <c r="E92" s="5" t="s">
        <v>103</v>
      </c>
      <c r="F92" s="5" t="s">
        <v>245</v>
      </c>
      <c r="G92" s="5" t="s">
        <v>246</v>
      </c>
      <c r="H92" s="5" t="s">
        <v>171</v>
      </c>
      <c r="I92" s="5" t="s">
        <v>95</v>
      </c>
      <c r="J92" s="5" t="s">
        <v>184</v>
      </c>
      <c r="K92" s="5">
        <v>9</v>
      </c>
      <c r="L92" s="5">
        <v>4000</v>
      </c>
      <c r="M92" s="5">
        <v>0</v>
      </c>
      <c r="N92" s="5">
        <v>36000</v>
      </c>
      <c r="O92" s="5">
        <v>27482.43</v>
      </c>
      <c r="P92" s="5">
        <v>8517.57</v>
      </c>
      <c r="Q92" s="5">
        <v>23.66</v>
      </c>
      <c r="R92" s="5" t="s">
        <v>166</v>
      </c>
      <c r="S92" s="5" t="s">
        <v>42</v>
      </c>
      <c r="T92" s="5" t="s">
        <v>118</v>
      </c>
      <c r="U92" s="5" t="s">
        <v>151</v>
      </c>
      <c r="V92" s="5">
        <v>2024</v>
      </c>
      <c r="W92" s="5" t="s">
        <v>134</v>
      </c>
      <c r="X92" s="5">
        <v>3</v>
      </c>
      <c r="Y92" s="1" t="s">
        <v>489</v>
      </c>
      <c r="Z92" s="5" t="s">
        <v>47</v>
      </c>
      <c r="AA92" s="5" t="s">
        <v>48</v>
      </c>
      <c r="AB92" s="5" t="s">
        <v>49</v>
      </c>
      <c r="AC92" s="5" t="s">
        <v>121</v>
      </c>
      <c r="AD92" s="5">
        <v>3</v>
      </c>
    </row>
    <row r="93" spans="1:30">
      <c r="A93" s="5" t="s">
        <v>490</v>
      </c>
      <c r="B93" s="1" t="s">
        <v>483</v>
      </c>
      <c r="C93" s="5" t="s">
        <v>491</v>
      </c>
      <c r="D93" s="5" t="s">
        <v>393</v>
      </c>
      <c r="E93" s="5" t="s">
        <v>103</v>
      </c>
      <c r="F93" s="5" t="s">
        <v>156</v>
      </c>
      <c r="G93" s="5" t="s">
        <v>157</v>
      </c>
      <c r="H93" s="5" t="s">
        <v>171</v>
      </c>
      <c r="I93" s="5" t="s">
        <v>71</v>
      </c>
      <c r="J93" s="5" t="s">
        <v>172</v>
      </c>
      <c r="K93" s="5">
        <v>7</v>
      </c>
      <c r="L93" s="5">
        <v>2500</v>
      </c>
      <c r="M93" s="5">
        <v>0.2</v>
      </c>
      <c r="N93" s="5">
        <v>14000</v>
      </c>
      <c r="O93" s="5">
        <v>10128.040000000001</v>
      </c>
      <c r="P93" s="5">
        <v>3871.96</v>
      </c>
      <c r="Q93" s="5">
        <v>27.66</v>
      </c>
      <c r="R93" s="5" t="s">
        <v>73</v>
      </c>
      <c r="S93" s="5" t="s">
        <v>42</v>
      </c>
      <c r="T93" s="5" t="s">
        <v>63</v>
      </c>
      <c r="U93" s="5" t="s">
        <v>178</v>
      </c>
      <c r="V93" s="5">
        <v>2024</v>
      </c>
      <c r="W93" s="5" t="s">
        <v>65</v>
      </c>
      <c r="X93" s="5">
        <v>3</v>
      </c>
      <c r="Y93" s="1" t="s">
        <v>460</v>
      </c>
      <c r="Z93" s="5" t="s">
        <v>47</v>
      </c>
      <c r="AA93" s="5" t="s">
        <v>90</v>
      </c>
      <c r="AB93" s="5" t="s">
        <v>49</v>
      </c>
      <c r="AC93" s="5" t="s">
        <v>50</v>
      </c>
      <c r="AD93" s="5">
        <v>5</v>
      </c>
    </row>
    <row r="94" spans="1:30">
      <c r="A94" s="5" t="s">
        <v>492</v>
      </c>
      <c r="B94" s="1" t="s">
        <v>493</v>
      </c>
      <c r="C94" s="5" t="s">
        <v>220</v>
      </c>
      <c r="D94" s="5" t="s">
        <v>115</v>
      </c>
      <c r="E94" s="5" t="s">
        <v>35</v>
      </c>
      <c r="F94" s="5" t="s">
        <v>104</v>
      </c>
      <c r="G94" s="5" t="s">
        <v>104</v>
      </c>
      <c r="H94" s="5" t="s">
        <v>171</v>
      </c>
      <c r="I94" s="5" t="s">
        <v>39</v>
      </c>
      <c r="J94" s="5" t="s">
        <v>165</v>
      </c>
      <c r="K94" s="5">
        <v>3</v>
      </c>
      <c r="L94" s="5">
        <v>15000</v>
      </c>
      <c r="M94" s="5">
        <v>0.05</v>
      </c>
      <c r="N94" s="5">
        <v>42750</v>
      </c>
      <c r="O94" s="5">
        <v>27506.47</v>
      </c>
      <c r="P94" s="5">
        <v>15243.53</v>
      </c>
      <c r="Q94" s="5">
        <v>35.659999999999997</v>
      </c>
      <c r="R94" s="5" t="s">
        <v>73</v>
      </c>
      <c r="S94" s="5" t="s">
        <v>42</v>
      </c>
      <c r="T94" s="5" t="s">
        <v>107</v>
      </c>
      <c r="U94" s="5" t="s">
        <v>160</v>
      </c>
      <c r="V94" s="5">
        <v>2024</v>
      </c>
      <c r="W94" s="5" t="s">
        <v>194</v>
      </c>
      <c r="X94" s="5">
        <v>6</v>
      </c>
      <c r="Y94" s="1" t="s">
        <v>394</v>
      </c>
      <c r="Z94" s="5" t="s">
        <v>47</v>
      </c>
      <c r="AA94" s="5" t="s">
        <v>67</v>
      </c>
      <c r="AB94" s="5" t="s">
        <v>49</v>
      </c>
      <c r="AC94" s="5" t="s">
        <v>50</v>
      </c>
      <c r="AD94" s="5">
        <v>5</v>
      </c>
    </row>
    <row r="95" spans="1:30">
      <c r="A95" s="5" t="s">
        <v>494</v>
      </c>
      <c r="B95" s="1">
        <v>45449</v>
      </c>
      <c r="C95" s="5" t="s">
        <v>495</v>
      </c>
      <c r="D95" s="5" t="s">
        <v>413</v>
      </c>
      <c r="E95" s="5" t="s">
        <v>103</v>
      </c>
      <c r="F95" s="5" t="s">
        <v>131</v>
      </c>
      <c r="G95" s="5" t="s">
        <v>132</v>
      </c>
      <c r="H95" s="5" t="s">
        <v>58</v>
      </c>
      <c r="I95" s="5" t="s">
        <v>39</v>
      </c>
      <c r="J95" s="5" t="s">
        <v>165</v>
      </c>
      <c r="K95" s="5">
        <v>3</v>
      </c>
      <c r="L95" s="5">
        <v>35000</v>
      </c>
      <c r="M95" s="5">
        <v>0.2</v>
      </c>
      <c r="N95" s="5">
        <v>84000</v>
      </c>
      <c r="O95" s="5">
        <v>62543.95</v>
      </c>
      <c r="P95" s="5">
        <v>21456.05</v>
      </c>
      <c r="Q95" s="5">
        <v>25.54</v>
      </c>
      <c r="R95" s="5" t="s">
        <v>106</v>
      </c>
      <c r="S95" s="5" t="s">
        <v>74</v>
      </c>
      <c r="T95" s="5" t="s">
        <v>43</v>
      </c>
      <c r="U95" s="5" t="s">
        <v>160</v>
      </c>
      <c r="V95" s="5">
        <v>2024</v>
      </c>
      <c r="W95" s="5" t="s">
        <v>139</v>
      </c>
      <c r="X95" s="5">
        <v>3</v>
      </c>
      <c r="Y95" s="1">
        <v>45541</v>
      </c>
      <c r="Z95" s="5" t="s">
        <v>89</v>
      </c>
      <c r="AA95" s="5" t="s">
        <v>48</v>
      </c>
      <c r="AB95" s="5" t="s">
        <v>111</v>
      </c>
      <c r="AC95" s="5" t="s">
        <v>50</v>
      </c>
      <c r="AD95" s="5">
        <v>2</v>
      </c>
    </row>
    <row r="96" spans="1:30">
      <c r="A96" s="5" t="s">
        <v>496</v>
      </c>
      <c r="B96" s="1" t="s">
        <v>497</v>
      </c>
      <c r="C96" s="5" t="s">
        <v>498</v>
      </c>
      <c r="D96" s="5" t="s">
        <v>499</v>
      </c>
      <c r="E96" s="5" t="s">
        <v>35</v>
      </c>
      <c r="F96" s="5" t="s">
        <v>144</v>
      </c>
      <c r="G96" s="5" t="s">
        <v>145</v>
      </c>
      <c r="H96" s="5" t="s">
        <v>58</v>
      </c>
      <c r="I96" s="5" t="s">
        <v>71</v>
      </c>
      <c r="J96" s="5" t="s">
        <v>172</v>
      </c>
      <c r="K96" s="5">
        <v>1</v>
      </c>
      <c r="L96" s="5">
        <v>2500</v>
      </c>
      <c r="M96" s="5">
        <v>0.2</v>
      </c>
      <c r="N96" s="5">
        <v>2000</v>
      </c>
      <c r="O96" s="5">
        <v>1232.23</v>
      </c>
      <c r="P96" s="5">
        <v>767.77</v>
      </c>
      <c r="Q96" s="5">
        <v>38.39</v>
      </c>
      <c r="R96" s="5" t="s">
        <v>73</v>
      </c>
      <c r="S96" s="5" t="s">
        <v>62</v>
      </c>
      <c r="T96" s="5" t="s">
        <v>75</v>
      </c>
      <c r="U96" s="5" t="s">
        <v>87</v>
      </c>
      <c r="V96" s="5">
        <v>2024</v>
      </c>
      <c r="W96" s="5" t="s">
        <v>134</v>
      </c>
      <c r="X96" s="5">
        <v>5</v>
      </c>
      <c r="Y96" s="1" t="s">
        <v>500</v>
      </c>
      <c r="Z96" s="5" t="s">
        <v>110</v>
      </c>
      <c r="AA96" s="5" t="s">
        <v>67</v>
      </c>
      <c r="AB96" s="5" t="s">
        <v>78</v>
      </c>
      <c r="AC96" s="5" t="s">
        <v>121</v>
      </c>
      <c r="AD96" s="5">
        <v>3</v>
      </c>
    </row>
    <row r="97" spans="1:30">
      <c r="A97" s="5" t="s">
        <v>501</v>
      </c>
      <c r="B97" s="1" t="s">
        <v>502</v>
      </c>
      <c r="C97" s="5" t="s">
        <v>503</v>
      </c>
      <c r="D97" s="5" t="s">
        <v>310</v>
      </c>
      <c r="E97" s="5" t="s">
        <v>35</v>
      </c>
      <c r="F97" s="5" t="s">
        <v>144</v>
      </c>
      <c r="G97" s="5" t="s">
        <v>145</v>
      </c>
      <c r="H97" s="5" t="s">
        <v>171</v>
      </c>
      <c r="I97" s="5" t="s">
        <v>95</v>
      </c>
      <c r="J97" s="5" t="s">
        <v>184</v>
      </c>
      <c r="K97" s="5">
        <v>6</v>
      </c>
      <c r="L97" s="5">
        <v>6000</v>
      </c>
      <c r="M97" s="5">
        <v>0.15</v>
      </c>
      <c r="N97" s="5">
        <v>30600</v>
      </c>
      <c r="O97" s="5">
        <v>21470.36</v>
      </c>
      <c r="P97" s="5">
        <v>9129.64</v>
      </c>
      <c r="Q97" s="5">
        <v>29.84</v>
      </c>
      <c r="R97" s="5" t="s">
        <v>166</v>
      </c>
      <c r="S97" s="5" t="s">
        <v>74</v>
      </c>
      <c r="T97" s="5" t="s">
        <v>118</v>
      </c>
      <c r="U97" s="5" t="s">
        <v>119</v>
      </c>
      <c r="V97" s="5">
        <v>2024</v>
      </c>
      <c r="W97" s="5" t="s">
        <v>126</v>
      </c>
      <c r="X97" s="5">
        <v>6</v>
      </c>
      <c r="Y97" s="1" t="s">
        <v>504</v>
      </c>
      <c r="Z97" s="5" t="s">
        <v>89</v>
      </c>
      <c r="AA97" s="5" t="s">
        <v>90</v>
      </c>
      <c r="AB97" s="5" t="s">
        <v>49</v>
      </c>
      <c r="AC97" s="5" t="s">
        <v>50</v>
      </c>
      <c r="AD97" s="5">
        <v>4</v>
      </c>
    </row>
    <row r="98" spans="1:30">
      <c r="A98" s="5" t="s">
        <v>505</v>
      </c>
      <c r="B98" s="1" t="s">
        <v>506</v>
      </c>
      <c r="C98" s="5" t="s">
        <v>507</v>
      </c>
      <c r="D98" s="5" t="s">
        <v>508</v>
      </c>
      <c r="E98" s="5" t="s">
        <v>55</v>
      </c>
      <c r="F98" s="5" t="s">
        <v>144</v>
      </c>
      <c r="G98" s="5" t="s">
        <v>145</v>
      </c>
      <c r="H98" s="5" t="s">
        <v>94</v>
      </c>
      <c r="I98" s="5" t="s">
        <v>71</v>
      </c>
      <c r="J98" s="5" t="s">
        <v>117</v>
      </c>
      <c r="K98" s="5">
        <v>3</v>
      </c>
      <c r="L98" s="5">
        <v>1800</v>
      </c>
      <c r="M98" s="5">
        <v>0.2</v>
      </c>
      <c r="N98" s="5">
        <v>4320</v>
      </c>
      <c r="O98" s="5">
        <v>2957.18</v>
      </c>
      <c r="P98" s="5">
        <v>1362.82</v>
      </c>
      <c r="Q98" s="5">
        <v>31.55</v>
      </c>
      <c r="R98" s="5" t="s">
        <v>106</v>
      </c>
      <c r="S98" s="5" t="s">
        <v>74</v>
      </c>
      <c r="T98" s="5" t="s">
        <v>75</v>
      </c>
      <c r="U98" s="5" t="s">
        <v>198</v>
      </c>
      <c r="V98" s="5">
        <v>2024</v>
      </c>
      <c r="W98" s="5" t="s">
        <v>65</v>
      </c>
      <c r="X98" s="5">
        <v>4</v>
      </c>
      <c r="Y98" s="1" t="s">
        <v>509</v>
      </c>
      <c r="Z98" s="5" t="s">
        <v>47</v>
      </c>
      <c r="AA98" s="5" t="s">
        <v>48</v>
      </c>
      <c r="AB98" s="5" t="s">
        <v>78</v>
      </c>
      <c r="AC98" s="5" t="s">
        <v>121</v>
      </c>
      <c r="AD98" s="5">
        <v>2</v>
      </c>
    </row>
    <row r="99" spans="1:30">
      <c r="A99" s="5" t="s">
        <v>510</v>
      </c>
      <c r="B99" s="1">
        <v>45725</v>
      </c>
      <c r="C99" s="5" t="s">
        <v>511</v>
      </c>
      <c r="D99" s="5" t="s">
        <v>512</v>
      </c>
      <c r="E99" s="5" t="s">
        <v>55</v>
      </c>
      <c r="F99" s="5" t="s">
        <v>144</v>
      </c>
      <c r="G99" s="5" t="s">
        <v>145</v>
      </c>
      <c r="H99" s="5" t="s">
        <v>171</v>
      </c>
      <c r="I99" s="5" t="s">
        <v>84</v>
      </c>
      <c r="J99" s="5" t="s">
        <v>390</v>
      </c>
      <c r="K99" s="5">
        <v>1</v>
      </c>
      <c r="L99" s="5">
        <v>350</v>
      </c>
      <c r="M99" s="5">
        <v>0.15</v>
      </c>
      <c r="N99" s="5">
        <v>297.5</v>
      </c>
      <c r="O99" s="5">
        <v>206.73</v>
      </c>
      <c r="P99" s="5">
        <v>90.77</v>
      </c>
      <c r="Q99" s="5">
        <v>30.51</v>
      </c>
      <c r="R99" s="5" t="s">
        <v>166</v>
      </c>
      <c r="S99" s="5" t="s">
        <v>62</v>
      </c>
      <c r="T99" s="5" t="s">
        <v>43</v>
      </c>
      <c r="U99" s="5" t="s">
        <v>108</v>
      </c>
      <c r="V99" s="5">
        <v>2025</v>
      </c>
      <c r="W99" s="5" t="s">
        <v>134</v>
      </c>
      <c r="X99" s="5">
        <v>8</v>
      </c>
      <c r="Y99" s="1">
        <v>45970</v>
      </c>
      <c r="Z99" s="5" t="s">
        <v>47</v>
      </c>
      <c r="AA99" s="5" t="s">
        <v>67</v>
      </c>
      <c r="AB99" s="5" t="s">
        <v>49</v>
      </c>
      <c r="AC99" s="5" t="s">
        <v>121</v>
      </c>
      <c r="AD99" s="5">
        <v>3</v>
      </c>
    </row>
    <row r="100" spans="1:30">
      <c r="A100" s="5" t="s">
        <v>513</v>
      </c>
      <c r="B100" s="1" t="s">
        <v>266</v>
      </c>
      <c r="C100" s="5" t="s">
        <v>514</v>
      </c>
      <c r="D100" s="5" t="s">
        <v>515</v>
      </c>
      <c r="E100" s="5" t="s">
        <v>55</v>
      </c>
      <c r="F100" s="5" t="s">
        <v>131</v>
      </c>
      <c r="G100" s="5" t="s">
        <v>132</v>
      </c>
      <c r="H100" s="5" t="s">
        <v>171</v>
      </c>
      <c r="I100" s="5" t="s">
        <v>84</v>
      </c>
      <c r="J100" s="5" t="s">
        <v>390</v>
      </c>
      <c r="K100" s="5">
        <v>7</v>
      </c>
      <c r="L100" s="5">
        <v>800</v>
      </c>
      <c r="M100" s="5">
        <v>0.15</v>
      </c>
      <c r="N100" s="5">
        <v>4760</v>
      </c>
      <c r="O100" s="5">
        <v>3492.45</v>
      </c>
      <c r="P100" s="5">
        <v>1267.55</v>
      </c>
      <c r="Q100" s="5">
        <v>26.63</v>
      </c>
      <c r="R100" s="5" t="s">
        <v>61</v>
      </c>
      <c r="S100" s="5" t="s">
        <v>42</v>
      </c>
      <c r="T100" s="5" t="s">
        <v>97</v>
      </c>
      <c r="U100" s="5" t="s">
        <v>151</v>
      </c>
      <c r="V100" s="5">
        <v>2025</v>
      </c>
      <c r="W100" s="5" t="s">
        <v>139</v>
      </c>
      <c r="X100" s="5">
        <v>5</v>
      </c>
      <c r="Y100" s="1" t="s">
        <v>516</v>
      </c>
      <c r="Z100" s="5" t="s">
        <v>89</v>
      </c>
      <c r="AA100" s="5" t="s">
        <v>90</v>
      </c>
      <c r="AB100" s="5" t="s">
        <v>49</v>
      </c>
      <c r="AC100" s="5" t="s">
        <v>50</v>
      </c>
      <c r="AD100" s="5">
        <v>5</v>
      </c>
    </row>
    <row r="101" spans="1:30">
      <c r="A101" s="5" t="s">
        <v>517</v>
      </c>
      <c r="B101" s="1" t="s">
        <v>518</v>
      </c>
      <c r="C101" s="5" t="s">
        <v>507</v>
      </c>
      <c r="D101" s="5" t="s">
        <v>519</v>
      </c>
      <c r="E101" s="5" t="s">
        <v>103</v>
      </c>
      <c r="F101" s="5" t="s">
        <v>104</v>
      </c>
      <c r="G101" s="5" t="s">
        <v>104</v>
      </c>
      <c r="H101" s="5" t="s">
        <v>171</v>
      </c>
      <c r="I101" s="5" t="s">
        <v>39</v>
      </c>
      <c r="J101" s="5" t="s">
        <v>356</v>
      </c>
      <c r="K101" s="5">
        <v>3</v>
      </c>
      <c r="L101" s="5">
        <v>50000</v>
      </c>
      <c r="M101" s="5">
        <v>0.1</v>
      </c>
      <c r="N101" s="5">
        <v>135000</v>
      </c>
      <c r="O101" s="5">
        <v>79678.89</v>
      </c>
      <c r="P101" s="5">
        <v>55321.11</v>
      </c>
      <c r="Q101" s="5">
        <v>40.98</v>
      </c>
      <c r="R101" s="5" t="s">
        <v>73</v>
      </c>
      <c r="S101" s="5" t="s">
        <v>62</v>
      </c>
      <c r="T101" s="5" t="s">
        <v>63</v>
      </c>
      <c r="U101" s="5" t="s">
        <v>44</v>
      </c>
      <c r="V101" s="5">
        <v>2025</v>
      </c>
      <c r="W101" s="5" t="s">
        <v>134</v>
      </c>
      <c r="X101" s="5">
        <v>9</v>
      </c>
      <c r="Y101" s="1">
        <v>45905</v>
      </c>
      <c r="Z101" s="5" t="s">
        <v>110</v>
      </c>
      <c r="AA101" s="5" t="s">
        <v>48</v>
      </c>
      <c r="AB101" s="5" t="s">
        <v>78</v>
      </c>
      <c r="AC101" s="5" t="s">
        <v>50</v>
      </c>
      <c r="AD101" s="5">
        <v>5</v>
      </c>
    </row>
    <row r="102" spans="1:30">
      <c r="A102" s="5" t="s">
        <v>520</v>
      </c>
      <c r="B102" s="1" t="s">
        <v>521</v>
      </c>
      <c r="C102" s="5" t="s">
        <v>522</v>
      </c>
      <c r="D102" s="5" t="s">
        <v>523</v>
      </c>
      <c r="E102" s="5" t="s">
        <v>103</v>
      </c>
      <c r="F102" s="5" t="s">
        <v>131</v>
      </c>
      <c r="G102" s="5" t="s">
        <v>132</v>
      </c>
      <c r="H102" s="5" t="s">
        <v>58</v>
      </c>
      <c r="I102" s="5" t="s">
        <v>59</v>
      </c>
      <c r="J102" s="5" t="s">
        <v>133</v>
      </c>
      <c r="K102" s="5">
        <v>10</v>
      </c>
      <c r="L102" s="5">
        <v>1200</v>
      </c>
      <c r="M102" s="5">
        <v>0.15</v>
      </c>
      <c r="N102" s="5">
        <v>10200</v>
      </c>
      <c r="O102" s="5">
        <v>7465.66</v>
      </c>
      <c r="P102" s="5">
        <v>2734.34</v>
      </c>
      <c r="Q102" s="5">
        <v>26.81</v>
      </c>
      <c r="R102" s="5" t="s">
        <v>41</v>
      </c>
      <c r="S102" s="5" t="s">
        <v>62</v>
      </c>
      <c r="T102" s="5" t="s">
        <v>159</v>
      </c>
      <c r="U102" s="5" t="s">
        <v>76</v>
      </c>
      <c r="V102" s="5">
        <v>2024</v>
      </c>
      <c r="W102" s="5" t="s">
        <v>139</v>
      </c>
      <c r="X102" s="5">
        <v>6</v>
      </c>
      <c r="Y102" s="1" t="s">
        <v>524</v>
      </c>
      <c r="Z102" s="5" t="s">
        <v>47</v>
      </c>
      <c r="AA102" s="5" t="s">
        <v>48</v>
      </c>
      <c r="AB102" s="5" t="s">
        <v>111</v>
      </c>
      <c r="AC102" s="5" t="s">
        <v>121</v>
      </c>
      <c r="AD102" s="5">
        <v>1</v>
      </c>
    </row>
    <row r="103" spans="1:30">
      <c r="A103" s="5" t="s">
        <v>525</v>
      </c>
      <c r="B103" s="1" t="s">
        <v>526</v>
      </c>
      <c r="C103" s="5" t="s">
        <v>527</v>
      </c>
      <c r="D103" s="5" t="s">
        <v>528</v>
      </c>
      <c r="E103" s="5" t="s">
        <v>55</v>
      </c>
      <c r="F103" s="5" t="s">
        <v>144</v>
      </c>
      <c r="G103" s="5" t="s">
        <v>145</v>
      </c>
      <c r="H103" s="5" t="s">
        <v>171</v>
      </c>
      <c r="I103" s="5" t="s">
        <v>71</v>
      </c>
      <c r="J103" s="5" t="s">
        <v>117</v>
      </c>
      <c r="K103" s="5">
        <v>9</v>
      </c>
      <c r="L103" s="5">
        <v>3500</v>
      </c>
      <c r="M103" s="5">
        <v>0.15</v>
      </c>
      <c r="N103" s="5">
        <v>26775</v>
      </c>
      <c r="O103" s="5">
        <v>18865.5</v>
      </c>
      <c r="P103" s="5">
        <v>7909.5</v>
      </c>
      <c r="Q103" s="5">
        <v>29.54</v>
      </c>
      <c r="R103" s="5" t="s">
        <v>166</v>
      </c>
      <c r="S103" s="5" t="s">
        <v>74</v>
      </c>
      <c r="T103" s="5" t="s">
        <v>75</v>
      </c>
      <c r="U103" s="5" t="s">
        <v>119</v>
      </c>
      <c r="V103" s="5">
        <v>2024</v>
      </c>
      <c r="W103" s="5" t="s">
        <v>194</v>
      </c>
      <c r="X103" s="5">
        <v>4</v>
      </c>
      <c r="Y103" s="1">
        <v>45388</v>
      </c>
      <c r="Z103" s="5" t="s">
        <v>47</v>
      </c>
      <c r="AA103" s="5" t="s">
        <v>48</v>
      </c>
      <c r="AB103" s="5" t="s">
        <v>49</v>
      </c>
      <c r="AC103" s="5" t="s">
        <v>50</v>
      </c>
      <c r="AD103" s="5">
        <v>5</v>
      </c>
    </row>
    <row r="104" spans="1:30">
      <c r="A104" s="5" t="s">
        <v>529</v>
      </c>
      <c r="B104" s="1" t="s">
        <v>530</v>
      </c>
      <c r="C104" s="5" t="s">
        <v>201</v>
      </c>
      <c r="D104" s="5" t="s">
        <v>258</v>
      </c>
      <c r="E104" s="5" t="s">
        <v>103</v>
      </c>
      <c r="F104" s="5" t="s">
        <v>144</v>
      </c>
      <c r="G104" s="5" t="s">
        <v>145</v>
      </c>
      <c r="H104" s="5" t="s">
        <v>171</v>
      </c>
      <c r="I104" s="5" t="s">
        <v>71</v>
      </c>
      <c r="J104" s="5" t="s">
        <v>72</v>
      </c>
      <c r="K104" s="5">
        <v>3</v>
      </c>
      <c r="L104" s="5">
        <v>3500</v>
      </c>
      <c r="M104" s="5">
        <v>0.05</v>
      </c>
      <c r="N104" s="5">
        <v>9975</v>
      </c>
      <c r="O104" s="5">
        <v>6901.49</v>
      </c>
      <c r="P104" s="5">
        <v>3073.51</v>
      </c>
      <c r="Q104" s="5">
        <v>30.81</v>
      </c>
      <c r="R104" s="5" t="s">
        <v>41</v>
      </c>
      <c r="S104" s="5" t="s">
        <v>62</v>
      </c>
      <c r="T104" s="5" t="s">
        <v>159</v>
      </c>
      <c r="U104" s="5" t="s">
        <v>151</v>
      </c>
      <c r="V104" s="5">
        <v>2025</v>
      </c>
      <c r="W104" s="5" t="s">
        <v>126</v>
      </c>
      <c r="X104" s="5">
        <v>6</v>
      </c>
      <c r="Y104" s="1">
        <v>45724</v>
      </c>
      <c r="Z104" s="5" t="s">
        <v>110</v>
      </c>
      <c r="AA104" s="5" t="s">
        <v>48</v>
      </c>
      <c r="AB104" s="5" t="s">
        <v>78</v>
      </c>
      <c r="AC104" s="5" t="s">
        <v>121</v>
      </c>
      <c r="AD104" s="5">
        <v>2</v>
      </c>
    </row>
    <row r="105" spans="1:30">
      <c r="A105" s="5" t="s">
        <v>531</v>
      </c>
      <c r="B105" s="1" t="s">
        <v>247</v>
      </c>
      <c r="C105" s="5" t="s">
        <v>408</v>
      </c>
      <c r="D105" s="5" t="s">
        <v>532</v>
      </c>
      <c r="E105" s="5" t="s">
        <v>103</v>
      </c>
      <c r="F105" s="5" t="s">
        <v>116</v>
      </c>
      <c r="G105" s="5" t="s">
        <v>37</v>
      </c>
      <c r="H105" s="5" t="s">
        <v>171</v>
      </c>
      <c r="I105" s="5" t="s">
        <v>59</v>
      </c>
      <c r="J105" s="5" t="s">
        <v>60</v>
      </c>
      <c r="K105" s="5">
        <v>4</v>
      </c>
      <c r="L105" s="5">
        <v>1200</v>
      </c>
      <c r="M105" s="5">
        <v>0.1</v>
      </c>
      <c r="N105" s="5">
        <v>4320</v>
      </c>
      <c r="O105" s="5">
        <v>2745.8</v>
      </c>
      <c r="P105" s="5">
        <v>1574.2</v>
      </c>
      <c r="Q105" s="5">
        <v>36.44</v>
      </c>
      <c r="R105" s="5" t="s">
        <v>61</v>
      </c>
      <c r="S105" s="5" t="s">
        <v>74</v>
      </c>
      <c r="T105" s="5" t="s">
        <v>63</v>
      </c>
      <c r="U105" s="5" t="s">
        <v>64</v>
      </c>
      <c r="V105" s="5">
        <v>2025</v>
      </c>
      <c r="W105" s="5" t="s">
        <v>126</v>
      </c>
      <c r="X105" s="5">
        <v>4</v>
      </c>
      <c r="Y105" s="1" t="s">
        <v>140</v>
      </c>
      <c r="Z105" s="5" t="s">
        <v>110</v>
      </c>
      <c r="AA105" s="5" t="s">
        <v>48</v>
      </c>
      <c r="AB105" s="5" t="s">
        <v>111</v>
      </c>
      <c r="AC105" s="5" t="s">
        <v>50</v>
      </c>
      <c r="AD105" s="5">
        <v>4</v>
      </c>
    </row>
    <row r="106" spans="1:30">
      <c r="A106" s="5" t="s">
        <v>533</v>
      </c>
      <c r="B106" s="1" t="s">
        <v>534</v>
      </c>
      <c r="C106" s="5" t="s">
        <v>227</v>
      </c>
      <c r="D106" s="5" t="s">
        <v>535</v>
      </c>
      <c r="E106" s="5" t="s">
        <v>103</v>
      </c>
      <c r="F106" s="5" t="s">
        <v>82</v>
      </c>
      <c r="G106" s="5" t="s">
        <v>83</v>
      </c>
      <c r="H106" s="5" t="s">
        <v>171</v>
      </c>
      <c r="I106" s="5" t="s">
        <v>95</v>
      </c>
      <c r="J106" s="5" t="s">
        <v>184</v>
      </c>
      <c r="K106" s="5">
        <v>1</v>
      </c>
      <c r="L106" s="5">
        <v>6000</v>
      </c>
      <c r="M106" s="5">
        <v>0</v>
      </c>
      <c r="N106" s="5">
        <v>6000</v>
      </c>
      <c r="O106" s="5">
        <v>4510.6899999999996</v>
      </c>
      <c r="P106" s="5">
        <v>1489.31</v>
      </c>
      <c r="Q106" s="5">
        <v>24.82</v>
      </c>
      <c r="R106" s="5" t="s">
        <v>41</v>
      </c>
      <c r="S106" s="5" t="s">
        <v>42</v>
      </c>
      <c r="T106" s="5" t="s">
        <v>159</v>
      </c>
      <c r="U106" s="5" t="s">
        <v>64</v>
      </c>
      <c r="V106" s="5">
        <v>2024</v>
      </c>
      <c r="W106" s="5" t="s">
        <v>194</v>
      </c>
      <c r="X106" s="5">
        <v>8</v>
      </c>
      <c r="Y106" s="1" t="s">
        <v>536</v>
      </c>
      <c r="Z106" s="5" t="s">
        <v>47</v>
      </c>
      <c r="AA106" s="5" t="s">
        <v>90</v>
      </c>
      <c r="AB106" s="5" t="s">
        <v>49</v>
      </c>
      <c r="AC106" s="5" t="s">
        <v>121</v>
      </c>
      <c r="AD106" s="5">
        <v>2</v>
      </c>
    </row>
    <row r="107" spans="1:30">
      <c r="A107" s="5" t="s">
        <v>537</v>
      </c>
      <c r="B107" s="1" t="s">
        <v>377</v>
      </c>
      <c r="C107" s="5" t="s">
        <v>538</v>
      </c>
      <c r="D107" s="5" t="s">
        <v>539</v>
      </c>
      <c r="E107" s="5" t="s">
        <v>35</v>
      </c>
      <c r="F107" s="5" t="s">
        <v>104</v>
      </c>
      <c r="G107" s="5" t="s">
        <v>104</v>
      </c>
      <c r="H107" s="5" t="s">
        <v>94</v>
      </c>
      <c r="I107" s="5" t="s">
        <v>59</v>
      </c>
      <c r="J107" s="5" t="s">
        <v>206</v>
      </c>
      <c r="K107" s="5">
        <v>4</v>
      </c>
      <c r="L107" s="5">
        <v>500</v>
      </c>
      <c r="M107" s="5">
        <v>0</v>
      </c>
      <c r="N107" s="5">
        <v>2000</v>
      </c>
      <c r="O107" s="5">
        <v>1154.29</v>
      </c>
      <c r="P107" s="5">
        <v>845.71</v>
      </c>
      <c r="Q107" s="5">
        <v>42.29</v>
      </c>
      <c r="R107" s="5" t="s">
        <v>166</v>
      </c>
      <c r="S107" s="5" t="s">
        <v>62</v>
      </c>
      <c r="T107" s="5" t="s">
        <v>86</v>
      </c>
      <c r="U107" s="5" t="s">
        <v>98</v>
      </c>
      <c r="V107" s="5">
        <v>2025</v>
      </c>
      <c r="W107" s="5" t="s">
        <v>139</v>
      </c>
      <c r="X107" s="5">
        <v>6</v>
      </c>
      <c r="Y107" s="1">
        <v>45780</v>
      </c>
      <c r="Z107" s="5" t="s">
        <v>110</v>
      </c>
      <c r="AA107" s="5" t="s">
        <v>67</v>
      </c>
      <c r="AB107" s="5" t="s">
        <v>78</v>
      </c>
      <c r="AC107" s="5" t="s">
        <v>50</v>
      </c>
      <c r="AD107" s="5">
        <v>1</v>
      </c>
    </row>
    <row r="108" spans="1:30">
      <c r="A108" s="5" t="s">
        <v>540</v>
      </c>
      <c r="B108" s="1">
        <v>45719</v>
      </c>
      <c r="C108" s="5" t="s">
        <v>541</v>
      </c>
      <c r="D108" s="5" t="s">
        <v>542</v>
      </c>
      <c r="E108" s="5" t="s">
        <v>103</v>
      </c>
      <c r="F108" s="5" t="s">
        <v>36</v>
      </c>
      <c r="G108" s="5" t="s">
        <v>37</v>
      </c>
      <c r="H108" s="5" t="s">
        <v>171</v>
      </c>
      <c r="I108" s="5" t="s">
        <v>59</v>
      </c>
      <c r="J108" s="5" t="s">
        <v>206</v>
      </c>
      <c r="K108" s="5">
        <v>9</v>
      </c>
      <c r="L108" s="5">
        <v>500</v>
      </c>
      <c r="M108" s="5">
        <v>0.05</v>
      </c>
      <c r="N108" s="5">
        <v>4275</v>
      </c>
      <c r="O108" s="5">
        <v>3502.24</v>
      </c>
      <c r="P108" s="5">
        <v>772.76</v>
      </c>
      <c r="Q108" s="5">
        <v>18.079999999999998</v>
      </c>
      <c r="R108" s="5" t="s">
        <v>106</v>
      </c>
      <c r="S108" s="5" t="s">
        <v>74</v>
      </c>
      <c r="T108" s="5" t="s">
        <v>159</v>
      </c>
      <c r="U108" s="5" t="s">
        <v>178</v>
      </c>
      <c r="V108" s="5">
        <v>2025</v>
      </c>
      <c r="W108" s="5" t="s">
        <v>126</v>
      </c>
      <c r="X108" s="5">
        <v>3</v>
      </c>
      <c r="Y108" s="1">
        <v>45811</v>
      </c>
      <c r="Z108" s="5" t="s">
        <v>47</v>
      </c>
      <c r="AA108" s="5" t="s">
        <v>48</v>
      </c>
      <c r="AB108" s="5" t="s">
        <v>111</v>
      </c>
      <c r="AC108" s="5" t="s">
        <v>121</v>
      </c>
      <c r="AD108" s="5">
        <v>3</v>
      </c>
    </row>
    <row r="109" spans="1:30">
      <c r="A109" s="5" t="s">
        <v>543</v>
      </c>
      <c r="B109" s="1" t="s">
        <v>544</v>
      </c>
      <c r="C109" s="5" t="s">
        <v>545</v>
      </c>
      <c r="D109" s="5" t="s">
        <v>546</v>
      </c>
      <c r="E109" s="5" t="s">
        <v>103</v>
      </c>
      <c r="F109" s="5" t="s">
        <v>116</v>
      </c>
      <c r="G109" s="5" t="s">
        <v>37</v>
      </c>
      <c r="H109" s="5" t="s">
        <v>94</v>
      </c>
      <c r="I109" s="5" t="s">
        <v>71</v>
      </c>
      <c r="J109" s="5" t="s">
        <v>172</v>
      </c>
      <c r="K109" s="5">
        <v>9</v>
      </c>
      <c r="L109" s="5">
        <v>2500</v>
      </c>
      <c r="M109" s="5">
        <v>0.05</v>
      </c>
      <c r="N109" s="5">
        <v>21375</v>
      </c>
      <c r="O109" s="5">
        <v>12869.01</v>
      </c>
      <c r="P109" s="5">
        <v>8505.99</v>
      </c>
      <c r="Q109" s="5">
        <v>39.79</v>
      </c>
      <c r="R109" s="5" t="s">
        <v>61</v>
      </c>
      <c r="S109" s="5" t="s">
        <v>42</v>
      </c>
      <c r="T109" s="5" t="s">
        <v>118</v>
      </c>
      <c r="U109" s="5" t="s">
        <v>119</v>
      </c>
      <c r="V109" s="5">
        <v>2025</v>
      </c>
      <c r="W109" s="5" t="s">
        <v>65</v>
      </c>
      <c r="X109" s="5">
        <v>8</v>
      </c>
      <c r="Y109" s="1">
        <v>45875</v>
      </c>
      <c r="Z109" s="5" t="s">
        <v>47</v>
      </c>
      <c r="AA109" s="5" t="s">
        <v>90</v>
      </c>
      <c r="AB109" s="5" t="s">
        <v>111</v>
      </c>
      <c r="AC109" s="5" t="s">
        <v>50</v>
      </c>
      <c r="AD109" s="5">
        <v>3</v>
      </c>
    </row>
    <row r="110" spans="1:30">
      <c r="A110" s="5" t="s">
        <v>547</v>
      </c>
      <c r="B110" s="1">
        <v>45967</v>
      </c>
      <c r="C110" s="5" t="s">
        <v>378</v>
      </c>
      <c r="D110" s="5" t="s">
        <v>548</v>
      </c>
      <c r="E110" s="5" t="s">
        <v>55</v>
      </c>
      <c r="F110" s="5" t="s">
        <v>144</v>
      </c>
      <c r="G110" s="5" t="s">
        <v>145</v>
      </c>
      <c r="H110" s="5" t="s">
        <v>171</v>
      </c>
      <c r="I110" s="5" t="s">
        <v>95</v>
      </c>
      <c r="J110" s="5" t="s">
        <v>319</v>
      </c>
      <c r="K110" s="5">
        <v>10</v>
      </c>
      <c r="L110" s="5">
        <v>9000</v>
      </c>
      <c r="M110" s="5">
        <v>0.15</v>
      </c>
      <c r="N110" s="5">
        <v>76500</v>
      </c>
      <c r="O110" s="5">
        <v>50354.21</v>
      </c>
      <c r="P110" s="5">
        <v>26145.79</v>
      </c>
      <c r="Q110" s="5">
        <v>34.18</v>
      </c>
      <c r="R110" s="5" t="s">
        <v>73</v>
      </c>
      <c r="S110" s="5" t="s">
        <v>74</v>
      </c>
      <c r="T110" s="5" t="s">
        <v>159</v>
      </c>
      <c r="U110" s="5" t="s">
        <v>160</v>
      </c>
      <c r="V110" s="5">
        <v>2025</v>
      </c>
      <c r="W110" s="5" t="s">
        <v>134</v>
      </c>
      <c r="X110" s="5">
        <v>6</v>
      </c>
      <c r="Y110" s="1" t="s">
        <v>549</v>
      </c>
      <c r="Z110" s="5" t="s">
        <v>47</v>
      </c>
      <c r="AA110" s="5" t="s">
        <v>67</v>
      </c>
      <c r="AB110" s="5" t="s">
        <v>49</v>
      </c>
      <c r="AC110" s="5" t="s">
        <v>50</v>
      </c>
      <c r="AD110" s="5">
        <v>3</v>
      </c>
    </row>
    <row r="111" spans="1:30">
      <c r="A111" s="5" t="s">
        <v>550</v>
      </c>
      <c r="B111" s="1" t="s">
        <v>551</v>
      </c>
      <c r="C111" s="5" t="s">
        <v>514</v>
      </c>
      <c r="D111" s="5" t="s">
        <v>155</v>
      </c>
      <c r="E111" s="5" t="s">
        <v>35</v>
      </c>
      <c r="F111" s="5" t="s">
        <v>82</v>
      </c>
      <c r="G111" s="5" t="s">
        <v>83</v>
      </c>
      <c r="H111" s="5" t="s">
        <v>94</v>
      </c>
      <c r="I111" s="5" t="s">
        <v>84</v>
      </c>
      <c r="J111" s="5" t="s">
        <v>217</v>
      </c>
      <c r="K111" s="5">
        <v>10</v>
      </c>
      <c r="L111" s="5">
        <v>100</v>
      </c>
      <c r="M111" s="5">
        <v>0.1</v>
      </c>
      <c r="N111" s="5">
        <v>900</v>
      </c>
      <c r="O111" s="5">
        <v>510.1</v>
      </c>
      <c r="P111" s="5">
        <v>389.9</v>
      </c>
      <c r="Q111" s="5">
        <v>43.32</v>
      </c>
      <c r="R111" s="5" t="s">
        <v>41</v>
      </c>
      <c r="S111" s="5" t="s">
        <v>42</v>
      </c>
      <c r="T111" s="5" t="s">
        <v>159</v>
      </c>
      <c r="U111" s="5" t="s">
        <v>87</v>
      </c>
      <c r="V111" s="5">
        <v>2025</v>
      </c>
      <c r="W111" s="5" t="s">
        <v>194</v>
      </c>
      <c r="X111" s="5">
        <v>6</v>
      </c>
      <c r="Y111" s="1">
        <v>45819</v>
      </c>
      <c r="Z111" s="5" t="s">
        <v>47</v>
      </c>
      <c r="AA111" s="5" t="s">
        <v>48</v>
      </c>
      <c r="AB111" s="5" t="s">
        <v>49</v>
      </c>
      <c r="AC111" s="5" t="s">
        <v>50</v>
      </c>
      <c r="AD111" s="5">
        <v>3</v>
      </c>
    </row>
    <row r="112" spans="1:30">
      <c r="A112" s="5" t="s">
        <v>552</v>
      </c>
      <c r="B112" s="1">
        <v>45934</v>
      </c>
      <c r="C112" s="5" t="s">
        <v>553</v>
      </c>
      <c r="D112" s="5" t="s">
        <v>554</v>
      </c>
      <c r="E112" s="5" t="s">
        <v>103</v>
      </c>
      <c r="F112" s="5" t="s">
        <v>144</v>
      </c>
      <c r="G112" s="5" t="s">
        <v>145</v>
      </c>
      <c r="H112" s="5" t="s">
        <v>38</v>
      </c>
      <c r="I112" s="5" t="s">
        <v>95</v>
      </c>
      <c r="J112" s="5" t="s">
        <v>319</v>
      </c>
      <c r="K112" s="5">
        <v>3</v>
      </c>
      <c r="L112" s="5">
        <v>9000</v>
      </c>
      <c r="M112" s="5">
        <v>0.05</v>
      </c>
      <c r="N112" s="5">
        <v>25650</v>
      </c>
      <c r="O112" s="5">
        <v>16987.439999999999</v>
      </c>
      <c r="P112" s="5">
        <v>8662.56</v>
      </c>
      <c r="Q112" s="5">
        <v>33.770000000000003</v>
      </c>
      <c r="R112" s="5" t="s">
        <v>73</v>
      </c>
      <c r="S112" s="5" t="s">
        <v>42</v>
      </c>
      <c r="T112" s="5" t="s">
        <v>63</v>
      </c>
      <c r="U112" s="5" t="s">
        <v>44</v>
      </c>
      <c r="V112" s="5">
        <v>2025</v>
      </c>
      <c r="W112" s="5" t="s">
        <v>139</v>
      </c>
      <c r="X112" s="5">
        <v>10</v>
      </c>
      <c r="Y112" s="1" t="s">
        <v>555</v>
      </c>
      <c r="Z112" s="5" t="s">
        <v>47</v>
      </c>
      <c r="AA112" s="5" t="s">
        <v>90</v>
      </c>
      <c r="AB112" s="5" t="s">
        <v>111</v>
      </c>
      <c r="AC112" s="5" t="s">
        <v>50</v>
      </c>
      <c r="AD112" s="5">
        <v>5</v>
      </c>
    </row>
    <row r="113" spans="1:30">
      <c r="A113" s="5" t="s">
        <v>556</v>
      </c>
      <c r="B113" s="1">
        <v>45663</v>
      </c>
      <c r="C113" s="5" t="s">
        <v>557</v>
      </c>
      <c r="D113" s="5" t="s">
        <v>413</v>
      </c>
      <c r="E113" s="5" t="s">
        <v>103</v>
      </c>
      <c r="F113" s="5" t="s">
        <v>82</v>
      </c>
      <c r="G113" s="5" t="s">
        <v>83</v>
      </c>
      <c r="H113" s="5" t="s">
        <v>94</v>
      </c>
      <c r="I113" s="5" t="s">
        <v>39</v>
      </c>
      <c r="J113" s="5" t="s">
        <v>165</v>
      </c>
      <c r="K113" s="5">
        <v>2</v>
      </c>
      <c r="L113" s="5">
        <v>8000</v>
      </c>
      <c r="M113" s="5">
        <v>0.2</v>
      </c>
      <c r="N113" s="5">
        <v>12800</v>
      </c>
      <c r="O113" s="5">
        <v>8894.7000000000007</v>
      </c>
      <c r="P113" s="5">
        <v>3905.3</v>
      </c>
      <c r="Q113" s="5">
        <v>30.51</v>
      </c>
      <c r="R113" s="5" t="s">
        <v>106</v>
      </c>
      <c r="S113" s="5" t="s">
        <v>42</v>
      </c>
      <c r="T113" s="5" t="s">
        <v>86</v>
      </c>
      <c r="U113" s="5" t="s">
        <v>160</v>
      </c>
      <c r="V113" s="5">
        <v>2025</v>
      </c>
      <c r="W113" s="5" t="s">
        <v>45</v>
      </c>
      <c r="X113" s="5">
        <v>4</v>
      </c>
      <c r="Y113" s="1">
        <v>45783</v>
      </c>
      <c r="Z113" s="5" t="s">
        <v>89</v>
      </c>
      <c r="AA113" s="5" t="s">
        <v>48</v>
      </c>
      <c r="AB113" s="5" t="s">
        <v>111</v>
      </c>
      <c r="AC113" s="5" t="s">
        <v>50</v>
      </c>
      <c r="AD113" s="5">
        <v>1</v>
      </c>
    </row>
    <row r="114" spans="1:30">
      <c r="A114" s="5" t="s">
        <v>558</v>
      </c>
      <c r="B114" s="1">
        <v>45660</v>
      </c>
      <c r="C114" s="5" t="s">
        <v>559</v>
      </c>
      <c r="D114" s="5" t="s">
        <v>560</v>
      </c>
      <c r="E114" s="5" t="s">
        <v>35</v>
      </c>
      <c r="F114" s="5" t="s">
        <v>131</v>
      </c>
      <c r="G114" s="5" t="s">
        <v>132</v>
      </c>
      <c r="H114" s="5" t="s">
        <v>94</v>
      </c>
      <c r="I114" s="5" t="s">
        <v>71</v>
      </c>
      <c r="J114" s="5" t="s">
        <v>72</v>
      </c>
      <c r="K114" s="5">
        <v>8</v>
      </c>
      <c r="L114" s="5">
        <v>1200</v>
      </c>
      <c r="M114" s="5">
        <v>0.2</v>
      </c>
      <c r="N114" s="5">
        <v>7680</v>
      </c>
      <c r="O114" s="5">
        <v>4343.72</v>
      </c>
      <c r="P114" s="5">
        <v>3336.28</v>
      </c>
      <c r="Q114" s="5">
        <v>43.44</v>
      </c>
      <c r="R114" s="5" t="s">
        <v>61</v>
      </c>
      <c r="S114" s="5" t="s">
        <v>74</v>
      </c>
      <c r="T114" s="5" t="s">
        <v>86</v>
      </c>
      <c r="U114" s="5" t="s">
        <v>178</v>
      </c>
      <c r="V114" s="5">
        <v>2025</v>
      </c>
      <c r="W114" s="5" t="s">
        <v>65</v>
      </c>
      <c r="X114" s="5">
        <v>8</v>
      </c>
      <c r="Y114" s="1">
        <v>45903</v>
      </c>
      <c r="Z114" s="5" t="s">
        <v>89</v>
      </c>
      <c r="AA114" s="5" t="s">
        <v>48</v>
      </c>
      <c r="AB114" s="5" t="s">
        <v>49</v>
      </c>
      <c r="AC114" s="5" t="s">
        <v>121</v>
      </c>
      <c r="AD114" s="5">
        <v>4</v>
      </c>
    </row>
    <row r="115" spans="1:30">
      <c r="A115" s="5" t="s">
        <v>561</v>
      </c>
      <c r="B115" s="1">
        <v>45324</v>
      </c>
      <c r="C115" s="5" t="s">
        <v>562</v>
      </c>
      <c r="D115" s="5" t="s">
        <v>383</v>
      </c>
      <c r="E115" s="5" t="s">
        <v>55</v>
      </c>
      <c r="F115" s="5" t="s">
        <v>82</v>
      </c>
      <c r="G115" s="5" t="s">
        <v>83</v>
      </c>
      <c r="H115" s="5" t="s">
        <v>94</v>
      </c>
      <c r="I115" s="5" t="s">
        <v>39</v>
      </c>
      <c r="J115" s="5" t="s">
        <v>165</v>
      </c>
      <c r="K115" s="5">
        <v>1</v>
      </c>
      <c r="L115" s="5">
        <v>8000</v>
      </c>
      <c r="M115" s="5">
        <v>0.15</v>
      </c>
      <c r="N115" s="5">
        <v>6800</v>
      </c>
      <c r="O115" s="5">
        <v>4070.45</v>
      </c>
      <c r="P115" s="5">
        <v>2729.55</v>
      </c>
      <c r="Q115" s="5">
        <v>40.14</v>
      </c>
      <c r="R115" s="5" t="s">
        <v>166</v>
      </c>
      <c r="S115" s="5" t="s">
        <v>62</v>
      </c>
      <c r="T115" s="5" t="s">
        <v>173</v>
      </c>
      <c r="U115" s="5" t="s">
        <v>98</v>
      </c>
      <c r="V115" s="5">
        <v>2024</v>
      </c>
      <c r="W115" s="5" t="s">
        <v>194</v>
      </c>
      <c r="X115" s="5">
        <v>5</v>
      </c>
      <c r="Y115" s="1">
        <v>45475</v>
      </c>
      <c r="Z115" s="5" t="s">
        <v>110</v>
      </c>
      <c r="AA115" s="5" t="s">
        <v>48</v>
      </c>
      <c r="AB115" s="5" t="s">
        <v>111</v>
      </c>
      <c r="AC115" s="5" t="s">
        <v>121</v>
      </c>
      <c r="AD115" s="5">
        <v>3</v>
      </c>
    </row>
    <row r="116" spans="1:30">
      <c r="A116" s="5" t="s">
        <v>563</v>
      </c>
      <c r="B116" s="1" t="s">
        <v>564</v>
      </c>
      <c r="C116" s="5" t="s">
        <v>565</v>
      </c>
      <c r="D116" s="5" t="s">
        <v>566</v>
      </c>
      <c r="E116" s="5" t="s">
        <v>103</v>
      </c>
      <c r="F116" s="5" t="s">
        <v>36</v>
      </c>
      <c r="G116" s="5" t="s">
        <v>37</v>
      </c>
      <c r="H116" s="5" t="s">
        <v>94</v>
      </c>
      <c r="I116" s="5" t="s">
        <v>95</v>
      </c>
      <c r="J116" s="5" t="s">
        <v>96</v>
      </c>
      <c r="K116" s="5">
        <v>7</v>
      </c>
      <c r="L116" s="5">
        <v>15000</v>
      </c>
      <c r="M116" s="5">
        <v>0.05</v>
      </c>
      <c r="N116" s="5">
        <v>99750</v>
      </c>
      <c r="O116" s="5">
        <v>81215.7</v>
      </c>
      <c r="P116" s="5">
        <v>18534.3</v>
      </c>
      <c r="Q116" s="5">
        <v>18.579999999999998</v>
      </c>
      <c r="R116" s="5" t="s">
        <v>73</v>
      </c>
      <c r="S116" s="5" t="s">
        <v>74</v>
      </c>
      <c r="T116" s="5" t="s">
        <v>138</v>
      </c>
      <c r="U116" s="5" t="s">
        <v>218</v>
      </c>
      <c r="V116" s="5">
        <v>2024</v>
      </c>
      <c r="W116" s="5" t="s">
        <v>194</v>
      </c>
      <c r="X116" s="5">
        <v>1</v>
      </c>
      <c r="Y116" s="1" t="s">
        <v>567</v>
      </c>
      <c r="Z116" s="5" t="s">
        <v>47</v>
      </c>
      <c r="AA116" s="5" t="s">
        <v>67</v>
      </c>
      <c r="AB116" s="5" t="s">
        <v>49</v>
      </c>
      <c r="AC116" s="5" t="s">
        <v>50</v>
      </c>
      <c r="AD116" s="5">
        <v>2</v>
      </c>
    </row>
    <row r="117" spans="1:30">
      <c r="A117" s="5" t="s">
        <v>568</v>
      </c>
      <c r="B117" s="1" t="s">
        <v>569</v>
      </c>
      <c r="C117" s="5" t="s">
        <v>570</v>
      </c>
      <c r="D117" s="5" t="s">
        <v>571</v>
      </c>
      <c r="E117" s="5" t="s">
        <v>103</v>
      </c>
      <c r="F117" s="5" t="s">
        <v>36</v>
      </c>
      <c r="G117" s="5" t="s">
        <v>37</v>
      </c>
      <c r="H117" s="5" t="s">
        <v>58</v>
      </c>
      <c r="I117" s="5" t="s">
        <v>39</v>
      </c>
      <c r="J117" s="5" t="s">
        <v>253</v>
      </c>
      <c r="K117" s="5">
        <v>10</v>
      </c>
      <c r="L117" s="5">
        <v>8000</v>
      </c>
      <c r="M117" s="5">
        <v>0.05</v>
      </c>
      <c r="N117" s="5">
        <v>76000</v>
      </c>
      <c r="O117" s="5">
        <v>53987.73</v>
      </c>
      <c r="P117" s="5">
        <v>22012.27</v>
      </c>
      <c r="Q117" s="5">
        <v>28.96</v>
      </c>
      <c r="R117" s="5" t="s">
        <v>73</v>
      </c>
      <c r="S117" s="5" t="s">
        <v>42</v>
      </c>
      <c r="T117" s="5" t="s">
        <v>43</v>
      </c>
      <c r="U117" s="5" t="s">
        <v>151</v>
      </c>
      <c r="V117" s="5">
        <v>2024</v>
      </c>
      <c r="W117" s="5" t="s">
        <v>109</v>
      </c>
      <c r="X117" s="5">
        <v>2</v>
      </c>
      <c r="Y117" s="1">
        <v>45299</v>
      </c>
      <c r="Z117" s="5" t="s">
        <v>47</v>
      </c>
      <c r="AA117" s="5" t="s">
        <v>67</v>
      </c>
      <c r="AB117" s="5" t="s">
        <v>78</v>
      </c>
      <c r="AC117" s="5" t="s">
        <v>121</v>
      </c>
      <c r="AD117" s="5">
        <v>5</v>
      </c>
    </row>
    <row r="118" spans="1:30">
      <c r="A118" s="5" t="s">
        <v>572</v>
      </c>
      <c r="B118" s="1">
        <v>45999</v>
      </c>
      <c r="C118" s="5" t="s">
        <v>573</v>
      </c>
      <c r="D118" s="5" t="s">
        <v>574</v>
      </c>
      <c r="E118" s="5" t="s">
        <v>55</v>
      </c>
      <c r="F118" s="5" t="s">
        <v>149</v>
      </c>
      <c r="G118" s="5" t="s">
        <v>150</v>
      </c>
      <c r="H118" s="5" t="s">
        <v>38</v>
      </c>
      <c r="I118" s="5" t="s">
        <v>39</v>
      </c>
      <c r="J118" s="5" t="s">
        <v>105</v>
      </c>
      <c r="K118" s="5">
        <v>9</v>
      </c>
      <c r="L118" s="5">
        <v>15000</v>
      </c>
      <c r="M118" s="5">
        <v>0.05</v>
      </c>
      <c r="N118" s="5">
        <v>128250</v>
      </c>
      <c r="O118" s="5">
        <v>91241.89</v>
      </c>
      <c r="P118" s="5">
        <v>37008.11</v>
      </c>
      <c r="Q118" s="5">
        <v>28.86</v>
      </c>
      <c r="R118" s="5" t="s">
        <v>41</v>
      </c>
      <c r="S118" s="5" t="s">
        <v>74</v>
      </c>
      <c r="T118" s="5" t="s">
        <v>75</v>
      </c>
      <c r="U118" s="5" t="s">
        <v>218</v>
      </c>
      <c r="V118" s="5">
        <v>2025</v>
      </c>
      <c r="W118" s="5" t="s">
        <v>109</v>
      </c>
      <c r="X118" s="5">
        <v>6</v>
      </c>
      <c r="Y118" s="1" t="s">
        <v>575</v>
      </c>
      <c r="Z118" s="5" t="s">
        <v>89</v>
      </c>
      <c r="AA118" s="5" t="s">
        <v>67</v>
      </c>
      <c r="AB118" s="5" t="s">
        <v>78</v>
      </c>
      <c r="AC118" s="5" t="s">
        <v>121</v>
      </c>
      <c r="AD118" s="5">
        <v>5</v>
      </c>
    </row>
    <row r="119" spans="1:30">
      <c r="A119" s="5" t="s">
        <v>576</v>
      </c>
      <c r="B119" s="1" t="s">
        <v>577</v>
      </c>
      <c r="C119" s="5" t="s">
        <v>522</v>
      </c>
      <c r="D119" s="5" t="s">
        <v>512</v>
      </c>
      <c r="E119" s="5" t="s">
        <v>55</v>
      </c>
      <c r="F119" s="5" t="s">
        <v>144</v>
      </c>
      <c r="G119" s="5" t="s">
        <v>145</v>
      </c>
      <c r="H119" s="5" t="s">
        <v>94</v>
      </c>
      <c r="I119" s="5" t="s">
        <v>95</v>
      </c>
      <c r="J119" s="5" t="s">
        <v>440</v>
      </c>
      <c r="K119" s="5">
        <v>9</v>
      </c>
      <c r="L119" s="5">
        <v>9000</v>
      </c>
      <c r="M119" s="5">
        <v>0</v>
      </c>
      <c r="N119" s="5">
        <v>81000</v>
      </c>
      <c r="O119" s="5">
        <v>51520.72</v>
      </c>
      <c r="P119" s="5">
        <v>29479.279999999999</v>
      </c>
      <c r="Q119" s="5">
        <v>36.39</v>
      </c>
      <c r="R119" s="5" t="s">
        <v>73</v>
      </c>
      <c r="S119" s="5" t="s">
        <v>42</v>
      </c>
      <c r="T119" s="5" t="s">
        <v>138</v>
      </c>
      <c r="U119" s="5" t="s">
        <v>64</v>
      </c>
      <c r="V119" s="5">
        <v>2024</v>
      </c>
      <c r="W119" s="5" t="s">
        <v>134</v>
      </c>
      <c r="X119" s="5">
        <v>7</v>
      </c>
      <c r="Y119" s="1" t="s">
        <v>578</v>
      </c>
      <c r="Z119" s="5" t="s">
        <v>89</v>
      </c>
      <c r="AA119" s="5" t="s">
        <v>90</v>
      </c>
      <c r="AB119" s="5" t="s">
        <v>49</v>
      </c>
      <c r="AC119" s="5" t="s">
        <v>50</v>
      </c>
      <c r="AD119" s="5">
        <v>2</v>
      </c>
    </row>
    <row r="120" spans="1:30">
      <c r="A120" s="5" t="s">
        <v>579</v>
      </c>
      <c r="B120" s="1" t="s">
        <v>580</v>
      </c>
      <c r="C120" s="5" t="s">
        <v>581</v>
      </c>
      <c r="D120" s="5" t="s">
        <v>582</v>
      </c>
      <c r="E120" s="5" t="s">
        <v>35</v>
      </c>
      <c r="F120" s="5" t="s">
        <v>56</v>
      </c>
      <c r="G120" s="5" t="s">
        <v>57</v>
      </c>
      <c r="H120" s="5" t="s">
        <v>94</v>
      </c>
      <c r="I120" s="5" t="s">
        <v>39</v>
      </c>
      <c r="J120" s="5" t="s">
        <v>165</v>
      </c>
      <c r="K120" s="5">
        <v>7</v>
      </c>
      <c r="L120" s="5">
        <v>22000</v>
      </c>
      <c r="M120" s="5">
        <v>0.2</v>
      </c>
      <c r="N120" s="5">
        <v>123200</v>
      </c>
      <c r="O120" s="5">
        <v>75838.45</v>
      </c>
      <c r="P120" s="5">
        <v>47361.55</v>
      </c>
      <c r="Q120" s="5">
        <v>38.44</v>
      </c>
      <c r="R120" s="5" t="s">
        <v>61</v>
      </c>
      <c r="S120" s="5" t="s">
        <v>74</v>
      </c>
      <c r="T120" s="5" t="s">
        <v>107</v>
      </c>
      <c r="U120" s="5" t="s">
        <v>160</v>
      </c>
      <c r="V120" s="5">
        <v>2025</v>
      </c>
      <c r="W120" s="5" t="s">
        <v>139</v>
      </c>
      <c r="X120" s="5">
        <v>3</v>
      </c>
      <c r="Y120" s="1" t="s">
        <v>583</v>
      </c>
      <c r="Z120" s="5" t="s">
        <v>110</v>
      </c>
      <c r="AA120" s="5" t="s">
        <v>48</v>
      </c>
      <c r="AB120" s="5" t="s">
        <v>49</v>
      </c>
      <c r="AC120" s="5" t="s">
        <v>121</v>
      </c>
      <c r="AD120" s="5">
        <v>3</v>
      </c>
    </row>
    <row r="121" spans="1:30">
      <c r="A121" s="5" t="s">
        <v>584</v>
      </c>
      <c r="B121" s="1" t="s">
        <v>414</v>
      </c>
      <c r="C121" s="5" t="s">
        <v>585</v>
      </c>
      <c r="D121" s="5" t="s">
        <v>586</v>
      </c>
      <c r="E121" s="5" t="s">
        <v>35</v>
      </c>
      <c r="F121" s="5" t="s">
        <v>156</v>
      </c>
      <c r="G121" s="5" t="s">
        <v>157</v>
      </c>
      <c r="H121" s="5" t="s">
        <v>38</v>
      </c>
      <c r="I121" s="5" t="s">
        <v>59</v>
      </c>
      <c r="J121" s="5" t="s">
        <v>372</v>
      </c>
      <c r="K121" s="5">
        <v>1</v>
      </c>
      <c r="L121" s="5">
        <v>500</v>
      </c>
      <c r="M121" s="5">
        <v>0.05</v>
      </c>
      <c r="N121" s="5">
        <v>475</v>
      </c>
      <c r="O121" s="5">
        <v>322.73</v>
      </c>
      <c r="P121" s="5">
        <v>152.27000000000001</v>
      </c>
      <c r="Q121" s="5">
        <v>32.06</v>
      </c>
      <c r="R121" s="5" t="s">
        <v>73</v>
      </c>
      <c r="S121" s="5" t="s">
        <v>42</v>
      </c>
      <c r="T121" s="5" t="s">
        <v>173</v>
      </c>
      <c r="U121" s="5" t="s">
        <v>218</v>
      </c>
      <c r="V121" s="5">
        <v>2025</v>
      </c>
      <c r="W121" s="5" t="s">
        <v>45</v>
      </c>
      <c r="X121" s="5">
        <v>9</v>
      </c>
      <c r="Y121" s="1">
        <v>45697</v>
      </c>
      <c r="Z121" s="5" t="s">
        <v>47</v>
      </c>
      <c r="AA121" s="5" t="s">
        <v>48</v>
      </c>
      <c r="AB121" s="5" t="s">
        <v>78</v>
      </c>
      <c r="AC121" s="5" t="s">
        <v>121</v>
      </c>
      <c r="AD121" s="5">
        <v>5</v>
      </c>
    </row>
    <row r="122" spans="1:30">
      <c r="A122" s="5" t="s">
        <v>587</v>
      </c>
      <c r="B122" s="1" t="s">
        <v>588</v>
      </c>
      <c r="C122" s="5" t="s">
        <v>589</v>
      </c>
      <c r="D122" s="5" t="s">
        <v>590</v>
      </c>
      <c r="E122" s="5" t="s">
        <v>103</v>
      </c>
      <c r="F122" s="5" t="s">
        <v>149</v>
      </c>
      <c r="G122" s="5" t="s">
        <v>150</v>
      </c>
      <c r="H122" s="5" t="s">
        <v>94</v>
      </c>
      <c r="I122" s="5" t="s">
        <v>71</v>
      </c>
      <c r="J122" s="5" t="s">
        <v>117</v>
      </c>
      <c r="K122" s="5">
        <v>9</v>
      </c>
      <c r="L122" s="5">
        <v>1800</v>
      </c>
      <c r="M122" s="5">
        <v>0.1</v>
      </c>
      <c r="N122" s="5">
        <v>14580</v>
      </c>
      <c r="O122" s="5">
        <v>10572.76</v>
      </c>
      <c r="P122" s="5">
        <v>4007.24</v>
      </c>
      <c r="Q122" s="5">
        <v>27.48</v>
      </c>
      <c r="R122" s="5" t="s">
        <v>166</v>
      </c>
      <c r="S122" s="5" t="s">
        <v>74</v>
      </c>
      <c r="T122" s="5" t="s">
        <v>138</v>
      </c>
      <c r="U122" s="5" t="s">
        <v>76</v>
      </c>
      <c r="V122" s="5">
        <v>2025</v>
      </c>
      <c r="W122" s="5" t="s">
        <v>194</v>
      </c>
      <c r="X122" s="5">
        <v>8</v>
      </c>
      <c r="Y122" s="1">
        <v>45659</v>
      </c>
      <c r="Z122" s="5" t="s">
        <v>89</v>
      </c>
      <c r="AA122" s="5" t="s">
        <v>67</v>
      </c>
      <c r="AB122" s="5" t="s">
        <v>49</v>
      </c>
      <c r="AC122" s="5" t="s">
        <v>50</v>
      </c>
      <c r="AD122" s="5">
        <v>3</v>
      </c>
    </row>
    <row r="123" spans="1:30">
      <c r="A123" s="5" t="s">
        <v>591</v>
      </c>
      <c r="B123" s="1" t="s">
        <v>592</v>
      </c>
      <c r="C123" s="5" t="s">
        <v>593</v>
      </c>
      <c r="D123" s="5" t="s">
        <v>594</v>
      </c>
      <c r="E123" s="5" t="s">
        <v>35</v>
      </c>
      <c r="F123" s="5" t="s">
        <v>156</v>
      </c>
      <c r="G123" s="5" t="s">
        <v>157</v>
      </c>
      <c r="H123" s="5" t="s">
        <v>38</v>
      </c>
      <c r="I123" s="5" t="s">
        <v>39</v>
      </c>
      <c r="J123" s="5" t="s">
        <v>165</v>
      </c>
      <c r="K123" s="5">
        <v>4</v>
      </c>
      <c r="L123" s="5">
        <v>50000</v>
      </c>
      <c r="M123" s="5">
        <v>0.05</v>
      </c>
      <c r="N123" s="5">
        <v>190000</v>
      </c>
      <c r="O123" s="5">
        <v>152453.1</v>
      </c>
      <c r="P123" s="5">
        <v>37546.9</v>
      </c>
      <c r="Q123" s="5">
        <v>19.760000000000002</v>
      </c>
      <c r="R123" s="5" t="s">
        <v>61</v>
      </c>
      <c r="S123" s="5" t="s">
        <v>74</v>
      </c>
      <c r="T123" s="5" t="s">
        <v>75</v>
      </c>
      <c r="U123" s="5" t="s">
        <v>76</v>
      </c>
      <c r="V123" s="5">
        <v>2024</v>
      </c>
      <c r="W123" s="5" t="s">
        <v>134</v>
      </c>
      <c r="X123" s="5">
        <v>5</v>
      </c>
      <c r="Y123" s="1" t="s">
        <v>369</v>
      </c>
      <c r="Z123" s="5" t="s">
        <v>89</v>
      </c>
      <c r="AA123" s="5" t="s">
        <v>48</v>
      </c>
      <c r="AB123" s="5" t="s">
        <v>49</v>
      </c>
      <c r="AC123" s="5" t="s">
        <v>50</v>
      </c>
      <c r="AD123" s="5">
        <v>5</v>
      </c>
    </row>
    <row r="124" spans="1:30">
      <c r="A124" s="5" t="s">
        <v>595</v>
      </c>
      <c r="B124" s="1" t="s">
        <v>231</v>
      </c>
      <c r="C124" s="5" t="s">
        <v>596</v>
      </c>
      <c r="D124" s="5" t="s">
        <v>597</v>
      </c>
      <c r="E124" s="5" t="s">
        <v>103</v>
      </c>
      <c r="F124" s="5" t="s">
        <v>82</v>
      </c>
      <c r="G124" s="5" t="s">
        <v>83</v>
      </c>
      <c r="H124" s="5" t="s">
        <v>58</v>
      </c>
      <c r="I124" s="5" t="s">
        <v>84</v>
      </c>
      <c r="J124" s="5" t="s">
        <v>290</v>
      </c>
      <c r="K124" s="5">
        <v>8</v>
      </c>
      <c r="L124" s="5">
        <v>500</v>
      </c>
      <c r="M124" s="5">
        <v>0.05</v>
      </c>
      <c r="N124" s="5">
        <v>3800</v>
      </c>
      <c r="O124" s="5">
        <v>2829.04</v>
      </c>
      <c r="P124" s="5">
        <v>970.96</v>
      </c>
      <c r="Q124" s="5">
        <v>25.55</v>
      </c>
      <c r="R124" s="5" t="s">
        <v>41</v>
      </c>
      <c r="S124" s="5" t="s">
        <v>74</v>
      </c>
      <c r="T124" s="5" t="s">
        <v>173</v>
      </c>
      <c r="U124" s="5" t="s">
        <v>64</v>
      </c>
      <c r="V124" s="5">
        <v>2024</v>
      </c>
      <c r="W124" s="5" t="s">
        <v>139</v>
      </c>
      <c r="X124" s="5">
        <v>3</v>
      </c>
      <c r="Y124" s="1" t="s">
        <v>598</v>
      </c>
      <c r="Z124" s="5" t="s">
        <v>47</v>
      </c>
      <c r="AA124" s="5" t="s">
        <v>48</v>
      </c>
      <c r="AB124" s="5" t="s">
        <v>49</v>
      </c>
      <c r="AC124" s="5" t="s">
        <v>121</v>
      </c>
      <c r="AD124" s="5">
        <v>4</v>
      </c>
    </row>
    <row r="125" spans="1:30">
      <c r="A125" s="5" t="s">
        <v>599</v>
      </c>
      <c r="B125" s="1">
        <v>45663</v>
      </c>
      <c r="C125" s="5" t="s">
        <v>224</v>
      </c>
      <c r="D125" s="5" t="s">
        <v>600</v>
      </c>
      <c r="E125" s="5" t="s">
        <v>55</v>
      </c>
      <c r="F125" s="5" t="s">
        <v>245</v>
      </c>
      <c r="G125" s="5" t="s">
        <v>246</v>
      </c>
      <c r="H125" s="5" t="s">
        <v>94</v>
      </c>
      <c r="I125" s="5" t="s">
        <v>95</v>
      </c>
      <c r="J125" s="5" t="s">
        <v>344</v>
      </c>
      <c r="K125" s="5">
        <v>3</v>
      </c>
      <c r="L125" s="5">
        <v>2500</v>
      </c>
      <c r="M125" s="5">
        <v>0.05</v>
      </c>
      <c r="N125" s="5">
        <v>7125</v>
      </c>
      <c r="O125" s="5">
        <v>4035.04</v>
      </c>
      <c r="P125" s="5">
        <v>3089.96</v>
      </c>
      <c r="Q125" s="5">
        <v>43.37</v>
      </c>
      <c r="R125" s="5" t="s">
        <v>106</v>
      </c>
      <c r="S125" s="5" t="s">
        <v>74</v>
      </c>
      <c r="T125" s="5" t="s">
        <v>107</v>
      </c>
      <c r="U125" s="5" t="s">
        <v>160</v>
      </c>
      <c r="V125" s="5">
        <v>2025</v>
      </c>
      <c r="W125" s="5" t="s">
        <v>45</v>
      </c>
      <c r="X125" s="5">
        <v>8</v>
      </c>
      <c r="Y125" s="1">
        <v>45906</v>
      </c>
      <c r="Z125" s="5" t="s">
        <v>47</v>
      </c>
      <c r="AA125" s="5" t="s">
        <v>48</v>
      </c>
      <c r="AB125" s="5" t="s">
        <v>78</v>
      </c>
      <c r="AC125" s="5" t="s">
        <v>121</v>
      </c>
      <c r="AD125" s="5">
        <v>1</v>
      </c>
    </row>
    <row r="126" spans="1:30">
      <c r="A126" s="5" t="s">
        <v>601</v>
      </c>
      <c r="B126" s="1" t="s">
        <v>602</v>
      </c>
      <c r="C126" s="5" t="s">
        <v>603</v>
      </c>
      <c r="D126" s="5" t="s">
        <v>604</v>
      </c>
      <c r="E126" s="5" t="s">
        <v>35</v>
      </c>
      <c r="F126" s="5" t="s">
        <v>131</v>
      </c>
      <c r="G126" s="5" t="s">
        <v>132</v>
      </c>
      <c r="H126" s="5" t="s">
        <v>38</v>
      </c>
      <c r="I126" s="5" t="s">
        <v>84</v>
      </c>
      <c r="J126" s="5" t="s">
        <v>217</v>
      </c>
      <c r="K126" s="5">
        <v>5</v>
      </c>
      <c r="L126" s="5">
        <v>100</v>
      </c>
      <c r="M126" s="5">
        <v>0.2</v>
      </c>
      <c r="N126" s="5">
        <v>400</v>
      </c>
      <c r="O126" s="5">
        <v>231.56</v>
      </c>
      <c r="P126" s="5">
        <v>168.44</v>
      </c>
      <c r="Q126" s="5">
        <v>42.11</v>
      </c>
      <c r="R126" s="5" t="s">
        <v>41</v>
      </c>
      <c r="S126" s="5" t="s">
        <v>42</v>
      </c>
      <c r="T126" s="5" t="s">
        <v>159</v>
      </c>
      <c r="U126" s="5" t="s">
        <v>64</v>
      </c>
      <c r="V126" s="5">
        <v>2025</v>
      </c>
      <c r="W126" s="5" t="s">
        <v>126</v>
      </c>
      <c r="X126" s="5">
        <v>7</v>
      </c>
      <c r="Y126" s="1" t="s">
        <v>247</v>
      </c>
      <c r="Z126" s="5" t="s">
        <v>47</v>
      </c>
      <c r="AA126" s="5" t="s">
        <v>67</v>
      </c>
      <c r="AB126" s="5" t="s">
        <v>78</v>
      </c>
      <c r="AC126" s="5" t="s">
        <v>50</v>
      </c>
      <c r="AD126" s="5">
        <v>1</v>
      </c>
    </row>
    <row r="127" spans="1:30">
      <c r="A127" s="5" t="s">
        <v>605</v>
      </c>
      <c r="B127" s="1">
        <v>45362</v>
      </c>
      <c r="C127" s="5" t="s">
        <v>606</v>
      </c>
      <c r="D127" s="5" t="s">
        <v>607</v>
      </c>
      <c r="E127" s="5" t="s">
        <v>55</v>
      </c>
      <c r="F127" s="5" t="s">
        <v>82</v>
      </c>
      <c r="G127" s="5" t="s">
        <v>83</v>
      </c>
      <c r="H127" s="5" t="s">
        <v>58</v>
      </c>
      <c r="I127" s="5" t="s">
        <v>71</v>
      </c>
      <c r="J127" s="5" t="s">
        <v>158</v>
      </c>
      <c r="K127" s="5">
        <v>10</v>
      </c>
      <c r="L127" s="5">
        <v>1200</v>
      </c>
      <c r="M127" s="5">
        <v>0.05</v>
      </c>
      <c r="N127" s="5">
        <v>11400</v>
      </c>
      <c r="O127" s="5">
        <v>6557.79</v>
      </c>
      <c r="P127" s="5">
        <v>4842.21</v>
      </c>
      <c r="Q127" s="5">
        <v>42.48</v>
      </c>
      <c r="R127" s="5" t="s">
        <v>106</v>
      </c>
      <c r="S127" s="5" t="s">
        <v>42</v>
      </c>
      <c r="T127" s="5" t="s">
        <v>118</v>
      </c>
      <c r="U127" s="5" t="s">
        <v>198</v>
      </c>
      <c r="V127" s="5">
        <v>2024</v>
      </c>
      <c r="W127" s="5" t="s">
        <v>45</v>
      </c>
      <c r="X127" s="5">
        <v>2</v>
      </c>
      <c r="Y127" s="1">
        <v>45423</v>
      </c>
      <c r="Z127" s="5" t="s">
        <v>47</v>
      </c>
      <c r="AA127" s="5" t="s">
        <v>90</v>
      </c>
      <c r="AB127" s="5" t="s">
        <v>78</v>
      </c>
      <c r="AC127" s="5" t="s">
        <v>50</v>
      </c>
      <c r="AD127" s="5">
        <v>3</v>
      </c>
    </row>
    <row r="128" spans="1:30">
      <c r="A128" s="5" t="s">
        <v>608</v>
      </c>
      <c r="B128" s="1">
        <v>45912</v>
      </c>
      <c r="C128" s="5" t="s">
        <v>147</v>
      </c>
      <c r="D128" s="5" t="s">
        <v>609</v>
      </c>
      <c r="E128" s="5" t="s">
        <v>103</v>
      </c>
      <c r="F128" s="5" t="s">
        <v>144</v>
      </c>
      <c r="G128" s="5" t="s">
        <v>145</v>
      </c>
      <c r="H128" s="5" t="s">
        <v>58</v>
      </c>
      <c r="I128" s="5" t="s">
        <v>39</v>
      </c>
      <c r="J128" s="5" t="s">
        <v>165</v>
      </c>
      <c r="K128" s="5">
        <v>1</v>
      </c>
      <c r="L128" s="5">
        <v>12000</v>
      </c>
      <c r="M128" s="5">
        <v>0.05</v>
      </c>
      <c r="N128" s="5">
        <v>11400</v>
      </c>
      <c r="O128" s="5">
        <v>7104.43</v>
      </c>
      <c r="P128" s="5">
        <v>4295.57</v>
      </c>
      <c r="Q128" s="5">
        <v>37.68</v>
      </c>
      <c r="R128" s="5" t="s">
        <v>73</v>
      </c>
      <c r="S128" s="5" t="s">
        <v>62</v>
      </c>
      <c r="T128" s="5" t="s">
        <v>43</v>
      </c>
      <c r="U128" s="5" t="s">
        <v>64</v>
      </c>
      <c r="V128" s="5">
        <v>2025</v>
      </c>
      <c r="W128" s="5" t="s">
        <v>109</v>
      </c>
      <c r="X128" s="5">
        <v>10</v>
      </c>
      <c r="Y128" s="1" t="s">
        <v>610</v>
      </c>
      <c r="Z128" s="5" t="s">
        <v>110</v>
      </c>
      <c r="AA128" s="5" t="s">
        <v>90</v>
      </c>
      <c r="AB128" s="5" t="s">
        <v>111</v>
      </c>
      <c r="AC128" s="5" t="s">
        <v>121</v>
      </c>
      <c r="AD128" s="5">
        <v>4</v>
      </c>
    </row>
    <row r="129" spans="1:30">
      <c r="A129" s="5" t="s">
        <v>611</v>
      </c>
      <c r="B129" s="1">
        <v>45690</v>
      </c>
      <c r="C129" s="5" t="s">
        <v>612</v>
      </c>
      <c r="D129" s="5" t="s">
        <v>422</v>
      </c>
      <c r="E129" s="5" t="s">
        <v>103</v>
      </c>
      <c r="F129" s="5" t="s">
        <v>36</v>
      </c>
      <c r="G129" s="5" t="s">
        <v>37</v>
      </c>
      <c r="H129" s="5" t="s">
        <v>171</v>
      </c>
      <c r="I129" s="5" t="s">
        <v>84</v>
      </c>
      <c r="J129" s="5" t="s">
        <v>85</v>
      </c>
      <c r="K129" s="5">
        <v>10</v>
      </c>
      <c r="L129" s="5">
        <v>200</v>
      </c>
      <c r="M129" s="5">
        <v>0.2</v>
      </c>
      <c r="N129" s="5">
        <v>1600</v>
      </c>
      <c r="O129" s="5">
        <v>1045.82</v>
      </c>
      <c r="P129" s="5">
        <v>554.17999999999995</v>
      </c>
      <c r="Q129" s="5">
        <v>34.64</v>
      </c>
      <c r="R129" s="5" t="s">
        <v>106</v>
      </c>
      <c r="S129" s="5" t="s">
        <v>74</v>
      </c>
      <c r="T129" s="5" t="s">
        <v>75</v>
      </c>
      <c r="U129" s="5" t="s">
        <v>98</v>
      </c>
      <c r="V129" s="5">
        <v>2025</v>
      </c>
      <c r="W129" s="5" t="s">
        <v>45</v>
      </c>
      <c r="X129" s="5">
        <v>9</v>
      </c>
      <c r="Y129" s="1">
        <v>45963</v>
      </c>
      <c r="Z129" s="5" t="s">
        <v>47</v>
      </c>
      <c r="AA129" s="5" t="s">
        <v>90</v>
      </c>
      <c r="AB129" s="5" t="s">
        <v>49</v>
      </c>
      <c r="AC129" s="5" t="s">
        <v>50</v>
      </c>
      <c r="AD129" s="5">
        <v>5</v>
      </c>
    </row>
    <row r="130" spans="1:30">
      <c r="A130" s="5" t="s">
        <v>613</v>
      </c>
      <c r="B130" s="1">
        <v>45812</v>
      </c>
      <c r="C130" s="5" t="s">
        <v>614</v>
      </c>
      <c r="D130" s="5" t="s">
        <v>512</v>
      </c>
      <c r="E130" s="5" t="s">
        <v>103</v>
      </c>
      <c r="F130" s="5" t="s">
        <v>144</v>
      </c>
      <c r="G130" s="5" t="s">
        <v>145</v>
      </c>
      <c r="H130" s="5" t="s">
        <v>94</v>
      </c>
      <c r="I130" s="5" t="s">
        <v>59</v>
      </c>
      <c r="J130" s="5" t="s">
        <v>133</v>
      </c>
      <c r="K130" s="5">
        <v>6</v>
      </c>
      <c r="L130" s="5">
        <v>500</v>
      </c>
      <c r="M130" s="5">
        <v>0.1</v>
      </c>
      <c r="N130" s="5">
        <v>2700</v>
      </c>
      <c r="O130" s="5">
        <v>1744.39</v>
      </c>
      <c r="P130" s="5">
        <v>955.61</v>
      </c>
      <c r="Q130" s="5">
        <v>35.39</v>
      </c>
      <c r="R130" s="5" t="s">
        <v>106</v>
      </c>
      <c r="S130" s="5" t="s">
        <v>42</v>
      </c>
      <c r="T130" s="5" t="s">
        <v>159</v>
      </c>
      <c r="U130" s="5" t="s">
        <v>44</v>
      </c>
      <c r="V130" s="5">
        <v>2025</v>
      </c>
      <c r="W130" s="5" t="s">
        <v>45</v>
      </c>
      <c r="X130" s="5">
        <v>8</v>
      </c>
      <c r="Y130" s="1" t="s">
        <v>615</v>
      </c>
      <c r="Z130" s="5" t="s">
        <v>47</v>
      </c>
      <c r="AA130" s="5" t="s">
        <v>90</v>
      </c>
      <c r="AB130" s="5" t="s">
        <v>111</v>
      </c>
      <c r="AC130" s="5" t="s">
        <v>121</v>
      </c>
      <c r="AD130" s="5">
        <v>1</v>
      </c>
    </row>
    <row r="131" spans="1:30">
      <c r="A131" s="5" t="s">
        <v>616</v>
      </c>
      <c r="B131" s="1">
        <v>45748</v>
      </c>
      <c r="C131" s="5" t="s">
        <v>589</v>
      </c>
      <c r="D131" s="5" t="s">
        <v>617</v>
      </c>
      <c r="E131" s="5" t="s">
        <v>55</v>
      </c>
      <c r="F131" s="5" t="s">
        <v>116</v>
      </c>
      <c r="G131" s="5" t="s">
        <v>37</v>
      </c>
      <c r="H131" s="5" t="s">
        <v>58</v>
      </c>
      <c r="I131" s="5" t="s">
        <v>95</v>
      </c>
      <c r="J131" s="5" t="s">
        <v>440</v>
      </c>
      <c r="K131" s="5">
        <v>3</v>
      </c>
      <c r="L131" s="5">
        <v>9000</v>
      </c>
      <c r="M131" s="5">
        <v>0.1</v>
      </c>
      <c r="N131" s="5">
        <v>24300</v>
      </c>
      <c r="O131" s="5">
        <v>13399.09</v>
      </c>
      <c r="P131" s="5">
        <v>10900.91</v>
      </c>
      <c r="Q131" s="5">
        <v>44.86</v>
      </c>
      <c r="R131" s="5" t="s">
        <v>73</v>
      </c>
      <c r="S131" s="5" t="s">
        <v>74</v>
      </c>
      <c r="T131" s="5" t="s">
        <v>118</v>
      </c>
      <c r="U131" s="5" t="s">
        <v>76</v>
      </c>
      <c r="V131" s="5">
        <v>2025</v>
      </c>
      <c r="W131" s="5" t="s">
        <v>65</v>
      </c>
      <c r="X131" s="5">
        <v>2</v>
      </c>
      <c r="Y131" s="1">
        <v>45809</v>
      </c>
      <c r="Z131" s="5" t="s">
        <v>47</v>
      </c>
      <c r="AA131" s="5" t="s">
        <v>67</v>
      </c>
      <c r="AB131" s="5" t="s">
        <v>78</v>
      </c>
      <c r="AC131" s="5" t="s">
        <v>50</v>
      </c>
      <c r="AD131" s="5">
        <v>1</v>
      </c>
    </row>
    <row r="132" spans="1:30">
      <c r="A132" s="5" t="s">
        <v>618</v>
      </c>
      <c r="B132" s="1">
        <v>45756</v>
      </c>
      <c r="C132" s="5" t="s">
        <v>619</v>
      </c>
      <c r="D132" s="5" t="s">
        <v>620</v>
      </c>
      <c r="E132" s="5" t="s">
        <v>35</v>
      </c>
      <c r="F132" s="5" t="s">
        <v>104</v>
      </c>
      <c r="G132" s="5" t="s">
        <v>104</v>
      </c>
      <c r="H132" s="5" t="s">
        <v>38</v>
      </c>
      <c r="I132" s="5" t="s">
        <v>39</v>
      </c>
      <c r="J132" s="5" t="s">
        <v>40</v>
      </c>
      <c r="K132" s="5">
        <v>9</v>
      </c>
      <c r="L132" s="5">
        <v>8000</v>
      </c>
      <c r="M132" s="5">
        <v>0.2</v>
      </c>
      <c r="N132" s="5">
        <v>57600</v>
      </c>
      <c r="O132" s="5">
        <v>31871.919999999998</v>
      </c>
      <c r="P132" s="5">
        <v>25728.080000000002</v>
      </c>
      <c r="Q132" s="5">
        <v>44.67</v>
      </c>
      <c r="R132" s="5" t="s">
        <v>41</v>
      </c>
      <c r="S132" s="5" t="s">
        <v>42</v>
      </c>
      <c r="T132" s="5" t="s">
        <v>118</v>
      </c>
      <c r="U132" s="5" t="s">
        <v>108</v>
      </c>
      <c r="V132" s="5">
        <v>2025</v>
      </c>
      <c r="W132" s="5" t="s">
        <v>139</v>
      </c>
      <c r="X132" s="5">
        <v>6</v>
      </c>
      <c r="Y132" s="1">
        <v>45939</v>
      </c>
      <c r="Z132" s="5" t="s">
        <v>110</v>
      </c>
      <c r="AA132" s="5" t="s">
        <v>48</v>
      </c>
      <c r="AB132" s="5" t="s">
        <v>78</v>
      </c>
      <c r="AC132" s="5" t="s">
        <v>121</v>
      </c>
      <c r="AD132" s="5">
        <v>2</v>
      </c>
    </row>
    <row r="133" spans="1:30">
      <c r="A133" s="5" t="s">
        <v>621</v>
      </c>
      <c r="B133" s="1" t="s">
        <v>394</v>
      </c>
      <c r="C133" s="5" t="s">
        <v>622</v>
      </c>
      <c r="D133" s="5" t="s">
        <v>623</v>
      </c>
      <c r="E133" s="5" t="s">
        <v>55</v>
      </c>
      <c r="F133" s="5" t="s">
        <v>116</v>
      </c>
      <c r="G133" s="5" t="s">
        <v>37</v>
      </c>
      <c r="H133" s="5" t="s">
        <v>38</v>
      </c>
      <c r="I133" s="5" t="s">
        <v>84</v>
      </c>
      <c r="J133" s="5" t="s">
        <v>229</v>
      </c>
      <c r="K133" s="5">
        <v>8</v>
      </c>
      <c r="L133" s="5">
        <v>200</v>
      </c>
      <c r="M133" s="5">
        <v>0</v>
      </c>
      <c r="N133" s="5">
        <v>1600</v>
      </c>
      <c r="O133" s="5">
        <v>1061.92</v>
      </c>
      <c r="P133" s="5">
        <v>538.08000000000004</v>
      </c>
      <c r="Q133" s="5">
        <v>33.630000000000003</v>
      </c>
      <c r="R133" s="5" t="s">
        <v>166</v>
      </c>
      <c r="S133" s="5" t="s">
        <v>42</v>
      </c>
      <c r="T133" s="5" t="s">
        <v>63</v>
      </c>
      <c r="U133" s="5" t="s">
        <v>160</v>
      </c>
      <c r="V133" s="5">
        <v>2024</v>
      </c>
      <c r="W133" s="5" t="s">
        <v>139</v>
      </c>
      <c r="X133" s="5">
        <v>7</v>
      </c>
      <c r="Y133" s="1" t="s">
        <v>624</v>
      </c>
      <c r="Z133" s="5" t="s">
        <v>47</v>
      </c>
      <c r="AA133" s="5" t="s">
        <v>90</v>
      </c>
      <c r="AB133" s="5" t="s">
        <v>78</v>
      </c>
      <c r="AC133" s="5" t="s">
        <v>121</v>
      </c>
      <c r="AD133" s="5">
        <v>2</v>
      </c>
    </row>
    <row r="134" spans="1:30">
      <c r="A134" s="5" t="s">
        <v>625</v>
      </c>
      <c r="B134" s="1">
        <v>45363</v>
      </c>
      <c r="C134" s="5" t="s">
        <v>626</v>
      </c>
      <c r="D134" s="5" t="s">
        <v>627</v>
      </c>
      <c r="E134" s="5" t="s">
        <v>55</v>
      </c>
      <c r="F134" s="5" t="s">
        <v>116</v>
      </c>
      <c r="G134" s="5" t="s">
        <v>37</v>
      </c>
      <c r="H134" s="5" t="s">
        <v>171</v>
      </c>
      <c r="I134" s="5" t="s">
        <v>39</v>
      </c>
      <c r="J134" s="5" t="s">
        <v>253</v>
      </c>
      <c r="K134" s="5">
        <v>6</v>
      </c>
      <c r="L134" s="5">
        <v>35000</v>
      </c>
      <c r="M134" s="5">
        <v>0.15</v>
      </c>
      <c r="N134" s="5">
        <v>178500</v>
      </c>
      <c r="O134" s="5">
        <v>118928.55</v>
      </c>
      <c r="P134" s="5">
        <v>59571.45</v>
      </c>
      <c r="Q134" s="5">
        <v>33.369999999999997</v>
      </c>
      <c r="R134" s="5" t="s">
        <v>41</v>
      </c>
      <c r="S134" s="5" t="s">
        <v>42</v>
      </c>
      <c r="T134" s="5" t="s">
        <v>86</v>
      </c>
      <c r="U134" s="5" t="s">
        <v>64</v>
      </c>
      <c r="V134" s="5">
        <v>2024</v>
      </c>
      <c r="W134" s="5" t="s">
        <v>109</v>
      </c>
      <c r="X134" s="5">
        <v>8</v>
      </c>
      <c r="Y134" s="1">
        <v>45608</v>
      </c>
      <c r="Z134" s="5" t="s">
        <v>47</v>
      </c>
      <c r="AA134" s="5" t="s">
        <v>67</v>
      </c>
      <c r="AB134" s="5" t="s">
        <v>78</v>
      </c>
      <c r="AC134" s="5" t="s">
        <v>121</v>
      </c>
      <c r="AD134" s="5">
        <v>4</v>
      </c>
    </row>
    <row r="135" spans="1:30">
      <c r="A135" s="5" t="s">
        <v>628</v>
      </c>
      <c r="B135" s="1" t="s">
        <v>429</v>
      </c>
      <c r="C135" s="5" t="s">
        <v>629</v>
      </c>
      <c r="D135" s="5" t="s">
        <v>364</v>
      </c>
      <c r="E135" s="5" t="s">
        <v>103</v>
      </c>
      <c r="F135" s="5" t="s">
        <v>82</v>
      </c>
      <c r="G135" s="5" t="s">
        <v>83</v>
      </c>
      <c r="H135" s="5" t="s">
        <v>38</v>
      </c>
      <c r="I135" s="5" t="s">
        <v>84</v>
      </c>
      <c r="J135" s="5" t="s">
        <v>290</v>
      </c>
      <c r="K135" s="5">
        <v>10</v>
      </c>
      <c r="L135" s="5">
        <v>200</v>
      </c>
      <c r="M135" s="5">
        <v>0.1</v>
      </c>
      <c r="N135" s="5">
        <v>1800</v>
      </c>
      <c r="O135" s="5">
        <v>1167.4000000000001</v>
      </c>
      <c r="P135" s="5">
        <v>632.6</v>
      </c>
      <c r="Q135" s="5">
        <v>35.14</v>
      </c>
      <c r="R135" s="5" t="s">
        <v>41</v>
      </c>
      <c r="S135" s="5" t="s">
        <v>74</v>
      </c>
      <c r="T135" s="5" t="s">
        <v>138</v>
      </c>
      <c r="U135" s="5" t="s">
        <v>76</v>
      </c>
      <c r="V135" s="5">
        <v>2025</v>
      </c>
      <c r="W135" s="5" t="s">
        <v>126</v>
      </c>
      <c r="X135" s="5">
        <v>5</v>
      </c>
      <c r="Y135" s="1" t="s">
        <v>630</v>
      </c>
      <c r="Z135" s="5" t="s">
        <v>110</v>
      </c>
      <c r="AA135" s="5" t="s">
        <v>48</v>
      </c>
      <c r="AB135" s="5" t="s">
        <v>49</v>
      </c>
      <c r="AC135" s="5" t="s">
        <v>50</v>
      </c>
      <c r="AD135" s="5">
        <v>3</v>
      </c>
    </row>
    <row r="136" spans="1:30">
      <c r="A136" s="5" t="s">
        <v>631</v>
      </c>
      <c r="B136" s="1" t="s">
        <v>632</v>
      </c>
      <c r="C136" s="5" t="s">
        <v>633</v>
      </c>
      <c r="D136" s="5" t="s">
        <v>634</v>
      </c>
      <c r="E136" s="5" t="s">
        <v>55</v>
      </c>
      <c r="F136" s="5" t="s">
        <v>36</v>
      </c>
      <c r="G136" s="5" t="s">
        <v>37</v>
      </c>
      <c r="H136" s="5" t="s">
        <v>94</v>
      </c>
      <c r="I136" s="5" t="s">
        <v>71</v>
      </c>
      <c r="J136" s="5" t="s">
        <v>158</v>
      </c>
      <c r="K136" s="5">
        <v>3</v>
      </c>
      <c r="L136" s="5">
        <v>1800</v>
      </c>
      <c r="M136" s="5">
        <v>0.05</v>
      </c>
      <c r="N136" s="5">
        <v>5130</v>
      </c>
      <c r="O136" s="5">
        <v>3914.45</v>
      </c>
      <c r="P136" s="5">
        <v>1215.55</v>
      </c>
      <c r="Q136" s="5">
        <v>23.69</v>
      </c>
      <c r="R136" s="5" t="s">
        <v>41</v>
      </c>
      <c r="S136" s="5" t="s">
        <v>42</v>
      </c>
      <c r="T136" s="5" t="s">
        <v>75</v>
      </c>
      <c r="U136" s="5" t="s">
        <v>108</v>
      </c>
      <c r="V136" s="5">
        <v>2024</v>
      </c>
      <c r="W136" s="5" t="s">
        <v>45</v>
      </c>
      <c r="X136" s="5">
        <v>3</v>
      </c>
      <c r="Y136" s="1" t="s">
        <v>635</v>
      </c>
      <c r="Z136" s="5" t="s">
        <v>110</v>
      </c>
      <c r="AA136" s="5" t="s">
        <v>48</v>
      </c>
      <c r="AB136" s="5" t="s">
        <v>49</v>
      </c>
      <c r="AC136" s="5" t="s">
        <v>50</v>
      </c>
      <c r="AD136" s="5">
        <v>5</v>
      </c>
    </row>
    <row r="137" spans="1:30">
      <c r="A137" s="5" t="s">
        <v>636</v>
      </c>
      <c r="B137" s="1" t="s">
        <v>637</v>
      </c>
      <c r="C137" s="5" t="s">
        <v>262</v>
      </c>
      <c r="D137" s="5" t="s">
        <v>620</v>
      </c>
      <c r="E137" s="5" t="s">
        <v>55</v>
      </c>
      <c r="F137" s="5" t="s">
        <v>144</v>
      </c>
      <c r="G137" s="5" t="s">
        <v>145</v>
      </c>
      <c r="H137" s="5" t="s">
        <v>94</v>
      </c>
      <c r="I137" s="5" t="s">
        <v>39</v>
      </c>
      <c r="J137" s="5" t="s">
        <v>356</v>
      </c>
      <c r="K137" s="5">
        <v>4</v>
      </c>
      <c r="L137" s="5">
        <v>50000</v>
      </c>
      <c r="M137" s="5">
        <v>0.1</v>
      </c>
      <c r="N137" s="5">
        <v>180000</v>
      </c>
      <c r="O137" s="5">
        <v>126372.51</v>
      </c>
      <c r="P137" s="5">
        <v>53627.49</v>
      </c>
      <c r="Q137" s="5">
        <v>29.79</v>
      </c>
      <c r="R137" s="5" t="s">
        <v>106</v>
      </c>
      <c r="S137" s="5" t="s">
        <v>74</v>
      </c>
      <c r="T137" s="5" t="s">
        <v>173</v>
      </c>
      <c r="U137" s="5" t="s">
        <v>160</v>
      </c>
      <c r="V137" s="5">
        <v>2024</v>
      </c>
      <c r="W137" s="5" t="s">
        <v>134</v>
      </c>
      <c r="X137" s="5">
        <v>10</v>
      </c>
      <c r="Y137" s="1" t="s">
        <v>638</v>
      </c>
      <c r="Z137" s="5" t="s">
        <v>47</v>
      </c>
      <c r="AA137" s="5" t="s">
        <v>67</v>
      </c>
      <c r="AB137" s="5" t="s">
        <v>49</v>
      </c>
      <c r="AC137" s="5" t="s">
        <v>121</v>
      </c>
      <c r="AD137" s="5">
        <v>4</v>
      </c>
    </row>
    <row r="138" spans="1:30">
      <c r="A138" s="5" t="s">
        <v>639</v>
      </c>
      <c r="B138" s="1" t="s">
        <v>66</v>
      </c>
      <c r="C138" s="5" t="s">
        <v>640</v>
      </c>
      <c r="D138" s="5" t="s">
        <v>641</v>
      </c>
      <c r="E138" s="5" t="s">
        <v>103</v>
      </c>
      <c r="F138" s="5" t="s">
        <v>82</v>
      </c>
      <c r="G138" s="5" t="s">
        <v>83</v>
      </c>
      <c r="H138" s="5" t="s">
        <v>38</v>
      </c>
      <c r="I138" s="5" t="s">
        <v>71</v>
      </c>
      <c r="J138" s="5" t="s">
        <v>158</v>
      </c>
      <c r="K138" s="5">
        <v>10</v>
      </c>
      <c r="L138" s="5">
        <v>3500</v>
      </c>
      <c r="M138" s="5">
        <v>0.05</v>
      </c>
      <c r="N138" s="5">
        <v>33250</v>
      </c>
      <c r="O138" s="5">
        <v>19226.09</v>
      </c>
      <c r="P138" s="5">
        <v>14023.91</v>
      </c>
      <c r="Q138" s="5">
        <v>42.18</v>
      </c>
      <c r="R138" s="5" t="s">
        <v>61</v>
      </c>
      <c r="S138" s="5" t="s">
        <v>62</v>
      </c>
      <c r="T138" s="5" t="s">
        <v>97</v>
      </c>
      <c r="U138" s="5" t="s">
        <v>64</v>
      </c>
      <c r="V138" s="5">
        <v>2024</v>
      </c>
      <c r="W138" s="5" t="s">
        <v>139</v>
      </c>
      <c r="X138" s="5">
        <v>1</v>
      </c>
      <c r="Y138" s="1" t="s">
        <v>534</v>
      </c>
      <c r="Z138" s="5" t="s">
        <v>110</v>
      </c>
      <c r="AA138" s="5" t="s">
        <v>67</v>
      </c>
      <c r="AB138" s="5" t="s">
        <v>49</v>
      </c>
      <c r="AC138" s="5" t="s">
        <v>50</v>
      </c>
      <c r="AD138" s="5">
        <v>3</v>
      </c>
    </row>
    <row r="139" spans="1:30">
      <c r="A139" s="5" t="s">
        <v>642</v>
      </c>
      <c r="B139" s="1">
        <v>45362</v>
      </c>
      <c r="C139" s="5" t="s">
        <v>421</v>
      </c>
      <c r="D139" s="5" t="s">
        <v>643</v>
      </c>
      <c r="E139" s="5" t="s">
        <v>35</v>
      </c>
      <c r="F139" s="5" t="s">
        <v>56</v>
      </c>
      <c r="G139" s="5" t="s">
        <v>57</v>
      </c>
      <c r="H139" s="5" t="s">
        <v>38</v>
      </c>
      <c r="I139" s="5" t="s">
        <v>39</v>
      </c>
      <c r="J139" s="5" t="s">
        <v>253</v>
      </c>
      <c r="K139" s="5">
        <v>8</v>
      </c>
      <c r="L139" s="5">
        <v>15000</v>
      </c>
      <c r="M139" s="5">
        <v>0</v>
      </c>
      <c r="N139" s="5">
        <v>120000</v>
      </c>
      <c r="O139" s="5">
        <v>66731.759999999995</v>
      </c>
      <c r="P139" s="5">
        <v>53268.24</v>
      </c>
      <c r="Q139" s="5">
        <v>44.39</v>
      </c>
      <c r="R139" s="5" t="s">
        <v>41</v>
      </c>
      <c r="S139" s="5" t="s">
        <v>74</v>
      </c>
      <c r="T139" s="5" t="s">
        <v>107</v>
      </c>
      <c r="U139" s="5" t="s">
        <v>198</v>
      </c>
      <c r="V139" s="5">
        <v>2024</v>
      </c>
      <c r="W139" s="5" t="s">
        <v>45</v>
      </c>
      <c r="X139" s="5">
        <v>1</v>
      </c>
      <c r="Y139" s="1">
        <v>45393</v>
      </c>
      <c r="Z139" s="5" t="s">
        <v>47</v>
      </c>
      <c r="AA139" s="5" t="s">
        <v>90</v>
      </c>
      <c r="AB139" s="5" t="s">
        <v>78</v>
      </c>
      <c r="AC139" s="5" t="s">
        <v>50</v>
      </c>
      <c r="AD139" s="5">
        <v>4</v>
      </c>
    </row>
    <row r="140" spans="1:30">
      <c r="A140" s="5" t="s">
        <v>644</v>
      </c>
      <c r="B140" s="1" t="s">
        <v>340</v>
      </c>
      <c r="C140" s="5" t="s">
        <v>645</v>
      </c>
      <c r="D140" s="5" t="s">
        <v>646</v>
      </c>
      <c r="E140" s="5" t="s">
        <v>103</v>
      </c>
      <c r="F140" s="5" t="s">
        <v>149</v>
      </c>
      <c r="G140" s="5" t="s">
        <v>150</v>
      </c>
      <c r="H140" s="5" t="s">
        <v>38</v>
      </c>
      <c r="I140" s="5" t="s">
        <v>71</v>
      </c>
      <c r="J140" s="5" t="s">
        <v>117</v>
      </c>
      <c r="K140" s="5">
        <v>3</v>
      </c>
      <c r="L140" s="5">
        <v>2500</v>
      </c>
      <c r="M140" s="5">
        <v>0.15</v>
      </c>
      <c r="N140" s="5">
        <v>6375</v>
      </c>
      <c r="O140" s="5">
        <v>4280.08</v>
      </c>
      <c r="P140" s="5">
        <v>2094.92</v>
      </c>
      <c r="Q140" s="5">
        <v>32.86</v>
      </c>
      <c r="R140" s="5" t="s">
        <v>73</v>
      </c>
      <c r="S140" s="5" t="s">
        <v>62</v>
      </c>
      <c r="T140" s="5" t="s">
        <v>173</v>
      </c>
      <c r="U140" s="5" t="s">
        <v>76</v>
      </c>
      <c r="V140" s="5">
        <v>2024</v>
      </c>
      <c r="W140" s="5" t="s">
        <v>109</v>
      </c>
      <c r="X140" s="5">
        <v>10</v>
      </c>
      <c r="Y140" s="1">
        <v>45537</v>
      </c>
      <c r="Z140" s="5" t="s">
        <v>47</v>
      </c>
      <c r="AA140" s="5" t="s">
        <v>48</v>
      </c>
      <c r="AB140" s="5" t="s">
        <v>49</v>
      </c>
      <c r="AC140" s="5" t="s">
        <v>121</v>
      </c>
      <c r="AD140" s="5">
        <v>3</v>
      </c>
    </row>
    <row r="141" spans="1:30">
      <c r="A141" s="5" t="s">
        <v>647</v>
      </c>
      <c r="B141" s="1" t="s">
        <v>648</v>
      </c>
      <c r="C141" s="5" t="s">
        <v>649</v>
      </c>
      <c r="D141" s="5" t="s">
        <v>650</v>
      </c>
      <c r="E141" s="5" t="s">
        <v>55</v>
      </c>
      <c r="F141" s="5" t="s">
        <v>82</v>
      </c>
      <c r="G141" s="5" t="s">
        <v>83</v>
      </c>
      <c r="H141" s="5" t="s">
        <v>171</v>
      </c>
      <c r="I141" s="5" t="s">
        <v>95</v>
      </c>
      <c r="J141" s="5" t="s">
        <v>440</v>
      </c>
      <c r="K141" s="5">
        <v>2</v>
      </c>
      <c r="L141" s="5">
        <v>6000</v>
      </c>
      <c r="M141" s="5">
        <v>0.15</v>
      </c>
      <c r="N141" s="5">
        <v>10200</v>
      </c>
      <c r="O141" s="5">
        <v>6680.31</v>
      </c>
      <c r="P141" s="5">
        <v>3519.69</v>
      </c>
      <c r="Q141" s="5">
        <v>34.51</v>
      </c>
      <c r="R141" s="5" t="s">
        <v>166</v>
      </c>
      <c r="S141" s="5" t="s">
        <v>42</v>
      </c>
      <c r="T141" s="5" t="s">
        <v>118</v>
      </c>
      <c r="U141" s="5" t="s">
        <v>160</v>
      </c>
      <c r="V141" s="5">
        <v>2025</v>
      </c>
      <c r="W141" s="5" t="s">
        <v>109</v>
      </c>
      <c r="X141" s="5">
        <v>6</v>
      </c>
      <c r="Y141" s="1" t="s">
        <v>235</v>
      </c>
      <c r="Z141" s="5" t="s">
        <v>89</v>
      </c>
      <c r="AA141" s="5" t="s">
        <v>48</v>
      </c>
      <c r="AB141" s="5" t="s">
        <v>111</v>
      </c>
      <c r="AC141" s="5" t="s">
        <v>50</v>
      </c>
      <c r="AD141" s="5">
        <v>5</v>
      </c>
    </row>
    <row r="142" spans="1:30">
      <c r="A142" s="5" t="s">
        <v>651</v>
      </c>
      <c r="B142" s="1">
        <v>45515</v>
      </c>
      <c r="C142" s="5" t="s">
        <v>652</v>
      </c>
      <c r="D142" s="5" t="s">
        <v>653</v>
      </c>
      <c r="E142" s="5" t="s">
        <v>55</v>
      </c>
      <c r="F142" s="5" t="s">
        <v>144</v>
      </c>
      <c r="G142" s="5" t="s">
        <v>145</v>
      </c>
      <c r="H142" s="5" t="s">
        <v>38</v>
      </c>
      <c r="I142" s="5" t="s">
        <v>39</v>
      </c>
      <c r="J142" s="5" t="s">
        <v>105</v>
      </c>
      <c r="K142" s="5">
        <v>6</v>
      </c>
      <c r="L142" s="5">
        <v>8000</v>
      </c>
      <c r="M142" s="5">
        <v>0.05</v>
      </c>
      <c r="N142" s="5">
        <v>45600</v>
      </c>
      <c r="O142" s="5">
        <v>29676.14</v>
      </c>
      <c r="P142" s="5">
        <v>15923.86</v>
      </c>
      <c r="Q142" s="5">
        <v>34.92</v>
      </c>
      <c r="R142" s="5" t="s">
        <v>41</v>
      </c>
      <c r="S142" s="5" t="s">
        <v>62</v>
      </c>
      <c r="T142" s="5" t="s">
        <v>75</v>
      </c>
      <c r="U142" s="5" t="s">
        <v>198</v>
      </c>
      <c r="V142" s="5">
        <v>2024</v>
      </c>
      <c r="W142" s="5" t="s">
        <v>194</v>
      </c>
      <c r="X142" s="5">
        <v>2</v>
      </c>
      <c r="Y142" s="1">
        <v>45576</v>
      </c>
      <c r="Z142" s="5" t="s">
        <v>47</v>
      </c>
      <c r="AA142" s="5" t="s">
        <v>90</v>
      </c>
      <c r="AB142" s="5" t="s">
        <v>78</v>
      </c>
      <c r="AC142" s="5" t="s">
        <v>121</v>
      </c>
      <c r="AD142" s="5">
        <v>5</v>
      </c>
    </row>
    <row r="143" spans="1:30">
      <c r="A143" s="5" t="s">
        <v>654</v>
      </c>
      <c r="B143" s="1">
        <v>45812</v>
      </c>
      <c r="C143" s="5" t="s">
        <v>655</v>
      </c>
      <c r="D143" s="5" t="s">
        <v>542</v>
      </c>
      <c r="E143" s="5" t="s">
        <v>35</v>
      </c>
      <c r="F143" s="5" t="s">
        <v>245</v>
      </c>
      <c r="G143" s="5" t="s">
        <v>246</v>
      </c>
      <c r="H143" s="5" t="s">
        <v>94</v>
      </c>
      <c r="I143" s="5" t="s">
        <v>71</v>
      </c>
      <c r="J143" s="5" t="s">
        <v>240</v>
      </c>
      <c r="K143" s="5">
        <v>3</v>
      </c>
      <c r="L143" s="5">
        <v>1200</v>
      </c>
      <c r="M143" s="5">
        <v>0.1</v>
      </c>
      <c r="N143" s="5">
        <v>3240</v>
      </c>
      <c r="O143" s="5">
        <v>2539.16</v>
      </c>
      <c r="P143" s="5">
        <v>700.84</v>
      </c>
      <c r="Q143" s="5">
        <v>21.63</v>
      </c>
      <c r="R143" s="5" t="s">
        <v>41</v>
      </c>
      <c r="S143" s="5" t="s">
        <v>42</v>
      </c>
      <c r="T143" s="5" t="s">
        <v>138</v>
      </c>
      <c r="U143" s="5" t="s">
        <v>44</v>
      </c>
      <c r="V143" s="5">
        <v>2025</v>
      </c>
      <c r="W143" s="5" t="s">
        <v>45</v>
      </c>
      <c r="X143" s="5">
        <v>10</v>
      </c>
      <c r="Y143" s="1" t="s">
        <v>656</v>
      </c>
      <c r="Z143" s="5" t="s">
        <v>47</v>
      </c>
      <c r="AA143" s="5" t="s">
        <v>67</v>
      </c>
      <c r="AB143" s="5" t="s">
        <v>111</v>
      </c>
      <c r="AC143" s="5" t="s">
        <v>50</v>
      </c>
      <c r="AD143" s="5">
        <v>4</v>
      </c>
    </row>
    <row r="144" spans="1:30">
      <c r="A144" s="5" t="s">
        <v>657</v>
      </c>
      <c r="B144" s="1" t="s">
        <v>658</v>
      </c>
      <c r="C144" s="5" t="s">
        <v>659</v>
      </c>
      <c r="D144" s="5" t="s">
        <v>660</v>
      </c>
      <c r="E144" s="5" t="s">
        <v>55</v>
      </c>
      <c r="F144" s="5" t="s">
        <v>56</v>
      </c>
      <c r="G144" s="5" t="s">
        <v>57</v>
      </c>
      <c r="H144" s="5" t="s">
        <v>94</v>
      </c>
      <c r="I144" s="5" t="s">
        <v>71</v>
      </c>
      <c r="J144" s="5" t="s">
        <v>117</v>
      </c>
      <c r="K144" s="5">
        <v>2</v>
      </c>
      <c r="L144" s="5">
        <v>3500</v>
      </c>
      <c r="M144" s="5">
        <v>0</v>
      </c>
      <c r="N144" s="5">
        <v>7000</v>
      </c>
      <c r="O144" s="5">
        <v>4369.47</v>
      </c>
      <c r="P144" s="5">
        <v>2630.53</v>
      </c>
      <c r="Q144" s="5">
        <v>37.58</v>
      </c>
      <c r="R144" s="5" t="s">
        <v>41</v>
      </c>
      <c r="S144" s="5" t="s">
        <v>42</v>
      </c>
      <c r="T144" s="5" t="s">
        <v>173</v>
      </c>
      <c r="U144" s="5" t="s">
        <v>218</v>
      </c>
      <c r="V144" s="5">
        <v>2024</v>
      </c>
      <c r="W144" s="5" t="s">
        <v>109</v>
      </c>
      <c r="X144" s="5">
        <v>5</v>
      </c>
      <c r="Y144" s="1" t="s">
        <v>661</v>
      </c>
      <c r="Z144" s="5" t="s">
        <v>47</v>
      </c>
      <c r="AA144" s="5" t="s">
        <v>48</v>
      </c>
      <c r="AB144" s="5" t="s">
        <v>49</v>
      </c>
      <c r="AC144" s="5" t="s">
        <v>50</v>
      </c>
      <c r="AD144" s="5">
        <v>5</v>
      </c>
    </row>
    <row r="145" spans="1:30">
      <c r="A145" s="5" t="s">
        <v>662</v>
      </c>
      <c r="B145" s="1">
        <v>45964</v>
      </c>
      <c r="C145" s="5" t="s">
        <v>33</v>
      </c>
      <c r="D145" s="5" t="s">
        <v>155</v>
      </c>
      <c r="E145" s="5" t="s">
        <v>55</v>
      </c>
      <c r="F145" s="5" t="s">
        <v>82</v>
      </c>
      <c r="G145" s="5" t="s">
        <v>83</v>
      </c>
      <c r="H145" s="5" t="s">
        <v>58</v>
      </c>
      <c r="I145" s="5" t="s">
        <v>59</v>
      </c>
      <c r="J145" s="5" t="s">
        <v>328</v>
      </c>
      <c r="K145" s="5">
        <v>8</v>
      </c>
      <c r="L145" s="5">
        <v>3000</v>
      </c>
      <c r="M145" s="5">
        <v>0.05</v>
      </c>
      <c r="N145" s="5">
        <v>22800</v>
      </c>
      <c r="O145" s="5">
        <v>14372.7</v>
      </c>
      <c r="P145" s="5">
        <v>8427.2999999999993</v>
      </c>
      <c r="Q145" s="5">
        <v>36.96</v>
      </c>
      <c r="R145" s="5" t="s">
        <v>166</v>
      </c>
      <c r="S145" s="5" t="s">
        <v>74</v>
      </c>
      <c r="T145" s="5" t="s">
        <v>86</v>
      </c>
      <c r="U145" s="5" t="s">
        <v>178</v>
      </c>
      <c r="V145" s="5">
        <v>2025</v>
      </c>
      <c r="W145" s="5" t="s">
        <v>109</v>
      </c>
      <c r="X145" s="5">
        <v>2</v>
      </c>
      <c r="Y145" s="1" t="s">
        <v>663</v>
      </c>
      <c r="Z145" s="5" t="s">
        <v>47</v>
      </c>
      <c r="AA145" s="5" t="s">
        <v>90</v>
      </c>
      <c r="AB145" s="5" t="s">
        <v>111</v>
      </c>
      <c r="AC145" s="5" t="s">
        <v>50</v>
      </c>
      <c r="AD145" s="5">
        <v>5</v>
      </c>
    </row>
    <row r="146" spans="1:30">
      <c r="A146" s="5" t="s">
        <v>664</v>
      </c>
      <c r="B146" s="1">
        <v>45294</v>
      </c>
      <c r="C146" s="5" t="s">
        <v>665</v>
      </c>
      <c r="D146" s="5" t="s">
        <v>666</v>
      </c>
      <c r="E146" s="5" t="s">
        <v>55</v>
      </c>
      <c r="F146" s="5" t="s">
        <v>156</v>
      </c>
      <c r="G146" s="5" t="s">
        <v>157</v>
      </c>
      <c r="H146" s="5" t="s">
        <v>171</v>
      </c>
      <c r="I146" s="5" t="s">
        <v>95</v>
      </c>
      <c r="J146" s="5" t="s">
        <v>96</v>
      </c>
      <c r="K146" s="5">
        <v>3</v>
      </c>
      <c r="L146" s="5">
        <v>4000</v>
      </c>
      <c r="M146" s="5">
        <v>0.05</v>
      </c>
      <c r="N146" s="5">
        <v>11400</v>
      </c>
      <c r="O146" s="5">
        <v>7908.36</v>
      </c>
      <c r="P146" s="5">
        <v>3491.64</v>
      </c>
      <c r="Q146" s="5">
        <v>30.63</v>
      </c>
      <c r="R146" s="5" t="s">
        <v>61</v>
      </c>
      <c r="S146" s="5" t="s">
        <v>42</v>
      </c>
      <c r="T146" s="5" t="s">
        <v>159</v>
      </c>
      <c r="U146" s="5" t="s">
        <v>178</v>
      </c>
      <c r="V146" s="5">
        <v>2024</v>
      </c>
      <c r="W146" s="5" t="s">
        <v>194</v>
      </c>
      <c r="X146" s="5">
        <v>10</v>
      </c>
      <c r="Y146" s="1">
        <v>45599</v>
      </c>
      <c r="Z146" s="5" t="s">
        <v>47</v>
      </c>
      <c r="AA146" s="5" t="s">
        <v>48</v>
      </c>
      <c r="AB146" s="5" t="s">
        <v>111</v>
      </c>
      <c r="AC146" s="5" t="s">
        <v>121</v>
      </c>
      <c r="AD146" s="5">
        <v>2</v>
      </c>
    </row>
    <row r="147" spans="1:30">
      <c r="A147" s="5" t="s">
        <v>667</v>
      </c>
      <c r="B147" s="1">
        <v>45635</v>
      </c>
      <c r="C147" s="5" t="s">
        <v>668</v>
      </c>
      <c r="D147" s="5" t="s">
        <v>669</v>
      </c>
      <c r="E147" s="5" t="s">
        <v>35</v>
      </c>
      <c r="F147" s="5" t="s">
        <v>156</v>
      </c>
      <c r="G147" s="5" t="s">
        <v>157</v>
      </c>
      <c r="H147" s="5" t="s">
        <v>171</v>
      </c>
      <c r="I147" s="5" t="s">
        <v>39</v>
      </c>
      <c r="J147" s="5" t="s">
        <v>40</v>
      </c>
      <c r="K147" s="5">
        <v>3</v>
      </c>
      <c r="L147" s="5">
        <v>50000</v>
      </c>
      <c r="M147" s="5">
        <v>0.05</v>
      </c>
      <c r="N147" s="5">
        <v>142500</v>
      </c>
      <c r="O147" s="5">
        <v>110250.84</v>
      </c>
      <c r="P147" s="5">
        <v>32249.16</v>
      </c>
      <c r="Q147" s="5">
        <v>22.63</v>
      </c>
      <c r="R147" s="5" t="s">
        <v>166</v>
      </c>
      <c r="S147" s="5" t="s">
        <v>62</v>
      </c>
      <c r="T147" s="5" t="s">
        <v>138</v>
      </c>
      <c r="U147" s="5" t="s">
        <v>108</v>
      </c>
      <c r="V147" s="5">
        <v>2024</v>
      </c>
      <c r="W147" s="5" t="s">
        <v>139</v>
      </c>
      <c r="X147" s="5">
        <v>3</v>
      </c>
      <c r="Y147" s="1" t="s">
        <v>632</v>
      </c>
      <c r="Z147" s="5" t="s">
        <v>47</v>
      </c>
      <c r="AA147" s="5" t="s">
        <v>90</v>
      </c>
      <c r="AB147" s="5" t="s">
        <v>111</v>
      </c>
      <c r="AC147" s="5" t="s">
        <v>121</v>
      </c>
      <c r="AD147" s="5">
        <v>4</v>
      </c>
    </row>
    <row r="148" spans="1:30">
      <c r="A148" s="5" t="s">
        <v>670</v>
      </c>
      <c r="B148" s="1" t="s">
        <v>575</v>
      </c>
      <c r="C148" s="5" t="s">
        <v>671</v>
      </c>
      <c r="D148" s="5" t="s">
        <v>672</v>
      </c>
      <c r="E148" s="5" t="s">
        <v>35</v>
      </c>
      <c r="F148" s="5" t="s">
        <v>131</v>
      </c>
      <c r="G148" s="5" t="s">
        <v>132</v>
      </c>
      <c r="H148" s="5" t="s">
        <v>94</v>
      </c>
      <c r="I148" s="5" t="s">
        <v>84</v>
      </c>
      <c r="J148" s="5" t="s">
        <v>229</v>
      </c>
      <c r="K148" s="5">
        <v>8</v>
      </c>
      <c r="L148" s="5">
        <v>500</v>
      </c>
      <c r="M148" s="5">
        <v>0.1</v>
      </c>
      <c r="N148" s="5">
        <v>3600</v>
      </c>
      <c r="O148" s="5">
        <v>2690.47</v>
      </c>
      <c r="P148" s="5">
        <v>909.53</v>
      </c>
      <c r="Q148" s="5">
        <v>25.26</v>
      </c>
      <c r="R148" s="5" t="s">
        <v>73</v>
      </c>
      <c r="S148" s="5" t="s">
        <v>62</v>
      </c>
      <c r="T148" s="5" t="s">
        <v>86</v>
      </c>
      <c r="U148" s="5" t="s">
        <v>218</v>
      </c>
      <c r="V148" s="5">
        <v>2025</v>
      </c>
      <c r="W148" s="5" t="s">
        <v>126</v>
      </c>
      <c r="X148" s="5">
        <v>1</v>
      </c>
      <c r="Y148" s="1" t="s">
        <v>673</v>
      </c>
      <c r="Z148" s="5" t="s">
        <v>47</v>
      </c>
      <c r="AA148" s="5" t="s">
        <v>67</v>
      </c>
      <c r="AB148" s="5" t="s">
        <v>78</v>
      </c>
      <c r="AC148" s="5" t="s">
        <v>50</v>
      </c>
      <c r="AD148" s="5">
        <v>3</v>
      </c>
    </row>
    <row r="149" spans="1:30">
      <c r="A149" s="5" t="s">
        <v>674</v>
      </c>
      <c r="B149" s="1" t="s">
        <v>181</v>
      </c>
      <c r="C149" s="5" t="s">
        <v>675</v>
      </c>
      <c r="D149" s="5" t="s">
        <v>34</v>
      </c>
      <c r="E149" s="5" t="s">
        <v>35</v>
      </c>
      <c r="F149" s="5" t="s">
        <v>82</v>
      </c>
      <c r="G149" s="5" t="s">
        <v>83</v>
      </c>
      <c r="H149" s="5" t="s">
        <v>94</v>
      </c>
      <c r="I149" s="5" t="s">
        <v>59</v>
      </c>
      <c r="J149" s="5" t="s">
        <v>372</v>
      </c>
      <c r="K149" s="5">
        <v>3</v>
      </c>
      <c r="L149" s="5">
        <v>3000</v>
      </c>
      <c r="M149" s="5">
        <v>0.15</v>
      </c>
      <c r="N149" s="5">
        <v>7650</v>
      </c>
      <c r="O149" s="5">
        <v>4413.17</v>
      </c>
      <c r="P149" s="5">
        <v>3236.83</v>
      </c>
      <c r="Q149" s="5">
        <v>42.31</v>
      </c>
      <c r="R149" s="5" t="s">
        <v>166</v>
      </c>
      <c r="S149" s="5" t="s">
        <v>74</v>
      </c>
      <c r="T149" s="5" t="s">
        <v>75</v>
      </c>
      <c r="U149" s="5" t="s">
        <v>64</v>
      </c>
      <c r="V149" s="5">
        <v>2024</v>
      </c>
      <c r="W149" s="5" t="s">
        <v>109</v>
      </c>
      <c r="X149" s="5">
        <v>1</v>
      </c>
      <c r="Y149" s="1" t="s">
        <v>577</v>
      </c>
      <c r="Z149" s="5" t="s">
        <v>47</v>
      </c>
      <c r="AA149" s="5" t="s">
        <v>90</v>
      </c>
      <c r="AB149" s="5" t="s">
        <v>111</v>
      </c>
      <c r="AC149" s="5" t="s">
        <v>121</v>
      </c>
      <c r="AD149" s="5">
        <v>3</v>
      </c>
    </row>
    <row r="150" spans="1:30">
      <c r="A150" s="5" t="s">
        <v>676</v>
      </c>
      <c r="B150" s="1" t="s">
        <v>77</v>
      </c>
      <c r="C150" s="5" t="s">
        <v>677</v>
      </c>
      <c r="D150" s="5" t="s">
        <v>678</v>
      </c>
      <c r="E150" s="5" t="s">
        <v>103</v>
      </c>
      <c r="F150" s="5" t="s">
        <v>245</v>
      </c>
      <c r="G150" s="5" t="s">
        <v>246</v>
      </c>
      <c r="H150" s="5" t="s">
        <v>58</v>
      </c>
      <c r="I150" s="5" t="s">
        <v>84</v>
      </c>
      <c r="J150" s="5" t="s">
        <v>390</v>
      </c>
      <c r="K150" s="5">
        <v>6</v>
      </c>
      <c r="L150" s="5">
        <v>350</v>
      </c>
      <c r="M150" s="5">
        <v>0</v>
      </c>
      <c r="N150" s="5">
        <v>2100</v>
      </c>
      <c r="O150" s="5">
        <v>1379.73</v>
      </c>
      <c r="P150" s="5">
        <v>720.27</v>
      </c>
      <c r="Q150" s="5">
        <v>34.299999999999997</v>
      </c>
      <c r="R150" s="5" t="s">
        <v>106</v>
      </c>
      <c r="S150" s="5" t="s">
        <v>74</v>
      </c>
      <c r="T150" s="5" t="s">
        <v>86</v>
      </c>
      <c r="U150" s="5" t="s">
        <v>76</v>
      </c>
      <c r="V150" s="5">
        <v>2025</v>
      </c>
      <c r="W150" s="5" t="s">
        <v>134</v>
      </c>
      <c r="X150" s="5">
        <v>3</v>
      </c>
      <c r="Y150" s="1" t="s">
        <v>679</v>
      </c>
      <c r="Z150" s="5" t="s">
        <v>47</v>
      </c>
      <c r="AA150" s="5" t="s">
        <v>67</v>
      </c>
      <c r="AB150" s="5" t="s">
        <v>49</v>
      </c>
      <c r="AC150" s="5" t="s">
        <v>121</v>
      </c>
      <c r="AD150" s="5">
        <v>5</v>
      </c>
    </row>
    <row r="151" spans="1:30">
      <c r="A151" s="5" t="s">
        <v>680</v>
      </c>
      <c r="B151" s="1">
        <v>45356</v>
      </c>
      <c r="C151" s="5" t="s">
        <v>681</v>
      </c>
      <c r="D151" s="5" t="s">
        <v>682</v>
      </c>
      <c r="E151" s="5" t="s">
        <v>103</v>
      </c>
      <c r="F151" s="5" t="s">
        <v>149</v>
      </c>
      <c r="G151" s="5" t="s">
        <v>150</v>
      </c>
      <c r="H151" s="5" t="s">
        <v>58</v>
      </c>
      <c r="I151" s="5" t="s">
        <v>59</v>
      </c>
      <c r="J151" s="5" t="s">
        <v>133</v>
      </c>
      <c r="K151" s="5">
        <v>1</v>
      </c>
      <c r="L151" s="5">
        <v>500</v>
      </c>
      <c r="M151" s="5">
        <v>0.1</v>
      </c>
      <c r="N151" s="5">
        <v>450</v>
      </c>
      <c r="O151" s="5">
        <v>305.54000000000002</v>
      </c>
      <c r="P151" s="5">
        <v>144.46</v>
      </c>
      <c r="Q151" s="5">
        <v>32.1</v>
      </c>
      <c r="R151" s="5" t="s">
        <v>106</v>
      </c>
      <c r="S151" s="5" t="s">
        <v>62</v>
      </c>
      <c r="T151" s="5" t="s">
        <v>97</v>
      </c>
      <c r="U151" s="5" t="s">
        <v>119</v>
      </c>
      <c r="V151" s="5">
        <v>2024</v>
      </c>
      <c r="W151" s="5" t="s">
        <v>194</v>
      </c>
      <c r="X151" s="5">
        <v>7</v>
      </c>
      <c r="Y151" s="1">
        <v>45570</v>
      </c>
      <c r="Z151" s="5" t="s">
        <v>47</v>
      </c>
      <c r="AA151" s="5" t="s">
        <v>67</v>
      </c>
      <c r="AB151" s="5" t="s">
        <v>49</v>
      </c>
      <c r="AC151" s="5" t="s">
        <v>50</v>
      </c>
      <c r="AD151" s="5">
        <v>2</v>
      </c>
    </row>
    <row r="152" spans="1:30">
      <c r="A152" s="5" t="s">
        <v>683</v>
      </c>
      <c r="B152" s="1" t="s">
        <v>480</v>
      </c>
      <c r="C152" s="5" t="s">
        <v>227</v>
      </c>
      <c r="D152" s="5" t="s">
        <v>684</v>
      </c>
      <c r="E152" s="5" t="s">
        <v>55</v>
      </c>
      <c r="F152" s="5" t="s">
        <v>245</v>
      </c>
      <c r="G152" s="5" t="s">
        <v>246</v>
      </c>
      <c r="H152" s="5" t="s">
        <v>94</v>
      </c>
      <c r="I152" s="5" t="s">
        <v>39</v>
      </c>
      <c r="J152" s="5" t="s">
        <v>165</v>
      </c>
      <c r="K152" s="5">
        <v>10</v>
      </c>
      <c r="L152" s="5">
        <v>8000</v>
      </c>
      <c r="M152" s="5">
        <v>0.2</v>
      </c>
      <c r="N152" s="5">
        <v>64000</v>
      </c>
      <c r="O152" s="5">
        <v>41268.519999999997</v>
      </c>
      <c r="P152" s="5">
        <v>22731.48</v>
      </c>
      <c r="Q152" s="5">
        <v>35.520000000000003</v>
      </c>
      <c r="R152" s="5" t="s">
        <v>73</v>
      </c>
      <c r="S152" s="5" t="s">
        <v>74</v>
      </c>
      <c r="T152" s="5" t="s">
        <v>173</v>
      </c>
      <c r="U152" s="5" t="s">
        <v>87</v>
      </c>
      <c r="V152" s="5">
        <v>2025</v>
      </c>
      <c r="W152" s="5" t="s">
        <v>126</v>
      </c>
      <c r="X152" s="5">
        <v>3</v>
      </c>
      <c r="Y152" s="1" t="s">
        <v>685</v>
      </c>
      <c r="Z152" s="5" t="s">
        <v>110</v>
      </c>
      <c r="AA152" s="5" t="s">
        <v>90</v>
      </c>
      <c r="AB152" s="5" t="s">
        <v>49</v>
      </c>
      <c r="AC152" s="5" t="s">
        <v>50</v>
      </c>
      <c r="AD152" s="5">
        <v>3</v>
      </c>
    </row>
    <row r="153" spans="1:30">
      <c r="A153" s="5" t="s">
        <v>686</v>
      </c>
      <c r="B153" s="1">
        <v>45605</v>
      </c>
      <c r="C153" s="5" t="s">
        <v>687</v>
      </c>
      <c r="D153" s="5" t="s">
        <v>688</v>
      </c>
      <c r="E153" s="5" t="s">
        <v>103</v>
      </c>
      <c r="F153" s="5" t="s">
        <v>156</v>
      </c>
      <c r="G153" s="5" t="s">
        <v>157</v>
      </c>
      <c r="H153" s="5" t="s">
        <v>58</v>
      </c>
      <c r="I153" s="5" t="s">
        <v>84</v>
      </c>
      <c r="J153" s="5" t="s">
        <v>85</v>
      </c>
      <c r="K153" s="5">
        <v>4</v>
      </c>
      <c r="L153" s="5">
        <v>350</v>
      </c>
      <c r="M153" s="5">
        <v>0</v>
      </c>
      <c r="N153" s="5">
        <v>1400</v>
      </c>
      <c r="O153" s="5">
        <v>996.8</v>
      </c>
      <c r="P153" s="5">
        <v>403.2</v>
      </c>
      <c r="Q153" s="5">
        <v>28.8</v>
      </c>
      <c r="R153" s="5" t="s">
        <v>61</v>
      </c>
      <c r="S153" s="5" t="s">
        <v>74</v>
      </c>
      <c r="T153" s="5" t="s">
        <v>107</v>
      </c>
      <c r="U153" s="5" t="s">
        <v>108</v>
      </c>
      <c r="V153" s="5">
        <v>2024</v>
      </c>
      <c r="W153" s="5" t="s">
        <v>134</v>
      </c>
      <c r="X153" s="5">
        <v>9</v>
      </c>
      <c r="Y153" s="1" t="s">
        <v>689</v>
      </c>
      <c r="Z153" s="5" t="s">
        <v>89</v>
      </c>
      <c r="AA153" s="5" t="s">
        <v>48</v>
      </c>
      <c r="AB153" s="5" t="s">
        <v>111</v>
      </c>
      <c r="AC153" s="5" t="s">
        <v>121</v>
      </c>
      <c r="AD153" s="5">
        <v>4</v>
      </c>
    </row>
    <row r="154" spans="1:30">
      <c r="A154" s="5" t="s">
        <v>690</v>
      </c>
      <c r="B154" s="1">
        <v>45360</v>
      </c>
      <c r="C154" s="5" t="s">
        <v>691</v>
      </c>
      <c r="D154" s="5" t="s">
        <v>692</v>
      </c>
      <c r="E154" s="5" t="s">
        <v>55</v>
      </c>
      <c r="F154" s="5" t="s">
        <v>116</v>
      </c>
      <c r="G154" s="5" t="s">
        <v>37</v>
      </c>
      <c r="H154" s="5" t="s">
        <v>38</v>
      </c>
      <c r="I154" s="5" t="s">
        <v>39</v>
      </c>
      <c r="J154" s="5" t="s">
        <v>105</v>
      </c>
      <c r="K154" s="5">
        <v>8</v>
      </c>
      <c r="L154" s="5">
        <v>22000</v>
      </c>
      <c r="M154" s="5">
        <v>0</v>
      </c>
      <c r="N154" s="5">
        <v>176000</v>
      </c>
      <c r="O154" s="5">
        <v>100174.49</v>
      </c>
      <c r="P154" s="5">
        <v>75825.509999999995</v>
      </c>
      <c r="Q154" s="5">
        <v>43.08</v>
      </c>
      <c r="R154" s="5" t="s">
        <v>166</v>
      </c>
      <c r="S154" s="5" t="s">
        <v>42</v>
      </c>
      <c r="T154" s="5" t="s">
        <v>75</v>
      </c>
      <c r="U154" s="5" t="s">
        <v>108</v>
      </c>
      <c r="V154" s="5">
        <v>2024</v>
      </c>
      <c r="W154" s="5" t="s">
        <v>109</v>
      </c>
      <c r="X154" s="5">
        <v>8</v>
      </c>
      <c r="Y154" s="1">
        <v>45605</v>
      </c>
      <c r="Z154" s="5" t="s">
        <v>89</v>
      </c>
      <c r="AA154" s="5" t="s">
        <v>67</v>
      </c>
      <c r="AB154" s="5" t="s">
        <v>111</v>
      </c>
      <c r="AC154" s="5" t="s">
        <v>121</v>
      </c>
      <c r="AD154" s="5">
        <v>4</v>
      </c>
    </row>
    <row r="155" spans="1:30">
      <c r="A155" s="5" t="s">
        <v>693</v>
      </c>
      <c r="B155" s="1">
        <v>45512</v>
      </c>
      <c r="C155" s="5" t="s">
        <v>541</v>
      </c>
      <c r="D155" s="5" t="s">
        <v>102</v>
      </c>
      <c r="E155" s="5" t="s">
        <v>103</v>
      </c>
      <c r="F155" s="5" t="s">
        <v>36</v>
      </c>
      <c r="G155" s="5" t="s">
        <v>37</v>
      </c>
      <c r="H155" s="5" t="s">
        <v>94</v>
      </c>
      <c r="I155" s="5" t="s">
        <v>39</v>
      </c>
      <c r="J155" s="5" t="s">
        <v>165</v>
      </c>
      <c r="K155" s="5">
        <v>2</v>
      </c>
      <c r="L155" s="5">
        <v>8000</v>
      </c>
      <c r="M155" s="5">
        <v>0.1</v>
      </c>
      <c r="N155" s="5">
        <v>14400</v>
      </c>
      <c r="O155" s="5">
        <v>11608.47</v>
      </c>
      <c r="P155" s="5">
        <v>2791.53</v>
      </c>
      <c r="Q155" s="5">
        <v>19.39</v>
      </c>
      <c r="R155" s="5" t="s">
        <v>166</v>
      </c>
      <c r="S155" s="5" t="s">
        <v>42</v>
      </c>
      <c r="T155" s="5" t="s">
        <v>75</v>
      </c>
      <c r="U155" s="5" t="s">
        <v>218</v>
      </c>
      <c r="V155" s="5">
        <v>2024</v>
      </c>
      <c r="W155" s="5" t="s">
        <v>139</v>
      </c>
      <c r="X155" s="5">
        <v>1</v>
      </c>
      <c r="Y155" s="1">
        <v>45543</v>
      </c>
      <c r="Z155" s="5" t="s">
        <v>47</v>
      </c>
      <c r="AA155" s="5" t="s">
        <v>90</v>
      </c>
      <c r="AB155" s="5" t="s">
        <v>111</v>
      </c>
      <c r="AC155" s="5" t="s">
        <v>121</v>
      </c>
      <c r="AD155" s="5">
        <v>3</v>
      </c>
    </row>
    <row r="156" spans="1:30">
      <c r="A156" s="5" t="s">
        <v>694</v>
      </c>
      <c r="B156" s="1">
        <v>45723</v>
      </c>
      <c r="C156" s="5" t="s">
        <v>129</v>
      </c>
      <c r="D156" s="5" t="s">
        <v>695</v>
      </c>
      <c r="E156" s="5" t="s">
        <v>103</v>
      </c>
      <c r="F156" s="5" t="s">
        <v>36</v>
      </c>
      <c r="G156" s="5" t="s">
        <v>37</v>
      </c>
      <c r="H156" s="5" t="s">
        <v>94</v>
      </c>
      <c r="I156" s="5" t="s">
        <v>84</v>
      </c>
      <c r="J156" s="5" t="s">
        <v>390</v>
      </c>
      <c r="K156" s="5">
        <v>9</v>
      </c>
      <c r="L156" s="5">
        <v>200</v>
      </c>
      <c r="M156" s="5">
        <v>0.05</v>
      </c>
      <c r="N156" s="5">
        <v>1710</v>
      </c>
      <c r="O156" s="5">
        <v>1211.26</v>
      </c>
      <c r="P156" s="5">
        <v>498.74</v>
      </c>
      <c r="Q156" s="5">
        <v>29.17</v>
      </c>
      <c r="R156" s="5" t="s">
        <v>73</v>
      </c>
      <c r="S156" s="5" t="s">
        <v>74</v>
      </c>
      <c r="T156" s="5" t="s">
        <v>86</v>
      </c>
      <c r="U156" s="5" t="s">
        <v>151</v>
      </c>
      <c r="V156" s="5">
        <v>2025</v>
      </c>
      <c r="W156" s="5" t="s">
        <v>139</v>
      </c>
      <c r="X156" s="5">
        <v>6</v>
      </c>
      <c r="Y156" s="1">
        <v>45907</v>
      </c>
      <c r="Z156" s="5" t="s">
        <v>110</v>
      </c>
      <c r="AA156" s="5" t="s">
        <v>90</v>
      </c>
      <c r="AB156" s="5" t="s">
        <v>78</v>
      </c>
      <c r="AC156" s="5" t="s">
        <v>121</v>
      </c>
      <c r="AD156" s="5">
        <v>4</v>
      </c>
    </row>
    <row r="157" spans="1:30">
      <c r="A157" s="5" t="s">
        <v>696</v>
      </c>
      <c r="B157" s="1" t="s">
        <v>697</v>
      </c>
      <c r="C157" s="5" t="s">
        <v>698</v>
      </c>
      <c r="D157" s="5" t="s">
        <v>699</v>
      </c>
      <c r="E157" s="5" t="s">
        <v>103</v>
      </c>
      <c r="F157" s="5" t="s">
        <v>144</v>
      </c>
      <c r="G157" s="5" t="s">
        <v>145</v>
      </c>
      <c r="H157" s="5" t="s">
        <v>171</v>
      </c>
      <c r="I157" s="5" t="s">
        <v>59</v>
      </c>
      <c r="J157" s="5" t="s">
        <v>328</v>
      </c>
      <c r="K157" s="5">
        <v>5</v>
      </c>
      <c r="L157" s="5">
        <v>800</v>
      </c>
      <c r="M157" s="5">
        <v>0</v>
      </c>
      <c r="N157" s="5">
        <v>4000</v>
      </c>
      <c r="O157" s="5">
        <v>2376.94</v>
      </c>
      <c r="P157" s="5">
        <v>1623.06</v>
      </c>
      <c r="Q157" s="5">
        <v>40.58</v>
      </c>
      <c r="R157" s="5" t="s">
        <v>73</v>
      </c>
      <c r="S157" s="5" t="s">
        <v>62</v>
      </c>
      <c r="T157" s="5" t="s">
        <v>118</v>
      </c>
      <c r="U157" s="5" t="s">
        <v>76</v>
      </c>
      <c r="V157" s="5">
        <v>2024</v>
      </c>
      <c r="W157" s="5" t="s">
        <v>65</v>
      </c>
      <c r="X157" s="5">
        <v>3</v>
      </c>
      <c r="Y157" s="1" t="s">
        <v>367</v>
      </c>
      <c r="Z157" s="5" t="s">
        <v>47</v>
      </c>
      <c r="AA157" s="5" t="s">
        <v>48</v>
      </c>
      <c r="AB157" s="5" t="s">
        <v>78</v>
      </c>
      <c r="AC157" s="5" t="s">
        <v>121</v>
      </c>
      <c r="AD157" s="5">
        <v>1</v>
      </c>
    </row>
    <row r="158" spans="1:30">
      <c r="A158" s="5" t="s">
        <v>700</v>
      </c>
      <c r="B158" s="1" t="s">
        <v>701</v>
      </c>
      <c r="C158" s="5" t="s">
        <v>702</v>
      </c>
      <c r="D158" s="5" t="s">
        <v>703</v>
      </c>
      <c r="E158" s="5" t="s">
        <v>55</v>
      </c>
      <c r="F158" s="5" t="s">
        <v>82</v>
      </c>
      <c r="G158" s="5" t="s">
        <v>83</v>
      </c>
      <c r="H158" s="5" t="s">
        <v>38</v>
      </c>
      <c r="I158" s="5" t="s">
        <v>71</v>
      </c>
      <c r="J158" s="5" t="s">
        <v>240</v>
      </c>
      <c r="K158" s="5">
        <v>9</v>
      </c>
      <c r="L158" s="5">
        <v>700</v>
      </c>
      <c r="M158" s="5">
        <v>0.1</v>
      </c>
      <c r="N158" s="5">
        <v>5670</v>
      </c>
      <c r="O158" s="5">
        <v>3878.05</v>
      </c>
      <c r="P158" s="5">
        <v>1791.95</v>
      </c>
      <c r="Q158" s="5">
        <v>31.6</v>
      </c>
      <c r="R158" s="5" t="s">
        <v>61</v>
      </c>
      <c r="S158" s="5" t="s">
        <v>74</v>
      </c>
      <c r="T158" s="5" t="s">
        <v>159</v>
      </c>
      <c r="U158" s="5" t="s">
        <v>64</v>
      </c>
      <c r="V158" s="5">
        <v>2025</v>
      </c>
      <c r="W158" s="5" t="s">
        <v>109</v>
      </c>
      <c r="X158" s="5">
        <v>10</v>
      </c>
      <c r="Y158" s="1">
        <v>46266</v>
      </c>
      <c r="Z158" s="5" t="s">
        <v>47</v>
      </c>
      <c r="AA158" s="5" t="s">
        <v>90</v>
      </c>
      <c r="AB158" s="5" t="s">
        <v>111</v>
      </c>
      <c r="AC158" s="5" t="s">
        <v>121</v>
      </c>
      <c r="AD158" s="5">
        <v>2</v>
      </c>
    </row>
    <row r="159" spans="1:30">
      <c r="A159" s="5" t="s">
        <v>704</v>
      </c>
      <c r="B159" s="1" t="s">
        <v>705</v>
      </c>
      <c r="C159" s="5" t="s">
        <v>706</v>
      </c>
      <c r="D159" s="5" t="s">
        <v>707</v>
      </c>
      <c r="E159" s="5" t="s">
        <v>103</v>
      </c>
      <c r="F159" s="5" t="s">
        <v>131</v>
      </c>
      <c r="G159" s="5" t="s">
        <v>132</v>
      </c>
      <c r="H159" s="5" t="s">
        <v>94</v>
      </c>
      <c r="I159" s="5" t="s">
        <v>39</v>
      </c>
      <c r="J159" s="5" t="s">
        <v>356</v>
      </c>
      <c r="K159" s="5">
        <v>1</v>
      </c>
      <c r="L159" s="5">
        <v>12000</v>
      </c>
      <c r="M159" s="5">
        <v>0</v>
      </c>
      <c r="N159" s="5">
        <v>12000</v>
      </c>
      <c r="O159" s="5">
        <v>9581.5300000000007</v>
      </c>
      <c r="P159" s="5">
        <v>2418.4699999999998</v>
      </c>
      <c r="Q159" s="5">
        <v>20.149999999999999</v>
      </c>
      <c r="R159" s="5" t="s">
        <v>73</v>
      </c>
      <c r="S159" s="5" t="s">
        <v>62</v>
      </c>
      <c r="T159" s="5" t="s">
        <v>86</v>
      </c>
      <c r="U159" s="5" t="s">
        <v>44</v>
      </c>
      <c r="V159" s="5">
        <v>2025</v>
      </c>
      <c r="W159" s="5" t="s">
        <v>126</v>
      </c>
      <c r="X159" s="5">
        <v>6</v>
      </c>
      <c r="Y159" s="1">
        <v>45752</v>
      </c>
      <c r="Z159" s="5" t="s">
        <v>110</v>
      </c>
      <c r="AA159" s="5" t="s">
        <v>67</v>
      </c>
      <c r="AB159" s="5" t="s">
        <v>111</v>
      </c>
      <c r="AC159" s="5" t="s">
        <v>50</v>
      </c>
      <c r="AD159" s="5">
        <v>3</v>
      </c>
    </row>
    <row r="160" spans="1:30">
      <c r="A160" s="5" t="s">
        <v>708</v>
      </c>
      <c r="B160" s="1">
        <v>45329</v>
      </c>
      <c r="C160" s="5" t="s">
        <v>709</v>
      </c>
      <c r="D160" s="5" t="s">
        <v>710</v>
      </c>
      <c r="E160" s="5" t="s">
        <v>55</v>
      </c>
      <c r="F160" s="5" t="s">
        <v>36</v>
      </c>
      <c r="G160" s="5" t="s">
        <v>37</v>
      </c>
      <c r="H160" s="5" t="s">
        <v>171</v>
      </c>
      <c r="I160" s="5" t="s">
        <v>59</v>
      </c>
      <c r="J160" s="5" t="s">
        <v>60</v>
      </c>
      <c r="K160" s="5">
        <v>2</v>
      </c>
      <c r="L160" s="5">
        <v>3000</v>
      </c>
      <c r="M160" s="5">
        <v>0</v>
      </c>
      <c r="N160" s="5">
        <v>6000</v>
      </c>
      <c r="O160" s="5">
        <v>4889.8900000000003</v>
      </c>
      <c r="P160" s="5">
        <v>1110.1099999999999</v>
      </c>
      <c r="Q160" s="5">
        <v>18.5</v>
      </c>
      <c r="R160" s="5" t="s">
        <v>61</v>
      </c>
      <c r="S160" s="5" t="s">
        <v>62</v>
      </c>
      <c r="T160" s="5" t="s">
        <v>173</v>
      </c>
      <c r="U160" s="5" t="s">
        <v>151</v>
      </c>
      <c r="V160" s="5">
        <v>2024</v>
      </c>
      <c r="W160" s="5" t="s">
        <v>109</v>
      </c>
      <c r="X160" s="5">
        <v>4</v>
      </c>
      <c r="Y160" s="1">
        <v>45450</v>
      </c>
      <c r="Z160" s="5" t="s">
        <v>89</v>
      </c>
      <c r="AA160" s="5" t="s">
        <v>48</v>
      </c>
      <c r="AB160" s="5" t="s">
        <v>78</v>
      </c>
      <c r="AC160" s="5" t="s">
        <v>121</v>
      </c>
      <c r="AD160" s="5">
        <v>3</v>
      </c>
    </row>
    <row r="161" spans="1:30">
      <c r="A161" s="5" t="s">
        <v>711</v>
      </c>
      <c r="B161" s="1" t="s">
        <v>555</v>
      </c>
      <c r="C161" s="5" t="s">
        <v>712</v>
      </c>
      <c r="D161" s="5" t="s">
        <v>713</v>
      </c>
      <c r="E161" s="5" t="s">
        <v>35</v>
      </c>
      <c r="F161" s="5" t="s">
        <v>149</v>
      </c>
      <c r="G161" s="5" t="s">
        <v>150</v>
      </c>
      <c r="H161" s="5" t="s">
        <v>38</v>
      </c>
      <c r="I161" s="5" t="s">
        <v>84</v>
      </c>
      <c r="J161" s="5" t="s">
        <v>217</v>
      </c>
      <c r="K161" s="5">
        <v>5</v>
      </c>
      <c r="L161" s="5">
        <v>800</v>
      </c>
      <c r="M161" s="5">
        <v>0.05</v>
      </c>
      <c r="N161" s="5">
        <v>3800</v>
      </c>
      <c r="O161" s="5">
        <v>3087.13</v>
      </c>
      <c r="P161" s="5">
        <v>712.87</v>
      </c>
      <c r="Q161" s="5">
        <v>18.760000000000002</v>
      </c>
      <c r="R161" s="5" t="s">
        <v>106</v>
      </c>
      <c r="S161" s="5" t="s">
        <v>62</v>
      </c>
      <c r="T161" s="5" t="s">
        <v>43</v>
      </c>
      <c r="U161" s="5" t="s">
        <v>44</v>
      </c>
      <c r="V161" s="5">
        <v>2025</v>
      </c>
      <c r="W161" s="5" t="s">
        <v>45</v>
      </c>
      <c r="X161" s="5">
        <v>6</v>
      </c>
      <c r="Y161" s="1" t="s">
        <v>714</v>
      </c>
      <c r="Z161" s="5" t="s">
        <v>89</v>
      </c>
      <c r="AA161" s="5" t="s">
        <v>90</v>
      </c>
      <c r="AB161" s="5" t="s">
        <v>111</v>
      </c>
      <c r="AC161" s="5" t="s">
        <v>50</v>
      </c>
      <c r="AD161" s="5">
        <v>1</v>
      </c>
    </row>
    <row r="162" spans="1:30">
      <c r="A162" s="5" t="s">
        <v>715</v>
      </c>
      <c r="B162" s="1" t="s">
        <v>580</v>
      </c>
      <c r="C162" s="5" t="s">
        <v>716</v>
      </c>
      <c r="D162" s="5" t="s">
        <v>717</v>
      </c>
      <c r="E162" s="5" t="s">
        <v>55</v>
      </c>
      <c r="F162" s="5" t="s">
        <v>82</v>
      </c>
      <c r="G162" s="5" t="s">
        <v>83</v>
      </c>
      <c r="H162" s="5" t="s">
        <v>58</v>
      </c>
      <c r="I162" s="5" t="s">
        <v>39</v>
      </c>
      <c r="J162" s="5" t="s">
        <v>253</v>
      </c>
      <c r="K162" s="5">
        <v>5</v>
      </c>
      <c r="L162" s="5">
        <v>8000</v>
      </c>
      <c r="M162" s="5">
        <v>0.05</v>
      </c>
      <c r="N162" s="5">
        <v>38000</v>
      </c>
      <c r="O162" s="5">
        <v>25948.22</v>
      </c>
      <c r="P162" s="5">
        <v>12051.78</v>
      </c>
      <c r="Q162" s="5">
        <v>31.72</v>
      </c>
      <c r="R162" s="5" t="s">
        <v>106</v>
      </c>
      <c r="S162" s="5" t="s">
        <v>74</v>
      </c>
      <c r="T162" s="5" t="s">
        <v>107</v>
      </c>
      <c r="U162" s="5" t="s">
        <v>160</v>
      </c>
      <c r="V162" s="5">
        <v>2025</v>
      </c>
      <c r="W162" s="5" t="s">
        <v>139</v>
      </c>
      <c r="X162" s="5">
        <v>4</v>
      </c>
      <c r="Y162" s="1" t="s">
        <v>235</v>
      </c>
      <c r="Z162" s="5" t="s">
        <v>110</v>
      </c>
      <c r="AA162" s="5" t="s">
        <v>67</v>
      </c>
      <c r="AB162" s="5" t="s">
        <v>111</v>
      </c>
      <c r="AC162" s="5" t="s">
        <v>50</v>
      </c>
      <c r="AD162" s="5">
        <v>4</v>
      </c>
    </row>
    <row r="163" spans="1:30">
      <c r="A163" s="5" t="s">
        <v>718</v>
      </c>
      <c r="B163" s="1" t="s">
        <v>719</v>
      </c>
      <c r="C163" s="5" t="s">
        <v>236</v>
      </c>
      <c r="D163" s="5" t="s">
        <v>720</v>
      </c>
      <c r="E163" s="5" t="s">
        <v>55</v>
      </c>
      <c r="F163" s="5" t="s">
        <v>36</v>
      </c>
      <c r="G163" s="5" t="s">
        <v>37</v>
      </c>
      <c r="H163" s="5" t="s">
        <v>171</v>
      </c>
      <c r="I163" s="5" t="s">
        <v>59</v>
      </c>
      <c r="J163" s="5" t="s">
        <v>328</v>
      </c>
      <c r="K163" s="5">
        <v>9</v>
      </c>
      <c r="L163" s="5">
        <v>800</v>
      </c>
      <c r="M163" s="5">
        <v>0.15</v>
      </c>
      <c r="N163" s="5">
        <v>6120</v>
      </c>
      <c r="O163" s="5">
        <v>3468.92</v>
      </c>
      <c r="P163" s="5">
        <v>2651.08</v>
      </c>
      <c r="Q163" s="5">
        <v>43.32</v>
      </c>
      <c r="R163" s="5" t="s">
        <v>61</v>
      </c>
      <c r="S163" s="5" t="s">
        <v>62</v>
      </c>
      <c r="T163" s="5" t="s">
        <v>97</v>
      </c>
      <c r="U163" s="5" t="s">
        <v>178</v>
      </c>
      <c r="V163" s="5">
        <v>2024</v>
      </c>
      <c r="W163" s="5" t="s">
        <v>45</v>
      </c>
      <c r="X163" s="5">
        <v>10</v>
      </c>
      <c r="Y163" s="1" t="s">
        <v>721</v>
      </c>
      <c r="Z163" s="5" t="s">
        <v>89</v>
      </c>
      <c r="AA163" s="5" t="s">
        <v>67</v>
      </c>
      <c r="AB163" s="5" t="s">
        <v>78</v>
      </c>
      <c r="AC163" s="5" t="s">
        <v>50</v>
      </c>
      <c r="AD163" s="5">
        <v>2</v>
      </c>
    </row>
    <row r="164" spans="1:30">
      <c r="A164" s="5" t="s">
        <v>722</v>
      </c>
      <c r="B164" s="1" t="s">
        <v>723</v>
      </c>
      <c r="C164" s="5" t="s">
        <v>724</v>
      </c>
      <c r="D164" s="5" t="s">
        <v>725</v>
      </c>
      <c r="E164" s="5" t="s">
        <v>55</v>
      </c>
      <c r="F164" s="5" t="s">
        <v>36</v>
      </c>
      <c r="G164" s="5" t="s">
        <v>37</v>
      </c>
      <c r="H164" s="5" t="s">
        <v>38</v>
      </c>
      <c r="I164" s="5" t="s">
        <v>95</v>
      </c>
      <c r="J164" s="5" t="s">
        <v>319</v>
      </c>
      <c r="K164" s="5">
        <v>10</v>
      </c>
      <c r="L164" s="5">
        <v>2500</v>
      </c>
      <c r="M164" s="5">
        <v>0.05</v>
      </c>
      <c r="N164" s="5">
        <v>23750</v>
      </c>
      <c r="O164" s="5">
        <v>16051.08</v>
      </c>
      <c r="P164" s="5">
        <v>7698.92</v>
      </c>
      <c r="Q164" s="5">
        <v>32.42</v>
      </c>
      <c r="R164" s="5" t="s">
        <v>166</v>
      </c>
      <c r="S164" s="5" t="s">
        <v>62</v>
      </c>
      <c r="T164" s="5" t="s">
        <v>138</v>
      </c>
      <c r="U164" s="5" t="s">
        <v>44</v>
      </c>
      <c r="V164" s="5">
        <v>2024</v>
      </c>
      <c r="W164" s="5" t="s">
        <v>139</v>
      </c>
      <c r="X164" s="5">
        <v>3</v>
      </c>
      <c r="Y164" s="1" t="s">
        <v>200</v>
      </c>
      <c r="Z164" s="5" t="s">
        <v>110</v>
      </c>
      <c r="AA164" s="5" t="s">
        <v>67</v>
      </c>
      <c r="AB164" s="5" t="s">
        <v>49</v>
      </c>
      <c r="AC164" s="5" t="s">
        <v>121</v>
      </c>
      <c r="AD164" s="5">
        <v>2</v>
      </c>
    </row>
    <row r="165" spans="1:30">
      <c r="A165" s="5" t="s">
        <v>726</v>
      </c>
      <c r="B165" s="1">
        <v>45355</v>
      </c>
      <c r="C165" s="5" t="s">
        <v>338</v>
      </c>
      <c r="D165" s="5" t="s">
        <v>268</v>
      </c>
      <c r="E165" s="5" t="s">
        <v>35</v>
      </c>
      <c r="F165" s="5" t="s">
        <v>116</v>
      </c>
      <c r="G165" s="5" t="s">
        <v>37</v>
      </c>
      <c r="H165" s="5" t="s">
        <v>58</v>
      </c>
      <c r="I165" s="5" t="s">
        <v>59</v>
      </c>
      <c r="J165" s="5" t="s">
        <v>328</v>
      </c>
      <c r="K165" s="5">
        <v>4</v>
      </c>
      <c r="L165" s="5">
        <v>1200</v>
      </c>
      <c r="M165" s="5">
        <v>0.05</v>
      </c>
      <c r="N165" s="5">
        <v>4560</v>
      </c>
      <c r="O165" s="5">
        <v>2995.86</v>
      </c>
      <c r="P165" s="5">
        <v>1564.14</v>
      </c>
      <c r="Q165" s="5">
        <v>34.299999999999997</v>
      </c>
      <c r="R165" s="5" t="s">
        <v>166</v>
      </c>
      <c r="S165" s="5" t="s">
        <v>62</v>
      </c>
      <c r="T165" s="5" t="s">
        <v>107</v>
      </c>
      <c r="U165" s="5" t="s">
        <v>44</v>
      </c>
      <c r="V165" s="5">
        <v>2024</v>
      </c>
      <c r="W165" s="5" t="s">
        <v>134</v>
      </c>
      <c r="X165" s="5">
        <v>4</v>
      </c>
      <c r="Y165" s="1">
        <v>45477</v>
      </c>
      <c r="Z165" s="5" t="s">
        <v>47</v>
      </c>
      <c r="AA165" s="5" t="s">
        <v>48</v>
      </c>
      <c r="AB165" s="5" t="s">
        <v>111</v>
      </c>
      <c r="AC165" s="5" t="s">
        <v>121</v>
      </c>
      <c r="AD165" s="5">
        <v>1</v>
      </c>
    </row>
    <row r="166" spans="1:30">
      <c r="A166" s="5" t="s">
        <v>727</v>
      </c>
      <c r="B166" s="1" t="s">
        <v>728</v>
      </c>
      <c r="C166" s="5" t="s">
        <v>729</v>
      </c>
      <c r="D166" s="5" t="s">
        <v>164</v>
      </c>
      <c r="E166" s="5" t="s">
        <v>103</v>
      </c>
      <c r="F166" s="5" t="s">
        <v>56</v>
      </c>
      <c r="G166" s="5" t="s">
        <v>57</v>
      </c>
      <c r="H166" s="5" t="s">
        <v>171</v>
      </c>
      <c r="I166" s="5" t="s">
        <v>39</v>
      </c>
      <c r="J166" s="5" t="s">
        <v>105</v>
      </c>
      <c r="K166" s="5">
        <v>2</v>
      </c>
      <c r="L166" s="5">
        <v>8000</v>
      </c>
      <c r="M166" s="5">
        <v>0</v>
      </c>
      <c r="N166" s="5">
        <v>16000</v>
      </c>
      <c r="O166" s="5">
        <v>12358.27</v>
      </c>
      <c r="P166" s="5">
        <v>3641.73</v>
      </c>
      <c r="Q166" s="5">
        <v>22.76</v>
      </c>
      <c r="R166" s="5" t="s">
        <v>106</v>
      </c>
      <c r="S166" s="5" t="s">
        <v>74</v>
      </c>
      <c r="T166" s="5" t="s">
        <v>173</v>
      </c>
      <c r="U166" s="5" t="s">
        <v>218</v>
      </c>
      <c r="V166" s="5">
        <v>2024</v>
      </c>
      <c r="W166" s="5" t="s">
        <v>139</v>
      </c>
      <c r="X166" s="5">
        <v>3</v>
      </c>
      <c r="Y166" s="1" t="s">
        <v>661</v>
      </c>
      <c r="Z166" s="5" t="s">
        <v>47</v>
      </c>
      <c r="AA166" s="5" t="s">
        <v>90</v>
      </c>
      <c r="AB166" s="5" t="s">
        <v>111</v>
      </c>
      <c r="AC166" s="5" t="s">
        <v>50</v>
      </c>
      <c r="AD166" s="5">
        <v>2</v>
      </c>
    </row>
    <row r="167" spans="1:30">
      <c r="A167" s="5" t="s">
        <v>730</v>
      </c>
      <c r="B167" s="1" t="s">
        <v>731</v>
      </c>
      <c r="C167" s="5" t="s">
        <v>169</v>
      </c>
      <c r="D167" s="5" t="s">
        <v>732</v>
      </c>
      <c r="E167" s="5" t="s">
        <v>55</v>
      </c>
      <c r="F167" s="5" t="s">
        <v>36</v>
      </c>
      <c r="G167" s="5" t="s">
        <v>37</v>
      </c>
      <c r="H167" s="5" t="s">
        <v>94</v>
      </c>
      <c r="I167" s="5" t="s">
        <v>84</v>
      </c>
      <c r="J167" s="5" t="s">
        <v>390</v>
      </c>
      <c r="K167" s="5">
        <v>1</v>
      </c>
      <c r="L167" s="5">
        <v>500</v>
      </c>
      <c r="M167" s="5">
        <v>0</v>
      </c>
      <c r="N167" s="5">
        <v>500</v>
      </c>
      <c r="O167" s="5">
        <v>385.93</v>
      </c>
      <c r="P167" s="5">
        <v>114.07</v>
      </c>
      <c r="Q167" s="5">
        <v>22.81</v>
      </c>
      <c r="R167" s="5" t="s">
        <v>73</v>
      </c>
      <c r="S167" s="5" t="s">
        <v>62</v>
      </c>
      <c r="T167" s="5" t="s">
        <v>86</v>
      </c>
      <c r="U167" s="5" t="s">
        <v>160</v>
      </c>
      <c r="V167" s="5">
        <v>2024</v>
      </c>
      <c r="W167" s="5" t="s">
        <v>194</v>
      </c>
      <c r="X167" s="5">
        <v>10</v>
      </c>
      <c r="Y167" s="1">
        <v>45298</v>
      </c>
      <c r="Z167" s="5" t="s">
        <v>110</v>
      </c>
      <c r="AA167" s="5" t="s">
        <v>90</v>
      </c>
      <c r="AB167" s="5" t="s">
        <v>78</v>
      </c>
      <c r="AC167" s="5" t="s">
        <v>50</v>
      </c>
      <c r="AD167" s="5">
        <v>4</v>
      </c>
    </row>
    <row r="168" spans="1:30">
      <c r="A168" s="5" t="s">
        <v>733</v>
      </c>
      <c r="B168" s="1" t="s">
        <v>734</v>
      </c>
      <c r="C168" s="5" t="s">
        <v>553</v>
      </c>
      <c r="D168" s="5" t="s">
        <v>732</v>
      </c>
      <c r="E168" s="5" t="s">
        <v>35</v>
      </c>
      <c r="F168" s="5" t="s">
        <v>245</v>
      </c>
      <c r="G168" s="5" t="s">
        <v>246</v>
      </c>
      <c r="H168" s="5" t="s">
        <v>171</v>
      </c>
      <c r="I168" s="5" t="s">
        <v>39</v>
      </c>
      <c r="J168" s="5" t="s">
        <v>165</v>
      </c>
      <c r="K168" s="5">
        <v>10</v>
      </c>
      <c r="L168" s="5">
        <v>35000</v>
      </c>
      <c r="M168" s="5">
        <v>0.05</v>
      </c>
      <c r="N168" s="5">
        <v>332500</v>
      </c>
      <c r="O168" s="5">
        <v>219861.6</v>
      </c>
      <c r="P168" s="5">
        <v>112638.39999999999</v>
      </c>
      <c r="Q168" s="5">
        <v>33.880000000000003</v>
      </c>
      <c r="R168" s="5" t="s">
        <v>166</v>
      </c>
      <c r="S168" s="5" t="s">
        <v>74</v>
      </c>
      <c r="T168" s="5" t="s">
        <v>75</v>
      </c>
      <c r="U168" s="5" t="s">
        <v>87</v>
      </c>
      <c r="V168" s="5">
        <v>2025</v>
      </c>
      <c r="W168" s="5" t="s">
        <v>194</v>
      </c>
      <c r="X168" s="5">
        <v>5</v>
      </c>
      <c r="Y168" s="1" t="s">
        <v>735</v>
      </c>
      <c r="Z168" s="5" t="s">
        <v>110</v>
      </c>
      <c r="AA168" s="5" t="s">
        <v>90</v>
      </c>
      <c r="AB168" s="5" t="s">
        <v>111</v>
      </c>
      <c r="AC168" s="5" t="s">
        <v>121</v>
      </c>
      <c r="AD168" s="5">
        <v>5</v>
      </c>
    </row>
    <row r="169" spans="1:30">
      <c r="A169" s="5" t="s">
        <v>736</v>
      </c>
      <c r="B169" s="1" t="s">
        <v>577</v>
      </c>
      <c r="C169" s="5" t="s">
        <v>267</v>
      </c>
      <c r="D169" s="5" t="s">
        <v>737</v>
      </c>
      <c r="E169" s="5" t="s">
        <v>55</v>
      </c>
      <c r="F169" s="5" t="s">
        <v>104</v>
      </c>
      <c r="G169" s="5" t="s">
        <v>104</v>
      </c>
      <c r="H169" s="5" t="s">
        <v>38</v>
      </c>
      <c r="I169" s="5" t="s">
        <v>71</v>
      </c>
      <c r="J169" s="5" t="s">
        <v>240</v>
      </c>
      <c r="K169" s="5">
        <v>8</v>
      </c>
      <c r="L169" s="5">
        <v>3500</v>
      </c>
      <c r="M169" s="5">
        <v>0.15</v>
      </c>
      <c r="N169" s="5">
        <v>23800</v>
      </c>
      <c r="O169" s="5">
        <v>15156.63</v>
      </c>
      <c r="P169" s="5">
        <v>8643.3700000000008</v>
      </c>
      <c r="Q169" s="5">
        <v>36.32</v>
      </c>
      <c r="R169" s="5" t="s">
        <v>106</v>
      </c>
      <c r="S169" s="5" t="s">
        <v>62</v>
      </c>
      <c r="T169" s="5" t="s">
        <v>43</v>
      </c>
      <c r="U169" s="5" t="s">
        <v>64</v>
      </c>
      <c r="V169" s="5">
        <v>2024</v>
      </c>
      <c r="W169" s="5" t="s">
        <v>134</v>
      </c>
      <c r="X169" s="5">
        <v>10</v>
      </c>
      <c r="Y169" s="1" t="s">
        <v>536</v>
      </c>
      <c r="Z169" s="5" t="s">
        <v>89</v>
      </c>
      <c r="AA169" s="5" t="s">
        <v>67</v>
      </c>
      <c r="AB169" s="5" t="s">
        <v>111</v>
      </c>
      <c r="AC169" s="5" t="s">
        <v>50</v>
      </c>
      <c r="AD169" s="5">
        <v>5</v>
      </c>
    </row>
    <row r="170" spans="1:30">
      <c r="A170" s="5" t="s">
        <v>738</v>
      </c>
      <c r="B170" s="1" t="s">
        <v>235</v>
      </c>
      <c r="C170" s="5" t="s">
        <v>739</v>
      </c>
      <c r="D170" s="5" t="s">
        <v>692</v>
      </c>
      <c r="E170" s="5" t="s">
        <v>35</v>
      </c>
      <c r="F170" s="5" t="s">
        <v>149</v>
      </c>
      <c r="G170" s="5" t="s">
        <v>150</v>
      </c>
      <c r="H170" s="5" t="s">
        <v>38</v>
      </c>
      <c r="I170" s="5" t="s">
        <v>95</v>
      </c>
      <c r="J170" s="5" t="s">
        <v>344</v>
      </c>
      <c r="K170" s="5">
        <v>4</v>
      </c>
      <c r="L170" s="5">
        <v>4000</v>
      </c>
      <c r="M170" s="5">
        <v>0.1</v>
      </c>
      <c r="N170" s="5">
        <v>14400</v>
      </c>
      <c r="O170" s="5">
        <v>10158.290000000001</v>
      </c>
      <c r="P170" s="5">
        <v>4241.71</v>
      </c>
      <c r="Q170" s="5">
        <v>29.46</v>
      </c>
      <c r="R170" s="5" t="s">
        <v>73</v>
      </c>
      <c r="S170" s="5" t="s">
        <v>42</v>
      </c>
      <c r="T170" s="5" t="s">
        <v>97</v>
      </c>
      <c r="U170" s="5" t="s">
        <v>160</v>
      </c>
      <c r="V170" s="5">
        <v>2025</v>
      </c>
      <c r="W170" s="5" t="s">
        <v>126</v>
      </c>
      <c r="X170" s="5">
        <v>1</v>
      </c>
      <c r="Y170" s="1">
        <v>45664</v>
      </c>
      <c r="Z170" s="5" t="s">
        <v>47</v>
      </c>
      <c r="AA170" s="5" t="s">
        <v>48</v>
      </c>
      <c r="AB170" s="5" t="s">
        <v>111</v>
      </c>
      <c r="AC170" s="5" t="s">
        <v>50</v>
      </c>
      <c r="AD170" s="5">
        <v>5</v>
      </c>
    </row>
    <row r="171" spans="1:30">
      <c r="A171" s="5" t="s">
        <v>740</v>
      </c>
      <c r="B171" s="1">
        <v>45603</v>
      </c>
      <c r="C171" s="5" t="s">
        <v>296</v>
      </c>
      <c r="D171" s="5" t="s">
        <v>183</v>
      </c>
      <c r="E171" s="5" t="s">
        <v>35</v>
      </c>
      <c r="F171" s="5" t="s">
        <v>104</v>
      </c>
      <c r="G171" s="5" t="s">
        <v>104</v>
      </c>
      <c r="H171" s="5" t="s">
        <v>38</v>
      </c>
      <c r="I171" s="5" t="s">
        <v>84</v>
      </c>
      <c r="J171" s="5" t="s">
        <v>217</v>
      </c>
      <c r="K171" s="5">
        <v>10</v>
      </c>
      <c r="L171" s="5">
        <v>200</v>
      </c>
      <c r="M171" s="5">
        <v>0.2</v>
      </c>
      <c r="N171" s="5">
        <v>1600</v>
      </c>
      <c r="O171" s="5">
        <v>1013.51</v>
      </c>
      <c r="P171" s="5">
        <v>586.49</v>
      </c>
      <c r="Q171" s="5">
        <v>36.659999999999997</v>
      </c>
      <c r="R171" s="5" t="s">
        <v>41</v>
      </c>
      <c r="S171" s="5" t="s">
        <v>74</v>
      </c>
      <c r="T171" s="5" t="s">
        <v>43</v>
      </c>
      <c r="U171" s="5" t="s">
        <v>151</v>
      </c>
      <c r="V171" s="5">
        <v>2024</v>
      </c>
      <c r="W171" s="5" t="s">
        <v>139</v>
      </c>
      <c r="X171" s="5">
        <v>8</v>
      </c>
      <c r="Y171" s="1" t="s">
        <v>741</v>
      </c>
      <c r="Z171" s="5" t="s">
        <v>89</v>
      </c>
      <c r="AA171" s="5" t="s">
        <v>48</v>
      </c>
      <c r="AB171" s="5" t="s">
        <v>78</v>
      </c>
      <c r="AC171" s="5" t="s">
        <v>121</v>
      </c>
      <c r="AD171" s="5">
        <v>3</v>
      </c>
    </row>
    <row r="172" spans="1:30">
      <c r="A172" s="5" t="s">
        <v>742</v>
      </c>
      <c r="B172" s="1">
        <v>45294</v>
      </c>
      <c r="C172" s="5" t="s">
        <v>652</v>
      </c>
      <c r="D172" s="5" t="s">
        <v>743</v>
      </c>
      <c r="E172" s="5" t="s">
        <v>103</v>
      </c>
      <c r="F172" s="5" t="s">
        <v>144</v>
      </c>
      <c r="G172" s="5" t="s">
        <v>145</v>
      </c>
      <c r="H172" s="5" t="s">
        <v>171</v>
      </c>
      <c r="I172" s="5" t="s">
        <v>95</v>
      </c>
      <c r="J172" s="5" t="s">
        <v>319</v>
      </c>
      <c r="K172" s="5">
        <v>6</v>
      </c>
      <c r="L172" s="5">
        <v>4000</v>
      </c>
      <c r="M172" s="5">
        <v>0.1</v>
      </c>
      <c r="N172" s="5">
        <v>21600</v>
      </c>
      <c r="O172" s="5">
        <v>15301.1</v>
      </c>
      <c r="P172" s="5">
        <v>6298.9</v>
      </c>
      <c r="Q172" s="5">
        <v>29.16</v>
      </c>
      <c r="R172" s="5" t="s">
        <v>106</v>
      </c>
      <c r="S172" s="5" t="s">
        <v>62</v>
      </c>
      <c r="T172" s="5" t="s">
        <v>75</v>
      </c>
      <c r="U172" s="5" t="s">
        <v>178</v>
      </c>
      <c r="V172" s="5">
        <v>2024</v>
      </c>
      <c r="W172" s="5" t="s">
        <v>194</v>
      </c>
      <c r="X172" s="5">
        <v>1</v>
      </c>
      <c r="Y172" s="1">
        <v>45325</v>
      </c>
      <c r="Z172" s="5" t="s">
        <v>47</v>
      </c>
      <c r="AA172" s="5" t="s">
        <v>48</v>
      </c>
      <c r="AB172" s="5" t="s">
        <v>49</v>
      </c>
      <c r="AC172" s="5" t="s">
        <v>50</v>
      </c>
      <c r="AD172" s="5">
        <v>3</v>
      </c>
    </row>
    <row r="173" spans="1:30">
      <c r="A173" s="5" t="s">
        <v>744</v>
      </c>
      <c r="B173" s="1" t="s">
        <v>624</v>
      </c>
      <c r="C173" s="5" t="s">
        <v>745</v>
      </c>
      <c r="D173" s="5" t="s">
        <v>746</v>
      </c>
      <c r="E173" s="5" t="s">
        <v>35</v>
      </c>
      <c r="F173" s="5" t="s">
        <v>82</v>
      </c>
      <c r="G173" s="5" t="s">
        <v>83</v>
      </c>
      <c r="H173" s="5" t="s">
        <v>94</v>
      </c>
      <c r="I173" s="5" t="s">
        <v>95</v>
      </c>
      <c r="J173" s="5" t="s">
        <v>319</v>
      </c>
      <c r="K173" s="5">
        <v>7</v>
      </c>
      <c r="L173" s="5">
        <v>9000</v>
      </c>
      <c r="M173" s="5">
        <v>0.1</v>
      </c>
      <c r="N173" s="5">
        <v>56700</v>
      </c>
      <c r="O173" s="5">
        <v>43233.06</v>
      </c>
      <c r="P173" s="5">
        <v>13466.94</v>
      </c>
      <c r="Q173" s="5">
        <v>23.75</v>
      </c>
      <c r="R173" s="5" t="s">
        <v>61</v>
      </c>
      <c r="S173" s="5" t="s">
        <v>42</v>
      </c>
      <c r="T173" s="5" t="s">
        <v>159</v>
      </c>
      <c r="U173" s="5" t="s">
        <v>160</v>
      </c>
      <c r="V173" s="5">
        <v>2024</v>
      </c>
      <c r="W173" s="5" t="s">
        <v>139</v>
      </c>
      <c r="X173" s="5">
        <v>9</v>
      </c>
      <c r="Y173" s="1">
        <v>45450</v>
      </c>
      <c r="Z173" s="5" t="s">
        <v>89</v>
      </c>
      <c r="AA173" s="5" t="s">
        <v>90</v>
      </c>
      <c r="AB173" s="5" t="s">
        <v>49</v>
      </c>
      <c r="AC173" s="5" t="s">
        <v>121</v>
      </c>
      <c r="AD173" s="5">
        <v>5</v>
      </c>
    </row>
    <row r="174" spans="1:30">
      <c r="A174" s="5" t="s">
        <v>747</v>
      </c>
      <c r="B174" s="1" t="s">
        <v>748</v>
      </c>
      <c r="C174" s="5" t="s">
        <v>749</v>
      </c>
      <c r="D174" s="5" t="s">
        <v>519</v>
      </c>
      <c r="E174" s="5" t="s">
        <v>103</v>
      </c>
      <c r="F174" s="5" t="s">
        <v>156</v>
      </c>
      <c r="G174" s="5" t="s">
        <v>157</v>
      </c>
      <c r="H174" s="5" t="s">
        <v>58</v>
      </c>
      <c r="I174" s="5" t="s">
        <v>59</v>
      </c>
      <c r="J174" s="5" t="s">
        <v>328</v>
      </c>
      <c r="K174" s="5">
        <v>3</v>
      </c>
      <c r="L174" s="5">
        <v>3000</v>
      </c>
      <c r="M174" s="5">
        <v>0.1</v>
      </c>
      <c r="N174" s="5">
        <v>8100</v>
      </c>
      <c r="O174" s="5">
        <v>4682.6899999999996</v>
      </c>
      <c r="P174" s="5">
        <v>3417.31</v>
      </c>
      <c r="Q174" s="5">
        <v>42.19</v>
      </c>
      <c r="R174" s="5" t="s">
        <v>73</v>
      </c>
      <c r="S174" s="5" t="s">
        <v>62</v>
      </c>
      <c r="T174" s="5" t="s">
        <v>97</v>
      </c>
      <c r="U174" s="5" t="s">
        <v>108</v>
      </c>
      <c r="V174" s="5">
        <v>2025</v>
      </c>
      <c r="W174" s="5" t="s">
        <v>139</v>
      </c>
      <c r="X174" s="5">
        <v>4</v>
      </c>
      <c r="Y174" s="1" t="s">
        <v>750</v>
      </c>
      <c r="Z174" s="5" t="s">
        <v>89</v>
      </c>
      <c r="AA174" s="5" t="s">
        <v>90</v>
      </c>
      <c r="AB174" s="5" t="s">
        <v>111</v>
      </c>
      <c r="AC174" s="5" t="s">
        <v>121</v>
      </c>
      <c r="AD174" s="5">
        <v>3</v>
      </c>
    </row>
    <row r="175" spans="1:30">
      <c r="A175" s="5" t="s">
        <v>751</v>
      </c>
      <c r="B175" s="1" t="s">
        <v>385</v>
      </c>
      <c r="C175" s="5" t="s">
        <v>752</v>
      </c>
      <c r="D175" s="5" t="s">
        <v>669</v>
      </c>
      <c r="E175" s="5" t="s">
        <v>103</v>
      </c>
      <c r="F175" s="5" t="s">
        <v>56</v>
      </c>
      <c r="G175" s="5" t="s">
        <v>57</v>
      </c>
      <c r="H175" s="5" t="s">
        <v>94</v>
      </c>
      <c r="I175" s="5" t="s">
        <v>39</v>
      </c>
      <c r="J175" s="5" t="s">
        <v>40</v>
      </c>
      <c r="K175" s="5">
        <v>4</v>
      </c>
      <c r="L175" s="5">
        <v>12000</v>
      </c>
      <c r="M175" s="5">
        <v>0</v>
      </c>
      <c r="N175" s="5">
        <v>48000</v>
      </c>
      <c r="O175" s="5">
        <v>35736.559999999998</v>
      </c>
      <c r="P175" s="5">
        <v>12263.44</v>
      </c>
      <c r="Q175" s="5">
        <v>25.55</v>
      </c>
      <c r="R175" s="5" t="s">
        <v>73</v>
      </c>
      <c r="S175" s="5" t="s">
        <v>62</v>
      </c>
      <c r="T175" s="5" t="s">
        <v>138</v>
      </c>
      <c r="U175" s="5" t="s">
        <v>64</v>
      </c>
      <c r="V175" s="5">
        <v>2024</v>
      </c>
      <c r="W175" s="5" t="s">
        <v>109</v>
      </c>
      <c r="X175" s="5">
        <v>5</v>
      </c>
      <c r="Y175" s="1" t="s">
        <v>598</v>
      </c>
      <c r="Z175" s="5" t="s">
        <v>47</v>
      </c>
      <c r="AA175" s="5" t="s">
        <v>67</v>
      </c>
      <c r="AB175" s="5" t="s">
        <v>78</v>
      </c>
      <c r="AC175" s="5" t="s">
        <v>50</v>
      </c>
      <c r="AD175" s="5">
        <v>1</v>
      </c>
    </row>
    <row r="176" spans="1:30">
      <c r="A176" s="5" t="s">
        <v>753</v>
      </c>
      <c r="B176" s="1">
        <v>45384</v>
      </c>
      <c r="C176" s="5" t="s">
        <v>754</v>
      </c>
      <c r="D176" s="5" t="s">
        <v>623</v>
      </c>
      <c r="E176" s="5" t="s">
        <v>35</v>
      </c>
      <c r="F176" s="5" t="s">
        <v>56</v>
      </c>
      <c r="G176" s="5" t="s">
        <v>57</v>
      </c>
      <c r="H176" s="5" t="s">
        <v>94</v>
      </c>
      <c r="I176" s="5" t="s">
        <v>59</v>
      </c>
      <c r="J176" s="5" t="s">
        <v>206</v>
      </c>
      <c r="K176" s="5">
        <v>3</v>
      </c>
      <c r="L176" s="5">
        <v>2000</v>
      </c>
      <c r="M176" s="5">
        <v>0</v>
      </c>
      <c r="N176" s="5">
        <v>6000</v>
      </c>
      <c r="O176" s="5">
        <v>3816.32</v>
      </c>
      <c r="P176" s="5">
        <v>2183.6799999999998</v>
      </c>
      <c r="Q176" s="5">
        <v>36.39</v>
      </c>
      <c r="R176" s="5" t="s">
        <v>73</v>
      </c>
      <c r="S176" s="5" t="s">
        <v>42</v>
      </c>
      <c r="T176" s="5" t="s">
        <v>173</v>
      </c>
      <c r="U176" s="5" t="s">
        <v>98</v>
      </c>
      <c r="V176" s="5">
        <v>2024</v>
      </c>
      <c r="W176" s="5" t="s">
        <v>45</v>
      </c>
      <c r="X176" s="5">
        <v>5</v>
      </c>
      <c r="Y176" s="1">
        <v>45537</v>
      </c>
      <c r="Z176" s="5" t="s">
        <v>47</v>
      </c>
      <c r="AA176" s="5" t="s">
        <v>48</v>
      </c>
      <c r="AB176" s="5" t="s">
        <v>49</v>
      </c>
      <c r="AC176" s="5" t="s">
        <v>50</v>
      </c>
      <c r="AD176" s="5">
        <v>5</v>
      </c>
    </row>
    <row r="177" spans="1:30">
      <c r="A177" s="5" t="s">
        <v>755</v>
      </c>
      <c r="B177" s="1" t="s">
        <v>756</v>
      </c>
      <c r="C177" s="5" t="s">
        <v>757</v>
      </c>
      <c r="D177" s="5" t="s">
        <v>758</v>
      </c>
      <c r="E177" s="5" t="s">
        <v>103</v>
      </c>
      <c r="F177" s="5" t="s">
        <v>144</v>
      </c>
      <c r="G177" s="5" t="s">
        <v>145</v>
      </c>
      <c r="H177" s="5" t="s">
        <v>171</v>
      </c>
      <c r="I177" s="5" t="s">
        <v>71</v>
      </c>
      <c r="J177" s="5" t="s">
        <v>72</v>
      </c>
      <c r="K177" s="5">
        <v>7</v>
      </c>
      <c r="L177" s="5">
        <v>1200</v>
      </c>
      <c r="M177" s="5">
        <v>0.2</v>
      </c>
      <c r="N177" s="5">
        <v>6720</v>
      </c>
      <c r="O177" s="5">
        <v>3879.72</v>
      </c>
      <c r="P177" s="5">
        <v>2840.28</v>
      </c>
      <c r="Q177" s="5">
        <v>42.27</v>
      </c>
      <c r="R177" s="5" t="s">
        <v>61</v>
      </c>
      <c r="S177" s="5" t="s">
        <v>62</v>
      </c>
      <c r="T177" s="5" t="s">
        <v>86</v>
      </c>
      <c r="U177" s="5" t="s">
        <v>178</v>
      </c>
      <c r="V177" s="5">
        <v>2025</v>
      </c>
      <c r="W177" s="5" t="s">
        <v>139</v>
      </c>
      <c r="X177" s="5">
        <v>3</v>
      </c>
      <c r="Y177" s="1" t="s">
        <v>759</v>
      </c>
      <c r="Z177" s="5" t="s">
        <v>47</v>
      </c>
      <c r="AA177" s="5" t="s">
        <v>90</v>
      </c>
      <c r="AB177" s="5" t="s">
        <v>49</v>
      </c>
      <c r="AC177" s="5" t="s">
        <v>50</v>
      </c>
      <c r="AD177" s="5">
        <v>5</v>
      </c>
    </row>
    <row r="178" spans="1:30">
      <c r="A178" s="5" t="s">
        <v>760</v>
      </c>
      <c r="B178" s="1" t="s">
        <v>663</v>
      </c>
      <c r="C178" s="5" t="s">
        <v>114</v>
      </c>
      <c r="D178" s="5" t="s">
        <v>761</v>
      </c>
      <c r="E178" s="5" t="s">
        <v>35</v>
      </c>
      <c r="F178" s="5" t="s">
        <v>131</v>
      </c>
      <c r="G178" s="5" t="s">
        <v>132</v>
      </c>
      <c r="H178" s="5" t="s">
        <v>58</v>
      </c>
      <c r="I178" s="5" t="s">
        <v>71</v>
      </c>
      <c r="J178" s="5" t="s">
        <v>117</v>
      </c>
      <c r="K178" s="5">
        <v>1</v>
      </c>
      <c r="L178" s="5">
        <v>1800</v>
      </c>
      <c r="M178" s="5">
        <v>0</v>
      </c>
      <c r="N178" s="5">
        <v>1800</v>
      </c>
      <c r="O178" s="5">
        <v>1390.41</v>
      </c>
      <c r="P178" s="5">
        <v>409.59</v>
      </c>
      <c r="Q178" s="5">
        <v>22.75</v>
      </c>
      <c r="R178" s="5" t="s">
        <v>106</v>
      </c>
      <c r="S178" s="5" t="s">
        <v>74</v>
      </c>
      <c r="T178" s="5" t="s">
        <v>118</v>
      </c>
      <c r="U178" s="5" t="s">
        <v>178</v>
      </c>
      <c r="V178" s="5">
        <v>2025</v>
      </c>
      <c r="W178" s="5" t="s">
        <v>139</v>
      </c>
      <c r="X178" s="5">
        <v>2</v>
      </c>
      <c r="Y178" s="1" t="s">
        <v>222</v>
      </c>
      <c r="Z178" s="5" t="s">
        <v>47</v>
      </c>
      <c r="AA178" s="5" t="s">
        <v>48</v>
      </c>
      <c r="AB178" s="5" t="s">
        <v>78</v>
      </c>
      <c r="AC178" s="5" t="s">
        <v>121</v>
      </c>
      <c r="AD178" s="5">
        <v>4</v>
      </c>
    </row>
    <row r="179" spans="1:30">
      <c r="A179" s="5" t="s">
        <v>762</v>
      </c>
      <c r="B179" s="1">
        <v>45355</v>
      </c>
      <c r="C179" s="5" t="s">
        <v>317</v>
      </c>
      <c r="D179" s="5" t="s">
        <v>763</v>
      </c>
      <c r="E179" s="5" t="s">
        <v>55</v>
      </c>
      <c r="F179" s="5" t="s">
        <v>36</v>
      </c>
      <c r="G179" s="5" t="s">
        <v>37</v>
      </c>
      <c r="H179" s="5" t="s">
        <v>58</v>
      </c>
      <c r="I179" s="5" t="s">
        <v>84</v>
      </c>
      <c r="J179" s="5" t="s">
        <v>290</v>
      </c>
      <c r="K179" s="5">
        <v>8</v>
      </c>
      <c r="L179" s="5">
        <v>500</v>
      </c>
      <c r="M179" s="5">
        <v>0.1</v>
      </c>
      <c r="N179" s="5">
        <v>3600</v>
      </c>
      <c r="O179" s="5">
        <v>2159.6999999999998</v>
      </c>
      <c r="P179" s="5">
        <v>1440.3</v>
      </c>
      <c r="Q179" s="5">
        <v>40.01</v>
      </c>
      <c r="R179" s="5" t="s">
        <v>61</v>
      </c>
      <c r="S179" s="5" t="s">
        <v>62</v>
      </c>
      <c r="T179" s="5" t="s">
        <v>138</v>
      </c>
      <c r="U179" s="5" t="s">
        <v>44</v>
      </c>
      <c r="V179" s="5">
        <v>2024</v>
      </c>
      <c r="W179" s="5" t="s">
        <v>134</v>
      </c>
      <c r="X179" s="5">
        <v>9</v>
      </c>
      <c r="Y179" s="1">
        <v>45630</v>
      </c>
      <c r="Z179" s="5" t="s">
        <v>110</v>
      </c>
      <c r="AA179" s="5" t="s">
        <v>67</v>
      </c>
      <c r="AB179" s="5" t="s">
        <v>49</v>
      </c>
      <c r="AC179" s="5" t="s">
        <v>50</v>
      </c>
      <c r="AD179" s="5">
        <v>5</v>
      </c>
    </row>
    <row r="180" spans="1:30">
      <c r="A180" s="5" t="s">
        <v>764</v>
      </c>
      <c r="B180" s="1" t="s">
        <v>377</v>
      </c>
      <c r="C180" s="5" t="s">
        <v>739</v>
      </c>
      <c r="D180" s="5" t="s">
        <v>653</v>
      </c>
      <c r="E180" s="5" t="s">
        <v>103</v>
      </c>
      <c r="F180" s="5" t="s">
        <v>104</v>
      </c>
      <c r="G180" s="5" t="s">
        <v>104</v>
      </c>
      <c r="H180" s="5" t="s">
        <v>94</v>
      </c>
      <c r="I180" s="5" t="s">
        <v>95</v>
      </c>
      <c r="J180" s="5" t="s">
        <v>344</v>
      </c>
      <c r="K180" s="5">
        <v>2</v>
      </c>
      <c r="L180" s="5">
        <v>6000</v>
      </c>
      <c r="M180" s="5">
        <v>0.2</v>
      </c>
      <c r="N180" s="5">
        <v>9600</v>
      </c>
      <c r="O180" s="5">
        <v>6714.94</v>
      </c>
      <c r="P180" s="5">
        <v>2885.06</v>
      </c>
      <c r="Q180" s="5">
        <v>30.05</v>
      </c>
      <c r="R180" s="5" t="s">
        <v>41</v>
      </c>
      <c r="S180" s="5" t="s">
        <v>74</v>
      </c>
      <c r="T180" s="5" t="s">
        <v>138</v>
      </c>
      <c r="U180" s="5" t="s">
        <v>98</v>
      </c>
      <c r="V180" s="5">
        <v>2025</v>
      </c>
      <c r="W180" s="5" t="s">
        <v>139</v>
      </c>
      <c r="X180" s="5">
        <v>10</v>
      </c>
      <c r="Y180" s="1">
        <v>45903</v>
      </c>
      <c r="Z180" s="5" t="s">
        <v>47</v>
      </c>
      <c r="AA180" s="5" t="s">
        <v>67</v>
      </c>
      <c r="AB180" s="5" t="s">
        <v>49</v>
      </c>
      <c r="AC180" s="5" t="s">
        <v>50</v>
      </c>
      <c r="AD180" s="5">
        <v>1</v>
      </c>
    </row>
    <row r="181" spans="1:30">
      <c r="A181" s="5" t="s">
        <v>765</v>
      </c>
      <c r="B181" s="1">
        <v>45356</v>
      </c>
      <c r="C181" s="5" t="s">
        <v>766</v>
      </c>
      <c r="D181" s="5" t="s">
        <v>767</v>
      </c>
      <c r="E181" s="5" t="s">
        <v>35</v>
      </c>
      <c r="F181" s="5" t="s">
        <v>131</v>
      </c>
      <c r="G181" s="5" t="s">
        <v>132</v>
      </c>
      <c r="H181" s="5" t="s">
        <v>38</v>
      </c>
      <c r="I181" s="5" t="s">
        <v>59</v>
      </c>
      <c r="J181" s="5" t="s">
        <v>372</v>
      </c>
      <c r="K181" s="5">
        <v>10</v>
      </c>
      <c r="L181" s="5">
        <v>3000</v>
      </c>
      <c r="M181" s="5">
        <v>0.05</v>
      </c>
      <c r="N181" s="5">
        <v>28500</v>
      </c>
      <c r="O181" s="5">
        <v>22978.03</v>
      </c>
      <c r="P181" s="5">
        <v>5521.97</v>
      </c>
      <c r="Q181" s="5">
        <v>19.38</v>
      </c>
      <c r="R181" s="5" t="s">
        <v>106</v>
      </c>
      <c r="S181" s="5" t="s">
        <v>62</v>
      </c>
      <c r="T181" s="5" t="s">
        <v>173</v>
      </c>
      <c r="U181" s="5" t="s">
        <v>119</v>
      </c>
      <c r="V181" s="5">
        <v>2024</v>
      </c>
      <c r="W181" s="5" t="s">
        <v>194</v>
      </c>
      <c r="X181" s="5">
        <v>8</v>
      </c>
      <c r="Y181" s="1">
        <v>45601</v>
      </c>
      <c r="Z181" s="5" t="s">
        <v>47</v>
      </c>
      <c r="AA181" s="5" t="s">
        <v>48</v>
      </c>
      <c r="AB181" s="5" t="s">
        <v>78</v>
      </c>
      <c r="AC181" s="5" t="s">
        <v>121</v>
      </c>
      <c r="AD181" s="5">
        <v>2</v>
      </c>
    </row>
    <row r="182" spans="1:30">
      <c r="A182" s="5" t="s">
        <v>768</v>
      </c>
      <c r="B182" s="1" t="s">
        <v>269</v>
      </c>
      <c r="C182" s="5" t="s">
        <v>769</v>
      </c>
      <c r="D182" s="5" t="s">
        <v>770</v>
      </c>
      <c r="E182" s="5" t="s">
        <v>35</v>
      </c>
      <c r="F182" s="5" t="s">
        <v>144</v>
      </c>
      <c r="G182" s="5" t="s">
        <v>145</v>
      </c>
      <c r="H182" s="5" t="s">
        <v>94</v>
      </c>
      <c r="I182" s="5" t="s">
        <v>84</v>
      </c>
      <c r="J182" s="5" t="s">
        <v>229</v>
      </c>
      <c r="K182" s="5">
        <v>2</v>
      </c>
      <c r="L182" s="5">
        <v>100</v>
      </c>
      <c r="M182" s="5">
        <v>0.15</v>
      </c>
      <c r="N182" s="5">
        <v>170</v>
      </c>
      <c r="O182" s="5">
        <v>108.47</v>
      </c>
      <c r="P182" s="5">
        <v>61.53</v>
      </c>
      <c r="Q182" s="5">
        <v>36.19</v>
      </c>
      <c r="R182" s="5" t="s">
        <v>106</v>
      </c>
      <c r="S182" s="5" t="s">
        <v>62</v>
      </c>
      <c r="T182" s="5" t="s">
        <v>118</v>
      </c>
      <c r="U182" s="5" t="s">
        <v>151</v>
      </c>
      <c r="V182" s="5">
        <v>2025</v>
      </c>
      <c r="W182" s="5" t="s">
        <v>134</v>
      </c>
      <c r="X182" s="5">
        <v>7</v>
      </c>
      <c r="Y182" s="1" t="s">
        <v>771</v>
      </c>
      <c r="Z182" s="5" t="s">
        <v>89</v>
      </c>
      <c r="AA182" s="5" t="s">
        <v>90</v>
      </c>
      <c r="AB182" s="5" t="s">
        <v>111</v>
      </c>
      <c r="AC182" s="5" t="s">
        <v>121</v>
      </c>
      <c r="AD182" s="5">
        <v>1</v>
      </c>
    </row>
    <row r="183" spans="1:30">
      <c r="A183" s="5" t="s">
        <v>772</v>
      </c>
      <c r="B183" s="1" t="s">
        <v>283</v>
      </c>
      <c r="C183" s="5" t="s">
        <v>773</v>
      </c>
      <c r="D183" s="5" t="s">
        <v>774</v>
      </c>
      <c r="E183" s="5" t="s">
        <v>55</v>
      </c>
      <c r="F183" s="5" t="s">
        <v>144</v>
      </c>
      <c r="G183" s="5" t="s">
        <v>145</v>
      </c>
      <c r="H183" s="5" t="s">
        <v>94</v>
      </c>
      <c r="I183" s="5" t="s">
        <v>39</v>
      </c>
      <c r="J183" s="5" t="s">
        <v>40</v>
      </c>
      <c r="K183" s="5">
        <v>9</v>
      </c>
      <c r="L183" s="5">
        <v>15000</v>
      </c>
      <c r="M183" s="5">
        <v>0.15</v>
      </c>
      <c r="N183" s="5">
        <v>114750</v>
      </c>
      <c r="O183" s="5">
        <v>80835.210000000006</v>
      </c>
      <c r="P183" s="5">
        <v>33914.79</v>
      </c>
      <c r="Q183" s="5">
        <v>29.56</v>
      </c>
      <c r="R183" s="5" t="s">
        <v>73</v>
      </c>
      <c r="S183" s="5" t="s">
        <v>42</v>
      </c>
      <c r="T183" s="5" t="s">
        <v>63</v>
      </c>
      <c r="U183" s="5" t="s">
        <v>108</v>
      </c>
      <c r="V183" s="5">
        <v>2024</v>
      </c>
      <c r="W183" s="5" t="s">
        <v>194</v>
      </c>
      <c r="X183" s="5">
        <v>7</v>
      </c>
      <c r="Y183" s="1">
        <v>45392</v>
      </c>
      <c r="Z183" s="5" t="s">
        <v>110</v>
      </c>
      <c r="AA183" s="5" t="s">
        <v>48</v>
      </c>
      <c r="AB183" s="5" t="s">
        <v>111</v>
      </c>
      <c r="AC183" s="5" t="s">
        <v>50</v>
      </c>
      <c r="AD183" s="5">
        <v>1</v>
      </c>
    </row>
    <row r="184" spans="1:30">
      <c r="A184" s="5" t="s">
        <v>775</v>
      </c>
      <c r="B184" s="1" t="s">
        <v>776</v>
      </c>
      <c r="C184" s="5" t="s">
        <v>777</v>
      </c>
      <c r="D184" s="5" t="s">
        <v>268</v>
      </c>
      <c r="E184" s="5" t="s">
        <v>55</v>
      </c>
      <c r="F184" s="5" t="s">
        <v>156</v>
      </c>
      <c r="G184" s="5" t="s">
        <v>157</v>
      </c>
      <c r="H184" s="5" t="s">
        <v>58</v>
      </c>
      <c r="I184" s="5" t="s">
        <v>84</v>
      </c>
      <c r="J184" s="5" t="s">
        <v>85</v>
      </c>
      <c r="K184" s="5">
        <v>1</v>
      </c>
      <c r="L184" s="5">
        <v>500</v>
      </c>
      <c r="M184" s="5">
        <v>0.1</v>
      </c>
      <c r="N184" s="5">
        <v>450</v>
      </c>
      <c r="O184" s="5">
        <v>346.81</v>
      </c>
      <c r="P184" s="5">
        <v>103.19</v>
      </c>
      <c r="Q184" s="5">
        <v>22.93</v>
      </c>
      <c r="R184" s="5" t="s">
        <v>73</v>
      </c>
      <c r="S184" s="5" t="s">
        <v>74</v>
      </c>
      <c r="T184" s="5" t="s">
        <v>159</v>
      </c>
      <c r="U184" s="5" t="s">
        <v>76</v>
      </c>
      <c r="V184" s="5">
        <v>2025</v>
      </c>
      <c r="W184" s="5" t="s">
        <v>139</v>
      </c>
      <c r="X184" s="5">
        <v>1</v>
      </c>
      <c r="Y184" s="1" t="s">
        <v>778</v>
      </c>
      <c r="Z184" s="5" t="s">
        <v>47</v>
      </c>
      <c r="AA184" s="5" t="s">
        <v>48</v>
      </c>
      <c r="AB184" s="5" t="s">
        <v>78</v>
      </c>
      <c r="AC184" s="5" t="s">
        <v>50</v>
      </c>
      <c r="AD184" s="5">
        <v>3</v>
      </c>
    </row>
    <row r="185" spans="1:30">
      <c r="A185" s="5" t="s">
        <v>779</v>
      </c>
      <c r="B185" s="1" t="s">
        <v>780</v>
      </c>
      <c r="C185" s="5" t="s">
        <v>781</v>
      </c>
      <c r="D185" s="5" t="s">
        <v>782</v>
      </c>
      <c r="E185" s="5" t="s">
        <v>35</v>
      </c>
      <c r="F185" s="5" t="s">
        <v>156</v>
      </c>
      <c r="G185" s="5" t="s">
        <v>157</v>
      </c>
      <c r="H185" s="5" t="s">
        <v>58</v>
      </c>
      <c r="I185" s="5" t="s">
        <v>59</v>
      </c>
      <c r="J185" s="5" t="s">
        <v>328</v>
      </c>
      <c r="K185" s="5">
        <v>4</v>
      </c>
      <c r="L185" s="5">
        <v>2000</v>
      </c>
      <c r="M185" s="5">
        <v>0.05</v>
      </c>
      <c r="N185" s="5">
        <v>7600</v>
      </c>
      <c r="O185" s="5">
        <v>5959.47</v>
      </c>
      <c r="P185" s="5">
        <v>1640.53</v>
      </c>
      <c r="Q185" s="5">
        <v>21.59</v>
      </c>
      <c r="R185" s="5" t="s">
        <v>61</v>
      </c>
      <c r="S185" s="5" t="s">
        <v>42</v>
      </c>
      <c r="T185" s="5" t="s">
        <v>107</v>
      </c>
      <c r="U185" s="5" t="s">
        <v>98</v>
      </c>
      <c r="V185" s="5">
        <v>2025</v>
      </c>
      <c r="W185" s="5" t="s">
        <v>139</v>
      </c>
      <c r="X185" s="5">
        <v>8</v>
      </c>
      <c r="Y185" s="1" t="s">
        <v>783</v>
      </c>
      <c r="Z185" s="5" t="s">
        <v>89</v>
      </c>
      <c r="AA185" s="5" t="s">
        <v>67</v>
      </c>
      <c r="AB185" s="5" t="s">
        <v>49</v>
      </c>
      <c r="AC185" s="5" t="s">
        <v>121</v>
      </c>
      <c r="AD185" s="5">
        <v>2</v>
      </c>
    </row>
    <row r="186" spans="1:30">
      <c r="A186" s="5" t="s">
        <v>784</v>
      </c>
      <c r="B186" s="1" t="s">
        <v>785</v>
      </c>
      <c r="C186" s="5" t="s">
        <v>565</v>
      </c>
      <c r="D186" s="5" t="s">
        <v>653</v>
      </c>
      <c r="E186" s="5" t="s">
        <v>103</v>
      </c>
      <c r="F186" s="5" t="s">
        <v>149</v>
      </c>
      <c r="G186" s="5" t="s">
        <v>150</v>
      </c>
      <c r="H186" s="5" t="s">
        <v>58</v>
      </c>
      <c r="I186" s="5" t="s">
        <v>95</v>
      </c>
      <c r="J186" s="5" t="s">
        <v>344</v>
      </c>
      <c r="K186" s="5">
        <v>4</v>
      </c>
      <c r="L186" s="5">
        <v>2500</v>
      </c>
      <c r="M186" s="5">
        <v>0.15</v>
      </c>
      <c r="N186" s="5">
        <v>8500</v>
      </c>
      <c r="O186" s="5">
        <v>5303.78</v>
      </c>
      <c r="P186" s="5">
        <v>3196.22</v>
      </c>
      <c r="Q186" s="5">
        <v>37.6</v>
      </c>
      <c r="R186" s="5" t="s">
        <v>106</v>
      </c>
      <c r="S186" s="5" t="s">
        <v>74</v>
      </c>
      <c r="T186" s="5" t="s">
        <v>97</v>
      </c>
      <c r="U186" s="5" t="s">
        <v>98</v>
      </c>
      <c r="V186" s="5">
        <v>2024</v>
      </c>
      <c r="W186" s="5" t="s">
        <v>134</v>
      </c>
      <c r="X186" s="5">
        <v>6</v>
      </c>
      <c r="Y186" s="1" t="s">
        <v>786</v>
      </c>
      <c r="Z186" s="5" t="s">
        <v>47</v>
      </c>
      <c r="AA186" s="5" t="s">
        <v>67</v>
      </c>
      <c r="AB186" s="5" t="s">
        <v>111</v>
      </c>
      <c r="AC186" s="5" t="s">
        <v>50</v>
      </c>
      <c r="AD186" s="5">
        <v>2</v>
      </c>
    </row>
    <row r="187" spans="1:30">
      <c r="A187" s="5" t="s">
        <v>787</v>
      </c>
      <c r="B187" s="1" t="s">
        <v>788</v>
      </c>
      <c r="C187" s="5" t="s">
        <v>338</v>
      </c>
      <c r="D187" s="5" t="s">
        <v>464</v>
      </c>
      <c r="E187" s="5" t="s">
        <v>103</v>
      </c>
      <c r="F187" s="5" t="s">
        <v>56</v>
      </c>
      <c r="G187" s="5" t="s">
        <v>57</v>
      </c>
      <c r="H187" s="5" t="s">
        <v>38</v>
      </c>
      <c r="I187" s="5" t="s">
        <v>59</v>
      </c>
      <c r="J187" s="5" t="s">
        <v>372</v>
      </c>
      <c r="K187" s="5">
        <v>6</v>
      </c>
      <c r="L187" s="5">
        <v>1200</v>
      </c>
      <c r="M187" s="5">
        <v>0.05</v>
      </c>
      <c r="N187" s="5">
        <v>6840</v>
      </c>
      <c r="O187" s="5">
        <v>3812.7</v>
      </c>
      <c r="P187" s="5">
        <v>3027.3</v>
      </c>
      <c r="Q187" s="5">
        <v>44.26</v>
      </c>
      <c r="R187" s="5" t="s">
        <v>73</v>
      </c>
      <c r="S187" s="5" t="s">
        <v>42</v>
      </c>
      <c r="T187" s="5" t="s">
        <v>86</v>
      </c>
      <c r="U187" s="5" t="s">
        <v>108</v>
      </c>
      <c r="V187" s="5">
        <v>2024</v>
      </c>
      <c r="W187" s="5" t="s">
        <v>65</v>
      </c>
      <c r="X187" s="5">
        <v>2</v>
      </c>
      <c r="Y187" s="1" t="s">
        <v>789</v>
      </c>
      <c r="Z187" s="5" t="s">
        <v>47</v>
      </c>
      <c r="AA187" s="5" t="s">
        <v>48</v>
      </c>
      <c r="AB187" s="5" t="s">
        <v>49</v>
      </c>
      <c r="AC187" s="5" t="s">
        <v>50</v>
      </c>
      <c r="AD187" s="5">
        <v>4</v>
      </c>
    </row>
    <row r="188" spans="1:30">
      <c r="A188" s="5" t="s">
        <v>790</v>
      </c>
      <c r="B188" s="1">
        <v>45847</v>
      </c>
      <c r="C188" s="5" t="s">
        <v>677</v>
      </c>
      <c r="D188" s="5" t="s">
        <v>791</v>
      </c>
      <c r="E188" s="5" t="s">
        <v>55</v>
      </c>
      <c r="F188" s="5" t="s">
        <v>131</v>
      </c>
      <c r="G188" s="5" t="s">
        <v>132</v>
      </c>
      <c r="H188" s="5" t="s">
        <v>171</v>
      </c>
      <c r="I188" s="5" t="s">
        <v>39</v>
      </c>
      <c r="J188" s="5" t="s">
        <v>356</v>
      </c>
      <c r="K188" s="5">
        <v>8</v>
      </c>
      <c r="L188" s="5">
        <v>12000</v>
      </c>
      <c r="M188" s="5">
        <v>0.05</v>
      </c>
      <c r="N188" s="5">
        <v>91200</v>
      </c>
      <c r="O188" s="5">
        <v>56374.86</v>
      </c>
      <c r="P188" s="5">
        <v>34825.14</v>
      </c>
      <c r="Q188" s="5">
        <v>38.19</v>
      </c>
      <c r="R188" s="5" t="s">
        <v>166</v>
      </c>
      <c r="S188" s="5" t="s">
        <v>62</v>
      </c>
      <c r="T188" s="5" t="s">
        <v>86</v>
      </c>
      <c r="U188" s="5" t="s">
        <v>108</v>
      </c>
      <c r="V188" s="5">
        <v>2025</v>
      </c>
      <c r="W188" s="5" t="s">
        <v>45</v>
      </c>
      <c r="X188" s="5">
        <v>1</v>
      </c>
      <c r="Y188" s="1">
        <v>45878</v>
      </c>
      <c r="Z188" s="5" t="s">
        <v>47</v>
      </c>
      <c r="AA188" s="5" t="s">
        <v>67</v>
      </c>
      <c r="AB188" s="5" t="s">
        <v>78</v>
      </c>
      <c r="AC188" s="5" t="s">
        <v>50</v>
      </c>
      <c r="AD188" s="5">
        <v>5</v>
      </c>
    </row>
    <row r="189" spans="1:30">
      <c r="A189" s="5" t="s">
        <v>792</v>
      </c>
      <c r="B189" s="1" t="s">
        <v>793</v>
      </c>
      <c r="C189" s="5" t="s">
        <v>794</v>
      </c>
      <c r="D189" s="5" t="s">
        <v>623</v>
      </c>
      <c r="E189" s="5" t="s">
        <v>55</v>
      </c>
      <c r="F189" s="5" t="s">
        <v>36</v>
      </c>
      <c r="G189" s="5" t="s">
        <v>37</v>
      </c>
      <c r="H189" s="5" t="s">
        <v>171</v>
      </c>
      <c r="I189" s="5" t="s">
        <v>39</v>
      </c>
      <c r="J189" s="5" t="s">
        <v>165</v>
      </c>
      <c r="K189" s="5">
        <v>6</v>
      </c>
      <c r="L189" s="5">
        <v>35000</v>
      </c>
      <c r="M189" s="5">
        <v>0.2</v>
      </c>
      <c r="N189" s="5">
        <v>168000</v>
      </c>
      <c r="O189" s="5">
        <v>123444.98</v>
      </c>
      <c r="P189" s="5">
        <v>44555.02</v>
      </c>
      <c r="Q189" s="5">
        <v>26.52</v>
      </c>
      <c r="R189" s="5" t="s">
        <v>61</v>
      </c>
      <c r="S189" s="5" t="s">
        <v>62</v>
      </c>
      <c r="T189" s="5" t="s">
        <v>159</v>
      </c>
      <c r="U189" s="5" t="s">
        <v>108</v>
      </c>
      <c r="V189" s="5">
        <v>2025</v>
      </c>
      <c r="W189" s="5" t="s">
        <v>126</v>
      </c>
      <c r="X189" s="5">
        <v>5</v>
      </c>
      <c r="Y189" s="1" t="s">
        <v>795</v>
      </c>
      <c r="Z189" s="5" t="s">
        <v>47</v>
      </c>
      <c r="AA189" s="5" t="s">
        <v>90</v>
      </c>
      <c r="AB189" s="5" t="s">
        <v>49</v>
      </c>
      <c r="AC189" s="5" t="s">
        <v>121</v>
      </c>
      <c r="AD189" s="5">
        <v>1</v>
      </c>
    </row>
    <row r="190" spans="1:30">
      <c r="A190" s="5" t="s">
        <v>796</v>
      </c>
      <c r="B190" s="1" t="s">
        <v>797</v>
      </c>
      <c r="C190" s="5" t="s">
        <v>798</v>
      </c>
      <c r="D190" s="5" t="s">
        <v>799</v>
      </c>
      <c r="E190" s="5" t="s">
        <v>103</v>
      </c>
      <c r="F190" s="5" t="s">
        <v>144</v>
      </c>
      <c r="G190" s="5" t="s">
        <v>145</v>
      </c>
      <c r="H190" s="5" t="s">
        <v>38</v>
      </c>
      <c r="I190" s="5" t="s">
        <v>71</v>
      </c>
      <c r="J190" s="5" t="s">
        <v>240</v>
      </c>
      <c r="K190" s="5">
        <v>3</v>
      </c>
      <c r="L190" s="5">
        <v>700</v>
      </c>
      <c r="M190" s="5">
        <v>0.15</v>
      </c>
      <c r="N190" s="5">
        <v>1785</v>
      </c>
      <c r="O190" s="5">
        <v>1176.75</v>
      </c>
      <c r="P190" s="5">
        <v>608.25</v>
      </c>
      <c r="Q190" s="5">
        <v>34.08</v>
      </c>
      <c r="R190" s="5" t="s">
        <v>61</v>
      </c>
      <c r="S190" s="5" t="s">
        <v>42</v>
      </c>
      <c r="T190" s="5" t="s">
        <v>86</v>
      </c>
      <c r="U190" s="5" t="s">
        <v>87</v>
      </c>
      <c r="V190" s="5">
        <v>2024</v>
      </c>
      <c r="W190" s="5" t="s">
        <v>109</v>
      </c>
      <c r="X190" s="5">
        <v>5</v>
      </c>
      <c r="Y190" s="1">
        <v>45362</v>
      </c>
      <c r="Z190" s="5" t="s">
        <v>110</v>
      </c>
      <c r="AA190" s="5" t="s">
        <v>48</v>
      </c>
      <c r="AB190" s="5" t="s">
        <v>111</v>
      </c>
      <c r="AC190" s="5" t="s">
        <v>50</v>
      </c>
      <c r="AD190" s="5">
        <v>3</v>
      </c>
    </row>
    <row r="191" spans="1:30">
      <c r="A191" s="5" t="s">
        <v>800</v>
      </c>
      <c r="B191" s="1">
        <v>45539</v>
      </c>
      <c r="C191" s="5" t="s">
        <v>801</v>
      </c>
      <c r="D191" s="5" t="s">
        <v>802</v>
      </c>
      <c r="E191" s="5" t="s">
        <v>55</v>
      </c>
      <c r="F191" s="5" t="s">
        <v>131</v>
      </c>
      <c r="G191" s="5" t="s">
        <v>132</v>
      </c>
      <c r="H191" s="5" t="s">
        <v>58</v>
      </c>
      <c r="I191" s="5" t="s">
        <v>84</v>
      </c>
      <c r="J191" s="5" t="s">
        <v>85</v>
      </c>
      <c r="K191" s="5">
        <v>9</v>
      </c>
      <c r="L191" s="5">
        <v>200</v>
      </c>
      <c r="M191" s="5">
        <v>0.1</v>
      </c>
      <c r="N191" s="5">
        <v>1620</v>
      </c>
      <c r="O191" s="5">
        <v>1215.08</v>
      </c>
      <c r="P191" s="5">
        <v>404.92</v>
      </c>
      <c r="Q191" s="5">
        <v>25</v>
      </c>
      <c r="R191" s="5" t="s">
        <v>73</v>
      </c>
      <c r="S191" s="5" t="s">
        <v>62</v>
      </c>
      <c r="T191" s="5" t="s">
        <v>86</v>
      </c>
      <c r="U191" s="5" t="s">
        <v>44</v>
      </c>
      <c r="V191" s="5">
        <v>2024</v>
      </c>
      <c r="W191" s="5" t="s">
        <v>109</v>
      </c>
      <c r="X191" s="5">
        <v>8</v>
      </c>
      <c r="Y191" s="1" t="s">
        <v>803</v>
      </c>
      <c r="Z191" s="5" t="s">
        <v>47</v>
      </c>
      <c r="AA191" s="5" t="s">
        <v>48</v>
      </c>
      <c r="AB191" s="5" t="s">
        <v>78</v>
      </c>
      <c r="AC191" s="5" t="s">
        <v>50</v>
      </c>
      <c r="AD191" s="5">
        <v>3</v>
      </c>
    </row>
    <row r="192" spans="1:30">
      <c r="A192" s="5" t="s">
        <v>804</v>
      </c>
      <c r="B192" s="1" t="s">
        <v>714</v>
      </c>
      <c r="C192" s="5" t="s">
        <v>805</v>
      </c>
      <c r="D192" s="5" t="s">
        <v>297</v>
      </c>
      <c r="E192" s="5" t="s">
        <v>35</v>
      </c>
      <c r="F192" s="5" t="s">
        <v>82</v>
      </c>
      <c r="G192" s="5" t="s">
        <v>83</v>
      </c>
      <c r="H192" s="5" t="s">
        <v>58</v>
      </c>
      <c r="I192" s="5" t="s">
        <v>84</v>
      </c>
      <c r="J192" s="5" t="s">
        <v>217</v>
      </c>
      <c r="K192" s="5">
        <v>5</v>
      </c>
      <c r="L192" s="5">
        <v>500</v>
      </c>
      <c r="M192" s="5">
        <v>0</v>
      </c>
      <c r="N192" s="5">
        <v>2500</v>
      </c>
      <c r="O192" s="5">
        <v>1766.71</v>
      </c>
      <c r="P192" s="5">
        <v>733.29</v>
      </c>
      <c r="Q192" s="5">
        <v>29.33</v>
      </c>
      <c r="R192" s="5" t="s">
        <v>166</v>
      </c>
      <c r="S192" s="5" t="s">
        <v>42</v>
      </c>
      <c r="T192" s="5" t="s">
        <v>159</v>
      </c>
      <c r="U192" s="5" t="s">
        <v>44</v>
      </c>
      <c r="V192" s="5">
        <v>2025</v>
      </c>
      <c r="W192" s="5" t="s">
        <v>65</v>
      </c>
      <c r="X192" s="5">
        <v>1</v>
      </c>
      <c r="Y192" s="1" t="s">
        <v>806</v>
      </c>
      <c r="Z192" s="5" t="s">
        <v>89</v>
      </c>
      <c r="AA192" s="5" t="s">
        <v>67</v>
      </c>
      <c r="AB192" s="5" t="s">
        <v>49</v>
      </c>
      <c r="AC192" s="5" t="s">
        <v>121</v>
      </c>
      <c r="AD192" s="5">
        <v>2</v>
      </c>
    </row>
    <row r="193" spans="1:30">
      <c r="A193" s="5" t="s">
        <v>807</v>
      </c>
      <c r="B193" s="1" t="s">
        <v>808</v>
      </c>
      <c r="C193" s="5" t="s">
        <v>809</v>
      </c>
      <c r="D193" s="5" t="s">
        <v>810</v>
      </c>
      <c r="E193" s="5" t="s">
        <v>103</v>
      </c>
      <c r="F193" s="5" t="s">
        <v>149</v>
      </c>
      <c r="G193" s="5" t="s">
        <v>150</v>
      </c>
      <c r="H193" s="5" t="s">
        <v>58</v>
      </c>
      <c r="I193" s="5" t="s">
        <v>84</v>
      </c>
      <c r="J193" s="5" t="s">
        <v>290</v>
      </c>
      <c r="K193" s="5">
        <v>10</v>
      </c>
      <c r="L193" s="5">
        <v>500</v>
      </c>
      <c r="M193" s="5">
        <v>0.05</v>
      </c>
      <c r="N193" s="5">
        <v>4750</v>
      </c>
      <c r="O193" s="5">
        <v>3237.82</v>
      </c>
      <c r="P193" s="5">
        <v>1512.18</v>
      </c>
      <c r="Q193" s="5">
        <v>31.84</v>
      </c>
      <c r="R193" s="5" t="s">
        <v>106</v>
      </c>
      <c r="S193" s="5" t="s">
        <v>62</v>
      </c>
      <c r="T193" s="5" t="s">
        <v>159</v>
      </c>
      <c r="U193" s="5" t="s">
        <v>198</v>
      </c>
      <c r="V193" s="5">
        <v>2024</v>
      </c>
      <c r="W193" s="5" t="s">
        <v>109</v>
      </c>
      <c r="X193" s="5">
        <v>3</v>
      </c>
      <c r="Y193" s="1" t="s">
        <v>469</v>
      </c>
      <c r="Z193" s="5" t="s">
        <v>47</v>
      </c>
      <c r="AA193" s="5" t="s">
        <v>90</v>
      </c>
      <c r="AB193" s="5" t="s">
        <v>49</v>
      </c>
      <c r="AC193" s="5" t="s">
        <v>121</v>
      </c>
      <c r="AD193" s="5">
        <v>4</v>
      </c>
    </row>
    <row r="194" spans="1:30">
      <c r="A194" s="5" t="s">
        <v>811</v>
      </c>
      <c r="B194" s="1" t="s">
        <v>222</v>
      </c>
      <c r="C194" s="5" t="s">
        <v>812</v>
      </c>
      <c r="D194" s="5" t="s">
        <v>813</v>
      </c>
      <c r="E194" s="5" t="s">
        <v>55</v>
      </c>
      <c r="F194" s="5" t="s">
        <v>36</v>
      </c>
      <c r="G194" s="5" t="s">
        <v>37</v>
      </c>
      <c r="H194" s="5" t="s">
        <v>58</v>
      </c>
      <c r="I194" s="5" t="s">
        <v>95</v>
      </c>
      <c r="J194" s="5" t="s">
        <v>96</v>
      </c>
      <c r="K194" s="5">
        <v>7</v>
      </c>
      <c r="L194" s="5">
        <v>9000</v>
      </c>
      <c r="M194" s="5">
        <v>0.15</v>
      </c>
      <c r="N194" s="5">
        <v>53550</v>
      </c>
      <c r="O194" s="5">
        <v>29520.01</v>
      </c>
      <c r="P194" s="5">
        <v>24029.99</v>
      </c>
      <c r="Q194" s="5">
        <v>44.87</v>
      </c>
      <c r="R194" s="5" t="s">
        <v>61</v>
      </c>
      <c r="S194" s="5" t="s">
        <v>42</v>
      </c>
      <c r="T194" s="5" t="s">
        <v>86</v>
      </c>
      <c r="U194" s="5" t="s">
        <v>178</v>
      </c>
      <c r="V194" s="5">
        <v>2025</v>
      </c>
      <c r="W194" s="5" t="s">
        <v>65</v>
      </c>
      <c r="X194" s="5">
        <v>8</v>
      </c>
      <c r="Y194" s="1" t="s">
        <v>759</v>
      </c>
      <c r="Z194" s="5" t="s">
        <v>110</v>
      </c>
      <c r="AA194" s="5" t="s">
        <v>90</v>
      </c>
      <c r="AB194" s="5" t="s">
        <v>111</v>
      </c>
      <c r="AC194" s="5" t="s">
        <v>121</v>
      </c>
      <c r="AD194" s="5">
        <v>2</v>
      </c>
    </row>
    <row r="195" spans="1:30">
      <c r="A195" s="5" t="s">
        <v>814</v>
      </c>
      <c r="B195" s="1" t="s">
        <v>120</v>
      </c>
      <c r="C195" s="5" t="s">
        <v>69</v>
      </c>
      <c r="D195" s="5" t="s">
        <v>268</v>
      </c>
      <c r="E195" s="5" t="s">
        <v>55</v>
      </c>
      <c r="F195" s="5" t="s">
        <v>149</v>
      </c>
      <c r="G195" s="5" t="s">
        <v>150</v>
      </c>
      <c r="H195" s="5" t="s">
        <v>171</v>
      </c>
      <c r="I195" s="5" t="s">
        <v>84</v>
      </c>
      <c r="J195" s="5" t="s">
        <v>229</v>
      </c>
      <c r="K195" s="5">
        <v>3</v>
      </c>
      <c r="L195" s="5">
        <v>100</v>
      </c>
      <c r="M195" s="5">
        <v>0.15</v>
      </c>
      <c r="N195" s="5">
        <v>255</v>
      </c>
      <c r="O195" s="5">
        <v>151.75</v>
      </c>
      <c r="P195" s="5">
        <v>103.25</v>
      </c>
      <c r="Q195" s="5">
        <v>40.49</v>
      </c>
      <c r="R195" s="5" t="s">
        <v>166</v>
      </c>
      <c r="S195" s="5" t="s">
        <v>42</v>
      </c>
      <c r="T195" s="5" t="s">
        <v>118</v>
      </c>
      <c r="U195" s="5" t="s">
        <v>119</v>
      </c>
      <c r="V195" s="5">
        <v>2025</v>
      </c>
      <c r="W195" s="5" t="s">
        <v>194</v>
      </c>
      <c r="X195" s="5">
        <v>10</v>
      </c>
      <c r="Y195" s="1">
        <v>45906</v>
      </c>
      <c r="Z195" s="5" t="s">
        <v>47</v>
      </c>
      <c r="AA195" s="5" t="s">
        <v>67</v>
      </c>
      <c r="AB195" s="5" t="s">
        <v>78</v>
      </c>
      <c r="AC195" s="5" t="s">
        <v>50</v>
      </c>
      <c r="AD195" s="5">
        <v>2</v>
      </c>
    </row>
    <row r="196" spans="1:30">
      <c r="A196" s="5" t="s">
        <v>815</v>
      </c>
      <c r="B196" s="1">
        <v>45390</v>
      </c>
      <c r="C196" s="5" t="s">
        <v>204</v>
      </c>
      <c r="D196" s="5" t="s">
        <v>409</v>
      </c>
      <c r="E196" s="5" t="s">
        <v>103</v>
      </c>
      <c r="F196" s="5" t="s">
        <v>245</v>
      </c>
      <c r="G196" s="5" t="s">
        <v>246</v>
      </c>
      <c r="H196" s="5" t="s">
        <v>58</v>
      </c>
      <c r="I196" s="5" t="s">
        <v>71</v>
      </c>
      <c r="J196" s="5" t="s">
        <v>72</v>
      </c>
      <c r="K196" s="5">
        <v>4</v>
      </c>
      <c r="L196" s="5">
        <v>1200</v>
      </c>
      <c r="M196" s="5">
        <v>0.05</v>
      </c>
      <c r="N196" s="5">
        <v>4560</v>
      </c>
      <c r="O196" s="5">
        <v>3129.3</v>
      </c>
      <c r="P196" s="5">
        <v>1430.7</v>
      </c>
      <c r="Q196" s="5">
        <v>31.38</v>
      </c>
      <c r="R196" s="5" t="s">
        <v>166</v>
      </c>
      <c r="S196" s="5" t="s">
        <v>42</v>
      </c>
      <c r="T196" s="5" t="s">
        <v>159</v>
      </c>
      <c r="U196" s="5" t="s">
        <v>218</v>
      </c>
      <c r="V196" s="5">
        <v>2024</v>
      </c>
      <c r="W196" s="5" t="s">
        <v>45</v>
      </c>
      <c r="X196" s="5">
        <v>1</v>
      </c>
      <c r="Y196" s="1">
        <v>45420</v>
      </c>
      <c r="Z196" s="5" t="s">
        <v>89</v>
      </c>
      <c r="AA196" s="5" t="s">
        <v>48</v>
      </c>
      <c r="AB196" s="5" t="s">
        <v>111</v>
      </c>
      <c r="AC196" s="5" t="s">
        <v>121</v>
      </c>
      <c r="AD196" s="5">
        <v>5</v>
      </c>
    </row>
    <row r="197" spans="1:30">
      <c r="A197" s="5" t="s">
        <v>816</v>
      </c>
      <c r="B197" s="1">
        <v>45691</v>
      </c>
      <c r="C197" s="5" t="s">
        <v>277</v>
      </c>
      <c r="D197" s="5" t="s">
        <v>817</v>
      </c>
      <c r="E197" s="5" t="s">
        <v>35</v>
      </c>
      <c r="F197" s="5" t="s">
        <v>104</v>
      </c>
      <c r="G197" s="5" t="s">
        <v>104</v>
      </c>
      <c r="H197" s="5" t="s">
        <v>38</v>
      </c>
      <c r="I197" s="5" t="s">
        <v>39</v>
      </c>
      <c r="J197" s="5" t="s">
        <v>356</v>
      </c>
      <c r="K197" s="5">
        <v>1</v>
      </c>
      <c r="L197" s="5">
        <v>50000</v>
      </c>
      <c r="M197" s="5">
        <v>0</v>
      </c>
      <c r="N197" s="5">
        <v>50000</v>
      </c>
      <c r="O197" s="5">
        <v>29168.53</v>
      </c>
      <c r="P197" s="5">
        <v>20831.47</v>
      </c>
      <c r="Q197" s="5">
        <v>41.66</v>
      </c>
      <c r="R197" s="5" t="s">
        <v>106</v>
      </c>
      <c r="S197" s="5" t="s">
        <v>62</v>
      </c>
      <c r="T197" s="5" t="s">
        <v>75</v>
      </c>
      <c r="U197" s="5" t="s">
        <v>178</v>
      </c>
      <c r="V197" s="5">
        <v>2025</v>
      </c>
      <c r="W197" s="5" t="s">
        <v>45</v>
      </c>
      <c r="X197" s="5">
        <v>8</v>
      </c>
      <c r="Y197" s="1">
        <v>45933</v>
      </c>
      <c r="Z197" s="5" t="s">
        <v>110</v>
      </c>
      <c r="AA197" s="5" t="s">
        <v>48</v>
      </c>
      <c r="AB197" s="5" t="s">
        <v>49</v>
      </c>
      <c r="AC197" s="5" t="s">
        <v>50</v>
      </c>
      <c r="AD197" s="5">
        <v>5</v>
      </c>
    </row>
    <row r="198" spans="1:30">
      <c r="A198" s="5" t="s">
        <v>818</v>
      </c>
      <c r="B198" s="1" t="s">
        <v>819</v>
      </c>
      <c r="C198" s="5" t="s">
        <v>749</v>
      </c>
      <c r="D198" s="5" t="s">
        <v>364</v>
      </c>
      <c r="E198" s="5" t="s">
        <v>35</v>
      </c>
      <c r="F198" s="5" t="s">
        <v>144</v>
      </c>
      <c r="G198" s="5" t="s">
        <v>145</v>
      </c>
      <c r="H198" s="5" t="s">
        <v>171</v>
      </c>
      <c r="I198" s="5" t="s">
        <v>95</v>
      </c>
      <c r="J198" s="5" t="s">
        <v>440</v>
      </c>
      <c r="K198" s="5">
        <v>2</v>
      </c>
      <c r="L198" s="5">
        <v>15000</v>
      </c>
      <c r="M198" s="5">
        <v>0.2</v>
      </c>
      <c r="N198" s="5">
        <v>24000</v>
      </c>
      <c r="O198" s="5">
        <v>18285.25</v>
      </c>
      <c r="P198" s="5">
        <v>5714.75</v>
      </c>
      <c r="Q198" s="5">
        <v>23.81</v>
      </c>
      <c r="R198" s="5" t="s">
        <v>41</v>
      </c>
      <c r="S198" s="5" t="s">
        <v>74</v>
      </c>
      <c r="T198" s="5" t="s">
        <v>97</v>
      </c>
      <c r="U198" s="5" t="s">
        <v>44</v>
      </c>
      <c r="V198" s="5">
        <v>2024</v>
      </c>
      <c r="W198" s="5" t="s">
        <v>109</v>
      </c>
      <c r="X198" s="5">
        <v>5</v>
      </c>
      <c r="Y198" s="1">
        <v>45417</v>
      </c>
      <c r="Z198" s="5" t="s">
        <v>47</v>
      </c>
      <c r="AA198" s="5" t="s">
        <v>48</v>
      </c>
      <c r="AB198" s="5" t="s">
        <v>78</v>
      </c>
      <c r="AC198" s="5" t="s">
        <v>50</v>
      </c>
      <c r="AD198" s="5">
        <v>2</v>
      </c>
    </row>
    <row r="199" spans="1:30">
      <c r="A199" s="5" t="s">
        <v>820</v>
      </c>
      <c r="B199" s="1" t="s">
        <v>214</v>
      </c>
      <c r="C199" s="5" t="s">
        <v>527</v>
      </c>
      <c r="D199" s="5" t="s">
        <v>821</v>
      </c>
      <c r="E199" s="5" t="s">
        <v>55</v>
      </c>
      <c r="F199" s="5" t="s">
        <v>104</v>
      </c>
      <c r="G199" s="5" t="s">
        <v>104</v>
      </c>
      <c r="H199" s="5" t="s">
        <v>38</v>
      </c>
      <c r="I199" s="5" t="s">
        <v>59</v>
      </c>
      <c r="J199" s="5" t="s">
        <v>133</v>
      </c>
      <c r="K199" s="5">
        <v>4</v>
      </c>
      <c r="L199" s="5">
        <v>2000</v>
      </c>
      <c r="M199" s="5">
        <v>0.1</v>
      </c>
      <c r="N199" s="5">
        <v>7200</v>
      </c>
      <c r="O199" s="5">
        <v>5265.65</v>
      </c>
      <c r="P199" s="5">
        <v>1934.35</v>
      </c>
      <c r="Q199" s="5">
        <v>26.87</v>
      </c>
      <c r="R199" s="5" t="s">
        <v>106</v>
      </c>
      <c r="S199" s="5" t="s">
        <v>42</v>
      </c>
      <c r="T199" s="5" t="s">
        <v>173</v>
      </c>
      <c r="U199" s="5" t="s">
        <v>218</v>
      </c>
      <c r="V199" s="5">
        <v>2024</v>
      </c>
      <c r="W199" s="5" t="s">
        <v>134</v>
      </c>
      <c r="X199" s="5">
        <v>1</v>
      </c>
      <c r="Y199" s="1" t="s">
        <v>822</v>
      </c>
      <c r="Z199" s="5" t="s">
        <v>47</v>
      </c>
      <c r="AA199" s="5" t="s">
        <v>48</v>
      </c>
      <c r="AB199" s="5" t="s">
        <v>111</v>
      </c>
      <c r="AC199" s="5" t="s">
        <v>121</v>
      </c>
      <c r="AD199" s="5">
        <v>3</v>
      </c>
    </row>
    <row r="200" spans="1:30">
      <c r="A200" s="5" t="s">
        <v>823</v>
      </c>
      <c r="B200" s="1">
        <v>45630</v>
      </c>
      <c r="C200" s="5" t="s">
        <v>272</v>
      </c>
      <c r="D200" s="5" t="s">
        <v>379</v>
      </c>
      <c r="E200" s="5" t="s">
        <v>103</v>
      </c>
      <c r="F200" s="5" t="s">
        <v>149</v>
      </c>
      <c r="G200" s="5" t="s">
        <v>150</v>
      </c>
      <c r="H200" s="5" t="s">
        <v>58</v>
      </c>
      <c r="I200" s="5" t="s">
        <v>71</v>
      </c>
      <c r="J200" s="5" t="s">
        <v>240</v>
      </c>
      <c r="K200" s="5">
        <v>5</v>
      </c>
      <c r="L200" s="5">
        <v>2500</v>
      </c>
      <c r="M200" s="5">
        <v>0</v>
      </c>
      <c r="N200" s="5">
        <v>12500</v>
      </c>
      <c r="O200" s="5">
        <v>9751.34</v>
      </c>
      <c r="P200" s="5">
        <v>2748.66</v>
      </c>
      <c r="Q200" s="5">
        <v>21.99</v>
      </c>
      <c r="R200" s="5" t="s">
        <v>106</v>
      </c>
      <c r="S200" s="5" t="s">
        <v>74</v>
      </c>
      <c r="T200" s="5" t="s">
        <v>43</v>
      </c>
      <c r="U200" s="5" t="s">
        <v>44</v>
      </c>
      <c r="V200" s="5">
        <v>2024</v>
      </c>
      <c r="W200" s="5" t="s">
        <v>194</v>
      </c>
      <c r="X200" s="5">
        <v>3</v>
      </c>
      <c r="Y200" s="1" t="s">
        <v>824</v>
      </c>
      <c r="Z200" s="5" t="s">
        <v>47</v>
      </c>
      <c r="AA200" s="5" t="s">
        <v>90</v>
      </c>
      <c r="AB200" s="5" t="s">
        <v>111</v>
      </c>
      <c r="AC200" s="5" t="s">
        <v>121</v>
      </c>
      <c r="AD200" s="5">
        <v>3</v>
      </c>
    </row>
    <row r="201" spans="1:30">
      <c r="A201" s="5" t="s">
        <v>825</v>
      </c>
      <c r="B201" s="1" t="s">
        <v>826</v>
      </c>
      <c r="C201" s="5" t="s">
        <v>827</v>
      </c>
      <c r="D201" s="5" t="s">
        <v>828</v>
      </c>
      <c r="E201" s="5" t="s">
        <v>55</v>
      </c>
      <c r="F201" s="5" t="s">
        <v>82</v>
      </c>
      <c r="G201" s="5" t="s">
        <v>83</v>
      </c>
      <c r="H201" s="5" t="s">
        <v>94</v>
      </c>
      <c r="I201" s="5" t="s">
        <v>71</v>
      </c>
      <c r="J201" s="5" t="s">
        <v>172</v>
      </c>
      <c r="K201" s="5">
        <v>5</v>
      </c>
      <c r="L201" s="5">
        <v>700</v>
      </c>
      <c r="M201" s="5">
        <v>0.1</v>
      </c>
      <c r="N201" s="5">
        <v>3150</v>
      </c>
      <c r="O201" s="5">
        <v>2073.36</v>
      </c>
      <c r="P201" s="5">
        <v>1076.6400000000001</v>
      </c>
      <c r="Q201" s="5">
        <v>34.18</v>
      </c>
      <c r="R201" s="5" t="s">
        <v>166</v>
      </c>
      <c r="S201" s="5" t="s">
        <v>42</v>
      </c>
      <c r="T201" s="5" t="s">
        <v>118</v>
      </c>
      <c r="U201" s="5" t="s">
        <v>64</v>
      </c>
      <c r="V201" s="5">
        <v>2024</v>
      </c>
      <c r="W201" s="5" t="s">
        <v>126</v>
      </c>
      <c r="X201" s="5">
        <v>3</v>
      </c>
      <c r="Y201" s="1" t="s">
        <v>66</v>
      </c>
      <c r="Z201" s="5" t="s">
        <v>47</v>
      </c>
      <c r="AA201" s="5" t="s">
        <v>90</v>
      </c>
      <c r="AB201" s="5" t="s">
        <v>49</v>
      </c>
      <c r="AC201" s="5" t="s">
        <v>121</v>
      </c>
      <c r="AD201" s="5">
        <v>2</v>
      </c>
    </row>
    <row r="202" spans="1:30">
      <c r="A202" s="5" t="s">
        <v>829</v>
      </c>
      <c r="B202" s="1">
        <v>45389</v>
      </c>
      <c r="C202" s="5" t="s">
        <v>830</v>
      </c>
      <c r="D202" s="5" t="s">
        <v>831</v>
      </c>
      <c r="E202" s="5" t="s">
        <v>103</v>
      </c>
      <c r="F202" s="5" t="s">
        <v>36</v>
      </c>
      <c r="G202" s="5" t="s">
        <v>37</v>
      </c>
      <c r="H202" s="5" t="s">
        <v>38</v>
      </c>
      <c r="I202" s="5" t="s">
        <v>71</v>
      </c>
      <c r="J202" s="5" t="s">
        <v>172</v>
      </c>
      <c r="K202" s="5">
        <v>8</v>
      </c>
      <c r="L202" s="5">
        <v>3500</v>
      </c>
      <c r="M202" s="5">
        <v>0.15</v>
      </c>
      <c r="N202" s="5">
        <v>23800</v>
      </c>
      <c r="O202" s="5">
        <v>18096.91</v>
      </c>
      <c r="P202" s="5">
        <v>5703.09</v>
      </c>
      <c r="Q202" s="5">
        <v>23.96</v>
      </c>
      <c r="R202" s="5" t="s">
        <v>166</v>
      </c>
      <c r="S202" s="5" t="s">
        <v>62</v>
      </c>
      <c r="T202" s="5" t="s">
        <v>173</v>
      </c>
      <c r="U202" s="5" t="s">
        <v>151</v>
      </c>
      <c r="V202" s="5">
        <v>2024</v>
      </c>
      <c r="W202" s="5" t="s">
        <v>139</v>
      </c>
      <c r="X202" s="5">
        <v>10</v>
      </c>
      <c r="Y202" s="1" t="s">
        <v>832</v>
      </c>
      <c r="Z202" s="5" t="s">
        <v>110</v>
      </c>
      <c r="AA202" s="5" t="s">
        <v>67</v>
      </c>
      <c r="AB202" s="5" t="s">
        <v>78</v>
      </c>
      <c r="AC202" s="5" t="s">
        <v>121</v>
      </c>
      <c r="AD202" s="5">
        <v>1</v>
      </c>
    </row>
    <row r="203" spans="1:30">
      <c r="A203" s="5" t="s">
        <v>833</v>
      </c>
      <c r="B203" s="1" t="s">
        <v>567</v>
      </c>
      <c r="C203" s="5" t="s">
        <v>281</v>
      </c>
      <c r="D203" s="5" t="s">
        <v>834</v>
      </c>
      <c r="E203" s="5" t="s">
        <v>103</v>
      </c>
      <c r="F203" s="5" t="s">
        <v>116</v>
      </c>
      <c r="G203" s="5" t="s">
        <v>37</v>
      </c>
      <c r="H203" s="5" t="s">
        <v>38</v>
      </c>
      <c r="I203" s="5" t="s">
        <v>84</v>
      </c>
      <c r="J203" s="5" t="s">
        <v>390</v>
      </c>
      <c r="K203" s="5">
        <v>9</v>
      </c>
      <c r="L203" s="5">
        <v>800</v>
      </c>
      <c r="M203" s="5">
        <v>0.2</v>
      </c>
      <c r="N203" s="5">
        <v>5760</v>
      </c>
      <c r="O203" s="5">
        <v>3981.53</v>
      </c>
      <c r="P203" s="5">
        <v>1778.47</v>
      </c>
      <c r="Q203" s="5">
        <v>30.88</v>
      </c>
      <c r="R203" s="5" t="s">
        <v>166</v>
      </c>
      <c r="S203" s="5" t="s">
        <v>62</v>
      </c>
      <c r="T203" s="5" t="s">
        <v>75</v>
      </c>
      <c r="U203" s="5" t="s">
        <v>218</v>
      </c>
      <c r="V203" s="5">
        <v>2024</v>
      </c>
      <c r="W203" s="5" t="s">
        <v>65</v>
      </c>
      <c r="X203" s="5">
        <v>6</v>
      </c>
      <c r="Y203" s="1" t="s">
        <v>835</v>
      </c>
      <c r="Z203" s="5" t="s">
        <v>89</v>
      </c>
      <c r="AA203" s="5" t="s">
        <v>90</v>
      </c>
      <c r="AB203" s="5" t="s">
        <v>111</v>
      </c>
      <c r="AC203" s="5" t="s">
        <v>121</v>
      </c>
      <c r="AD203" s="5">
        <v>1</v>
      </c>
    </row>
    <row r="204" spans="1:30">
      <c r="A204" s="5" t="s">
        <v>836</v>
      </c>
      <c r="B204" s="1" t="s">
        <v>837</v>
      </c>
      <c r="C204" s="5" t="s">
        <v>386</v>
      </c>
      <c r="D204" s="5" t="s">
        <v>707</v>
      </c>
      <c r="E204" s="5" t="s">
        <v>35</v>
      </c>
      <c r="F204" s="5" t="s">
        <v>245</v>
      </c>
      <c r="G204" s="5" t="s">
        <v>246</v>
      </c>
      <c r="H204" s="5" t="s">
        <v>94</v>
      </c>
      <c r="I204" s="5" t="s">
        <v>59</v>
      </c>
      <c r="J204" s="5" t="s">
        <v>133</v>
      </c>
      <c r="K204" s="5">
        <v>8</v>
      </c>
      <c r="L204" s="5">
        <v>800</v>
      </c>
      <c r="M204" s="5">
        <v>0</v>
      </c>
      <c r="N204" s="5">
        <v>6400</v>
      </c>
      <c r="O204" s="5">
        <v>4091.79</v>
      </c>
      <c r="P204" s="5">
        <v>2308.21</v>
      </c>
      <c r="Q204" s="5">
        <v>36.07</v>
      </c>
      <c r="R204" s="5" t="s">
        <v>166</v>
      </c>
      <c r="S204" s="5" t="s">
        <v>74</v>
      </c>
      <c r="T204" s="5" t="s">
        <v>173</v>
      </c>
      <c r="U204" s="5" t="s">
        <v>119</v>
      </c>
      <c r="V204" s="5">
        <v>2025</v>
      </c>
      <c r="W204" s="5" t="s">
        <v>45</v>
      </c>
      <c r="X204" s="5">
        <v>6</v>
      </c>
      <c r="Y204" s="1" t="s">
        <v>264</v>
      </c>
      <c r="Z204" s="5" t="s">
        <v>47</v>
      </c>
      <c r="AA204" s="5" t="s">
        <v>67</v>
      </c>
      <c r="AB204" s="5" t="s">
        <v>78</v>
      </c>
      <c r="AC204" s="5" t="s">
        <v>50</v>
      </c>
      <c r="AD204" s="5">
        <v>1</v>
      </c>
    </row>
    <row r="205" spans="1:30">
      <c r="A205" s="5" t="s">
        <v>838</v>
      </c>
      <c r="B205" s="1" t="s">
        <v>824</v>
      </c>
      <c r="C205" s="5" t="s">
        <v>553</v>
      </c>
      <c r="D205" s="5" t="s">
        <v>831</v>
      </c>
      <c r="E205" s="5" t="s">
        <v>35</v>
      </c>
      <c r="F205" s="5" t="s">
        <v>56</v>
      </c>
      <c r="G205" s="5" t="s">
        <v>57</v>
      </c>
      <c r="H205" s="5" t="s">
        <v>171</v>
      </c>
      <c r="I205" s="5" t="s">
        <v>71</v>
      </c>
      <c r="J205" s="5" t="s">
        <v>240</v>
      </c>
      <c r="K205" s="5">
        <v>2</v>
      </c>
      <c r="L205" s="5">
        <v>2500</v>
      </c>
      <c r="M205" s="5">
        <v>0</v>
      </c>
      <c r="N205" s="5">
        <v>5000</v>
      </c>
      <c r="O205" s="5">
        <v>2798.37</v>
      </c>
      <c r="P205" s="5">
        <v>2201.63</v>
      </c>
      <c r="Q205" s="5">
        <v>44.03</v>
      </c>
      <c r="R205" s="5" t="s">
        <v>41</v>
      </c>
      <c r="S205" s="5" t="s">
        <v>42</v>
      </c>
      <c r="T205" s="5" t="s">
        <v>86</v>
      </c>
      <c r="U205" s="5" t="s">
        <v>44</v>
      </c>
      <c r="V205" s="5">
        <v>2024</v>
      </c>
      <c r="W205" s="5" t="s">
        <v>126</v>
      </c>
      <c r="X205" s="5">
        <v>7</v>
      </c>
      <c r="Y205" s="1" t="s">
        <v>839</v>
      </c>
      <c r="Z205" s="5" t="s">
        <v>110</v>
      </c>
      <c r="AA205" s="5" t="s">
        <v>48</v>
      </c>
      <c r="AB205" s="5" t="s">
        <v>111</v>
      </c>
      <c r="AC205" s="5" t="s">
        <v>50</v>
      </c>
      <c r="AD205" s="5">
        <v>3</v>
      </c>
    </row>
    <row r="206" spans="1:30">
      <c r="A206" s="5" t="s">
        <v>840</v>
      </c>
      <c r="B206" s="1" t="s">
        <v>841</v>
      </c>
      <c r="C206" s="5" t="s">
        <v>842</v>
      </c>
      <c r="D206" s="5" t="s">
        <v>843</v>
      </c>
      <c r="E206" s="5" t="s">
        <v>35</v>
      </c>
      <c r="F206" s="5" t="s">
        <v>82</v>
      </c>
      <c r="G206" s="5" t="s">
        <v>83</v>
      </c>
      <c r="H206" s="5" t="s">
        <v>38</v>
      </c>
      <c r="I206" s="5" t="s">
        <v>39</v>
      </c>
      <c r="J206" s="5" t="s">
        <v>105</v>
      </c>
      <c r="K206" s="5">
        <v>8</v>
      </c>
      <c r="L206" s="5">
        <v>15000</v>
      </c>
      <c r="M206" s="5">
        <v>0.2</v>
      </c>
      <c r="N206" s="5">
        <v>96000</v>
      </c>
      <c r="O206" s="5">
        <v>71375.78</v>
      </c>
      <c r="P206" s="5">
        <v>24624.22</v>
      </c>
      <c r="Q206" s="5">
        <v>25.65</v>
      </c>
      <c r="R206" s="5" t="s">
        <v>106</v>
      </c>
      <c r="S206" s="5" t="s">
        <v>62</v>
      </c>
      <c r="T206" s="5" t="s">
        <v>97</v>
      </c>
      <c r="U206" s="5" t="s">
        <v>108</v>
      </c>
      <c r="V206" s="5">
        <v>2025</v>
      </c>
      <c r="W206" s="5" t="s">
        <v>194</v>
      </c>
      <c r="X206" s="5">
        <v>10</v>
      </c>
      <c r="Y206" s="1">
        <v>45818</v>
      </c>
      <c r="Z206" s="5" t="s">
        <v>110</v>
      </c>
      <c r="AA206" s="5" t="s">
        <v>48</v>
      </c>
      <c r="AB206" s="5" t="s">
        <v>78</v>
      </c>
      <c r="AC206" s="5" t="s">
        <v>50</v>
      </c>
      <c r="AD206" s="5">
        <v>1</v>
      </c>
    </row>
    <row r="207" spans="1:30">
      <c r="A207" s="5" t="s">
        <v>844</v>
      </c>
      <c r="B207" s="1" t="s">
        <v>845</v>
      </c>
      <c r="C207" s="5" t="s">
        <v>846</v>
      </c>
      <c r="D207" s="5" t="s">
        <v>847</v>
      </c>
      <c r="E207" s="5" t="s">
        <v>35</v>
      </c>
      <c r="F207" s="5" t="s">
        <v>104</v>
      </c>
      <c r="G207" s="5" t="s">
        <v>104</v>
      </c>
      <c r="H207" s="5" t="s">
        <v>171</v>
      </c>
      <c r="I207" s="5" t="s">
        <v>95</v>
      </c>
      <c r="J207" s="5" t="s">
        <v>440</v>
      </c>
      <c r="K207" s="5">
        <v>3</v>
      </c>
      <c r="L207" s="5">
        <v>9000</v>
      </c>
      <c r="M207" s="5">
        <v>0</v>
      </c>
      <c r="N207" s="5">
        <v>27000</v>
      </c>
      <c r="O207" s="5">
        <v>16217.19</v>
      </c>
      <c r="P207" s="5">
        <v>10782.81</v>
      </c>
      <c r="Q207" s="5">
        <v>39.94</v>
      </c>
      <c r="R207" s="5" t="s">
        <v>106</v>
      </c>
      <c r="S207" s="5" t="s">
        <v>62</v>
      </c>
      <c r="T207" s="5" t="s">
        <v>43</v>
      </c>
      <c r="U207" s="5" t="s">
        <v>108</v>
      </c>
      <c r="V207" s="5">
        <v>2024</v>
      </c>
      <c r="W207" s="5" t="s">
        <v>109</v>
      </c>
      <c r="X207" s="5">
        <v>10</v>
      </c>
      <c r="Y207" s="1" t="s">
        <v>283</v>
      </c>
      <c r="Z207" s="5" t="s">
        <v>47</v>
      </c>
      <c r="AA207" s="5" t="s">
        <v>48</v>
      </c>
      <c r="AB207" s="5" t="s">
        <v>111</v>
      </c>
      <c r="AC207" s="5" t="s">
        <v>121</v>
      </c>
      <c r="AD207" s="5">
        <v>4</v>
      </c>
    </row>
    <row r="208" spans="1:30">
      <c r="A208" s="5" t="s">
        <v>848</v>
      </c>
      <c r="B208" s="1" t="s">
        <v>849</v>
      </c>
      <c r="C208" s="5" t="s">
        <v>375</v>
      </c>
      <c r="D208" s="5" t="s">
        <v>850</v>
      </c>
      <c r="E208" s="5" t="s">
        <v>103</v>
      </c>
      <c r="F208" s="5" t="s">
        <v>56</v>
      </c>
      <c r="G208" s="5" t="s">
        <v>57</v>
      </c>
      <c r="H208" s="5" t="s">
        <v>38</v>
      </c>
      <c r="I208" s="5" t="s">
        <v>59</v>
      </c>
      <c r="J208" s="5" t="s">
        <v>372</v>
      </c>
      <c r="K208" s="5">
        <v>3</v>
      </c>
      <c r="L208" s="5">
        <v>2000</v>
      </c>
      <c r="M208" s="5">
        <v>0</v>
      </c>
      <c r="N208" s="5">
        <v>6000</v>
      </c>
      <c r="O208" s="5">
        <v>4815.2</v>
      </c>
      <c r="P208" s="5">
        <v>1184.8</v>
      </c>
      <c r="Q208" s="5">
        <v>19.75</v>
      </c>
      <c r="R208" s="5" t="s">
        <v>41</v>
      </c>
      <c r="S208" s="5" t="s">
        <v>74</v>
      </c>
      <c r="T208" s="5" t="s">
        <v>118</v>
      </c>
      <c r="U208" s="5" t="s">
        <v>160</v>
      </c>
      <c r="V208" s="5">
        <v>2025</v>
      </c>
      <c r="W208" s="5" t="s">
        <v>194</v>
      </c>
      <c r="X208" s="5">
        <v>1</v>
      </c>
      <c r="Y208" s="1" t="s">
        <v>851</v>
      </c>
      <c r="Z208" s="5" t="s">
        <v>89</v>
      </c>
      <c r="AA208" s="5" t="s">
        <v>90</v>
      </c>
      <c r="AB208" s="5" t="s">
        <v>78</v>
      </c>
      <c r="AC208" s="5" t="s">
        <v>50</v>
      </c>
      <c r="AD208" s="5">
        <v>5</v>
      </c>
    </row>
    <row r="209" spans="1:30">
      <c r="A209" s="5" t="s">
        <v>852</v>
      </c>
      <c r="B209" s="1" t="s">
        <v>181</v>
      </c>
      <c r="C209" s="5" t="s">
        <v>538</v>
      </c>
      <c r="D209" s="5" t="s">
        <v>202</v>
      </c>
      <c r="E209" s="5" t="s">
        <v>103</v>
      </c>
      <c r="F209" s="5" t="s">
        <v>156</v>
      </c>
      <c r="G209" s="5" t="s">
        <v>157</v>
      </c>
      <c r="H209" s="5" t="s">
        <v>171</v>
      </c>
      <c r="I209" s="5" t="s">
        <v>71</v>
      </c>
      <c r="J209" s="5" t="s">
        <v>172</v>
      </c>
      <c r="K209" s="5">
        <v>4</v>
      </c>
      <c r="L209" s="5">
        <v>1800</v>
      </c>
      <c r="M209" s="5">
        <v>0.15</v>
      </c>
      <c r="N209" s="5">
        <v>6120</v>
      </c>
      <c r="O209" s="5">
        <v>4695.8500000000004</v>
      </c>
      <c r="P209" s="5">
        <v>1424.15</v>
      </c>
      <c r="Q209" s="5">
        <v>23.27</v>
      </c>
      <c r="R209" s="5" t="s">
        <v>41</v>
      </c>
      <c r="S209" s="5" t="s">
        <v>62</v>
      </c>
      <c r="T209" s="5" t="s">
        <v>107</v>
      </c>
      <c r="U209" s="5" t="s">
        <v>64</v>
      </c>
      <c r="V209" s="5">
        <v>2024</v>
      </c>
      <c r="W209" s="5" t="s">
        <v>109</v>
      </c>
      <c r="X209" s="5">
        <v>5</v>
      </c>
      <c r="Y209" s="1" t="s">
        <v>853</v>
      </c>
      <c r="Z209" s="5" t="s">
        <v>110</v>
      </c>
      <c r="AA209" s="5" t="s">
        <v>48</v>
      </c>
      <c r="AB209" s="5" t="s">
        <v>49</v>
      </c>
      <c r="AC209" s="5" t="s">
        <v>121</v>
      </c>
      <c r="AD209" s="5">
        <v>2</v>
      </c>
    </row>
    <row r="210" spans="1:30">
      <c r="A210" s="5" t="s">
        <v>854</v>
      </c>
      <c r="B210" s="1">
        <v>45907</v>
      </c>
      <c r="C210" s="5" t="s">
        <v>350</v>
      </c>
      <c r="D210" s="5" t="s">
        <v>855</v>
      </c>
      <c r="E210" s="5" t="s">
        <v>103</v>
      </c>
      <c r="F210" s="5" t="s">
        <v>144</v>
      </c>
      <c r="G210" s="5" t="s">
        <v>145</v>
      </c>
      <c r="H210" s="5" t="s">
        <v>94</v>
      </c>
      <c r="I210" s="5" t="s">
        <v>84</v>
      </c>
      <c r="J210" s="5" t="s">
        <v>229</v>
      </c>
      <c r="K210" s="5">
        <v>3</v>
      </c>
      <c r="L210" s="5">
        <v>200</v>
      </c>
      <c r="M210" s="5">
        <v>0.2</v>
      </c>
      <c r="N210" s="5">
        <v>480</v>
      </c>
      <c r="O210" s="5">
        <v>362.6</v>
      </c>
      <c r="P210" s="5">
        <v>117.4</v>
      </c>
      <c r="Q210" s="5">
        <v>24.46</v>
      </c>
      <c r="R210" s="5" t="s">
        <v>41</v>
      </c>
      <c r="S210" s="5" t="s">
        <v>62</v>
      </c>
      <c r="T210" s="5" t="s">
        <v>75</v>
      </c>
      <c r="U210" s="5" t="s">
        <v>151</v>
      </c>
      <c r="V210" s="5">
        <v>2025</v>
      </c>
      <c r="W210" s="5" t="s">
        <v>134</v>
      </c>
      <c r="X210" s="5">
        <v>6</v>
      </c>
      <c r="Y210" s="1" t="s">
        <v>209</v>
      </c>
      <c r="Z210" s="5" t="s">
        <v>47</v>
      </c>
      <c r="AA210" s="5" t="s">
        <v>90</v>
      </c>
      <c r="AB210" s="5" t="s">
        <v>111</v>
      </c>
      <c r="AC210" s="5" t="s">
        <v>121</v>
      </c>
      <c r="AD210" s="5">
        <v>1</v>
      </c>
    </row>
    <row r="211" spans="1:30">
      <c r="A211" s="5" t="s">
        <v>856</v>
      </c>
      <c r="B211" s="1" t="s">
        <v>857</v>
      </c>
      <c r="C211" s="5" t="s">
        <v>858</v>
      </c>
      <c r="D211" s="5" t="s">
        <v>859</v>
      </c>
      <c r="E211" s="5" t="s">
        <v>103</v>
      </c>
      <c r="F211" s="5" t="s">
        <v>156</v>
      </c>
      <c r="G211" s="5" t="s">
        <v>157</v>
      </c>
      <c r="H211" s="5" t="s">
        <v>58</v>
      </c>
      <c r="I211" s="5" t="s">
        <v>95</v>
      </c>
      <c r="J211" s="5" t="s">
        <v>344</v>
      </c>
      <c r="K211" s="5">
        <v>1</v>
      </c>
      <c r="L211" s="5">
        <v>4000</v>
      </c>
      <c r="M211" s="5">
        <v>0.1</v>
      </c>
      <c r="N211" s="5">
        <v>3600</v>
      </c>
      <c r="O211" s="5">
        <v>2122.33</v>
      </c>
      <c r="P211" s="5">
        <v>1477.67</v>
      </c>
      <c r="Q211" s="5">
        <v>41.05</v>
      </c>
      <c r="R211" s="5" t="s">
        <v>61</v>
      </c>
      <c r="S211" s="5" t="s">
        <v>62</v>
      </c>
      <c r="T211" s="5" t="s">
        <v>173</v>
      </c>
      <c r="U211" s="5" t="s">
        <v>160</v>
      </c>
      <c r="V211" s="5">
        <v>2024</v>
      </c>
      <c r="W211" s="5" t="s">
        <v>139</v>
      </c>
      <c r="X211" s="5">
        <v>5</v>
      </c>
      <c r="Y211" s="1" t="s">
        <v>860</v>
      </c>
      <c r="Z211" s="5" t="s">
        <v>47</v>
      </c>
      <c r="AA211" s="5" t="s">
        <v>48</v>
      </c>
      <c r="AB211" s="5" t="s">
        <v>111</v>
      </c>
      <c r="AC211" s="5" t="s">
        <v>121</v>
      </c>
      <c r="AD211" s="5">
        <v>5</v>
      </c>
    </row>
    <row r="212" spans="1:30">
      <c r="A212" s="5" t="s">
        <v>861</v>
      </c>
      <c r="B212" s="1" t="s">
        <v>862</v>
      </c>
      <c r="C212" s="5" t="s">
        <v>863</v>
      </c>
      <c r="D212" s="5" t="s">
        <v>864</v>
      </c>
      <c r="E212" s="5" t="s">
        <v>55</v>
      </c>
      <c r="F212" s="5" t="s">
        <v>156</v>
      </c>
      <c r="G212" s="5" t="s">
        <v>157</v>
      </c>
      <c r="H212" s="5" t="s">
        <v>38</v>
      </c>
      <c r="I212" s="5" t="s">
        <v>95</v>
      </c>
      <c r="J212" s="5" t="s">
        <v>96</v>
      </c>
      <c r="K212" s="5">
        <v>5</v>
      </c>
      <c r="L212" s="5">
        <v>2500</v>
      </c>
      <c r="M212" s="5">
        <v>0.15</v>
      </c>
      <c r="N212" s="5">
        <v>10625</v>
      </c>
      <c r="O212" s="5">
        <v>8614.48</v>
      </c>
      <c r="P212" s="5">
        <v>2010.52</v>
      </c>
      <c r="Q212" s="5">
        <v>18.920000000000002</v>
      </c>
      <c r="R212" s="5" t="s">
        <v>41</v>
      </c>
      <c r="S212" s="5" t="s">
        <v>62</v>
      </c>
      <c r="T212" s="5" t="s">
        <v>86</v>
      </c>
      <c r="U212" s="5" t="s">
        <v>76</v>
      </c>
      <c r="V212" s="5">
        <v>2025</v>
      </c>
      <c r="W212" s="5" t="s">
        <v>194</v>
      </c>
      <c r="X212" s="5">
        <v>7</v>
      </c>
      <c r="Y212" s="1">
        <v>45840</v>
      </c>
      <c r="Z212" s="5" t="s">
        <v>47</v>
      </c>
      <c r="AA212" s="5" t="s">
        <v>48</v>
      </c>
      <c r="AB212" s="5" t="s">
        <v>111</v>
      </c>
      <c r="AC212" s="5" t="s">
        <v>50</v>
      </c>
      <c r="AD212" s="5">
        <v>5</v>
      </c>
    </row>
    <row r="213" spans="1:30">
      <c r="A213" s="5" t="s">
        <v>865</v>
      </c>
      <c r="B213" s="1" t="s">
        <v>866</v>
      </c>
      <c r="C213" s="5" t="s">
        <v>507</v>
      </c>
      <c r="D213" s="5" t="s">
        <v>834</v>
      </c>
      <c r="E213" s="5" t="s">
        <v>35</v>
      </c>
      <c r="F213" s="5" t="s">
        <v>131</v>
      </c>
      <c r="G213" s="5" t="s">
        <v>132</v>
      </c>
      <c r="H213" s="5" t="s">
        <v>94</v>
      </c>
      <c r="I213" s="5" t="s">
        <v>59</v>
      </c>
      <c r="J213" s="5" t="s">
        <v>206</v>
      </c>
      <c r="K213" s="5">
        <v>4</v>
      </c>
      <c r="L213" s="5">
        <v>1200</v>
      </c>
      <c r="M213" s="5">
        <v>0.15</v>
      </c>
      <c r="N213" s="5">
        <v>4080</v>
      </c>
      <c r="O213" s="5">
        <v>3304.26</v>
      </c>
      <c r="P213" s="5">
        <v>775.74</v>
      </c>
      <c r="Q213" s="5">
        <v>19.010000000000002</v>
      </c>
      <c r="R213" s="5" t="s">
        <v>61</v>
      </c>
      <c r="S213" s="5" t="s">
        <v>42</v>
      </c>
      <c r="T213" s="5" t="s">
        <v>159</v>
      </c>
      <c r="U213" s="5" t="s">
        <v>160</v>
      </c>
      <c r="V213" s="5">
        <v>2024</v>
      </c>
      <c r="W213" s="5" t="s">
        <v>45</v>
      </c>
      <c r="X213" s="5">
        <v>2</v>
      </c>
      <c r="Y213" s="1">
        <v>45329</v>
      </c>
      <c r="Z213" s="5" t="s">
        <v>47</v>
      </c>
      <c r="AA213" s="5" t="s">
        <v>90</v>
      </c>
      <c r="AB213" s="5" t="s">
        <v>49</v>
      </c>
      <c r="AC213" s="5" t="s">
        <v>50</v>
      </c>
      <c r="AD213" s="5">
        <v>1</v>
      </c>
    </row>
    <row r="214" spans="1:30">
      <c r="A214" s="5" t="s">
        <v>867</v>
      </c>
      <c r="B214" s="1">
        <v>45725</v>
      </c>
      <c r="C214" s="5" t="s">
        <v>868</v>
      </c>
      <c r="D214" s="5" t="s">
        <v>554</v>
      </c>
      <c r="E214" s="5" t="s">
        <v>103</v>
      </c>
      <c r="F214" s="5" t="s">
        <v>82</v>
      </c>
      <c r="G214" s="5" t="s">
        <v>83</v>
      </c>
      <c r="H214" s="5" t="s">
        <v>171</v>
      </c>
      <c r="I214" s="5" t="s">
        <v>71</v>
      </c>
      <c r="J214" s="5" t="s">
        <v>117</v>
      </c>
      <c r="K214" s="5">
        <v>1</v>
      </c>
      <c r="L214" s="5">
        <v>1200</v>
      </c>
      <c r="M214" s="5">
        <v>0.1</v>
      </c>
      <c r="N214" s="5">
        <v>1080</v>
      </c>
      <c r="O214" s="5">
        <v>839.86</v>
      </c>
      <c r="P214" s="5">
        <v>240.14</v>
      </c>
      <c r="Q214" s="5">
        <v>22.24</v>
      </c>
      <c r="R214" s="5" t="s">
        <v>106</v>
      </c>
      <c r="S214" s="5" t="s">
        <v>42</v>
      </c>
      <c r="T214" s="5" t="s">
        <v>97</v>
      </c>
      <c r="U214" s="5" t="s">
        <v>108</v>
      </c>
      <c r="V214" s="5">
        <v>2025</v>
      </c>
      <c r="W214" s="5" t="s">
        <v>134</v>
      </c>
      <c r="X214" s="5">
        <v>1</v>
      </c>
      <c r="Y214" s="1">
        <v>45756</v>
      </c>
      <c r="Z214" s="5" t="s">
        <v>89</v>
      </c>
      <c r="AA214" s="5" t="s">
        <v>48</v>
      </c>
      <c r="AB214" s="5" t="s">
        <v>49</v>
      </c>
      <c r="AC214" s="5" t="s">
        <v>121</v>
      </c>
      <c r="AD214" s="5">
        <v>5</v>
      </c>
    </row>
    <row r="215" spans="1:30">
      <c r="A215" s="5" t="s">
        <v>869</v>
      </c>
      <c r="B215" s="1" t="s">
        <v>99</v>
      </c>
      <c r="C215" s="5" t="s">
        <v>227</v>
      </c>
      <c r="D215" s="5" t="s">
        <v>870</v>
      </c>
      <c r="E215" s="5" t="s">
        <v>55</v>
      </c>
      <c r="F215" s="5" t="s">
        <v>36</v>
      </c>
      <c r="G215" s="5" t="s">
        <v>37</v>
      </c>
      <c r="H215" s="5" t="s">
        <v>171</v>
      </c>
      <c r="I215" s="5" t="s">
        <v>59</v>
      </c>
      <c r="J215" s="5" t="s">
        <v>206</v>
      </c>
      <c r="K215" s="5">
        <v>7</v>
      </c>
      <c r="L215" s="5">
        <v>3000</v>
      </c>
      <c r="M215" s="5">
        <v>0.2</v>
      </c>
      <c r="N215" s="5">
        <v>16800</v>
      </c>
      <c r="O215" s="5">
        <v>10243.35</v>
      </c>
      <c r="P215" s="5">
        <v>6556.65</v>
      </c>
      <c r="Q215" s="5">
        <v>39.03</v>
      </c>
      <c r="R215" s="5" t="s">
        <v>73</v>
      </c>
      <c r="S215" s="5" t="s">
        <v>42</v>
      </c>
      <c r="T215" s="5" t="s">
        <v>107</v>
      </c>
      <c r="U215" s="5" t="s">
        <v>98</v>
      </c>
      <c r="V215" s="5">
        <v>2025</v>
      </c>
      <c r="W215" s="5" t="s">
        <v>126</v>
      </c>
      <c r="X215" s="5">
        <v>2</v>
      </c>
      <c r="Y215" s="1" t="s">
        <v>871</v>
      </c>
      <c r="Z215" s="5" t="s">
        <v>47</v>
      </c>
      <c r="AA215" s="5" t="s">
        <v>67</v>
      </c>
      <c r="AB215" s="5" t="s">
        <v>111</v>
      </c>
      <c r="AC215" s="5" t="s">
        <v>121</v>
      </c>
      <c r="AD215" s="5">
        <v>1</v>
      </c>
    </row>
    <row r="216" spans="1:30">
      <c r="A216" s="5" t="s">
        <v>872</v>
      </c>
      <c r="B216" s="1">
        <v>45567</v>
      </c>
      <c r="C216" s="5" t="s">
        <v>873</v>
      </c>
      <c r="D216" s="5" t="s">
        <v>426</v>
      </c>
      <c r="E216" s="5" t="s">
        <v>103</v>
      </c>
      <c r="F216" s="5" t="s">
        <v>82</v>
      </c>
      <c r="G216" s="5" t="s">
        <v>83</v>
      </c>
      <c r="H216" s="5" t="s">
        <v>171</v>
      </c>
      <c r="I216" s="5" t="s">
        <v>71</v>
      </c>
      <c r="J216" s="5" t="s">
        <v>117</v>
      </c>
      <c r="K216" s="5">
        <v>10</v>
      </c>
      <c r="L216" s="5">
        <v>3500</v>
      </c>
      <c r="M216" s="5">
        <v>0.05</v>
      </c>
      <c r="N216" s="5">
        <v>33250</v>
      </c>
      <c r="O216" s="5">
        <v>26510.28</v>
      </c>
      <c r="P216" s="5">
        <v>6739.72</v>
      </c>
      <c r="Q216" s="5">
        <v>20.27</v>
      </c>
      <c r="R216" s="5" t="s">
        <v>106</v>
      </c>
      <c r="S216" s="5" t="s">
        <v>42</v>
      </c>
      <c r="T216" s="5" t="s">
        <v>97</v>
      </c>
      <c r="U216" s="5" t="s">
        <v>98</v>
      </c>
      <c r="V216" s="5">
        <v>2024</v>
      </c>
      <c r="W216" s="5" t="s">
        <v>65</v>
      </c>
      <c r="X216" s="5">
        <v>6</v>
      </c>
      <c r="Y216" s="1" t="s">
        <v>874</v>
      </c>
      <c r="Z216" s="5" t="s">
        <v>110</v>
      </c>
      <c r="AA216" s="5" t="s">
        <v>48</v>
      </c>
      <c r="AB216" s="5" t="s">
        <v>111</v>
      </c>
      <c r="AC216" s="5" t="s">
        <v>50</v>
      </c>
      <c r="AD216" s="5">
        <v>4</v>
      </c>
    </row>
    <row r="217" spans="1:30">
      <c r="A217" s="5" t="s">
        <v>875</v>
      </c>
      <c r="B217" s="1">
        <v>45508</v>
      </c>
      <c r="C217" s="5" t="s">
        <v>114</v>
      </c>
      <c r="D217" s="5" t="s">
        <v>876</v>
      </c>
      <c r="E217" s="5" t="s">
        <v>103</v>
      </c>
      <c r="F217" s="5" t="s">
        <v>104</v>
      </c>
      <c r="G217" s="5" t="s">
        <v>104</v>
      </c>
      <c r="H217" s="5" t="s">
        <v>38</v>
      </c>
      <c r="I217" s="5" t="s">
        <v>84</v>
      </c>
      <c r="J217" s="5" t="s">
        <v>85</v>
      </c>
      <c r="K217" s="5">
        <v>6</v>
      </c>
      <c r="L217" s="5">
        <v>800</v>
      </c>
      <c r="M217" s="5">
        <v>0</v>
      </c>
      <c r="N217" s="5">
        <v>4800</v>
      </c>
      <c r="O217" s="5">
        <v>3331.03</v>
      </c>
      <c r="P217" s="5">
        <v>1468.97</v>
      </c>
      <c r="Q217" s="5">
        <v>30.6</v>
      </c>
      <c r="R217" s="5" t="s">
        <v>166</v>
      </c>
      <c r="S217" s="5" t="s">
        <v>74</v>
      </c>
      <c r="T217" s="5" t="s">
        <v>86</v>
      </c>
      <c r="U217" s="5" t="s">
        <v>44</v>
      </c>
      <c r="V217" s="5">
        <v>2024</v>
      </c>
      <c r="W217" s="5" t="s">
        <v>126</v>
      </c>
      <c r="X217" s="5">
        <v>3</v>
      </c>
      <c r="Y217" s="1">
        <v>45600</v>
      </c>
      <c r="Z217" s="5" t="s">
        <v>89</v>
      </c>
      <c r="AA217" s="5" t="s">
        <v>48</v>
      </c>
      <c r="AB217" s="5" t="s">
        <v>111</v>
      </c>
      <c r="AC217" s="5" t="s">
        <v>50</v>
      </c>
      <c r="AD217" s="5">
        <v>1</v>
      </c>
    </row>
    <row r="218" spans="1:30">
      <c r="A218" s="5" t="s">
        <v>877</v>
      </c>
      <c r="B218" s="1" t="s">
        <v>483</v>
      </c>
      <c r="C218" s="5" t="s">
        <v>425</v>
      </c>
      <c r="D218" s="5" t="s">
        <v>164</v>
      </c>
      <c r="E218" s="5" t="s">
        <v>35</v>
      </c>
      <c r="F218" s="5" t="s">
        <v>245</v>
      </c>
      <c r="G218" s="5" t="s">
        <v>246</v>
      </c>
      <c r="H218" s="5" t="s">
        <v>171</v>
      </c>
      <c r="I218" s="5" t="s">
        <v>39</v>
      </c>
      <c r="J218" s="5" t="s">
        <v>253</v>
      </c>
      <c r="K218" s="5">
        <v>6</v>
      </c>
      <c r="L218" s="5">
        <v>8000</v>
      </c>
      <c r="M218" s="5">
        <v>0</v>
      </c>
      <c r="N218" s="5">
        <v>48000</v>
      </c>
      <c r="O218" s="5">
        <v>36693.019999999997</v>
      </c>
      <c r="P218" s="5">
        <v>11306.98</v>
      </c>
      <c r="Q218" s="5">
        <v>23.56</v>
      </c>
      <c r="R218" s="5" t="s">
        <v>166</v>
      </c>
      <c r="S218" s="5" t="s">
        <v>62</v>
      </c>
      <c r="T218" s="5" t="s">
        <v>138</v>
      </c>
      <c r="U218" s="5" t="s">
        <v>178</v>
      </c>
      <c r="V218" s="5">
        <v>2024</v>
      </c>
      <c r="W218" s="5" t="s">
        <v>65</v>
      </c>
      <c r="X218" s="5">
        <v>1</v>
      </c>
      <c r="Y218" s="1" t="s">
        <v>719</v>
      </c>
      <c r="Z218" s="5" t="s">
        <v>47</v>
      </c>
      <c r="AA218" s="5" t="s">
        <v>48</v>
      </c>
      <c r="AB218" s="5" t="s">
        <v>78</v>
      </c>
      <c r="AC218" s="5" t="s">
        <v>50</v>
      </c>
      <c r="AD218" s="5">
        <v>3</v>
      </c>
    </row>
    <row r="219" spans="1:30">
      <c r="A219" s="5" t="s">
        <v>878</v>
      </c>
      <c r="B219" s="1">
        <v>45415</v>
      </c>
      <c r="C219" s="5" t="s">
        <v>633</v>
      </c>
      <c r="D219" s="5" t="s">
        <v>692</v>
      </c>
      <c r="E219" s="5" t="s">
        <v>103</v>
      </c>
      <c r="F219" s="5" t="s">
        <v>104</v>
      </c>
      <c r="G219" s="5" t="s">
        <v>104</v>
      </c>
      <c r="H219" s="5" t="s">
        <v>58</v>
      </c>
      <c r="I219" s="5" t="s">
        <v>71</v>
      </c>
      <c r="J219" s="5" t="s">
        <v>72</v>
      </c>
      <c r="K219" s="5">
        <v>9</v>
      </c>
      <c r="L219" s="5">
        <v>700</v>
      </c>
      <c r="M219" s="5">
        <v>0.2</v>
      </c>
      <c r="N219" s="5">
        <v>5040</v>
      </c>
      <c r="O219" s="5">
        <v>3725.76</v>
      </c>
      <c r="P219" s="5">
        <v>1314.24</v>
      </c>
      <c r="Q219" s="5">
        <v>26.08</v>
      </c>
      <c r="R219" s="5" t="s">
        <v>61</v>
      </c>
      <c r="S219" s="5" t="s">
        <v>42</v>
      </c>
      <c r="T219" s="5" t="s">
        <v>159</v>
      </c>
      <c r="U219" s="5" t="s">
        <v>178</v>
      </c>
      <c r="V219" s="5">
        <v>2024</v>
      </c>
      <c r="W219" s="5" t="s">
        <v>109</v>
      </c>
      <c r="X219" s="5">
        <v>10</v>
      </c>
      <c r="Y219" s="1" t="s">
        <v>179</v>
      </c>
      <c r="Z219" s="5" t="s">
        <v>47</v>
      </c>
      <c r="AA219" s="5" t="s">
        <v>48</v>
      </c>
      <c r="AB219" s="5" t="s">
        <v>49</v>
      </c>
      <c r="AC219" s="5" t="s">
        <v>50</v>
      </c>
      <c r="AD219" s="5">
        <v>4</v>
      </c>
    </row>
    <row r="220" spans="1:30">
      <c r="A220" s="5" t="s">
        <v>879</v>
      </c>
      <c r="B220" s="1" t="s">
        <v>658</v>
      </c>
      <c r="C220" s="5" t="s">
        <v>880</v>
      </c>
      <c r="D220" s="5" t="s">
        <v>335</v>
      </c>
      <c r="E220" s="5" t="s">
        <v>35</v>
      </c>
      <c r="F220" s="5" t="s">
        <v>156</v>
      </c>
      <c r="G220" s="5" t="s">
        <v>157</v>
      </c>
      <c r="H220" s="5" t="s">
        <v>171</v>
      </c>
      <c r="I220" s="5" t="s">
        <v>71</v>
      </c>
      <c r="J220" s="5" t="s">
        <v>72</v>
      </c>
      <c r="K220" s="5">
        <v>8</v>
      </c>
      <c r="L220" s="5">
        <v>1200</v>
      </c>
      <c r="M220" s="5">
        <v>0.2</v>
      </c>
      <c r="N220" s="5">
        <v>7680</v>
      </c>
      <c r="O220" s="5">
        <v>5876.18</v>
      </c>
      <c r="P220" s="5">
        <v>1803.82</v>
      </c>
      <c r="Q220" s="5">
        <v>23.49</v>
      </c>
      <c r="R220" s="5" t="s">
        <v>61</v>
      </c>
      <c r="S220" s="5" t="s">
        <v>74</v>
      </c>
      <c r="T220" s="5" t="s">
        <v>107</v>
      </c>
      <c r="U220" s="5" t="s">
        <v>218</v>
      </c>
      <c r="V220" s="5">
        <v>2024</v>
      </c>
      <c r="W220" s="5" t="s">
        <v>109</v>
      </c>
      <c r="X220" s="5">
        <v>3</v>
      </c>
      <c r="Y220" s="1" t="s">
        <v>564</v>
      </c>
      <c r="Z220" s="5" t="s">
        <v>110</v>
      </c>
      <c r="AA220" s="5" t="s">
        <v>48</v>
      </c>
      <c r="AB220" s="5" t="s">
        <v>49</v>
      </c>
      <c r="AC220" s="5" t="s">
        <v>121</v>
      </c>
      <c r="AD220" s="5">
        <v>1</v>
      </c>
    </row>
    <row r="221" spans="1:30">
      <c r="A221" s="5" t="s">
        <v>881</v>
      </c>
      <c r="B221" s="1" t="s">
        <v>882</v>
      </c>
      <c r="C221" s="5" t="s">
        <v>883</v>
      </c>
      <c r="D221" s="5" t="s">
        <v>758</v>
      </c>
      <c r="E221" s="5" t="s">
        <v>103</v>
      </c>
      <c r="F221" s="5" t="s">
        <v>104</v>
      </c>
      <c r="G221" s="5" t="s">
        <v>104</v>
      </c>
      <c r="H221" s="5" t="s">
        <v>38</v>
      </c>
      <c r="I221" s="5" t="s">
        <v>59</v>
      </c>
      <c r="J221" s="5" t="s">
        <v>372</v>
      </c>
      <c r="K221" s="5">
        <v>7</v>
      </c>
      <c r="L221" s="5">
        <v>3000</v>
      </c>
      <c r="M221" s="5">
        <v>0.2</v>
      </c>
      <c r="N221" s="5">
        <v>16800</v>
      </c>
      <c r="O221" s="5">
        <v>12634.27</v>
      </c>
      <c r="P221" s="5">
        <v>4165.7299999999996</v>
      </c>
      <c r="Q221" s="5">
        <v>24.8</v>
      </c>
      <c r="R221" s="5" t="s">
        <v>73</v>
      </c>
      <c r="S221" s="5" t="s">
        <v>74</v>
      </c>
      <c r="T221" s="5" t="s">
        <v>86</v>
      </c>
      <c r="U221" s="5" t="s">
        <v>178</v>
      </c>
      <c r="V221" s="5">
        <v>2024</v>
      </c>
      <c r="W221" s="5" t="s">
        <v>139</v>
      </c>
      <c r="X221" s="5">
        <v>5</v>
      </c>
      <c r="Y221" s="1">
        <v>45326</v>
      </c>
      <c r="Z221" s="5" t="s">
        <v>47</v>
      </c>
      <c r="AA221" s="5" t="s">
        <v>48</v>
      </c>
      <c r="AB221" s="5" t="s">
        <v>78</v>
      </c>
      <c r="AC221" s="5" t="s">
        <v>121</v>
      </c>
      <c r="AD221" s="5">
        <v>1</v>
      </c>
    </row>
    <row r="222" spans="1:30">
      <c r="A222" s="5" t="s">
        <v>884</v>
      </c>
      <c r="B222" s="1" t="s">
        <v>179</v>
      </c>
      <c r="C222" s="5" t="s">
        <v>885</v>
      </c>
      <c r="D222" s="5" t="s">
        <v>886</v>
      </c>
      <c r="E222" s="5" t="s">
        <v>55</v>
      </c>
      <c r="F222" s="5" t="s">
        <v>245</v>
      </c>
      <c r="G222" s="5" t="s">
        <v>246</v>
      </c>
      <c r="H222" s="5" t="s">
        <v>171</v>
      </c>
      <c r="I222" s="5" t="s">
        <v>59</v>
      </c>
      <c r="J222" s="5" t="s">
        <v>328</v>
      </c>
      <c r="K222" s="5">
        <v>9</v>
      </c>
      <c r="L222" s="5">
        <v>2000</v>
      </c>
      <c r="M222" s="5">
        <v>0.2</v>
      </c>
      <c r="N222" s="5">
        <v>14400</v>
      </c>
      <c r="O222" s="5">
        <v>8894.67</v>
      </c>
      <c r="P222" s="5">
        <v>5505.33</v>
      </c>
      <c r="Q222" s="5">
        <v>38.229999999999997</v>
      </c>
      <c r="R222" s="5" t="s">
        <v>73</v>
      </c>
      <c r="S222" s="5" t="s">
        <v>42</v>
      </c>
      <c r="T222" s="5" t="s">
        <v>86</v>
      </c>
      <c r="U222" s="5" t="s">
        <v>178</v>
      </c>
      <c r="V222" s="5">
        <v>2024</v>
      </c>
      <c r="W222" s="5" t="s">
        <v>194</v>
      </c>
      <c r="X222" s="5">
        <v>5</v>
      </c>
      <c r="Y222" s="1" t="s">
        <v>433</v>
      </c>
      <c r="Z222" s="5" t="s">
        <v>47</v>
      </c>
      <c r="AA222" s="5" t="s">
        <v>90</v>
      </c>
      <c r="AB222" s="5" t="s">
        <v>78</v>
      </c>
      <c r="AC222" s="5" t="s">
        <v>121</v>
      </c>
      <c r="AD222" s="5">
        <v>2</v>
      </c>
    </row>
    <row r="223" spans="1:30">
      <c r="A223" s="5" t="s">
        <v>887</v>
      </c>
      <c r="B223" s="1">
        <v>45973</v>
      </c>
      <c r="C223" s="5" t="s">
        <v>842</v>
      </c>
      <c r="D223" s="5" t="s">
        <v>379</v>
      </c>
      <c r="E223" s="5" t="s">
        <v>35</v>
      </c>
      <c r="F223" s="5" t="s">
        <v>82</v>
      </c>
      <c r="G223" s="5" t="s">
        <v>83</v>
      </c>
      <c r="H223" s="5" t="s">
        <v>58</v>
      </c>
      <c r="I223" s="5" t="s">
        <v>71</v>
      </c>
      <c r="J223" s="5" t="s">
        <v>158</v>
      </c>
      <c r="K223" s="5">
        <v>6</v>
      </c>
      <c r="L223" s="5">
        <v>3500</v>
      </c>
      <c r="M223" s="5">
        <v>0.1</v>
      </c>
      <c r="N223" s="5">
        <v>18900</v>
      </c>
      <c r="O223" s="5">
        <v>13281.01</v>
      </c>
      <c r="P223" s="5">
        <v>5618.99</v>
      </c>
      <c r="Q223" s="5">
        <v>29.73</v>
      </c>
      <c r="R223" s="5" t="s">
        <v>61</v>
      </c>
      <c r="S223" s="5" t="s">
        <v>74</v>
      </c>
      <c r="T223" s="5" t="s">
        <v>86</v>
      </c>
      <c r="U223" s="5" t="s">
        <v>64</v>
      </c>
      <c r="V223" s="5">
        <v>2025</v>
      </c>
      <c r="W223" s="5" t="s">
        <v>139</v>
      </c>
      <c r="X223" s="5">
        <v>10</v>
      </c>
      <c r="Y223" s="1" t="s">
        <v>401</v>
      </c>
      <c r="Z223" s="5" t="s">
        <v>47</v>
      </c>
      <c r="AA223" s="5" t="s">
        <v>48</v>
      </c>
      <c r="AB223" s="5" t="s">
        <v>111</v>
      </c>
      <c r="AC223" s="5" t="s">
        <v>50</v>
      </c>
      <c r="AD223" s="5">
        <v>3</v>
      </c>
    </row>
    <row r="224" spans="1:30">
      <c r="A224" s="5" t="s">
        <v>888</v>
      </c>
      <c r="B224" s="1">
        <v>45689</v>
      </c>
      <c r="C224" s="5" t="s">
        <v>889</v>
      </c>
      <c r="D224" s="5" t="s">
        <v>890</v>
      </c>
      <c r="E224" s="5" t="s">
        <v>55</v>
      </c>
      <c r="F224" s="5" t="s">
        <v>82</v>
      </c>
      <c r="G224" s="5" t="s">
        <v>83</v>
      </c>
      <c r="H224" s="5" t="s">
        <v>38</v>
      </c>
      <c r="I224" s="5" t="s">
        <v>95</v>
      </c>
      <c r="J224" s="5" t="s">
        <v>184</v>
      </c>
      <c r="K224" s="5">
        <v>8</v>
      </c>
      <c r="L224" s="5">
        <v>9000</v>
      </c>
      <c r="M224" s="5">
        <v>0.15</v>
      </c>
      <c r="N224" s="5">
        <v>61200</v>
      </c>
      <c r="O224" s="5">
        <v>42775.83</v>
      </c>
      <c r="P224" s="5">
        <v>18424.169999999998</v>
      </c>
      <c r="Q224" s="5">
        <v>30.1</v>
      </c>
      <c r="R224" s="5" t="s">
        <v>41</v>
      </c>
      <c r="S224" s="5" t="s">
        <v>74</v>
      </c>
      <c r="T224" s="5" t="s">
        <v>159</v>
      </c>
      <c r="U224" s="5" t="s">
        <v>76</v>
      </c>
      <c r="V224" s="5">
        <v>2025</v>
      </c>
      <c r="W224" s="5" t="s">
        <v>139</v>
      </c>
      <c r="X224" s="5">
        <v>5</v>
      </c>
      <c r="Y224" s="1">
        <v>45839</v>
      </c>
      <c r="Z224" s="5" t="s">
        <v>110</v>
      </c>
      <c r="AA224" s="5" t="s">
        <v>48</v>
      </c>
      <c r="AB224" s="5" t="s">
        <v>111</v>
      </c>
      <c r="AC224" s="5" t="s">
        <v>121</v>
      </c>
      <c r="AD224" s="5">
        <v>1</v>
      </c>
    </row>
    <row r="225" spans="1:30">
      <c r="A225" s="5" t="s">
        <v>891</v>
      </c>
      <c r="B225" s="1" t="s">
        <v>892</v>
      </c>
      <c r="C225" s="5" t="s">
        <v>288</v>
      </c>
      <c r="D225" s="5" t="s">
        <v>893</v>
      </c>
      <c r="E225" s="5" t="s">
        <v>103</v>
      </c>
      <c r="F225" s="5" t="s">
        <v>104</v>
      </c>
      <c r="G225" s="5" t="s">
        <v>104</v>
      </c>
      <c r="H225" s="5" t="s">
        <v>38</v>
      </c>
      <c r="I225" s="5" t="s">
        <v>59</v>
      </c>
      <c r="J225" s="5" t="s">
        <v>328</v>
      </c>
      <c r="K225" s="5">
        <v>10</v>
      </c>
      <c r="L225" s="5">
        <v>3000</v>
      </c>
      <c r="M225" s="5">
        <v>0.15</v>
      </c>
      <c r="N225" s="5">
        <v>25500</v>
      </c>
      <c r="O225" s="5">
        <v>17822.72</v>
      </c>
      <c r="P225" s="5">
        <v>7677.28</v>
      </c>
      <c r="Q225" s="5">
        <v>30.11</v>
      </c>
      <c r="R225" s="5" t="s">
        <v>61</v>
      </c>
      <c r="S225" s="5" t="s">
        <v>62</v>
      </c>
      <c r="T225" s="5" t="s">
        <v>86</v>
      </c>
      <c r="U225" s="5" t="s">
        <v>218</v>
      </c>
      <c r="V225" s="5">
        <v>2025</v>
      </c>
      <c r="W225" s="5" t="s">
        <v>134</v>
      </c>
      <c r="X225" s="5">
        <v>4</v>
      </c>
      <c r="Y225" s="1" t="s">
        <v>894</v>
      </c>
      <c r="Z225" s="5" t="s">
        <v>47</v>
      </c>
      <c r="AA225" s="5" t="s">
        <v>48</v>
      </c>
      <c r="AB225" s="5" t="s">
        <v>111</v>
      </c>
      <c r="AC225" s="5" t="s">
        <v>50</v>
      </c>
      <c r="AD225" s="5">
        <v>2</v>
      </c>
    </row>
    <row r="226" spans="1:30">
      <c r="A226" s="5" t="s">
        <v>895</v>
      </c>
      <c r="B226" s="1" t="s">
        <v>896</v>
      </c>
      <c r="C226" s="5" t="s">
        <v>897</v>
      </c>
      <c r="D226" s="5" t="s">
        <v>898</v>
      </c>
      <c r="E226" s="5" t="s">
        <v>103</v>
      </c>
      <c r="F226" s="5" t="s">
        <v>56</v>
      </c>
      <c r="G226" s="5" t="s">
        <v>57</v>
      </c>
      <c r="H226" s="5" t="s">
        <v>38</v>
      </c>
      <c r="I226" s="5" t="s">
        <v>59</v>
      </c>
      <c r="J226" s="5" t="s">
        <v>372</v>
      </c>
      <c r="K226" s="5">
        <v>2</v>
      </c>
      <c r="L226" s="5">
        <v>2000</v>
      </c>
      <c r="M226" s="5">
        <v>0.1</v>
      </c>
      <c r="N226" s="5">
        <v>3600</v>
      </c>
      <c r="O226" s="5">
        <v>2804.24</v>
      </c>
      <c r="P226" s="5">
        <v>795.76</v>
      </c>
      <c r="Q226" s="5">
        <v>22.1</v>
      </c>
      <c r="R226" s="5" t="s">
        <v>166</v>
      </c>
      <c r="S226" s="5" t="s">
        <v>74</v>
      </c>
      <c r="T226" s="5" t="s">
        <v>118</v>
      </c>
      <c r="U226" s="5" t="s">
        <v>119</v>
      </c>
      <c r="V226" s="5">
        <v>2025</v>
      </c>
      <c r="W226" s="5" t="s">
        <v>139</v>
      </c>
      <c r="X226" s="5">
        <v>1</v>
      </c>
      <c r="Y226" s="1" t="s">
        <v>120</v>
      </c>
      <c r="Z226" s="5" t="s">
        <v>47</v>
      </c>
      <c r="AA226" s="5" t="s">
        <v>48</v>
      </c>
      <c r="AB226" s="5" t="s">
        <v>111</v>
      </c>
      <c r="AC226" s="5" t="s">
        <v>121</v>
      </c>
      <c r="AD226" s="5">
        <v>4</v>
      </c>
    </row>
    <row r="227" spans="1:30">
      <c r="A227" s="5" t="s">
        <v>899</v>
      </c>
      <c r="B227" s="1" t="s">
        <v>283</v>
      </c>
      <c r="C227" s="5" t="s">
        <v>757</v>
      </c>
      <c r="D227" s="5" t="s">
        <v>900</v>
      </c>
      <c r="E227" s="5" t="s">
        <v>55</v>
      </c>
      <c r="F227" s="5" t="s">
        <v>82</v>
      </c>
      <c r="G227" s="5" t="s">
        <v>83</v>
      </c>
      <c r="H227" s="5" t="s">
        <v>94</v>
      </c>
      <c r="I227" s="5" t="s">
        <v>39</v>
      </c>
      <c r="J227" s="5" t="s">
        <v>105</v>
      </c>
      <c r="K227" s="5">
        <v>8</v>
      </c>
      <c r="L227" s="5">
        <v>12000</v>
      </c>
      <c r="M227" s="5">
        <v>0</v>
      </c>
      <c r="N227" s="5">
        <v>96000</v>
      </c>
      <c r="O227" s="5">
        <v>53909.59</v>
      </c>
      <c r="P227" s="5">
        <v>42090.41</v>
      </c>
      <c r="Q227" s="5">
        <v>43.84</v>
      </c>
      <c r="R227" s="5" t="s">
        <v>166</v>
      </c>
      <c r="S227" s="5" t="s">
        <v>62</v>
      </c>
      <c r="T227" s="5" t="s">
        <v>43</v>
      </c>
      <c r="U227" s="5" t="s">
        <v>108</v>
      </c>
      <c r="V227" s="5">
        <v>2024</v>
      </c>
      <c r="W227" s="5" t="s">
        <v>194</v>
      </c>
      <c r="X227" s="5">
        <v>6</v>
      </c>
      <c r="Y227" s="1">
        <v>45361</v>
      </c>
      <c r="Z227" s="5" t="s">
        <v>47</v>
      </c>
      <c r="AA227" s="5" t="s">
        <v>90</v>
      </c>
      <c r="AB227" s="5" t="s">
        <v>111</v>
      </c>
      <c r="AC227" s="5" t="s">
        <v>50</v>
      </c>
      <c r="AD227" s="5">
        <v>1</v>
      </c>
    </row>
    <row r="228" spans="1:30">
      <c r="A228" s="5" t="s">
        <v>901</v>
      </c>
      <c r="B228" s="1" t="s">
        <v>624</v>
      </c>
      <c r="C228" s="5" t="s">
        <v>902</v>
      </c>
      <c r="D228" s="5" t="s">
        <v>422</v>
      </c>
      <c r="E228" s="5" t="s">
        <v>55</v>
      </c>
      <c r="F228" s="5" t="s">
        <v>131</v>
      </c>
      <c r="G228" s="5" t="s">
        <v>132</v>
      </c>
      <c r="H228" s="5" t="s">
        <v>94</v>
      </c>
      <c r="I228" s="5" t="s">
        <v>84</v>
      </c>
      <c r="J228" s="5" t="s">
        <v>229</v>
      </c>
      <c r="K228" s="5">
        <v>10</v>
      </c>
      <c r="L228" s="5">
        <v>800</v>
      </c>
      <c r="M228" s="5">
        <v>0.2</v>
      </c>
      <c r="N228" s="5">
        <v>6400</v>
      </c>
      <c r="O228" s="5">
        <v>4151.2299999999996</v>
      </c>
      <c r="P228" s="5">
        <v>2248.77</v>
      </c>
      <c r="Q228" s="5">
        <v>35.14</v>
      </c>
      <c r="R228" s="5" t="s">
        <v>73</v>
      </c>
      <c r="S228" s="5" t="s">
        <v>42</v>
      </c>
      <c r="T228" s="5" t="s">
        <v>75</v>
      </c>
      <c r="U228" s="5" t="s">
        <v>160</v>
      </c>
      <c r="V228" s="5">
        <v>2024</v>
      </c>
      <c r="W228" s="5" t="s">
        <v>139</v>
      </c>
      <c r="X228" s="5">
        <v>7</v>
      </c>
      <c r="Y228" s="1">
        <v>45389</v>
      </c>
      <c r="Z228" s="5" t="s">
        <v>110</v>
      </c>
      <c r="AA228" s="5" t="s">
        <v>67</v>
      </c>
      <c r="AB228" s="5" t="s">
        <v>78</v>
      </c>
      <c r="AC228" s="5" t="s">
        <v>50</v>
      </c>
      <c r="AD228" s="5">
        <v>4</v>
      </c>
    </row>
    <row r="229" spans="1:30">
      <c r="A229" s="5" t="s">
        <v>903</v>
      </c>
      <c r="B229" s="1" t="s">
        <v>835</v>
      </c>
      <c r="C229" s="5" t="s">
        <v>904</v>
      </c>
      <c r="D229" s="5" t="s">
        <v>905</v>
      </c>
      <c r="E229" s="5" t="s">
        <v>35</v>
      </c>
      <c r="F229" s="5" t="s">
        <v>144</v>
      </c>
      <c r="G229" s="5" t="s">
        <v>145</v>
      </c>
      <c r="H229" s="5" t="s">
        <v>171</v>
      </c>
      <c r="I229" s="5" t="s">
        <v>39</v>
      </c>
      <c r="J229" s="5" t="s">
        <v>165</v>
      </c>
      <c r="K229" s="5">
        <v>3</v>
      </c>
      <c r="L229" s="5">
        <v>22000</v>
      </c>
      <c r="M229" s="5">
        <v>0.05</v>
      </c>
      <c r="N229" s="5">
        <v>62700</v>
      </c>
      <c r="O229" s="5">
        <v>45378.42</v>
      </c>
      <c r="P229" s="5">
        <v>17321.580000000002</v>
      </c>
      <c r="Q229" s="5">
        <v>27.63</v>
      </c>
      <c r="R229" s="5" t="s">
        <v>41</v>
      </c>
      <c r="S229" s="5" t="s">
        <v>42</v>
      </c>
      <c r="T229" s="5" t="s">
        <v>173</v>
      </c>
      <c r="U229" s="5" t="s">
        <v>218</v>
      </c>
      <c r="V229" s="5">
        <v>2024</v>
      </c>
      <c r="W229" s="5" t="s">
        <v>194</v>
      </c>
      <c r="X229" s="5">
        <v>2</v>
      </c>
      <c r="Y229" s="1" t="s">
        <v>906</v>
      </c>
      <c r="Z229" s="5" t="s">
        <v>89</v>
      </c>
      <c r="AA229" s="5" t="s">
        <v>48</v>
      </c>
      <c r="AB229" s="5" t="s">
        <v>49</v>
      </c>
      <c r="AC229" s="5" t="s">
        <v>50</v>
      </c>
      <c r="AD229" s="5">
        <v>3</v>
      </c>
    </row>
    <row r="230" spans="1:30">
      <c r="A230" s="5" t="s">
        <v>907</v>
      </c>
      <c r="B230" s="1" t="s">
        <v>493</v>
      </c>
      <c r="C230" s="5" t="s">
        <v>908</v>
      </c>
      <c r="D230" s="5" t="s">
        <v>211</v>
      </c>
      <c r="E230" s="5" t="s">
        <v>35</v>
      </c>
      <c r="F230" s="5" t="s">
        <v>36</v>
      </c>
      <c r="G230" s="5" t="s">
        <v>37</v>
      </c>
      <c r="H230" s="5" t="s">
        <v>38</v>
      </c>
      <c r="I230" s="5" t="s">
        <v>71</v>
      </c>
      <c r="J230" s="5" t="s">
        <v>158</v>
      </c>
      <c r="K230" s="5">
        <v>8</v>
      </c>
      <c r="L230" s="5">
        <v>1200</v>
      </c>
      <c r="M230" s="5">
        <v>0.2</v>
      </c>
      <c r="N230" s="5">
        <v>7680</v>
      </c>
      <c r="O230" s="5">
        <v>4729.2700000000004</v>
      </c>
      <c r="P230" s="5">
        <v>2950.73</v>
      </c>
      <c r="Q230" s="5">
        <v>38.42</v>
      </c>
      <c r="R230" s="5" t="s">
        <v>41</v>
      </c>
      <c r="S230" s="5" t="s">
        <v>74</v>
      </c>
      <c r="T230" s="5" t="s">
        <v>63</v>
      </c>
      <c r="U230" s="5" t="s">
        <v>160</v>
      </c>
      <c r="V230" s="5">
        <v>2024</v>
      </c>
      <c r="W230" s="5" t="s">
        <v>194</v>
      </c>
      <c r="X230" s="5">
        <v>7</v>
      </c>
      <c r="Y230" s="1" t="s">
        <v>731</v>
      </c>
      <c r="Z230" s="5" t="s">
        <v>47</v>
      </c>
      <c r="AA230" s="5" t="s">
        <v>90</v>
      </c>
      <c r="AB230" s="5" t="s">
        <v>49</v>
      </c>
      <c r="AC230" s="5" t="s">
        <v>121</v>
      </c>
      <c r="AD230" s="5">
        <v>3</v>
      </c>
    </row>
    <row r="231" spans="1:30">
      <c r="A231" s="5" t="s">
        <v>909</v>
      </c>
      <c r="B231" s="1">
        <v>45880</v>
      </c>
      <c r="C231" s="5" t="s">
        <v>243</v>
      </c>
      <c r="D231" s="5" t="s">
        <v>313</v>
      </c>
      <c r="E231" s="5" t="s">
        <v>55</v>
      </c>
      <c r="F231" s="5" t="s">
        <v>245</v>
      </c>
      <c r="G231" s="5" t="s">
        <v>246</v>
      </c>
      <c r="H231" s="5" t="s">
        <v>38</v>
      </c>
      <c r="I231" s="5" t="s">
        <v>59</v>
      </c>
      <c r="J231" s="5" t="s">
        <v>133</v>
      </c>
      <c r="K231" s="5">
        <v>10</v>
      </c>
      <c r="L231" s="5">
        <v>3000</v>
      </c>
      <c r="M231" s="5">
        <v>0</v>
      </c>
      <c r="N231" s="5">
        <v>30000</v>
      </c>
      <c r="O231" s="5">
        <v>18254.41</v>
      </c>
      <c r="P231" s="5">
        <v>11745.59</v>
      </c>
      <c r="Q231" s="5">
        <v>39.15</v>
      </c>
      <c r="R231" s="5" t="s">
        <v>73</v>
      </c>
      <c r="S231" s="5" t="s">
        <v>62</v>
      </c>
      <c r="T231" s="5" t="s">
        <v>63</v>
      </c>
      <c r="U231" s="5" t="s">
        <v>198</v>
      </c>
      <c r="V231" s="5">
        <v>2025</v>
      </c>
      <c r="W231" s="5" t="s">
        <v>65</v>
      </c>
      <c r="X231" s="5">
        <v>5</v>
      </c>
      <c r="Y231" s="1" t="s">
        <v>910</v>
      </c>
      <c r="Z231" s="5" t="s">
        <v>47</v>
      </c>
      <c r="AA231" s="5" t="s">
        <v>90</v>
      </c>
      <c r="AB231" s="5" t="s">
        <v>111</v>
      </c>
      <c r="AC231" s="5" t="s">
        <v>121</v>
      </c>
      <c r="AD231" s="5">
        <v>5</v>
      </c>
    </row>
    <row r="232" spans="1:30">
      <c r="A232" s="5" t="s">
        <v>911</v>
      </c>
      <c r="B232" s="1" t="s">
        <v>892</v>
      </c>
      <c r="C232" s="5" t="s">
        <v>912</v>
      </c>
      <c r="D232" s="5" t="s">
        <v>913</v>
      </c>
      <c r="E232" s="5" t="s">
        <v>35</v>
      </c>
      <c r="F232" s="5" t="s">
        <v>131</v>
      </c>
      <c r="G232" s="5" t="s">
        <v>132</v>
      </c>
      <c r="H232" s="5" t="s">
        <v>94</v>
      </c>
      <c r="I232" s="5" t="s">
        <v>84</v>
      </c>
      <c r="J232" s="5" t="s">
        <v>85</v>
      </c>
      <c r="K232" s="5">
        <v>6</v>
      </c>
      <c r="L232" s="5">
        <v>500</v>
      </c>
      <c r="M232" s="5">
        <v>0.2</v>
      </c>
      <c r="N232" s="5">
        <v>2400</v>
      </c>
      <c r="O232" s="5">
        <v>1565.08</v>
      </c>
      <c r="P232" s="5">
        <v>834.92</v>
      </c>
      <c r="Q232" s="5">
        <v>34.79</v>
      </c>
      <c r="R232" s="5" t="s">
        <v>73</v>
      </c>
      <c r="S232" s="5" t="s">
        <v>42</v>
      </c>
      <c r="T232" s="5" t="s">
        <v>173</v>
      </c>
      <c r="U232" s="5" t="s">
        <v>218</v>
      </c>
      <c r="V232" s="5">
        <v>2025</v>
      </c>
      <c r="W232" s="5" t="s">
        <v>134</v>
      </c>
      <c r="X232" s="5">
        <v>2</v>
      </c>
      <c r="Y232" s="1" t="s">
        <v>914</v>
      </c>
      <c r="Z232" s="5" t="s">
        <v>47</v>
      </c>
      <c r="AA232" s="5" t="s">
        <v>90</v>
      </c>
      <c r="AB232" s="5" t="s">
        <v>78</v>
      </c>
      <c r="AC232" s="5" t="s">
        <v>121</v>
      </c>
      <c r="AD232" s="5">
        <v>5</v>
      </c>
    </row>
    <row r="233" spans="1:30">
      <c r="A233" s="5" t="s">
        <v>915</v>
      </c>
      <c r="B233" s="1">
        <v>45909</v>
      </c>
      <c r="C233" s="5" t="s">
        <v>916</v>
      </c>
      <c r="D233" s="5" t="s">
        <v>917</v>
      </c>
      <c r="E233" s="5" t="s">
        <v>55</v>
      </c>
      <c r="F233" s="5" t="s">
        <v>131</v>
      </c>
      <c r="G233" s="5" t="s">
        <v>132</v>
      </c>
      <c r="H233" s="5" t="s">
        <v>171</v>
      </c>
      <c r="I233" s="5" t="s">
        <v>39</v>
      </c>
      <c r="J233" s="5" t="s">
        <v>356</v>
      </c>
      <c r="K233" s="5">
        <v>8</v>
      </c>
      <c r="L233" s="5">
        <v>50000</v>
      </c>
      <c r="M233" s="5">
        <v>0.05</v>
      </c>
      <c r="N233" s="5">
        <v>380000</v>
      </c>
      <c r="O233" s="5">
        <v>301029.01</v>
      </c>
      <c r="P233" s="5">
        <v>78970.990000000005</v>
      </c>
      <c r="Q233" s="5">
        <v>20.78</v>
      </c>
      <c r="R233" s="5" t="s">
        <v>106</v>
      </c>
      <c r="S233" s="5" t="s">
        <v>42</v>
      </c>
      <c r="T233" s="5" t="s">
        <v>107</v>
      </c>
      <c r="U233" s="5" t="s">
        <v>108</v>
      </c>
      <c r="V233" s="5">
        <v>2025</v>
      </c>
      <c r="W233" s="5" t="s">
        <v>109</v>
      </c>
      <c r="X233" s="5">
        <v>9</v>
      </c>
      <c r="Y233" s="1" t="s">
        <v>748</v>
      </c>
      <c r="Z233" s="5" t="s">
        <v>47</v>
      </c>
      <c r="AA233" s="5" t="s">
        <v>67</v>
      </c>
      <c r="AB233" s="5" t="s">
        <v>49</v>
      </c>
      <c r="AC233" s="5" t="s">
        <v>50</v>
      </c>
      <c r="AD233" s="5">
        <v>4</v>
      </c>
    </row>
    <row r="234" spans="1:30">
      <c r="A234" s="5" t="s">
        <v>918</v>
      </c>
      <c r="B234" s="1" t="s">
        <v>845</v>
      </c>
      <c r="C234" s="5" t="s">
        <v>919</v>
      </c>
      <c r="D234" s="5" t="s">
        <v>920</v>
      </c>
      <c r="E234" s="5" t="s">
        <v>103</v>
      </c>
      <c r="F234" s="5" t="s">
        <v>82</v>
      </c>
      <c r="G234" s="5" t="s">
        <v>83</v>
      </c>
      <c r="H234" s="5" t="s">
        <v>94</v>
      </c>
      <c r="I234" s="5" t="s">
        <v>59</v>
      </c>
      <c r="J234" s="5" t="s">
        <v>372</v>
      </c>
      <c r="K234" s="5">
        <v>2</v>
      </c>
      <c r="L234" s="5">
        <v>2000</v>
      </c>
      <c r="M234" s="5">
        <v>0.05</v>
      </c>
      <c r="N234" s="5">
        <v>3800</v>
      </c>
      <c r="O234" s="5">
        <v>3023.75</v>
      </c>
      <c r="P234" s="5">
        <v>776.25</v>
      </c>
      <c r="Q234" s="5">
        <v>20.43</v>
      </c>
      <c r="R234" s="5" t="s">
        <v>61</v>
      </c>
      <c r="S234" s="5" t="s">
        <v>74</v>
      </c>
      <c r="T234" s="5" t="s">
        <v>43</v>
      </c>
      <c r="U234" s="5" t="s">
        <v>108</v>
      </c>
      <c r="V234" s="5">
        <v>2024</v>
      </c>
      <c r="W234" s="5" t="s">
        <v>109</v>
      </c>
      <c r="X234" s="5">
        <v>8</v>
      </c>
      <c r="Y234" s="1" t="s">
        <v>921</v>
      </c>
      <c r="Z234" s="5" t="s">
        <v>47</v>
      </c>
      <c r="AA234" s="5" t="s">
        <v>48</v>
      </c>
      <c r="AB234" s="5" t="s">
        <v>111</v>
      </c>
      <c r="AC234" s="5" t="s">
        <v>121</v>
      </c>
      <c r="AD234" s="5">
        <v>5</v>
      </c>
    </row>
    <row r="235" spans="1:30">
      <c r="A235" s="5" t="s">
        <v>922</v>
      </c>
      <c r="B235" s="1">
        <v>45789</v>
      </c>
      <c r="C235" s="5" t="s">
        <v>923</v>
      </c>
      <c r="D235" s="5" t="s">
        <v>924</v>
      </c>
      <c r="E235" s="5" t="s">
        <v>103</v>
      </c>
      <c r="F235" s="5" t="s">
        <v>131</v>
      </c>
      <c r="G235" s="5" t="s">
        <v>132</v>
      </c>
      <c r="H235" s="5" t="s">
        <v>171</v>
      </c>
      <c r="I235" s="5" t="s">
        <v>39</v>
      </c>
      <c r="J235" s="5" t="s">
        <v>165</v>
      </c>
      <c r="K235" s="5">
        <v>1</v>
      </c>
      <c r="L235" s="5">
        <v>22000</v>
      </c>
      <c r="M235" s="5">
        <v>0.05</v>
      </c>
      <c r="N235" s="5">
        <v>20900</v>
      </c>
      <c r="O235" s="5">
        <v>13539.29</v>
      </c>
      <c r="P235" s="5">
        <v>7360.71</v>
      </c>
      <c r="Q235" s="5">
        <v>35.22</v>
      </c>
      <c r="R235" s="5" t="s">
        <v>61</v>
      </c>
      <c r="S235" s="5" t="s">
        <v>42</v>
      </c>
      <c r="T235" s="5" t="s">
        <v>75</v>
      </c>
      <c r="U235" s="5" t="s">
        <v>64</v>
      </c>
      <c r="V235" s="5">
        <v>2025</v>
      </c>
      <c r="W235" s="5" t="s">
        <v>194</v>
      </c>
      <c r="X235" s="5">
        <v>6</v>
      </c>
      <c r="Y235" s="1">
        <v>45973</v>
      </c>
      <c r="Z235" s="5" t="s">
        <v>110</v>
      </c>
      <c r="AA235" s="5" t="s">
        <v>48</v>
      </c>
      <c r="AB235" s="5" t="s">
        <v>78</v>
      </c>
      <c r="AC235" s="5" t="s">
        <v>50</v>
      </c>
      <c r="AD235" s="5">
        <v>4</v>
      </c>
    </row>
    <row r="236" spans="1:30">
      <c r="A236" s="5" t="s">
        <v>925</v>
      </c>
      <c r="B236" s="1" t="s">
        <v>926</v>
      </c>
      <c r="C236" s="5" t="s">
        <v>589</v>
      </c>
      <c r="D236" s="5" t="s">
        <v>927</v>
      </c>
      <c r="E236" s="5" t="s">
        <v>103</v>
      </c>
      <c r="F236" s="5" t="s">
        <v>149</v>
      </c>
      <c r="G236" s="5" t="s">
        <v>150</v>
      </c>
      <c r="H236" s="5" t="s">
        <v>94</v>
      </c>
      <c r="I236" s="5" t="s">
        <v>71</v>
      </c>
      <c r="J236" s="5" t="s">
        <v>172</v>
      </c>
      <c r="K236" s="5">
        <v>9</v>
      </c>
      <c r="L236" s="5">
        <v>2500</v>
      </c>
      <c r="M236" s="5">
        <v>0.05</v>
      </c>
      <c r="N236" s="5">
        <v>21375</v>
      </c>
      <c r="O236" s="5">
        <v>14548.15</v>
      </c>
      <c r="P236" s="5">
        <v>6826.85</v>
      </c>
      <c r="Q236" s="5">
        <v>31.94</v>
      </c>
      <c r="R236" s="5" t="s">
        <v>73</v>
      </c>
      <c r="S236" s="5" t="s">
        <v>42</v>
      </c>
      <c r="T236" s="5" t="s">
        <v>173</v>
      </c>
      <c r="U236" s="5" t="s">
        <v>76</v>
      </c>
      <c r="V236" s="5">
        <v>2025</v>
      </c>
      <c r="W236" s="5" t="s">
        <v>109</v>
      </c>
      <c r="X236" s="5">
        <v>9</v>
      </c>
      <c r="Y236" s="1" t="s">
        <v>928</v>
      </c>
      <c r="Z236" s="5" t="s">
        <v>89</v>
      </c>
      <c r="AA236" s="5" t="s">
        <v>48</v>
      </c>
      <c r="AB236" s="5" t="s">
        <v>49</v>
      </c>
      <c r="AC236" s="5" t="s">
        <v>50</v>
      </c>
      <c r="AD236" s="5">
        <v>2</v>
      </c>
    </row>
    <row r="237" spans="1:30">
      <c r="A237" s="5" t="s">
        <v>929</v>
      </c>
      <c r="B237" s="1" t="s">
        <v>795</v>
      </c>
      <c r="C237" s="5" t="s">
        <v>930</v>
      </c>
      <c r="D237" s="5" t="s">
        <v>931</v>
      </c>
      <c r="E237" s="5" t="s">
        <v>35</v>
      </c>
      <c r="F237" s="5" t="s">
        <v>36</v>
      </c>
      <c r="G237" s="5" t="s">
        <v>37</v>
      </c>
      <c r="H237" s="5" t="s">
        <v>38</v>
      </c>
      <c r="I237" s="5" t="s">
        <v>95</v>
      </c>
      <c r="J237" s="5" t="s">
        <v>96</v>
      </c>
      <c r="K237" s="5">
        <v>7</v>
      </c>
      <c r="L237" s="5">
        <v>6000</v>
      </c>
      <c r="M237" s="5">
        <v>0.2</v>
      </c>
      <c r="N237" s="5">
        <v>33600</v>
      </c>
      <c r="O237" s="5">
        <v>22009.95</v>
      </c>
      <c r="P237" s="5">
        <v>11590.05</v>
      </c>
      <c r="Q237" s="5">
        <v>34.49</v>
      </c>
      <c r="R237" s="5" t="s">
        <v>166</v>
      </c>
      <c r="S237" s="5" t="s">
        <v>42</v>
      </c>
      <c r="T237" s="5" t="s">
        <v>75</v>
      </c>
      <c r="U237" s="5" t="s">
        <v>108</v>
      </c>
      <c r="V237" s="5">
        <v>2025</v>
      </c>
      <c r="W237" s="5" t="s">
        <v>65</v>
      </c>
      <c r="X237" s="5">
        <v>1</v>
      </c>
      <c r="Y237" s="1" t="s">
        <v>932</v>
      </c>
      <c r="Z237" s="5" t="s">
        <v>47</v>
      </c>
      <c r="AA237" s="5" t="s">
        <v>90</v>
      </c>
      <c r="AB237" s="5" t="s">
        <v>49</v>
      </c>
      <c r="AC237" s="5" t="s">
        <v>50</v>
      </c>
      <c r="AD237" s="5">
        <v>2</v>
      </c>
    </row>
    <row r="238" spans="1:30">
      <c r="A238" s="5" t="s">
        <v>933</v>
      </c>
      <c r="B238" s="1" t="s">
        <v>934</v>
      </c>
      <c r="C238" s="5" t="s">
        <v>665</v>
      </c>
      <c r="D238" s="5" t="s">
        <v>935</v>
      </c>
      <c r="E238" s="5" t="s">
        <v>35</v>
      </c>
      <c r="F238" s="5" t="s">
        <v>82</v>
      </c>
      <c r="G238" s="5" t="s">
        <v>83</v>
      </c>
      <c r="H238" s="5" t="s">
        <v>94</v>
      </c>
      <c r="I238" s="5" t="s">
        <v>39</v>
      </c>
      <c r="J238" s="5" t="s">
        <v>165</v>
      </c>
      <c r="K238" s="5">
        <v>1</v>
      </c>
      <c r="L238" s="5">
        <v>50000</v>
      </c>
      <c r="M238" s="5">
        <v>0.15</v>
      </c>
      <c r="N238" s="5">
        <v>42500</v>
      </c>
      <c r="O238" s="5">
        <v>26662.23</v>
      </c>
      <c r="P238" s="5">
        <v>15837.77</v>
      </c>
      <c r="Q238" s="5">
        <v>37.270000000000003</v>
      </c>
      <c r="R238" s="5" t="s">
        <v>166</v>
      </c>
      <c r="S238" s="5" t="s">
        <v>74</v>
      </c>
      <c r="T238" s="5" t="s">
        <v>86</v>
      </c>
      <c r="U238" s="5" t="s">
        <v>98</v>
      </c>
      <c r="V238" s="5">
        <v>2025</v>
      </c>
      <c r="W238" s="5" t="s">
        <v>194</v>
      </c>
      <c r="X238" s="5">
        <v>10</v>
      </c>
      <c r="Y238" s="1" t="s">
        <v>316</v>
      </c>
      <c r="Z238" s="5" t="s">
        <v>89</v>
      </c>
      <c r="AA238" s="5" t="s">
        <v>48</v>
      </c>
      <c r="AB238" s="5" t="s">
        <v>111</v>
      </c>
      <c r="AC238" s="5" t="s">
        <v>50</v>
      </c>
      <c r="AD238" s="5">
        <v>2</v>
      </c>
    </row>
    <row r="239" spans="1:30">
      <c r="A239" s="5" t="s">
        <v>936</v>
      </c>
      <c r="B239" s="1" t="s">
        <v>937</v>
      </c>
      <c r="C239" s="5" t="s">
        <v>938</v>
      </c>
      <c r="D239" s="5" t="s">
        <v>939</v>
      </c>
      <c r="E239" s="5" t="s">
        <v>55</v>
      </c>
      <c r="F239" s="5" t="s">
        <v>104</v>
      </c>
      <c r="G239" s="5" t="s">
        <v>104</v>
      </c>
      <c r="H239" s="5" t="s">
        <v>94</v>
      </c>
      <c r="I239" s="5" t="s">
        <v>59</v>
      </c>
      <c r="J239" s="5" t="s">
        <v>372</v>
      </c>
      <c r="K239" s="5">
        <v>9</v>
      </c>
      <c r="L239" s="5">
        <v>800</v>
      </c>
      <c r="M239" s="5">
        <v>0.2</v>
      </c>
      <c r="N239" s="5">
        <v>5760</v>
      </c>
      <c r="O239" s="5">
        <v>3540.09</v>
      </c>
      <c r="P239" s="5">
        <v>2219.91</v>
      </c>
      <c r="Q239" s="5">
        <v>38.54</v>
      </c>
      <c r="R239" s="5" t="s">
        <v>61</v>
      </c>
      <c r="S239" s="5" t="s">
        <v>42</v>
      </c>
      <c r="T239" s="5" t="s">
        <v>75</v>
      </c>
      <c r="U239" s="5" t="s">
        <v>160</v>
      </c>
      <c r="V239" s="5">
        <v>2024</v>
      </c>
      <c r="W239" s="5" t="s">
        <v>65</v>
      </c>
      <c r="X239" s="5">
        <v>1</v>
      </c>
      <c r="Y239" s="1" t="s">
        <v>940</v>
      </c>
      <c r="Z239" s="5" t="s">
        <v>47</v>
      </c>
      <c r="AA239" s="5" t="s">
        <v>67</v>
      </c>
      <c r="AB239" s="5" t="s">
        <v>111</v>
      </c>
      <c r="AC239" s="5" t="s">
        <v>121</v>
      </c>
      <c r="AD239" s="5">
        <v>5</v>
      </c>
    </row>
    <row r="240" spans="1:30">
      <c r="A240" s="5" t="s">
        <v>941</v>
      </c>
      <c r="B240" s="1" t="s">
        <v>673</v>
      </c>
      <c r="C240" s="5" t="s">
        <v>769</v>
      </c>
      <c r="D240" s="5" t="s">
        <v>942</v>
      </c>
      <c r="E240" s="5" t="s">
        <v>35</v>
      </c>
      <c r="F240" s="5" t="s">
        <v>104</v>
      </c>
      <c r="G240" s="5" t="s">
        <v>104</v>
      </c>
      <c r="H240" s="5" t="s">
        <v>94</v>
      </c>
      <c r="I240" s="5" t="s">
        <v>39</v>
      </c>
      <c r="J240" s="5" t="s">
        <v>356</v>
      </c>
      <c r="K240" s="5">
        <v>9</v>
      </c>
      <c r="L240" s="5">
        <v>15000</v>
      </c>
      <c r="M240" s="5">
        <v>0.2</v>
      </c>
      <c r="N240" s="5">
        <v>108000</v>
      </c>
      <c r="O240" s="5">
        <v>87489.47</v>
      </c>
      <c r="P240" s="5">
        <v>20510.53</v>
      </c>
      <c r="Q240" s="5">
        <v>18.989999999999998</v>
      </c>
      <c r="R240" s="5" t="s">
        <v>166</v>
      </c>
      <c r="S240" s="5" t="s">
        <v>42</v>
      </c>
      <c r="T240" s="5" t="s">
        <v>43</v>
      </c>
      <c r="U240" s="5" t="s">
        <v>218</v>
      </c>
      <c r="V240" s="5">
        <v>2025</v>
      </c>
      <c r="W240" s="5" t="s">
        <v>109</v>
      </c>
      <c r="X240" s="5">
        <v>6</v>
      </c>
      <c r="Y240" s="1" t="s">
        <v>943</v>
      </c>
      <c r="Z240" s="5" t="s">
        <v>47</v>
      </c>
      <c r="AA240" s="5" t="s">
        <v>67</v>
      </c>
      <c r="AB240" s="5" t="s">
        <v>49</v>
      </c>
      <c r="AC240" s="5" t="s">
        <v>50</v>
      </c>
      <c r="AD240" s="5">
        <v>5</v>
      </c>
    </row>
    <row r="241" spans="1:30">
      <c r="A241" s="5" t="s">
        <v>944</v>
      </c>
      <c r="B241" s="1" t="s">
        <v>945</v>
      </c>
      <c r="C241" s="5" t="s">
        <v>946</v>
      </c>
      <c r="D241" s="5" t="s">
        <v>947</v>
      </c>
      <c r="E241" s="5" t="s">
        <v>55</v>
      </c>
      <c r="F241" s="5" t="s">
        <v>36</v>
      </c>
      <c r="G241" s="5" t="s">
        <v>37</v>
      </c>
      <c r="H241" s="5" t="s">
        <v>94</v>
      </c>
      <c r="I241" s="5" t="s">
        <v>59</v>
      </c>
      <c r="J241" s="5" t="s">
        <v>328</v>
      </c>
      <c r="K241" s="5">
        <v>9</v>
      </c>
      <c r="L241" s="5">
        <v>1200</v>
      </c>
      <c r="M241" s="5">
        <v>0.1</v>
      </c>
      <c r="N241" s="5">
        <v>9720</v>
      </c>
      <c r="O241" s="5">
        <v>7645.27</v>
      </c>
      <c r="P241" s="5">
        <v>2074.73</v>
      </c>
      <c r="Q241" s="5">
        <v>21.34</v>
      </c>
      <c r="R241" s="5" t="s">
        <v>41</v>
      </c>
      <c r="S241" s="5" t="s">
        <v>62</v>
      </c>
      <c r="T241" s="5" t="s">
        <v>86</v>
      </c>
      <c r="U241" s="5" t="s">
        <v>44</v>
      </c>
      <c r="V241" s="5">
        <v>2024</v>
      </c>
      <c r="W241" s="5" t="s">
        <v>126</v>
      </c>
      <c r="X241" s="5">
        <v>9</v>
      </c>
      <c r="Y241" s="1">
        <v>45509</v>
      </c>
      <c r="Z241" s="5" t="s">
        <v>47</v>
      </c>
      <c r="AA241" s="5" t="s">
        <v>67</v>
      </c>
      <c r="AB241" s="5" t="s">
        <v>78</v>
      </c>
      <c r="AC241" s="5" t="s">
        <v>50</v>
      </c>
      <c r="AD241" s="5">
        <v>5</v>
      </c>
    </row>
    <row r="242" spans="1:30">
      <c r="A242" s="5" t="s">
        <v>948</v>
      </c>
      <c r="B242" s="1">
        <v>45940</v>
      </c>
      <c r="C242" s="5" t="s">
        <v>619</v>
      </c>
      <c r="D242" s="5" t="s">
        <v>361</v>
      </c>
      <c r="E242" s="5" t="s">
        <v>103</v>
      </c>
      <c r="F242" s="5" t="s">
        <v>104</v>
      </c>
      <c r="G242" s="5" t="s">
        <v>104</v>
      </c>
      <c r="H242" s="5" t="s">
        <v>58</v>
      </c>
      <c r="I242" s="5" t="s">
        <v>71</v>
      </c>
      <c r="J242" s="5" t="s">
        <v>72</v>
      </c>
      <c r="K242" s="5">
        <v>5</v>
      </c>
      <c r="L242" s="5">
        <v>700</v>
      </c>
      <c r="M242" s="5">
        <v>0.15</v>
      </c>
      <c r="N242" s="5">
        <v>2975</v>
      </c>
      <c r="O242" s="5">
        <v>2278.98</v>
      </c>
      <c r="P242" s="5">
        <v>696.02</v>
      </c>
      <c r="Q242" s="5">
        <v>23.4</v>
      </c>
      <c r="R242" s="5" t="s">
        <v>61</v>
      </c>
      <c r="S242" s="5" t="s">
        <v>74</v>
      </c>
      <c r="T242" s="5" t="s">
        <v>159</v>
      </c>
      <c r="U242" s="5" t="s">
        <v>87</v>
      </c>
      <c r="V242" s="5">
        <v>2025</v>
      </c>
      <c r="W242" s="5" t="s">
        <v>194</v>
      </c>
      <c r="X242" s="5">
        <v>4</v>
      </c>
      <c r="Y242" s="1" t="s">
        <v>949</v>
      </c>
      <c r="Z242" s="5" t="s">
        <v>47</v>
      </c>
      <c r="AA242" s="5" t="s">
        <v>90</v>
      </c>
      <c r="AB242" s="5" t="s">
        <v>78</v>
      </c>
      <c r="AC242" s="5" t="s">
        <v>50</v>
      </c>
      <c r="AD242" s="5">
        <v>1</v>
      </c>
    </row>
    <row r="243" spans="1:30">
      <c r="A243" s="5" t="s">
        <v>950</v>
      </c>
      <c r="B243" s="1">
        <v>45938</v>
      </c>
      <c r="C243" s="5" t="s">
        <v>951</v>
      </c>
      <c r="D243" s="5" t="s">
        <v>847</v>
      </c>
      <c r="E243" s="5" t="s">
        <v>103</v>
      </c>
      <c r="F243" s="5" t="s">
        <v>131</v>
      </c>
      <c r="G243" s="5" t="s">
        <v>132</v>
      </c>
      <c r="H243" s="5" t="s">
        <v>38</v>
      </c>
      <c r="I243" s="5" t="s">
        <v>95</v>
      </c>
      <c r="J243" s="5" t="s">
        <v>440</v>
      </c>
      <c r="K243" s="5">
        <v>6</v>
      </c>
      <c r="L243" s="5">
        <v>6000</v>
      </c>
      <c r="M243" s="5">
        <v>0.05</v>
      </c>
      <c r="N243" s="5">
        <v>34200</v>
      </c>
      <c r="O243" s="5">
        <v>27555.69</v>
      </c>
      <c r="P243" s="5">
        <v>6644.31</v>
      </c>
      <c r="Q243" s="5">
        <v>19.43</v>
      </c>
      <c r="R243" s="5" t="s">
        <v>73</v>
      </c>
      <c r="S243" s="5" t="s">
        <v>42</v>
      </c>
      <c r="T243" s="5" t="s">
        <v>86</v>
      </c>
      <c r="U243" s="5" t="s">
        <v>218</v>
      </c>
      <c r="V243" s="5">
        <v>2025</v>
      </c>
      <c r="W243" s="5" t="s">
        <v>45</v>
      </c>
      <c r="X243" s="5">
        <v>5</v>
      </c>
      <c r="Y243" s="1" t="s">
        <v>952</v>
      </c>
      <c r="Z243" s="5" t="s">
        <v>47</v>
      </c>
      <c r="AA243" s="5" t="s">
        <v>67</v>
      </c>
      <c r="AB243" s="5" t="s">
        <v>49</v>
      </c>
      <c r="AC243" s="5" t="s">
        <v>121</v>
      </c>
      <c r="AD243" s="5">
        <v>2</v>
      </c>
    </row>
    <row r="244" spans="1:30">
      <c r="A244" s="5" t="s">
        <v>953</v>
      </c>
      <c r="B244" s="1" t="s">
        <v>190</v>
      </c>
      <c r="C244" s="5" t="s">
        <v>954</v>
      </c>
      <c r="D244" s="5" t="s">
        <v>955</v>
      </c>
      <c r="E244" s="5" t="s">
        <v>55</v>
      </c>
      <c r="F244" s="5" t="s">
        <v>149</v>
      </c>
      <c r="G244" s="5" t="s">
        <v>150</v>
      </c>
      <c r="H244" s="5" t="s">
        <v>171</v>
      </c>
      <c r="I244" s="5" t="s">
        <v>59</v>
      </c>
      <c r="J244" s="5" t="s">
        <v>60</v>
      </c>
      <c r="K244" s="5">
        <v>3</v>
      </c>
      <c r="L244" s="5">
        <v>500</v>
      </c>
      <c r="M244" s="5">
        <v>0</v>
      </c>
      <c r="N244" s="5">
        <v>1500</v>
      </c>
      <c r="O244" s="5">
        <v>827.68</v>
      </c>
      <c r="P244" s="5">
        <v>672.32</v>
      </c>
      <c r="Q244" s="5">
        <v>44.82</v>
      </c>
      <c r="R244" s="5" t="s">
        <v>41</v>
      </c>
      <c r="S244" s="5" t="s">
        <v>62</v>
      </c>
      <c r="T244" s="5" t="s">
        <v>138</v>
      </c>
      <c r="U244" s="5" t="s">
        <v>178</v>
      </c>
      <c r="V244" s="5">
        <v>2024</v>
      </c>
      <c r="W244" s="5" t="s">
        <v>139</v>
      </c>
      <c r="X244" s="5">
        <v>8</v>
      </c>
      <c r="Y244" s="1" t="s">
        <v>956</v>
      </c>
      <c r="Z244" s="5" t="s">
        <v>89</v>
      </c>
      <c r="AA244" s="5" t="s">
        <v>48</v>
      </c>
      <c r="AB244" s="5" t="s">
        <v>78</v>
      </c>
      <c r="AC244" s="5" t="s">
        <v>50</v>
      </c>
      <c r="AD244" s="5">
        <v>2</v>
      </c>
    </row>
    <row r="245" spans="1:30">
      <c r="A245" s="5" t="s">
        <v>957</v>
      </c>
      <c r="B245" s="1" t="s">
        <v>958</v>
      </c>
      <c r="C245" s="5" t="s">
        <v>238</v>
      </c>
      <c r="D245" s="5" t="s">
        <v>707</v>
      </c>
      <c r="E245" s="5" t="s">
        <v>55</v>
      </c>
      <c r="F245" s="5" t="s">
        <v>131</v>
      </c>
      <c r="G245" s="5" t="s">
        <v>132</v>
      </c>
      <c r="H245" s="5" t="s">
        <v>94</v>
      </c>
      <c r="I245" s="5" t="s">
        <v>84</v>
      </c>
      <c r="J245" s="5" t="s">
        <v>290</v>
      </c>
      <c r="K245" s="5">
        <v>4</v>
      </c>
      <c r="L245" s="5">
        <v>800</v>
      </c>
      <c r="M245" s="5">
        <v>0.05</v>
      </c>
      <c r="N245" s="5">
        <v>3040</v>
      </c>
      <c r="O245" s="5">
        <v>2064.61</v>
      </c>
      <c r="P245" s="5">
        <v>975.39</v>
      </c>
      <c r="Q245" s="5">
        <v>32.090000000000003</v>
      </c>
      <c r="R245" s="5" t="s">
        <v>73</v>
      </c>
      <c r="S245" s="5" t="s">
        <v>62</v>
      </c>
      <c r="T245" s="5" t="s">
        <v>173</v>
      </c>
      <c r="U245" s="5" t="s">
        <v>98</v>
      </c>
      <c r="V245" s="5">
        <v>2024</v>
      </c>
      <c r="W245" s="5" t="s">
        <v>45</v>
      </c>
      <c r="X245" s="5">
        <v>9</v>
      </c>
      <c r="Y245" s="1">
        <v>45415</v>
      </c>
      <c r="Z245" s="5" t="s">
        <v>110</v>
      </c>
      <c r="AA245" s="5" t="s">
        <v>48</v>
      </c>
      <c r="AB245" s="5" t="s">
        <v>111</v>
      </c>
      <c r="AC245" s="5" t="s">
        <v>50</v>
      </c>
      <c r="AD245" s="5">
        <v>3</v>
      </c>
    </row>
    <row r="246" spans="1:30">
      <c r="A246" s="5" t="s">
        <v>959</v>
      </c>
      <c r="B246" s="1" t="s">
        <v>960</v>
      </c>
      <c r="C246" s="5" t="s">
        <v>163</v>
      </c>
      <c r="D246" s="5" t="s">
        <v>961</v>
      </c>
      <c r="E246" s="5" t="s">
        <v>35</v>
      </c>
      <c r="F246" s="5" t="s">
        <v>104</v>
      </c>
      <c r="G246" s="5" t="s">
        <v>104</v>
      </c>
      <c r="H246" s="5" t="s">
        <v>171</v>
      </c>
      <c r="I246" s="5" t="s">
        <v>39</v>
      </c>
      <c r="J246" s="5" t="s">
        <v>105</v>
      </c>
      <c r="K246" s="5">
        <v>7</v>
      </c>
      <c r="L246" s="5">
        <v>35000</v>
      </c>
      <c r="M246" s="5">
        <v>0</v>
      </c>
      <c r="N246" s="5">
        <v>245000</v>
      </c>
      <c r="O246" s="5">
        <v>191760.85</v>
      </c>
      <c r="P246" s="5">
        <v>53239.15</v>
      </c>
      <c r="Q246" s="5">
        <v>21.73</v>
      </c>
      <c r="R246" s="5" t="s">
        <v>166</v>
      </c>
      <c r="S246" s="5" t="s">
        <v>42</v>
      </c>
      <c r="T246" s="5" t="s">
        <v>97</v>
      </c>
      <c r="U246" s="5" t="s">
        <v>198</v>
      </c>
      <c r="V246" s="5">
        <v>2024</v>
      </c>
      <c r="W246" s="5" t="s">
        <v>194</v>
      </c>
      <c r="X246" s="5">
        <v>6</v>
      </c>
      <c r="Y246" s="1">
        <v>45424</v>
      </c>
      <c r="Z246" s="5" t="s">
        <v>89</v>
      </c>
      <c r="AA246" s="5" t="s">
        <v>67</v>
      </c>
      <c r="AB246" s="5" t="s">
        <v>49</v>
      </c>
      <c r="AC246" s="5" t="s">
        <v>50</v>
      </c>
      <c r="AD246" s="5">
        <v>4</v>
      </c>
    </row>
    <row r="247" spans="1:30">
      <c r="A247" s="5" t="s">
        <v>962</v>
      </c>
      <c r="B247" s="1">
        <v>45812</v>
      </c>
      <c r="C247" s="5" t="s">
        <v>946</v>
      </c>
      <c r="D247" s="5" t="s">
        <v>963</v>
      </c>
      <c r="E247" s="5" t="s">
        <v>35</v>
      </c>
      <c r="F247" s="5" t="s">
        <v>149</v>
      </c>
      <c r="G247" s="5" t="s">
        <v>150</v>
      </c>
      <c r="H247" s="5" t="s">
        <v>171</v>
      </c>
      <c r="I247" s="5" t="s">
        <v>71</v>
      </c>
      <c r="J247" s="5" t="s">
        <v>240</v>
      </c>
      <c r="K247" s="5">
        <v>6</v>
      </c>
      <c r="L247" s="5">
        <v>2500</v>
      </c>
      <c r="M247" s="5">
        <v>0.1</v>
      </c>
      <c r="N247" s="5">
        <v>13500</v>
      </c>
      <c r="O247" s="5">
        <v>7903</v>
      </c>
      <c r="P247" s="5">
        <v>5597</v>
      </c>
      <c r="Q247" s="5">
        <v>41.46</v>
      </c>
      <c r="R247" s="5" t="s">
        <v>73</v>
      </c>
      <c r="S247" s="5" t="s">
        <v>42</v>
      </c>
      <c r="T247" s="5" t="s">
        <v>75</v>
      </c>
      <c r="U247" s="5" t="s">
        <v>44</v>
      </c>
      <c r="V247" s="5">
        <v>2025</v>
      </c>
      <c r="W247" s="5" t="s">
        <v>45</v>
      </c>
      <c r="X247" s="5">
        <v>3</v>
      </c>
      <c r="Y247" s="1">
        <v>45904</v>
      </c>
      <c r="Z247" s="5" t="s">
        <v>89</v>
      </c>
      <c r="AA247" s="5" t="s">
        <v>67</v>
      </c>
      <c r="AB247" s="5" t="s">
        <v>49</v>
      </c>
      <c r="AC247" s="5" t="s">
        <v>121</v>
      </c>
      <c r="AD247" s="5">
        <v>2</v>
      </c>
    </row>
    <row r="248" spans="1:30">
      <c r="A248" s="5" t="s">
        <v>964</v>
      </c>
      <c r="B248" s="1">
        <v>45848</v>
      </c>
      <c r="C248" s="5" t="s">
        <v>965</v>
      </c>
      <c r="D248" s="5" t="s">
        <v>268</v>
      </c>
      <c r="E248" s="5" t="s">
        <v>103</v>
      </c>
      <c r="F248" s="5" t="s">
        <v>56</v>
      </c>
      <c r="G248" s="5" t="s">
        <v>57</v>
      </c>
      <c r="H248" s="5" t="s">
        <v>58</v>
      </c>
      <c r="I248" s="5" t="s">
        <v>39</v>
      </c>
      <c r="J248" s="5" t="s">
        <v>105</v>
      </c>
      <c r="K248" s="5">
        <v>7</v>
      </c>
      <c r="L248" s="5">
        <v>22000</v>
      </c>
      <c r="M248" s="5">
        <v>0.05</v>
      </c>
      <c r="N248" s="5">
        <v>146300</v>
      </c>
      <c r="O248" s="5">
        <v>108927.85</v>
      </c>
      <c r="P248" s="5">
        <v>37372.15</v>
      </c>
      <c r="Q248" s="5">
        <v>25.54</v>
      </c>
      <c r="R248" s="5" t="s">
        <v>166</v>
      </c>
      <c r="S248" s="5" t="s">
        <v>74</v>
      </c>
      <c r="T248" s="5" t="s">
        <v>118</v>
      </c>
      <c r="U248" s="5" t="s">
        <v>87</v>
      </c>
      <c r="V248" s="5">
        <v>2025</v>
      </c>
      <c r="W248" s="5" t="s">
        <v>109</v>
      </c>
      <c r="X248" s="5">
        <v>9</v>
      </c>
      <c r="Y248" s="1" t="s">
        <v>453</v>
      </c>
      <c r="Z248" s="5" t="s">
        <v>89</v>
      </c>
      <c r="AA248" s="5" t="s">
        <v>90</v>
      </c>
      <c r="AB248" s="5" t="s">
        <v>49</v>
      </c>
      <c r="AC248" s="5" t="s">
        <v>50</v>
      </c>
      <c r="AD248" s="5">
        <v>4</v>
      </c>
    </row>
    <row r="249" spans="1:30">
      <c r="A249" s="5" t="s">
        <v>966</v>
      </c>
      <c r="B249" s="1" t="s">
        <v>967</v>
      </c>
      <c r="C249" s="5" t="s">
        <v>142</v>
      </c>
      <c r="D249" s="5" t="s">
        <v>968</v>
      </c>
      <c r="E249" s="5" t="s">
        <v>103</v>
      </c>
      <c r="F249" s="5" t="s">
        <v>36</v>
      </c>
      <c r="G249" s="5" t="s">
        <v>37</v>
      </c>
      <c r="H249" s="5" t="s">
        <v>38</v>
      </c>
      <c r="I249" s="5" t="s">
        <v>71</v>
      </c>
      <c r="J249" s="5" t="s">
        <v>240</v>
      </c>
      <c r="K249" s="5">
        <v>5</v>
      </c>
      <c r="L249" s="5">
        <v>1800</v>
      </c>
      <c r="M249" s="5">
        <v>0.1</v>
      </c>
      <c r="N249" s="5">
        <v>8100</v>
      </c>
      <c r="O249" s="5">
        <v>5207.63</v>
      </c>
      <c r="P249" s="5">
        <v>2892.37</v>
      </c>
      <c r="Q249" s="5">
        <v>35.71</v>
      </c>
      <c r="R249" s="5" t="s">
        <v>41</v>
      </c>
      <c r="S249" s="5" t="s">
        <v>42</v>
      </c>
      <c r="T249" s="5" t="s">
        <v>107</v>
      </c>
      <c r="U249" s="5" t="s">
        <v>151</v>
      </c>
      <c r="V249" s="5">
        <v>2025</v>
      </c>
      <c r="W249" s="5" t="s">
        <v>45</v>
      </c>
      <c r="X249" s="5">
        <v>9</v>
      </c>
      <c r="Y249" s="1">
        <v>45785</v>
      </c>
      <c r="Z249" s="5" t="s">
        <v>47</v>
      </c>
      <c r="AA249" s="5" t="s">
        <v>90</v>
      </c>
      <c r="AB249" s="5" t="s">
        <v>78</v>
      </c>
      <c r="AC249" s="5" t="s">
        <v>50</v>
      </c>
      <c r="AD249" s="5">
        <v>3</v>
      </c>
    </row>
    <row r="250" spans="1:30">
      <c r="A250" s="5" t="s">
        <v>969</v>
      </c>
      <c r="B250" s="1" t="s">
        <v>970</v>
      </c>
      <c r="C250" s="5" t="s">
        <v>971</v>
      </c>
      <c r="D250" s="5" t="s">
        <v>379</v>
      </c>
      <c r="E250" s="5" t="s">
        <v>103</v>
      </c>
      <c r="F250" s="5" t="s">
        <v>131</v>
      </c>
      <c r="G250" s="5" t="s">
        <v>132</v>
      </c>
      <c r="H250" s="5" t="s">
        <v>94</v>
      </c>
      <c r="I250" s="5" t="s">
        <v>71</v>
      </c>
      <c r="J250" s="5" t="s">
        <v>158</v>
      </c>
      <c r="K250" s="5">
        <v>2</v>
      </c>
      <c r="L250" s="5">
        <v>2500</v>
      </c>
      <c r="M250" s="5">
        <v>0.2</v>
      </c>
      <c r="N250" s="5">
        <v>4000</v>
      </c>
      <c r="O250" s="5">
        <v>3137.72</v>
      </c>
      <c r="P250" s="5">
        <v>862.28</v>
      </c>
      <c r="Q250" s="5">
        <v>21.56</v>
      </c>
      <c r="R250" s="5" t="s">
        <v>106</v>
      </c>
      <c r="S250" s="5" t="s">
        <v>74</v>
      </c>
      <c r="T250" s="5" t="s">
        <v>118</v>
      </c>
      <c r="U250" s="5" t="s">
        <v>87</v>
      </c>
      <c r="V250" s="5">
        <v>2024</v>
      </c>
      <c r="W250" s="5" t="s">
        <v>45</v>
      </c>
      <c r="X250" s="5">
        <v>8</v>
      </c>
      <c r="Y250" s="1" t="s">
        <v>500</v>
      </c>
      <c r="Z250" s="5" t="s">
        <v>47</v>
      </c>
      <c r="AA250" s="5" t="s">
        <v>67</v>
      </c>
      <c r="AB250" s="5" t="s">
        <v>49</v>
      </c>
      <c r="AC250" s="5" t="s">
        <v>50</v>
      </c>
      <c r="AD250" s="5">
        <v>3</v>
      </c>
    </row>
    <row r="251" spans="1:30">
      <c r="A251" s="5" t="s">
        <v>972</v>
      </c>
      <c r="B251" s="1">
        <v>45809</v>
      </c>
      <c r="C251" s="5" t="s">
        <v>619</v>
      </c>
      <c r="D251" s="5" t="s">
        <v>548</v>
      </c>
      <c r="E251" s="5" t="s">
        <v>35</v>
      </c>
      <c r="F251" s="5" t="s">
        <v>116</v>
      </c>
      <c r="G251" s="5" t="s">
        <v>37</v>
      </c>
      <c r="H251" s="5" t="s">
        <v>38</v>
      </c>
      <c r="I251" s="5" t="s">
        <v>84</v>
      </c>
      <c r="J251" s="5" t="s">
        <v>217</v>
      </c>
      <c r="K251" s="5">
        <v>7</v>
      </c>
      <c r="L251" s="5">
        <v>350</v>
      </c>
      <c r="M251" s="5">
        <v>0.15</v>
      </c>
      <c r="N251" s="5">
        <v>2082.5</v>
      </c>
      <c r="O251" s="5">
        <v>1688.27</v>
      </c>
      <c r="P251" s="5">
        <v>394.23</v>
      </c>
      <c r="Q251" s="5">
        <v>18.93</v>
      </c>
      <c r="R251" s="5" t="s">
        <v>73</v>
      </c>
      <c r="S251" s="5" t="s">
        <v>42</v>
      </c>
      <c r="T251" s="5" t="s">
        <v>159</v>
      </c>
      <c r="U251" s="5" t="s">
        <v>76</v>
      </c>
      <c r="V251" s="5">
        <v>2025</v>
      </c>
      <c r="W251" s="5" t="s">
        <v>126</v>
      </c>
      <c r="X251" s="5">
        <v>10</v>
      </c>
      <c r="Y251" s="1" t="s">
        <v>776</v>
      </c>
      <c r="Z251" s="5" t="s">
        <v>89</v>
      </c>
      <c r="AA251" s="5" t="s">
        <v>48</v>
      </c>
      <c r="AB251" s="5" t="s">
        <v>111</v>
      </c>
      <c r="AC251" s="5" t="s">
        <v>121</v>
      </c>
      <c r="AD251" s="5">
        <v>2</v>
      </c>
    </row>
    <row r="252" spans="1:30">
      <c r="A252" s="5" t="s">
        <v>973</v>
      </c>
      <c r="B252" s="1" t="s">
        <v>209</v>
      </c>
      <c r="C252" s="5" t="s">
        <v>974</v>
      </c>
      <c r="D252" s="5" t="s">
        <v>641</v>
      </c>
      <c r="E252" s="5" t="s">
        <v>55</v>
      </c>
      <c r="F252" s="5" t="s">
        <v>245</v>
      </c>
      <c r="G252" s="5" t="s">
        <v>246</v>
      </c>
      <c r="H252" s="5" t="s">
        <v>38</v>
      </c>
      <c r="I252" s="5" t="s">
        <v>71</v>
      </c>
      <c r="J252" s="5" t="s">
        <v>72</v>
      </c>
      <c r="K252" s="5">
        <v>2</v>
      </c>
      <c r="L252" s="5">
        <v>700</v>
      </c>
      <c r="M252" s="5">
        <v>0.15</v>
      </c>
      <c r="N252" s="5">
        <v>1190</v>
      </c>
      <c r="O252" s="5">
        <v>902.2</v>
      </c>
      <c r="P252" s="5">
        <v>287.8</v>
      </c>
      <c r="Q252" s="5">
        <v>24.18</v>
      </c>
      <c r="R252" s="5" t="s">
        <v>106</v>
      </c>
      <c r="S252" s="5" t="s">
        <v>42</v>
      </c>
      <c r="T252" s="5" t="s">
        <v>75</v>
      </c>
      <c r="U252" s="5" t="s">
        <v>151</v>
      </c>
      <c r="V252" s="5">
        <v>2025</v>
      </c>
      <c r="W252" s="5" t="s">
        <v>109</v>
      </c>
      <c r="X252" s="5">
        <v>1</v>
      </c>
      <c r="Y252" s="1" t="s">
        <v>212</v>
      </c>
      <c r="Z252" s="5" t="s">
        <v>47</v>
      </c>
      <c r="AA252" s="5" t="s">
        <v>67</v>
      </c>
      <c r="AB252" s="5" t="s">
        <v>49</v>
      </c>
      <c r="AC252" s="5" t="s">
        <v>121</v>
      </c>
      <c r="AD252" s="5">
        <v>3</v>
      </c>
    </row>
    <row r="253" spans="1:30">
      <c r="A253" s="5" t="s">
        <v>975</v>
      </c>
      <c r="B253" s="1">
        <v>45414</v>
      </c>
      <c r="C253" s="5" t="s">
        <v>101</v>
      </c>
      <c r="D253" s="5" t="s">
        <v>532</v>
      </c>
      <c r="E253" s="5" t="s">
        <v>55</v>
      </c>
      <c r="F253" s="5" t="s">
        <v>56</v>
      </c>
      <c r="G253" s="5" t="s">
        <v>57</v>
      </c>
      <c r="H253" s="5" t="s">
        <v>94</v>
      </c>
      <c r="I253" s="5" t="s">
        <v>95</v>
      </c>
      <c r="J253" s="5" t="s">
        <v>319</v>
      </c>
      <c r="K253" s="5">
        <v>9</v>
      </c>
      <c r="L253" s="5">
        <v>4000</v>
      </c>
      <c r="M253" s="5">
        <v>0</v>
      </c>
      <c r="N253" s="5">
        <v>36000</v>
      </c>
      <c r="O253" s="5">
        <v>28200.42</v>
      </c>
      <c r="P253" s="5">
        <v>7799.58</v>
      </c>
      <c r="Q253" s="5">
        <v>21.67</v>
      </c>
      <c r="R253" s="5" t="s">
        <v>73</v>
      </c>
      <c r="S253" s="5" t="s">
        <v>42</v>
      </c>
      <c r="T253" s="5" t="s">
        <v>107</v>
      </c>
      <c r="U253" s="5" t="s">
        <v>98</v>
      </c>
      <c r="V253" s="5">
        <v>2024</v>
      </c>
      <c r="W253" s="5" t="s">
        <v>126</v>
      </c>
      <c r="X253" s="5">
        <v>6</v>
      </c>
      <c r="Y253" s="1">
        <v>45598</v>
      </c>
      <c r="Z253" s="5" t="s">
        <v>47</v>
      </c>
      <c r="AA253" s="5" t="s">
        <v>90</v>
      </c>
      <c r="AB253" s="5" t="s">
        <v>111</v>
      </c>
      <c r="AC253" s="5" t="s">
        <v>50</v>
      </c>
      <c r="AD253" s="5">
        <v>5</v>
      </c>
    </row>
    <row r="254" spans="1:30">
      <c r="A254" s="5" t="s">
        <v>976</v>
      </c>
      <c r="B254" s="1">
        <v>45815</v>
      </c>
      <c r="C254" s="5" t="s">
        <v>977</v>
      </c>
      <c r="D254" s="5" t="s">
        <v>594</v>
      </c>
      <c r="E254" s="5" t="s">
        <v>35</v>
      </c>
      <c r="F254" s="5" t="s">
        <v>156</v>
      </c>
      <c r="G254" s="5" t="s">
        <v>157</v>
      </c>
      <c r="H254" s="5" t="s">
        <v>171</v>
      </c>
      <c r="I254" s="5" t="s">
        <v>59</v>
      </c>
      <c r="J254" s="5" t="s">
        <v>372</v>
      </c>
      <c r="K254" s="5">
        <v>5</v>
      </c>
      <c r="L254" s="5">
        <v>1200</v>
      </c>
      <c r="M254" s="5">
        <v>0.15</v>
      </c>
      <c r="N254" s="5">
        <v>5100</v>
      </c>
      <c r="O254" s="5">
        <v>3413.44</v>
      </c>
      <c r="P254" s="5">
        <v>1686.56</v>
      </c>
      <c r="Q254" s="5">
        <v>33.07</v>
      </c>
      <c r="R254" s="5" t="s">
        <v>106</v>
      </c>
      <c r="S254" s="5" t="s">
        <v>74</v>
      </c>
      <c r="T254" s="5" t="s">
        <v>107</v>
      </c>
      <c r="U254" s="5" t="s">
        <v>151</v>
      </c>
      <c r="V254" s="5">
        <v>2025</v>
      </c>
      <c r="W254" s="5" t="s">
        <v>45</v>
      </c>
      <c r="X254" s="5">
        <v>4</v>
      </c>
      <c r="Y254" s="1">
        <v>45937</v>
      </c>
      <c r="Z254" s="5" t="s">
        <v>47</v>
      </c>
      <c r="AA254" s="5" t="s">
        <v>90</v>
      </c>
      <c r="AB254" s="5" t="s">
        <v>78</v>
      </c>
      <c r="AC254" s="5" t="s">
        <v>50</v>
      </c>
      <c r="AD254" s="5">
        <v>4</v>
      </c>
    </row>
    <row r="255" spans="1:30">
      <c r="A255" s="5" t="s">
        <v>978</v>
      </c>
      <c r="B255" s="1" t="s">
        <v>979</v>
      </c>
      <c r="C255" s="5" t="s">
        <v>980</v>
      </c>
      <c r="D255" s="5" t="s">
        <v>981</v>
      </c>
      <c r="E255" s="5" t="s">
        <v>35</v>
      </c>
      <c r="F255" s="5" t="s">
        <v>131</v>
      </c>
      <c r="G255" s="5" t="s">
        <v>132</v>
      </c>
      <c r="H255" s="5" t="s">
        <v>94</v>
      </c>
      <c r="I255" s="5" t="s">
        <v>39</v>
      </c>
      <c r="J255" s="5" t="s">
        <v>253</v>
      </c>
      <c r="K255" s="5">
        <v>8</v>
      </c>
      <c r="L255" s="5">
        <v>15000</v>
      </c>
      <c r="M255" s="5">
        <v>0</v>
      </c>
      <c r="N255" s="5">
        <v>120000</v>
      </c>
      <c r="O255" s="5">
        <v>73491.38</v>
      </c>
      <c r="P255" s="5">
        <v>46508.62</v>
      </c>
      <c r="Q255" s="5">
        <v>38.76</v>
      </c>
      <c r="R255" s="5" t="s">
        <v>41</v>
      </c>
      <c r="S255" s="5" t="s">
        <v>62</v>
      </c>
      <c r="T255" s="5" t="s">
        <v>75</v>
      </c>
      <c r="U255" s="5" t="s">
        <v>178</v>
      </c>
      <c r="V255" s="5">
        <v>2025</v>
      </c>
      <c r="W255" s="5" t="s">
        <v>45</v>
      </c>
      <c r="X255" s="5">
        <v>5</v>
      </c>
      <c r="Y255" s="1" t="s">
        <v>982</v>
      </c>
      <c r="Z255" s="5" t="s">
        <v>89</v>
      </c>
      <c r="AA255" s="5" t="s">
        <v>90</v>
      </c>
      <c r="AB255" s="5" t="s">
        <v>49</v>
      </c>
      <c r="AC255" s="5" t="s">
        <v>50</v>
      </c>
      <c r="AD255" s="5">
        <v>4</v>
      </c>
    </row>
    <row r="256" spans="1:30">
      <c r="A256" s="5" t="s">
        <v>983</v>
      </c>
      <c r="B256" s="1" t="s">
        <v>984</v>
      </c>
      <c r="C256" s="5" t="s">
        <v>985</v>
      </c>
      <c r="D256" s="5" t="s">
        <v>791</v>
      </c>
      <c r="E256" s="5" t="s">
        <v>35</v>
      </c>
      <c r="F256" s="5" t="s">
        <v>149</v>
      </c>
      <c r="G256" s="5" t="s">
        <v>150</v>
      </c>
      <c r="H256" s="5" t="s">
        <v>58</v>
      </c>
      <c r="I256" s="5" t="s">
        <v>84</v>
      </c>
      <c r="J256" s="5" t="s">
        <v>390</v>
      </c>
      <c r="K256" s="5">
        <v>7</v>
      </c>
      <c r="L256" s="5">
        <v>200</v>
      </c>
      <c r="M256" s="5">
        <v>0.2</v>
      </c>
      <c r="N256" s="5">
        <v>1120</v>
      </c>
      <c r="O256" s="5">
        <v>812.09</v>
      </c>
      <c r="P256" s="5">
        <v>307.91000000000003</v>
      </c>
      <c r="Q256" s="5">
        <v>27.49</v>
      </c>
      <c r="R256" s="5" t="s">
        <v>73</v>
      </c>
      <c r="S256" s="5" t="s">
        <v>74</v>
      </c>
      <c r="T256" s="5" t="s">
        <v>159</v>
      </c>
      <c r="U256" s="5" t="s">
        <v>108</v>
      </c>
      <c r="V256" s="5">
        <v>2025</v>
      </c>
      <c r="W256" s="5" t="s">
        <v>194</v>
      </c>
      <c r="X256" s="5">
        <v>5</v>
      </c>
      <c r="Y256" s="1" t="s">
        <v>986</v>
      </c>
      <c r="Z256" s="5" t="s">
        <v>47</v>
      </c>
      <c r="AA256" s="5" t="s">
        <v>90</v>
      </c>
      <c r="AB256" s="5" t="s">
        <v>111</v>
      </c>
      <c r="AC256" s="5" t="s">
        <v>50</v>
      </c>
      <c r="AD256" s="5">
        <v>5</v>
      </c>
    </row>
    <row r="257" spans="1:30">
      <c r="A257" s="5" t="s">
        <v>987</v>
      </c>
      <c r="B257" s="1" t="s">
        <v>988</v>
      </c>
      <c r="C257" s="5" t="s">
        <v>989</v>
      </c>
      <c r="D257" s="5" t="s">
        <v>939</v>
      </c>
      <c r="E257" s="5" t="s">
        <v>55</v>
      </c>
      <c r="F257" s="5" t="s">
        <v>56</v>
      </c>
      <c r="G257" s="5" t="s">
        <v>57</v>
      </c>
      <c r="H257" s="5" t="s">
        <v>171</v>
      </c>
      <c r="I257" s="5" t="s">
        <v>84</v>
      </c>
      <c r="J257" s="5" t="s">
        <v>217</v>
      </c>
      <c r="K257" s="5">
        <v>8</v>
      </c>
      <c r="L257" s="5">
        <v>200</v>
      </c>
      <c r="M257" s="5">
        <v>0.1</v>
      </c>
      <c r="N257" s="5">
        <v>1440</v>
      </c>
      <c r="O257" s="5">
        <v>1169.03</v>
      </c>
      <c r="P257" s="5">
        <v>270.97000000000003</v>
      </c>
      <c r="Q257" s="5">
        <v>18.82</v>
      </c>
      <c r="R257" s="5" t="s">
        <v>73</v>
      </c>
      <c r="S257" s="5" t="s">
        <v>42</v>
      </c>
      <c r="T257" s="5" t="s">
        <v>138</v>
      </c>
      <c r="U257" s="5" t="s">
        <v>76</v>
      </c>
      <c r="V257" s="5">
        <v>2024</v>
      </c>
      <c r="W257" s="5" t="s">
        <v>65</v>
      </c>
      <c r="X257" s="5">
        <v>3</v>
      </c>
      <c r="Y257" s="1" t="s">
        <v>337</v>
      </c>
      <c r="Z257" s="5" t="s">
        <v>47</v>
      </c>
      <c r="AA257" s="5" t="s">
        <v>48</v>
      </c>
      <c r="AB257" s="5" t="s">
        <v>49</v>
      </c>
      <c r="AC257" s="5" t="s">
        <v>121</v>
      </c>
      <c r="AD257" s="5">
        <v>1</v>
      </c>
    </row>
    <row r="258" spans="1:30">
      <c r="A258" s="5" t="s">
        <v>990</v>
      </c>
      <c r="B258" s="1" t="s">
        <v>991</v>
      </c>
      <c r="C258" s="5" t="s">
        <v>33</v>
      </c>
      <c r="D258" s="5" t="s">
        <v>137</v>
      </c>
      <c r="E258" s="5" t="s">
        <v>35</v>
      </c>
      <c r="F258" s="5" t="s">
        <v>245</v>
      </c>
      <c r="G258" s="5" t="s">
        <v>246</v>
      </c>
      <c r="H258" s="5" t="s">
        <v>58</v>
      </c>
      <c r="I258" s="5" t="s">
        <v>39</v>
      </c>
      <c r="J258" s="5" t="s">
        <v>253</v>
      </c>
      <c r="K258" s="5">
        <v>4</v>
      </c>
      <c r="L258" s="5">
        <v>15000</v>
      </c>
      <c r="M258" s="5">
        <v>0.15</v>
      </c>
      <c r="N258" s="5">
        <v>51000</v>
      </c>
      <c r="O258" s="5">
        <v>34434.94</v>
      </c>
      <c r="P258" s="5">
        <v>16565.060000000001</v>
      </c>
      <c r="Q258" s="5">
        <v>32.479999999999997</v>
      </c>
      <c r="R258" s="5" t="s">
        <v>61</v>
      </c>
      <c r="S258" s="5" t="s">
        <v>62</v>
      </c>
      <c r="T258" s="5" t="s">
        <v>173</v>
      </c>
      <c r="U258" s="5" t="s">
        <v>198</v>
      </c>
      <c r="V258" s="5">
        <v>2024</v>
      </c>
      <c r="W258" s="5" t="s">
        <v>194</v>
      </c>
      <c r="X258" s="5">
        <v>8</v>
      </c>
      <c r="Y258" s="1" t="s">
        <v>303</v>
      </c>
      <c r="Z258" s="5" t="s">
        <v>47</v>
      </c>
      <c r="AA258" s="5" t="s">
        <v>48</v>
      </c>
      <c r="AB258" s="5" t="s">
        <v>78</v>
      </c>
      <c r="AC258" s="5" t="s">
        <v>121</v>
      </c>
      <c r="AD258" s="5">
        <v>2</v>
      </c>
    </row>
    <row r="259" spans="1:30">
      <c r="A259" s="5" t="s">
        <v>992</v>
      </c>
      <c r="B259" s="1" t="s">
        <v>993</v>
      </c>
      <c r="C259" s="5" t="s">
        <v>378</v>
      </c>
      <c r="D259" s="5" t="s">
        <v>994</v>
      </c>
      <c r="E259" s="5" t="s">
        <v>35</v>
      </c>
      <c r="F259" s="5" t="s">
        <v>116</v>
      </c>
      <c r="G259" s="5" t="s">
        <v>37</v>
      </c>
      <c r="H259" s="5" t="s">
        <v>94</v>
      </c>
      <c r="I259" s="5" t="s">
        <v>71</v>
      </c>
      <c r="J259" s="5" t="s">
        <v>72</v>
      </c>
      <c r="K259" s="5">
        <v>2</v>
      </c>
      <c r="L259" s="5">
        <v>1200</v>
      </c>
      <c r="M259" s="5">
        <v>0.15</v>
      </c>
      <c r="N259" s="5">
        <v>2040</v>
      </c>
      <c r="O259" s="5">
        <v>1231.71</v>
      </c>
      <c r="P259" s="5">
        <v>808.29</v>
      </c>
      <c r="Q259" s="5">
        <v>39.619999999999997</v>
      </c>
      <c r="R259" s="5" t="s">
        <v>166</v>
      </c>
      <c r="S259" s="5" t="s">
        <v>42</v>
      </c>
      <c r="T259" s="5" t="s">
        <v>159</v>
      </c>
      <c r="U259" s="5" t="s">
        <v>178</v>
      </c>
      <c r="V259" s="5">
        <v>2025</v>
      </c>
      <c r="W259" s="5" t="s">
        <v>65</v>
      </c>
      <c r="X259" s="5">
        <v>4</v>
      </c>
      <c r="Y259" s="1">
        <v>45692</v>
      </c>
      <c r="Z259" s="5" t="s">
        <v>47</v>
      </c>
      <c r="AA259" s="5" t="s">
        <v>67</v>
      </c>
      <c r="AB259" s="5" t="s">
        <v>49</v>
      </c>
      <c r="AC259" s="5" t="s">
        <v>121</v>
      </c>
      <c r="AD259" s="5">
        <v>5</v>
      </c>
    </row>
    <row r="260" spans="1:30">
      <c r="A260" s="5" t="s">
        <v>995</v>
      </c>
      <c r="B260" s="1" t="s">
        <v>996</v>
      </c>
      <c r="C260" s="5" t="s">
        <v>997</v>
      </c>
      <c r="D260" s="5" t="s">
        <v>998</v>
      </c>
      <c r="E260" s="5" t="s">
        <v>103</v>
      </c>
      <c r="F260" s="5" t="s">
        <v>131</v>
      </c>
      <c r="G260" s="5" t="s">
        <v>132</v>
      </c>
      <c r="H260" s="5" t="s">
        <v>94</v>
      </c>
      <c r="I260" s="5" t="s">
        <v>39</v>
      </c>
      <c r="J260" s="5" t="s">
        <v>40</v>
      </c>
      <c r="K260" s="5">
        <v>8</v>
      </c>
      <c r="L260" s="5">
        <v>50000</v>
      </c>
      <c r="M260" s="5">
        <v>0.1</v>
      </c>
      <c r="N260" s="5">
        <v>360000</v>
      </c>
      <c r="O260" s="5">
        <v>281947.53000000003</v>
      </c>
      <c r="P260" s="5">
        <v>78052.47</v>
      </c>
      <c r="Q260" s="5">
        <v>21.68</v>
      </c>
      <c r="R260" s="5" t="s">
        <v>61</v>
      </c>
      <c r="S260" s="5" t="s">
        <v>74</v>
      </c>
      <c r="T260" s="5" t="s">
        <v>118</v>
      </c>
      <c r="U260" s="5" t="s">
        <v>151</v>
      </c>
      <c r="V260" s="5">
        <v>2024</v>
      </c>
      <c r="W260" s="5" t="s">
        <v>126</v>
      </c>
      <c r="X260" s="5">
        <v>6</v>
      </c>
      <c r="Y260" s="1" t="s">
        <v>999</v>
      </c>
      <c r="Z260" s="5" t="s">
        <v>47</v>
      </c>
      <c r="AA260" s="5" t="s">
        <v>67</v>
      </c>
      <c r="AB260" s="5" t="s">
        <v>111</v>
      </c>
      <c r="AC260" s="5" t="s">
        <v>121</v>
      </c>
      <c r="AD260" s="5">
        <v>4</v>
      </c>
    </row>
    <row r="261" spans="1:30">
      <c r="A261" s="5" t="s">
        <v>1000</v>
      </c>
      <c r="B261" s="1">
        <v>45789</v>
      </c>
      <c r="C261" s="5" t="s">
        <v>1001</v>
      </c>
      <c r="D261" s="5" t="s">
        <v>1002</v>
      </c>
      <c r="E261" s="5" t="s">
        <v>55</v>
      </c>
      <c r="F261" s="5" t="s">
        <v>149</v>
      </c>
      <c r="G261" s="5" t="s">
        <v>150</v>
      </c>
      <c r="H261" s="5" t="s">
        <v>58</v>
      </c>
      <c r="I261" s="5" t="s">
        <v>39</v>
      </c>
      <c r="J261" s="5" t="s">
        <v>356</v>
      </c>
      <c r="K261" s="5">
        <v>10</v>
      </c>
      <c r="L261" s="5">
        <v>50000</v>
      </c>
      <c r="M261" s="5">
        <v>0.15</v>
      </c>
      <c r="N261" s="5">
        <v>425000</v>
      </c>
      <c r="O261" s="5">
        <v>276368</v>
      </c>
      <c r="P261" s="5">
        <v>148632</v>
      </c>
      <c r="Q261" s="5">
        <v>34.97</v>
      </c>
      <c r="R261" s="5" t="s">
        <v>41</v>
      </c>
      <c r="S261" s="5" t="s">
        <v>62</v>
      </c>
      <c r="T261" s="5" t="s">
        <v>43</v>
      </c>
      <c r="U261" s="5" t="s">
        <v>64</v>
      </c>
      <c r="V261" s="5">
        <v>2025</v>
      </c>
      <c r="W261" s="5" t="s">
        <v>194</v>
      </c>
      <c r="X261" s="5">
        <v>10</v>
      </c>
      <c r="Y261" s="1" t="s">
        <v>602</v>
      </c>
      <c r="Z261" s="5" t="s">
        <v>47</v>
      </c>
      <c r="AA261" s="5" t="s">
        <v>90</v>
      </c>
      <c r="AB261" s="5" t="s">
        <v>78</v>
      </c>
      <c r="AC261" s="5" t="s">
        <v>121</v>
      </c>
      <c r="AD261" s="5">
        <v>5</v>
      </c>
    </row>
    <row r="262" spans="1:30">
      <c r="A262" s="5" t="s">
        <v>1003</v>
      </c>
      <c r="B262" s="1" t="s">
        <v>1004</v>
      </c>
      <c r="C262" s="5" t="s">
        <v>1005</v>
      </c>
      <c r="D262" s="5" t="s">
        <v>197</v>
      </c>
      <c r="E262" s="5" t="s">
        <v>103</v>
      </c>
      <c r="F262" s="5" t="s">
        <v>36</v>
      </c>
      <c r="G262" s="5" t="s">
        <v>37</v>
      </c>
      <c r="H262" s="5" t="s">
        <v>38</v>
      </c>
      <c r="I262" s="5" t="s">
        <v>95</v>
      </c>
      <c r="J262" s="5" t="s">
        <v>440</v>
      </c>
      <c r="K262" s="5">
        <v>4</v>
      </c>
      <c r="L262" s="5">
        <v>6000</v>
      </c>
      <c r="M262" s="5">
        <v>0.2</v>
      </c>
      <c r="N262" s="5">
        <v>19200</v>
      </c>
      <c r="O262" s="5">
        <v>14360.85</v>
      </c>
      <c r="P262" s="5">
        <v>4839.1499999999996</v>
      </c>
      <c r="Q262" s="5">
        <v>25.2</v>
      </c>
      <c r="R262" s="5" t="s">
        <v>61</v>
      </c>
      <c r="S262" s="5" t="s">
        <v>74</v>
      </c>
      <c r="T262" s="5" t="s">
        <v>138</v>
      </c>
      <c r="U262" s="5" t="s">
        <v>87</v>
      </c>
      <c r="V262" s="5">
        <v>2025</v>
      </c>
      <c r="W262" s="5" t="s">
        <v>134</v>
      </c>
      <c r="X262" s="5">
        <v>6</v>
      </c>
      <c r="Y262" s="1" t="s">
        <v>1006</v>
      </c>
      <c r="Z262" s="5" t="s">
        <v>110</v>
      </c>
      <c r="AA262" s="5" t="s">
        <v>48</v>
      </c>
      <c r="AB262" s="5" t="s">
        <v>78</v>
      </c>
      <c r="AC262" s="5" t="s">
        <v>50</v>
      </c>
      <c r="AD262" s="5">
        <v>5</v>
      </c>
    </row>
    <row r="263" spans="1:30">
      <c r="A263" s="5" t="s">
        <v>1007</v>
      </c>
      <c r="B263" s="1" t="s">
        <v>1008</v>
      </c>
      <c r="C263" s="5" t="s">
        <v>397</v>
      </c>
      <c r="D263" s="5" t="s">
        <v>666</v>
      </c>
      <c r="E263" s="5" t="s">
        <v>35</v>
      </c>
      <c r="F263" s="5" t="s">
        <v>56</v>
      </c>
      <c r="G263" s="5" t="s">
        <v>57</v>
      </c>
      <c r="H263" s="5" t="s">
        <v>38</v>
      </c>
      <c r="I263" s="5" t="s">
        <v>95</v>
      </c>
      <c r="J263" s="5" t="s">
        <v>96</v>
      </c>
      <c r="K263" s="5">
        <v>3</v>
      </c>
      <c r="L263" s="5">
        <v>15000</v>
      </c>
      <c r="M263" s="5">
        <v>0.1</v>
      </c>
      <c r="N263" s="5">
        <v>40500</v>
      </c>
      <c r="O263" s="5">
        <v>31762.880000000001</v>
      </c>
      <c r="P263" s="5">
        <v>8737.1200000000008</v>
      </c>
      <c r="Q263" s="5">
        <v>21.57</v>
      </c>
      <c r="R263" s="5" t="s">
        <v>166</v>
      </c>
      <c r="S263" s="5" t="s">
        <v>62</v>
      </c>
      <c r="T263" s="5" t="s">
        <v>159</v>
      </c>
      <c r="U263" s="5" t="s">
        <v>198</v>
      </c>
      <c r="V263" s="5">
        <v>2024</v>
      </c>
      <c r="W263" s="5" t="s">
        <v>134</v>
      </c>
      <c r="X263" s="5">
        <v>8</v>
      </c>
      <c r="Y263" s="1">
        <v>45424</v>
      </c>
      <c r="Z263" s="5" t="s">
        <v>47</v>
      </c>
      <c r="AA263" s="5" t="s">
        <v>48</v>
      </c>
      <c r="AB263" s="5" t="s">
        <v>78</v>
      </c>
      <c r="AC263" s="5" t="s">
        <v>50</v>
      </c>
      <c r="AD263" s="5">
        <v>1</v>
      </c>
    </row>
    <row r="264" spans="1:30">
      <c r="A264" s="5" t="s">
        <v>1009</v>
      </c>
      <c r="B264" s="1" t="s">
        <v>1010</v>
      </c>
      <c r="C264" s="5" t="s">
        <v>312</v>
      </c>
      <c r="D264" s="5" t="s">
        <v>1011</v>
      </c>
      <c r="E264" s="5" t="s">
        <v>55</v>
      </c>
      <c r="F264" s="5" t="s">
        <v>131</v>
      </c>
      <c r="G264" s="5" t="s">
        <v>132</v>
      </c>
      <c r="H264" s="5" t="s">
        <v>38</v>
      </c>
      <c r="I264" s="5" t="s">
        <v>71</v>
      </c>
      <c r="J264" s="5" t="s">
        <v>117</v>
      </c>
      <c r="K264" s="5">
        <v>1</v>
      </c>
      <c r="L264" s="5">
        <v>3500</v>
      </c>
      <c r="M264" s="5">
        <v>0.1</v>
      </c>
      <c r="N264" s="5">
        <v>3150</v>
      </c>
      <c r="O264" s="5">
        <v>2345.71</v>
      </c>
      <c r="P264" s="5">
        <v>804.29</v>
      </c>
      <c r="Q264" s="5">
        <v>25.53</v>
      </c>
      <c r="R264" s="5" t="s">
        <v>41</v>
      </c>
      <c r="S264" s="5" t="s">
        <v>42</v>
      </c>
      <c r="T264" s="5" t="s">
        <v>138</v>
      </c>
      <c r="U264" s="5" t="s">
        <v>108</v>
      </c>
      <c r="V264" s="5">
        <v>2025</v>
      </c>
      <c r="W264" s="5" t="s">
        <v>65</v>
      </c>
      <c r="X264" s="5">
        <v>4</v>
      </c>
      <c r="Y264" s="1">
        <v>45667</v>
      </c>
      <c r="Z264" s="5" t="s">
        <v>47</v>
      </c>
      <c r="AA264" s="5" t="s">
        <v>48</v>
      </c>
      <c r="AB264" s="5" t="s">
        <v>49</v>
      </c>
      <c r="AC264" s="5" t="s">
        <v>50</v>
      </c>
      <c r="AD264" s="5">
        <v>3</v>
      </c>
    </row>
    <row r="265" spans="1:30">
      <c r="A265" s="5" t="s">
        <v>1012</v>
      </c>
      <c r="B265" s="1" t="s">
        <v>345</v>
      </c>
      <c r="C265" s="5" t="s">
        <v>1013</v>
      </c>
      <c r="D265" s="5" t="s">
        <v>1014</v>
      </c>
      <c r="E265" s="5" t="s">
        <v>35</v>
      </c>
      <c r="F265" s="5" t="s">
        <v>156</v>
      </c>
      <c r="G265" s="5" t="s">
        <v>157</v>
      </c>
      <c r="H265" s="5" t="s">
        <v>58</v>
      </c>
      <c r="I265" s="5" t="s">
        <v>84</v>
      </c>
      <c r="J265" s="5" t="s">
        <v>390</v>
      </c>
      <c r="K265" s="5">
        <v>2</v>
      </c>
      <c r="L265" s="5">
        <v>800</v>
      </c>
      <c r="M265" s="5">
        <v>0</v>
      </c>
      <c r="N265" s="5">
        <v>1600</v>
      </c>
      <c r="O265" s="5">
        <v>1257.3499999999999</v>
      </c>
      <c r="P265" s="5">
        <v>342.65</v>
      </c>
      <c r="Q265" s="5">
        <v>21.42</v>
      </c>
      <c r="R265" s="5" t="s">
        <v>106</v>
      </c>
      <c r="S265" s="5" t="s">
        <v>42</v>
      </c>
      <c r="T265" s="5" t="s">
        <v>75</v>
      </c>
      <c r="U265" s="5" t="s">
        <v>98</v>
      </c>
      <c r="V265" s="5">
        <v>2024</v>
      </c>
      <c r="W265" s="5" t="s">
        <v>134</v>
      </c>
      <c r="X265" s="5">
        <v>3</v>
      </c>
      <c r="Y265" s="1" t="s">
        <v>1015</v>
      </c>
      <c r="Z265" s="5" t="s">
        <v>47</v>
      </c>
      <c r="AA265" s="5" t="s">
        <v>48</v>
      </c>
      <c r="AB265" s="5" t="s">
        <v>78</v>
      </c>
      <c r="AC265" s="5" t="s">
        <v>50</v>
      </c>
      <c r="AD265" s="5">
        <v>1</v>
      </c>
    </row>
    <row r="266" spans="1:30">
      <c r="A266" s="5" t="s">
        <v>1016</v>
      </c>
      <c r="B266" s="1">
        <v>45699</v>
      </c>
      <c r="C266" s="5" t="s">
        <v>971</v>
      </c>
      <c r="D266" s="5" t="s">
        <v>239</v>
      </c>
      <c r="E266" s="5" t="s">
        <v>103</v>
      </c>
      <c r="F266" s="5" t="s">
        <v>82</v>
      </c>
      <c r="G266" s="5" t="s">
        <v>83</v>
      </c>
      <c r="H266" s="5" t="s">
        <v>94</v>
      </c>
      <c r="I266" s="5" t="s">
        <v>95</v>
      </c>
      <c r="J266" s="5" t="s">
        <v>96</v>
      </c>
      <c r="K266" s="5">
        <v>2</v>
      </c>
      <c r="L266" s="5">
        <v>2500</v>
      </c>
      <c r="M266" s="5">
        <v>0.05</v>
      </c>
      <c r="N266" s="5">
        <v>4750</v>
      </c>
      <c r="O266" s="5">
        <v>3212.79</v>
      </c>
      <c r="P266" s="5">
        <v>1537.21</v>
      </c>
      <c r="Q266" s="5">
        <v>32.36</v>
      </c>
      <c r="R266" s="5" t="s">
        <v>61</v>
      </c>
      <c r="S266" s="5" t="s">
        <v>42</v>
      </c>
      <c r="T266" s="5" t="s">
        <v>43</v>
      </c>
      <c r="U266" s="5" t="s">
        <v>198</v>
      </c>
      <c r="V266" s="5">
        <v>2025</v>
      </c>
      <c r="W266" s="5" t="s">
        <v>45</v>
      </c>
      <c r="X266" s="5">
        <v>8</v>
      </c>
      <c r="Y266" s="1">
        <v>45941</v>
      </c>
      <c r="Z266" s="5" t="s">
        <v>47</v>
      </c>
      <c r="AA266" s="5" t="s">
        <v>48</v>
      </c>
      <c r="AB266" s="5" t="s">
        <v>78</v>
      </c>
      <c r="AC266" s="5" t="s">
        <v>121</v>
      </c>
      <c r="AD266" s="5">
        <v>1</v>
      </c>
    </row>
    <row r="267" spans="1:30">
      <c r="A267" s="5" t="s">
        <v>1017</v>
      </c>
      <c r="B267" s="1" t="s">
        <v>373</v>
      </c>
      <c r="C267" s="5" t="s">
        <v>430</v>
      </c>
      <c r="D267" s="5" t="s">
        <v>942</v>
      </c>
      <c r="E267" s="5" t="s">
        <v>103</v>
      </c>
      <c r="F267" s="5" t="s">
        <v>116</v>
      </c>
      <c r="G267" s="5" t="s">
        <v>37</v>
      </c>
      <c r="H267" s="5" t="s">
        <v>38</v>
      </c>
      <c r="I267" s="5" t="s">
        <v>39</v>
      </c>
      <c r="J267" s="5" t="s">
        <v>105</v>
      </c>
      <c r="K267" s="5">
        <v>9</v>
      </c>
      <c r="L267" s="5">
        <v>8000</v>
      </c>
      <c r="M267" s="5">
        <v>0</v>
      </c>
      <c r="N267" s="5">
        <v>72000</v>
      </c>
      <c r="O267" s="5">
        <v>43283.11</v>
      </c>
      <c r="P267" s="5">
        <v>28716.89</v>
      </c>
      <c r="Q267" s="5">
        <v>39.880000000000003</v>
      </c>
      <c r="R267" s="5" t="s">
        <v>41</v>
      </c>
      <c r="S267" s="5" t="s">
        <v>42</v>
      </c>
      <c r="T267" s="5" t="s">
        <v>107</v>
      </c>
      <c r="U267" s="5" t="s">
        <v>218</v>
      </c>
      <c r="V267" s="5">
        <v>2024</v>
      </c>
      <c r="W267" s="5" t="s">
        <v>65</v>
      </c>
      <c r="X267" s="5">
        <v>9</v>
      </c>
      <c r="Y267" s="1">
        <v>45331</v>
      </c>
      <c r="Z267" s="5" t="s">
        <v>110</v>
      </c>
      <c r="AA267" s="5" t="s">
        <v>67</v>
      </c>
      <c r="AB267" s="5" t="s">
        <v>111</v>
      </c>
      <c r="AC267" s="5" t="s">
        <v>121</v>
      </c>
      <c r="AD267" s="5">
        <v>5</v>
      </c>
    </row>
    <row r="268" spans="1:30">
      <c r="A268" s="5" t="s">
        <v>1018</v>
      </c>
      <c r="B268" s="1" t="s">
        <v>266</v>
      </c>
      <c r="C268" s="5" t="s">
        <v>1019</v>
      </c>
      <c r="D268" s="5" t="s">
        <v>1020</v>
      </c>
      <c r="E268" s="5" t="s">
        <v>55</v>
      </c>
      <c r="F268" s="5" t="s">
        <v>82</v>
      </c>
      <c r="G268" s="5" t="s">
        <v>83</v>
      </c>
      <c r="H268" s="5" t="s">
        <v>171</v>
      </c>
      <c r="I268" s="5" t="s">
        <v>71</v>
      </c>
      <c r="J268" s="5" t="s">
        <v>158</v>
      </c>
      <c r="K268" s="5">
        <v>2</v>
      </c>
      <c r="L268" s="5">
        <v>1200</v>
      </c>
      <c r="M268" s="5">
        <v>0.05</v>
      </c>
      <c r="N268" s="5">
        <v>2280</v>
      </c>
      <c r="O268" s="5">
        <v>1461.77</v>
      </c>
      <c r="P268" s="5">
        <v>818.23</v>
      </c>
      <c r="Q268" s="5">
        <v>35.89</v>
      </c>
      <c r="R268" s="5" t="s">
        <v>61</v>
      </c>
      <c r="S268" s="5" t="s">
        <v>42</v>
      </c>
      <c r="T268" s="5" t="s">
        <v>97</v>
      </c>
      <c r="U268" s="5" t="s">
        <v>151</v>
      </c>
      <c r="V268" s="5">
        <v>2025</v>
      </c>
      <c r="W268" s="5" t="s">
        <v>139</v>
      </c>
      <c r="X268" s="5">
        <v>7</v>
      </c>
      <c r="Y268" s="1" t="s">
        <v>1021</v>
      </c>
      <c r="Z268" s="5" t="s">
        <v>89</v>
      </c>
      <c r="AA268" s="5" t="s">
        <v>67</v>
      </c>
      <c r="AB268" s="5" t="s">
        <v>78</v>
      </c>
      <c r="AC268" s="5" t="s">
        <v>50</v>
      </c>
      <c r="AD268" s="5">
        <v>3</v>
      </c>
    </row>
    <row r="269" spans="1:30">
      <c r="A269" s="5" t="s">
        <v>1022</v>
      </c>
      <c r="B269" s="1" t="s">
        <v>266</v>
      </c>
      <c r="C269" s="5" t="s">
        <v>438</v>
      </c>
      <c r="D269" s="5" t="s">
        <v>646</v>
      </c>
      <c r="E269" s="5" t="s">
        <v>103</v>
      </c>
      <c r="F269" s="5" t="s">
        <v>144</v>
      </c>
      <c r="G269" s="5" t="s">
        <v>145</v>
      </c>
      <c r="H269" s="5" t="s">
        <v>58</v>
      </c>
      <c r="I269" s="5" t="s">
        <v>95</v>
      </c>
      <c r="J269" s="5" t="s">
        <v>96</v>
      </c>
      <c r="K269" s="5">
        <v>9</v>
      </c>
      <c r="L269" s="5">
        <v>4000</v>
      </c>
      <c r="M269" s="5">
        <v>0.15</v>
      </c>
      <c r="N269" s="5">
        <v>30600</v>
      </c>
      <c r="O269" s="5">
        <v>24775.17</v>
      </c>
      <c r="P269" s="5">
        <v>5824.83</v>
      </c>
      <c r="Q269" s="5">
        <v>19.04</v>
      </c>
      <c r="R269" s="5" t="s">
        <v>61</v>
      </c>
      <c r="S269" s="5" t="s">
        <v>42</v>
      </c>
      <c r="T269" s="5" t="s">
        <v>43</v>
      </c>
      <c r="U269" s="5" t="s">
        <v>151</v>
      </c>
      <c r="V269" s="5">
        <v>2025</v>
      </c>
      <c r="W269" s="5" t="s">
        <v>139</v>
      </c>
      <c r="X269" s="5">
        <v>5</v>
      </c>
      <c r="Y269" s="1" t="s">
        <v>516</v>
      </c>
      <c r="Z269" s="5" t="s">
        <v>47</v>
      </c>
      <c r="AA269" s="5" t="s">
        <v>48</v>
      </c>
      <c r="AB269" s="5" t="s">
        <v>49</v>
      </c>
      <c r="AC269" s="5" t="s">
        <v>50</v>
      </c>
      <c r="AD269" s="5">
        <v>1</v>
      </c>
    </row>
    <row r="270" spans="1:30">
      <c r="A270" s="5" t="s">
        <v>1023</v>
      </c>
      <c r="B270" s="1" t="s">
        <v>1024</v>
      </c>
      <c r="C270" s="5" t="s">
        <v>1025</v>
      </c>
      <c r="D270" s="5" t="s">
        <v>515</v>
      </c>
      <c r="E270" s="5" t="s">
        <v>35</v>
      </c>
      <c r="F270" s="5" t="s">
        <v>116</v>
      </c>
      <c r="G270" s="5" t="s">
        <v>37</v>
      </c>
      <c r="H270" s="5" t="s">
        <v>94</v>
      </c>
      <c r="I270" s="5" t="s">
        <v>95</v>
      </c>
      <c r="J270" s="5" t="s">
        <v>319</v>
      </c>
      <c r="K270" s="5">
        <v>6</v>
      </c>
      <c r="L270" s="5">
        <v>2500</v>
      </c>
      <c r="M270" s="5">
        <v>0.1</v>
      </c>
      <c r="N270" s="5">
        <v>13500</v>
      </c>
      <c r="O270" s="5">
        <v>9505.09</v>
      </c>
      <c r="P270" s="5">
        <v>3994.91</v>
      </c>
      <c r="Q270" s="5">
        <v>29.59</v>
      </c>
      <c r="R270" s="5" t="s">
        <v>61</v>
      </c>
      <c r="S270" s="5" t="s">
        <v>74</v>
      </c>
      <c r="T270" s="5" t="s">
        <v>118</v>
      </c>
      <c r="U270" s="5" t="s">
        <v>151</v>
      </c>
      <c r="V270" s="5">
        <v>2025</v>
      </c>
      <c r="W270" s="5" t="s">
        <v>45</v>
      </c>
      <c r="X270" s="5">
        <v>9</v>
      </c>
      <c r="Y270" s="1" t="s">
        <v>1026</v>
      </c>
      <c r="Z270" s="5" t="s">
        <v>89</v>
      </c>
      <c r="AA270" s="5" t="s">
        <v>67</v>
      </c>
      <c r="AB270" s="5" t="s">
        <v>78</v>
      </c>
      <c r="AC270" s="5" t="s">
        <v>121</v>
      </c>
      <c r="AD270" s="5">
        <v>2</v>
      </c>
    </row>
    <row r="271" spans="1:30">
      <c r="A271" s="5" t="s">
        <v>1027</v>
      </c>
      <c r="B271" s="1">
        <v>45573</v>
      </c>
      <c r="C271" s="5" t="s">
        <v>1028</v>
      </c>
      <c r="D271" s="5" t="s">
        <v>313</v>
      </c>
      <c r="E271" s="5" t="s">
        <v>103</v>
      </c>
      <c r="F271" s="5" t="s">
        <v>116</v>
      </c>
      <c r="G271" s="5" t="s">
        <v>37</v>
      </c>
      <c r="H271" s="5" t="s">
        <v>58</v>
      </c>
      <c r="I271" s="5" t="s">
        <v>84</v>
      </c>
      <c r="J271" s="5" t="s">
        <v>390</v>
      </c>
      <c r="K271" s="5">
        <v>10</v>
      </c>
      <c r="L271" s="5">
        <v>500</v>
      </c>
      <c r="M271" s="5">
        <v>0.2</v>
      </c>
      <c r="N271" s="5">
        <v>4000</v>
      </c>
      <c r="O271" s="5">
        <v>3056.34</v>
      </c>
      <c r="P271" s="5">
        <v>943.66</v>
      </c>
      <c r="Q271" s="5">
        <v>23.59</v>
      </c>
      <c r="R271" s="5" t="s">
        <v>41</v>
      </c>
      <c r="S271" s="5" t="s">
        <v>42</v>
      </c>
      <c r="T271" s="5" t="s">
        <v>159</v>
      </c>
      <c r="U271" s="5" t="s">
        <v>218</v>
      </c>
      <c r="V271" s="5">
        <v>2024</v>
      </c>
      <c r="W271" s="5" t="s">
        <v>65</v>
      </c>
      <c r="X271" s="5">
        <v>2</v>
      </c>
      <c r="Y271" s="1">
        <v>45634</v>
      </c>
      <c r="Z271" s="5" t="s">
        <v>47</v>
      </c>
      <c r="AA271" s="5" t="s">
        <v>90</v>
      </c>
      <c r="AB271" s="5" t="s">
        <v>111</v>
      </c>
      <c r="AC271" s="5" t="s">
        <v>50</v>
      </c>
      <c r="AD271" s="5">
        <v>1</v>
      </c>
    </row>
    <row r="272" spans="1:30">
      <c r="A272" s="5" t="s">
        <v>1029</v>
      </c>
      <c r="B272" s="1" t="s">
        <v>1030</v>
      </c>
      <c r="C272" s="5" t="s">
        <v>809</v>
      </c>
      <c r="D272" s="5" t="s">
        <v>646</v>
      </c>
      <c r="E272" s="5" t="s">
        <v>55</v>
      </c>
      <c r="F272" s="5" t="s">
        <v>104</v>
      </c>
      <c r="G272" s="5" t="s">
        <v>104</v>
      </c>
      <c r="H272" s="5" t="s">
        <v>58</v>
      </c>
      <c r="I272" s="5" t="s">
        <v>84</v>
      </c>
      <c r="J272" s="5" t="s">
        <v>229</v>
      </c>
      <c r="K272" s="5">
        <v>7</v>
      </c>
      <c r="L272" s="5">
        <v>500</v>
      </c>
      <c r="M272" s="5">
        <v>0</v>
      </c>
      <c r="N272" s="5">
        <v>3500</v>
      </c>
      <c r="O272" s="5">
        <v>2524.02</v>
      </c>
      <c r="P272" s="5">
        <v>975.98</v>
      </c>
      <c r="Q272" s="5">
        <v>27.89</v>
      </c>
      <c r="R272" s="5" t="s">
        <v>61</v>
      </c>
      <c r="S272" s="5" t="s">
        <v>42</v>
      </c>
      <c r="T272" s="5" t="s">
        <v>63</v>
      </c>
      <c r="U272" s="5" t="s">
        <v>218</v>
      </c>
      <c r="V272" s="5">
        <v>2024</v>
      </c>
      <c r="W272" s="5" t="s">
        <v>109</v>
      </c>
      <c r="X272" s="5">
        <v>10</v>
      </c>
      <c r="Y272" s="1" t="s">
        <v>1031</v>
      </c>
      <c r="Z272" s="5" t="s">
        <v>47</v>
      </c>
      <c r="AA272" s="5" t="s">
        <v>90</v>
      </c>
      <c r="AB272" s="5" t="s">
        <v>78</v>
      </c>
      <c r="AC272" s="5" t="s">
        <v>121</v>
      </c>
      <c r="AD272" s="5">
        <v>2</v>
      </c>
    </row>
    <row r="273" spans="1:30">
      <c r="A273" s="5" t="s">
        <v>1032</v>
      </c>
      <c r="B273" s="1">
        <v>45326</v>
      </c>
      <c r="C273" s="5" t="s">
        <v>846</v>
      </c>
      <c r="D273" s="5" t="s">
        <v>905</v>
      </c>
      <c r="E273" s="5" t="s">
        <v>55</v>
      </c>
      <c r="F273" s="5" t="s">
        <v>104</v>
      </c>
      <c r="G273" s="5" t="s">
        <v>104</v>
      </c>
      <c r="H273" s="5" t="s">
        <v>58</v>
      </c>
      <c r="I273" s="5" t="s">
        <v>71</v>
      </c>
      <c r="J273" s="5" t="s">
        <v>158</v>
      </c>
      <c r="K273" s="5">
        <v>10</v>
      </c>
      <c r="L273" s="5">
        <v>3500</v>
      </c>
      <c r="M273" s="5">
        <v>0.2</v>
      </c>
      <c r="N273" s="5">
        <v>28000</v>
      </c>
      <c r="O273" s="5">
        <v>17590.759999999998</v>
      </c>
      <c r="P273" s="5">
        <v>10409.24</v>
      </c>
      <c r="Q273" s="5">
        <v>37.18</v>
      </c>
      <c r="R273" s="5" t="s">
        <v>166</v>
      </c>
      <c r="S273" s="5" t="s">
        <v>42</v>
      </c>
      <c r="T273" s="5" t="s">
        <v>43</v>
      </c>
      <c r="U273" s="5" t="s">
        <v>44</v>
      </c>
      <c r="V273" s="5">
        <v>2024</v>
      </c>
      <c r="W273" s="5" t="s">
        <v>109</v>
      </c>
      <c r="X273" s="5">
        <v>4</v>
      </c>
      <c r="Y273" s="1">
        <v>45447</v>
      </c>
      <c r="Z273" s="5" t="s">
        <v>110</v>
      </c>
      <c r="AA273" s="5" t="s">
        <v>48</v>
      </c>
      <c r="AB273" s="5" t="s">
        <v>78</v>
      </c>
      <c r="AC273" s="5" t="s">
        <v>50</v>
      </c>
      <c r="AD273" s="5">
        <v>1</v>
      </c>
    </row>
    <row r="274" spans="1:30">
      <c r="A274" s="5" t="s">
        <v>1033</v>
      </c>
      <c r="B274" s="1" t="s">
        <v>1034</v>
      </c>
      <c r="C274" s="5" t="s">
        <v>1025</v>
      </c>
      <c r="D274" s="5" t="s">
        <v>1035</v>
      </c>
      <c r="E274" s="5" t="s">
        <v>103</v>
      </c>
      <c r="F274" s="5" t="s">
        <v>156</v>
      </c>
      <c r="G274" s="5" t="s">
        <v>157</v>
      </c>
      <c r="H274" s="5" t="s">
        <v>38</v>
      </c>
      <c r="I274" s="5" t="s">
        <v>59</v>
      </c>
      <c r="J274" s="5" t="s">
        <v>133</v>
      </c>
      <c r="K274" s="5">
        <v>3</v>
      </c>
      <c r="L274" s="5">
        <v>800</v>
      </c>
      <c r="M274" s="5">
        <v>0.15</v>
      </c>
      <c r="N274" s="5">
        <v>2040</v>
      </c>
      <c r="O274" s="5">
        <v>1339.74</v>
      </c>
      <c r="P274" s="5">
        <v>700.26</v>
      </c>
      <c r="Q274" s="5">
        <v>34.33</v>
      </c>
      <c r="R274" s="5" t="s">
        <v>73</v>
      </c>
      <c r="S274" s="5" t="s">
        <v>74</v>
      </c>
      <c r="T274" s="5" t="s">
        <v>159</v>
      </c>
      <c r="U274" s="5" t="s">
        <v>151</v>
      </c>
      <c r="V274" s="5">
        <v>2025</v>
      </c>
      <c r="W274" s="5" t="s">
        <v>65</v>
      </c>
      <c r="X274" s="5">
        <v>4</v>
      </c>
      <c r="Y274" s="1" t="s">
        <v>771</v>
      </c>
      <c r="Z274" s="5" t="s">
        <v>110</v>
      </c>
      <c r="AA274" s="5" t="s">
        <v>67</v>
      </c>
      <c r="AB274" s="5" t="s">
        <v>78</v>
      </c>
      <c r="AC274" s="5" t="s">
        <v>121</v>
      </c>
      <c r="AD274" s="5">
        <v>1</v>
      </c>
    </row>
    <row r="275" spans="1:30">
      <c r="A275" s="5" t="s">
        <v>1036</v>
      </c>
      <c r="B275" s="1" t="s">
        <v>577</v>
      </c>
      <c r="C275" s="5" t="s">
        <v>1037</v>
      </c>
      <c r="D275" s="5" t="s">
        <v>1038</v>
      </c>
      <c r="E275" s="5" t="s">
        <v>55</v>
      </c>
      <c r="F275" s="5" t="s">
        <v>156</v>
      </c>
      <c r="G275" s="5" t="s">
        <v>157</v>
      </c>
      <c r="H275" s="5" t="s">
        <v>38</v>
      </c>
      <c r="I275" s="5" t="s">
        <v>71</v>
      </c>
      <c r="J275" s="5" t="s">
        <v>240</v>
      </c>
      <c r="K275" s="5">
        <v>6</v>
      </c>
      <c r="L275" s="5">
        <v>1200</v>
      </c>
      <c r="M275" s="5">
        <v>0.1</v>
      </c>
      <c r="N275" s="5">
        <v>6480</v>
      </c>
      <c r="O275" s="5">
        <v>4910.63</v>
      </c>
      <c r="P275" s="5">
        <v>1569.37</v>
      </c>
      <c r="Q275" s="5">
        <v>24.22</v>
      </c>
      <c r="R275" s="5" t="s">
        <v>166</v>
      </c>
      <c r="S275" s="5" t="s">
        <v>74</v>
      </c>
      <c r="T275" s="5" t="s">
        <v>86</v>
      </c>
      <c r="U275" s="5" t="s">
        <v>64</v>
      </c>
      <c r="V275" s="5">
        <v>2024</v>
      </c>
      <c r="W275" s="5" t="s">
        <v>134</v>
      </c>
      <c r="X275" s="5">
        <v>10</v>
      </c>
      <c r="Y275" s="1" t="s">
        <v>536</v>
      </c>
      <c r="Z275" s="5" t="s">
        <v>47</v>
      </c>
      <c r="AA275" s="5" t="s">
        <v>90</v>
      </c>
      <c r="AB275" s="5" t="s">
        <v>111</v>
      </c>
      <c r="AC275" s="5" t="s">
        <v>50</v>
      </c>
      <c r="AD275" s="5">
        <v>2</v>
      </c>
    </row>
    <row r="276" spans="1:30">
      <c r="A276" s="5" t="s">
        <v>1039</v>
      </c>
      <c r="B276" s="1" t="s">
        <v>314</v>
      </c>
      <c r="C276" s="5" t="s">
        <v>527</v>
      </c>
      <c r="D276" s="5" t="s">
        <v>499</v>
      </c>
      <c r="E276" s="5" t="s">
        <v>55</v>
      </c>
      <c r="F276" s="5" t="s">
        <v>36</v>
      </c>
      <c r="G276" s="5" t="s">
        <v>37</v>
      </c>
      <c r="H276" s="5" t="s">
        <v>58</v>
      </c>
      <c r="I276" s="5" t="s">
        <v>39</v>
      </c>
      <c r="J276" s="5" t="s">
        <v>356</v>
      </c>
      <c r="K276" s="5">
        <v>4</v>
      </c>
      <c r="L276" s="5">
        <v>35000</v>
      </c>
      <c r="M276" s="5">
        <v>0.05</v>
      </c>
      <c r="N276" s="5">
        <v>133000</v>
      </c>
      <c r="O276" s="5">
        <v>98064.19</v>
      </c>
      <c r="P276" s="5">
        <v>34935.81</v>
      </c>
      <c r="Q276" s="5">
        <v>26.27</v>
      </c>
      <c r="R276" s="5" t="s">
        <v>61</v>
      </c>
      <c r="S276" s="5" t="s">
        <v>74</v>
      </c>
      <c r="T276" s="5" t="s">
        <v>107</v>
      </c>
      <c r="U276" s="5" t="s">
        <v>87</v>
      </c>
      <c r="V276" s="5">
        <v>2024</v>
      </c>
      <c r="W276" s="5" t="s">
        <v>126</v>
      </c>
      <c r="X276" s="5">
        <v>1</v>
      </c>
      <c r="Y276" s="1" t="s">
        <v>1040</v>
      </c>
      <c r="Z276" s="5" t="s">
        <v>47</v>
      </c>
      <c r="AA276" s="5" t="s">
        <v>90</v>
      </c>
      <c r="AB276" s="5" t="s">
        <v>49</v>
      </c>
      <c r="AC276" s="5" t="s">
        <v>50</v>
      </c>
      <c r="AD276" s="5">
        <v>5</v>
      </c>
    </row>
    <row r="277" spans="1:30">
      <c r="A277" s="5" t="s">
        <v>1041</v>
      </c>
      <c r="B277" s="1">
        <v>45941</v>
      </c>
      <c r="C277" s="5" t="s">
        <v>716</v>
      </c>
      <c r="D277" s="5" t="s">
        <v>859</v>
      </c>
      <c r="E277" s="5" t="s">
        <v>103</v>
      </c>
      <c r="F277" s="5" t="s">
        <v>56</v>
      </c>
      <c r="G277" s="5" t="s">
        <v>57</v>
      </c>
      <c r="H277" s="5" t="s">
        <v>171</v>
      </c>
      <c r="I277" s="5" t="s">
        <v>59</v>
      </c>
      <c r="J277" s="5" t="s">
        <v>206</v>
      </c>
      <c r="K277" s="5">
        <v>1</v>
      </c>
      <c r="L277" s="5">
        <v>2000</v>
      </c>
      <c r="M277" s="5">
        <v>0.2</v>
      </c>
      <c r="N277" s="5">
        <v>1600</v>
      </c>
      <c r="O277" s="5">
        <v>990.36</v>
      </c>
      <c r="P277" s="5">
        <v>609.64</v>
      </c>
      <c r="Q277" s="5">
        <v>38.1</v>
      </c>
      <c r="R277" s="5" t="s">
        <v>106</v>
      </c>
      <c r="S277" s="5" t="s">
        <v>62</v>
      </c>
      <c r="T277" s="5" t="s">
        <v>43</v>
      </c>
      <c r="U277" s="5" t="s">
        <v>198</v>
      </c>
      <c r="V277" s="5">
        <v>2025</v>
      </c>
      <c r="W277" s="5" t="s">
        <v>126</v>
      </c>
      <c r="X277" s="5">
        <v>9</v>
      </c>
      <c r="Y277" s="1" t="s">
        <v>399</v>
      </c>
      <c r="Z277" s="5" t="s">
        <v>47</v>
      </c>
      <c r="AA277" s="5" t="s">
        <v>90</v>
      </c>
      <c r="AB277" s="5" t="s">
        <v>78</v>
      </c>
      <c r="AC277" s="5" t="s">
        <v>50</v>
      </c>
      <c r="AD277" s="5">
        <v>3</v>
      </c>
    </row>
    <row r="278" spans="1:30">
      <c r="A278" s="5" t="s">
        <v>1042</v>
      </c>
      <c r="B278" s="1">
        <v>45753</v>
      </c>
      <c r="C278" s="5" t="s">
        <v>665</v>
      </c>
      <c r="D278" s="5" t="s">
        <v>1043</v>
      </c>
      <c r="E278" s="5" t="s">
        <v>35</v>
      </c>
      <c r="F278" s="5" t="s">
        <v>36</v>
      </c>
      <c r="G278" s="5" t="s">
        <v>37</v>
      </c>
      <c r="H278" s="5" t="s">
        <v>38</v>
      </c>
      <c r="I278" s="5" t="s">
        <v>39</v>
      </c>
      <c r="J278" s="5" t="s">
        <v>40</v>
      </c>
      <c r="K278" s="5">
        <v>7</v>
      </c>
      <c r="L278" s="5">
        <v>12000</v>
      </c>
      <c r="M278" s="5">
        <v>0.15</v>
      </c>
      <c r="N278" s="5">
        <v>71400</v>
      </c>
      <c r="O278" s="5">
        <v>48613.32</v>
      </c>
      <c r="P278" s="5">
        <v>22786.68</v>
      </c>
      <c r="Q278" s="5">
        <v>31.91</v>
      </c>
      <c r="R278" s="5" t="s">
        <v>41</v>
      </c>
      <c r="S278" s="5" t="s">
        <v>62</v>
      </c>
      <c r="T278" s="5" t="s">
        <v>107</v>
      </c>
      <c r="U278" s="5" t="s">
        <v>160</v>
      </c>
      <c r="V278" s="5">
        <v>2025</v>
      </c>
      <c r="W278" s="5" t="s">
        <v>134</v>
      </c>
      <c r="X278" s="5">
        <v>2</v>
      </c>
      <c r="Y278" s="1">
        <v>45814</v>
      </c>
      <c r="Z278" s="5" t="s">
        <v>47</v>
      </c>
      <c r="AA278" s="5" t="s">
        <v>48</v>
      </c>
      <c r="AB278" s="5" t="s">
        <v>49</v>
      </c>
      <c r="AC278" s="5" t="s">
        <v>121</v>
      </c>
      <c r="AD278" s="5">
        <v>2</v>
      </c>
    </row>
    <row r="279" spans="1:30">
      <c r="A279" s="5" t="s">
        <v>1044</v>
      </c>
      <c r="B279" s="1" t="s">
        <v>1045</v>
      </c>
      <c r="C279" s="5" t="s">
        <v>868</v>
      </c>
      <c r="D279" s="5" t="s">
        <v>439</v>
      </c>
      <c r="E279" s="5" t="s">
        <v>55</v>
      </c>
      <c r="F279" s="5" t="s">
        <v>131</v>
      </c>
      <c r="G279" s="5" t="s">
        <v>132</v>
      </c>
      <c r="H279" s="5" t="s">
        <v>58</v>
      </c>
      <c r="I279" s="5" t="s">
        <v>84</v>
      </c>
      <c r="J279" s="5" t="s">
        <v>229</v>
      </c>
      <c r="K279" s="5">
        <v>8</v>
      </c>
      <c r="L279" s="5">
        <v>500</v>
      </c>
      <c r="M279" s="5">
        <v>0.05</v>
      </c>
      <c r="N279" s="5">
        <v>3800</v>
      </c>
      <c r="O279" s="5">
        <v>2454.62</v>
      </c>
      <c r="P279" s="5">
        <v>1345.38</v>
      </c>
      <c r="Q279" s="5">
        <v>35.4</v>
      </c>
      <c r="R279" s="5" t="s">
        <v>61</v>
      </c>
      <c r="S279" s="5" t="s">
        <v>62</v>
      </c>
      <c r="T279" s="5" t="s">
        <v>43</v>
      </c>
      <c r="U279" s="5" t="s">
        <v>76</v>
      </c>
      <c r="V279" s="5">
        <v>2024</v>
      </c>
      <c r="W279" s="5" t="s">
        <v>194</v>
      </c>
      <c r="X279" s="5">
        <v>6</v>
      </c>
      <c r="Y279" s="1" t="s">
        <v>1046</v>
      </c>
      <c r="Z279" s="5" t="s">
        <v>47</v>
      </c>
      <c r="AA279" s="5" t="s">
        <v>48</v>
      </c>
      <c r="AB279" s="5" t="s">
        <v>78</v>
      </c>
      <c r="AC279" s="5" t="s">
        <v>121</v>
      </c>
      <c r="AD279" s="5">
        <v>2</v>
      </c>
    </row>
    <row r="280" spans="1:30">
      <c r="A280" s="5" t="s">
        <v>1047</v>
      </c>
      <c r="B280" s="1" t="s">
        <v>476</v>
      </c>
      <c r="C280" s="5" t="s">
        <v>1048</v>
      </c>
      <c r="D280" s="5" t="s">
        <v>1049</v>
      </c>
      <c r="E280" s="5" t="s">
        <v>55</v>
      </c>
      <c r="F280" s="5" t="s">
        <v>82</v>
      </c>
      <c r="G280" s="5" t="s">
        <v>83</v>
      </c>
      <c r="H280" s="5" t="s">
        <v>171</v>
      </c>
      <c r="I280" s="5" t="s">
        <v>71</v>
      </c>
      <c r="J280" s="5" t="s">
        <v>117</v>
      </c>
      <c r="K280" s="5">
        <v>2</v>
      </c>
      <c r="L280" s="5">
        <v>2500</v>
      </c>
      <c r="M280" s="5">
        <v>0.2</v>
      </c>
      <c r="N280" s="5">
        <v>4000</v>
      </c>
      <c r="O280" s="5">
        <v>2650.72</v>
      </c>
      <c r="P280" s="5">
        <v>1349.28</v>
      </c>
      <c r="Q280" s="5">
        <v>33.729999999999997</v>
      </c>
      <c r="R280" s="5" t="s">
        <v>166</v>
      </c>
      <c r="S280" s="5" t="s">
        <v>42</v>
      </c>
      <c r="T280" s="5" t="s">
        <v>118</v>
      </c>
      <c r="U280" s="5" t="s">
        <v>198</v>
      </c>
      <c r="V280" s="5">
        <v>2025</v>
      </c>
      <c r="W280" s="5" t="s">
        <v>109</v>
      </c>
      <c r="X280" s="5">
        <v>10</v>
      </c>
      <c r="Y280" s="1">
        <v>45789</v>
      </c>
      <c r="Z280" s="5" t="s">
        <v>47</v>
      </c>
      <c r="AA280" s="5" t="s">
        <v>90</v>
      </c>
      <c r="AB280" s="5" t="s">
        <v>111</v>
      </c>
      <c r="AC280" s="5" t="s">
        <v>121</v>
      </c>
      <c r="AD280" s="5">
        <v>5</v>
      </c>
    </row>
    <row r="281" spans="1:30">
      <c r="A281" s="5" t="s">
        <v>1050</v>
      </c>
      <c r="B281" s="1" t="s">
        <v>979</v>
      </c>
      <c r="C281" s="5" t="s">
        <v>1051</v>
      </c>
      <c r="D281" s="5" t="s">
        <v>422</v>
      </c>
      <c r="E281" s="5" t="s">
        <v>103</v>
      </c>
      <c r="F281" s="5" t="s">
        <v>131</v>
      </c>
      <c r="G281" s="5" t="s">
        <v>132</v>
      </c>
      <c r="H281" s="5" t="s">
        <v>58</v>
      </c>
      <c r="I281" s="5" t="s">
        <v>95</v>
      </c>
      <c r="J281" s="5" t="s">
        <v>319</v>
      </c>
      <c r="K281" s="5">
        <v>5</v>
      </c>
      <c r="L281" s="5">
        <v>15000</v>
      </c>
      <c r="M281" s="5">
        <v>0.05</v>
      </c>
      <c r="N281" s="5">
        <v>71250</v>
      </c>
      <c r="O281" s="5">
        <v>56830.44</v>
      </c>
      <c r="P281" s="5">
        <v>14419.56</v>
      </c>
      <c r="Q281" s="5">
        <v>20.239999999999998</v>
      </c>
      <c r="R281" s="5" t="s">
        <v>73</v>
      </c>
      <c r="S281" s="5" t="s">
        <v>62</v>
      </c>
      <c r="T281" s="5" t="s">
        <v>118</v>
      </c>
      <c r="U281" s="5" t="s">
        <v>178</v>
      </c>
      <c r="V281" s="5">
        <v>2025</v>
      </c>
      <c r="W281" s="5" t="s">
        <v>45</v>
      </c>
      <c r="X281" s="5">
        <v>3</v>
      </c>
      <c r="Y281" s="1" t="s">
        <v>1052</v>
      </c>
      <c r="Z281" s="5" t="s">
        <v>89</v>
      </c>
      <c r="AA281" s="5" t="s">
        <v>48</v>
      </c>
      <c r="AB281" s="5" t="s">
        <v>49</v>
      </c>
      <c r="AC281" s="5" t="s">
        <v>50</v>
      </c>
      <c r="AD281" s="5">
        <v>4</v>
      </c>
    </row>
    <row r="282" spans="1:30">
      <c r="A282" s="5" t="s">
        <v>1053</v>
      </c>
      <c r="B282" s="1" t="s">
        <v>1054</v>
      </c>
      <c r="C282" s="5" t="s">
        <v>830</v>
      </c>
      <c r="D282" s="5" t="s">
        <v>1055</v>
      </c>
      <c r="E282" s="5" t="s">
        <v>103</v>
      </c>
      <c r="F282" s="5" t="s">
        <v>156</v>
      </c>
      <c r="G282" s="5" t="s">
        <v>157</v>
      </c>
      <c r="H282" s="5" t="s">
        <v>38</v>
      </c>
      <c r="I282" s="5" t="s">
        <v>84</v>
      </c>
      <c r="J282" s="5" t="s">
        <v>290</v>
      </c>
      <c r="K282" s="5">
        <v>5</v>
      </c>
      <c r="L282" s="5">
        <v>200</v>
      </c>
      <c r="M282" s="5">
        <v>0.05</v>
      </c>
      <c r="N282" s="5">
        <v>950</v>
      </c>
      <c r="O282" s="5">
        <v>529.22</v>
      </c>
      <c r="P282" s="5">
        <v>420.78</v>
      </c>
      <c r="Q282" s="5">
        <v>44.29</v>
      </c>
      <c r="R282" s="5" t="s">
        <v>41</v>
      </c>
      <c r="S282" s="5" t="s">
        <v>74</v>
      </c>
      <c r="T282" s="5" t="s">
        <v>86</v>
      </c>
      <c r="U282" s="5" t="s">
        <v>44</v>
      </c>
      <c r="V282" s="5">
        <v>2024</v>
      </c>
      <c r="W282" s="5" t="s">
        <v>194</v>
      </c>
      <c r="X282" s="5">
        <v>3</v>
      </c>
      <c r="Y282" s="1" t="s">
        <v>839</v>
      </c>
      <c r="Z282" s="5" t="s">
        <v>47</v>
      </c>
      <c r="AA282" s="5" t="s">
        <v>48</v>
      </c>
      <c r="AB282" s="5" t="s">
        <v>49</v>
      </c>
      <c r="AC282" s="5" t="s">
        <v>50</v>
      </c>
      <c r="AD282" s="5">
        <v>1</v>
      </c>
    </row>
    <row r="283" spans="1:30">
      <c r="A283" s="5" t="s">
        <v>1056</v>
      </c>
      <c r="B283" s="1">
        <v>45480</v>
      </c>
      <c r="C283" s="5" t="s">
        <v>80</v>
      </c>
      <c r="D283" s="5" t="s">
        <v>1057</v>
      </c>
      <c r="E283" s="5" t="s">
        <v>35</v>
      </c>
      <c r="F283" s="5" t="s">
        <v>56</v>
      </c>
      <c r="G283" s="5" t="s">
        <v>57</v>
      </c>
      <c r="H283" s="5" t="s">
        <v>94</v>
      </c>
      <c r="I283" s="5" t="s">
        <v>95</v>
      </c>
      <c r="J283" s="5" t="s">
        <v>96</v>
      </c>
      <c r="K283" s="5">
        <v>10</v>
      </c>
      <c r="L283" s="5">
        <v>9000</v>
      </c>
      <c r="M283" s="5">
        <v>0.1</v>
      </c>
      <c r="N283" s="5">
        <v>81000</v>
      </c>
      <c r="O283" s="5">
        <v>54913.03</v>
      </c>
      <c r="P283" s="5">
        <v>26086.97</v>
      </c>
      <c r="Q283" s="5">
        <v>32.21</v>
      </c>
      <c r="R283" s="5" t="s">
        <v>106</v>
      </c>
      <c r="S283" s="5" t="s">
        <v>62</v>
      </c>
      <c r="T283" s="5" t="s">
        <v>75</v>
      </c>
      <c r="U283" s="5" t="s">
        <v>151</v>
      </c>
      <c r="V283" s="5">
        <v>2024</v>
      </c>
      <c r="W283" s="5" t="s">
        <v>45</v>
      </c>
      <c r="X283" s="5">
        <v>7</v>
      </c>
      <c r="Y283" s="1" t="s">
        <v>832</v>
      </c>
      <c r="Z283" s="5" t="s">
        <v>110</v>
      </c>
      <c r="AA283" s="5" t="s">
        <v>90</v>
      </c>
      <c r="AB283" s="5" t="s">
        <v>111</v>
      </c>
      <c r="AC283" s="5" t="s">
        <v>121</v>
      </c>
      <c r="AD283" s="5">
        <v>2</v>
      </c>
    </row>
    <row r="284" spans="1:30">
      <c r="A284" s="5" t="s">
        <v>1058</v>
      </c>
      <c r="B284" s="1" t="s">
        <v>1059</v>
      </c>
      <c r="C284" s="5" t="s">
        <v>1060</v>
      </c>
      <c r="D284" s="5" t="s">
        <v>339</v>
      </c>
      <c r="E284" s="5" t="s">
        <v>55</v>
      </c>
      <c r="F284" s="5" t="s">
        <v>36</v>
      </c>
      <c r="G284" s="5" t="s">
        <v>37</v>
      </c>
      <c r="H284" s="5" t="s">
        <v>171</v>
      </c>
      <c r="I284" s="5" t="s">
        <v>95</v>
      </c>
      <c r="J284" s="5" t="s">
        <v>440</v>
      </c>
      <c r="K284" s="5">
        <v>10</v>
      </c>
      <c r="L284" s="5">
        <v>9000</v>
      </c>
      <c r="M284" s="5">
        <v>0.1</v>
      </c>
      <c r="N284" s="5">
        <v>81000</v>
      </c>
      <c r="O284" s="5">
        <v>53404.44</v>
      </c>
      <c r="P284" s="5">
        <v>27595.56</v>
      </c>
      <c r="Q284" s="5">
        <v>34.07</v>
      </c>
      <c r="R284" s="5" t="s">
        <v>166</v>
      </c>
      <c r="S284" s="5" t="s">
        <v>42</v>
      </c>
      <c r="T284" s="5" t="s">
        <v>63</v>
      </c>
      <c r="U284" s="5" t="s">
        <v>44</v>
      </c>
      <c r="V284" s="5">
        <v>2025</v>
      </c>
      <c r="W284" s="5" t="s">
        <v>45</v>
      </c>
      <c r="X284" s="5">
        <v>4</v>
      </c>
      <c r="Y284" s="1" t="s">
        <v>416</v>
      </c>
      <c r="Z284" s="5" t="s">
        <v>110</v>
      </c>
      <c r="AA284" s="5" t="s">
        <v>48</v>
      </c>
      <c r="AB284" s="5" t="s">
        <v>111</v>
      </c>
      <c r="AC284" s="5" t="s">
        <v>121</v>
      </c>
      <c r="AD284" s="5">
        <v>5</v>
      </c>
    </row>
    <row r="285" spans="1:30">
      <c r="A285" s="5" t="s">
        <v>1061</v>
      </c>
      <c r="B285" s="1">
        <v>45754</v>
      </c>
      <c r="C285" s="5" t="s">
        <v>1062</v>
      </c>
      <c r="D285" s="5" t="s">
        <v>1063</v>
      </c>
      <c r="E285" s="5" t="s">
        <v>55</v>
      </c>
      <c r="F285" s="5" t="s">
        <v>36</v>
      </c>
      <c r="G285" s="5" t="s">
        <v>37</v>
      </c>
      <c r="H285" s="5" t="s">
        <v>94</v>
      </c>
      <c r="I285" s="5" t="s">
        <v>71</v>
      </c>
      <c r="J285" s="5" t="s">
        <v>158</v>
      </c>
      <c r="K285" s="5">
        <v>1</v>
      </c>
      <c r="L285" s="5">
        <v>1200</v>
      </c>
      <c r="M285" s="5">
        <v>0.2</v>
      </c>
      <c r="N285" s="5">
        <v>960</v>
      </c>
      <c r="O285" s="5">
        <v>672.56</v>
      </c>
      <c r="P285" s="5">
        <v>287.44</v>
      </c>
      <c r="Q285" s="5">
        <v>29.94</v>
      </c>
      <c r="R285" s="5" t="s">
        <v>166</v>
      </c>
      <c r="S285" s="5" t="s">
        <v>62</v>
      </c>
      <c r="T285" s="5" t="s">
        <v>159</v>
      </c>
      <c r="U285" s="5" t="s">
        <v>151</v>
      </c>
      <c r="V285" s="5">
        <v>2025</v>
      </c>
      <c r="W285" s="5" t="s">
        <v>194</v>
      </c>
      <c r="X285" s="5">
        <v>7</v>
      </c>
      <c r="Y285" s="1">
        <v>45968</v>
      </c>
      <c r="Z285" s="5" t="s">
        <v>47</v>
      </c>
      <c r="AA285" s="5" t="s">
        <v>67</v>
      </c>
      <c r="AB285" s="5" t="s">
        <v>49</v>
      </c>
      <c r="AC285" s="5" t="s">
        <v>50</v>
      </c>
      <c r="AD285" s="5">
        <v>3</v>
      </c>
    </row>
    <row r="286" spans="1:30">
      <c r="A286" s="5" t="s">
        <v>1064</v>
      </c>
      <c r="B286" s="1">
        <v>45326</v>
      </c>
      <c r="C286" s="5" t="s">
        <v>375</v>
      </c>
      <c r="D286" s="5" t="s">
        <v>666</v>
      </c>
      <c r="E286" s="5" t="s">
        <v>55</v>
      </c>
      <c r="F286" s="5" t="s">
        <v>144</v>
      </c>
      <c r="G286" s="5" t="s">
        <v>145</v>
      </c>
      <c r="H286" s="5" t="s">
        <v>94</v>
      </c>
      <c r="I286" s="5" t="s">
        <v>39</v>
      </c>
      <c r="J286" s="5" t="s">
        <v>165</v>
      </c>
      <c r="K286" s="5">
        <v>3</v>
      </c>
      <c r="L286" s="5">
        <v>22000</v>
      </c>
      <c r="M286" s="5">
        <v>0.15</v>
      </c>
      <c r="N286" s="5">
        <v>56100</v>
      </c>
      <c r="O286" s="5">
        <v>33578</v>
      </c>
      <c r="P286" s="5">
        <v>22522</v>
      </c>
      <c r="Q286" s="5">
        <v>40.15</v>
      </c>
      <c r="R286" s="5" t="s">
        <v>61</v>
      </c>
      <c r="S286" s="5" t="s">
        <v>62</v>
      </c>
      <c r="T286" s="5" t="s">
        <v>43</v>
      </c>
      <c r="U286" s="5" t="s">
        <v>44</v>
      </c>
      <c r="V286" s="5">
        <v>2024</v>
      </c>
      <c r="W286" s="5" t="s">
        <v>109</v>
      </c>
      <c r="X286" s="5">
        <v>9</v>
      </c>
      <c r="Y286" s="1">
        <v>45600</v>
      </c>
      <c r="Z286" s="5" t="s">
        <v>47</v>
      </c>
      <c r="AA286" s="5" t="s">
        <v>90</v>
      </c>
      <c r="AB286" s="5" t="s">
        <v>78</v>
      </c>
      <c r="AC286" s="5" t="s">
        <v>121</v>
      </c>
      <c r="AD286" s="5">
        <v>4</v>
      </c>
    </row>
    <row r="287" spans="1:30">
      <c r="A287" s="5" t="s">
        <v>1065</v>
      </c>
      <c r="B287" s="1" t="s">
        <v>1066</v>
      </c>
      <c r="C287" s="5" t="s">
        <v>1067</v>
      </c>
      <c r="D287" s="5" t="s">
        <v>1068</v>
      </c>
      <c r="E287" s="5" t="s">
        <v>35</v>
      </c>
      <c r="F287" s="5" t="s">
        <v>36</v>
      </c>
      <c r="G287" s="5" t="s">
        <v>37</v>
      </c>
      <c r="H287" s="5" t="s">
        <v>94</v>
      </c>
      <c r="I287" s="5" t="s">
        <v>84</v>
      </c>
      <c r="J287" s="5" t="s">
        <v>229</v>
      </c>
      <c r="K287" s="5">
        <v>3</v>
      </c>
      <c r="L287" s="5">
        <v>100</v>
      </c>
      <c r="M287" s="5">
        <v>0</v>
      </c>
      <c r="N287" s="5">
        <v>300</v>
      </c>
      <c r="O287" s="5">
        <v>171.91</v>
      </c>
      <c r="P287" s="5">
        <v>128.09</v>
      </c>
      <c r="Q287" s="5">
        <v>42.7</v>
      </c>
      <c r="R287" s="5" t="s">
        <v>41</v>
      </c>
      <c r="S287" s="5" t="s">
        <v>62</v>
      </c>
      <c r="T287" s="5" t="s">
        <v>43</v>
      </c>
      <c r="U287" s="5" t="s">
        <v>44</v>
      </c>
      <c r="V287" s="5">
        <v>2024</v>
      </c>
      <c r="W287" s="5" t="s">
        <v>194</v>
      </c>
      <c r="X287" s="5">
        <v>8</v>
      </c>
      <c r="Y287" s="1">
        <v>45387</v>
      </c>
      <c r="Z287" s="5" t="s">
        <v>47</v>
      </c>
      <c r="AA287" s="5" t="s">
        <v>90</v>
      </c>
      <c r="AB287" s="5" t="s">
        <v>78</v>
      </c>
      <c r="AC287" s="5" t="s">
        <v>121</v>
      </c>
      <c r="AD287" s="5">
        <v>2</v>
      </c>
    </row>
    <row r="288" spans="1:30">
      <c r="A288" s="5" t="s">
        <v>1069</v>
      </c>
      <c r="B288" s="1">
        <v>45661</v>
      </c>
      <c r="C288" s="5" t="s">
        <v>912</v>
      </c>
      <c r="D288" s="5" t="s">
        <v>528</v>
      </c>
      <c r="E288" s="5" t="s">
        <v>103</v>
      </c>
      <c r="F288" s="5" t="s">
        <v>245</v>
      </c>
      <c r="G288" s="5" t="s">
        <v>246</v>
      </c>
      <c r="H288" s="5" t="s">
        <v>171</v>
      </c>
      <c r="I288" s="5" t="s">
        <v>95</v>
      </c>
      <c r="J288" s="5" t="s">
        <v>344</v>
      </c>
      <c r="K288" s="5">
        <v>7</v>
      </c>
      <c r="L288" s="5">
        <v>6000</v>
      </c>
      <c r="M288" s="5">
        <v>0.1</v>
      </c>
      <c r="N288" s="5">
        <v>37800</v>
      </c>
      <c r="O288" s="5">
        <v>21989.759999999998</v>
      </c>
      <c r="P288" s="5">
        <v>15810.24</v>
      </c>
      <c r="Q288" s="5">
        <v>41.83</v>
      </c>
      <c r="R288" s="5" t="s">
        <v>106</v>
      </c>
      <c r="S288" s="5" t="s">
        <v>62</v>
      </c>
      <c r="T288" s="5" t="s">
        <v>138</v>
      </c>
      <c r="U288" s="5" t="s">
        <v>44</v>
      </c>
      <c r="V288" s="5">
        <v>2025</v>
      </c>
      <c r="W288" s="5" t="s">
        <v>109</v>
      </c>
      <c r="X288" s="5">
        <v>5</v>
      </c>
      <c r="Y288" s="1">
        <v>45812</v>
      </c>
      <c r="Z288" s="5" t="s">
        <v>47</v>
      </c>
      <c r="AA288" s="5" t="s">
        <v>67</v>
      </c>
      <c r="AB288" s="5" t="s">
        <v>111</v>
      </c>
      <c r="AC288" s="5" t="s">
        <v>121</v>
      </c>
      <c r="AD288" s="5">
        <v>5</v>
      </c>
    </row>
    <row r="289" spans="1:30">
      <c r="A289" s="5" t="s">
        <v>1070</v>
      </c>
      <c r="B289" s="1" t="s">
        <v>322</v>
      </c>
      <c r="C289" s="5" t="s">
        <v>980</v>
      </c>
      <c r="D289" s="5" t="s">
        <v>1071</v>
      </c>
      <c r="E289" s="5" t="s">
        <v>103</v>
      </c>
      <c r="F289" s="5" t="s">
        <v>56</v>
      </c>
      <c r="G289" s="5" t="s">
        <v>57</v>
      </c>
      <c r="H289" s="5" t="s">
        <v>171</v>
      </c>
      <c r="I289" s="5" t="s">
        <v>95</v>
      </c>
      <c r="J289" s="5" t="s">
        <v>319</v>
      </c>
      <c r="K289" s="5">
        <v>10</v>
      </c>
      <c r="L289" s="5">
        <v>9000</v>
      </c>
      <c r="M289" s="5">
        <v>0.15</v>
      </c>
      <c r="N289" s="5">
        <v>76500</v>
      </c>
      <c r="O289" s="5">
        <v>54493.13</v>
      </c>
      <c r="P289" s="5">
        <v>22006.87</v>
      </c>
      <c r="Q289" s="5">
        <v>28.77</v>
      </c>
      <c r="R289" s="5" t="s">
        <v>41</v>
      </c>
      <c r="S289" s="5" t="s">
        <v>42</v>
      </c>
      <c r="T289" s="5" t="s">
        <v>107</v>
      </c>
      <c r="U289" s="5" t="s">
        <v>98</v>
      </c>
      <c r="V289" s="5">
        <v>2025</v>
      </c>
      <c r="W289" s="5" t="s">
        <v>45</v>
      </c>
      <c r="X289" s="5">
        <v>8</v>
      </c>
      <c r="Y289" s="1">
        <v>45719</v>
      </c>
      <c r="Z289" s="5" t="s">
        <v>47</v>
      </c>
      <c r="AA289" s="5" t="s">
        <v>90</v>
      </c>
      <c r="AB289" s="5" t="s">
        <v>49</v>
      </c>
      <c r="AC289" s="5" t="s">
        <v>121</v>
      </c>
      <c r="AD289" s="5">
        <v>2</v>
      </c>
    </row>
    <row r="290" spans="1:30">
      <c r="A290" s="5" t="s">
        <v>1072</v>
      </c>
      <c r="B290" s="1">
        <v>45909</v>
      </c>
      <c r="C290" s="5" t="s">
        <v>338</v>
      </c>
      <c r="D290" s="5" t="s">
        <v>834</v>
      </c>
      <c r="E290" s="5" t="s">
        <v>35</v>
      </c>
      <c r="F290" s="5" t="s">
        <v>104</v>
      </c>
      <c r="G290" s="5" t="s">
        <v>104</v>
      </c>
      <c r="H290" s="5" t="s">
        <v>38</v>
      </c>
      <c r="I290" s="5" t="s">
        <v>84</v>
      </c>
      <c r="J290" s="5" t="s">
        <v>390</v>
      </c>
      <c r="K290" s="5">
        <v>3</v>
      </c>
      <c r="L290" s="5">
        <v>100</v>
      </c>
      <c r="M290" s="5">
        <v>0.2</v>
      </c>
      <c r="N290" s="5">
        <v>240</v>
      </c>
      <c r="O290" s="5">
        <v>191.64</v>
      </c>
      <c r="P290" s="5">
        <v>48.36</v>
      </c>
      <c r="Q290" s="5">
        <v>20.149999999999999</v>
      </c>
      <c r="R290" s="5" t="s">
        <v>61</v>
      </c>
      <c r="S290" s="5" t="s">
        <v>42</v>
      </c>
      <c r="T290" s="5" t="s">
        <v>63</v>
      </c>
      <c r="U290" s="5" t="s">
        <v>108</v>
      </c>
      <c r="V290" s="5">
        <v>2025</v>
      </c>
      <c r="W290" s="5" t="s">
        <v>109</v>
      </c>
      <c r="X290" s="5">
        <v>5</v>
      </c>
      <c r="Y290" s="1" t="s">
        <v>1073</v>
      </c>
      <c r="Z290" s="5" t="s">
        <v>47</v>
      </c>
      <c r="AA290" s="5" t="s">
        <v>48</v>
      </c>
      <c r="AB290" s="5" t="s">
        <v>111</v>
      </c>
      <c r="AC290" s="5" t="s">
        <v>121</v>
      </c>
      <c r="AD290" s="5">
        <v>4</v>
      </c>
    </row>
    <row r="291" spans="1:30">
      <c r="A291" s="5" t="s">
        <v>1074</v>
      </c>
      <c r="B291" s="1">
        <v>45992</v>
      </c>
      <c r="C291" s="5" t="s">
        <v>553</v>
      </c>
      <c r="D291" s="5" t="s">
        <v>695</v>
      </c>
      <c r="E291" s="5" t="s">
        <v>55</v>
      </c>
      <c r="F291" s="5" t="s">
        <v>144</v>
      </c>
      <c r="G291" s="5" t="s">
        <v>145</v>
      </c>
      <c r="H291" s="5" t="s">
        <v>38</v>
      </c>
      <c r="I291" s="5" t="s">
        <v>84</v>
      </c>
      <c r="J291" s="5" t="s">
        <v>390</v>
      </c>
      <c r="K291" s="5">
        <v>2</v>
      </c>
      <c r="L291" s="5">
        <v>350</v>
      </c>
      <c r="M291" s="5">
        <v>0.1</v>
      </c>
      <c r="N291" s="5">
        <v>630</v>
      </c>
      <c r="O291" s="5">
        <v>475.51</v>
      </c>
      <c r="P291" s="5">
        <v>154.49</v>
      </c>
      <c r="Q291" s="5">
        <v>24.52</v>
      </c>
      <c r="R291" s="5" t="s">
        <v>106</v>
      </c>
      <c r="S291" s="5" t="s">
        <v>42</v>
      </c>
      <c r="T291" s="5" t="s">
        <v>159</v>
      </c>
      <c r="U291" s="5" t="s">
        <v>76</v>
      </c>
      <c r="V291" s="5">
        <v>2025</v>
      </c>
      <c r="W291" s="5" t="s">
        <v>45</v>
      </c>
      <c r="X291" s="5">
        <v>7</v>
      </c>
      <c r="Y291" s="1" t="s">
        <v>1075</v>
      </c>
      <c r="Z291" s="5" t="s">
        <v>47</v>
      </c>
      <c r="AA291" s="5" t="s">
        <v>67</v>
      </c>
      <c r="AB291" s="5" t="s">
        <v>111</v>
      </c>
      <c r="AC291" s="5" t="s">
        <v>50</v>
      </c>
      <c r="AD291" s="5">
        <v>5</v>
      </c>
    </row>
    <row r="292" spans="1:30">
      <c r="A292" s="5" t="s">
        <v>1076</v>
      </c>
      <c r="B292" s="1">
        <v>45818</v>
      </c>
      <c r="C292" s="5" t="s">
        <v>495</v>
      </c>
      <c r="D292" s="5" t="s">
        <v>1077</v>
      </c>
      <c r="E292" s="5" t="s">
        <v>103</v>
      </c>
      <c r="F292" s="5" t="s">
        <v>149</v>
      </c>
      <c r="G292" s="5" t="s">
        <v>150</v>
      </c>
      <c r="H292" s="5" t="s">
        <v>171</v>
      </c>
      <c r="I292" s="5" t="s">
        <v>95</v>
      </c>
      <c r="J292" s="5" t="s">
        <v>96</v>
      </c>
      <c r="K292" s="5">
        <v>1</v>
      </c>
      <c r="L292" s="5">
        <v>2500</v>
      </c>
      <c r="M292" s="5">
        <v>0.2</v>
      </c>
      <c r="N292" s="5">
        <v>2000</v>
      </c>
      <c r="O292" s="5">
        <v>1361.18</v>
      </c>
      <c r="P292" s="5">
        <v>638.82000000000005</v>
      </c>
      <c r="Q292" s="5">
        <v>31.94</v>
      </c>
      <c r="R292" s="5" t="s">
        <v>61</v>
      </c>
      <c r="S292" s="5" t="s">
        <v>42</v>
      </c>
      <c r="T292" s="5" t="s">
        <v>63</v>
      </c>
      <c r="U292" s="5" t="s">
        <v>87</v>
      </c>
      <c r="V292" s="5">
        <v>2025</v>
      </c>
      <c r="W292" s="5" t="s">
        <v>126</v>
      </c>
      <c r="X292" s="5">
        <v>9</v>
      </c>
      <c r="Y292" s="1" t="s">
        <v>88</v>
      </c>
      <c r="Z292" s="5" t="s">
        <v>47</v>
      </c>
      <c r="AA292" s="5" t="s">
        <v>48</v>
      </c>
      <c r="AB292" s="5" t="s">
        <v>78</v>
      </c>
      <c r="AC292" s="5" t="s">
        <v>121</v>
      </c>
      <c r="AD292" s="5">
        <v>5</v>
      </c>
    </row>
    <row r="293" spans="1:30">
      <c r="A293" s="5" t="s">
        <v>1078</v>
      </c>
      <c r="B293" s="1" t="s">
        <v>474</v>
      </c>
      <c r="C293" s="5" t="s">
        <v>938</v>
      </c>
      <c r="D293" s="5" t="s">
        <v>913</v>
      </c>
      <c r="E293" s="5" t="s">
        <v>55</v>
      </c>
      <c r="F293" s="5" t="s">
        <v>144</v>
      </c>
      <c r="G293" s="5" t="s">
        <v>145</v>
      </c>
      <c r="H293" s="5" t="s">
        <v>58</v>
      </c>
      <c r="I293" s="5" t="s">
        <v>71</v>
      </c>
      <c r="J293" s="5" t="s">
        <v>172</v>
      </c>
      <c r="K293" s="5">
        <v>8</v>
      </c>
      <c r="L293" s="5">
        <v>2500</v>
      </c>
      <c r="M293" s="5">
        <v>0.05</v>
      </c>
      <c r="N293" s="5">
        <v>19000</v>
      </c>
      <c r="O293" s="5">
        <v>15473.59</v>
      </c>
      <c r="P293" s="5">
        <v>3526.41</v>
      </c>
      <c r="Q293" s="5">
        <v>18.559999999999999</v>
      </c>
      <c r="R293" s="5" t="s">
        <v>73</v>
      </c>
      <c r="S293" s="5" t="s">
        <v>42</v>
      </c>
      <c r="T293" s="5" t="s">
        <v>75</v>
      </c>
      <c r="U293" s="5" t="s">
        <v>108</v>
      </c>
      <c r="V293" s="5">
        <v>2025</v>
      </c>
      <c r="W293" s="5" t="s">
        <v>109</v>
      </c>
      <c r="X293" s="5">
        <v>4</v>
      </c>
      <c r="Y293" s="1" t="s">
        <v>795</v>
      </c>
      <c r="Z293" s="5" t="s">
        <v>47</v>
      </c>
      <c r="AA293" s="5" t="s">
        <v>67</v>
      </c>
      <c r="AB293" s="5" t="s">
        <v>49</v>
      </c>
      <c r="AC293" s="5" t="s">
        <v>50</v>
      </c>
      <c r="AD293" s="5">
        <v>3</v>
      </c>
    </row>
    <row r="294" spans="1:30">
      <c r="A294" s="5" t="s">
        <v>1079</v>
      </c>
      <c r="B294" s="1">
        <v>45568</v>
      </c>
      <c r="C294" s="5" t="s">
        <v>1080</v>
      </c>
      <c r="D294" s="5" t="s">
        <v>34</v>
      </c>
      <c r="E294" s="5" t="s">
        <v>103</v>
      </c>
      <c r="F294" s="5" t="s">
        <v>131</v>
      </c>
      <c r="G294" s="5" t="s">
        <v>132</v>
      </c>
      <c r="H294" s="5" t="s">
        <v>171</v>
      </c>
      <c r="I294" s="5" t="s">
        <v>95</v>
      </c>
      <c r="J294" s="5" t="s">
        <v>344</v>
      </c>
      <c r="K294" s="5">
        <v>4</v>
      </c>
      <c r="L294" s="5">
        <v>6000</v>
      </c>
      <c r="M294" s="5">
        <v>0.1</v>
      </c>
      <c r="N294" s="5">
        <v>21600</v>
      </c>
      <c r="O294" s="5">
        <v>14835.01</v>
      </c>
      <c r="P294" s="5">
        <v>6764.99</v>
      </c>
      <c r="Q294" s="5">
        <v>31.32</v>
      </c>
      <c r="R294" s="5" t="s">
        <v>61</v>
      </c>
      <c r="S294" s="5" t="s">
        <v>62</v>
      </c>
      <c r="T294" s="5" t="s">
        <v>63</v>
      </c>
      <c r="U294" s="5" t="s">
        <v>178</v>
      </c>
      <c r="V294" s="5">
        <v>2024</v>
      </c>
      <c r="W294" s="5" t="s">
        <v>45</v>
      </c>
      <c r="X294" s="5">
        <v>5</v>
      </c>
      <c r="Y294" s="1" t="s">
        <v>179</v>
      </c>
      <c r="Z294" s="5" t="s">
        <v>47</v>
      </c>
      <c r="AA294" s="5" t="s">
        <v>48</v>
      </c>
      <c r="AB294" s="5" t="s">
        <v>49</v>
      </c>
      <c r="AC294" s="5" t="s">
        <v>121</v>
      </c>
      <c r="AD294" s="5">
        <v>2</v>
      </c>
    </row>
    <row r="295" spans="1:30">
      <c r="A295" s="5" t="s">
        <v>1081</v>
      </c>
      <c r="B295" s="1">
        <v>45874</v>
      </c>
      <c r="C295" s="5" t="s">
        <v>1082</v>
      </c>
      <c r="D295" s="5" t="s">
        <v>1083</v>
      </c>
      <c r="E295" s="5" t="s">
        <v>55</v>
      </c>
      <c r="F295" s="5" t="s">
        <v>82</v>
      </c>
      <c r="G295" s="5" t="s">
        <v>83</v>
      </c>
      <c r="H295" s="5" t="s">
        <v>58</v>
      </c>
      <c r="I295" s="5" t="s">
        <v>84</v>
      </c>
      <c r="J295" s="5" t="s">
        <v>290</v>
      </c>
      <c r="K295" s="5">
        <v>8</v>
      </c>
      <c r="L295" s="5">
        <v>100</v>
      </c>
      <c r="M295" s="5">
        <v>0.05</v>
      </c>
      <c r="N295" s="5">
        <v>760</v>
      </c>
      <c r="O295" s="5">
        <v>601.04999999999995</v>
      </c>
      <c r="P295" s="5">
        <v>158.94999999999999</v>
      </c>
      <c r="Q295" s="5">
        <v>20.91</v>
      </c>
      <c r="R295" s="5" t="s">
        <v>41</v>
      </c>
      <c r="S295" s="5" t="s">
        <v>62</v>
      </c>
      <c r="T295" s="5" t="s">
        <v>63</v>
      </c>
      <c r="U295" s="5" t="s">
        <v>119</v>
      </c>
      <c r="V295" s="5">
        <v>2025</v>
      </c>
      <c r="W295" s="5" t="s">
        <v>139</v>
      </c>
      <c r="X295" s="5">
        <v>3</v>
      </c>
      <c r="Y295" s="1">
        <v>45966</v>
      </c>
      <c r="Z295" s="5" t="s">
        <v>110</v>
      </c>
      <c r="AA295" s="5" t="s">
        <v>48</v>
      </c>
      <c r="AB295" s="5" t="s">
        <v>111</v>
      </c>
      <c r="AC295" s="5" t="s">
        <v>50</v>
      </c>
      <c r="AD295" s="5">
        <v>5</v>
      </c>
    </row>
    <row r="296" spans="1:30">
      <c r="A296" s="5" t="s">
        <v>1084</v>
      </c>
      <c r="B296" s="1" t="s">
        <v>536</v>
      </c>
      <c r="C296" s="5" t="s">
        <v>1085</v>
      </c>
      <c r="D296" s="5" t="s">
        <v>379</v>
      </c>
      <c r="E296" s="5" t="s">
        <v>103</v>
      </c>
      <c r="F296" s="5" t="s">
        <v>131</v>
      </c>
      <c r="G296" s="5" t="s">
        <v>132</v>
      </c>
      <c r="H296" s="5" t="s">
        <v>38</v>
      </c>
      <c r="I296" s="5" t="s">
        <v>39</v>
      </c>
      <c r="J296" s="5" t="s">
        <v>105</v>
      </c>
      <c r="K296" s="5">
        <v>10</v>
      </c>
      <c r="L296" s="5">
        <v>50000</v>
      </c>
      <c r="M296" s="5">
        <v>0.1</v>
      </c>
      <c r="N296" s="5">
        <v>450000</v>
      </c>
      <c r="O296" s="5">
        <v>281575.89</v>
      </c>
      <c r="P296" s="5">
        <v>168424.11</v>
      </c>
      <c r="Q296" s="5">
        <v>37.43</v>
      </c>
      <c r="R296" s="5" t="s">
        <v>41</v>
      </c>
      <c r="S296" s="5" t="s">
        <v>42</v>
      </c>
      <c r="T296" s="5" t="s">
        <v>75</v>
      </c>
      <c r="U296" s="5" t="s">
        <v>64</v>
      </c>
      <c r="V296" s="5">
        <v>2024</v>
      </c>
      <c r="W296" s="5" t="s">
        <v>65</v>
      </c>
      <c r="X296" s="5">
        <v>2</v>
      </c>
      <c r="Y296" s="1" t="s">
        <v>1086</v>
      </c>
      <c r="Z296" s="5" t="s">
        <v>47</v>
      </c>
      <c r="AA296" s="5" t="s">
        <v>90</v>
      </c>
      <c r="AB296" s="5" t="s">
        <v>111</v>
      </c>
      <c r="AC296" s="5" t="s">
        <v>121</v>
      </c>
      <c r="AD296" s="5">
        <v>3</v>
      </c>
    </row>
    <row r="297" spans="1:30">
      <c r="A297" s="5" t="s">
        <v>1087</v>
      </c>
      <c r="B297" s="1" t="s">
        <v>1088</v>
      </c>
      <c r="C297" s="5" t="s">
        <v>868</v>
      </c>
      <c r="D297" s="5" t="s">
        <v>1035</v>
      </c>
      <c r="E297" s="5" t="s">
        <v>55</v>
      </c>
      <c r="F297" s="5" t="s">
        <v>82</v>
      </c>
      <c r="G297" s="5" t="s">
        <v>83</v>
      </c>
      <c r="H297" s="5" t="s">
        <v>38</v>
      </c>
      <c r="I297" s="5" t="s">
        <v>39</v>
      </c>
      <c r="J297" s="5" t="s">
        <v>40</v>
      </c>
      <c r="K297" s="5">
        <v>7</v>
      </c>
      <c r="L297" s="5">
        <v>8000</v>
      </c>
      <c r="M297" s="5">
        <v>0.15</v>
      </c>
      <c r="N297" s="5">
        <v>47600</v>
      </c>
      <c r="O297" s="5">
        <v>36840.19</v>
      </c>
      <c r="P297" s="5">
        <v>10759.81</v>
      </c>
      <c r="Q297" s="5">
        <v>22.6</v>
      </c>
      <c r="R297" s="5" t="s">
        <v>106</v>
      </c>
      <c r="S297" s="5" t="s">
        <v>62</v>
      </c>
      <c r="T297" s="5" t="s">
        <v>43</v>
      </c>
      <c r="U297" s="5" t="s">
        <v>218</v>
      </c>
      <c r="V297" s="5">
        <v>2024</v>
      </c>
      <c r="W297" s="5" t="s">
        <v>65</v>
      </c>
      <c r="X297" s="5">
        <v>6</v>
      </c>
      <c r="Y297" s="1">
        <v>45452</v>
      </c>
      <c r="Z297" s="5" t="s">
        <v>110</v>
      </c>
      <c r="AA297" s="5" t="s">
        <v>90</v>
      </c>
      <c r="AB297" s="5" t="s">
        <v>49</v>
      </c>
      <c r="AC297" s="5" t="s">
        <v>50</v>
      </c>
      <c r="AD297" s="5">
        <v>5</v>
      </c>
    </row>
    <row r="298" spans="1:30">
      <c r="A298" s="5" t="s">
        <v>1089</v>
      </c>
      <c r="B298" s="1">
        <v>45935</v>
      </c>
      <c r="C298" s="5" t="s">
        <v>1090</v>
      </c>
      <c r="D298" s="5" t="s">
        <v>743</v>
      </c>
      <c r="E298" s="5" t="s">
        <v>103</v>
      </c>
      <c r="F298" s="5" t="s">
        <v>104</v>
      </c>
      <c r="G298" s="5" t="s">
        <v>104</v>
      </c>
      <c r="H298" s="5" t="s">
        <v>38</v>
      </c>
      <c r="I298" s="5" t="s">
        <v>71</v>
      </c>
      <c r="J298" s="5" t="s">
        <v>172</v>
      </c>
      <c r="K298" s="5">
        <v>3</v>
      </c>
      <c r="L298" s="5">
        <v>1200</v>
      </c>
      <c r="M298" s="5">
        <v>0.1</v>
      </c>
      <c r="N298" s="5">
        <v>3240</v>
      </c>
      <c r="O298" s="5">
        <v>2460.44</v>
      </c>
      <c r="P298" s="5">
        <v>779.56</v>
      </c>
      <c r="Q298" s="5">
        <v>24.06</v>
      </c>
      <c r="R298" s="5" t="s">
        <v>73</v>
      </c>
      <c r="S298" s="5" t="s">
        <v>42</v>
      </c>
      <c r="T298" s="5" t="s">
        <v>43</v>
      </c>
      <c r="U298" s="5" t="s">
        <v>119</v>
      </c>
      <c r="V298" s="5">
        <v>2025</v>
      </c>
      <c r="W298" s="5" t="s">
        <v>65</v>
      </c>
      <c r="X298" s="5">
        <v>9</v>
      </c>
      <c r="Y298" s="1" t="s">
        <v>1091</v>
      </c>
      <c r="Z298" s="5" t="s">
        <v>47</v>
      </c>
      <c r="AA298" s="5" t="s">
        <v>67</v>
      </c>
      <c r="AB298" s="5" t="s">
        <v>78</v>
      </c>
      <c r="AC298" s="5" t="s">
        <v>121</v>
      </c>
      <c r="AD298" s="5">
        <v>1</v>
      </c>
    </row>
    <row r="299" spans="1:30">
      <c r="A299" s="5" t="s">
        <v>1092</v>
      </c>
      <c r="B299" s="1" t="s">
        <v>1015</v>
      </c>
      <c r="C299" s="5" t="s">
        <v>1093</v>
      </c>
      <c r="D299" s="5" t="s">
        <v>1094</v>
      </c>
      <c r="E299" s="5" t="s">
        <v>55</v>
      </c>
      <c r="F299" s="5" t="s">
        <v>116</v>
      </c>
      <c r="G299" s="5" t="s">
        <v>37</v>
      </c>
      <c r="H299" s="5" t="s">
        <v>38</v>
      </c>
      <c r="I299" s="5" t="s">
        <v>39</v>
      </c>
      <c r="J299" s="5" t="s">
        <v>165</v>
      </c>
      <c r="K299" s="5">
        <v>2</v>
      </c>
      <c r="L299" s="5">
        <v>15000</v>
      </c>
      <c r="M299" s="5">
        <v>0.15</v>
      </c>
      <c r="N299" s="5">
        <v>25500</v>
      </c>
      <c r="O299" s="5">
        <v>19300.150000000001</v>
      </c>
      <c r="P299" s="5">
        <v>6199.85</v>
      </c>
      <c r="Q299" s="5">
        <v>24.31</v>
      </c>
      <c r="R299" s="5" t="s">
        <v>61</v>
      </c>
      <c r="S299" s="5" t="s">
        <v>74</v>
      </c>
      <c r="T299" s="5" t="s">
        <v>86</v>
      </c>
      <c r="U299" s="5" t="s">
        <v>98</v>
      </c>
      <c r="V299" s="5">
        <v>2024</v>
      </c>
      <c r="W299" s="5" t="s">
        <v>65</v>
      </c>
      <c r="X299" s="5">
        <v>2</v>
      </c>
      <c r="Y299" s="1" t="s">
        <v>1095</v>
      </c>
      <c r="Z299" s="5" t="s">
        <v>89</v>
      </c>
      <c r="AA299" s="5" t="s">
        <v>67</v>
      </c>
      <c r="AB299" s="5" t="s">
        <v>78</v>
      </c>
      <c r="AC299" s="5" t="s">
        <v>50</v>
      </c>
      <c r="AD299" s="5">
        <v>4</v>
      </c>
    </row>
    <row r="300" spans="1:30">
      <c r="A300" s="5" t="s">
        <v>1096</v>
      </c>
      <c r="B300" s="1" t="s">
        <v>367</v>
      </c>
      <c r="C300" s="5" t="s">
        <v>757</v>
      </c>
      <c r="D300" s="5" t="s">
        <v>981</v>
      </c>
      <c r="E300" s="5" t="s">
        <v>103</v>
      </c>
      <c r="F300" s="5" t="s">
        <v>36</v>
      </c>
      <c r="G300" s="5" t="s">
        <v>37</v>
      </c>
      <c r="H300" s="5" t="s">
        <v>171</v>
      </c>
      <c r="I300" s="5" t="s">
        <v>84</v>
      </c>
      <c r="J300" s="5" t="s">
        <v>85</v>
      </c>
      <c r="K300" s="5">
        <v>3</v>
      </c>
      <c r="L300" s="5">
        <v>350</v>
      </c>
      <c r="M300" s="5">
        <v>0</v>
      </c>
      <c r="N300" s="5">
        <v>1050</v>
      </c>
      <c r="O300" s="5">
        <v>723.24</v>
      </c>
      <c r="P300" s="5">
        <v>326.76</v>
      </c>
      <c r="Q300" s="5">
        <v>31.12</v>
      </c>
      <c r="R300" s="5" t="s">
        <v>61</v>
      </c>
      <c r="S300" s="5" t="s">
        <v>74</v>
      </c>
      <c r="T300" s="5" t="s">
        <v>159</v>
      </c>
      <c r="U300" s="5" t="s">
        <v>76</v>
      </c>
      <c r="V300" s="5">
        <v>2024</v>
      </c>
      <c r="W300" s="5" t="s">
        <v>109</v>
      </c>
      <c r="X300" s="5">
        <v>10</v>
      </c>
      <c r="Y300" s="1" t="s">
        <v>1097</v>
      </c>
      <c r="Z300" s="5" t="s">
        <v>89</v>
      </c>
      <c r="AA300" s="5" t="s">
        <v>48</v>
      </c>
      <c r="AB300" s="5" t="s">
        <v>49</v>
      </c>
      <c r="AC300" s="5" t="s">
        <v>121</v>
      </c>
      <c r="AD300" s="5">
        <v>1</v>
      </c>
    </row>
    <row r="301" spans="1:30">
      <c r="A301" s="5" t="s">
        <v>1098</v>
      </c>
      <c r="B301" s="1" t="s">
        <v>502</v>
      </c>
      <c r="C301" s="5" t="s">
        <v>338</v>
      </c>
      <c r="D301" s="5" t="s">
        <v>834</v>
      </c>
      <c r="E301" s="5" t="s">
        <v>35</v>
      </c>
      <c r="F301" s="5" t="s">
        <v>116</v>
      </c>
      <c r="G301" s="5" t="s">
        <v>37</v>
      </c>
      <c r="H301" s="5" t="s">
        <v>58</v>
      </c>
      <c r="I301" s="5" t="s">
        <v>59</v>
      </c>
      <c r="J301" s="5" t="s">
        <v>60</v>
      </c>
      <c r="K301" s="5">
        <v>9</v>
      </c>
      <c r="L301" s="5">
        <v>2000</v>
      </c>
      <c r="M301" s="5">
        <v>0</v>
      </c>
      <c r="N301" s="5">
        <v>18000</v>
      </c>
      <c r="O301" s="5">
        <v>14290</v>
      </c>
      <c r="P301" s="5">
        <v>3710</v>
      </c>
      <c r="Q301" s="5">
        <v>20.61</v>
      </c>
      <c r="R301" s="5" t="s">
        <v>166</v>
      </c>
      <c r="S301" s="5" t="s">
        <v>62</v>
      </c>
      <c r="T301" s="5" t="s">
        <v>118</v>
      </c>
      <c r="U301" s="5" t="s">
        <v>119</v>
      </c>
      <c r="V301" s="5">
        <v>2024</v>
      </c>
      <c r="W301" s="5" t="s">
        <v>126</v>
      </c>
      <c r="X301" s="5">
        <v>1</v>
      </c>
      <c r="Y301" s="1" t="s">
        <v>1099</v>
      </c>
      <c r="Z301" s="5" t="s">
        <v>110</v>
      </c>
      <c r="AA301" s="5" t="s">
        <v>48</v>
      </c>
      <c r="AB301" s="5" t="s">
        <v>111</v>
      </c>
      <c r="AC301" s="5" t="s">
        <v>50</v>
      </c>
      <c r="AD301" s="5">
        <v>5</v>
      </c>
    </row>
    <row r="302" spans="1:30">
      <c r="A302" s="5" t="s">
        <v>1100</v>
      </c>
      <c r="B302" s="1" t="s">
        <v>1101</v>
      </c>
      <c r="C302" s="5" t="s">
        <v>101</v>
      </c>
      <c r="D302" s="5" t="s">
        <v>1014</v>
      </c>
      <c r="E302" s="5" t="s">
        <v>55</v>
      </c>
      <c r="F302" s="5" t="s">
        <v>82</v>
      </c>
      <c r="G302" s="5" t="s">
        <v>83</v>
      </c>
      <c r="H302" s="5" t="s">
        <v>94</v>
      </c>
      <c r="I302" s="5" t="s">
        <v>84</v>
      </c>
      <c r="J302" s="5" t="s">
        <v>229</v>
      </c>
      <c r="K302" s="5">
        <v>4</v>
      </c>
      <c r="L302" s="5">
        <v>800</v>
      </c>
      <c r="M302" s="5">
        <v>0</v>
      </c>
      <c r="N302" s="5">
        <v>3200</v>
      </c>
      <c r="O302" s="5">
        <v>1840.28</v>
      </c>
      <c r="P302" s="5">
        <v>1359.72</v>
      </c>
      <c r="Q302" s="5">
        <v>42.49</v>
      </c>
      <c r="R302" s="5" t="s">
        <v>166</v>
      </c>
      <c r="S302" s="5" t="s">
        <v>74</v>
      </c>
      <c r="T302" s="5" t="s">
        <v>86</v>
      </c>
      <c r="U302" s="5" t="s">
        <v>44</v>
      </c>
      <c r="V302" s="5">
        <v>2025</v>
      </c>
      <c r="W302" s="5" t="s">
        <v>126</v>
      </c>
      <c r="X302" s="5">
        <v>10</v>
      </c>
      <c r="Y302" s="1">
        <v>45662</v>
      </c>
      <c r="Z302" s="5" t="s">
        <v>47</v>
      </c>
      <c r="AA302" s="5" t="s">
        <v>90</v>
      </c>
      <c r="AB302" s="5" t="s">
        <v>111</v>
      </c>
      <c r="AC302" s="5" t="s">
        <v>50</v>
      </c>
      <c r="AD302" s="5">
        <v>3</v>
      </c>
    </row>
    <row r="303" spans="1:30">
      <c r="A303" s="5" t="s">
        <v>1102</v>
      </c>
      <c r="B303" s="1" t="s">
        <v>1103</v>
      </c>
      <c r="C303" s="5" t="s">
        <v>1104</v>
      </c>
      <c r="D303" s="5" t="s">
        <v>143</v>
      </c>
      <c r="E303" s="5" t="s">
        <v>35</v>
      </c>
      <c r="F303" s="5" t="s">
        <v>156</v>
      </c>
      <c r="G303" s="5" t="s">
        <v>157</v>
      </c>
      <c r="H303" s="5" t="s">
        <v>171</v>
      </c>
      <c r="I303" s="5" t="s">
        <v>95</v>
      </c>
      <c r="J303" s="5" t="s">
        <v>184</v>
      </c>
      <c r="K303" s="5">
        <v>6</v>
      </c>
      <c r="L303" s="5">
        <v>9000</v>
      </c>
      <c r="M303" s="5">
        <v>0.15</v>
      </c>
      <c r="N303" s="5">
        <v>45900</v>
      </c>
      <c r="O303" s="5">
        <v>26644.01</v>
      </c>
      <c r="P303" s="5">
        <v>19255.990000000002</v>
      </c>
      <c r="Q303" s="5">
        <v>41.95</v>
      </c>
      <c r="R303" s="5" t="s">
        <v>61</v>
      </c>
      <c r="S303" s="5" t="s">
        <v>42</v>
      </c>
      <c r="T303" s="5" t="s">
        <v>63</v>
      </c>
      <c r="U303" s="5" t="s">
        <v>76</v>
      </c>
      <c r="V303" s="5">
        <v>2024</v>
      </c>
      <c r="W303" s="5" t="s">
        <v>134</v>
      </c>
      <c r="X303" s="5">
        <v>2</v>
      </c>
      <c r="Y303" s="1">
        <v>45324</v>
      </c>
      <c r="Z303" s="5" t="s">
        <v>110</v>
      </c>
      <c r="AA303" s="5" t="s">
        <v>90</v>
      </c>
      <c r="AB303" s="5" t="s">
        <v>111</v>
      </c>
      <c r="AC303" s="5" t="s">
        <v>121</v>
      </c>
      <c r="AD303" s="5">
        <v>4</v>
      </c>
    </row>
    <row r="304" spans="1:30">
      <c r="A304" s="5" t="s">
        <v>1105</v>
      </c>
      <c r="B304" s="1" t="s">
        <v>416</v>
      </c>
      <c r="C304" s="5" t="s">
        <v>805</v>
      </c>
      <c r="D304" s="5" t="s">
        <v>439</v>
      </c>
      <c r="E304" s="5" t="s">
        <v>35</v>
      </c>
      <c r="F304" s="5" t="s">
        <v>36</v>
      </c>
      <c r="G304" s="5" t="s">
        <v>37</v>
      </c>
      <c r="H304" s="5" t="s">
        <v>94</v>
      </c>
      <c r="I304" s="5" t="s">
        <v>84</v>
      </c>
      <c r="J304" s="5" t="s">
        <v>217</v>
      </c>
      <c r="K304" s="5">
        <v>2</v>
      </c>
      <c r="L304" s="5">
        <v>350</v>
      </c>
      <c r="M304" s="5">
        <v>0.2</v>
      </c>
      <c r="N304" s="5">
        <v>560</v>
      </c>
      <c r="O304" s="5">
        <v>370.51</v>
      </c>
      <c r="P304" s="5">
        <v>189.49</v>
      </c>
      <c r="Q304" s="5">
        <v>33.840000000000003</v>
      </c>
      <c r="R304" s="5" t="s">
        <v>166</v>
      </c>
      <c r="S304" s="5" t="s">
        <v>74</v>
      </c>
      <c r="T304" s="5" t="s">
        <v>97</v>
      </c>
      <c r="U304" s="5" t="s">
        <v>44</v>
      </c>
      <c r="V304" s="5">
        <v>2025</v>
      </c>
      <c r="W304" s="5" t="s">
        <v>139</v>
      </c>
      <c r="X304" s="5">
        <v>7</v>
      </c>
      <c r="Y304" s="1" t="s">
        <v>1106</v>
      </c>
      <c r="Z304" s="5" t="s">
        <v>89</v>
      </c>
      <c r="AA304" s="5" t="s">
        <v>90</v>
      </c>
      <c r="AB304" s="5" t="s">
        <v>111</v>
      </c>
      <c r="AC304" s="5" t="s">
        <v>50</v>
      </c>
      <c r="AD304" s="5">
        <v>4</v>
      </c>
    </row>
    <row r="305" spans="1:30">
      <c r="A305" s="5" t="s">
        <v>1107</v>
      </c>
      <c r="B305" s="1" t="s">
        <v>1108</v>
      </c>
      <c r="C305" s="5" t="s">
        <v>665</v>
      </c>
      <c r="D305" s="5" t="s">
        <v>617</v>
      </c>
      <c r="E305" s="5" t="s">
        <v>103</v>
      </c>
      <c r="F305" s="5" t="s">
        <v>144</v>
      </c>
      <c r="G305" s="5" t="s">
        <v>145</v>
      </c>
      <c r="H305" s="5" t="s">
        <v>58</v>
      </c>
      <c r="I305" s="5" t="s">
        <v>84</v>
      </c>
      <c r="J305" s="5" t="s">
        <v>217</v>
      </c>
      <c r="K305" s="5">
        <v>4</v>
      </c>
      <c r="L305" s="5">
        <v>200</v>
      </c>
      <c r="M305" s="5">
        <v>0</v>
      </c>
      <c r="N305" s="5">
        <v>800</v>
      </c>
      <c r="O305" s="5">
        <v>464.69</v>
      </c>
      <c r="P305" s="5">
        <v>335.31</v>
      </c>
      <c r="Q305" s="5">
        <v>41.91</v>
      </c>
      <c r="R305" s="5" t="s">
        <v>166</v>
      </c>
      <c r="S305" s="5" t="s">
        <v>74</v>
      </c>
      <c r="T305" s="5" t="s">
        <v>159</v>
      </c>
      <c r="U305" s="5" t="s">
        <v>64</v>
      </c>
      <c r="V305" s="5">
        <v>2025</v>
      </c>
      <c r="W305" s="5" t="s">
        <v>126</v>
      </c>
      <c r="X305" s="5">
        <v>10</v>
      </c>
      <c r="Y305" s="1">
        <v>46235</v>
      </c>
      <c r="Z305" s="5" t="s">
        <v>110</v>
      </c>
      <c r="AA305" s="5" t="s">
        <v>67</v>
      </c>
      <c r="AB305" s="5" t="s">
        <v>49</v>
      </c>
      <c r="AC305" s="5" t="s">
        <v>121</v>
      </c>
      <c r="AD305" s="5">
        <v>5</v>
      </c>
    </row>
    <row r="306" spans="1:30">
      <c r="A306" s="5" t="s">
        <v>1109</v>
      </c>
      <c r="B306" s="1" t="s">
        <v>1110</v>
      </c>
      <c r="C306" s="5" t="s">
        <v>1111</v>
      </c>
      <c r="D306" s="5" t="s">
        <v>1112</v>
      </c>
      <c r="E306" s="5" t="s">
        <v>103</v>
      </c>
      <c r="F306" s="5" t="s">
        <v>156</v>
      </c>
      <c r="G306" s="5" t="s">
        <v>157</v>
      </c>
      <c r="H306" s="5" t="s">
        <v>171</v>
      </c>
      <c r="I306" s="5" t="s">
        <v>84</v>
      </c>
      <c r="J306" s="5" t="s">
        <v>290</v>
      </c>
      <c r="K306" s="5">
        <v>1</v>
      </c>
      <c r="L306" s="5">
        <v>100</v>
      </c>
      <c r="M306" s="5">
        <v>0.05</v>
      </c>
      <c r="N306" s="5">
        <v>95</v>
      </c>
      <c r="O306" s="5">
        <v>71.67</v>
      </c>
      <c r="P306" s="5">
        <v>23.33</v>
      </c>
      <c r="Q306" s="5">
        <v>24.56</v>
      </c>
      <c r="R306" s="5" t="s">
        <v>166</v>
      </c>
      <c r="S306" s="5" t="s">
        <v>42</v>
      </c>
      <c r="T306" s="5" t="s">
        <v>63</v>
      </c>
      <c r="U306" s="5" t="s">
        <v>119</v>
      </c>
      <c r="V306" s="5">
        <v>2024</v>
      </c>
      <c r="W306" s="5" t="s">
        <v>134</v>
      </c>
      <c r="X306" s="5">
        <v>10</v>
      </c>
      <c r="Y306" s="1">
        <v>45297</v>
      </c>
      <c r="Z306" s="5" t="s">
        <v>47</v>
      </c>
      <c r="AA306" s="5" t="s">
        <v>67</v>
      </c>
      <c r="AB306" s="5" t="s">
        <v>49</v>
      </c>
      <c r="AC306" s="5" t="s">
        <v>121</v>
      </c>
      <c r="AD306" s="5">
        <v>3</v>
      </c>
    </row>
    <row r="307" spans="1:30">
      <c r="A307" s="5" t="s">
        <v>1113</v>
      </c>
      <c r="B307" s="1" t="s">
        <v>673</v>
      </c>
      <c r="C307" s="5" t="s">
        <v>301</v>
      </c>
      <c r="D307" s="5" t="s">
        <v>1114</v>
      </c>
      <c r="E307" s="5" t="s">
        <v>55</v>
      </c>
      <c r="F307" s="5" t="s">
        <v>116</v>
      </c>
      <c r="G307" s="5" t="s">
        <v>37</v>
      </c>
      <c r="H307" s="5" t="s">
        <v>58</v>
      </c>
      <c r="I307" s="5" t="s">
        <v>59</v>
      </c>
      <c r="J307" s="5" t="s">
        <v>60</v>
      </c>
      <c r="K307" s="5">
        <v>7</v>
      </c>
      <c r="L307" s="5">
        <v>1200</v>
      </c>
      <c r="M307" s="5">
        <v>0</v>
      </c>
      <c r="N307" s="5">
        <v>8400</v>
      </c>
      <c r="O307" s="5">
        <v>6857.2</v>
      </c>
      <c r="P307" s="5">
        <v>1542.8</v>
      </c>
      <c r="Q307" s="5">
        <v>18.37</v>
      </c>
      <c r="R307" s="5" t="s">
        <v>61</v>
      </c>
      <c r="S307" s="5" t="s">
        <v>42</v>
      </c>
      <c r="T307" s="5" t="s">
        <v>43</v>
      </c>
      <c r="U307" s="5" t="s">
        <v>218</v>
      </c>
      <c r="V307" s="5">
        <v>2025</v>
      </c>
      <c r="W307" s="5" t="s">
        <v>109</v>
      </c>
      <c r="X307" s="5">
        <v>1</v>
      </c>
      <c r="Y307" s="1" t="s">
        <v>1115</v>
      </c>
      <c r="Z307" s="5" t="s">
        <v>89</v>
      </c>
      <c r="AA307" s="5" t="s">
        <v>90</v>
      </c>
      <c r="AB307" s="5" t="s">
        <v>111</v>
      </c>
      <c r="AC307" s="5" t="s">
        <v>50</v>
      </c>
      <c r="AD307" s="5">
        <v>1</v>
      </c>
    </row>
    <row r="308" spans="1:30">
      <c r="A308" s="5" t="s">
        <v>1116</v>
      </c>
      <c r="B308" s="1">
        <v>45840</v>
      </c>
      <c r="C308" s="5" t="s">
        <v>1117</v>
      </c>
      <c r="D308" s="5" t="s">
        <v>1118</v>
      </c>
      <c r="E308" s="5" t="s">
        <v>103</v>
      </c>
      <c r="F308" s="5" t="s">
        <v>116</v>
      </c>
      <c r="G308" s="5" t="s">
        <v>37</v>
      </c>
      <c r="H308" s="5" t="s">
        <v>38</v>
      </c>
      <c r="I308" s="5" t="s">
        <v>39</v>
      </c>
      <c r="J308" s="5" t="s">
        <v>105</v>
      </c>
      <c r="K308" s="5">
        <v>7</v>
      </c>
      <c r="L308" s="5">
        <v>50000</v>
      </c>
      <c r="M308" s="5">
        <v>0.2</v>
      </c>
      <c r="N308" s="5">
        <v>280000</v>
      </c>
      <c r="O308" s="5">
        <v>184696.07</v>
      </c>
      <c r="P308" s="5">
        <v>95303.93</v>
      </c>
      <c r="Q308" s="5">
        <v>34.04</v>
      </c>
      <c r="R308" s="5" t="s">
        <v>166</v>
      </c>
      <c r="S308" s="5" t="s">
        <v>74</v>
      </c>
      <c r="T308" s="5" t="s">
        <v>86</v>
      </c>
      <c r="U308" s="5" t="s">
        <v>98</v>
      </c>
      <c r="V308" s="5">
        <v>2025</v>
      </c>
      <c r="W308" s="5" t="s">
        <v>194</v>
      </c>
      <c r="X308" s="5">
        <v>6</v>
      </c>
      <c r="Y308" s="1" t="s">
        <v>1119</v>
      </c>
      <c r="Z308" s="5" t="s">
        <v>110</v>
      </c>
      <c r="AA308" s="5" t="s">
        <v>48</v>
      </c>
      <c r="AB308" s="5" t="s">
        <v>78</v>
      </c>
      <c r="AC308" s="5" t="s">
        <v>50</v>
      </c>
      <c r="AD308" s="5">
        <v>4</v>
      </c>
    </row>
    <row r="309" spans="1:30">
      <c r="A309" s="5" t="s">
        <v>1120</v>
      </c>
      <c r="B309" s="1" t="s">
        <v>1121</v>
      </c>
      <c r="C309" s="5" t="s">
        <v>965</v>
      </c>
      <c r="D309" s="5" t="s">
        <v>512</v>
      </c>
      <c r="E309" s="5" t="s">
        <v>35</v>
      </c>
      <c r="F309" s="5" t="s">
        <v>245</v>
      </c>
      <c r="G309" s="5" t="s">
        <v>246</v>
      </c>
      <c r="H309" s="5" t="s">
        <v>38</v>
      </c>
      <c r="I309" s="5" t="s">
        <v>84</v>
      </c>
      <c r="J309" s="5" t="s">
        <v>85</v>
      </c>
      <c r="K309" s="5">
        <v>3</v>
      </c>
      <c r="L309" s="5">
        <v>100</v>
      </c>
      <c r="M309" s="5">
        <v>0</v>
      </c>
      <c r="N309" s="5">
        <v>300</v>
      </c>
      <c r="O309" s="5">
        <v>223.43</v>
      </c>
      <c r="P309" s="5">
        <v>76.569999999999993</v>
      </c>
      <c r="Q309" s="5">
        <v>25.52</v>
      </c>
      <c r="R309" s="5" t="s">
        <v>166</v>
      </c>
      <c r="S309" s="5" t="s">
        <v>62</v>
      </c>
      <c r="T309" s="5" t="s">
        <v>63</v>
      </c>
      <c r="U309" s="5" t="s">
        <v>87</v>
      </c>
      <c r="V309" s="5">
        <v>2025</v>
      </c>
      <c r="W309" s="5" t="s">
        <v>65</v>
      </c>
      <c r="X309" s="5">
        <v>1</v>
      </c>
      <c r="Y309" s="1" t="s">
        <v>456</v>
      </c>
      <c r="Z309" s="5" t="s">
        <v>47</v>
      </c>
      <c r="AA309" s="5" t="s">
        <v>67</v>
      </c>
      <c r="AB309" s="5" t="s">
        <v>111</v>
      </c>
      <c r="AC309" s="5" t="s">
        <v>121</v>
      </c>
      <c r="AD309" s="5">
        <v>4</v>
      </c>
    </row>
    <row r="310" spans="1:30">
      <c r="A310" s="5" t="s">
        <v>1122</v>
      </c>
      <c r="B310" s="1" t="s">
        <v>1123</v>
      </c>
      <c r="C310" s="5" t="s">
        <v>1124</v>
      </c>
      <c r="D310" s="5" t="s">
        <v>313</v>
      </c>
      <c r="E310" s="5" t="s">
        <v>103</v>
      </c>
      <c r="F310" s="5" t="s">
        <v>131</v>
      </c>
      <c r="G310" s="5" t="s">
        <v>132</v>
      </c>
      <c r="H310" s="5" t="s">
        <v>38</v>
      </c>
      <c r="I310" s="5" t="s">
        <v>71</v>
      </c>
      <c r="J310" s="5" t="s">
        <v>172</v>
      </c>
      <c r="K310" s="5">
        <v>8</v>
      </c>
      <c r="L310" s="5">
        <v>2500</v>
      </c>
      <c r="M310" s="5">
        <v>0.1</v>
      </c>
      <c r="N310" s="5">
        <v>18000</v>
      </c>
      <c r="O310" s="5">
        <v>12838.23</v>
      </c>
      <c r="P310" s="5">
        <v>5161.7700000000004</v>
      </c>
      <c r="Q310" s="5">
        <v>28.68</v>
      </c>
      <c r="R310" s="5" t="s">
        <v>41</v>
      </c>
      <c r="S310" s="5" t="s">
        <v>62</v>
      </c>
      <c r="T310" s="5" t="s">
        <v>75</v>
      </c>
      <c r="U310" s="5" t="s">
        <v>218</v>
      </c>
      <c r="V310" s="5">
        <v>2024</v>
      </c>
      <c r="W310" s="5" t="s">
        <v>126</v>
      </c>
      <c r="X310" s="5">
        <v>3</v>
      </c>
      <c r="Y310" s="1" t="s">
        <v>1125</v>
      </c>
      <c r="Z310" s="5" t="s">
        <v>110</v>
      </c>
      <c r="AA310" s="5" t="s">
        <v>48</v>
      </c>
      <c r="AB310" s="5" t="s">
        <v>111</v>
      </c>
      <c r="AC310" s="5" t="s">
        <v>50</v>
      </c>
      <c r="AD310" s="5">
        <v>1</v>
      </c>
    </row>
    <row r="311" spans="1:30">
      <c r="A311" s="5" t="s">
        <v>1126</v>
      </c>
      <c r="B311" s="1">
        <v>45874</v>
      </c>
      <c r="C311" s="5" t="s">
        <v>430</v>
      </c>
      <c r="D311" s="5" t="s">
        <v>1127</v>
      </c>
      <c r="E311" s="5" t="s">
        <v>103</v>
      </c>
      <c r="F311" s="5" t="s">
        <v>104</v>
      </c>
      <c r="G311" s="5" t="s">
        <v>104</v>
      </c>
      <c r="H311" s="5" t="s">
        <v>58</v>
      </c>
      <c r="I311" s="5" t="s">
        <v>59</v>
      </c>
      <c r="J311" s="5" t="s">
        <v>133</v>
      </c>
      <c r="K311" s="5">
        <v>6</v>
      </c>
      <c r="L311" s="5">
        <v>500</v>
      </c>
      <c r="M311" s="5">
        <v>0.2</v>
      </c>
      <c r="N311" s="5">
        <v>2400</v>
      </c>
      <c r="O311" s="5">
        <v>1793.16</v>
      </c>
      <c r="P311" s="5">
        <v>606.84</v>
      </c>
      <c r="Q311" s="5">
        <v>25.29</v>
      </c>
      <c r="R311" s="5" t="s">
        <v>41</v>
      </c>
      <c r="S311" s="5" t="s">
        <v>42</v>
      </c>
      <c r="T311" s="5" t="s">
        <v>173</v>
      </c>
      <c r="U311" s="5" t="s">
        <v>119</v>
      </c>
      <c r="V311" s="5">
        <v>2025</v>
      </c>
      <c r="W311" s="5" t="s">
        <v>139</v>
      </c>
      <c r="X311" s="5">
        <v>2</v>
      </c>
      <c r="Y311" s="1">
        <v>45935</v>
      </c>
      <c r="Z311" s="5" t="s">
        <v>47</v>
      </c>
      <c r="AA311" s="5" t="s">
        <v>90</v>
      </c>
      <c r="AB311" s="5" t="s">
        <v>78</v>
      </c>
      <c r="AC311" s="5" t="s">
        <v>121</v>
      </c>
      <c r="AD311" s="5">
        <v>5</v>
      </c>
    </row>
    <row r="312" spans="1:30">
      <c r="A312" s="5" t="s">
        <v>1128</v>
      </c>
      <c r="B312" s="1">
        <v>45627</v>
      </c>
      <c r="C312" s="5" t="s">
        <v>1129</v>
      </c>
      <c r="D312" s="5" t="s">
        <v>799</v>
      </c>
      <c r="E312" s="5" t="s">
        <v>55</v>
      </c>
      <c r="F312" s="5" t="s">
        <v>144</v>
      </c>
      <c r="G312" s="5" t="s">
        <v>145</v>
      </c>
      <c r="H312" s="5" t="s">
        <v>94</v>
      </c>
      <c r="I312" s="5" t="s">
        <v>84</v>
      </c>
      <c r="J312" s="5" t="s">
        <v>217</v>
      </c>
      <c r="K312" s="5">
        <v>1</v>
      </c>
      <c r="L312" s="5">
        <v>350</v>
      </c>
      <c r="M312" s="5">
        <v>0.2</v>
      </c>
      <c r="N312" s="5">
        <v>280</v>
      </c>
      <c r="O312" s="5">
        <v>192.76</v>
      </c>
      <c r="P312" s="5">
        <v>87.24</v>
      </c>
      <c r="Q312" s="5">
        <v>31.16</v>
      </c>
      <c r="R312" s="5" t="s">
        <v>61</v>
      </c>
      <c r="S312" s="5" t="s">
        <v>62</v>
      </c>
      <c r="T312" s="5" t="s">
        <v>159</v>
      </c>
      <c r="U312" s="5" t="s">
        <v>76</v>
      </c>
      <c r="V312" s="5">
        <v>2024</v>
      </c>
      <c r="W312" s="5" t="s">
        <v>194</v>
      </c>
      <c r="X312" s="5">
        <v>8</v>
      </c>
      <c r="Y312" s="1" t="s">
        <v>988</v>
      </c>
      <c r="Z312" s="5" t="s">
        <v>110</v>
      </c>
      <c r="AA312" s="5" t="s">
        <v>90</v>
      </c>
      <c r="AB312" s="5" t="s">
        <v>49</v>
      </c>
      <c r="AC312" s="5" t="s">
        <v>50</v>
      </c>
      <c r="AD312" s="5">
        <v>5</v>
      </c>
    </row>
    <row r="313" spans="1:30">
      <c r="A313" s="5" t="s">
        <v>1130</v>
      </c>
      <c r="B313" s="1" t="s">
        <v>1131</v>
      </c>
      <c r="C313" s="5" t="s">
        <v>1132</v>
      </c>
      <c r="D313" s="5" t="s">
        <v>285</v>
      </c>
      <c r="E313" s="5" t="s">
        <v>103</v>
      </c>
      <c r="F313" s="5" t="s">
        <v>116</v>
      </c>
      <c r="G313" s="5" t="s">
        <v>37</v>
      </c>
      <c r="H313" s="5" t="s">
        <v>58</v>
      </c>
      <c r="I313" s="5" t="s">
        <v>39</v>
      </c>
      <c r="J313" s="5" t="s">
        <v>253</v>
      </c>
      <c r="K313" s="5">
        <v>10</v>
      </c>
      <c r="L313" s="5">
        <v>12000</v>
      </c>
      <c r="M313" s="5">
        <v>0.2</v>
      </c>
      <c r="N313" s="5">
        <v>96000</v>
      </c>
      <c r="O313" s="5">
        <v>53507.57</v>
      </c>
      <c r="P313" s="5">
        <v>42492.43</v>
      </c>
      <c r="Q313" s="5">
        <v>44.26</v>
      </c>
      <c r="R313" s="5" t="s">
        <v>61</v>
      </c>
      <c r="S313" s="5" t="s">
        <v>62</v>
      </c>
      <c r="T313" s="5" t="s">
        <v>118</v>
      </c>
      <c r="U313" s="5" t="s">
        <v>98</v>
      </c>
      <c r="V313" s="5">
        <v>2024</v>
      </c>
      <c r="W313" s="5" t="s">
        <v>139</v>
      </c>
      <c r="X313" s="5">
        <v>5</v>
      </c>
      <c r="Y313" s="1" t="s">
        <v>786</v>
      </c>
      <c r="Z313" s="5" t="s">
        <v>89</v>
      </c>
      <c r="AA313" s="5" t="s">
        <v>48</v>
      </c>
      <c r="AB313" s="5" t="s">
        <v>78</v>
      </c>
      <c r="AC313" s="5" t="s">
        <v>50</v>
      </c>
      <c r="AD313" s="5">
        <v>3</v>
      </c>
    </row>
    <row r="314" spans="1:30">
      <c r="A314" s="5" t="s">
        <v>1133</v>
      </c>
      <c r="B314" s="1">
        <v>45788</v>
      </c>
      <c r="C314" s="5" t="s">
        <v>1134</v>
      </c>
      <c r="D314" s="5" t="s">
        <v>310</v>
      </c>
      <c r="E314" s="5" t="s">
        <v>35</v>
      </c>
      <c r="F314" s="5" t="s">
        <v>104</v>
      </c>
      <c r="G314" s="5" t="s">
        <v>104</v>
      </c>
      <c r="H314" s="5" t="s">
        <v>58</v>
      </c>
      <c r="I314" s="5" t="s">
        <v>39</v>
      </c>
      <c r="J314" s="5" t="s">
        <v>165</v>
      </c>
      <c r="K314" s="5">
        <v>3</v>
      </c>
      <c r="L314" s="5">
        <v>35000</v>
      </c>
      <c r="M314" s="5">
        <v>0.05</v>
      </c>
      <c r="N314" s="5">
        <v>99750</v>
      </c>
      <c r="O314" s="5">
        <v>76619.67</v>
      </c>
      <c r="P314" s="5">
        <v>23130.33</v>
      </c>
      <c r="Q314" s="5">
        <v>23.19</v>
      </c>
      <c r="R314" s="5" t="s">
        <v>61</v>
      </c>
      <c r="S314" s="5" t="s">
        <v>74</v>
      </c>
      <c r="T314" s="5" t="s">
        <v>118</v>
      </c>
      <c r="U314" s="5" t="s">
        <v>198</v>
      </c>
      <c r="V314" s="5">
        <v>2025</v>
      </c>
      <c r="W314" s="5" t="s">
        <v>134</v>
      </c>
      <c r="X314" s="5">
        <v>8</v>
      </c>
      <c r="Y314" s="1" t="s">
        <v>910</v>
      </c>
      <c r="Z314" s="5" t="s">
        <v>47</v>
      </c>
      <c r="AA314" s="5" t="s">
        <v>48</v>
      </c>
      <c r="AB314" s="5" t="s">
        <v>49</v>
      </c>
      <c r="AC314" s="5" t="s">
        <v>50</v>
      </c>
      <c r="AD314" s="5">
        <v>4</v>
      </c>
    </row>
    <row r="315" spans="1:30">
      <c r="A315" s="5" t="s">
        <v>1135</v>
      </c>
      <c r="B315" s="1" t="s">
        <v>66</v>
      </c>
      <c r="C315" s="5" t="s">
        <v>1136</v>
      </c>
      <c r="D315" s="5" t="s">
        <v>774</v>
      </c>
      <c r="E315" s="5" t="s">
        <v>55</v>
      </c>
      <c r="F315" s="5" t="s">
        <v>156</v>
      </c>
      <c r="G315" s="5" t="s">
        <v>157</v>
      </c>
      <c r="H315" s="5" t="s">
        <v>94</v>
      </c>
      <c r="I315" s="5" t="s">
        <v>95</v>
      </c>
      <c r="J315" s="5" t="s">
        <v>440</v>
      </c>
      <c r="K315" s="5">
        <v>3</v>
      </c>
      <c r="L315" s="5">
        <v>4000</v>
      </c>
      <c r="M315" s="5">
        <v>0.2</v>
      </c>
      <c r="N315" s="5">
        <v>9600</v>
      </c>
      <c r="O315" s="5">
        <v>7238.21</v>
      </c>
      <c r="P315" s="5">
        <v>2361.79</v>
      </c>
      <c r="Q315" s="5">
        <v>24.6</v>
      </c>
      <c r="R315" s="5" t="s">
        <v>166</v>
      </c>
      <c r="S315" s="5" t="s">
        <v>62</v>
      </c>
      <c r="T315" s="5" t="s">
        <v>138</v>
      </c>
      <c r="U315" s="5" t="s">
        <v>64</v>
      </c>
      <c r="V315" s="5">
        <v>2024</v>
      </c>
      <c r="W315" s="5" t="s">
        <v>139</v>
      </c>
      <c r="X315" s="5">
        <v>1</v>
      </c>
      <c r="Y315" s="1" t="s">
        <v>534</v>
      </c>
      <c r="Z315" s="5" t="s">
        <v>47</v>
      </c>
      <c r="AA315" s="5" t="s">
        <v>48</v>
      </c>
      <c r="AB315" s="5" t="s">
        <v>111</v>
      </c>
      <c r="AC315" s="5" t="s">
        <v>121</v>
      </c>
      <c r="AD315" s="5">
        <v>4</v>
      </c>
    </row>
    <row r="316" spans="1:30">
      <c r="A316" s="5" t="s">
        <v>1137</v>
      </c>
      <c r="B316" s="1" t="s">
        <v>697</v>
      </c>
      <c r="C316" s="5" t="s">
        <v>1138</v>
      </c>
      <c r="D316" s="5" t="s">
        <v>994</v>
      </c>
      <c r="E316" s="5" t="s">
        <v>35</v>
      </c>
      <c r="F316" s="5" t="s">
        <v>156</v>
      </c>
      <c r="G316" s="5" t="s">
        <v>157</v>
      </c>
      <c r="H316" s="5" t="s">
        <v>58</v>
      </c>
      <c r="I316" s="5" t="s">
        <v>71</v>
      </c>
      <c r="J316" s="5" t="s">
        <v>240</v>
      </c>
      <c r="K316" s="5">
        <v>3</v>
      </c>
      <c r="L316" s="5">
        <v>3500</v>
      </c>
      <c r="M316" s="5">
        <v>0.15</v>
      </c>
      <c r="N316" s="5">
        <v>8925</v>
      </c>
      <c r="O316" s="5">
        <v>5829.28</v>
      </c>
      <c r="P316" s="5">
        <v>3095.72</v>
      </c>
      <c r="Q316" s="5">
        <v>34.69</v>
      </c>
      <c r="R316" s="5" t="s">
        <v>41</v>
      </c>
      <c r="S316" s="5" t="s">
        <v>42</v>
      </c>
      <c r="T316" s="5" t="s">
        <v>97</v>
      </c>
      <c r="U316" s="5" t="s">
        <v>76</v>
      </c>
      <c r="V316" s="5">
        <v>2024</v>
      </c>
      <c r="W316" s="5" t="s">
        <v>65</v>
      </c>
      <c r="X316" s="5">
        <v>5</v>
      </c>
      <c r="Y316" s="1" t="s">
        <v>521</v>
      </c>
      <c r="Z316" s="5" t="s">
        <v>110</v>
      </c>
      <c r="AA316" s="5" t="s">
        <v>67</v>
      </c>
      <c r="AB316" s="5" t="s">
        <v>111</v>
      </c>
      <c r="AC316" s="5" t="s">
        <v>50</v>
      </c>
      <c r="AD316" s="5">
        <v>3</v>
      </c>
    </row>
    <row r="317" spans="1:30">
      <c r="A317" s="5" t="s">
        <v>1139</v>
      </c>
      <c r="B317" s="1" t="s">
        <v>416</v>
      </c>
      <c r="C317" s="5" t="s">
        <v>1140</v>
      </c>
      <c r="D317" s="5" t="s">
        <v>582</v>
      </c>
      <c r="E317" s="5" t="s">
        <v>103</v>
      </c>
      <c r="F317" s="5" t="s">
        <v>116</v>
      </c>
      <c r="G317" s="5" t="s">
        <v>37</v>
      </c>
      <c r="H317" s="5" t="s">
        <v>38</v>
      </c>
      <c r="I317" s="5" t="s">
        <v>84</v>
      </c>
      <c r="J317" s="5" t="s">
        <v>390</v>
      </c>
      <c r="K317" s="5">
        <v>5</v>
      </c>
      <c r="L317" s="5">
        <v>800</v>
      </c>
      <c r="M317" s="5">
        <v>0.15</v>
      </c>
      <c r="N317" s="5">
        <v>3400</v>
      </c>
      <c r="O317" s="5">
        <v>2577.3200000000002</v>
      </c>
      <c r="P317" s="5">
        <v>822.68</v>
      </c>
      <c r="Q317" s="5">
        <v>24.2</v>
      </c>
      <c r="R317" s="5" t="s">
        <v>61</v>
      </c>
      <c r="S317" s="5" t="s">
        <v>42</v>
      </c>
      <c r="T317" s="5" t="s">
        <v>43</v>
      </c>
      <c r="U317" s="5" t="s">
        <v>44</v>
      </c>
      <c r="V317" s="5">
        <v>2025</v>
      </c>
      <c r="W317" s="5" t="s">
        <v>139</v>
      </c>
      <c r="X317" s="5">
        <v>4</v>
      </c>
      <c r="Y317" s="1" t="s">
        <v>1101</v>
      </c>
      <c r="Z317" s="5" t="s">
        <v>89</v>
      </c>
      <c r="AA317" s="5" t="s">
        <v>48</v>
      </c>
      <c r="AB317" s="5" t="s">
        <v>49</v>
      </c>
      <c r="AC317" s="5" t="s">
        <v>121</v>
      </c>
      <c r="AD317" s="5">
        <v>1</v>
      </c>
    </row>
    <row r="318" spans="1:30">
      <c r="A318" s="5" t="s">
        <v>1141</v>
      </c>
      <c r="B318" s="1" t="s">
        <v>578</v>
      </c>
      <c r="C318" s="5" t="s">
        <v>1142</v>
      </c>
      <c r="D318" s="5" t="s">
        <v>1094</v>
      </c>
      <c r="E318" s="5" t="s">
        <v>35</v>
      </c>
      <c r="F318" s="5" t="s">
        <v>156</v>
      </c>
      <c r="G318" s="5" t="s">
        <v>157</v>
      </c>
      <c r="H318" s="5" t="s">
        <v>58</v>
      </c>
      <c r="I318" s="5" t="s">
        <v>39</v>
      </c>
      <c r="J318" s="5" t="s">
        <v>165</v>
      </c>
      <c r="K318" s="5">
        <v>2</v>
      </c>
      <c r="L318" s="5">
        <v>50000</v>
      </c>
      <c r="M318" s="5">
        <v>0.15</v>
      </c>
      <c r="N318" s="5">
        <v>85000</v>
      </c>
      <c r="O318" s="5">
        <v>52531.02</v>
      </c>
      <c r="P318" s="5">
        <v>32468.98</v>
      </c>
      <c r="Q318" s="5">
        <v>38.200000000000003</v>
      </c>
      <c r="R318" s="5" t="s">
        <v>41</v>
      </c>
      <c r="S318" s="5" t="s">
        <v>42</v>
      </c>
      <c r="T318" s="5" t="s">
        <v>86</v>
      </c>
      <c r="U318" s="5" t="s">
        <v>64</v>
      </c>
      <c r="V318" s="5">
        <v>2024</v>
      </c>
      <c r="W318" s="5" t="s">
        <v>134</v>
      </c>
      <c r="X318" s="5">
        <v>4</v>
      </c>
      <c r="Y318" s="1" t="s">
        <v>598</v>
      </c>
      <c r="Z318" s="5" t="s">
        <v>47</v>
      </c>
      <c r="AA318" s="5" t="s">
        <v>48</v>
      </c>
      <c r="AB318" s="5" t="s">
        <v>111</v>
      </c>
      <c r="AC318" s="5" t="s">
        <v>121</v>
      </c>
      <c r="AD318" s="5">
        <v>1</v>
      </c>
    </row>
    <row r="319" spans="1:30">
      <c r="A319" s="5" t="s">
        <v>1143</v>
      </c>
      <c r="B319" s="1" t="s">
        <v>46</v>
      </c>
      <c r="C319" s="5" t="s">
        <v>1111</v>
      </c>
      <c r="D319" s="5" t="s">
        <v>418</v>
      </c>
      <c r="E319" s="5" t="s">
        <v>55</v>
      </c>
      <c r="F319" s="5" t="s">
        <v>36</v>
      </c>
      <c r="G319" s="5" t="s">
        <v>37</v>
      </c>
      <c r="H319" s="5" t="s">
        <v>171</v>
      </c>
      <c r="I319" s="5" t="s">
        <v>59</v>
      </c>
      <c r="J319" s="5" t="s">
        <v>206</v>
      </c>
      <c r="K319" s="5">
        <v>7</v>
      </c>
      <c r="L319" s="5">
        <v>3000</v>
      </c>
      <c r="M319" s="5">
        <v>0.05</v>
      </c>
      <c r="N319" s="5">
        <v>19950</v>
      </c>
      <c r="O319" s="5">
        <v>12559.19</v>
      </c>
      <c r="P319" s="5">
        <v>7390.81</v>
      </c>
      <c r="Q319" s="5">
        <v>37.049999999999997</v>
      </c>
      <c r="R319" s="5" t="s">
        <v>166</v>
      </c>
      <c r="S319" s="5" t="s">
        <v>42</v>
      </c>
      <c r="T319" s="5" t="s">
        <v>97</v>
      </c>
      <c r="U319" s="5" t="s">
        <v>44</v>
      </c>
      <c r="V319" s="5">
        <v>2024</v>
      </c>
      <c r="W319" s="5" t="s">
        <v>109</v>
      </c>
      <c r="X319" s="5">
        <v>3</v>
      </c>
      <c r="Y319" s="1" t="s">
        <v>1066</v>
      </c>
      <c r="Z319" s="5" t="s">
        <v>47</v>
      </c>
      <c r="AA319" s="5" t="s">
        <v>67</v>
      </c>
      <c r="AB319" s="5" t="s">
        <v>49</v>
      </c>
      <c r="AC319" s="5" t="s">
        <v>121</v>
      </c>
      <c r="AD319" s="5">
        <v>3</v>
      </c>
    </row>
    <row r="320" spans="1:30">
      <c r="A320" s="5" t="s">
        <v>1144</v>
      </c>
      <c r="B320" s="1" t="s">
        <v>174</v>
      </c>
      <c r="C320" s="5" t="s">
        <v>1145</v>
      </c>
      <c r="D320" s="5" t="s">
        <v>1146</v>
      </c>
      <c r="E320" s="5" t="s">
        <v>35</v>
      </c>
      <c r="F320" s="5" t="s">
        <v>104</v>
      </c>
      <c r="G320" s="5" t="s">
        <v>104</v>
      </c>
      <c r="H320" s="5" t="s">
        <v>94</v>
      </c>
      <c r="I320" s="5" t="s">
        <v>71</v>
      </c>
      <c r="J320" s="5" t="s">
        <v>158</v>
      </c>
      <c r="K320" s="5">
        <v>6</v>
      </c>
      <c r="L320" s="5">
        <v>700</v>
      </c>
      <c r="M320" s="5">
        <v>0.1</v>
      </c>
      <c r="N320" s="5">
        <v>3780</v>
      </c>
      <c r="O320" s="5">
        <v>2149.83</v>
      </c>
      <c r="P320" s="5">
        <v>1630.17</v>
      </c>
      <c r="Q320" s="5">
        <v>43.13</v>
      </c>
      <c r="R320" s="5" t="s">
        <v>106</v>
      </c>
      <c r="S320" s="5" t="s">
        <v>74</v>
      </c>
      <c r="T320" s="5" t="s">
        <v>107</v>
      </c>
      <c r="U320" s="5" t="s">
        <v>108</v>
      </c>
      <c r="V320" s="5">
        <v>2024</v>
      </c>
      <c r="W320" s="5" t="s">
        <v>65</v>
      </c>
      <c r="X320" s="5">
        <v>3</v>
      </c>
      <c r="Y320" s="1">
        <v>45301</v>
      </c>
      <c r="Z320" s="5" t="s">
        <v>110</v>
      </c>
      <c r="AA320" s="5" t="s">
        <v>67</v>
      </c>
      <c r="AB320" s="5" t="s">
        <v>49</v>
      </c>
      <c r="AC320" s="5" t="s">
        <v>121</v>
      </c>
      <c r="AD320" s="5">
        <v>4</v>
      </c>
    </row>
    <row r="321" spans="1:30">
      <c r="A321" s="5" t="s">
        <v>1147</v>
      </c>
      <c r="B321" s="1" t="s">
        <v>1148</v>
      </c>
      <c r="C321" s="5" t="s">
        <v>1149</v>
      </c>
      <c r="D321" s="5" t="s">
        <v>1150</v>
      </c>
      <c r="E321" s="5" t="s">
        <v>35</v>
      </c>
      <c r="F321" s="5" t="s">
        <v>116</v>
      </c>
      <c r="G321" s="5" t="s">
        <v>37</v>
      </c>
      <c r="H321" s="5" t="s">
        <v>94</v>
      </c>
      <c r="I321" s="5" t="s">
        <v>39</v>
      </c>
      <c r="J321" s="5" t="s">
        <v>356</v>
      </c>
      <c r="K321" s="5">
        <v>2</v>
      </c>
      <c r="L321" s="5">
        <v>8000</v>
      </c>
      <c r="M321" s="5">
        <v>0.2</v>
      </c>
      <c r="N321" s="5">
        <v>12800</v>
      </c>
      <c r="O321" s="5">
        <v>10138.35</v>
      </c>
      <c r="P321" s="5">
        <v>2661.65</v>
      </c>
      <c r="Q321" s="5">
        <v>20.79</v>
      </c>
      <c r="R321" s="5" t="s">
        <v>61</v>
      </c>
      <c r="S321" s="5" t="s">
        <v>74</v>
      </c>
      <c r="T321" s="5" t="s">
        <v>97</v>
      </c>
      <c r="U321" s="5" t="s">
        <v>108</v>
      </c>
      <c r="V321" s="5">
        <v>2024</v>
      </c>
      <c r="W321" s="5" t="s">
        <v>194</v>
      </c>
      <c r="X321" s="5">
        <v>8</v>
      </c>
      <c r="Y321" s="1" t="s">
        <v>788</v>
      </c>
      <c r="Z321" s="5" t="s">
        <v>47</v>
      </c>
      <c r="AA321" s="5" t="s">
        <v>67</v>
      </c>
      <c r="AB321" s="5" t="s">
        <v>111</v>
      </c>
      <c r="AC321" s="5" t="s">
        <v>121</v>
      </c>
      <c r="AD321" s="5">
        <v>5</v>
      </c>
    </row>
    <row r="322" spans="1:30">
      <c r="A322" s="5" t="s">
        <v>1151</v>
      </c>
      <c r="B322" s="1" t="s">
        <v>1123</v>
      </c>
      <c r="C322" s="5" t="s">
        <v>794</v>
      </c>
      <c r="D322" s="5" t="s">
        <v>1152</v>
      </c>
      <c r="E322" s="5" t="s">
        <v>103</v>
      </c>
      <c r="F322" s="5" t="s">
        <v>56</v>
      </c>
      <c r="G322" s="5" t="s">
        <v>57</v>
      </c>
      <c r="H322" s="5" t="s">
        <v>171</v>
      </c>
      <c r="I322" s="5" t="s">
        <v>71</v>
      </c>
      <c r="J322" s="5" t="s">
        <v>158</v>
      </c>
      <c r="K322" s="5">
        <v>7</v>
      </c>
      <c r="L322" s="5">
        <v>700</v>
      </c>
      <c r="M322" s="5">
        <v>0.2</v>
      </c>
      <c r="N322" s="5">
        <v>3920</v>
      </c>
      <c r="O322" s="5">
        <v>3165.88</v>
      </c>
      <c r="P322" s="5">
        <v>754.12</v>
      </c>
      <c r="Q322" s="5">
        <v>19.239999999999998</v>
      </c>
      <c r="R322" s="5" t="s">
        <v>61</v>
      </c>
      <c r="S322" s="5" t="s">
        <v>42</v>
      </c>
      <c r="T322" s="5" t="s">
        <v>159</v>
      </c>
      <c r="U322" s="5" t="s">
        <v>218</v>
      </c>
      <c r="V322" s="5">
        <v>2024</v>
      </c>
      <c r="W322" s="5" t="s">
        <v>126</v>
      </c>
      <c r="X322" s="5">
        <v>1</v>
      </c>
      <c r="Y322" s="1" t="s">
        <v>1030</v>
      </c>
      <c r="Z322" s="5" t="s">
        <v>110</v>
      </c>
      <c r="AA322" s="5" t="s">
        <v>67</v>
      </c>
      <c r="AB322" s="5" t="s">
        <v>49</v>
      </c>
      <c r="AC322" s="5" t="s">
        <v>121</v>
      </c>
      <c r="AD322" s="5">
        <v>3</v>
      </c>
    </row>
    <row r="323" spans="1:30">
      <c r="A323" s="5" t="s">
        <v>1153</v>
      </c>
      <c r="B323" s="1" t="s">
        <v>638</v>
      </c>
      <c r="C323" s="5" t="s">
        <v>1111</v>
      </c>
      <c r="D323" s="5" t="s">
        <v>1154</v>
      </c>
      <c r="E323" s="5" t="s">
        <v>103</v>
      </c>
      <c r="F323" s="5" t="s">
        <v>131</v>
      </c>
      <c r="G323" s="5" t="s">
        <v>132</v>
      </c>
      <c r="H323" s="5" t="s">
        <v>94</v>
      </c>
      <c r="I323" s="5" t="s">
        <v>84</v>
      </c>
      <c r="J323" s="5" t="s">
        <v>390</v>
      </c>
      <c r="K323" s="5">
        <v>8</v>
      </c>
      <c r="L323" s="5">
        <v>350</v>
      </c>
      <c r="M323" s="5">
        <v>0.05</v>
      </c>
      <c r="N323" s="5">
        <v>2660</v>
      </c>
      <c r="O323" s="5">
        <v>2157.87</v>
      </c>
      <c r="P323" s="5">
        <v>502.13</v>
      </c>
      <c r="Q323" s="5">
        <v>18.88</v>
      </c>
      <c r="R323" s="5" t="s">
        <v>106</v>
      </c>
      <c r="S323" s="5" t="s">
        <v>42</v>
      </c>
      <c r="T323" s="5" t="s">
        <v>97</v>
      </c>
      <c r="U323" s="5" t="s">
        <v>160</v>
      </c>
      <c r="V323" s="5">
        <v>2024</v>
      </c>
      <c r="W323" s="5" t="s">
        <v>65</v>
      </c>
      <c r="X323" s="5">
        <v>9</v>
      </c>
      <c r="Y323" s="1">
        <v>45511</v>
      </c>
      <c r="Z323" s="5" t="s">
        <v>47</v>
      </c>
      <c r="AA323" s="5" t="s">
        <v>67</v>
      </c>
      <c r="AB323" s="5" t="s">
        <v>49</v>
      </c>
      <c r="AC323" s="5" t="s">
        <v>50</v>
      </c>
      <c r="AD323" s="5">
        <v>2</v>
      </c>
    </row>
    <row r="324" spans="1:30">
      <c r="A324" s="5" t="s">
        <v>1155</v>
      </c>
      <c r="B324" s="1">
        <v>45300</v>
      </c>
      <c r="C324" s="5" t="s">
        <v>238</v>
      </c>
      <c r="D324" s="5" t="s">
        <v>499</v>
      </c>
      <c r="E324" s="5" t="s">
        <v>103</v>
      </c>
      <c r="F324" s="5" t="s">
        <v>245</v>
      </c>
      <c r="G324" s="5" t="s">
        <v>246</v>
      </c>
      <c r="H324" s="5" t="s">
        <v>94</v>
      </c>
      <c r="I324" s="5" t="s">
        <v>39</v>
      </c>
      <c r="J324" s="5" t="s">
        <v>105</v>
      </c>
      <c r="K324" s="5">
        <v>1</v>
      </c>
      <c r="L324" s="5">
        <v>50000</v>
      </c>
      <c r="M324" s="5">
        <v>0.2</v>
      </c>
      <c r="N324" s="5">
        <v>40000</v>
      </c>
      <c r="O324" s="5">
        <v>22680.32</v>
      </c>
      <c r="P324" s="5">
        <v>17319.68</v>
      </c>
      <c r="Q324" s="5">
        <v>43.3</v>
      </c>
      <c r="R324" s="5" t="s">
        <v>106</v>
      </c>
      <c r="S324" s="5" t="s">
        <v>74</v>
      </c>
      <c r="T324" s="5" t="s">
        <v>97</v>
      </c>
      <c r="U324" s="5" t="s">
        <v>108</v>
      </c>
      <c r="V324" s="5">
        <v>2024</v>
      </c>
      <c r="W324" s="5" t="s">
        <v>45</v>
      </c>
      <c r="X324" s="5">
        <v>8</v>
      </c>
      <c r="Y324" s="1">
        <v>45544</v>
      </c>
      <c r="Z324" s="5" t="s">
        <v>110</v>
      </c>
      <c r="AA324" s="5" t="s">
        <v>90</v>
      </c>
      <c r="AB324" s="5" t="s">
        <v>78</v>
      </c>
      <c r="AC324" s="5" t="s">
        <v>121</v>
      </c>
      <c r="AD324" s="5">
        <v>4</v>
      </c>
    </row>
    <row r="325" spans="1:30">
      <c r="A325" s="5" t="s">
        <v>1156</v>
      </c>
      <c r="B325" s="1" t="s">
        <v>411</v>
      </c>
      <c r="C325" s="5" t="s">
        <v>652</v>
      </c>
      <c r="D325" s="5" t="s">
        <v>1157</v>
      </c>
      <c r="E325" s="5" t="s">
        <v>35</v>
      </c>
      <c r="F325" s="5" t="s">
        <v>36</v>
      </c>
      <c r="G325" s="5" t="s">
        <v>37</v>
      </c>
      <c r="H325" s="5" t="s">
        <v>94</v>
      </c>
      <c r="I325" s="5" t="s">
        <v>95</v>
      </c>
      <c r="J325" s="5" t="s">
        <v>96</v>
      </c>
      <c r="K325" s="5">
        <v>8</v>
      </c>
      <c r="L325" s="5">
        <v>15000</v>
      </c>
      <c r="M325" s="5">
        <v>0.05</v>
      </c>
      <c r="N325" s="5">
        <v>114000</v>
      </c>
      <c r="O325" s="5">
        <v>63835.09</v>
      </c>
      <c r="P325" s="5">
        <v>50164.91</v>
      </c>
      <c r="Q325" s="5">
        <v>44</v>
      </c>
      <c r="R325" s="5" t="s">
        <v>41</v>
      </c>
      <c r="S325" s="5" t="s">
        <v>74</v>
      </c>
      <c r="T325" s="5" t="s">
        <v>86</v>
      </c>
      <c r="U325" s="5" t="s">
        <v>218</v>
      </c>
      <c r="V325" s="5">
        <v>2025</v>
      </c>
      <c r="W325" s="5" t="s">
        <v>65</v>
      </c>
      <c r="X325" s="5">
        <v>4</v>
      </c>
      <c r="Y325" s="1" t="s">
        <v>1115</v>
      </c>
      <c r="Z325" s="5" t="s">
        <v>47</v>
      </c>
      <c r="AA325" s="5" t="s">
        <v>48</v>
      </c>
      <c r="AB325" s="5" t="s">
        <v>111</v>
      </c>
      <c r="AC325" s="5" t="s">
        <v>121</v>
      </c>
      <c r="AD325" s="5">
        <v>1</v>
      </c>
    </row>
    <row r="326" spans="1:30">
      <c r="A326" s="5" t="s">
        <v>1158</v>
      </c>
      <c r="B326" s="1" t="s">
        <v>940</v>
      </c>
      <c r="C326" s="5" t="s">
        <v>1159</v>
      </c>
      <c r="D326" s="5" t="s">
        <v>1014</v>
      </c>
      <c r="E326" s="5" t="s">
        <v>103</v>
      </c>
      <c r="F326" s="5" t="s">
        <v>245</v>
      </c>
      <c r="G326" s="5" t="s">
        <v>246</v>
      </c>
      <c r="H326" s="5" t="s">
        <v>38</v>
      </c>
      <c r="I326" s="5" t="s">
        <v>39</v>
      </c>
      <c r="J326" s="5" t="s">
        <v>40</v>
      </c>
      <c r="K326" s="5">
        <v>2</v>
      </c>
      <c r="L326" s="5">
        <v>22000</v>
      </c>
      <c r="M326" s="5">
        <v>0.2</v>
      </c>
      <c r="N326" s="5">
        <v>35200</v>
      </c>
      <c r="O326" s="5">
        <v>27132.37</v>
      </c>
      <c r="P326" s="5">
        <v>8067.63</v>
      </c>
      <c r="Q326" s="5">
        <v>22.92</v>
      </c>
      <c r="R326" s="5" t="s">
        <v>106</v>
      </c>
      <c r="S326" s="5" t="s">
        <v>74</v>
      </c>
      <c r="T326" s="5" t="s">
        <v>75</v>
      </c>
      <c r="U326" s="5" t="s">
        <v>160</v>
      </c>
      <c r="V326" s="5">
        <v>2024</v>
      </c>
      <c r="W326" s="5" t="s">
        <v>45</v>
      </c>
      <c r="X326" s="5">
        <v>10</v>
      </c>
      <c r="Y326" s="1">
        <v>45358</v>
      </c>
      <c r="Z326" s="5" t="s">
        <v>47</v>
      </c>
      <c r="AA326" s="5" t="s">
        <v>67</v>
      </c>
      <c r="AB326" s="5" t="s">
        <v>111</v>
      </c>
      <c r="AC326" s="5" t="s">
        <v>50</v>
      </c>
      <c r="AD326" s="5">
        <v>3</v>
      </c>
    </row>
    <row r="327" spans="1:30">
      <c r="A327" s="5" t="s">
        <v>1160</v>
      </c>
      <c r="B327" s="1" t="s">
        <v>874</v>
      </c>
      <c r="C327" s="5" t="s">
        <v>1161</v>
      </c>
      <c r="D327" s="5" t="s">
        <v>1162</v>
      </c>
      <c r="E327" s="5" t="s">
        <v>55</v>
      </c>
      <c r="F327" s="5" t="s">
        <v>36</v>
      </c>
      <c r="G327" s="5" t="s">
        <v>37</v>
      </c>
      <c r="H327" s="5" t="s">
        <v>38</v>
      </c>
      <c r="I327" s="5" t="s">
        <v>59</v>
      </c>
      <c r="J327" s="5" t="s">
        <v>372</v>
      </c>
      <c r="K327" s="5">
        <v>3</v>
      </c>
      <c r="L327" s="5">
        <v>1200</v>
      </c>
      <c r="M327" s="5">
        <v>0.05</v>
      </c>
      <c r="N327" s="5">
        <v>3420</v>
      </c>
      <c r="O327" s="5">
        <v>2190.8000000000002</v>
      </c>
      <c r="P327" s="5">
        <v>1229.2</v>
      </c>
      <c r="Q327" s="5">
        <v>35.94</v>
      </c>
      <c r="R327" s="5" t="s">
        <v>61</v>
      </c>
      <c r="S327" s="5" t="s">
        <v>42</v>
      </c>
      <c r="T327" s="5" t="s">
        <v>118</v>
      </c>
      <c r="U327" s="5" t="s">
        <v>98</v>
      </c>
      <c r="V327" s="5">
        <v>2024</v>
      </c>
      <c r="W327" s="5" t="s">
        <v>194</v>
      </c>
      <c r="X327" s="5">
        <v>10</v>
      </c>
      <c r="Y327" s="1" t="s">
        <v>1163</v>
      </c>
      <c r="Z327" s="5" t="s">
        <v>47</v>
      </c>
      <c r="AA327" s="5" t="s">
        <v>67</v>
      </c>
      <c r="AB327" s="5" t="s">
        <v>49</v>
      </c>
      <c r="AC327" s="5" t="s">
        <v>121</v>
      </c>
      <c r="AD327" s="5">
        <v>2</v>
      </c>
    </row>
    <row r="328" spans="1:30">
      <c r="A328" s="5" t="s">
        <v>1164</v>
      </c>
      <c r="B328" s="1" t="s">
        <v>1165</v>
      </c>
      <c r="C328" s="5" t="s">
        <v>1001</v>
      </c>
      <c r="D328" s="5" t="s">
        <v>1166</v>
      </c>
      <c r="E328" s="5" t="s">
        <v>55</v>
      </c>
      <c r="F328" s="5" t="s">
        <v>36</v>
      </c>
      <c r="G328" s="5" t="s">
        <v>37</v>
      </c>
      <c r="H328" s="5" t="s">
        <v>94</v>
      </c>
      <c r="I328" s="5" t="s">
        <v>59</v>
      </c>
      <c r="J328" s="5" t="s">
        <v>133</v>
      </c>
      <c r="K328" s="5">
        <v>3</v>
      </c>
      <c r="L328" s="5">
        <v>500</v>
      </c>
      <c r="M328" s="5">
        <v>0.15</v>
      </c>
      <c r="N328" s="5">
        <v>1275</v>
      </c>
      <c r="O328" s="5">
        <v>763.01</v>
      </c>
      <c r="P328" s="5">
        <v>511.99</v>
      </c>
      <c r="Q328" s="5">
        <v>40.159999999999997</v>
      </c>
      <c r="R328" s="5" t="s">
        <v>166</v>
      </c>
      <c r="S328" s="5" t="s">
        <v>42</v>
      </c>
      <c r="T328" s="5" t="s">
        <v>118</v>
      </c>
      <c r="U328" s="5" t="s">
        <v>178</v>
      </c>
      <c r="V328" s="5">
        <v>2024</v>
      </c>
      <c r="W328" s="5" t="s">
        <v>65</v>
      </c>
      <c r="X328" s="5">
        <v>1</v>
      </c>
      <c r="Y328" s="1" t="s">
        <v>486</v>
      </c>
      <c r="Z328" s="5" t="s">
        <v>47</v>
      </c>
      <c r="AA328" s="5" t="s">
        <v>90</v>
      </c>
      <c r="AB328" s="5" t="s">
        <v>49</v>
      </c>
      <c r="AC328" s="5" t="s">
        <v>50</v>
      </c>
      <c r="AD328" s="5">
        <v>5</v>
      </c>
    </row>
    <row r="329" spans="1:30">
      <c r="A329" s="5" t="s">
        <v>1167</v>
      </c>
      <c r="B329" s="1">
        <v>45697</v>
      </c>
      <c r="C329" s="5" t="s">
        <v>1001</v>
      </c>
      <c r="D329" s="5" t="s">
        <v>343</v>
      </c>
      <c r="E329" s="5" t="s">
        <v>55</v>
      </c>
      <c r="F329" s="5" t="s">
        <v>56</v>
      </c>
      <c r="G329" s="5" t="s">
        <v>57</v>
      </c>
      <c r="H329" s="5" t="s">
        <v>58</v>
      </c>
      <c r="I329" s="5" t="s">
        <v>71</v>
      </c>
      <c r="J329" s="5" t="s">
        <v>117</v>
      </c>
      <c r="K329" s="5">
        <v>3</v>
      </c>
      <c r="L329" s="5">
        <v>3500</v>
      </c>
      <c r="M329" s="5">
        <v>0</v>
      </c>
      <c r="N329" s="5">
        <v>10500</v>
      </c>
      <c r="O329" s="5">
        <v>7510.16</v>
      </c>
      <c r="P329" s="5">
        <v>2989.84</v>
      </c>
      <c r="Q329" s="5">
        <v>28.47</v>
      </c>
      <c r="R329" s="5" t="s">
        <v>41</v>
      </c>
      <c r="S329" s="5" t="s">
        <v>74</v>
      </c>
      <c r="T329" s="5" t="s">
        <v>86</v>
      </c>
      <c r="U329" s="5" t="s">
        <v>108</v>
      </c>
      <c r="V329" s="5">
        <v>2025</v>
      </c>
      <c r="W329" s="5" t="s">
        <v>109</v>
      </c>
      <c r="X329" s="5">
        <v>3</v>
      </c>
      <c r="Y329" s="1">
        <v>45786</v>
      </c>
      <c r="Z329" s="5" t="s">
        <v>110</v>
      </c>
      <c r="AA329" s="5" t="s">
        <v>90</v>
      </c>
      <c r="AB329" s="5" t="s">
        <v>111</v>
      </c>
      <c r="AC329" s="5" t="s">
        <v>121</v>
      </c>
      <c r="AD329" s="5">
        <v>5</v>
      </c>
    </row>
    <row r="330" spans="1:30">
      <c r="A330" s="5" t="s">
        <v>1168</v>
      </c>
      <c r="B330" s="1">
        <v>45575</v>
      </c>
      <c r="C330" s="5" t="s">
        <v>1149</v>
      </c>
      <c r="D330" s="5" t="s">
        <v>263</v>
      </c>
      <c r="E330" s="5" t="s">
        <v>35</v>
      </c>
      <c r="F330" s="5" t="s">
        <v>82</v>
      </c>
      <c r="G330" s="5" t="s">
        <v>83</v>
      </c>
      <c r="H330" s="5" t="s">
        <v>38</v>
      </c>
      <c r="I330" s="5" t="s">
        <v>59</v>
      </c>
      <c r="J330" s="5" t="s">
        <v>372</v>
      </c>
      <c r="K330" s="5">
        <v>4</v>
      </c>
      <c r="L330" s="5">
        <v>2000</v>
      </c>
      <c r="M330" s="5">
        <v>0.05</v>
      </c>
      <c r="N330" s="5">
        <v>7600</v>
      </c>
      <c r="O330" s="5">
        <v>4411.22</v>
      </c>
      <c r="P330" s="5">
        <v>3188.78</v>
      </c>
      <c r="Q330" s="5">
        <v>41.96</v>
      </c>
      <c r="R330" s="5" t="s">
        <v>106</v>
      </c>
      <c r="S330" s="5" t="s">
        <v>74</v>
      </c>
      <c r="T330" s="5" t="s">
        <v>97</v>
      </c>
      <c r="U330" s="5" t="s">
        <v>87</v>
      </c>
      <c r="V330" s="5">
        <v>2024</v>
      </c>
      <c r="W330" s="5" t="s">
        <v>139</v>
      </c>
      <c r="X330" s="5">
        <v>1</v>
      </c>
      <c r="Y330" s="1">
        <v>45606</v>
      </c>
      <c r="Z330" s="5" t="s">
        <v>47</v>
      </c>
      <c r="AA330" s="5" t="s">
        <v>67</v>
      </c>
      <c r="AB330" s="5" t="s">
        <v>49</v>
      </c>
      <c r="AC330" s="5" t="s">
        <v>50</v>
      </c>
      <c r="AD330" s="5">
        <v>3</v>
      </c>
    </row>
    <row r="331" spans="1:30">
      <c r="A331" s="5" t="s">
        <v>1169</v>
      </c>
      <c r="B331" s="1">
        <v>45754</v>
      </c>
      <c r="C331" s="5" t="s">
        <v>1132</v>
      </c>
      <c r="D331" s="5" t="s">
        <v>1170</v>
      </c>
      <c r="E331" s="5" t="s">
        <v>35</v>
      </c>
      <c r="F331" s="5" t="s">
        <v>82</v>
      </c>
      <c r="G331" s="5" t="s">
        <v>83</v>
      </c>
      <c r="H331" s="5" t="s">
        <v>38</v>
      </c>
      <c r="I331" s="5" t="s">
        <v>59</v>
      </c>
      <c r="J331" s="5" t="s">
        <v>133</v>
      </c>
      <c r="K331" s="5">
        <v>1</v>
      </c>
      <c r="L331" s="5">
        <v>500</v>
      </c>
      <c r="M331" s="5">
        <v>0</v>
      </c>
      <c r="N331" s="5">
        <v>500</v>
      </c>
      <c r="O331" s="5">
        <v>381.04</v>
      </c>
      <c r="P331" s="5">
        <v>118.96</v>
      </c>
      <c r="Q331" s="5">
        <v>23.79</v>
      </c>
      <c r="R331" s="5" t="s">
        <v>166</v>
      </c>
      <c r="S331" s="5" t="s">
        <v>42</v>
      </c>
      <c r="T331" s="5" t="s">
        <v>63</v>
      </c>
      <c r="U331" s="5" t="s">
        <v>151</v>
      </c>
      <c r="V331" s="5">
        <v>2025</v>
      </c>
      <c r="W331" s="5" t="s">
        <v>194</v>
      </c>
      <c r="X331" s="5">
        <v>3</v>
      </c>
      <c r="Y331" s="1">
        <v>45845</v>
      </c>
      <c r="Z331" s="5" t="s">
        <v>47</v>
      </c>
      <c r="AA331" s="5" t="s">
        <v>67</v>
      </c>
      <c r="AB331" s="5" t="s">
        <v>78</v>
      </c>
      <c r="AC331" s="5" t="s">
        <v>121</v>
      </c>
      <c r="AD331" s="5">
        <v>3</v>
      </c>
    </row>
    <row r="332" spans="1:30">
      <c r="A332" s="5" t="s">
        <v>1171</v>
      </c>
      <c r="B332" s="1" t="s">
        <v>324</v>
      </c>
      <c r="C332" s="5" t="s">
        <v>633</v>
      </c>
      <c r="D332" s="5" t="s">
        <v>855</v>
      </c>
      <c r="E332" s="5" t="s">
        <v>55</v>
      </c>
      <c r="F332" s="5" t="s">
        <v>149</v>
      </c>
      <c r="G332" s="5" t="s">
        <v>150</v>
      </c>
      <c r="H332" s="5" t="s">
        <v>58</v>
      </c>
      <c r="I332" s="5" t="s">
        <v>39</v>
      </c>
      <c r="J332" s="5" t="s">
        <v>40</v>
      </c>
      <c r="K332" s="5">
        <v>4</v>
      </c>
      <c r="L332" s="5">
        <v>8000</v>
      </c>
      <c r="M332" s="5">
        <v>0.05</v>
      </c>
      <c r="N332" s="5">
        <v>30400</v>
      </c>
      <c r="O332" s="5">
        <v>24036.33</v>
      </c>
      <c r="P332" s="5">
        <v>6363.67</v>
      </c>
      <c r="Q332" s="5">
        <v>20.93</v>
      </c>
      <c r="R332" s="5" t="s">
        <v>166</v>
      </c>
      <c r="S332" s="5" t="s">
        <v>74</v>
      </c>
      <c r="T332" s="5" t="s">
        <v>86</v>
      </c>
      <c r="U332" s="5" t="s">
        <v>98</v>
      </c>
      <c r="V332" s="5">
        <v>2025</v>
      </c>
      <c r="W332" s="5" t="s">
        <v>134</v>
      </c>
      <c r="X332" s="5">
        <v>4</v>
      </c>
      <c r="Y332" s="1">
        <v>45691</v>
      </c>
      <c r="Z332" s="5" t="s">
        <v>110</v>
      </c>
      <c r="AA332" s="5" t="s">
        <v>48</v>
      </c>
      <c r="AB332" s="5" t="s">
        <v>78</v>
      </c>
      <c r="AC332" s="5" t="s">
        <v>121</v>
      </c>
      <c r="AD332" s="5">
        <v>4</v>
      </c>
    </row>
    <row r="333" spans="1:30">
      <c r="A333" s="5" t="s">
        <v>1172</v>
      </c>
      <c r="B333" s="1" t="s">
        <v>1173</v>
      </c>
      <c r="C333" s="5" t="s">
        <v>1174</v>
      </c>
      <c r="D333" s="5" t="s">
        <v>1175</v>
      </c>
      <c r="E333" s="5" t="s">
        <v>35</v>
      </c>
      <c r="F333" s="5" t="s">
        <v>82</v>
      </c>
      <c r="G333" s="5" t="s">
        <v>83</v>
      </c>
      <c r="H333" s="5" t="s">
        <v>58</v>
      </c>
      <c r="I333" s="5" t="s">
        <v>95</v>
      </c>
      <c r="J333" s="5" t="s">
        <v>440</v>
      </c>
      <c r="K333" s="5">
        <v>4</v>
      </c>
      <c r="L333" s="5">
        <v>6000</v>
      </c>
      <c r="M333" s="5">
        <v>0.1</v>
      </c>
      <c r="N333" s="5">
        <v>21600</v>
      </c>
      <c r="O333" s="5">
        <v>12067.18</v>
      </c>
      <c r="P333" s="5">
        <v>9532.82</v>
      </c>
      <c r="Q333" s="5">
        <v>44.13</v>
      </c>
      <c r="R333" s="5" t="s">
        <v>166</v>
      </c>
      <c r="S333" s="5" t="s">
        <v>62</v>
      </c>
      <c r="T333" s="5" t="s">
        <v>75</v>
      </c>
      <c r="U333" s="5" t="s">
        <v>151</v>
      </c>
      <c r="V333" s="5">
        <v>2024</v>
      </c>
      <c r="W333" s="5" t="s">
        <v>194</v>
      </c>
      <c r="X333" s="5">
        <v>6</v>
      </c>
      <c r="Y333" s="1">
        <v>45299</v>
      </c>
      <c r="Z333" s="5" t="s">
        <v>47</v>
      </c>
      <c r="AA333" s="5" t="s">
        <v>90</v>
      </c>
      <c r="AB333" s="5" t="s">
        <v>78</v>
      </c>
      <c r="AC333" s="5" t="s">
        <v>121</v>
      </c>
      <c r="AD333" s="5">
        <v>3</v>
      </c>
    </row>
    <row r="334" spans="1:30">
      <c r="A334" s="5" t="s">
        <v>1176</v>
      </c>
      <c r="B334" s="1" t="s">
        <v>835</v>
      </c>
      <c r="C334" s="5" t="s">
        <v>596</v>
      </c>
      <c r="D334" s="5" t="s">
        <v>364</v>
      </c>
      <c r="E334" s="5" t="s">
        <v>55</v>
      </c>
      <c r="F334" s="5" t="s">
        <v>144</v>
      </c>
      <c r="G334" s="5" t="s">
        <v>145</v>
      </c>
      <c r="H334" s="5" t="s">
        <v>94</v>
      </c>
      <c r="I334" s="5" t="s">
        <v>95</v>
      </c>
      <c r="J334" s="5" t="s">
        <v>96</v>
      </c>
      <c r="K334" s="5">
        <v>3</v>
      </c>
      <c r="L334" s="5">
        <v>15000</v>
      </c>
      <c r="M334" s="5">
        <v>0.2</v>
      </c>
      <c r="N334" s="5">
        <v>36000</v>
      </c>
      <c r="O334" s="5">
        <v>28129.78</v>
      </c>
      <c r="P334" s="5">
        <v>7870.22</v>
      </c>
      <c r="Q334" s="5">
        <v>21.86</v>
      </c>
      <c r="R334" s="5" t="s">
        <v>61</v>
      </c>
      <c r="S334" s="5" t="s">
        <v>74</v>
      </c>
      <c r="T334" s="5" t="s">
        <v>75</v>
      </c>
      <c r="U334" s="5" t="s">
        <v>218</v>
      </c>
      <c r="V334" s="5">
        <v>2024</v>
      </c>
      <c r="W334" s="5" t="s">
        <v>194</v>
      </c>
      <c r="X334" s="5">
        <v>2</v>
      </c>
      <c r="Y334" s="1" t="s">
        <v>906</v>
      </c>
      <c r="Z334" s="5" t="s">
        <v>110</v>
      </c>
      <c r="AA334" s="5" t="s">
        <v>48</v>
      </c>
      <c r="AB334" s="5" t="s">
        <v>49</v>
      </c>
      <c r="AC334" s="5" t="s">
        <v>121</v>
      </c>
      <c r="AD334" s="5">
        <v>3</v>
      </c>
    </row>
    <row r="335" spans="1:30">
      <c r="A335" s="5" t="s">
        <v>1177</v>
      </c>
      <c r="B335" s="1">
        <v>45444</v>
      </c>
      <c r="C335" s="5" t="s">
        <v>1129</v>
      </c>
      <c r="D335" s="5" t="s">
        <v>434</v>
      </c>
      <c r="E335" s="5" t="s">
        <v>55</v>
      </c>
      <c r="F335" s="5" t="s">
        <v>156</v>
      </c>
      <c r="G335" s="5" t="s">
        <v>157</v>
      </c>
      <c r="H335" s="5" t="s">
        <v>94</v>
      </c>
      <c r="I335" s="5" t="s">
        <v>59</v>
      </c>
      <c r="J335" s="5" t="s">
        <v>206</v>
      </c>
      <c r="K335" s="5">
        <v>10</v>
      </c>
      <c r="L335" s="5">
        <v>800</v>
      </c>
      <c r="M335" s="5">
        <v>0.2</v>
      </c>
      <c r="N335" s="5">
        <v>6400</v>
      </c>
      <c r="O335" s="5">
        <v>3589.22</v>
      </c>
      <c r="P335" s="5">
        <v>2810.78</v>
      </c>
      <c r="Q335" s="5">
        <v>43.92</v>
      </c>
      <c r="R335" s="5" t="s">
        <v>166</v>
      </c>
      <c r="S335" s="5" t="s">
        <v>42</v>
      </c>
      <c r="T335" s="5" t="s">
        <v>173</v>
      </c>
      <c r="U335" s="5" t="s">
        <v>76</v>
      </c>
      <c r="V335" s="5">
        <v>2024</v>
      </c>
      <c r="W335" s="5" t="s">
        <v>65</v>
      </c>
      <c r="X335" s="5">
        <v>7</v>
      </c>
      <c r="Y335" s="1" t="s">
        <v>697</v>
      </c>
      <c r="Z335" s="5" t="s">
        <v>47</v>
      </c>
      <c r="AA335" s="5" t="s">
        <v>67</v>
      </c>
      <c r="AB335" s="5" t="s">
        <v>78</v>
      </c>
      <c r="AC335" s="5" t="s">
        <v>121</v>
      </c>
      <c r="AD335" s="5">
        <v>1</v>
      </c>
    </row>
    <row r="336" spans="1:30">
      <c r="A336" s="5" t="s">
        <v>1178</v>
      </c>
      <c r="B336" s="1" t="s">
        <v>797</v>
      </c>
      <c r="C336" s="5" t="s">
        <v>402</v>
      </c>
      <c r="D336" s="5" t="s">
        <v>660</v>
      </c>
      <c r="E336" s="5" t="s">
        <v>103</v>
      </c>
      <c r="F336" s="5" t="s">
        <v>131</v>
      </c>
      <c r="G336" s="5" t="s">
        <v>132</v>
      </c>
      <c r="H336" s="5" t="s">
        <v>94</v>
      </c>
      <c r="I336" s="5" t="s">
        <v>39</v>
      </c>
      <c r="J336" s="5" t="s">
        <v>253</v>
      </c>
      <c r="K336" s="5">
        <v>4</v>
      </c>
      <c r="L336" s="5">
        <v>12000</v>
      </c>
      <c r="M336" s="5">
        <v>0.1</v>
      </c>
      <c r="N336" s="5">
        <v>43200</v>
      </c>
      <c r="O336" s="5">
        <v>23945.81</v>
      </c>
      <c r="P336" s="5">
        <v>19254.189999999999</v>
      </c>
      <c r="Q336" s="5">
        <v>44.57</v>
      </c>
      <c r="R336" s="5" t="s">
        <v>41</v>
      </c>
      <c r="S336" s="5" t="s">
        <v>42</v>
      </c>
      <c r="T336" s="5" t="s">
        <v>63</v>
      </c>
      <c r="U336" s="5" t="s">
        <v>87</v>
      </c>
      <c r="V336" s="5">
        <v>2024</v>
      </c>
      <c r="W336" s="5" t="s">
        <v>109</v>
      </c>
      <c r="X336" s="5">
        <v>4</v>
      </c>
      <c r="Y336" s="1">
        <v>45333</v>
      </c>
      <c r="Z336" s="5" t="s">
        <v>47</v>
      </c>
      <c r="AA336" s="5" t="s">
        <v>90</v>
      </c>
      <c r="AB336" s="5" t="s">
        <v>78</v>
      </c>
      <c r="AC336" s="5" t="s">
        <v>50</v>
      </c>
      <c r="AD336" s="5">
        <v>2</v>
      </c>
    </row>
    <row r="337" spans="1:30">
      <c r="A337" s="5" t="s">
        <v>1179</v>
      </c>
      <c r="B337" s="1" t="s">
        <v>1180</v>
      </c>
      <c r="C337" s="5" t="s">
        <v>1181</v>
      </c>
      <c r="D337" s="5" t="s">
        <v>947</v>
      </c>
      <c r="E337" s="5" t="s">
        <v>103</v>
      </c>
      <c r="F337" s="5" t="s">
        <v>156</v>
      </c>
      <c r="G337" s="5" t="s">
        <v>157</v>
      </c>
      <c r="H337" s="5" t="s">
        <v>38</v>
      </c>
      <c r="I337" s="5" t="s">
        <v>95</v>
      </c>
      <c r="J337" s="5" t="s">
        <v>184</v>
      </c>
      <c r="K337" s="5">
        <v>8</v>
      </c>
      <c r="L337" s="5">
        <v>2500</v>
      </c>
      <c r="M337" s="5">
        <v>0</v>
      </c>
      <c r="N337" s="5">
        <v>20000</v>
      </c>
      <c r="O337" s="5">
        <v>11176.66</v>
      </c>
      <c r="P337" s="5">
        <v>8823.34</v>
      </c>
      <c r="Q337" s="5">
        <v>44.12</v>
      </c>
      <c r="R337" s="5" t="s">
        <v>106</v>
      </c>
      <c r="S337" s="5" t="s">
        <v>42</v>
      </c>
      <c r="T337" s="5" t="s">
        <v>97</v>
      </c>
      <c r="U337" s="5" t="s">
        <v>76</v>
      </c>
      <c r="V337" s="5">
        <v>2025</v>
      </c>
      <c r="W337" s="5" t="s">
        <v>134</v>
      </c>
      <c r="X337" s="5">
        <v>6</v>
      </c>
      <c r="Y337" s="1">
        <v>45749</v>
      </c>
      <c r="Z337" s="5" t="s">
        <v>89</v>
      </c>
      <c r="AA337" s="5" t="s">
        <v>48</v>
      </c>
      <c r="AB337" s="5" t="s">
        <v>49</v>
      </c>
      <c r="AC337" s="5" t="s">
        <v>50</v>
      </c>
      <c r="AD337" s="5">
        <v>1</v>
      </c>
    </row>
    <row r="338" spans="1:30">
      <c r="A338" s="5" t="s">
        <v>1182</v>
      </c>
      <c r="B338" s="1">
        <v>45901</v>
      </c>
      <c r="C338" s="5" t="s">
        <v>1183</v>
      </c>
      <c r="D338" s="5" t="s">
        <v>177</v>
      </c>
      <c r="E338" s="5" t="s">
        <v>35</v>
      </c>
      <c r="F338" s="5" t="s">
        <v>36</v>
      </c>
      <c r="G338" s="5" t="s">
        <v>37</v>
      </c>
      <c r="H338" s="5" t="s">
        <v>38</v>
      </c>
      <c r="I338" s="5" t="s">
        <v>71</v>
      </c>
      <c r="J338" s="5" t="s">
        <v>240</v>
      </c>
      <c r="K338" s="5">
        <v>8</v>
      </c>
      <c r="L338" s="5">
        <v>3500</v>
      </c>
      <c r="M338" s="5">
        <v>0</v>
      </c>
      <c r="N338" s="5">
        <v>28000</v>
      </c>
      <c r="O338" s="5">
        <v>20300.189999999999</v>
      </c>
      <c r="P338" s="5">
        <v>7699.81</v>
      </c>
      <c r="Q338" s="5">
        <v>27.5</v>
      </c>
      <c r="R338" s="5" t="s">
        <v>61</v>
      </c>
      <c r="S338" s="5" t="s">
        <v>74</v>
      </c>
      <c r="T338" s="5" t="s">
        <v>107</v>
      </c>
      <c r="U338" s="5" t="s">
        <v>76</v>
      </c>
      <c r="V338" s="5">
        <v>2025</v>
      </c>
      <c r="W338" s="5" t="s">
        <v>139</v>
      </c>
      <c r="X338" s="5">
        <v>6</v>
      </c>
      <c r="Y338" s="1" t="s">
        <v>77</v>
      </c>
      <c r="Z338" s="5" t="s">
        <v>47</v>
      </c>
      <c r="AA338" s="5" t="s">
        <v>90</v>
      </c>
      <c r="AB338" s="5" t="s">
        <v>111</v>
      </c>
      <c r="AC338" s="5" t="s">
        <v>50</v>
      </c>
      <c r="AD338" s="5">
        <v>5</v>
      </c>
    </row>
    <row r="339" spans="1:30">
      <c r="A339" s="5" t="s">
        <v>1184</v>
      </c>
      <c r="B339" s="1" t="s">
        <v>441</v>
      </c>
      <c r="C339" s="5" t="s">
        <v>729</v>
      </c>
      <c r="D339" s="5" t="s">
        <v>130</v>
      </c>
      <c r="E339" s="5" t="s">
        <v>55</v>
      </c>
      <c r="F339" s="5" t="s">
        <v>149</v>
      </c>
      <c r="G339" s="5" t="s">
        <v>150</v>
      </c>
      <c r="H339" s="5" t="s">
        <v>58</v>
      </c>
      <c r="I339" s="5" t="s">
        <v>95</v>
      </c>
      <c r="J339" s="5" t="s">
        <v>184</v>
      </c>
      <c r="K339" s="5">
        <v>6</v>
      </c>
      <c r="L339" s="5">
        <v>6000</v>
      </c>
      <c r="M339" s="5">
        <v>0.2</v>
      </c>
      <c r="N339" s="5">
        <v>28800</v>
      </c>
      <c r="O339" s="5">
        <v>16263.48</v>
      </c>
      <c r="P339" s="5">
        <v>12536.52</v>
      </c>
      <c r="Q339" s="5">
        <v>43.53</v>
      </c>
      <c r="R339" s="5" t="s">
        <v>166</v>
      </c>
      <c r="S339" s="5" t="s">
        <v>42</v>
      </c>
      <c r="T339" s="5" t="s">
        <v>107</v>
      </c>
      <c r="U339" s="5" t="s">
        <v>198</v>
      </c>
      <c r="V339" s="5">
        <v>2025</v>
      </c>
      <c r="W339" s="5" t="s">
        <v>139</v>
      </c>
      <c r="X339" s="5">
        <v>7</v>
      </c>
      <c r="Y339" s="1">
        <v>45759</v>
      </c>
      <c r="Z339" s="5" t="s">
        <v>47</v>
      </c>
      <c r="AA339" s="5" t="s">
        <v>48</v>
      </c>
      <c r="AB339" s="5" t="s">
        <v>111</v>
      </c>
      <c r="AC339" s="5" t="s">
        <v>50</v>
      </c>
      <c r="AD339" s="5">
        <v>4</v>
      </c>
    </row>
    <row r="340" spans="1:30">
      <c r="A340" s="5" t="s">
        <v>1185</v>
      </c>
      <c r="B340" s="1" t="s">
        <v>1165</v>
      </c>
      <c r="C340" s="5" t="s">
        <v>1186</v>
      </c>
      <c r="D340" s="5" t="s">
        <v>1187</v>
      </c>
      <c r="E340" s="5" t="s">
        <v>55</v>
      </c>
      <c r="F340" s="5" t="s">
        <v>144</v>
      </c>
      <c r="G340" s="5" t="s">
        <v>145</v>
      </c>
      <c r="H340" s="5" t="s">
        <v>58</v>
      </c>
      <c r="I340" s="5" t="s">
        <v>84</v>
      </c>
      <c r="J340" s="5" t="s">
        <v>390</v>
      </c>
      <c r="K340" s="5">
        <v>4</v>
      </c>
      <c r="L340" s="5">
        <v>500</v>
      </c>
      <c r="M340" s="5">
        <v>0</v>
      </c>
      <c r="N340" s="5">
        <v>2000</v>
      </c>
      <c r="O340" s="5">
        <v>1255.72</v>
      </c>
      <c r="P340" s="5">
        <v>744.28</v>
      </c>
      <c r="Q340" s="5">
        <v>37.21</v>
      </c>
      <c r="R340" s="5" t="s">
        <v>73</v>
      </c>
      <c r="S340" s="5" t="s">
        <v>62</v>
      </c>
      <c r="T340" s="5" t="s">
        <v>118</v>
      </c>
      <c r="U340" s="5" t="s">
        <v>178</v>
      </c>
      <c r="V340" s="5">
        <v>2024</v>
      </c>
      <c r="W340" s="5" t="s">
        <v>65</v>
      </c>
      <c r="X340" s="5">
        <v>7</v>
      </c>
      <c r="Y340" s="1" t="s">
        <v>1188</v>
      </c>
      <c r="Z340" s="5" t="s">
        <v>47</v>
      </c>
      <c r="AA340" s="5" t="s">
        <v>90</v>
      </c>
      <c r="AB340" s="5" t="s">
        <v>111</v>
      </c>
      <c r="AC340" s="5" t="s">
        <v>121</v>
      </c>
      <c r="AD340" s="5">
        <v>3</v>
      </c>
    </row>
    <row r="341" spans="1:30">
      <c r="A341" s="5" t="s">
        <v>1189</v>
      </c>
      <c r="B341" s="1" t="s">
        <v>359</v>
      </c>
      <c r="C341" s="5" t="s">
        <v>989</v>
      </c>
      <c r="D341" s="5" t="s">
        <v>963</v>
      </c>
      <c r="E341" s="5" t="s">
        <v>103</v>
      </c>
      <c r="F341" s="5" t="s">
        <v>156</v>
      </c>
      <c r="G341" s="5" t="s">
        <v>157</v>
      </c>
      <c r="H341" s="5" t="s">
        <v>171</v>
      </c>
      <c r="I341" s="5" t="s">
        <v>59</v>
      </c>
      <c r="J341" s="5" t="s">
        <v>206</v>
      </c>
      <c r="K341" s="5">
        <v>8</v>
      </c>
      <c r="L341" s="5">
        <v>1200</v>
      </c>
      <c r="M341" s="5">
        <v>0.15</v>
      </c>
      <c r="N341" s="5">
        <v>8160</v>
      </c>
      <c r="O341" s="5">
        <v>4904.54</v>
      </c>
      <c r="P341" s="5">
        <v>3255.46</v>
      </c>
      <c r="Q341" s="5">
        <v>39.9</v>
      </c>
      <c r="R341" s="5" t="s">
        <v>166</v>
      </c>
      <c r="S341" s="5" t="s">
        <v>42</v>
      </c>
      <c r="T341" s="5" t="s">
        <v>97</v>
      </c>
      <c r="U341" s="5" t="s">
        <v>178</v>
      </c>
      <c r="V341" s="5">
        <v>2025</v>
      </c>
      <c r="W341" s="5" t="s">
        <v>45</v>
      </c>
      <c r="X341" s="5">
        <v>1</v>
      </c>
      <c r="Y341" s="1" t="s">
        <v>1190</v>
      </c>
      <c r="Z341" s="5" t="s">
        <v>47</v>
      </c>
      <c r="AA341" s="5" t="s">
        <v>48</v>
      </c>
      <c r="AB341" s="5" t="s">
        <v>111</v>
      </c>
      <c r="AC341" s="5" t="s">
        <v>50</v>
      </c>
      <c r="AD341" s="5">
        <v>4</v>
      </c>
    </row>
    <row r="342" spans="1:30">
      <c r="A342" s="5" t="s">
        <v>1191</v>
      </c>
      <c r="B342" s="1">
        <v>45724</v>
      </c>
      <c r="C342" s="5" t="s">
        <v>1134</v>
      </c>
      <c r="D342" s="5" t="s">
        <v>310</v>
      </c>
      <c r="E342" s="5" t="s">
        <v>55</v>
      </c>
      <c r="F342" s="5" t="s">
        <v>144</v>
      </c>
      <c r="G342" s="5" t="s">
        <v>145</v>
      </c>
      <c r="H342" s="5" t="s">
        <v>171</v>
      </c>
      <c r="I342" s="5" t="s">
        <v>59</v>
      </c>
      <c r="J342" s="5" t="s">
        <v>372</v>
      </c>
      <c r="K342" s="5">
        <v>8</v>
      </c>
      <c r="L342" s="5">
        <v>2000</v>
      </c>
      <c r="M342" s="5">
        <v>0.1</v>
      </c>
      <c r="N342" s="5">
        <v>14400</v>
      </c>
      <c r="O342" s="5">
        <v>8587.7099999999991</v>
      </c>
      <c r="P342" s="5">
        <v>5812.29</v>
      </c>
      <c r="Q342" s="5">
        <v>40.36</v>
      </c>
      <c r="R342" s="5" t="s">
        <v>106</v>
      </c>
      <c r="S342" s="5" t="s">
        <v>74</v>
      </c>
      <c r="T342" s="5" t="s">
        <v>97</v>
      </c>
      <c r="U342" s="5" t="s">
        <v>218</v>
      </c>
      <c r="V342" s="5">
        <v>2025</v>
      </c>
      <c r="W342" s="5" t="s">
        <v>45</v>
      </c>
      <c r="X342" s="5">
        <v>3</v>
      </c>
      <c r="Y342" s="1">
        <v>45816</v>
      </c>
      <c r="Z342" s="5" t="s">
        <v>47</v>
      </c>
      <c r="AA342" s="5" t="s">
        <v>67</v>
      </c>
      <c r="AB342" s="5" t="s">
        <v>78</v>
      </c>
      <c r="AC342" s="5" t="s">
        <v>121</v>
      </c>
      <c r="AD342" s="5">
        <v>5</v>
      </c>
    </row>
    <row r="343" spans="1:30">
      <c r="A343" s="5" t="s">
        <v>1192</v>
      </c>
      <c r="B343" s="1" t="s">
        <v>493</v>
      </c>
      <c r="C343" s="5" t="s">
        <v>1051</v>
      </c>
      <c r="D343" s="5" t="s">
        <v>1193</v>
      </c>
      <c r="E343" s="5" t="s">
        <v>55</v>
      </c>
      <c r="F343" s="5" t="s">
        <v>245</v>
      </c>
      <c r="G343" s="5" t="s">
        <v>246</v>
      </c>
      <c r="H343" s="5" t="s">
        <v>171</v>
      </c>
      <c r="I343" s="5" t="s">
        <v>59</v>
      </c>
      <c r="J343" s="5" t="s">
        <v>60</v>
      </c>
      <c r="K343" s="5">
        <v>3</v>
      </c>
      <c r="L343" s="5">
        <v>800</v>
      </c>
      <c r="M343" s="5">
        <v>0.05</v>
      </c>
      <c r="N343" s="5">
        <v>2280</v>
      </c>
      <c r="O343" s="5">
        <v>1279.33</v>
      </c>
      <c r="P343" s="5">
        <v>1000.67</v>
      </c>
      <c r="Q343" s="5">
        <v>43.89</v>
      </c>
      <c r="R343" s="5" t="s">
        <v>61</v>
      </c>
      <c r="S343" s="5" t="s">
        <v>74</v>
      </c>
      <c r="T343" s="5" t="s">
        <v>86</v>
      </c>
      <c r="U343" s="5" t="s">
        <v>160</v>
      </c>
      <c r="V343" s="5">
        <v>2024</v>
      </c>
      <c r="W343" s="5" t="s">
        <v>194</v>
      </c>
      <c r="X343" s="5">
        <v>4</v>
      </c>
      <c r="Y343" s="1" t="s">
        <v>860</v>
      </c>
      <c r="Z343" s="5" t="s">
        <v>47</v>
      </c>
      <c r="AA343" s="5" t="s">
        <v>48</v>
      </c>
      <c r="AB343" s="5" t="s">
        <v>111</v>
      </c>
      <c r="AC343" s="5" t="s">
        <v>121</v>
      </c>
      <c r="AD343" s="5">
        <v>3</v>
      </c>
    </row>
    <row r="344" spans="1:30">
      <c r="A344" s="5" t="s">
        <v>1194</v>
      </c>
      <c r="B344" s="1" t="s">
        <v>235</v>
      </c>
      <c r="C344" s="5" t="s">
        <v>498</v>
      </c>
      <c r="D344" s="5" t="s">
        <v>554</v>
      </c>
      <c r="E344" s="5" t="s">
        <v>35</v>
      </c>
      <c r="F344" s="5" t="s">
        <v>82</v>
      </c>
      <c r="G344" s="5" t="s">
        <v>83</v>
      </c>
      <c r="H344" s="5" t="s">
        <v>94</v>
      </c>
      <c r="I344" s="5" t="s">
        <v>95</v>
      </c>
      <c r="J344" s="5" t="s">
        <v>184</v>
      </c>
      <c r="K344" s="5">
        <v>8</v>
      </c>
      <c r="L344" s="5">
        <v>15000</v>
      </c>
      <c r="M344" s="5">
        <v>0.05</v>
      </c>
      <c r="N344" s="5">
        <v>114000</v>
      </c>
      <c r="O344" s="5">
        <v>91030.96</v>
      </c>
      <c r="P344" s="5">
        <v>22969.040000000001</v>
      </c>
      <c r="Q344" s="5">
        <v>20.149999999999999</v>
      </c>
      <c r="R344" s="5" t="s">
        <v>61</v>
      </c>
      <c r="S344" s="5" t="s">
        <v>74</v>
      </c>
      <c r="T344" s="5" t="s">
        <v>43</v>
      </c>
      <c r="U344" s="5" t="s">
        <v>160</v>
      </c>
      <c r="V344" s="5">
        <v>2025</v>
      </c>
      <c r="W344" s="5" t="s">
        <v>126</v>
      </c>
      <c r="X344" s="5">
        <v>5</v>
      </c>
      <c r="Y344" s="1">
        <v>45784</v>
      </c>
      <c r="Z344" s="5" t="s">
        <v>47</v>
      </c>
      <c r="AA344" s="5" t="s">
        <v>48</v>
      </c>
      <c r="AB344" s="5" t="s">
        <v>111</v>
      </c>
      <c r="AC344" s="5" t="s">
        <v>50</v>
      </c>
      <c r="AD344" s="5">
        <v>3</v>
      </c>
    </row>
    <row r="345" spans="1:30">
      <c r="A345" s="5" t="s">
        <v>1195</v>
      </c>
      <c r="B345" s="1">
        <v>45638</v>
      </c>
      <c r="C345" s="5" t="s">
        <v>612</v>
      </c>
      <c r="D345" s="5" t="s">
        <v>1043</v>
      </c>
      <c r="E345" s="5" t="s">
        <v>55</v>
      </c>
      <c r="F345" s="5" t="s">
        <v>56</v>
      </c>
      <c r="G345" s="5" t="s">
        <v>57</v>
      </c>
      <c r="H345" s="5" t="s">
        <v>58</v>
      </c>
      <c r="I345" s="5" t="s">
        <v>84</v>
      </c>
      <c r="J345" s="5" t="s">
        <v>217</v>
      </c>
      <c r="K345" s="5">
        <v>3</v>
      </c>
      <c r="L345" s="5">
        <v>800</v>
      </c>
      <c r="M345" s="5">
        <v>0.15</v>
      </c>
      <c r="N345" s="5">
        <v>2040</v>
      </c>
      <c r="O345" s="5">
        <v>1617.82</v>
      </c>
      <c r="P345" s="5">
        <v>422.18</v>
      </c>
      <c r="Q345" s="5">
        <v>20.7</v>
      </c>
      <c r="R345" s="5" t="s">
        <v>166</v>
      </c>
      <c r="S345" s="5" t="s">
        <v>42</v>
      </c>
      <c r="T345" s="5" t="s">
        <v>86</v>
      </c>
      <c r="U345" s="5" t="s">
        <v>64</v>
      </c>
      <c r="V345" s="5">
        <v>2024</v>
      </c>
      <c r="W345" s="5" t="s">
        <v>139</v>
      </c>
      <c r="X345" s="5">
        <v>2</v>
      </c>
      <c r="Y345" s="1" t="s">
        <v>52</v>
      </c>
      <c r="Z345" s="5" t="s">
        <v>110</v>
      </c>
      <c r="AA345" s="5" t="s">
        <v>67</v>
      </c>
      <c r="AB345" s="5" t="s">
        <v>78</v>
      </c>
      <c r="AC345" s="5" t="s">
        <v>121</v>
      </c>
      <c r="AD345" s="5">
        <v>3</v>
      </c>
    </row>
    <row r="346" spans="1:30">
      <c r="A346" s="5" t="s">
        <v>1196</v>
      </c>
      <c r="B346" s="1">
        <v>45606</v>
      </c>
      <c r="C346" s="5" t="s">
        <v>570</v>
      </c>
      <c r="D346" s="5" t="s">
        <v>422</v>
      </c>
      <c r="E346" s="5" t="s">
        <v>55</v>
      </c>
      <c r="F346" s="5" t="s">
        <v>104</v>
      </c>
      <c r="G346" s="5" t="s">
        <v>104</v>
      </c>
      <c r="H346" s="5" t="s">
        <v>38</v>
      </c>
      <c r="I346" s="5" t="s">
        <v>59</v>
      </c>
      <c r="J346" s="5" t="s">
        <v>206</v>
      </c>
      <c r="K346" s="5">
        <v>10</v>
      </c>
      <c r="L346" s="5">
        <v>3000</v>
      </c>
      <c r="M346" s="5">
        <v>0.05</v>
      </c>
      <c r="N346" s="5">
        <v>28500</v>
      </c>
      <c r="O346" s="5">
        <v>16318.22</v>
      </c>
      <c r="P346" s="5">
        <v>12181.78</v>
      </c>
      <c r="Q346" s="5">
        <v>42.74</v>
      </c>
      <c r="R346" s="5" t="s">
        <v>166</v>
      </c>
      <c r="S346" s="5" t="s">
        <v>62</v>
      </c>
      <c r="T346" s="5" t="s">
        <v>63</v>
      </c>
      <c r="U346" s="5" t="s">
        <v>87</v>
      </c>
      <c r="V346" s="5">
        <v>2024</v>
      </c>
      <c r="W346" s="5" t="s">
        <v>194</v>
      </c>
      <c r="X346" s="5">
        <v>4</v>
      </c>
      <c r="Y346" s="1" t="s">
        <v>1197</v>
      </c>
      <c r="Z346" s="5" t="s">
        <v>47</v>
      </c>
      <c r="AA346" s="5" t="s">
        <v>48</v>
      </c>
      <c r="AB346" s="5" t="s">
        <v>111</v>
      </c>
      <c r="AC346" s="5" t="s">
        <v>121</v>
      </c>
      <c r="AD346" s="5">
        <v>3</v>
      </c>
    </row>
    <row r="347" spans="1:30">
      <c r="A347" s="5" t="s">
        <v>1198</v>
      </c>
      <c r="B347" s="1" t="s">
        <v>697</v>
      </c>
      <c r="C347" s="5" t="s">
        <v>570</v>
      </c>
      <c r="D347" s="5" t="s">
        <v>1043</v>
      </c>
      <c r="E347" s="5" t="s">
        <v>35</v>
      </c>
      <c r="F347" s="5" t="s">
        <v>156</v>
      </c>
      <c r="G347" s="5" t="s">
        <v>157</v>
      </c>
      <c r="H347" s="5" t="s">
        <v>94</v>
      </c>
      <c r="I347" s="5" t="s">
        <v>95</v>
      </c>
      <c r="J347" s="5" t="s">
        <v>440</v>
      </c>
      <c r="K347" s="5">
        <v>6</v>
      </c>
      <c r="L347" s="5">
        <v>9000</v>
      </c>
      <c r="M347" s="5">
        <v>0.1</v>
      </c>
      <c r="N347" s="5">
        <v>48600</v>
      </c>
      <c r="O347" s="5">
        <v>31340.48</v>
      </c>
      <c r="P347" s="5">
        <v>17259.52</v>
      </c>
      <c r="Q347" s="5">
        <v>35.51</v>
      </c>
      <c r="R347" s="5" t="s">
        <v>166</v>
      </c>
      <c r="S347" s="5" t="s">
        <v>62</v>
      </c>
      <c r="T347" s="5" t="s">
        <v>159</v>
      </c>
      <c r="U347" s="5" t="s">
        <v>76</v>
      </c>
      <c r="V347" s="5">
        <v>2024</v>
      </c>
      <c r="W347" s="5" t="s">
        <v>65</v>
      </c>
      <c r="X347" s="5">
        <v>5</v>
      </c>
      <c r="Y347" s="1" t="s">
        <v>521</v>
      </c>
      <c r="Z347" s="5" t="s">
        <v>47</v>
      </c>
      <c r="AA347" s="5" t="s">
        <v>90</v>
      </c>
      <c r="AB347" s="5" t="s">
        <v>111</v>
      </c>
      <c r="AC347" s="5" t="s">
        <v>50</v>
      </c>
      <c r="AD347" s="5">
        <v>4</v>
      </c>
    </row>
    <row r="348" spans="1:30">
      <c r="A348" s="5" t="s">
        <v>1199</v>
      </c>
      <c r="B348" s="1">
        <v>45454</v>
      </c>
      <c r="C348" s="5" t="s">
        <v>1200</v>
      </c>
      <c r="D348" s="5" t="s">
        <v>1201</v>
      </c>
      <c r="E348" s="5" t="s">
        <v>55</v>
      </c>
      <c r="F348" s="5" t="s">
        <v>245</v>
      </c>
      <c r="G348" s="5" t="s">
        <v>246</v>
      </c>
      <c r="H348" s="5" t="s">
        <v>58</v>
      </c>
      <c r="I348" s="5" t="s">
        <v>59</v>
      </c>
      <c r="J348" s="5" t="s">
        <v>372</v>
      </c>
      <c r="K348" s="5">
        <v>2</v>
      </c>
      <c r="L348" s="5">
        <v>800</v>
      </c>
      <c r="M348" s="5">
        <v>0.05</v>
      </c>
      <c r="N348" s="5">
        <v>1520</v>
      </c>
      <c r="O348" s="5">
        <v>1240.92</v>
      </c>
      <c r="P348" s="5">
        <v>279.08</v>
      </c>
      <c r="Q348" s="5">
        <v>18.36</v>
      </c>
      <c r="R348" s="5" t="s">
        <v>106</v>
      </c>
      <c r="S348" s="5" t="s">
        <v>62</v>
      </c>
      <c r="T348" s="5" t="s">
        <v>159</v>
      </c>
      <c r="U348" s="5" t="s">
        <v>198</v>
      </c>
      <c r="V348" s="5">
        <v>2024</v>
      </c>
      <c r="W348" s="5" t="s">
        <v>134</v>
      </c>
      <c r="X348" s="5">
        <v>8</v>
      </c>
      <c r="Y348" s="1" t="s">
        <v>1202</v>
      </c>
      <c r="Z348" s="5" t="s">
        <v>89</v>
      </c>
      <c r="AA348" s="5" t="s">
        <v>67</v>
      </c>
      <c r="AB348" s="5" t="s">
        <v>49</v>
      </c>
      <c r="AC348" s="5" t="s">
        <v>50</v>
      </c>
      <c r="AD348" s="5">
        <v>5</v>
      </c>
    </row>
    <row r="349" spans="1:30">
      <c r="A349" s="5" t="s">
        <v>1203</v>
      </c>
      <c r="B349" s="1" t="s">
        <v>1204</v>
      </c>
      <c r="C349" s="5" t="s">
        <v>777</v>
      </c>
      <c r="D349" s="5" t="s">
        <v>1205</v>
      </c>
      <c r="E349" s="5" t="s">
        <v>103</v>
      </c>
      <c r="F349" s="5" t="s">
        <v>245</v>
      </c>
      <c r="G349" s="5" t="s">
        <v>246</v>
      </c>
      <c r="H349" s="5" t="s">
        <v>94</v>
      </c>
      <c r="I349" s="5" t="s">
        <v>95</v>
      </c>
      <c r="J349" s="5" t="s">
        <v>319</v>
      </c>
      <c r="K349" s="5">
        <v>7</v>
      </c>
      <c r="L349" s="5">
        <v>6000</v>
      </c>
      <c r="M349" s="5">
        <v>0.2</v>
      </c>
      <c r="N349" s="5">
        <v>33600</v>
      </c>
      <c r="O349" s="5">
        <v>26051.360000000001</v>
      </c>
      <c r="P349" s="5">
        <v>7548.64</v>
      </c>
      <c r="Q349" s="5">
        <v>22.47</v>
      </c>
      <c r="R349" s="5" t="s">
        <v>73</v>
      </c>
      <c r="S349" s="5" t="s">
        <v>74</v>
      </c>
      <c r="T349" s="5" t="s">
        <v>43</v>
      </c>
      <c r="U349" s="5" t="s">
        <v>119</v>
      </c>
      <c r="V349" s="5">
        <v>2025</v>
      </c>
      <c r="W349" s="5" t="s">
        <v>65</v>
      </c>
      <c r="X349" s="5">
        <v>1</v>
      </c>
      <c r="Y349" s="1" t="s">
        <v>837</v>
      </c>
      <c r="Z349" s="5" t="s">
        <v>47</v>
      </c>
      <c r="AA349" s="5" t="s">
        <v>90</v>
      </c>
      <c r="AB349" s="5" t="s">
        <v>78</v>
      </c>
      <c r="AC349" s="5" t="s">
        <v>50</v>
      </c>
      <c r="AD349" s="5">
        <v>4</v>
      </c>
    </row>
    <row r="350" spans="1:30">
      <c r="A350" s="5" t="s">
        <v>1206</v>
      </c>
      <c r="B350" s="1" t="s">
        <v>340</v>
      </c>
      <c r="C350" s="5" t="s">
        <v>1183</v>
      </c>
      <c r="D350" s="5" t="s">
        <v>339</v>
      </c>
      <c r="E350" s="5" t="s">
        <v>55</v>
      </c>
      <c r="F350" s="5" t="s">
        <v>36</v>
      </c>
      <c r="G350" s="5" t="s">
        <v>37</v>
      </c>
      <c r="H350" s="5" t="s">
        <v>94</v>
      </c>
      <c r="I350" s="5" t="s">
        <v>84</v>
      </c>
      <c r="J350" s="5" t="s">
        <v>290</v>
      </c>
      <c r="K350" s="5">
        <v>3</v>
      </c>
      <c r="L350" s="5">
        <v>500</v>
      </c>
      <c r="M350" s="5">
        <v>0.05</v>
      </c>
      <c r="N350" s="5">
        <v>1425</v>
      </c>
      <c r="O350" s="5">
        <v>973.45</v>
      </c>
      <c r="P350" s="5">
        <v>451.55</v>
      </c>
      <c r="Q350" s="5">
        <v>31.69</v>
      </c>
      <c r="R350" s="5" t="s">
        <v>41</v>
      </c>
      <c r="S350" s="5" t="s">
        <v>62</v>
      </c>
      <c r="T350" s="5" t="s">
        <v>159</v>
      </c>
      <c r="U350" s="5" t="s">
        <v>76</v>
      </c>
      <c r="V350" s="5">
        <v>2024</v>
      </c>
      <c r="W350" s="5" t="s">
        <v>109</v>
      </c>
      <c r="X350" s="5">
        <v>2</v>
      </c>
      <c r="Y350" s="1">
        <v>45293</v>
      </c>
      <c r="Z350" s="5" t="s">
        <v>47</v>
      </c>
      <c r="AA350" s="5" t="s">
        <v>48</v>
      </c>
      <c r="AB350" s="5" t="s">
        <v>111</v>
      </c>
      <c r="AC350" s="5" t="s">
        <v>50</v>
      </c>
      <c r="AD350" s="5">
        <v>1</v>
      </c>
    </row>
    <row r="351" spans="1:30">
      <c r="A351" s="5" t="s">
        <v>1207</v>
      </c>
      <c r="B351" s="1" t="s">
        <v>575</v>
      </c>
      <c r="C351" s="5" t="s">
        <v>562</v>
      </c>
      <c r="D351" s="5" t="s">
        <v>763</v>
      </c>
      <c r="E351" s="5" t="s">
        <v>35</v>
      </c>
      <c r="F351" s="5" t="s">
        <v>82</v>
      </c>
      <c r="G351" s="5" t="s">
        <v>83</v>
      </c>
      <c r="H351" s="5" t="s">
        <v>171</v>
      </c>
      <c r="I351" s="5" t="s">
        <v>59</v>
      </c>
      <c r="J351" s="5" t="s">
        <v>372</v>
      </c>
      <c r="K351" s="5">
        <v>1</v>
      </c>
      <c r="L351" s="5">
        <v>1200</v>
      </c>
      <c r="M351" s="5">
        <v>0.05</v>
      </c>
      <c r="N351" s="5">
        <v>1140</v>
      </c>
      <c r="O351" s="5">
        <v>725.4</v>
      </c>
      <c r="P351" s="5">
        <v>414.6</v>
      </c>
      <c r="Q351" s="5">
        <v>36.369999999999997</v>
      </c>
      <c r="R351" s="5" t="s">
        <v>61</v>
      </c>
      <c r="S351" s="5" t="s">
        <v>62</v>
      </c>
      <c r="T351" s="5" t="s">
        <v>97</v>
      </c>
      <c r="U351" s="5" t="s">
        <v>218</v>
      </c>
      <c r="V351" s="5">
        <v>2025</v>
      </c>
      <c r="W351" s="5" t="s">
        <v>126</v>
      </c>
      <c r="X351" s="5">
        <v>1</v>
      </c>
      <c r="Y351" s="1" t="s">
        <v>673</v>
      </c>
      <c r="Z351" s="5" t="s">
        <v>47</v>
      </c>
      <c r="AA351" s="5" t="s">
        <v>90</v>
      </c>
      <c r="AB351" s="5" t="s">
        <v>78</v>
      </c>
      <c r="AC351" s="5" t="s">
        <v>50</v>
      </c>
      <c r="AD351" s="5">
        <v>5</v>
      </c>
    </row>
    <row r="352" spans="1:30">
      <c r="A352" s="5" t="s">
        <v>1208</v>
      </c>
      <c r="B352" s="1" t="s">
        <v>394</v>
      </c>
      <c r="C352" s="5" t="s">
        <v>868</v>
      </c>
      <c r="D352" s="5" t="s">
        <v>1209</v>
      </c>
      <c r="E352" s="5" t="s">
        <v>103</v>
      </c>
      <c r="F352" s="5" t="s">
        <v>36</v>
      </c>
      <c r="G352" s="5" t="s">
        <v>37</v>
      </c>
      <c r="H352" s="5" t="s">
        <v>171</v>
      </c>
      <c r="I352" s="5" t="s">
        <v>59</v>
      </c>
      <c r="J352" s="5" t="s">
        <v>206</v>
      </c>
      <c r="K352" s="5">
        <v>3</v>
      </c>
      <c r="L352" s="5">
        <v>500</v>
      </c>
      <c r="M352" s="5">
        <v>0.2</v>
      </c>
      <c r="N352" s="5">
        <v>1200</v>
      </c>
      <c r="O352" s="5">
        <v>942.67</v>
      </c>
      <c r="P352" s="5">
        <v>257.33</v>
      </c>
      <c r="Q352" s="5">
        <v>21.44</v>
      </c>
      <c r="R352" s="5" t="s">
        <v>106</v>
      </c>
      <c r="S352" s="5" t="s">
        <v>42</v>
      </c>
      <c r="T352" s="5" t="s">
        <v>63</v>
      </c>
      <c r="U352" s="5" t="s">
        <v>160</v>
      </c>
      <c r="V352" s="5">
        <v>2024</v>
      </c>
      <c r="W352" s="5" t="s">
        <v>139</v>
      </c>
      <c r="X352" s="5">
        <v>9</v>
      </c>
      <c r="Y352" s="1" t="s">
        <v>638</v>
      </c>
      <c r="Z352" s="5" t="s">
        <v>47</v>
      </c>
      <c r="AA352" s="5" t="s">
        <v>67</v>
      </c>
      <c r="AB352" s="5" t="s">
        <v>49</v>
      </c>
      <c r="AC352" s="5" t="s">
        <v>121</v>
      </c>
      <c r="AD352" s="5">
        <v>2</v>
      </c>
    </row>
    <row r="353" spans="1:30">
      <c r="A353" s="5" t="s">
        <v>1210</v>
      </c>
      <c r="B353" s="1" t="s">
        <v>1211</v>
      </c>
      <c r="C353" s="5" t="s">
        <v>1212</v>
      </c>
      <c r="D353" s="5" t="s">
        <v>767</v>
      </c>
      <c r="E353" s="5" t="s">
        <v>103</v>
      </c>
      <c r="F353" s="5" t="s">
        <v>131</v>
      </c>
      <c r="G353" s="5" t="s">
        <v>132</v>
      </c>
      <c r="H353" s="5" t="s">
        <v>58</v>
      </c>
      <c r="I353" s="5" t="s">
        <v>84</v>
      </c>
      <c r="J353" s="5" t="s">
        <v>229</v>
      </c>
      <c r="K353" s="5">
        <v>8</v>
      </c>
      <c r="L353" s="5">
        <v>500</v>
      </c>
      <c r="M353" s="5">
        <v>0.1</v>
      </c>
      <c r="N353" s="5">
        <v>3600</v>
      </c>
      <c r="O353" s="5">
        <v>2130.23</v>
      </c>
      <c r="P353" s="5">
        <v>1469.77</v>
      </c>
      <c r="Q353" s="5">
        <v>40.83</v>
      </c>
      <c r="R353" s="5" t="s">
        <v>166</v>
      </c>
      <c r="S353" s="5" t="s">
        <v>62</v>
      </c>
      <c r="T353" s="5" t="s">
        <v>173</v>
      </c>
      <c r="U353" s="5" t="s">
        <v>160</v>
      </c>
      <c r="V353" s="5">
        <v>2024</v>
      </c>
      <c r="W353" s="5" t="s">
        <v>65</v>
      </c>
      <c r="X353" s="5">
        <v>2</v>
      </c>
      <c r="Y353" s="1" t="s">
        <v>153</v>
      </c>
      <c r="Z353" s="5" t="s">
        <v>47</v>
      </c>
      <c r="AA353" s="5" t="s">
        <v>90</v>
      </c>
      <c r="AB353" s="5" t="s">
        <v>49</v>
      </c>
      <c r="AC353" s="5" t="s">
        <v>121</v>
      </c>
      <c r="AD353" s="5">
        <v>4</v>
      </c>
    </row>
    <row r="354" spans="1:30">
      <c r="A354" s="5" t="s">
        <v>1213</v>
      </c>
      <c r="B354" s="1" t="s">
        <v>1214</v>
      </c>
      <c r="C354" s="5" t="s">
        <v>1215</v>
      </c>
      <c r="D354" s="5" t="s">
        <v>998</v>
      </c>
      <c r="E354" s="5" t="s">
        <v>35</v>
      </c>
      <c r="F354" s="5" t="s">
        <v>82</v>
      </c>
      <c r="G354" s="5" t="s">
        <v>83</v>
      </c>
      <c r="H354" s="5" t="s">
        <v>38</v>
      </c>
      <c r="I354" s="5" t="s">
        <v>84</v>
      </c>
      <c r="J354" s="5" t="s">
        <v>229</v>
      </c>
      <c r="K354" s="5">
        <v>3</v>
      </c>
      <c r="L354" s="5">
        <v>500</v>
      </c>
      <c r="M354" s="5">
        <v>0.2</v>
      </c>
      <c r="N354" s="5">
        <v>1200</v>
      </c>
      <c r="O354" s="5">
        <v>890.01</v>
      </c>
      <c r="P354" s="5">
        <v>309.99</v>
      </c>
      <c r="Q354" s="5">
        <v>25.83</v>
      </c>
      <c r="R354" s="5" t="s">
        <v>73</v>
      </c>
      <c r="S354" s="5" t="s">
        <v>62</v>
      </c>
      <c r="T354" s="5" t="s">
        <v>118</v>
      </c>
      <c r="U354" s="5" t="s">
        <v>160</v>
      </c>
      <c r="V354" s="5">
        <v>2025</v>
      </c>
      <c r="W354" s="5" t="s">
        <v>139</v>
      </c>
      <c r="X354" s="5">
        <v>6</v>
      </c>
      <c r="Y354" s="1" t="s">
        <v>1216</v>
      </c>
      <c r="Z354" s="5" t="s">
        <v>47</v>
      </c>
      <c r="AA354" s="5" t="s">
        <v>90</v>
      </c>
      <c r="AB354" s="5" t="s">
        <v>49</v>
      </c>
      <c r="AC354" s="5" t="s">
        <v>121</v>
      </c>
      <c r="AD354" s="5">
        <v>4</v>
      </c>
    </row>
    <row r="355" spans="1:30">
      <c r="A355" s="5" t="s">
        <v>1217</v>
      </c>
      <c r="B355" s="1" t="s">
        <v>1218</v>
      </c>
      <c r="C355" s="5" t="s">
        <v>1219</v>
      </c>
      <c r="D355" s="5" t="s">
        <v>1220</v>
      </c>
      <c r="E355" s="5" t="s">
        <v>55</v>
      </c>
      <c r="F355" s="5" t="s">
        <v>36</v>
      </c>
      <c r="G355" s="5" t="s">
        <v>37</v>
      </c>
      <c r="H355" s="5" t="s">
        <v>58</v>
      </c>
      <c r="I355" s="5" t="s">
        <v>39</v>
      </c>
      <c r="J355" s="5" t="s">
        <v>356</v>
      </c>
      <c r="K355" s="5">
        <v>8</v>
      </c>
      <c r="L355" s="5">
        <v>22000</v>
      </c>
      <c r="M355" s="5">
        <v>0</v>
      </c>
      <c r="N355" s="5">
        <v>176000</v>
      </c>
      <c r="O355" s="5">
        <v>134485.98000000001</v>
      </c>
      <c r="P355" s="5">
        <v>41514.019999999997</v>
      </c>
      <c r="Q355" s="5">
        <v>23.59</v>
      </c>
      <c r="R355" s="5" t="s">
        <v>61</v>
      </c>
      <c r="S355" s="5" t="s">
        <v>74</v>
      </c>
      <c r="T355" s="5" t="s">
        <v>173</v>
      </c>
      <c r="U355" s="5" t="s">
        <v>151</v>
      </c>
      <c r="V355" s="5">
        <v>2024</v>
      </c>
      <c r="W355" s="5" t="s">
        <v>65</v>
      </c>
      <c r="X355" s="5">
        <v>2</v>
      </c>
      <c r="Y355" s="1" t="s">
        <v>996</v>
      </c>
      <c r="Z355" s="5" t="s">
        <v>47</v>
      </c>
      <c r="AA355" s="5" t="s">
        <v>67</v>
      </c>
      <c r="AB355" s="5" t="s">
        <v>111</v>
      </c>
      <c r="AC355" s="5" t="s">
        <v>121</v>
      </c>
      <c r="AD355" s="5">
        <v>1</v>
      </c>
    </row>
    <row r="356" spans="1:30">
      <c r="A356" s="5" t="s">
        <v>1221</v>
      </c>
      <c r="B356" s="1" t="s">
        <v>207</v>
      </c>
      <c r="C356" s="5" t="s">
        <v>386</v>
      </c>
      <c r="D356" s="5" t="s">
        <v>927</v>
      </c>
      <c r="E356" s="5" t="s">
        <v>55</v>
      </c>
      <c r="F356" s="5" t="s">
        <v>36</v>
      </c>
      <c r="G356" s="5" t="s">
        <v>37</v>
      </c>
      <c r="H356" s="5" t="s">
        <v>38</v>
      </c>
      <c r="I356" s="5" t="s">
        <v>59</v>
      </c>
      <c r="J356" s="5" t="s">
        <v>206</v>
      </c>
      <c r="K356" s="5">
        <v>10</v>
      </c>
      <c r="L356" s="5">
        <v>800</v>
      </c>
      <c r="M356" s="5">
        <v>0.05</v>
      </c>
      <c r="N356" s="5">
        <v>7600</v>
      </c>
      <c r="O356" s="5">
        <v>4366.28</v>
      </c>
      <c r="P356" s="5">
        <v>3233.72</v>
      </c>
      <c r="Q356" s="5">
        <v>42.55</v>
      </c>
      <c r="R356" s="5" t="s">
        <v>41</v>
      </c>
      <c r="S356" s="5" t="s">
        <v>42</v>
      </c>
      <c r="T356" s="5" t="s">
        <v>63</v>
      </c>
      <c r="U356" s="5" t="s">
        <v>198</v>
      </c>
      <c r="V356" s="5">
        <v>2025</v>
      </c>
      <c r="W356" s="5" t="s">
        <v>126</v>
      </c>
      <c r="X356" s="5">
        <v>6</v>
      </c>
      <c r="Y356" s="1" t="s">
        <v>437</v>
      </c>
      <c r="Z356" s="5" t="s">
        <v>47</v>
      </c>
      <c r="AA356" s="5" t="s">
        <v>90</v>
      </c>
      <c r="AB356" s="5" t="s">
        <v>111</v>
      </c>
      <c r="AC356" s="5" t="s">
        <v>121</v>
      </c>
      <c r="AD356" s="5">
        <v>1</v>
      </c>
    </row>
    <row r="357" spans="1:30">
      <c r="A357" s="5" t="s">
        <v>1222</v>
      </c>
      <c r="B357" s="1" t="s">
        <v>1197</v>
      </c>
      <c r="C357" s="5" t="s">
        <v>360</v>
      </c>
      <c r="D357" s="5" t="s">
        <v>1223</v>
      </c>
      <c r="E357" s="5" t="s">
        <v>103</v>
      </c>
      <c r="F357" s="5" t="s">
        <v>144</v>
      </c>
      <c r="G357" s="5" t="s">
        <v>145</v>
      </c>
      <c r="H357" s="5" t="s">
        <v>94</v>
      </c>
      <c r="I357" s="5" t="s">
        <v>39</v>
      </c>
      <c r="J357" s="5" t="s">
        <v>165</v>
      </c>
      <c r="K357" s="5">
        <v>4</v>
      </c>
      <c r="L357" s="5">
        <v>50000</v>
      </c>
      <c r="M357" s="5">
        <v>0.05</v>
      </c>
      <c r="N357" s="5">
        <v>190000</v>
      </c>
      <c r="O357" s="5">
        <v>104722.07</v>
      </c>
      <c r="P357" s="5">
        <v>85277.93</v>
      </c>
      <c r="Q357" s="5">
        <v>44.88</v>
      </c>
      <c r="R357" s="5" t="s">
        <v>61</v>
      </c>
      <c r="S357" s="5" t="s">
        <v>42</v>
      </c>
      <c r="T357" s="5" t="s">
        <v>63</v>
      </c>
      <c r="U357" s="5" t="s">
        <v>87</v>
      </c>
      <c r="V357" s="5">
        <v>2024</v>
      </c>
      <c r="W357" s="5" t="s">
        <v>109</v>
      </c>
      <c r="X357" s="5">
        <v>3</v>
      </c>
      <c r="Y357" s="1" t="s">
        <v>274</v>
      </c>
      <c r="Z357" s="5" t="s">
        <v>89</v>
      </c>
      <c r="AA357" s="5" t="s">
        <v>90</v>
      </c>
      <c r="AB357" s="5" t="s">
        <v>78</v>
      </c>
      <c r="AC357" s="5" t="s">
        <v>121</v>
      </c>
      <c r="AD357" s="5">
        <v>2</v>
      </c>
    </row>
    <row r="358" spans="1:30">
      <c r="A358" s="5" t="s">
        <v>1224</v>
      </c>
      <c r="B358" s="1" t="s">
        <v>1225</v>
      </c>
      <c r="C358" s="5" t="s">
        <v>527</v>
      </c>
      <c r="D358" s="5" t="s">
        <v>604</v>
      </c>
      <c r="E358" s="5" t="s">
        <v>55</v>
      </c>
      <c r="F358" s="5" t="s">
        <v>82</v>
      </c>
      <c r="G358" s="5" t="s">
        <v>83</v>
      </c>
      <c r="H358" s="5" t="s">
        <v>171</v>
      </c>
      <c r="I358" s="5" t="s">
        <v>71</v>
      </c>
      <c r="J358" s="5" t="s">
        <v>158</v>
      </c>
      <c r="K358" s="5">
        <v>4</v>
      </c>
      <c r="L358" s="5">
        <v>3500</v>
      </c>
      <c r="M358" s="5">
        <v>0.05</v>
      </c>
      <c r="N358" s="5">
        <v>13300</v>
      </c>
      <c r="O358" s="5">
        <v>7758.9</v>
      </c>
      <c r="P358" s="5">
        <v>5541.1</v>
      </c>
      <c r="Q358" s="5">
        <v>41.66</v>
      </c>
      <c r="R358" s="5" t="s">
        <v>61</v>
      </c>
      <c r="S358" s="5" t="s">
        <v>42</v>
      </c>
      <c r="T358" s="5" t="s">
        <v>43</v>
      </c>
      <c r="U358" s="5" t="s">
        <v>98</v>
      </c>
      <c r="V358" s="5">
        <v>2025</v>
      </c>
      <c r="W358" s="5" t="s">
        <v>194</v>
      </c>
      <c r="X358" s="5">
        <v>2</v>
      </c>
      <c r="Y358" s="1" t="s">
        <v>322</v>
      </c>
      <c r="Z358" s="5" t="s">
        <v>47</v>
      </c>
      <c r="AA358" s="5" t="s">
        <v>90</v>
      </c>
      <c r="AB358" s="5" t="s">
        <v>78</v>
      </c>
      <c r="AC358" s="5" t="s">
        <v>50</v>
      </c>
      <c r="AD358" s="5">
        <v>1</v>
      </c>
    </row>
    <row r="359" spans="1:30">
      <c r="A359" s="5" t="s">
        <v>1226</v>
      </c>
      <c r="B359" s="1" t="s">
        <v>1123</v>
      </c>
      <c r="C359" s="5" t="s">
        <v>645</v>
      </c>
      <c r="D359" s="5" t="s">
        <v>535</v>
      </c>
      <c r="E359" s="5" t="s">
        <v>35</v>
      </c>
      <c r="F359" s="5" t="s">
        <v>156</v>
      </c>
      <c r="G359" s="5" t="s">
        <v>157</v>
      </c>
      <c r="H359" s="5" t="s">
        <v>94</v>
      </c>
      <c r="I359" s="5" t="s">
        <v>84</v>
      </c>
      <c r="J359" s="5" t="s">
        <v>290</v>
      </c>
      <c r="K359" s="5">
        <v>10</v>
      </c>
      <c r="L359" s="5">
        <v>350</v>
      </c>
      <c r="M359" s="5">
        <v>0.15</v>
      </c>
      <c r="N359" s="5">
        <v>2975</v>
      </c>
      <c r="O359" s="5">
        <v>1869.67</v>
      </c>
      <c r="P359" s="5">
        <v>1105.33</v>
      </c>
      <c r="Q359" s="5">
        <v>37.15</v>
      </c>
      <c r="R359" s="5" t="s">
        <v>61</v>
      </c>
      <c r="S359" s="5" t="s">
        <v>74</v>
      </c>
      <c r="T359" s="5" t="s">
        <v>43</v>
      </c>
      <c r="U359" s="5" t="s">
        <v>218</v>
      </c>
      <c r="V359" s="5">
        <v>2024</v>
      </c>
      <c r="W359" s="5" t="s">
        <v>126</v>
      </c>
      <c r="X359" s="5">
        <v>9</v>
      </c>
      <c r="Y359" s="1" t="s">
        <v>214</v>
      </c>
      <c r="Z359" s="5" t="s">
        <v>110</v>
      </c>
      <c r="AA359" s="5" t="s">
        <v>48</v>
      </c>
      <c r="AB359" s="5" t="s">
        <v>78</v>
      </c>
      <c r="AC359" s="5" t="s">
        <v>121</v>
      </c>
      <c r="AD359" s="5">
        <v>4</v>
      </c>
    </row>
    <row r="360" spans="1:30">
      <c r="A360" s="5" t="s">
        <v>1227</v>
      </c>
      <c r="B360" s="1" t="s">
        <v>934</v>
      </c>
      <c r="C360" s="5" t="s">
        <v>1037</v>
      </c>
      <c r="D360" s="5" t="s">
        <v>623</v>
      </c>
      <c r="E360" s="5" t="s">
        <v>35</v>
      </c>
      <c r="F360" s="5" t="s">
        <v>56</v>
      </c>
      <c r="G360" s="5" t="s">
        <v>57</v>
      </c>
      <c r="H360" s="5" t="s">
        <v>171</v>
      </c>
      <c r="I360" s="5" t="s">
        <v>59</v>
      </c>
      <c r="J360" s="5" t="s">
        <v>328</v>
      </c>
      <c r="K360" s="5">
        <v>2</v>
      </c>
      <c r="L360" s="5">
        <v>800</v>
      </c>
      <c r="M360" s="5">
        <v>0.15</v>
      </c>
      <c r="N360" s="5">
        <v>1360</v>
      </c>
      <c r="O360" s="5">
        <v>1020.25</v>
      </c>
      <c r="P360" s="5">
        <v>339.75</v>
      </c>
      <c r="Q360" s="5">
        <v>24.98</v>
      </c>
      <c r="R360" s="5" t="s">
        <v>73</v>
      </c>
      <c r="S360" s="5" t="s">
        <v>42</v>
      </c>
      <c r="T360" s="5" t="s">
        <v>75</v>
      </c>
      <c r="U360" s="5" t="s">
        <v>98</v>
      </c>
      <c r="V360" s="5">
        <v>2025</v>
      </c>
      <c r="W360" s="5" t="s">
        <v>194</v>
      </c>
      <c r="X360" s="5">
        <v>10</v>
      </c>
      <c r="Y360" s="1" t="s">
        <v>316</v>
      </c>
      <c r="Z360" s="5" t="s">
        <v>47</v>
      </c>
      <c r="AA360" s="5" t="s">
        <v>90</v>
      </c>
      <c r="AB360" s="5" t="s">
        <v>49</v>
      </c>
      <c r="AC360" s="5" t="s">
        <v>50</v>
      </c>
      <c r="AD360" s="5">
        <v>4</v>
      </c>
    </row>
    <row r="361" spans="1:30">
      <c r="A361" s="5" t="s">
        <v>1228</v>
      </c>
      <c r="B361" s="1">
        <v>45693</v>
      </c>
      <c r="C361" s="5" t="s">
        <v>702</v>
      </c>
      <c r="D361" s="5" t="s">
        <v>1162</v>
      </c>
      <c r="E361" s="5" t="s">
        <v>55</v>
      </c>
      <c r="F361" s="5" t="s">
        <v>116</v>
      </c>
      <c r="G361" s="5" t="s">
        <v>37</v>
      </c>
      <c r="H361" s="5" t="s">
        <v>58</v>
      </c>
      <c r="I361" s="5" t="s">
        <v>59</v>
      </c>
      <c r="J361" s="5" t="s">
        <v>372</v>
      </c>
      <c r="K361" s="5">
        <v>5</v>
      </c>
      <c r="L361" s="5">
        <v>2000</v>
      </c>
      <c r="M361" s="5">
        <v>0.1</v>
      </c>
      <c r="N361" s="5">
        <v>9000</v>
      </c>
      <c r="O361" s="5">
        <v>7349.68</v>
      </c>
      <c r="P361" s="5">
        <v>1650.32</v>
      </c>
      <c r="Q361" s="5">
        <v>18.34</v>
      </c>
      <c r="R361" s="5" t="s">
        <v>106</v>
      </c>
      <c r="S361" s="5" t="s">
        <v>62</v>
      </c>
      <c r="T361" s="5" t="s">
        <v>138</v>
      </c>
      <c r="U361" s="5" t="s">
        <v>119</v>
      </c>
      <c r="V361" s="5">
        <v>2025</v>
      </c>
      <c r="W361" s="5" t="s">
        <v>194</v>
      </c>
      <c r="X361" s="5">
        <v>10</v>
      </c>
      <c r="Y361" s="1">
        <v>45996</v>
      </c>
      <c r="Z361" s="5" t="s">
        <v>110</v>
      </c>
      <c r="AA361" s="5" t="s">
        <v>67</v>
      </c>
      <c r="AB361" s="5" t="s">
        <v>49</v>
      </c>
      <c r="AC361" s="5" t="s">
        <v>121</v>
      </c>
      <c r="AD361" s="5">
        <v>1</v>
      </c>
    </row>
    <row r="362" spans="1:30">
      <c r="A362" s="5" t="s">
        <v>1229</v>
      </c>
      <c r="B362" s="1">
        <v>45329</v>
      </c>
      <c r="C362" s="5" t="s">
        <v>1230</v>
      </c>
      <c r="D362" s="5" t="s">
        <v>920</v>
      </c>
      <c r="E362" s="5" t="s">
        <v>103</v>
      </c>
      <c r="F362" s="5" t="s">
        <v>36</v>
      </c>
      <c r="G362" s="5" t="s">
        <v>37</v>
      </c>
      <c r="H362" s="5" t="s">
        <v>58</v>
      </c>
      <c r="I362" s="5" t="s">
        <v>39</v>
      </c>
      <c r="J362" s="5" t="s">
        <v>356</v>
      </c>
      <c r="K362" s="5">
        <v>8</v>
      </c>
      <c r="L362" s="5">
        <v>50000</v>
      </c>
      <c r="M362" s="5">
        <v>0</v>
      </c>
      <c r="N362" s="5">
        <v>400000</v>
      </c>
      <c r="O362" s="5">
        <v>293354.07</v>
      </c>
      <c r="P362" s="5">
        <v>106645.93</v>
      </c>
      <c r="Q362" s="5">
        <v>26.66</v>
      </c>
      <c r="R362" s="5" t="s">
        <v>106</v>
      </c>
      <c r="S362" s="5" t="s">
        <v>42</v>
      </c>
      <c r="T362" s="5" t="s">
        <v>107</v>
      </c>
      <c r="U362" s="5" t="s">
        <v>151</v>
      </c>
      <c r="V362" s="5">
        <v>2024</v>
      </c>
      <c r="W362" s="5" t="s">
        <v>109</v>
      </c>
      <c r="X362" s="5">
        <v>7</v>
      </c>
      <c r="Y362" s="1">
        <v>45542</v>
      </c>
      <c r="Z362" s="5" t="s">
        <v>89</v>
      </c>
      <c r="AA362" s="5" t="s">
        <v>67</v>
      </c>
      <c r="AB362" s="5" t="s">
        <v>78</v>
      </c>
      <c r="AC362" s="5" t="s">
        <v>121</v>
      </c>
      <c r="AD362" s="5">
        <v>3</v>
      </c>
    </row>
    <row r="363" spans="1:30">
      <c r="A363" s="5" t="s">
        <v>1231</v>
      </c>
      <c r="B363" s="1">
        <v>45845</v>
      </c>
      <c r="C363" s="5" t="s">
        <v>33</v>
      </c>
      <c r="D363" s="5" t="s">
        <v>1232</v>
      </c>
      <c r="E363" s="5" t="s">
        <v>35</v>
      </c>
      <c r="F363" s="5" t="s">
        <v>56</v>
      </c>
      <c r="G363" s="5" t="s">
        <v>57</v>
      </c>
      <c r="H363" s="5" t="s">
        <v>94</v>
      </c>
      <c r="I363" s="5" t="s">
        <v>71</v>
      </c>
      <c r="J363" s="5" t="s">
        <v>172</v>
      </c>
      <c r="K363" s="5">
        <v>5</v>
      </c>
      <c r="L363" s="5">
        <v>3500</v>
      </c>
      <c r="M363" s="5">
        <v>0.1</v>
      </c>
      <c r="N363" s="5">
        <v>15750</v>
      </c>
      <c r="O363" s="5">
        <v>12713.35</v>
      </c>
      <c r="P363" s="5">
        <v>3036.65</v>
      </c>
      <c r="Q363" s="5">
        <v>19.28</v>
      </c>
      <c r="R363" s="5" t="s">
        <v>166</v>
      </c>
      <c r="S363" s="5" t="s">
        <v>62</v>
      </c>
      <c r="T363" s="5" t="s">
        <v>75</v>
      </c>
      <c r="U363" s="5" t="s">
        <v>151</v>
      </c>
      <c r="V363" s="5">
        <v>2025</v>
      </c>
      <c r="W363" s="5" t="s">
        <v>126</v>
      </c>
      <c r="X363" s="5">
        <v>9</v>
      </c>
      <c r="Y363" s="1" t="s">
        <v>212</v>
      </c>
      <c r="Z363" s="5" t="s">
        <v>47</v>
      </c>
      <c r="AA363" s="5" t="s">
        <v>67</v>
      </c>
      <c r="AB363" s="5" t="s">
        <v>78</v>
      </c>
      <c r="AC363" s="5" t="s">
        <v>121</v>
      </c>
      <c r="AD363" s="5">
        <v>1</v>
      </c>
    </row>
    <row r="364" spans="1:30">
      <c r="A364" s="5" t="s">
        <v>1233</v>
      </c>
      <c r="B364" s="1" t="s">
        <v>465</v>
      </c>
      <c r="C364" s="5" t="s">
        <v>527</v>
      </c>
      <c r="D364" s="5" t="s">
        <v>821</v>
      </c>
      <c r="E364" s="5" t="s">
        <v>55</v>
      </c>
      <c r="F364" s="5" t="s">
        <v>245</v>
      </c>
      <c r="G364" s="5" t="s">
        <v>246</v>
      </c>
      <c r="H364" s="5" t="s">
        <v>94</v>
      </c>
      <c r="I364" s="5" t="s">
        <v>59</v>
      </c>
      <c r="J364" s="5" t="s">
        <v>60</v>
      </c>
      <c r="K364" s="5">
        <v>3</v>
      </c>
      <c r="L364" s="5">
        <v>2000</v>
      </c>
      <c r="M364" s="5">
        <v>0.15</v>
      </c>
      <c r="N364" s="5">
        <v>5100</v>
      </c>
      <c r="O364" s="5">
        <v>3476.23</v>
      </c>
      <c r="P364" s="5">
        <v>1623.77</v>
      </c>
      <c r="Q364" s="5">
        <v>31.84</v>
      </c>
      <c r="R364" s="5" t="s">
        <v>166</v>
      </c>
      <c r="S364" s="5" t="s">
        <v>42</v>
      </c>
      <c r="T364" s="5" t="s">
        <v>118</v>
      </c>
      <c r="U364" s="5" t="s">
        <v>119</v>
      </c>
      <c r="V364" s="5">
        <v>2024</v>
      </c>
      <c r="W364" s="5" t="s">
        <v>194</v>
      </c>
      <c r="X364" s="5">
        <v>5</v>
      </c>
      <c r="Y364" s="1" t="s">
        <v>1110</v>
      </c>
      <c r="Z364" s="5" t="s">
        <v>110</v>
      </c>
      <c r="AA364" s="5" t="s">
        <v>48</v>
      </c>
      <c r="AB364" s="5" t="s">
        <v>49</v>
      </c>
      <c r="AC364" s="5" t="s">
        <v>50</v>
      </c>
      <c r="AD364" s="5">
        <v>3</v>
      </c>
    </row>
    <row r="365" spans="1:30">
      <c r="A365" s="5" t="s">
        <v>1234</v>
      </c>
      <c r="B365" s="1" t="s">
        <v>1235</v>
      </c>
      <c r="C365" s="5" t="s">
        <v>908</v>
      </c>
      <c r="D365" s="5" t="s">
        <v>478</v>
      </c>
      <c r="E365" s="5" t="s">
        <v>103</v>
      </c>
      <c r="F365" s="5" t="s">
        <v>56</v>
      </c>
      <c r="G365" s="5" t="s">
        <v>57</v>
      </c>
      <c r="H365" s="5" t="s">
        <v>58</v>
      </c>
      <c r="I365" s="5" t="s">
        <v>59</v>
      </c>
      <c r="J365" s="5" t="s">
        <v>133</v>
      </c>
      <c r="K365" s="5">
        <v>10</v>
      </c>
      <c r="L365" s="5">
        <v>1200</v>
      </c>
      <c r="M365" s="5">
        <v>0.1</v>
      </c>
      <c r="N365" s="5">
        <v>10800</v>
      </c>
      <c r="O365" s="5">
        <v>7661.79</v>
      </c>
      <c r="P365" s="5">
        <v>3138.21</v>
      </c>
      <c r="Q365" s="5">
        <v>29.06</v>
      </c>
      <c r="R365" s="5" t="s">
        <v>61</v>
      </c>
      <c r="S365" s="5" t="s">
        <v>62</v>
      </c>
      <c r="T365" s="5" t="s">
        <v>173</v>
      </c>
      <c r="U365" s="5" t="s">
        <v>198</v>
      </c>
      <c r="V365" s="5">
        <v>2024</v>
      </c>
      <c r="W365" s="5" t="s">
        <v>45</v>
      </c>
      <c r="X365" s="5">
        <v>1</v>
      </c>
      <c r="Y365" s="1" t="s">
        <v>1236</v>
      </c>
      <c r="Z365" s="5" t="s">
        <v>47</v>
      </c>
      <c r="AA365" s="5" t="s">
        <v>67</v>
      </c>
      <c r="AB365" s="5" t="s">
        <v>78</v>
      </c>
      <c r="AC365" s="5" t="s">
        <v>50</v>
      </c>
      <c r="AD365" s="5">
        <v>4</v>
      </c>
    </row>
    <row r="366" spans="1:30">
      <c r="A366" s="5" t="s">
        <v>1237</v>
      </c>
      <c r="B366" s="1" t="s">
        <v>914</v>
      </c>
      <c r="C366" s="5" t="s">
        <v>873</v>
      </c>
      <c r="D366" s="5" t="s">
        <v>546</v>
      </c>
      <c r="E366" s="5" t="s">
        <v>35</v>
      </c>
      <c r="F366" s="5" t="s">
        <v>82</v>
      </c>
      <c r="G366" s="5" t="s">
        <v>83</v>
      </c>
      <c r="H366" s="5" t="s">
        <v>171</v>
      </c>
      <c r="I366" s="5" t="s">
        <v>39</v>
      </c>
      <c r="J366" s="5" t="s">
        <v>105</v>
      </c>
      <c r="K366" s="5">
        <v>4</v>
      </c>
      <c r="L366" s="5">
        <v>12000</v>
      </c>
      <c r="M366" s="5">
        <v>0.1</v>
      </c>
      <c r="N366" s="5">
        <v>43200</v>
      </c>
      <c r="O366" s="5">
        <v>33895.32</v>
      </c>
      <c r="P366" s="5">
        <v>9304.68</v>
      </c>
      <c r="Q366" s="5">
        <v>21.54</v>
      </c>
      <c r="R366" s="5" t="s">
        <v>106</v>
      </c>
      <c r="S366" s="5" t="s">
        <v>62</v>
      </c>
      <c r="T366" s="5" t="s">
        <v>75</v>
      </c>
      <c r="U366" s="5" t="s">
        <v>218</v>
      </c>
      <c r="V366" s="5">
        <v>2025</v>
      </c>
      <c r="W366" s="5" t="s">
        <v>194</v>
      </c>
      <c r="X366" s="5">
        <v>2</v>
      </c>
      <c r="Y366" s="1" t="s">
        <v>894</v>
      </c>
      <c r="Z366" s="5" t="s">
        <v>47</v>
      </c>
      <c r="AA366" s="5" t="s">
        <v>48</v>
      </c>
      <c r="AB366" s="5" t="s">
        <v>111</v>
      </c>
      <c r="AC366" s="5" t="s">
        <v>50</v>
      </c>
      <c r="AD366" s="5">
        <v>3</v>
      </c>
    </row>
    <row r="367" spans="1:30">
      <c r="A367" s="5" t="s">
        <v>1238</v>
      </c>
      <c r="B367" s="1">
        <v>45846</v>
      </c>
      <c r="C367" s="5" t="s">
        <v>596</v>
      </c>
      <c r="D367" s="5" t="s">
        <v>1239</v>
      </c>
      <c r="E367" s="5" t="s">
        <v>103</v>
      </c>
      <c r="F367" s="5" t="s">
        <v>104</v>
      </c>
      <c r="G367" s="5" t="s">
        <v>104</v>
      </c>
      <c r="H367" s="5" t="s">
        <v>38</v>
      </c>
      <c r="I367" s="5" t="s">
        <v>71</v>
      </c>
      <c r="J367" s="5" t="s">
        <v>172</v>
      </c>
      <c r="K367" s="5">
        <v>1</v>
      </c>
      <c r="L367" s="5">
        <v>1800</v>
      </c>
      <c r="M367" s="5">
        <v>0.15</v>
      </c>
      <c r="N367" s="5">
        <v>1530</v>
      </c>
      <c r="O367" s="5">
        <v>1078.02</v>
      </c>
      <c r="P367" s="5">
        <v>451.98</v>
      </c>
      <c r="Q367" s="5">
        <v>29.54</v>
      </c>
      <c r="R367" s="5" t="s">
        <v>61</v>
      </c>
      <c r="S367" s="5" t="s">
        <v>62</v>
      </c>
      <c r="T367" s="5" t="s">
        <v>107</v>
      </c>
      <c r="U367" s="5" t="s">
        <v>218</v>
      </c>
      <c r="V367" s="5">
        <v>2025</v>
      </c>
      <c r="W367" s="5" t="s">
        <v>139</v>
      </c>
      <c r="X367" s="5">
        <v>7</v>
      </c>
      <c r="Y367" s="1" t="s">
        <v>1240</v>
      </c>
      <c r="Z367" s="5" t="s">
        <v>47</v>
      </c>
      <c r="AA367" s="5" t="s">
        <v>48</v>
      </c>
      <c r="AB367" s="5" t="s">
        <v>78</v>
      </c>
      <c r="AC367" s="5" t="s">
        <v>121</v>
      </c>
      <c r="AD367" s="5">
        <v>5</v>
      </c>
    </row>
    <row r="368" spans="1:30">
      <c r="A368" s="5" t="s">
        <v>1241</v>
      </c>
      <c r="B368" s="1">
        <v>45695</v>
      </c>
      <c r="C368" s="5" t="s">
        <v>1242</v>
      </c>
      <c r="D368" s="5" t="s">
        <v>1243</v>
      </c>
      <c r="E368" s="5" t="s">
        <v>35</v>
      </c>
      <c r="F368" s="5" t="s">
        <v>116</v>
      </c>
      <c r="G368" s="5" t="s">
        <v>37</v>
      </c>
      <c r="H368" s="5" t="s">
        <v>58</v>
      </c>
      <c r="I368" s="5" t="s">
        <v>84</v>
      </c>
      <c r="J368" s="5" t="s">
        <v>290</v>
      </c>
      <c r="K368" s="5">
        <v>4</v>
      </c>
      <c r="L368" s="5">
        <v>500</v>
      </c>
      <c r="M368" s="5">
        <v>0</v>
      </c>
      <c r="N368" s="5">
        <v>2000</v>
      </c>
      <c r="O368" s="5">
        <v>1243.18</v>
      </c>
      <c r="P368" s="5">
        <v>756.82</v>
      </c>
      <c r="Q368" s="5">
        <v>37.840000000000003</v>
      </c>
      <c r="R368" s="5" t="s">
        <v>41</v>
      </c>
      <c r="S368" s="5" t="s">
        <v>74</v>
      </c>
      <c r="T368" s="5" t="s">
        <v>63</v>
      </c>
      <c r="U368" s="5" t="s">
        <v>151</v>
      </c>
      <c r="V368" s="5">
        <v>2025</v>
      </c>
      <c r="W368" s="5" t="s">
        <v>134</v>
      </c>
      <c r="X368" s="5">
        <v>4</v>
      </c>
      <c r="Y368" s="1">
        <v>45815</v>
      </c>
      <c r="Z368" s="5" t="s">
        <v>47</v>
      </c>
      <c r="AA368" s="5" t="s">
        <v>67</v>
      </c>
      <c r="AB368" s="5" t="s">
        <v>78</v>
      </c>
      <c r="AC368" s="5" t="s">
        <v>121</v>
      </c>
      <c r="AD368" s="5">
        <v>5</v>
      </c>
    </row>
    <row r="369" spans="1:30">
      <c r="A369" s="5" t="s">
        <v>1244</v>
      </c>
      <c r="B369" s="1" t="s">
        <v>735</v>
      </c>
      <c r="C369" s="5" t="s">
        <v>1245</v>
      </c>
      <c r="D369" s="5" t="s">
        <v>981</v>
      </c>
      <c r="E369" s="5" t="s">
        <v>35</v>
      </c>
      <c r="F369" s="5" t="s">
        <v>131</v>
      </c>
      <c r="G369" s="5" t="s">
        <v>132</v>
      </c>
      <c r="H369" s="5" t="s">
        <v>94</v>
      </c>
      <c r="I369" s="5" t="s">
        <v>71</v>
      </c>
      <c r="J369" s="5" t="s">
        <v>158</v>
      </c>
      <c r="K369" s="5">
        <v>4</v>
      </c>
      <c r="L369" s="5">
        <v>1800</v>
      </c>
      <c r="M369" s="5">
        <v>0</v>
      </c>
      <c r="N369" s="5">
        <v>7200</v>
      </c>
      <c r="O369" s="5">
        <v>5523.22</v>
      </c>
      <c r="P369" s="5">
        <v>1676.78</v>
      </c>
      <c r="Q369" s="5">
        <v>23.29</v>
      </c>
      <c r="R369" s="5" t="s">
        <v>166</v>
      </c>
      <c r="S369" s="5" t="s">
        <v>62</v>
      </c>
      <c r="T369" s="5" t="s">
        <v>63</v>
      </c>
      <c r="U369" s="5" t="s">
        <v>87</v>
      </c>
      <c r="V369" s="5">
        <v>2025</v>
      </c>
      <c r="W369" s="5" t="s">
        <v>134</v>
      </c>
      <c r="X369" s="5">
        <v>5</v>
      </c>
      <c r="Y369" s="1">
        <v>45727</v>
      </c>
      <c r="Z369" s="5" t="s">
        <v>89</v>
      </c>
      <c r="AA369" s="5" t="s">
        <v>48</v>
      </c>
      <c r="AB369" s="5" t="s">
        <v>78</v>
      </c>
      <c r="AC369" s="5" t="s">
        <v>121</v>
      </c>
      <c r="AD369" s="5">
        <v>1</v>
      </c>
    </row>
    <row r="370" spans="1:30">
      <c r="A370" s="5" t="s">
        <v>1246</v>
      </c>
      <c r="B370" s="1">
        <v>45301</v>
      </c>
      <c r="C370" s="5" t="s">
        <v>1117</v>
      </c>
      <c r="D370" s="5" t="s">
        <v>799</v>
      </c>
      <c r="E370" s="5" t="s">
        <v>103</v>
      </c>
      <c r="F370" s="5" t="s">
        <v>131</v>
      </c>
      <c r="G370" s="5" t="s">
        <v>132</v>
      </c>
      <c r="H370" s="5" t="s">
        <v>58</v>
      </c>
      <c r="I370" s="5" t="s">
        <v>95</v>
      </c>
      <c r="J370" s="5" t="s">
        <v>96</v>
      </c>
      <c r="K370" s="5">
        <v>8</v>
      </c>
      <c r="L370" s="5">
        <v>4000</v>
      </c>
      <c r="M370" s="5">
        <v>0.15</v>
      </c>
      <c r="N370" s="5">
        <v>27200</v>
      </c>
      <c r="O370" s="5">
        <v>21222.78</v>
      </c>
      <c r="P370" s="5">
        <v>5977.22</v>
      </c>
      <c r="Q370" s="5">
        <v>21.98</v>
      </c>
      <c r="R370" s="5" t="s">
        <v>41</v>
      </c>
      <c r="S370" s="5" t="s">
        <v>74</v>
      </c>
      <c r="T370" s="5" t="s">
        <v>97</v>
      </c>
      <c r="U370" s="5" t="s">
        <v>87</v>
      </c>
      <c r="V370" s="5">
        <v>2024</v>
      </c>
      <c r="W370" s="5" t="s">
        <v>109</v>
      </c>
      <c r="X370" s="5">
        <v>9</v>
      </c>
      <c r="Y370" s="1">
        <v>45575</v>
      </c>
      <c r="Z370" s="5" t="s">
        <v>89</v>
      </c>
      <c r="AA370" s="5" t="s">
        <v>67</v>
      </c>
      <c r="AB370" s="5" t="s">
        <v>49</v>
      </c>
      <c r="AC370" s="5" t="s">
        <v>121</v>
      </c>
      <c r="AD370" s="5">
        <v>2</v>
      </c>
    </row>
    <row r="371" spans="1:30">
      <c r="A371" s="5" t="s">
        <v>1247</v>
      </c>
      <c r="B371" s="1" t="s">
        <v>324</v>
      </c>
      <c r="C371" s="5" t="s">
        <v>1248</v>
      </c>
      <c r="D371" s="5" t="s">
        <v>1249</v>
      </c>
      <c r="E371" s="5" t="s">
        <v>55</v>
      </c>
      <c r="F371" s="5" t="s">
        <v>116</v>
      </c>
      <c r="G371" s="5" t="s">
        <v>37</v>
      </c>
      <c r="H371" s="5" t="s">
        <v>38</v>
      </c>
      <c r="I371" s="5" t="s">
        <v>71</v>
      </c>
      <c r="J371" s="5" t="s">
        <v>158</v>
      </c>
      <c r="K371" s="5">
        <v>6</v>
      </c>
      <c r="L371" s="5">
        <v>700</v>
      </c>
      <c r="M371" s="5">
        <v>0.05</v>
      </c>
      <c r="N371" s="5">
        <v>3990</v>
      </c>
      <c r="O371" s="5">
        <v>2890.48</v>
      </c>
      <c r="P371" s="5">
        <v>1099.52</v>
      </c>
      <c r="Q371" s="5">
        <v>27.56</v>
      </c>
      <c r="R371" s="5" t="s">
        <v>106</v>
      </c>
      <c r="S371" s="5" t="s">
        <v>74</v>
      </c>
      <c r="T371" s="5" t="s">
        <v>86</v>
      </c>
      <c r="U371" s="5" t="s">
        <v>98</v>
      </c>
      <c r="V371" s="5">
        <v>2025</v>
      </c>
      <c r="W371" s="5" t="s">
        <v>134</v>
      </c>
      <c r="X371" s="5">
        <v>5</v>
      </c>
      <c r="Y371" s="1">
        <v>45719</v>
      </c>
      <c r="Z371" s="5" t="s">
        <v>47</v>
      </c>
      <c r="AA371" s="5" t="s">
        <v>90</v>
      </c>
      <c r="AB371" s="5" t="s">
        <v>49</v>
      </c>
      <c r="AC371" s="5" t="s">
        <v>50</v>
      </c>
      <c r="AD371" s="5">
        <v>4</v>
      </c>
    </row>
    <row r="372" spans="1:30">
      <c r="A372" s="5" t="s">
        <v>1250</v>
      </c>
      <c r="B372" s="1">
        <v>45632</v>
      </c>
      <c r="C372" s="5" t="s">
        <v>386</v>
      </c>
      <c r="D372" s="5" t="s">
        <v>666</v>
      </c>
      <c r="E372" s="5" t="s">
        <v>103</v>
      </c>
      <c r="F372" s="5" t="s">
        <v>56</v>
      </c>
      <c r="G372" s="5" t="s">
        <v>57</v>
      </c>
      <c r="H372" s="5" t="s">
        <v>58</v>
      </c>
      <c r="I372" s="5" t="s">
        <v>59</v>
      </c>
      <c r="J372" s="5" t="s">
        <v>133</v>
      </c>
      <c r="K372" s="5">
        <v>7</v>
      </c>
      <c r="L372" s="5">
        <v>500</v>
      </c>
      <c r="M372" s="5">
        <v>0.05</v>
      </c>
      <c r="N372" s="5">
        <v>3325</v>
      </c>
      <c r="O372" s="5">
        <v>1854.91</v>
      </c>
      <c r="P372" s="5">
        <v>1470.09</v>
      </c>
      <c r="Q372" s="5">
        <v>44.21</v>
      </c>
      <c r="R372" s="5" t="s">
        <v>166</v>
      </c>
      <c r="S372" s="5" t="s">
        <v>74</v>
      </c>
      <c r="T372" s="5" t="s">
        <v>43</v>
      </c>
      <c r="U372" s="5" t="s">
        <v>160</v>
      </c>
      <c r="V372" s="5">
        <v>2024</v>
      </c>
      <c r="W372" s="5" t="s">
        <v>134</v>
      </c>
      <c r="X372" s="5">
        <v>5</v>
      </c>
      <c r="Y372" s="1" t="s">
        <v>153</v>
      </c>
      <c r="Z372" s="5" t="s">
        <v>47</v>
      </c>
      <c r="AA372" s="5" t="s">
        <v>90</v>
      </c>
      <c r="AB372" s="5" t="s">
        <v>78</v>
      </c>
      <c r="AC372" s="5" t="s">
        <v>50</v>
      </c>
      <c r="AD372" s="5">
        <v>1</v>
      </c>
    </row>
    <row r="373" spans="1:30">
      <c r="A373" s="5" t="s">
        <v>1251</v>
      </c>
      <c r="B373" s="1" t="s">
        <v>1252</v>
      </c>
      <c r="C373" s="5" t="s">
        <v>251</v>
      </c>
      <c r="D373" s="5" t="s">
        <v>1201</v>
      </c>
      <c r="E373" s="5" t="s">
        <v>103</v>
      </c>
      <c r="F373" s="5" t="s">
        <v>156</v>
      </c>
      <c r="G373" s="5" t="s">
        <v>157</v>
      </c>
      <c r="H373" s="5" t="s">
        <v>171</v>
      </c>
      <c r="I373" s="5" t="s">
        <v>84</v>
      </c>
      <c r="J373" s="5" t="s">
        <v>390</v>
      </c>
      <c r="K373" s="5">
        <v>7</v>
      </c>
      <c r="L373" s="5">
        <v>200</v>
      </c>
      <c r="M373" s="5">
        <v>0.05</v>
      </c>
      <c r="N373" s="5">
        <v>1330</v>
      </c>
      <c r="O373" s="5">
        <v>1066.52</v>
      </c>
      <c r="P373" s="5">
        <v>263.48</v>
      </c>
      <c r="Q373" s="5">
        <v>19.809999999999999</v>
      </c>
      <c r="R373" s="5" t="s">
        <v>166</v>
      </c>
      <c r="S373" s="5" t="s">
        <v>74</v>
      </c>
      <c r="T373" s="5" t="s">
        <v>86</v>
      </c>
      <c r="U373" s="5" t="s">
        <v>44</v>
      </c>
      <c r="V373" s="5">
        <v>2024</v>
      </c>
      <c r="W373" s="5" t="s">
        <v>134</v>
      </c>
      <c r="X373" s="5">
        <v>10</v>
      </c>
      <c r="Y373" s="1">
        <v>45387</v>
      </c>
      <c r="Z373" s="5" t="s">
        <v>89</v>
      </c>
      <c r="AA373" s="5" t="s">
        <v>48</v>
      </c>
      <c r="AB373" s="5" t="s">
        <v>49</v>
      </c>
      <c r="AC373" s="5" t="s">
        <v>50</v>
      </c>
      <c r="AD373" s="5">
        <v>3</v>
      </c>
    </row>
    <row r="374" spans="1:30">
      <c r="A374" s="5" t="s">
        <v>1253</v>
      </c>
      <c r="B374" s="1" t="s">
        <v>1054</v>
      </c>
      <c r="C374" s="5" t="s">
        <v>1254</v>
      </c>
      <c r="D374" s="5" t="s">
        <v>594</v>
      </c>
      <c r="E374" s="5" t="s">
        <v>103</v>
      </c>
      <c r="F374" s="5" t="s">
        <v>144</v>
      </c>
      <c r="G374" s="5" t="s">
        <v>145</v>
      </c>
      <c r="H374" s="5" t="s">
        <v>58</v>
      </c>
      <c r="I374" s="5" t="s">
        <v>71</v>
      </c>
      <c r="J374" s="5" t="s">
        <v>117</v>
      </c>
      <c r="K374" s="5">
        <v>7</v>
      </c>
      <c r="L374" s="5">
        <v>1200</v>
      </c>
      <c r="M374" s="5">
        <v>0.05</v>
      </c>
      <c r="N374" s="5">
        <v>7980</v>
      </c>
      <c r="O374" s="5">
        <v>6478.8</v>
      </c>
      <c r="P374" s="5">
        <v>1501.2</v>
      </c>
      <c r="Q374" s="5">
        <v>18.809999999999999</v>
      </c>
      <c r="R374" s="5" t="s">
        <v>166</v>
      </c>
      <c r="S374" s="5" t="s">
        <v>42</v>
      </c>
      <c r="T374" s="5" t="s">
        <v>97</v>
      </c>
      <c r="U374" s="5" t="s">
        <v>44</v>
      </c>
      <c r="V374" s="5">
        <v>2024</v>
      </c>
      <c r="W374" s="5" t="s">
        <v>194</v>
      </c>
      <c r="X374" s="5">
        <v>3</v>
      </c>
      <c r="Y374" s="1" t="s">
        <v>839</v>
      </c>
      <c r="Z374" s="5" t="s">
        <v>47</v>
      </c>
      <c r="AA374" s="5" t="s">
        <v>48</v>
      </c>
      <c r="AB374" s="5" t="s">
        <v>49</v>
      </c>
      <c r="AC374" s="5" t="s">
        <v>50</v>
      </c>
      <c r="AD374" s="5">
        <v>5</v>
      </c>
    </row>
    <row r="375" spans="1:30">
      <c r="A375" s="5" t="s">
        <v>1255</v>
      </c>
      <c r="B375" s="1">
        <v>45662</v>
      </c>
      <c r="C375" s="5" t="s">
        <v>243</v>
      </c>
      <c r="D375" s="5" t="s">
        <v>955</v>
      </c>
      <c r="E375" s="5" t="s">
        <v>103</v>
      </c>
      <c r="F375" s="5" t="s">
        <v>156</v>
      </c>
      <c r="G375" s="5" t="s">
        <v>157</v>
      </c>
      <c r="H375" s="5" t="s">
        <v>58</v>
      </c>
      <c r="I375" s="5" t="s">
        <v>71</v>
      </c>
      <c r="J375" s="5" t="s">
        <v>117</v>
      </c>
      <c r="K375" s="5">
        <v>5</v>
      </c>
      <c r="L375" s="5">
        <v>1200</v>
      </c>
      <c r="M375" s="5">
        <v>0.1</v>
      </c>
      <c r="N375" s="5">
        <v>5400</v>
      </c>
      <c r="O375" s="5">
        <v>3000.73</v>
      </c>
      <c r="P375" s="5">
        <v>2399.27</v>
      </c>
      <c r="Q375" s="5">
        <v>44.43</v>
      </c>
      <c r="R375" s="5" t="s">
        <v>73</v>
      </c>
      <c r="S375" s="5" t="s">
        <v>62</v>
      </c>
      <c r="T375" s="5" t="s">
        <v>107</v>
      </c>
      <c r="U375" s="5" t="s">
        <v>119</v>
      </c>
      <c r="V375" s="5">
        <v>2025</v>
      </c>
      <c r="W375" s="5" t="s">
        <v>139</v>
      </c>
      <c r="X375" s="5">
        <v>6</v>
      </c>
      <c r="Y375" s="1">
        <v>45843</v>
      </c>
      <c r="Z375" s="5" t="s">
        <v>47</v>
      </c>
      <c r="AA375" s="5" t="s">
        <v>67</v>
      </c>
      <c r="AB375" s="5" t="s">
        <v>78</v>
      </c>
      <c r="AC375" s="5" t="s">
        <v>50</v>
      </c>
      <c r="AD375" s="5">
        <v>1</v>
      </c>
    </row>
    <row r="376" spans="1:30">
      <c r="A376" s="5" t="s">
        <v>1256</v>
      </c>
      <c r="B376" s="1" t="s">
        <v>635</v>
      </c>
      <c r="C376" s="5" t="s">
        <v>477</v>
      </c>
      <c r="D376" s="5" t="s">
        <v>859</v>
      </c>
      <c r="E376" s="5" t="s">
        <v>35</v>
      </c>
      <c r="F376" s="5" t="s">
        <v>131</v>
      </c>
      <c r="G376" s="5" t="s">
        <v>132</v>
      </c>
      <c r="H376" s="5" t="s">
        <v>94</v>
      </c>
      <c r="I376" s="5" t="s">
        <v>95</v>
      </c>
      <c r="J376" s="5" t="s">
        <v>440</v>
      </c>
      <c r="K376" s="5">
        <v>7</v>
      </c>
      <c r="L376" s="5">
        <v>2500</v>
      </c>
      <c r="M376" s="5">
        <v>0.15</v>
      </c>
      <c r="N376" s="5">
        <v>14875</v>
      </c>
      <c r="O376" s="5">
        <v>11941.75</v>
      </c>
      <c r="P376" s="5">
        <v>2933.25</v>
      </c>
      <c r="Q376" s="5">
        <v>19.72</v>
      </c>
      <c r="R376" s="5" t="s">
        <v>61</v>
      </c>
      <c r="S376" s="5" t="s">
        <v>42</v>
      </c>
      <c r="T376" s="5" t="s">
        <v>75</v>
      </c>
      <c r="U376" s="5" t="s">
        <v>108</v>
      </c>
      <c r="V376" s="5">
        <v>2024</v>
      </c>
      <c r="W376" s="5" t="s">
        <v>134</v>
      </c>
      <c r="X376" s="5">
        <v>5</v>
      </c>
      <c r="Y376" s="1" t="s">
        <v>789</v>
      </c>
      <c r="Z376" s="5" t="s">
        <v>47</v>
      </c>
      <c r="AA376" s="5" t="s">
        <v>90</v>
      </c>
      <c r="AB376" s="5" t="s">
        <v>78</v>
      </c>
      <c r="AC376" s="5" t="s">
        <v>121</v>
      </c>
      <c r="AD376" s="5">
        <v>4</v>
      </c>
    </row>
    <row r="377" spans="1:30">
      <c r="A377" s="5" t="s">
        <v>1257</v>
      </c>
      <c r="B377" s="1" t="s">
        <v>1258</v>
      </c>
      <c r="C377" s="5" t="s">
        <v>1259</v>
      </c>
      <c r="D377" s="5" t="s">
        <v>339</v>
      </c>
      <c r="E377" s="5" t="s">
        <v>103</v>
      </c>
      <c r="F377" s="5" t="s">
        <v>56</v>
      </c>
      <c r="G377" s="5" t="s">
        <v>57</v>
      </c>
      <c r="H377" s="5" t="s">
        <v>171</v>
      </c>
      <c r="I377" s="5" t="s">
        <v>71</v>
      </c>
      <c r="J377" s="5" t="s">
        <v>240</v>
      </c>
      <c r="K377" s="5">
        <v>7</v>
      </c>
      <c r="L377" s="5">
        <v>700</v>
      </c>
      <c r="M377" s="5">
        <v>0.05</v>
      </c>
      <c r="N377" s="5">
        <v>4655</v>
      </c>
      <c r="O377" s="5">
        <v>2643.66</v>
      </c>
      <c r="P377" s="5">
        <v>2011.34</v>
      </c>
      <c r="Q377" s="5">
        <v>43.21</v>
      </c>
      <c r="R377" s="5" t="s">
        <v>166</v>
      </c>
      <c r="S377" s="5" t="s">
        <v>42</v>
      </c>
      <c r="T377" s="5" t="s">
        <v>43</v>
      </c>
      <c r="U377" s="5" t="s">
        <v>64</v>
      </c>
      <c r="V377" s="5">
        <v>2025</v>
      </c>
      <c r="W377" s="5" t="s">
        <v>109</v>
      </c>
      <c r="X377" s="5">
        <v>5</v>
      </c>
      <c r="Y377" s="1" t="s">
        <v>401</v>
      </c>
      <c r="Z377" s="5" t="s">
        <v>89</v>
      </c>
      <c r="AA377" s="5" t="s">
        <v>90</v>
      </c>
      <c r="AB377" s="5" t="s">
        <v>111</v>
      </c>
      <c r="AC377" s="5" t="s">
        <v>121</v>
      </c>
      <c r="AD377" s="5">
        <v>4</v>
      </c>
    </row>
    <row r="378" spans="1:30">
      <c r="A378" s="5" t="s">
        <v>1260</v>
      </c>
      <c r="B378" s="1" t="s">
        <v>1261</v>
      </c>
      <c r="C378" s="5" t="s">
        <v>1262</v>
      </c>
      <c r="D378" s="5" t="s">
        <v>1263</v>
      </c>
      <c r="E378" s="5" t="s">
        <v>103</v>
      </c>
      <c r="F378" s="5" t="s">
        <v>245</v>
      </c>
      <c r="G378" s="5" t="s">
        <v>246</v>
      </c>
      <c r="H378" s="5" t="s">
        <v>38</v>
      </c>
      <c r="I378" s="5" t="s">
        <v>39</v>
      </c>
      <c r="J378" s="5" t="s">
        <v>253</v>
      </c>
      <c r="K378" s="5">
        <v>4</v>
      </c>
      <c r="L378" s="5">
        <v>50000</v>
      </c>
      <c r="M378" s="5">
        <v>0.1</v>
      </c>
      <c r="N378" s="5">
        <v>180000</v>
      </c>
      <c r="O378" s="5">
        <v>104386.25</v>
      </c>
      <c r="P378" s="5">
        <v>75613.75</v>
      </c>
      <c r="Q378" s="5">
        <v>42.01</v>
      </c>
      <c r="R378" s="5" t="s">
        <v>41</v>
      </c>
      <c r="S378" s="5" t="s">
        <v>42</v>
      </c>
      <c r="T378" s="5" t="s">
        <v>75</v>
      </c>
      <c r="U378" s="5" t="s">
        <v>198</v>
      </c>
      <c r="V378" s="5">
        <v>2024</v>
      </c>
      <c r="W378" s="5" t="s">
        <v>45</v>
      </c>
      <c r="X378" s="5">
        <v>10</v>
      </c>
      <c r="Y378" s="1" t="s">
        <v>1008</v>
      </c>
      <c r="Z378" s="5" t="s">
        <v>47</v>
      </c>
      <c r="AA378" s="5" t="s">
        <v>67</v>
      </c>
      <c r="AB378" s="5" t="s">
        <v>78</v>
      </c>
      <c r="AC378" s="5" t="s">
        <v>50</v>
      </c>
      <c r="AD378" s="5">
        <v>2</v>
      </c>
    </row>
    <row r="379" spans="1:30">
      <c r="A379" s="5" t="s">
        <v>1264</v>
      </c>
      <c r="B379" s="1" t="s">
        <v>721</v>
      </c>
      <c r="C379" s="5" t="s">
        <v>1265</v>
      </c>
      <c r="D379" s="5" t="s">
        <v>387</v>
      </c>
      <c r="E379" s="5" t="s">
        <v>35</v>
      </c>
      <c r="F379" s="5" t="s">
        <v>116</v>
      </c>
      <c r="G379" s="5" t="s">
        <v>37</v>
      </c>
      <c r="H379" s="5" t="s">
        <v>58</v>
      </c>
      <c r="I379" s="5" t="s">
        <v>95</v>
      </c>
      <c r="J379" s="5" t="s">
        <v>96</v>
      </c>
      <c r="K379" s="5">
        <v>6</v>
      </c>
      <c r="L379" s="5">
        <v>6000</v>
      </c>
      <c r="M379" s="5">
        <v>0.05</v>
      </c>
      <c r="N379" s="5">
        <v>34200</v>
      </c>
      <c r="O379" s="5">
        <v>20489.57</v>
      </c>
      <c r="P379" s="5">
        <v>13710.43</v>
      </c>
      <c r="Q379" s="5">
        <v>40.090000000000003</v>
      </c>
      <c r="R379" s="5" t="s">
        <v>41</v>
      </c>
      <c r="S379" s="5" t="s">
        <v>42</v>
      </c>
      <c r="T379" s="5" t="s">
        <v>63</v>
      </c>
      <c r="U379" s="5" t="s">
        <v>178</v>
      </c>
      <c r="V379" s="5">
        <v>2024</v>
      </c>
      <c r="W379" s="5" t="s">
        <v>134</v>
      </c>
      <c r="X379" s="5">
        <v>7</v>
      </c>
      <c r="Y379" s="1">
        <v>45355</v>
      </c>
      <c r="Z379" s="5" t="s">
        <v>47</v>
      </c>
      <c r="AA379" s="5" t="s">
        <v>48</v>
      </c>
      <c r="AB379" s="5" t="s">
        <v>49</v>
      </c>
      <c r="AC379" s="5" t="s">
        <v>121</v>
      </c>
      <c r="AD379" s="5">
        <v>4</v>
      </c>
    </row>
    <row r="380" spans="1:30">
      <c r="A380" s="5" t="s">
        <v>1266</v>
      </c>
      <c r="B380" s="1" t="s">
        <v>222</v>
      </c>
      <c r="C380" s="5" t="s">
        <v>1267</v>
      </c>
      <c r="D380" s="5" t="s">
        <v>1268</v>
      </c>
      <c r="E380" s="5" t="s">
        <v>35</v>
      </c>
      <c r="F380" s="5" t="s">
        <v>149</v>
      </c>
      <c r="G380" s="5" t="s">
        <v>150</v>
      </c>
      <c r="H380" s="5" t="s">
        <v>58</v>
      </c>
      <c r="I380" s="5" t="s">
        <v>84</v>
      </c>
      <c r="J380" s="5" t="s">
        <v>85</v>
      </c>
      <c r="K380" s="5">
        <v>1</v>
      </c>
      <c r="L380" s="5">
        <v>500</v>
      </c>
      <c r="M380" s="5">
        <v>0.2</v>
      </c>
      <c r="N380" s="5">
        <v>400</v>
      </c>
      <c r="O380" s="5">
        <v>236.12</v>
      </c>
      <c r="P380" s="5">
        <v>163.88</v>
      </c>
      <c r="Q380" s="5">
        <v>40.97</v>
      </c>
      <c r="R380" s="5" t="s">
        <v>41</v>
      </c>
      <c r="S380" s="5" t="s">
        <v>62</v>
      </c>
      <c r="T380" s="5" t="s">
        <v>138</v>
      </c>
      <c r="U380" s="5" t="s">
        <v>178</v>
      </c>
      <c r="V380" s="5">
        <v>2025</v>
      </c>
      <c r="W380" s="5" t="s">
        <v>65</v>
      </c>
      <c r="X380" s="5">
        <v>10</v>
      </c>
      <c r="Y380" s="1" t="s">
        <v>1269</v>
      </c>
      <c r="Z380" s="5" t="s">
        <v>47</v>
      </c>
      <c r="AA380" s="5" t="s">
        <v>48</v>
      </c>
      <c r="AB380" s="5" t="s">
        <v>78</v>
      </c>
      <c r="AC380" s="5" t="s">
        <v>121</v>
      </c>
      <c r="AD380" s="5">
        <v>2</v>
      </c>
    </row>
    <row r="381" spans="1:30">
      <c r="A381" s="5" t="s">
        <v>1270</v>
      </c>
      <c r="B381" s="1" t="s">
        <v>502</v>
      </c>
      <c r="C381" s="5" t="s">
        <v>1271</v>
      </c>
      <c r="D381" s="5" t="s">
        <v>758</v>
      </c>
      <c r="E381" s="5" t="s">
        <v>35</v>
      </c>
      <c r="F381" s="5" t="s">
        <v>149</v>
      </c>
      <c r="G381" s="5" t="s">
        <v>150</v>
      </c>
      <c r="H381" s="5" t="s">
        <v>94</v>
      </c>
      <c r="I381" s="5" t="s">
        <v>95</v>
      </c>
      <c r="J381" s="5" t="s">
        <v>184</v>
      </c>
      <c r="K381" s="5">
        <v>5</v>
      </c>
      <c r="L381" s="5">
        <v>9000</v>
      </c>
      <c r="M381" s="5">
        <v>0.15</v>
      </c>
      <c r="N381" s="5">
        <v>38250</v>
      </c>
      <c r="O381" s="5">
        <v>27234.85</v>
      </c>
      <c r="P381" s="5">
        <v>11015.15</v>
      </c>
      <c r="Q381" s="5">
        <v>28.8</v>
      </c>
      <c r="R381" s="5" t="s">
        <v>73</v>
      </c>
      <c r="S381" s="5" t="s">
        <v>74</v>
      </c>
      <c r="T381" s="5" t="s">
        <v>159</v>
      </c>
      <c r="U381" s="5" t="s">
        <v>119</v>
      </c>
      <c r="V381" s="5">
        <v>2024</v>
      </c>
      <c r="W381" s="5" t="s">
        <v>126</v>
      </c>
      <c r="X381" s="5">
        <v>7</v>
      </c>
      <c r="Y381" s="1" t="s">
        <v>1272</v>
      </c>
      <c r="Z381" s="5" t="s">
        <v>47</v>
      </c>
      <c r="AA381" s="5" t="s">
        <v>67</v>
      </c>
      <c r="AB381" s="5" t="s">
        <v>49</v>
      </c>
      <c r="AC381" s="5" t="s">
        <v>50</v>
      </c>
      <c r="AD381" s="5">
        <v>2</v>
      </c>
    </row>
    <row r="382" spans="1:30">
      <c r="A382" s="5" t="s">
        <v>1273</v>
      </c>
      <c r="B382" s="1" t="s">
        <v>462</v>
      </c>
      <c r="C382" s="5" t="s">
        <v>1067</v>
      </c>
      <c r="D382" s="5" t="s">
        <v>293</v>
      </c>
      <c r="E382" s="5" t="s">
        <v>103</v>
      </c>
      <c r="F382" s="5" t="s">
        <v>82</v>
      </c>
      <c r="G382" s="5" t="s">
        <v>83</v>
      </c>
      <c r="H382" s="5" t="s">
        <v>171</v>
      </c>
      <c r="I382" s="5" t="s">
        <v>59</v>
      </c>
      <c r="J382" s="5" t="s">
        <v>133</v>
      </c>
      <c r="K382" s="5">
        <v>2</v>
      </c>
      <c r="L382" s="5">
        <v>500</v>
      </c>
      <c r="M382" s="5">
        <v>0.15</v>
      </c>
      <c r="N382" s="5">
        <v>850</v>
      </c>
      <c r="O382" s="5">
        <v>625.13</v>
      </c>
      <c r="P382" s="5">
        <v>224.87</v>
      </c>
      <c r="Q382" s="5">
        <v>26.46</v>
      </c>
      <c r="R382" s="5" t="s">
        <v>106</v>
      </c>
      <c r="S382" s="5" t="s">
        <v>74</v>
      </c>
      <c r="T382" s="5" t="s">
        <v>107</v>
      </c>
      <c r="U382" s="5" t="s">
        <v>119</v>
      </c>
      <c r="V382" s="5">
        <v>2024</v>
      </c>
      <c r="W382" s="5" t="s">
        <v>139</v>
      </c>
      <c r="X382" s="5">
        <v>6</v>
      </c>
      <c r="Y382" s="1" t="s">
        <v>1110</v>
      </c>
      <c r="Z382" s="5" t="s">
        <v>110</v>
      </c>
      <c r="AA382" s="5" t="s">
        <v>90</v>
      </c>
      <c r="AB382" s="5" t="s">
        <v>49</v>
      </c>
      <c r="AC382" s="5" t="s">
        <v>50</v>
      </c>
      <c r="AD382" s="5">
        <v>2</v>
      </c>
    </row>
    <row r="383" spans="1:30">
      <c r="A383" s="5" t="s">
        <v>1274</v>
      </c>
      <c r="B383" s="1" t="s">
        <v>1275</v>
      </c>
      <c r="C383" s="5" t="s">
        <v>169</v>
      </c>
      <c r="D383" s="5" t="s">
        <v>763</v>
      </c>
      <c r="E383" s="5" t="s">
        <v>103</v>
      </c>
      <c r="F383" s="5" t="s">
        <v>56</v>
      </c>
      <c r="G383" s="5" t="s">
        <v>57</v>
      </c>
      <c r="H383" s="5" t="s">
        <v>58</v>
      </c>
      <c r="I383" s="5" t="s">
        <v>84</v>
      </c>
      <c r="J383" s="5" t="s">
        <v>217</v>
      </c>
      <c r="K383" s="5">
        <v>10</v>
      </c>
      <c r="L383" s="5">
        <v>100</v>
      </c>
      <c r="M383" s="5">
        <v>0</v>
      </c>
      <c r="N383" s="5">
        <v>1000</v>
      </c>
      <c r="O383" s="5">
        <v>652.85</v>
      </c>
      <c r="P383" s="5">
        <v>347.15</v>
      </c>
      <c r="Q383" s="5">
        <v>34.71</v>
      </c>
      <c r="R383" s="5" t="s">
        <v>41</v>
      </c>
      <c r="S383" s="5" t="s">
        <v>74</v>
      </c>
      <c r="T383" s="5" t="s">
        <v>159</v>
      </c>
      <c r="U383" s="5" t="s">
        <v>108</v>
      </c>
      <c r="V383" s="5">
        <v>2024</v>
      </c>
      <c r="W383" s="5" t="s">
        <v>126</v>
      </c>
      <c r="X383" s="5">
        <v>9</v>
      </c>
      <c r="Y383" s="1" t="s">
        <v>921</v>
      </c>
      <c r="Z383" s="5" t="s">
        <v>89</v>
      </c>
      <c r="AA383" s="5" t="s">
        <v>90</v>
      </c>
      <c r="AB383" s="5" t="s">
        <v>111</v>
      </c>
      <c r="AC383" s="5" t="s">
        <v>50</v>
      </c>
      <c r="AD383" s="5">
        <v>3</v>
      </c>
    </row>
    <row r="384" spans="1:30">
      <c r="A384" s="5" t="s">
        <v>1276</v>
      </c>
      <c r="B384" s="1" t="s">
        <v>1277</v>
      </c>
      <c r="C384" s="5" t="s">
        <v>908</v>
      </c>
      <c r="D384" s="5" t="s">
        <v>313</v>
      </c>
      <c r="E384" s="5" t="s">
        <v>55</v>
      </c>
      <c r="F384" s="5" t="s">
        <v>56</v>
      </c>
      <c r="G384" s="5" t="s">
        <v>57</v>
      </c>
      <c r="H384" s="5" t="s">
        <v>171</v>
      </c>
      <c r="I384" s="5" t="s">
        <v>95</v>
      </c>
      <c r="J384" s="5" t="s">
        <v>344</v>
      </c>
      <c r="K384" s="5">
        <v>6</v>
      </c>
      <c r="L384" s="5">
        <v>15000</v>
      </c>
      <c r="M384" s="5">
        <v>0.15</v>
      </c>
      <c r="N384" s="5">
        <v>76500</v>
      </c>
      <c r="O384" s="5">
        <v>48545.58</v>
      </c>
      <c r="P384" s="5">
        <v>27954.42</v>
      </c>
      <c r="Q384" s="5">
        <v>36.54</v>
      </c>
      <c r="R384" s="5" t="s">
        <v>166</v>
      </c>
      <c r="S384" s="5" t="s">
        <v>62</v>
      </c>
      <c r="T384" s="5" t="s">
        <v>159</v>
      </c>
      <c r="U384" s="5" t="s">
        <v>119</v>
      </c>
      <c r="V384" s="5">
        <v>2024</v>
      </c>
      <c r="W384" s="5" t="s">
        <v>65</v>
      </c>
      <c r="X384" s="5">
        <v>5</v>
      </c>
      <c r="Y384" s="1" t="s">
        <v>1278</v>
      </c>
      <c r="Z384" s="5" t="s">
        <v>47</v>
      </c>
      <c r="AA384" s="5" t="s">
        <v>48</v>
      </c>
      <c r="AB384" s="5" t="s">
        <v>78</v>
      </c>
      <c r="AC384" s="5" t="s">
        <v>50</v>
      </c>
      <c r="AD384" s="5">
        <v>4</v>
      </c>
    </row>
    <row r="385" spans="1:30">
      <c r="A385" s="5" t="s">
        <v>1279</v>
      </c>
      <c r="B385" s="1" t="s">
        <v>1280</v>
      </c>
      <c r="C385" s="5" t="s">
        <v>1281</v>
      </c>
      <c r="D385" s="5" t="s">
        <v>1282</v>
      </c>
      <c r="E385" s="5" t="s">
        <v>55</v>
      </c>
      <c r="F385" s="5" t="s">
        <v>245</v>
      </c>
      <c r="G385" s="5" t="s">
        <v>246</v>
      </c>
      <c r="H385" s="5" t="s">
        <v>38</v>
      </c>
      <c r="I385" s="5" t="s">
        <v>84</v>
      </c>
      <c r="J385" s="5" t="s">
        <v>290</v>
      </c>
      <c r="K385" s="5">
        <v>3</v>
      </c>
      <c r="L385" s="5">
        <v>800</v>
      </c>
      <c r="M385" s="5">
        <v>0.15</v>
      </c>
      <c r="N385" s="5">
        <v>2040</v>
      </c>
      <c r="O385" s="5">
        <v>1152.06</v>
      </c>
      <c r="P385" s="5">
        <v>887.94</v>
      </c>
      <c r="Q385" s="5">
        <v>43.53</v>
      </c>
      <c r="R385" s="5" t="s">
        <v>166</v>
      </c>
      <c r="S385" s="5" t="s">
        <v>62</v>
      </c>
      <c r="T385" s="5" t="s">
        <v>173</v>
      </c>
      <c r="U385" s="5" t="s">
        <v>98</v>
      </c>
      <c r="V385" s="5">
        <v>2024</v>
      </c>
      <c r="W385" s="5" t="s">
        <v>65</v>
      </c>
      <c r="X385" s="5">
        <v>4</v>
      </c>
      <c r="Y385" s="1" t="s">
        <v>1283</v>
      </c>
      <c r="Z385" s="5" t="s">
        <v>47</v>
      </c>
      <c r="AA385" s="5" t="s">
        <v>67</v>
      </c>
      <c r="AB385" s="5" t="s">
        <v>49</v>
      </c>
      <c r="AC385" s="5" t="s">
        <v>50</v>
      </c>
      <c r="AD385" s="5">
        <v>3</v>
      </c>
    </row>
    <row r="386" spans="1:30">
      <c r="A386" s="5" t="s">
        <v>1284</v>
      </c>
      <c r="B386" s="1">
        <v>45448</v>
      </c>
      <c r="C386" s="5" t="s">
        <v>1285</v>
      </c>
      <c r="D386" s="5" t="s">
        <v>464</v>
      </c>
      <c r="E386" s="5" t="s">
        <v>35</v>
      </c>
      <c r="F386" s="5" t="s">
        <v>131</v>
      </c>
      <c r="G386" s="5" t="s">
        <v>132</v>
      </c>
      <c r="H386" s="5" t="s">
        <v>171</v>
      </c>
      <c r="I386" s="5" t="s">
        <v>71</v>
      </c>
      <c r="J386" s="5" t="s">
        <v>158</v>
      </c>
      <c r="K386" s="5">
        <v>8</v>
      </c>
      <c r="L386" s="5">
        <v>700</v>
      </c>
      <c r="M386" s="5">
        <v>0.05</v>
      </c>
      <c r="N386" s="5">
        <v>5320</v>
      </c>
      <c r="O386" s="5">
        <v>3218.64</v>
      </c>
      <c r="P386" s="5">
        <v>2101.36</v>
      </c>
      <c r="Q386" s="5">
        <v>39.5</v>
      </c>
      <c r="R386" s="5" t="s">
        <v>41</v>
      </c>
      <c r="S386" s="5" t="s">
        <v>42</v>
      </c>
      <c r="T386" s="5" t="s">
        <v>63</v>
      </c>
      <c r="U386" s="5" t="s">
        <v>119</v>
      </c>
      <c r="V386" s="5">
        <v>2024</v>
      </c>
      <c r="W386" s="5" t="s">
        <v>126</v>
      </c>
      <c r="X386" s="5">
        <v>6</v>
      </c>
      <c r="Y386" s="1">
        <v>45631</v>
      </c>
      <c r="Z386" s="5" t="s">
        <v>47</v>
      </c>
      <c r="AA386" s="5" t="s">
        <v>90</v>
      </c>
      <c r="AB386" s="5" t="s">
        <v>111</v>
      </c>
      <c r="AC386" s="5" t="s">
        <v>121</v>
      </c>
      <c r="AD386" s="5">
        <v>5</v>
      </c>
    </row>
    <row r="387" spans="1:30">
      <c r="A387" s="5" t="s">
        <v>1286</v>
      </c>
      <c r="B387" s="1" t="s">
        <v>1287</v>
      </c>
      <c r="C387" s="5" t="s">
        <v>1288</v>
      </c>
      <c r="D387" s="5" t="s">
        <v>834</v>
      </c>
      <c r="E387" s="5" t="s">
        <v>55</v>
      </c>
      <c r="F387" s="5" t="s">
        <v>144</v>
      </c>
      <c r="G387" s="5" t="s">
        <v>145</v>
      </c>
      <c r="H387" s="5" t="s">
        <v>58</v>
      </c>
      <c r="I387" s="5" t="s">
        <v>95</v>
      </c>
      <c r="J387" s="5" t="s">
        <v>440</v>
      </c>
      <c r="K387" s="5">
        <v>2</v>
      </c>
      <c r="L387" s="5">
        <v>4000</v>
      </c>
      <c r="M387" s="5">
        <v>0.15</v>
      </c>
      <c r="N387" s="5">
        <v>6800</v>
      </c>
      <c r="O387" s="5">
        <v>3787.67</v>
      </c>
      <c r="P387" s="5">
        <v>3012.33</v>
      </c>
      <c r="Q387" s="5">
        <v>44.3</v>
      </c>
      <c r="R387" s="5" t="s">
        <v>61</v>
      </c>
      <c r="S387" s="5" t="s">
        <v>74</v>
      </c>
      <c r="T387" s="5" t="s">
        <v>43</v>
      </c>
      <c r="U387" s="5" t="s">
        <v>198</v>
      </c>
      <c r="V387" s="5">
        <v>2025</v>
      </c>
      <c r="W387" s="5" t="s">
        <v>126</v>
      </c>
      <c r="X387" s="5">
        <v>2</v>
      </c>
      <c r="Y387" s="1" t="s">
        <v>352</v>
      </c>
      <c r="Z387" s="5" t="s">
        <v>47</v>
      </c>
      <c r="AA387" s="5" t="s">
        <v>90</v>
      </c>
      <c r="AB387" s="5" t="s">
        <v>78</v>
      </c>
      <c r="AC387" s="5" t="s">
        <v>50</v>
      </c>
      <c r="AD387" s="5">
        <v>4</v>
      </c>
    </row>
    <row r="388" spans="1:30">
      <c r="A388" s="5" t="s">
        <v>1289</v>
      </c>
      <c r="B388" s="1">
        <v>45873</v>
      </c>
      <c r="C388" s="5" t="s">
        <v>752</v>
      </c>
      <c r="D388" s="5" t="s">
        <v>343</v>
      </c>
      <c r="E388" s="5" t="s">
        <v>35</v>
      </c>
      <c r="F388" s="5" t="s">
        <v>116</v>
      </c>
      <c r="G388" s="5" t="s">
        <v>37</v>
      </c>
      <c r="H388" s="5" t="s">
        <v>58</v>
      </c>
      <c r="I388" s="5" t="s">
        <v>59</v>
      </c>
      <c r="J388" s="5" t="s">
        <v>328</v>
      </c>
      <c r="K388" s="5">
        <v>6</v>
      </c>
      <c r="L388" s="5">
        <v>500</v>
      </c>
      <c r="M388" s="5">
        <v>0.2</v>
      </c>
      <c r="N388" s="5">
        <v>2400</v>
      </c>
      <c r="O388" s="5">
        <v>1403.8</v>
      </c>
      <c r="P388" s="5">
        <v>996.2</v>
      </c>
      <c r="Q388" s="5">
        <v>41.51</v>
      </c>
      <c r="R388" s="5" t="s">
        <v>41</v>
      </c>
      <c r="S388" s="5" t="s">
        <v>42</v>
      </c>
      <c r="T388" s="5" t="s">
        <v>75</v>
      </c>
      <c r="U388" s="5" t="s">
        <v>44</v>
      </c>
      <c r="V388" s="5">
        <v>2025</v>
      </c>
      <c r="W388" s="5" t="s">
        <v>109</v>
      </c>
      <c r="X388" s="5">
        <v>6</v>
      </c>
      <c r="Y388" s="1" t="s">
        <v>615</v>
      </c>
      <c r="Z388" s="5" t="s">
        <v>89</v>
      </c>
      <c r="AA388" s="5" t="s">
        <v>90</v>
      </c>
      <c r="AB388" s="5" t="s">
        <v>78</v>
      </c>
      <c r="AC388" s="5" t="s">
        <v>50</v>
      </c>
      <c r="AD388" s="5">
        <v>2</v>
      </c>
    </row>
    <row r="389" spans="1:30">
      <c r="A389" s="5" t="s">
        <v>1290</v>
      </c>
      <c r="B389" s="1">
        <v>45659</v>
      </c>
      <c r="C389" s="5" t="s">
        <v>902</v>
      </c>
      <c r="D389" s="5" t="s">
        <v>515</v>
      </c>
      <c r="E389" s="5" t="s">
        <v>55</v>
      </c>
      <c r="F389" s="5" t="s">
        <v>149</v>
      </c>
      <c r="G389" s="5" t="s">
        <v>150</v>
      </c>
      <c r="H389" s="5" t="s">
        <v>94</v>
      </c>
      <c r="I389" s="5" t="s">
        <v>71</v>
      </c>
      <c r="J389" s="5" t="s">
        <v>72</v>
      </c>
      <c r="K389" s="5">
        <v>1</v>
      </c>
      <c r="L389" s="5">
        <v>1200</v>
      </c>
      <c r="M389" s="5">
        <v>0.05</v>
      </c>
      <c r="N389" s="5">
        <v>1140</v>
      </c>
      <c r="O389" s="5">
        <v>826.2</v>
      </c>
      <c r="P389" s="5">
        <v>313.8</v>
      </c>
      <c r="Q389" s="5">
        <v>27.53</v>
      </c>
      <c r="R389" s="5" t="s">
        <v>166</v>
      </c>
      <c r="S389" s="5" t="s">
        <v>42</v>
      </c>
      <c r="T389" s="5" t="s">
        <v>159</v>
      </c>
      <c r="U389" s="5" t="s">
        <v>98</v>
      </c>
      <c r="V389" s="5">
        <v>2025</v>
      </c>
      <c r="W389" s="5" t="s">
        <v>65</v>
      </c>
      <c r="X389" s="5">
        <v>7</v>
      </c>
      <c r="Y389" s="1">
        <v>45871</v>
      </c>
      <c r="Z389" s="5" t="s">
        <v>47</v>
      </c>
      <c r="AA389" s="5" t="s">
        <v>48</v>
      </c>
      <c r="AB389" s="5" t="s">
        <v>111</v>
      </c>
      <c r="AC389" s="5" t="s">
        <v>121</v>
      </c>
      <c r="AD389" s="5">
        <v>3</v>
      </c>
    </row>
    <row r="390" spans="1:30">
      <c r="A390" s="5" t="s">
        <v>1291</v>
      </c>
      <c r="B390" s="1">
        <v>45659</v>
      </c>
      <c r="C390" s="5" t="s">
        <v>1292</v>
      </c>
      <c r="D390" s="5" t="s">
        <v>485</v>
      </c>
      <c r="E390" s="5" t="s">
        <v>55</v>
      </c>
      <c r="F390" s="5" t="s">
        <v>36</v>
      </c>
      <c r="G390" s="5" t="s">
        <v>37</v>
      </c>
      <c r="H390" s="5" t="s">
        <v>171</v>
      </c>
      <c r="I390" s="5" t="s">
        <v>84</v>
      </c>
      <c r="J390" s="5" t="s">
        <v>217</v>
      </c>
      <c r="K390" s="5">
        <v>4</v>
      </c>
      <c r="L390" s="5">
        <v>500</v>
      </c>
      <c r="M390" s="5">
        <v>0.15</v>
      </c>
      <c r="N390" s="5">
        <v>1700</v>
      </c>
      <c r="O390" s="5">
        <v>1193.44</v>
      </c>
      <c r="P390" s="5">
        <v>506.56</v>
      </c>
      <c r="Q390" s="5">
        <v>29.8</v>
      </c>
      <c r="R390" s="5" t="s">
        <v>41</v>
      </c>
      <c r="S390" s="5" t="s">
        <v>74</v>
      </c>
      <c r="T390" s="5" t="s">
        <v>75</v>
      </c>
      <c r="U390" s="5" t="s">
        <v>98</v>
      </c>
      <c r="V390" s="5">
        <v>2025</v>
      </c>
      <c r="W390" s="5" t="s">
        <v>65</v>
      </c>
      <c r="X390" s="5">
        <v>8</v>
      </c>
      <c r="Y390" s="1">
        <v>45902</v>
      </c>
      <c r="Z390" s="5" t="s">
        <v>47</v>
      </c>
      <c r="AA390" s="5" t="s">
        <v>48</v>
      </c>
      <c r="AB390" s="5" t="s">
        <v>78</v>
      </c>
      <c r="AC390" s="5" t="s">
        <v>121</v>
      </c>
      <c r="AD390" s="5">
        <v>1</v>
      </c>
    </row>
    <row r="391" spans="1:30">
      <c r="A391" s="5" t="s">
        <v>1293</v>
      </c>
      <c r="B391" s="1" t="s">
        <v>1294</v>
      </c>
      <c r="C391" s="5" t="s">
        <v>1295</v>
      </c>
      <c r="D391" s="5" t="s">
        <v>710</v>
      </c>
      <c r="E391" s="5" t="s">
        <v>55</v>
      </c>
      <c r="F391" s="5" t="s">
        <v>131</v>
      </c>
      <c r="G391" s="5" t="s">
        <v>132</v>
      </c>
      <c r="H391" s="5" t="s">
        <v>171</v>
      </c>
      <c r="I391" s="5" t="s">
        <v>84</v>
      </c>
      <c r="J391" s="5" t="s">
        <v>290</v>
      </c>
      <c r="K391" s="5">
        <v>4</v>
      </c>
      <c r="L391" s="5">
        <v>200</v>
      </c>
      <c r="M391" s="5">
        <v>0.15</v>
      </c>
      <c r="N391" s="5">
        <v>680</v>
      </c>
      <c r="O391" s="5">
        <v>427.37</v>
      </c>
      <c r="P391" s="5">
        <v>252.63</v>
      </c>
      <c r="Q391" s="5">
        <v>37.15</v>
      </c>
      <c r="R391" s="5" t="s">
        <v>73</v>
      </c>
      <c r="S391" s="5" t="s">
        <v>74</v>
      </c>
      <c r="T391" s="5" t="s">
        <v>159</v>
      </c>
      <c r="U391" s="5" t="s">
        <v>160</v>
      </c>
      <c r="V391" s="5">
        <v>2025</v>
      </c>
      <c r="W391" s="5" t="s">
        <v>126</v>
      </c>
      <c r="X391" s="5">
        <v>9</v>
      </c>
      <c r="Y391" s="1">
        <v>45695</v>
      </c>
      <c r="Z391" s="5" t="s">
        <v>47</v>
      </c>
      <c r="AA391" s="5" t="s">
        <v>90</v>
      </c>
      <c r="AB391" s="5" t="s">
        <v>111</v>
      </c>
      <c r="AC391" s="5" t="s">
        <v>50</v>
      </c>
      <c r="AD391" s="5">
        <v>3</v>
      </c>
    </row>
    <row r="392" spans="1:30">
      <c r="A392" s="5" t="s">
        <v>1296</v>
      </c>
      <c r="B392" s="1" t="s">
        <v>1297</v>
      </c>
      <c r="C392" s="5" t="s">
        <v>565</v>
      </c>
      <c r="D392" s="5" t="s">
        <v>746</v>
      </c>
      <c r="E392" s="5" t="s">
        <v>55</v>
      </c>
      <c r="F392" s="5" t="s">
        <v>144</v>
      </c>
      <c r="G392" s="5" t="s">
        <v>145</v>
      </c>
      <c r="H392" s="5" t="s">
        <v>171</v>
      </c>
      <c r="I392" s="5" t="s">
        <v>39</v>
      </c>
      <c r="J392" s="5" t="s">
        <v>165</v>
      </c>
      <c r="K392" s="5">
        <v>2</v>
      </c>
      <c r="L392" s="5">
        <v>8000</v>
      </c>
      <c r="M392" s="5">
        <v>0.2</v>
      </c>
      <c r="N392" s="5">
        <v>12800</v>
      </c>
      <c r="O392" s="5">
        <v>8467.4</v>
      </c>
      <c r="P392" s="5">
        <v>4332.6000000000004</v>
      </c>
      <c r="Q392" s="5">
        <v>33.85</v>
      </c>
      <c r="R392" s="5" t="s">
        <v>61</v>
      </c>
      <c r="S392" s="5" t="s">
        <v>42</v>
      </c>
      <c r="T392" s="5" t="s">
        <v>173</v>
      </c>
      <c r="U392" s="5" t="s">
        <v>44</v>
      </c>
      <c r="V392" s="5">
        <v>2024</v>
      </c>
      <c r="W392" s="5" t="s">
        <v>65</v>
      </c>
      <c r="X392" s="5">
        <v>9</v>
      </c>
      <c r="Y392" s="1" t="s">
        <v>945</v>
      </c>
      <c r="Z392" s="5" t="s">
        <v>110</v>
      </c>
      <c r="AA392" s="5" t="s">
        <v>48</v>
      </c>
      <c r="AB392" s="5" t="s">
        <v>49</v>
      </c>
      <c r="AC392" s="5" t="s">
        <v>121</v>
      </c>
      <c r="AD392" s="5">
        <v>4</v>
      </c>
    </row>
    <row r="393" spans="1:30">
      <c r="A393" s="5" t="s">
        <v>1298</v>
      </c>
      <c r="B393" s="1" t="s">
        <v>247</v>
      </c>
      <c r="C393" s="5" t="s">
        <v>354</v>
      </c>
      <c r="D393" s="5" t="s">
        <v>634</v>
      </c>
      <c r="E393" s="5" t="s">
        <v>55</v>
      </c>
      <c r="F393" s="5" t="s">
        <v>245</v>
      </c>
      <c r="G393" s="5" t="s">
        <v>246</v>
      </c>
      <c r="H393" s="5" t="s">
        <v>171</v>
      </c>
      <c r="I393" s="5" t="s">
        <v>95</v>
      </c>
      <c r="J393" s="5" t="s">
        <v>440</v>
      </c>
      <c r="K393" s="5">
        <v>1</v>
      </c>
      <c r="L393" s="5">
        <v>2500</v>
      </c>
      <c r="M393" s="5">
        <v>0.15</v>
      </c>
      <c r="N393" s="5">
        <v>2125</v>
      </c>
      <c r="O393" s="5">
        <v>1505.66</v>
      </c>
      <c r="P393" s="5">
        <v>619.34</v>
      </c>
      <c r="Q393" s="5">
        <v>29.15</v>
      </c>
      <c r="R393" s="5" t="s">
        <v>73</v>
      </c>
      <c r="S393" s="5" t="s">
        <v>74</v>
      </c>
      <c r="T393" s="5" t="s">
        <v>118</v>
      </c>
      <c r="U393" s="5" t="s">
        <v>64</v>
      </c>
      <c r="V393" s="5">
        <v>2025</v>
      </c>
      <c r="W393" s="5" t="s">
        <v>126</v>
      </c>
      <c r="X393" s="5">
        <v>5</v>
      </c>
      <c r="Y393" s="1" t="s">
        <v>1299</v>
      </c>
      <c r="Z393" s="5" t="s">
        <v>47</v>
      </c>
      <c r="AA393" s="5" t="s">
        <v>90</v>
      </c>
      <c r="AB393" s="5" t="s">
        <v>111</v>
      </c>
      <c r="AC393" s="5" t="s">
        <v>50</v>
      </c>
      <c r="AD393" s="5">
        <v>1</v>
      </c>
    </row>
    <row r="394" spans="1:30">
      <c r="A394" s="5" t="s">
        <v>1300</v>
      </c>
      <c r="B394" s="1" t="s">
        <v>1301</v>
      </c>
      <c r="C394" s="5" t="s">
        <v>498</v>
      </c>
      <c r="D394" s="5" t="s">
        <v>339</v>
      </c>
      <c r="E394" s="5" t="s">
        <v>55</v>
      </c>
      <c r="F394" s="5" t="s">
        <v>156</v>
      </c>
      <c r="G394" s="5" t="s">
        <v>157</v>
      </c>
      <c r="H394" s="5" t="s">
        <v>171</v>
      </c>
      <c r="I394" s="5" t="s">
        <v>59</v>
      </c>
      <c r="J394" s="5" t="s">
        <v>328</v>
      </c>
      <c r="K394" s="5">
        <v>1</v>
      </c>
      <c r="L394" s="5">
        <v>2000</v>
      </c>
      <c r="M394" s="5">
        <v>0</v>
      </c>
      <c r="N394" s="5">
        <v>2000</v>
      </c>
      <c r="O394" s="5">
        <v>1348.49</v>
      </c>
      <c r="P394" s="5">
        <v>651.51</v>
      </c>
      <c r="Q394" s="5">
        <v>32.58</v>
      </c>
      <c r="R394" s="5" t="s">
        <v>41</v>
      </c>
      <c r="S394" s="5" t="s">
        <v>42</v>
      </c>
      <c r="T394" s="5" t="s">
        <v>97</v>
      </c>
      <c r="U394" s="5" t="s">
        <v>76</v>
      </c>
      <c r="V394" s="5">
        <v>2024</v>
      </c>
      <c r="W394" s="5" t="s">
        <v>45</v>
      </c>
      <c r="X394" s="5">
        <v>3</v>
      </c>
      <c r="Y394" s="1" t="s">
        <v>592</v>
      </c>
      <c r="Z394" s="5" t="s">
        <v>110</v>
      </c>
      <c r="AA394" s="5" t="s">
        <v>48</v>
      </c>
      <c r="AB394" s="5" t="s">
        <v>111</v>
      </c>
      <c r="AC394" s="5" t="s">
        <v>50</v>
      </c>
      <c r="AD394" s="5">
        <v>3</v>
      </c>
    </row>
    <row r="395" spans="1:30">
      <c r="A395" s="5" t="s">
        <v>1302</v>
      </c>
      <c r="B395" s="1" t="s">
        <v>592</v>
      </c>
      <c r="C395" s="5" t="s">
        <v>129</v>
      </c>
      <c r="D395" s="5" t="s">
        <v>170</v>
      </c>
      <c r="E395" s="5" t="s">
        <v>35</v>
      </c>
      <c r="F395" s="5" t="s">
        <v>36</v>
      </c>
      <c r="G395" s="5" t="s">
        <v>37</v>
      </c>
      <c r="H395" s="5" t="s">
        <v>94</v>
      </c>
      <c r="I395" s="5" t="s">
        <v>95</v>
      </c>
      <c r="J395" s="5" t="s">
        <v>319</v>
      </c>
      <c r="K395" s="5">
        <v>1</v>
      </c>
      <c r="L395" s="5">
        <v>4000</v>
      </c>
      <c r="M395" s="5">
        <v>0</v>
      </c>
      <c r="N395" s="5">
        <v>4000</v>
      </c>
      <c r="O395" s="5">
        <v>2425.9699999999998</v>
      </c>
      <c r="P395" s="5">
        <v>1574.03</v>
      </c>
      <c r="Q395" s="5">
        <v>39.35</v>
      </c>
      <c r="R395" s="5" t="s">
        <v>41</v>
      </c>
      <c r="S395" s="5" t="s">
        <v>74</v>
      </c>
      <c r="T395" s="5" t="s">
        <v>173</v>
      </c>
      <c r="U395" s="5" t="s">
        <v>76</v>
      </c>
      <c r="V395" s="5">
        <v>2024</v>
      </c>
      <c r="W395" s="5" t="s">
        <v>134</v>
      </c>
      <c r="X395" s="5">
        <v>4</v>
      </c>
      <c r="Y395" s="1" t="s">
        <v>1303</v>
      </c>
      <c r="Z395" s="5" t="s">
        <v>47</v>
      </c>
      <c r="AA395" s="5" t="s">
        <v>67</v>
      </c>
      <c r="AB395" s="5" t="s">
        <v>78</v>
      </c>
      <c r="AC395" s="5" t="s">
        <v>121</v>
      </c>
      <c r="AD395" s="5">
        <v>4</v>
      </c>
    </row>
    <row r="396" spans="1:30">
      <c r="A396" s="5" t="s">
        <v>1304</v>
      </c>
      <c r="B396" s="1">
        <v>45966</v>
      </c>
      <c r="C396" s="5" t="s">
        <v>375</v>
      </c>
      <c r="D396" s="5" t="s">
        <v>1305</v>
      </c>
      <c r="E396" s="5" t="s">
        <v>55</v>
      </c>
      <c r="F396" s="5" t="s">
        <v>156</v>
      </c>
      <c r="G396" s="5" t="s">
        <v>157</v>
      </c>
      <c r="H396" s="5" t="s">
        <v>94</v>
      </c>
      <c r="I396" s="5" t="s">
        <v>39</v>
      </c>
      <c r="J396" s="5" t="s">
        <v>356</v>
      </c>
      <c r="K396" s="5">
        <v>3</v>
      </c>
      <c r="L396" s="5">
        <v>12000</v>
      </c>
      <c r="M396" s="5">
        <v>0.15</v>
      </c>
      <c r="N396" s="5">
        <v>30600</v>
      </c>
      <c r="O396" s="5">
        <v>23933.64</v>
      </c>
      <c r="P396" s="5">
        <v>6666.36</v>
      </c>
      <c r="Q396" s="5">
        <v>21.79</v>
      </c>
      <c r="R396" s="5" t="s">
        <v>106</v>
      </c>
      <c r="S396" s="5" t="s">
        <v>62</v>
      </c>
      <c r="T396" s="5" t="s">
        <v>43</v>
      </c>
      <c r="U396" s="5" t="s">
        <v>119</v>
      </c>
      <c r="V396" s="5">
        <v>2025</v>
      </c>
      <c r="W396" s="5" t="s">
        <v>45</v>
      </c>
      <c r="X396" s="5">
        <v>8</v>
      </c>
      <c r="Y396" s="1" t="s">
        <v>1091</v>
      </c>
      <c r="Z396" s="5" t="s">
        <v>47</v>
      </c>
      <c r="AA396" s="5" t="s">
        <v>90</v>
      </c>
      <c r="AB396" s="5" t="s">
        <v>111</v>
      </c>
      <c r="AC396" s="5" t="s">
        <v>50</v>
      </c>
      <c r="AD396" s="5">
        <v>4</v>
      </c>
    </row>
    <row r="397" spans="1:30">
      <c r="A397" s="5" t="s">
        <v>1306</v>
      </c>
      <c r="B397" s="1" t="s">
        <v>1307</v>
      </c>
      <c r="C397" s="5" t="s">
        <v>830</v>
      </c>
      <c r="D397" s="5" t="s">
        <v>1308</v>
      </c>
      <c r="E397" s="5" t="s">
        <v>103</v>
      </c>
      <c r="F397" s="5" t="s">
        <v>56</v>
      </c>
      <c r="G397" s="5" t="s">
        <v>57</v>
      </c>
      <c r="H397" s="5" t="s">
        <v>58</v>
      </c>
      <c r="I397" s="5" t="s">
        <v>59</v>
      </c>
      <c r="J397" s="5" t="s">
        <v>372</v>
      </c>
      <c r="K397" s="5">
        <v>9</v>
      </c>
      <c r="L397" s="5">
        <v>1200</v>
      </c>
      <c r="M397" s="5">
        <v>0</v>
      </c>
      <c r="N397" s="5">
        <v>10800</v>
      </c>
      <c r="O397" s="5">
        <v>7436.95</v>
      </c>
      <c r="P397" s="5">
        <v>3363.05</v>
      </c>
      <c r="Q397" s="5">
        <v>31.14</v>
      </c>
      <c r="R397" s="5" t="s">
        <v>41</v>
      </c>
      <c r="S397" s="5" t="s">
        <v>74</v>
      </c>
      <c r="T397" s="5" t="s">
        <v>75</v>
      </c>
      <c r="U397" s="5" t="s">
        <v>119</v>
      </c>
      <c r="V397" s="5">
        <v>2025</v>
      </c>
      <c r="W397" s="5" t="s">
        <v>134</v>
      </c>
      <c r="X397" s="5">
        <v>7</v>
      </c>
      <c r="Y397" s="1" t="s">
        <v>1309</v>
      </c>
      <c r="Z397" s="5" t="s">
        <v>110</v>
      </c>
      <c r="AA397" s="5" t="s">
        <v>48</v>
      </c>
      <c r="AB397" s="5" t="s">
        <v>78</v>
      </c>
      <c r="AC397" s="5" t="s">
        <v>121</v>
      </c>
      <c r="AD397" s="5">
        <v>3</v>
      </c>
    </row>
    <row r="398" spans="1:30">
      <c r="A398" s="5" t="s">
        <v>1310</v>
      </c>
      <c r="B398" s="1">
        <v>45751</v>
      </c>
      <c r="C398" s="5" t="s">
        <v>196</v>
      </c>
      <c r="D398" s="5" t="s">
        <v>1311</v>
      </c>
      <c r="E398" s="5" t="s">
        <v>55</v>
      </c>
      <c r="F398" s="5" t="s">
        <v>156</v>
      </c>
      <c r="G398" s="5" t="s">
        <v>157</v>
      </c>
      <c r="H398" s="5" t="s">
        <v>38</v>
      </c>
      <c r="I398" s="5" t="s">
        <v>71</v>
      </c>
      <c r="J398" s="5" t="s">
        <v>72</v>
      </c>
      <c r="K398" s="5">
        <v>8</v>
      </c>
      <c r="L398" s="5">
        <v>3500</v>
      </c>
      <c r="M398" s="5">
        <v>0.1</v>
      </c>
      <c r="N398" s="5">
        <v>25200</v>
      </c>
      <c r="O398" s="5">
        <v>14957.71</v>
      </c>
      <c r="P398" s="5">
        <v>10242.290000000001</v>
      </c>
      <c r="Q398" s="5">
        <v>40.64</v>
      </c>
      <c r="R398" s="5" t="s">
        <v>41</v>
      </c>
      <c r="S398" s="5" t="s">
        <v>74</v>
      </c>
      <c r="T398" s="5" t="s">
        <v>63</v>
      </c>
      <c r="U398" s="5" t="s">
        <v>44</v>
      </c>
      <c r="V398" s="5">
        <v>2025</v>
      </c>
      <c r="W398" s="5" t="s">
        <v>194</v>
      </c>
      <c r="X398" s="5">
        <v>7</v>
      </c>
      <c r="Y398" s="1">
        <v>45965</v>
      </c>
      <c r="Z398" s="5" t="s">
        <v>47</v>
      </c>
      <c r="AA398" s="5" t="s">
        <v>48</v>
      </c>
      <c r="AB398" s="5" t="s">
        <v>78</v>
      </c>
      <c r="AC398" s="5" t="s">
        <v>50</v>
      </c>
      <c r="AD398" s="5">
        <v>2</v>
      </c>
    </row>
    <row r="399" spans="1:30">
      <c r="A399" s="5" t="s">
        <v>1312</v>
      </c>
      <c r="B399" s="1" t="s">
        <v>1313</v>
      </c>
      <c r="C399" s="5" t="s">
        <v>1314</v>
      </c>
      <c r="D399" s="5" t="s">
        <v>542</v>
      </c>
      <c r="E399" s="5" t="s">
        <v>35</v>
      </c>
      <c r="F399" s="5" t="s">
        <v>116</v>
      </c>
      <c r="G399" s="5" t="s">
        <v>37</v>
      </c>
      <c r="H399" s="5" t="s">
        <v>38</v>
      </c>
      <c r="I399" s="5" t="s">
        <v>71</v>
      </c>
      <c r="J399" s="5" t="s">
        <v>158</v>
      </c>
      <c r="K399" s="5">
        <v>6</v>
      </c>
      <c r="L399" s="5">
        <v>2500</v>
      </c>
      <c r="M399" s="5">
        <v>0.05</v>
      </c>
      <c r="N399" s="5">
        <v>14250</v>
      </c>
      <c r="O399" s="5">
        <v>10494.96</v>
      </c>
      <c r="P399" s="5">
        <v>3755.04</v>
      </c>
      <c r="Q399" s="5">
        <v>26.35</v>
      </c>
      <c r="R399" s="5" t="s">
        <v>73</v>
      </c>
      <c r="S399" s="5" t="s">
        <v>42</v>
      </c>
      <c r="T399" s="5" t="s">
        <v>138</v>
      </c>
      <c r="U399" s="5" t="s">
        <v>108</v>
      </c>
      <c r="V399" s="5">
        <v>2025</v>
      </c>
      <c r="W399" s="5" t="s">
        <v>45</v>
      </c>
      <c r="X399" s="5">
        <v>4</v>
      </c>
      <c r="Y399" s="1">
        <v>45698</v>
      </c>
      <c r="Z399" s="5" t="s">
        <v>47</v>
      </c>
      <c r="AA399" s="5" t="s">
        <v>90</v>
      </c>
      <c r="AB399" s="5" t="s">
        <v>78</v>
      </c>
      <c r="AC399" s="5" t="s">
        <v>50</v>
      </c>
      <c r="AD399" s="5">
        <v>3</v>
      </c>
    </row>
    <row r="400" spans="1:30">
      <c r="A400" s="5" t="s">
        <v>1315</v>
      </c>
      <c r="B400" s="1" t="s">
        <v>168</v>
      </c>
      <c r="C400" s="5" t="s">
        <v>447</v>
      </c>
      <c r="D400" s="5" t="s">
        <v>935</v>
      </c>
      <c r="E400" s="5" t="s">
        <v>35</v>
      </c>
      <c r="F400" s="5" t="s">
        <v>149</v>
      </c>
      <c r="G400" s="5" t="s">
        <v>150</v>
      </c>
      <c r="H400" s="5" t="s">
        <v>171</v>
      </c>
      <c r="I400" s="5" t="s">
        <v>95</v>
      </c>
      <c r="J400" s="5" t="s">
        <v>96</v>
      </c>
      <c r="K400" s="5">
        <v>1</v>
      </c>
      <c r="L400" s="5">
        <v>2500</v>
      </c>
      <c r="M400" s="5">
        <v>0.1</v>
      </c>
      <c r="N400" s="5">
        <v>2250</v>
      </c>
      <c r="O400" s="5">
        <v>1343.64</v>
      </c>
      <c r="P400" s="5">
        <v>906.36</v>
      </c>
      <c r="Q400" s="5">
        <v>40.28</v>
      </c>
      <c r="R400" s="5" t="s">
        <v>166</v>
      </c>
      <c r="S400" s="5" t="s">
        <v>74</v>
      </c>
      <c r="T400" s="5" t="s">
        <v>63</v>
      </c>
      <c r="U400" s="5" t="s">
        <v>108</v>
      </c>
      <c r="V400" s="5">
        <v>2024</v>
      </c>
      <c r="W400" s="5" t="s">
        <v>109</v>
      </c>
      <c r="X400" s="5">
        <v>6</v>
      </c>
      <c r="Y400" s="1" t="s">
        <v>1316</v>
      </c>
      <c r="Z400" s="5" t="s">
        <v>47</v>
      </c>
      <c r="AA400" s="5" t="s">
        <v>90</v>
      </c>
      <c r="AB400" s="5" t="s">
        <v>49</v>
      </c>
      <c r="AC400" s="5" t="s">
        <v>121</v>
      </c>
      <c r="AD400" s="5">
        <v>4</v>
      </c>
    </row>
    <row r="401" spans="1:30">
      <c r="A401" s="5" t="s">
        <v>1317</v>
      </c>
      <c r="B401" s="1">
        <v>45357</v>
      </c>
      <c r="C401" s="5" t="s">
        <v>338</v>
      </c>
      <c r="D401" s="5" t="s">
        <v>148</v>
      </c>
      <c r="E401" s="5" t="s">
        <v>55</v>
      </c>
      <c r="F401" s="5" t="s">
        <v>116</v>
      </c>
      <c r="G401" s="5" t="s">
        <v>37</v>
      </c>
      <c r="H401" s="5" t="s">
        <v>58</v>
      </c>
      <c r="I401" s="5" t="s">
        <v>84</v>
      </c>
      <c r="J401" s="5" t="s">
        <v>229</v>
      </c>
      <c r="K401" s="5">
        <v>1</v>
      </c>
      <c r="L401" s="5">
        <v>800</v>
      </c>
      <c r="M401" s="5">
        <v>0.1</v>
      </c>
      <c r="N401" s="5">
        <v>720</v>
      </c>
      <c r="O401" s="5">
        <v>526.15</v>
      </c>
      <c r="P401" s="5">
        <v>193.85</v>
      </c>
      <c r="Q401" s="5">
        <v>26.92</v>
      </c>
      <c r="R401" s="5" t="s">
        <v>106</v>
      </c>
      <c r="S401" s="5" t="s">
        <v>42</v>
      </c>
      <c r="T401" s="5" t="s">
        <v>63</v>
      </c>
      <c r="U401" s="5" t="s">
        <v>160</v>
      </c>
      <c r="V401" s="5">
        <v>2024</v>
      </c>
      <c r="W401" s="5" t="s">
        <v>126</v>
      </c>
      <c r="X401" s="5">
        <v>9</v>
      </c>
      <c r="Y401" s="1">
        <v>45632</v>
      </c>
      <c r="Z401" s="5" t="s">
        <v>89</v>
      </c>
      <c r="AA401" s="5" t="s">
        <v>90</v>
      </c>
      <c r="AB401" s="5" t="s">
        <v>111</v>
      </c>
      <c r="AC401" s="5" t="s">
        <v>121</v>
      </c>
      <c r="AD401" s="5">
        <v>5</v>
      </c>
    </row>
    <row r="402" spans="1:30">
      <c r="A402" s="5" t="s">
        <v>1318</v>
      </c>
      <c r="B402" s="1" t="s">
        <v>1319</v>
      </c>
      <c r="C402" s="5" t="s">
        <v>360</v>
      </c>
      <c r="D402" s="5" t="s">
        <v>170</v>
      </c>
      <c r="E402" s="5" t="s">
        <v>55</v>
      </c>
      <c r="F402" s="5" t="s">
        <v>36</v>
      </c>
      <c r="G402" s="5" t="s">
        <v>37</v>
      </c>
      <c r="H402" s="5" t="s">
        <v>171</v>
      </c>
      <c r="I402" s="5" t="s">
        <v>95</v>
      </c>
      <c r="J402" s="5" t="s">
        <v>344</v>
      </c>
      <c r="K402" s="5">
        <v>4</v>
      </c>
      <c r="L402" s="5">
        <v>6000</v>
      </c>
      <c r="M402" s="5">
        <v>0.05</v>
      </c>
      <c r="N402" s="5">
        <v>22800</v>
      </c>
      <c r="O402" s="5">
        <v>15608.09</v>
      </c>
      <c r="P402" s="5">
        <v>7191.91</v>
      </c>
      <c r="Q402" s="5">
        <v>31.54</v>
      </c>
      <c r="R402" s="5" t="s">
        <v>73</v>
      </c>
      <c r="S402" s="5" t="s">
        <v>74</v>
      </c>
      <c r="T402" s="5" t="s">
        <v>86</v>
      </c>
      <c r="U402" s="5" t="s">
        <v>87</v>
      </c>
      <c r="V402" s="5">
        <v>2024</v>
      </c>
      <c r="W402" s="5" t="s">
        <v>65</v>
      </c>
      <c r="X402" s="5">
        <v>8</v>
      </c>
      <c r="Y402" s="1">
        <v>45362</v>
      </c>
      <c r="Z402" s="5" t="s">
        <v>89</v>
      </c>
      <c r="AA402" s="5" t="s">
        <v>67</v>
      </c>
      <c r="AB402" s="5" t="s">
        <v>78</v>
      </c>
      <c r="AC402" s="5" t="s">
        <v>121</v>
      </c>
      <c r="AD402" s="5">
        <v>2</v>
      </c>
    </row>
    <row r="403" spans="1:30">
      <c r="A403" s="5" t="s">
        <v>1320</v>
      </c>
      <c r="B403" s="1" t="s">
        <v>286</v>
      </c>
      <c r="C403" s="5" t="s">
        <v>1321</v>
      </c>
      <c r="D403" s="5" t="s">
        <v>1002</v>
      </c>
      <c r="E403" s="5" t="s">
        <v>103</v>
      </c>
      <c r="F403" s="5" t="s">
        <v>56</v>
      </c>
      <c r="G403" s="5" t="s">
        <v>57</v>
      </c>
      <c r="H403" s="5" t="s">
        <v>94</v>
      </c>
      <c r="I403" s="5" t="s">
        <v>84</v>
      </c>
      <c r="J403" s="5" t="s">
        <v>229</v>
      </c>
      <c r="K403" s="5">
        <v>9</v>
      </c>
      <c r="L403" s="5">
        <v>200</v>
      </c>
      <c r="M403" s="5">
        <v>0</v>
      </c>
      <c r="N403" s="5">
        <v>1800</v>
      </c>
      <c r="O403" s="5">
        <v>1165.27</v>
      </c>
      <c r="P403" s="5">
        <v>634.73</v>
      </c>
      <c r="Q403" s="5">
        <v>35.26</v>
      </c>
      <c r="R403" s="5" t="s">
        <v>73</v>
      </c>
      <c r="S403" s="5" t="s">
        <v>74</v>
      </c>
      <c r="T403" s="5" t="s">
        <v>75</v>
      </c>
      <c r="U403" s="5" t="s">
        <v>108</v>
      </c>
      <c r="V403" s="5">
        <v>2024</v>
      </c>
      <c r="W403" s="5" t="s">
        <v>45</v>
      </c>
      <c r="X403" s="5">
        <v>6</v>
      </c>
      <c r="Y403" s="1">
        <v>45422</v>
      </c>
      <c r="Z403" s="5" t="s">
        <v>110</v>
      </c>
      <c r="AA403" s="5" t="s">
        <v>67</v>
      </c>
      <c r="AB403" s="5" t="s">
        <v>78</v>
      </c>
      <c r="AC403" s="5" t="s">
        <v>50</v>
      </c>
      <c r="AD403" s="5">
        <v>5</v>
      </c>
    </row>
    <row r="404" spans="1:30">
      <c r="A404" s="5" t="s">
        <v>1322</v>
      </c>
      <c r="B404" s="1">
        <v>45629</v>
      </c>
      <c r="C404" s="5" t="s">
        <v>557</v>
      </c>
      <c r="D404" s="5" t="s">
        <v>193</v>
      </c>
      <c r="E404" s="5" t="s">
        <v>55</v>
      </c>
      <c r="F404" s="5" t="s">
        <v>82</v>
      </c>
      <c r="G404" s="5" t="s">
        <v>83</v>
      </c>
      <c r="H404" s="5" t="s">
        <v>58</v>
      </c>
      <c r="I404" s="5" t="s">
        <v>39</v>
      </c>
      <c r="J404" s="5" t="s">
        <v>253</v>
      </c>
      <c r="K404" s="5">
        <v>3</v>
      </c>
      <c r="L404" s="5">
        <v>8000</v>
      </c>
      <c r="M404" s="5">
        <v>0.2</v>
      </c>
      <c r="N404" s="5">
        <v>19200</v>
      </c>
      <c r="O404" s="5">
        <v>12191.95</v>
      </c>
      <c r="P404" s="5">
        <v>7008.05</v>
      </c>
      <c r="Q404" s="5">
        <v>36.5</v>
      </c>
      <c r="R404" s="5" t="s">
        <v>73</v>
      </c>
      <c r="S404" s="5" t="s">
        <v>42</v>
      </c>
      <c r="T404" s="5" t="s">
        <v>43</v>
      </c>
      <c r="U404" s="5" t="s">
        <v>178</v>
      </c>
      <c r="V404" s="5">
        <v>2024</v>
      </c>
      <c r="W404" s="5" t="s">
        <v>109</v>
      </c>
      <c r="X404" s="5">
        <v>2</v>
      </c>
      <c r="Y404" s="1" t="s">
        <v>1323</v>
      </c>
      <c r="Z404" s="5" t="s">
        <v>47</v>
      </c>
      <c r="AA404" s="5" t="s">
        <v>48</v>
      </c>
      <c r="AB404" s="5" t="s">
        <v>111</v>
      </c>
      <c r="AC404" s="5" t="s">
        <v>50</v>
      </c>
      <c r="AD404" s="5">
        <v>4</v>
      </c>
    </row>
    <row r="405" spans="1:30">
      <c r="A405" s="5" t="s">
        <v>1324</v>
      </c>
      <c r="B405" s="1" t="s">
        <v>1325</v>
      </c>
      <c r="C405" s="5" t="s">
        <v>301</v>
      </c>
      <c r="D405" s="5" t="s">
        <v>393</v>
      </c>
      <c r="E405" s="5" t="s">
        <v>35</v>
      </c>
      <c r="F405" s="5" t="s">
        <v>156</v>
      </c>
      <c r="G405" s="5" t="s">
        <v>157</v>
      </c>
      <c r="H405" s="5" t="s">
        <v>94</v>
      </c>
      <c r="I405" s="5" t="s">
        <v>59</v>
      </c>
      <c r="J405" s="5" t="s">
        <v>60</v>
      </c>
      <c r="K405" s="5">
        <v>6</v>
      </c>
      <c r="L405" s="5">
        <v>1200</v>
      </c>
      <c r="M405" s="5">
        <v>0</v>
      </c>
      <c r="N405" s="5">
        <v>7200</v>
      </c>
      <c r="O405" s="5">
        <v>5749.36</v>
      </c>
      <c r="P405" s="5">
        <v>1450.64</v>
      </c>
      <c r="Q405" s="5">
        <v>20.149999999999999</v>
      </c>
      <c r="R405" s="5" t="s">
        <v>61</v>
      </c>
      <c r="S405" s="5" t="s">
        <v>42</v>
      </c>
      <c r="T405" s="5" t="s">
        <v>75</v>
      </c>
      <c r="U405" s="5" t="s">
        <v>87</v>
      </c>
      <c r="V405" s="5">
        <v>2024</v>
      </c>
      <c r="W405" s="5" t="s">
        <v>45</v>
      </c>
      <c r="X405" s="5">
        <v>9</v>
      </c>
      <c r="Y405" s="1" t="s">
        <v>1040</v>
      </c>
      <c r="Z405" s="5" t="s">
        <v>89</v>
      </c>
      <c r="AA405" s="5" t="s">
        <v>90</v>
      </c>
      <c r="AB405" s="5" t="s">
        <v>78</v>
      </c>
      <c r="AC405" s="5" t="s">
        <v>121</v>
      </c>
      <c r="AD405" s="5">
        <v>1</v>
      </c>
    </row>
    <row r="406" spans="1:30">
      <c r="A406" s="5" t="s">
        <v>1326</v>
      </c>
      <c r="B406" s="1" t="s">
        <v>1327</v>
      </c>
      <c r="C406" s="5" t="s">
        <v>1093</v>
      </c>
      <c r="D406" s="5" t="s">
        <v>1328</v>
      </c>
      <c r="E406" s="5" t="s">
        <v>103</v>
      </c>
      <c r="F406" s="5" t="s">
        <v>131</v>
      </c>
      <c r="G406" s="5" t="s">
        <v>132</v>
      </c>
      <c r="H406" s="5" t="s">
        <v>38</v>
      </c>
      <c r="I406" s="5" t="s">
        <v>84</v>
      </c>
      <c r="J406" s="5" t="s">
        <v>290</v>
      </c>
      <c r="K406" s="5">
        <v>3</v>
      </c>
      <c r="L406" s="5">
        <v>800</v>
      </c>
      <c r="M406" s="5">
        <v>0.2</v>
      </c>
      <c r="N406" s="5">
        <v>1920</v>
      </c>
      <c r="O406" s="5">
        <v>1321.25</v>
      </c>
      <c r="P406" s="5">
        <v>598.75</v>
      </c>
      <c r="Q406" s="5">
        <v>31.18</v>
      </c>
      <c r="R406" s="5" t="s">
        <v>106</v>
      </c>
      <c r="S406" s="5" t="s">
        <v>74</v>
      </c>
      <c r="T406" s="5" t="s">
        <v>107</v>
      </c>
      <c r="U406" s="5" t="s">
        <v>87</v>
      </c>
      <c r="V406" s="5">
        <v>2024</v>
      </c>
      <c r="W406" s="5" t="s">
        <v>139</v>
      </c>
      <c r="X406" s="5">
        <v>4</v>
      </c>
      <c r="Y406" s="1" t="s">
        <v>314</v>
      </c>
      <c r="Z406" s="5" t="s">
        <v>47</v>
      </c>
      <c r="AA406" s="5" t="s">
        <v>48</v>
      </c>
      <c r="AB406" s="5" t="s">
        <v>78</v>
      </c>
      <c r="AC406" s="5" t="s">
        <v>121</v>
      </c>
      <c r="AD406" s="5">
        <v>3</v>
      </c>
    </row>
    <row r="407" spans="1:30">
      <c r="A407" s="5" t="s">
        <v>1329</v>
      </c>
      <c r="B407" s="1">
        <v>45757</v>
      </c>
      <c r="C407" s="5" t="s">
        <v>626</v>
      </c>
      <c r="D407" s="5" t="s">
        <v>1014</v>
      </c>
      <c r="E407" s="5" t="s">
        <v>55</v>
      </c>
      <c r="F407" s="5" t="s">
        <v>156</v>
      </c>
      <c r="G407" s="5" t="s">
        <v>157</v>
      </c>
      <c r="H407" s="5" t="s">
        <v>58</v>
      </c>
      <c r="I407" s="5" t="s">
        <v>59</v>
      </c>
      <c r="J407" s="5" t="s">
        <v>328</v>
      </c>
      <c r="K407" s="5">
        <v>1</v>
      </c>
      <c r="L407" s="5">
        <v>1200</v>
      </c>
      <c r="M407" s="5">
        <v>0.1</v>
      </c>
      <c r="N407" s="5">
        <v>1080</v>
      </c>
      <c r="O407" s="5">
        <v>630.1</v>
      </c>
      <c r="P407" s="5">
        <v>449.9</v>
      </c>
      <c r="Q407" s="5">
        <v>41.66</v>
      </c>
      <c r="R407" s="5" t="s">
        <v>166</v>
      </c>
      <c r="S407" s="5" t="s">
        <v>62</v>
      </c>
      <c r="T407" s="5" t="s">
        <v>86</v>
      </c>
      <c r="U407" s="5" t="s">
        <v>87</v>
      </c>
      <c r="V407" s="5">
        <v>2025</v>
      </c>
      <c r="W407" s="5" t="s">
        <v>65</v>
      </c>
      <c r="X407" s="5">
        <v>9</v>
      </c>
      <c r="Y407" s="1" t="s">
        <v>1330</v>
      </c>
      <c r="Z407" s="5" t="s">
        <v>47</v>
      </c>
      <c r="AA407" s="5" t="s">
        <v>48</v>
      </c>
      <c r="AB407" s="5" t="s">
        <v>111</v>
      </c>
      <c r="AC407" s="5" t="s">
        <v>121</v>
      </c>
      <c r="AD407" s="5">
        <v>3</v>
      </c>
    </row>
    <row r="408" spans="1:30">
      <c r="A408" s="5" t="s">
        <v>1331</v>
      </c>
      <c r="B408" s="1">
        <v>45574</v>
      </c>
      <c r="C408" s="5" t="s">
        <v>196</v>
      </c>
      <c r="D408" s="5" t="s">
        <v>130</v>
      </c>
      <c r="E408" s="5" t="s">
        <v>35</v>
      </c>
      <c r="F408" s="5" t="s">
        <v>116</v>
      </c>
      <c r="G408" s="5" t="s">
        <v>37</v>
      </c>
      <c r="H408" s="5" t="s">
        <v>38</v>
      </c>
      <c r="I408" s="5" t="s">
        <v>84</v>
      </c>
      <c r="J408" s="5" t="s">
        <v>217</v>
      </c>
      <c r="K408" s="5">
        <v>3</v>
      </c>
      <c r="L408" s="5">
        <v>500</v>
      </c>
      <c r="M408" s="5">
        <v>0.2</v>
      </c>
      <c r="N408" s="5">
        <v>1200</v>
      </c>
      <c r="O408" s="5">
        <v>827.33</v>
      </c>
      <c r="P408" s="5">
        <v>372.67</v>
      </c>
      <c r="Q408" s="5">
        <v>31.06</v>
      </c>
      <c r="R408" s="5" t="s">
        <v>166</v>
      </c>
      <c r="S408" s="5" t="s">
        <v>62</v>
      </c>
      <c r="T408" s="5" t="s">
        <v>173</v>
      </c>
      <c r="U408" s="5" t="s">
        <v>108</v>
      </c>
      <c r="V408" s="5">
        <v>2024</v>
      </c>
      <c r="W408" s="5" t="s">
        <v>109</v>
      </c>
      <c r="X408" s="5">
        <v>2</v>
      </c>
      <c r="Y408" s="1">
        <v>45635</v>
      </c>
      <c r="Z408" s="5" t="s">
        <v>47</v>
      </c>
      <c r="AA408" s="5" t="s">
        <v>90</v>
      </c>
      <c r="AB408" s="5" t="s">
        <v>49</v>
      </c>
      <c r="AC408" s="5" t="s">
        <v>50</v>
      </c>
      <c r="AD408" s="5">
        <v>2</v>
      </c>
    </row>
    <row r="409" spans="1:30">
      <c r="A409" s="5" t="s">
        <v>1332</v>
      </c>
      <c r="B409" s="1" t="s">
        <v>1333</v>
      </c>
      <c r="C409" s="5" t="s">
        <v>169</v>
      </c>
      <c r="D409" s="5" t="s">
        <v>252</v>
      </c>
      <c r="E409" s="5" t="s">
        <v>55</v>
      </c>
      <c r="F409" s="5" t="s">
        <v>56</v>
      </c>
      <c r="G409" s="5" t="s">
        <v>57</v>
      </c>
      <c r="H409" s="5" t="s">
        <v>94</v>
      </c>
      <c r="I409" s="5" t="s">
        <v>95</v>
      </c>
      <c r="J409" s="5" t="s">
        <v>440</v>
      </c>
      <c r="K409" s="5">
        <v>2</v>
      </c>
      <c r="L409" s="5">
        <v>6000</v>
      </c>
      <c r="M409" s="5">
        <v>0.2</v>
      </c>
      <c r="N409" s="5">
        <v>9600</v>
      </c>
      <c r="O409" s="5">
        <v>6625.11</v>
      </c>
      <c r="P409" s="5">
        <v>2974.89</v>
      </c>
      <c r="Q409" s="5">
        <v>30.99</v>
      </c>
      <c r="R409" s="5" t="s">
        <v>166</v>
      </c>
      <c r="S409" s="5" t="s">
        <v>42</v>
      </c>
      <c r="T409" s="5" t="s">
        <v>138</v>
      </c>
      <c r="U409" s="5" t="s">
        <v>98</v>
      </c>
      <c r="V409" s="5">
        <v>2025</v>
      </c>
      <c r="W409" s="5" t="s">
        <v>45</v>
      </c>
      <c r="X409" s="5">
        <v>10</v>
      </c>
      <c r="Y409" s="1" t="s">
        <v>324</v>
      </c>
      <c r="Z409" s="5" t="s">
        <v>89</v>
      </c>
      <c r="AA409" s="5" t="s">
        <v>48</v>
      </c>
      <c r="AB409" s="5" t="s">
        <v>78</v>
      </c>
      <c r="AC409" s="5" t="s">
        <v>121</v>
      </c>
      <c r="AD409" s="5">
        <v>2</v>
      </c>
    </row>
    <row r="410" spans="1:30">
      <c r="A410" s="5" t="s">
        <v>1334</v>
      </c>
      <c r="B410" s="1" t="s">
        <v>1216</v>
      </c>
      <c r="C410" s="5" t="s">
        <v>33</v>
      </c>
      <c r="D410" s="5" t="s">
        <v>1335</v>
      </c>
      <c r="E410" s="5" t="s">
        <v>55</v>
      </c>
      <c r="F410" s="5" t="s">
        <v>131</v>
      </c>
      <c r="G410" s="5" t="s">
        <v>132</v>
      </c>
      <c r="H410" s="5" t="s">
        <v>58</v>
      </c>
      <c r="I410" s="5" t="s">
        <v>95</v>
      </c>
      <c r="J410" s="5" t="s">
        <v>440</v>
      </c>
      <c r="K410" s="5">
        <v>8</v>
      </c>
      <c r="L410" s="5">
        <v>4000</v>
      </c>
      <c r="M410" s="5">
        <v>0.2</v>
      </c>
      <c r="N410" s="5">
        <v>25600</v>
      </c>
      <c r="O410" s="5">
        <v>17227.95</v>
      </c>
      <c r="P410" s="5">
        <v>8372.0499999999993</v>
      </c>
      <c r="Q410" s="5">
        <v>32.700000000000003</v>
      </c>
      <c r="R410" s="5" t="s">
        <v>41</v>
      </c>
      <c r="S410" s="5" t="s">
        <v>62</v>
      </c>
      <c r="T410" s="5" t="s">
        <v>173</v>
      </c>
      <c r="U410" s="5" t="s">
        <v>160</v>
      </c>
      <c r="V410" s="5">
        <v>2025</v>
      </c>
      <c r="W410" s="5" t="s">
        <v>134</v>
      </c>
      <c r="X410" s="5">
        <v>2</v>
      </c>
      <c r="Y410" s="1" t="s">
        <v>849</v>
      </c>
      <c r="Z410" s="5" t="s">
        <v>47</v>
      </c>
      <c r="AA410" s="5" t="s">
        <v>90</v>
      </c>
      <c r="AB410" s="5" t="s">
        <v>78</v>
      </c>
      <c r="AC410" s="5" t="s">
        <v>50</v>
      </c>
      <c r="AD410" s="5">
        <v>1</v>
      </c>
    </row>
    <row r="411" spans="1:30">
      <c r="A411" s="5" t="s">
        <v>1336</v>
      </c>
      <c r="B411" s="1">
        <v>45454</v>
      </c>
      <c r="C411" s="5" t="s">
        <v>1090</v>
      </c>
      <c r="D411" s="5" t="s">
        <v>1337</v>
      </c>
      <c r="E411" s="5" t="s">
        <v>103</v>
      </c>
      <c r="F411" s="5" t="s">
        <v>131</v>
      </c>
      <c r="G411" s="5" t="s">
        <v>132</v>
      </c>
      <c r="H411" s="5" t="s">
        <v>94</v>
      </c>
      <c r="I411" s="5" t="s">
        <v>95</v>
      </c>
      <c r="J411" s="5" t="s">
        <v>344</v>
      </c>
      <c r="K411" s="5">
        <v>6</v>
      </c>
      <c r="L411" s="5">
        <v>6000</v>
      </c>
      <c r="M411" s="5">
        <v>0.1</v>
      </c>
      <c r="N411" s="5">
        <v>32400</v>
      </c>
      <c r="O411" s="5">
        <v>18064.75</v>
      </c>
      <c r="P411" s="5">
        <v>14335.25</v>
      </c>
      <c r="Q411" s="5">
        <v>44.24</v>
      </c>
      <c r="R411" s="5" t="s">
        <v>106</v>
      </c>
      <c r="S411" s="5" t="s">
        <v>62</v>
      </c>
      <c r="T411" s="5" t="s">
        <v>159</v>
      </c>
      <c r="U411" s="5" t="s">
        <v>198</v>
      </c>
      <c r="V411" s="5">
        <v>2024</v>
      </c>
      <c r="W411" s="5" t="s">
        <v>134</v>
      </c>
      <c r="X411" s="5">
        <v>5</v>
      </c>
      <c r="Y411" s="1">
        <v>45607</v>
      </c>
      <c r="Z411" s="5" t="s">
        <v>110</v>
      </c>
      <c r="AA411" s="5" t="s">
        <v>90</v>
      </c>
      <c r="AB411" s="5" t="s">
        <v>49</v>
      </c>
      <c r="AC411" s="5" t="s">
        <v>50</v>
      </c>
      <c r="AD411" s="5">
        <v>1</v>
      </c>
    </row>
    <row r="412" spans="1:30">
      <c r="A412" s="5" t="s">
        <v>1338</v>
      </c>
      <c r="B412" s="1">
        <v>45843</v>
      </c>
      <c r="C412" s="5" t="s">
        <v>53</v>
      </c>
      <c r="D412" s="5" t="s">
        <v>669</v>
      </c>
      <c r="E412" s="5" t="s">
        <v>103</v>
      </c>
      <c r="F412" s="5" t="s">
        <v>36</v>
      </c>
      <c r="G412" s="5" t="s">
        <v>37</v>
      </c>
      <c r="H412" s="5" t="s">
        <v>38</v>
      </c>
      <c r="I412" s="5" t="s">
        <v>59</v>
      </c>
      <c r="J412" s="5" t="s">
        <v>60</v>
      </c>
      <c r="K412" s="5">
        <v>2</v>
      </c>
      <c r="L412" s="5">
        <v>500</v>
      </c>
      <c r="M412" s="5">
        <v>0.15</v>
      </c>
      <c r="N412" s="5">
        <v>850</v>
      </c>
      <c r="O412" s="5">
        <v>597.34</v>
      </c>
      <c r="P412" s="5">
        <v>252.66</v>
      </c>
      <c r="Q412" s="5">
        <v>29.72</v>
      </c>
      <c r="R412" s="5" t="s">
        <v>73</v>
      </c>
      <c r="S412" s="5" t="s">
        <v>42</v>
      </c>
      <c r="T412" s="5" t="s">
        <v>138</v>
      </c>
      <c r="U412" s="5" t="s">
        <v>119</v>
      </c>
      <c r="V412" s="5">
        <v>2025</v>
      </c>
      <c r="W412" s="5" t="s">
        <v>134</v>
      </c>
      <c r="X412" s="5">
        <v>10</v>
      </c>
      <c r="Y412" s="1" t="s">
        <v>1204</v>
      </c>
      <c r="Z412" s="5" t="s">
        <v>47</v>
      </c>
      <c r="AA412" s="5" t="s">
        <v>67</v>
      </c>
      <c r="AB412" s="5" t="s">
        <v>111</v>
      </c>
      <c r="AC412" s="5" t="s">
        <v>50</v>
      </c>
      <c r="AD412" s="5">
        <v>2</v>
      </c>
    </row>
    <row r="413" spans="1:30">
      <c r="A413" s="5" t="s">
        <v>1339</v>
      </c>
      <c r="B413" s="1" t="s">
        <v>1340</v>
      </c>
      <c r="C413" s="5" t="s">
        <v>1341</v>
      </c>
      <c r="D413" s="5" t="s">
        <v>1342</v>
      </c>
      <c r="E413" s="5" t="s">
        <v>55</v>
      </c>
      <c r="F413" s="5" t="s">
        <v>82</v>
      </c>
      <c r="G413" s="5" t="s">
        <v>83</v>
      </c>
      <c r="H413" s="5" t="s">
        <v>58</v>
      </c>
      <c r="I413" s="5" t="s">
        <v>39</v>
      </c>
      <c r="J413" s="5" t="s">
        <v>165</v>
      </c>
      <c r="K413" s="5">
        <v>10</v>
      </c>
      <c r="L413" s="5">
        <v>22000</v>
      </c>
      <c r="M413" s="5">
        <v>0.15</v>
      </c>
      <c r="N413" s="5">
        <v>187000</v>
      </c>
      <c r="O413" s="5">
        <v>130164.81</v>
      </c>
      <c r="P413" s="5">
        <v>56835.19</v>
      </c>
      <c r="Q413" s="5">
        <v>30.39</v>
      </c>
      <c r="R413" s="5" t="s">
        <v>73</v>
      </c>
      <c r="S413" s="5" t="s">
        <v>42</v>
      </c>
      <c r="T413" s="5" t="s">
        <v>43</v>
      </c>
      <c r="U413" s="5" t="s">
        <v>218</v>
      </c>
      <c r="V413" s="5">
        <v>2024</v>
      </c>
      <c r="W413" s="5" t="s">
        <v>126</v>
      </c>
      <c r="X413" s="5">
        <v>7</v>
      </c>
      <c r="Y413" s="1">
        <v>45331</v>
      </c>
      <c r="Z413" s="5" t="s">
        <v>47</v>
      </c>
      <c r="AA413" s="5" t="s">
        <v>48</v>
      </c>
      <c r="AB413" s="5" t="s">
        <v>111</v>
      </c>
      <c r="AC413" s="5" t="s">
        <v>50</v>
      </c>
      <c r="AD413" s="5">
        <v>5</v>
      </c>
    </row>
    <row r="414" spans="1:30">
      <c r="A414" s="5" t="s">
        <v>1343</v>
      </c>
      <c r="B414" s="1" t="s">
        <v>1344</v>
      </c>
      <c r="C414" s="5" t="s">
        <v>1345</v>
      </c>
      <c r="D414" s="5" t="s">
        <v>900</v>
      </c>
      <c r="E414" s="5" t="s">
        <v>35</v>
      </c>
      <c r="F414" s="5" t="s">
        <v>36</v>
      </c>
      <c r="G414" s="5" t="s">
        <v>37</v>
      </c>
      <c r="H414" s="5" t="s">
        <v>58</v>
      </c>
      <c r="I414" s="5" t="s">
        <v>59</v>
      </c>
      <c r="J414" s="5" t="s">
        <v>328</v>
      </c>
      <c r="K414" s="5">
        <v>4</v>
      </c>
      <c r="L414" s="5">
        <v>3000</v>
      </c>
      <c r="M414" s="5">
        <v>0.2</v>
      </c>
      <c r="N414" s="5">
        <v>9600</v>
      </c>
      <c r="O414" s="5">
        <v>6632.39</v>
      </c>
      <c r="P414" s="5">
        <v>2967.61</v>
      </c>
      <c r="Q414" s="5">
        <v>30.91</v>
      </c>
      <c r="R414" s="5" t="s">
        <v>41</v>
      </c>
      <c r="S414" s="5" t="s">
        <v>74</v>
      </c>
      <c r="T414" s="5" t="s">
        <v>43</v>
      </c>
      <c r="U414" s="5" t="s">
        <v>218</v>
      </c>
      <c r="V414" s="5">
        <v>2025</v>
      </c>
      <c r="W414" s="5" t="s">
        <v>134</v>
      </c>
      <c r="X414" s="5">
        <v>1</v>
      </c>
      <c r="Y414" s="1" t="s">
        <v>1240</v>
      </c>
      <c r="Z414" s="5" t="s">
        <v>89</v>
      </c>
      <c r="AA414" s="5" t="s">
        <v>67</v>
      </c>
      <c r="AB414" s="5" t="s">
        <v>49</v>
      </c>
      <c r="AC414" s="5" t="s">
        <v>121</v>
      </c>
      <c r="AD414" s="5">
        <v>5</v>
      </c>
    </row>
    <row r="415" spans="1:30">
      <c r="A415" s="5" t="s">
        <v>1346</v>
      </c>
      <c r="B415" s="1" t="s">
        <v>1347</v>
      </c>
      <c r="C415" s="5" t="s">
        <v>989</v>
      </c>
      <c r="D415" s="5" t="s">
        <v>379</v>
      </c>
      <c r="E415" s="5" t="s">
        <v>35</v>
      </c>
      <c r="F415" s="5" t="s">
        <v>56</v>
      </c>
      <c r="G415" s="5" t="s">
        <v>57</v>
      </c>
      <c r="H415" s="5" t="s">
        <v>94</v>
      </c>
      <c r="I415" s="5" t="s">
        <v>39</v>
      </c>
      <c r="J415" s="5" t="s">
        <v>165</v>
      </c>
      <c r="K415" s="5">
        <v>10</v>
      </c>
      <c r="L415" s="5">
        <v>15000</v>
      </c>
      <c r="M415" s="5">
        <v>0.15</v>
      </c>
      <c r="N415" s="5">
        <v>127500</v>
      </c>
      <c r="O415" s="5">
        <v>99798.47</v>
      </c>
      <c r="P415" s="5">
        <v>27701.53</v>
      </c>
      <c r="Q415" s="5">
        <v>21.73</v>
      </c>
      <c r="R415" s="5" t="s">
        <v>106</v>
      </c>
      <c r="S415" s="5" t="s">
        <v>42</v>
      </c>
      <c r="T415" s="5" t="s">
        <v>97</v>
      </c>
      <c r="U415" s="5" t="s">
        <v>218</v>
      </c>
      <c r="V415" s="5">
        <v>2025</v>
      </c>
      <c r="W415" s="5" t="s">
        <v>109</v>
      </c>
      <c r="X415" s="5">
        <v>1</v>
      </c>
      <c r="Y415" s="1" t="s">
        <v>892</v>
      </c>
      <c r="Z415" s="5" t="s">
        <v>110</v>
      </c>
      <c r="AA415" s="5" t="s">
        <v>67</v>
      </c>
      <c r="AB415" s="5" t="s">
        <v>78</v>
      </c>
      <c r="AC415" s="5" t="s">
        <v>121</v>
      </c>
      <c r="AD415" s="5">
        <v>1</v>
      </c>
    </row>
    <row r="416" spans="1:30">
      <c r="A416" s="5" t="s">
        <v>1348</v>
      </c>
      <c r="B416" s="1" t="s">
        <v>635</v>
      </c>
      <c r="C416" s="5" t="s">
        <v>724</v>
      </c>
      <c r="D416" s="5" t="s">
        <v>737</v>
      </c>
      <c r="E416" s="5" t="s">
        <v>103</v>
      </c>
      <c r="F416" s="5" t="s">
        <v>36</v>
      </c>
      <c r="G416" s="5" t="s">
        <v>37</v>
      </c>
      <c r="H416" s="5" t="s">
        <v>171</v>
      </c>
      <c r="I416" s="5" t="s">
        <v>59</v>
      </c>
      <c r="J416" s="5" t="s">
        <v>206</v>
      </c>
      <c r="K416" s="5">
        <v>5</v>
      </c>
      <c r="L416" s="5">
        <v>800</v>
      </c>
      <c r="M416" s="5">
        <v>0.05</v>
      </c>
      <c r="N416" s="5">
        <v>3800</v>
      </c>
      <c r="O416" s="5">
        <v>2404.77</v>
      </c>
      <c r="P416" s="5">
        <v>1395.23</v>
      </c>
      <c r="Q416" s="5">
        <v>36.72</v>
      </c>
      <c r="R416" s="5" t="s">
        <v>73</v>
      </c>
      <c r="S416" s="5" t="s">
        <v>74</v>
      </c>
      <c r="T416" s="5" t="s">
        <v>43</v>
      </c>
      <c r="U416" s="5" t="s">
        <v>108</v>
      </c>
      <c r="V416" s="5">
        <v>2024</v>
      </c>
      <c r="W416" s="5" t="s">
        <v>134</v>
      </c>
      <c r="X416" s="5">
        <v>2</v>
      </c>
      <c r="Y416" s="1" t="s">
        <v>689</v>
      </c>
      <c r="Z416" s="5" t="s">
        <v>47</v>
      </c>
      <c r="AA416" s="5" t="s">
        <v>67</v>
      </c>
      <c r="AB416" s="5" t="s">
        <v>78</v>
      </c>
      <c r="AC416" s="5" t="s">
        <v>121</v>
      </c>
      <c r="AD416" s="5">
        <v>3</v>
      </c>
    </row>
    <row r="417" spans="1:30">
      <c r="A417" s="5" t="s">
        <v>1349</v>
      </c>
      <c r="B417" s="1" t="s">
        <v>424</v>
      </c>
      <c r="C417" s="5" t="s">
        <v>334</v>
      </c>
      <c r="D417" s="5" t="s">
        <v>310</v>
      </c>
      <c r="E417" s="5" t="s">
        <v>103</v>
      </c>
      <c r="F417" s="5" t="s">
        <v>245</v>
      </c>
      <c r="G417" s="5" t="s">
        <v>246</v>
      </c>
      <c r="H417" s="5" t="s">
        <v>94</v>
      </c>
      <c r="I417" s="5" t="s">
        <v>71</v>
      </c>
      <c r="J417" s="5" t="s">
        <v>240</v>
      </c>
      <c r="K417" s="5">
        <v>5</v>
      </c>
      <c r="L417" s="5">
        <v>2500</v>
      </c>
      <c r="M417" s="5">
        <v>0</v>
      </c>
      <c r="N417" s="5">
        <v>12500</v>
      </c>
      <c r="O417" s="5">
        <v>9413.4500000000007</v>
      </c>
      <c r="P417" s="5">
        <v>3086.55</v>
      </c>
      <c r="Q417" s="5">
        <v>24.69</v>
      </c>
      <c r="R417" s="5" t="s">
        <v>106</v>
      </c>
      <c r="S417" s="5" t="s">
        <v>62</v>
      </c>
      <c r="T417" s="5" t="s">
        <v>43</v>
      </c>
      <c r="U417" s="5" t="s">
        <v>98</v>
      </c>
      <c r="V417" s="5">
        <v>2024</v>
      </c>
      <c r="W417" s="5" t="s">
        <v>194</v>
      </c>
      <c r="X417" s="5">
        <v>4</v>
      </c>
      <c r="Y417" s="1" t="s">
        <v>786</v>
      </c>
      <c r="Z417" s="5" t="s">
        <v>47</v>
      </c>
      <c r="AA417" s="5" t="s">
        <v>67</v>
      </c>
      <c r="AB417" s="5" t="s">
        <v>78</v>
      </c>
      <c r="AC417" s="5" t="s">
        <v>50</v>
      </c>
      <c r="AD417" s="5">
        <v>1</v>
      </c>
    </row>
    <row r="418" spans="1:30">
      <c r="A418" s="5" t="s">
        <v>1350</v>
      </c>
      <c r="B418" s="1" t="s">
        <v>1351</v>
      </c>
      <c r="C418" s="5" t="s">
        <v>1352</v>
      </c>
      <c r="D418" s="5" t="s">
        <v>1353</v>
      </c>
      <c r="E418" s="5" t="s">
        <v>103</v>
      </c>
      <c r="F418" s="5" t="s">
        <v>56</v>
      </c>
      <c r="G418" s="5" t="s">
        <v>57</v>
      </c>
      <c r="H418" s="5" t="s">
        <v>94</v>
      </c>
      <c r="I418" s="5" t="s">
        <v>39</v>
      </c>
      <c r="J418" s="5" t="s">
        <v>253</v>
      </c>
      <c r="K418" s="5">
        <v>4</v>
      </c>
      <c r="L418" s="5">
        <v>8000</v>
      </c>
      <c r="M418" s="5">
        <v>0.1</v>
      </c>
      <c r="N418" s="5">
        <v>28800</v>
      </c>
      <c r="O418" s="5">
        <v>17755.349999999999</v>
      </c>
      <c r="P418" s="5">
        <v>11044.65</v>
      </c>
      <c r="Q418" s="5">
        <v>38.35</v>
      </c>
      <c r="R418" s="5" t="s">
        <v>166</v>
      </c>
      <c r="S418" s="5" t="s">
        <v>74</v>
      </c>
      <c r="T418" s="5" t="s">
        <v>107</v>
      </c>
      <c r="U418" s="5" t="s">
        <v>151</v>
      </c>
      <c r="V418" s="5">
        <v>2025</v>
      </c>
      <c r="W418" s="5" t="s">
        <v>126</v>
      </c>
      <c r="X418" s="5">
        <v>10</v>
      </c>
      <c r="Y418" s="1" t="s">
        <v>1354</v>
      </c>
      <c r="Z418" s="5" t="s">
        <v>47</v>
      </c>
      <c r="AA418" s="5" t="s">
        <v>90</v>
      </c>
      <c r="AB418" s="5" t="s">
        <v>49</v>
      </c>
      <c r="AC418" s="5" t="s">
        <v>50</v>
      </c>
      <c r="AD418" s="5">
        <v>5</v>
      </c>
    </row>
    <row r="419" spans="1:30">
      <c r="A419" s="5" t="s">
        <v>1355</v>
      </c>
      <c r="B419" s="1">
        <v>45628</v>
      </c>
      <c r="C419" s="5" t="s">
        <v>805</v>
      </c>
      <c r="D419" s="5" t="s">
        <v>335</v>
      </c>
      <c r="E419" s="5" t="s">
        <v>35</v>
      </c>
      <c r="F419" s="5" t="s">
        <v>245</v>
      </c>
      <c r="G419" s="5" t="s">
        <v>246</v>
      </c>
      <c r="H419" s="5" t="s">
        <v>58</v>
      </c>
      <c r="I419" s="5" t="s">
        <v>95</v>
      </c>
      <c r="J419" s="5" t="s">
        <v>96</v>
      </c>
      <c r="K419" s="5">
        <v>7</v>
      </c>
      <c r="L419" s="5">
        <v>15000</v>
      </c>
      <c r="M419" s="5">
        <v>0.15</v>
      </c>
      <c r="N419" s="5">
        <v>89250</v>
      </c>
      <c r="O419" s="5">
        <v>72247.960000000006</v>
      </c>
      <c r="P419" s="5">
        <v>17002.04</v>
      </c>
      <c r="Q419" s="5">
        <v>19.05</v>
      </c>
      <c r="R419" s="5" t="s">
        <v>106</v>
      </c>
      <c r="S419" s="5" t="s">
        <v>62</v>
      </c>
      <c r="T419" s="5" t="s">
        <v>159</v>
      </c>
      <c r="U419" s="5" t="s">
        <v>98</v>
      </c>
      <c r="V419" s="5">
        <v>2024</v>
      </c>
      <c r="W419" s="5" t="s">
        <v>126</v>
      </c>
      <c r="X419" s="5">
        <v>1</v>
      </c>
      <c r="Y419" s="1" t="s">
        <v>1356</v>
      </c>
      <c r="Z419" s="5" t="s">
        <v>110</v>
      </c>
      <c r="AA419" s="5" t="s">
        <v>48</v>
      </c>
      <c r="AB419" s="5" t="s">
        <v>78</v>
      </c>
      <c r="AC419" s="5" t="s">
        <v>50</v>
      </c>
      <c r="AD419" s="5">
        <v>3</v>
      </c>
    </row>
    <row r="420" spans="1:30">
      <c r="A420" s="5" t="s">
        <v>1357</v>
      </c>
      <c r="B420" s="1" t="s">
        <v>235</v>
      </c>
      <c r="C420" s="5" t="s">
        <v>169</v>
      </c>
      <c r="D420" s="5" t="s">
        <v>743</v>
      </c>
      <c r="E420" s="5" t="s">
        <v>35</v>
      </c>
      <c r="F420" s="5" t="s">
        <v>149</v>
      </c>
      <c r="G420" s="5" t="s">
        <v>150</v>
      </c>
      <c r="H420" s="5" t="s">
        <v>171</v>
      </c>
      <c r="I420" s="5" t="s">
        <v>59</v>
      </c>
      <c r="J420" s="5" t="s">
        <v>372</v>
      </c>
      <c r="K420" s="5">
        <v>5</v>
      </c>
      <c r="L420" s="5">
        <v>500</v>
      </c>
      <c r="M420" s="5">
        <v>0.05</v>
      </c>
      <c r="N420" s="5">
        <v>2375</v>
      </c>
      <c r="O420" s="5">
        <v>1499.03</v>
      </c>
      <c r="P420" s="5">
        <v>875.97</v>
      </c>
      <c r="Q420" s="5">
        <v>36.880000000000003</v>
      </c>
      <c r="R420" s="5" t="s">
        <v>166</v>
      </c>
      <c r="S420" s="5" t="s">
        <v>74</v>
      </c>
      <c r="T420" s="5" t="s">
        <v>63</v>
      </c>
      <c r="U420" s="5" t="s">
        <v>160</v>
      </c>
      <c r="V420" s="5">
        <v>2025</v>
      </c>
      <c r="W420" s="5" t="s">
        <v>126</v>
      </c>
      <c r="X420" s="5">
        <v>10</v>
      </c>
      <c r="Y420" s="1">
        <v>45937</v>
      </c>
      <c r="Z420" s="5" t="s">
        <v>47</v>
      </c>
      <c r="AA420" s="5" t="s">
        <v>48</v>
      </c>
      <c r="AB420" s="5" t="s">
        <v>78</v>
      </c>
      <c r="AC420" s="5" t="s">
        <v>50</v>
      </c>
      <c r="AD420" s="5">
        <v>3</v>
      </c>
    </row>
    <row r="421" spans="1:30">
      <c r="A421" s="5" t="s">
        <v>1358</v>
      </c>
      <c r="B421" s="1" t="s">
        <v>1359</v>
      </c>
      <c r="C421" s="5" t="s">
        <v>1360</v>
      </c>
      <c r="D421" s="5" t="s">
        <v>1094</v>
      </c>
      <c r="E421" s="5" t="s">
        <v>55</v>
      </c>
      <c r="F421" s="5" t="s">
        <v>56</v>
      </c>
      <c r="G421" s="5" t="s">
        <v>57</v>
      </c>
      <c r="H421" s="5" t="s">
        <v>58</v>
      </c>
      <c r="I421" s="5" t="s">
        <v>84</v>
      </c>
      <c r="J421" s="5" t="s">
        <v>85</v>
      </c>
      <c r="K421" s="5">
        <v>6</v>
      </c>
      <c r="L421" s="5">
        <v>350</v>
      </c>
      <c r="M421" s="5">
        <v>0.05</v>
      </c>
      <c r="N421" s="5">
        <v>1995</v>
      </c>
      <c r="O421" s="5">
        <v>1105.8</v>
      </c>
      <c r="P421" s="5">
        <v>889.2</v>
      </c>
      <c r="Q421" s="5">
        <v>44.57</v>
      </c>
      <c r="R421" s="5" t="s">
        <v>106</v>
      </c>
      <c r="S421" s="5" t="s">
        <v>42</v>
      </c>
      <c r="T421" s="5" t="s">
        <v>118</v>
      </c>
      <c r="U421" s="5" t="s">
        <v>44</v>
      </c>
      <c r="V421" s="5">
        <v>2025</v>
      </c>
      <c r="W421" s="5" t="s">
        <v>109</v>
      </c>
      <c r="X421" s="5">
        <v>10</v>
      </c>
      <c r="Y421" s="1" t="s">
        <v>419</v>
      </c>
      <c r="Z421" s="5" t="s">
        <v>47</v>
      </c>
      <c r="AA421" s="5" t="s">
        <v>67</v>
      </c>
      <c r="AB421" s="5" t="s">
        <v>111</v>
      </c>
      <c r="AC421" s="5" t="s">
        <v>50</v>
      </c>
      <c r="AD421" s="5">
        <v>4</v>
      </c>
    </row>
    <row r="422" spans="1:30">
      <c r="A422" s="5" t="s">
        <v>1361</v>
      </c>
      <c r="B422" s="1" t="s">
        <v>399</v>
      </c>
      <c r="C422" s="5" t="s">
        <v>614</v>
      </c>
      <c r="D422" s="5" t="s">
        <v>1362</v>
      </c>
      <c r="E422" s="5" t="s">
        <v>55</v>
      </c>
      <c r="F422" s="5" t="s">
        <v>131</v>
      </c>
      <c r="G422" s="5" t="s">
        <v>132</v>
      </c>
      <c r="H422" s="5" t="s">
        <v>38</v>
      </c>
      <c r="I422" s="5" t="s">
        <v>39</v>
      </c>
      <c r="J422" s="5" t="s">
        <v>356</v>
      </c>
      <c r="K422" s="5">
        <v>9</v>
      </c>
      <c r="L422" s="5">
        <v>8000</v>
      </c>
      <c r="M422" s="5">
        <v>0.15</v>
      </c>
      <c r="N422" s="5">
        <v>61200</v>
      </c>
      <c r="O422" s="5">
        <v>49721.97</v>
      </c>
      <c r="P422" s="5">
        <v>11478.03</v>
      </c>
      <c r="Q422" s="5">
        <v>18.75</v>
      </c>
      <c r="R422" s="5" t="s">
        <v>106</v>
      </c>
      <c r="S422" s="5" t="s">
        <v>74</v>
      </c>
      <c r="T422" s="5" t="s">
        <v>138</v>
      </c>
      <c r="U422" s="5" t="s">
        <v>198</v>
      </c>
      <c r="V422" s="5">
        <v>2025</v>
      </c>
      <c r="W422" s="5" t="s">
        <v>134</v>
      </c>
      <c r="X422" s="5">
        <v>2</v>
      </c>
      <c r="Y422" s="1" t="s">
        <v>1363</v>
      </c>
      <c r="Z422" s="5" t="s">
        <v>47</v>
      </c>
      <c r="AA422" s="5" t="s">
        <v>67</v>
      </c>
      <c r="AB422" s="5" t="s">
        <v>49</v>
      </c>
      <c r="AC422" s="5" t="s">
        <v>50</v>
      </c>
      <c r="AD422" s="5">
        <v>1</v>
      </c>
    </row>
    <row r="423" spans="1:30">
      <c r="A423" s="5" t="s">
        <v>1364</v>
      </c>
      <c r="B423" s="1" t="s">
        <v>795</v>
      </c>
      <c r="C423" s="5" t="s">
        <v>1365</v>
      </c>
      <c r="D423" s="5" t="s">
        <v>703</v>
      </c>
      <c r="E423" s="5" t="s">
        <v>55</v>
      </c>
      <c r="F423" s="5" t="s">
        <v>149</v>
      </c>
      <c r="G423" s="5" t="s">
        <v>150</v>
      </c>
      <c r="H423" s="5" t="s">
        <v>94</v>
      </c>
      <c r="I423" s="5" t="s">
        <v>39</v>
      </c>
      <c r="J423" s="5" t="s">
        <v>40</v>
      </c>
      <c r="K423" s="5">
        <v>6</v>
      </c>
      <c r="L423" s="5">
        <v>12000</v>
      </c>
      <c r="M423" s="5">
        <v>0</v>
      </c>
      <c r="N423" s="5">
        <v>72000</v>
      </c>
      <c r="O423" s="5">
        <v>44153.97</v>
      </c>
      <c r="P423" s="5">
        <v>27846.03</v>
      </c>
      <c r="Q423" s="5">
        <v>38.68</v>
      </c>
      <c r="R423" s="5" t="s">
        <v>41</v>
      </c>
      <c r="S423" s="5" t="s">
        <v>74</v>
      </c>
      <c r="T423" s="5" t="s">
        <v>43</v>
      </c>
      <c r="U423" s="5" t="s">
        <v>108</v>
      </c>
      <c r="V423" s="5">
        <v>2025</v>
      </c>
      <c r="W423" s="5" t="s">
        <v>65</v>
      </c>
      <c r="X423" s="5">
        <v>5</v>
      </c>
      <c r="Y423" s="1" t="s">
        <v>1366</v>
      </c>
      <c r="Z423" s="5" t="s">
        <v>47</v>
      </c>
      <c r="AA423" s="5" t="s">
        <v>90</v>
      </c>
      <c r="AB423" s="5" t="s">
        <v>111</v>
      </c>
      <c r="AC423" s="5" t="s">
        <v>50</v>
      </c>
      <c r="AD423" s="5">
        <v>1</v>
      </c>
    </row>
    <row r="424" spans="1:30">
      <c r="A424" s="5" t="s">
        <v>1367</v>
      </c>
      <c r="B424" s="1" t="s">
        <v>1368</v>
      </c>
      <c r="C424" s="5" t="s">
        <v>1200</v>
      </c>
      <c r="D424" s="5" t="s">
        <v>1193</v>
      </c>
      <c r="E424" s="5" t="s">
        <v>103</v>
      </c>
      <c r="F424" s="5" t="s">
        <v>116</v>
      </c>
      <c r="G424" s="5" t="s">
        <v>37</v>
      </c>
      <c r="H424" s="5" t="s">
        <v>58</v>
      </c>
      <c r="I424" s="5" t="s">
        <v>59</v>
      </c>
      <c r="J424" s="5" t="s">
        <v>372</v>
      </c>
      <c r="K424" s="5">
        <v>8</v>
      </c>
      <c r="L424" s="5">
        <v>800</v>
      </c>
      <c r="M424" s="5">
        <v>0.2</v>
      </c>
      <c r="N424" s="5">
        <v>5120</v>
      </c>
      <c r="O424" s="5">
        <v>3597.25</v>
      </c>
      <c r="P424" s="5">
        <v>1522.75</v>
      </c>
      <c r="Q424" s="5">
        <v>29.74</v>
      </c>
      <c r="R424" s="5" t="s">
        <v>73</v>
      </c>
      <c r="S424" s="5" t="s">
        <v>62</v>
      </c>
      <c r="T424" s="5" t="s">
        <v>63</v>
      </c>
      <c r="U424" s="5" t="s">
        <v>151</v>
      </c>
      <c r="V424" s="5">
        <v>2024</v>
      </c>
      <c r="W424" s="5" t="s">
        <v>134</v>
      </c>
      <c r="X424" s="5">
        <v>10</v>
      </c>
      <c r="Y424" s="1" t="s">
        <v>489</v>
      </c>
      <c r="Z424" s="5" t="s">
        <v>89</v>
      </c>
      <c r="AA424" s="5" t="s">
        <v>90</v>
      </c>
      <c r="AB424" s="5" t="s">
        <v>111</v>
      </c>
      <c r="AC424" s="5" t="s">
        <v>50</v>
      </c>
      <c r="AD424" s="5">
        <v>2</v>
      </c>
    </row>
    <row r="425" spans="1:30">
      <c r="A425" s="5" t="s">
        <v>1369</v>
      </c>
      <c r="B425" s="1">
        <v>45352</v>
      </c>
      <c r="C425" s="5" t="s">
        <v>1080</v>
      </c>
      <c r="D425" s="5" t="s">
        <v>1370</v>
      </c>
      <c r="E425" s="5" t="s">
        <v>55</v>
      </c>
      <c r="F425" s="5" t="s">
        <v>104</v>
      </c>
      <c r="G425" s="5" t="s">
        <v>104</v>
      </c>
      <c r="H425" s="5" t="s">
        <v>171</v>
      </c>
      <c r="I425" s="5" t="s">
        <v>59</v>
      </c>
      <c r="J425" s="5" t="s">
        <v>372</v>
      </c>
      <c r="K425" s="5">
        <v>5</v>
      </c>
      <c r="L425" s="5">
        <v>3000</v>
      </c>
      <c r="M425" s="5">
        <v>0.15</v>
      </c>
      <c r="N425" s="5">
        <v>12750</v>
      </c>
      <c r="O425" s="5">
        <v>9951.91</v>
      </c>
      <c r="P425" s="5">
        <v>2798.09</v>
      </c>
      <c r="Q425" s="5">
        <v>21.95</v>
      </c>
      <c r="R425" s="5" t="s">
        <v>106</v>
      </c>
      <c r="S425" s="5" t="s">
        <v>42</v>
      </c>
      <c r="T425" s="5" t="s">
        <v>107</v>
      </c>
      <c r="U425" s="5" t="s">
        <v>76</v>
      </c>
      <c r="V425" s="5">
        <v>2024</v>
      </c>
      <c r="W425" s="5" t="s">
        <v>134</v>
      </c>
      <c r="X425" s="5">
        <v>7</v>
      </c>
      <c r="Y425" s="1">
        <v>45566</v>
      </c>
      <c r="Z425" s="5" t="s">
        <v>47</v>
      </c>
      <c r="AA425" s="5" t="s">
        <v>67</v>
      </c>
      <c r="AB425" s="5" t="s">
        <v>78</v>
      </c>
      <c r="AC425" s="5" t="s">
        <v>50</v>
      </c>
      <c r="AD425" s="5">
        <v>5</v>
      </c>
    </row>
    <row r="426" spans="1:30">
      <c r="A426" s="5" t="s">
        <v>1371</v>
      </c>
      <c r="B426" s="1">
        <v>45751</v>
      </c>
      <c r="C426" s="5" t="s">
        <v>1372</v>
      </c>
      <c r="D426" s="5" t="s">
        <v>710</v>
      </c>
      <c r="E426" s="5" t="s">
        <v>103</v>
      </c>
      <c r="F426" s="5" t="s">
        <v>104</v>
      </c>
      <c r="G426" s="5" t="s">
        <v>104</v>
      </c>
      <c r="H426" s="5" t="s">
        <v>58</v>
      </c>
      <c r="I426" s="5" t="s">
        <v>95</v>
      </c>
      <c r="J426" s="5" t="s">
        <v>344</v>
      </c>
      <c r="K426" s="5">
        <v>5</v>
      </c>
      <c r="L426" s="5">
        <v>9000</v>
      </c>
      <c r="M426" s="5">
        <v>0.2</v>
      </c>
      <c r="N426" s="5">
        <v>36000</v>
      </c>
      <c r="O426" s="5">
        <v>23608.87</v>
      </c>
      <c r="P426" s="5">
        <v>12391.13</v>
      </c>
      <c r="Q426" s="5">
        <v>34.42</v>
      </c>
      <c r="R426" s="5" t="s">
        <v>73</v>
      </c>
      <c r="S426" s="5" t="s">
        <v>42</v>
      </c>
      <c r="T426" s="5" t="s">
        <v>75</v>
      </c>
      <c r="U426" s="5" t="s">
        <v>44</v>
      </c>
      <c r="V426" s="5">
        <v>2025</v>
      </c>
      <c r="W426" s="5" t="s">
        <v>194</v>
      </c>
      <c r="X426" s="5">
        <v>6</v>
      </c>
      <c r="Y426" s="1">
        <v>45934</v>
      </c>
      <c r="Z426" s="5" t="s">
        <v>47</v>
      </c>
      <c r="AA426" s="5" t="s">
        <v>90</v>
      </c>
      <c r="AB426" s="5" t="s">
        <v>49</v>
      </c>
      <c r="AC426" s="5" t="s">
        <v>121</v>
      </c>
      <c r="AD426" s="5">
        <v>2</v>
      </c>
    </row>
    <row r="427" spans="1:30">
      <c r="A427" s="5" t="s">
        <v>1373</v>
      </c>
      <c r="B427" s="1" t="s">
        <v>1374</v>
      </c>
      <c r="C427" s="5" t="s">
        <v>1372</v>
      </c>
      <c r="D427" s="5" t="s">
        <v>1375</v>
      </c>
      <c r="E427" s="5" t="s">
        <v>35</v>
      </c>
      <c r="F427" s="5" t="s">
        <v>82</v>
      </c>
      <c r="G427" s="5" t="s">
        <v>83</v>
      </c>
      <c r="H427" s="5" t="s">
        <v>94</v>
      </c>
      <c r="I427" s="5" t="s">
        <v>84</v>
      </c>
      <c r="J427" s="5" t="s">
        <v>390</v>
      </c>
      <c r="K427" s="5">
        <v>2</v>
      </c>
      <c r="L427" s="5">
        <v>100</v>
      </c>
      <c r="M427" s="5">
        <v>0.15</v>
      </c>
      <c r="N427" s="5">
        <v>170</v>
      </c>
      <c r="O427" s="5">
        <v>130.09</v>
      </c>
      <c r="P427" s="5">
        <v>39.909999999999997</v>
      </c>
      <c r="Q427" s="5">
        <v>23.48</v>
      </c>
      <c r="R427" s="5" t="s">
        <v>73</v>
      </c>
      <c r="S427" s="5" t="s">
        <v>62</v>
      </c>
      <c r="T427" s="5" t="s">
        <v>43</v>
      </c>
      <c r="U427" s="5" t="s">
        <v>178</v>
      </c>
      <c r="V427" s="5">
        <v>2025</v>
      </c>
      <c r="W427" s="5" t="s">
        <v>109</v>
      </c>
      <c r="X427" s="5">
        <v>1</v>
      </c>
      <c r="Y427" s="1" t="s">
        <v>1052</v>
      </c>
      <c r="Z427" s="5" t="s">
        <v>89</v>
      </c>
      <c r="AA427" s="5" t="s">
        <v>67</v>
      </c>
      <c r="AB427" s="5" t="s">
        <v>111</v>
      </c>
      <c r="AC427" s="5" t="s">
        <v>121</v>
      </c>
      <c r="AD427" s="5">
        <v>1</v>
      </c>
    </row>
    <row r="428" spans="1:30">
      <c r="A428" s="5" t="s">
        <v>1376</v>
      </c>
      <c r="B428" s="1">
        <v>45478</v>
      </c>
      <c r="C428" s="5" t="s">
        <v>1265</v>
      </c>
      <c r="D428" s="5" t="s">
        <v>351</v>
      </c>
      <c r="E428" s="5" t="s">
        <v>103</v>
      </c>
      <c r="F428" s="5" t="s">
        <v>144</v>
      </c>
      <c r="G428" s="5" t="s">
        <v>145</v>
      </c>
      <c r="H428" s="5" t="s">
        <v>58</v>
      </c>
      <c r="I428" s="5" t="s">
        <v>59</v>
      </c>
      <c r="J428" s="5" t="s">
        <v>133</v>
      </c>
      <c r="K428" s="5">
        <v>2</v>
      </c>
      <c r="L428" s="5">
        <v>2000</v>
      </c>
      <c r="M428" s="5">
        <v>0.2</v>
      </c>
      <c r="N428" s="5">
        <v>3200</v>
      </c>
      <c r="O428" s="5">
        <v>2552.04</v>
      </c>
      <c r="P428" s="5">
        <v>647.96</v>
      </c>
      <c r="Q428" s="5">
        <v>20.25</v>
      </c>
      <c r="R428" s="5" t="s">
        <v>73</v>
      </c>
      <c r="S428" s="5" t="s">
        <v>74</v>
      </c>
      <c r="T428" s="5" t="s">
        <v>138</v>
      </c>
      <c r="U428" s="5" t="s">
        <v>119</v>
      </c>
      <c r="V428" s="5">
        <v>2024</v>
      </c>
      <c r="W428" s="5" t="s">
        <v>109</v>
      </c>
      <c r="X428" s="5">
        <v>2</v>
      </c>
      <c r="Y428" s="1">
        <v>45540</v>
      </c>
      <c r="Z428" s="5" t="s">
        <v>47</v>
      </c>
      <c r="AA428" s="5" t="s">
        <v>90</v>
      </c>
      <c r="AB428" s="5" t="s">
        <v>78</v>
      </c>
      <c r="AC428" s="5" t="s">
        <v>50</v>
      </c>
      <c r="AD428" s="5">
        <v>1</v>
      </c>
    </row>
    <row r="429" spans="1:30">
      <c r="A429" s="5" t="s">
        <v>1377</v>
      </c>
      <c r="B429" s="1" t="s">
        <v>1378</v>
      </c>
      <c r="C429" s="5" t="s">
        <v>1379</v>
      </c>
      <c r="D429" s="5" t="s">
        <v>307</v>
      </c>
      <c r="E429" s="5" t="s">
        <v>103</v>
      </c>
      <c r="F429" s="5" t="s">
        <v>36</v>
      </c>
      <c r="G429" s="5" t="s">
        <v>37</v>
      </c>
      <c r="H429" s="5" t="s">
        <v>58</v>
      </c>
      <c r="I429" s="5" t="s">
        <v>39</v>
      </c>
      <c r="J429" s="5" t="s">
        <v>165</v>
      </c>
      <c r="K429" s="5">
        <v>1</v>
      </c>
      <c r="L429" s="5">
        <v>15000</v>
      </c>
      <c r="M429" s="5">
        <v>0.15</v>
      </c>
      <c r="N429" s="5">
        <v>12750</v>
      </c>
      <c r="O429" s="5">
        <v>9601.1299999999992</v>
      </c>
      <c r="P429" s="5">
        <v>3148.87</v>
      </c>
      <c r="Q429" s="5">
        <v>24.7</v>
      </c>
      <c r="R429" s="5" t="s">
        <v>166</v>
      </c>
      <c r="S429" s="5" t="s">
        <v>62</v>
      </c>
      <c r="T429" s="5" t="s">
        <v>138</v>
      </c>
      <c r="U429" s="5" t="s">
        <v>98</v>
      </c>
      <c r="V429" s="5">
        <v>2025</v>
      </c>
      <c r="W429" s="5" t="s">
        <v>65</v>
      </c>
      <c r="X429" s="5">
        <v>2</v>
      </c>
      <c r="Y429" s="1" t="s">
        <v>99</v>
      </c>
      <c r="Z429" s="5" t="s">
        <v>89</v>
      </c>
      <c r="AA429" s="5" t="s">
        <v>67</v>
      </c>
      <c r="AB429" s="5" t="s">
        <v>111</v>
      </c>
      <c r="AC429" s="5" t="s">
        <v>121</v>
      </c>
      <c r="AD429" s="5">
        <v>3</v>
      </c>
    </row>
    <row r="430" spans="1:30">
      <c r="A430" s="5" t="s">
        <v>1380</v>
      </c>
      <c r="B430" s="1" t="s">
        <v>1297</v>
      </c>
      <c r="C430" s="5" t="s">
        <v>1183</v>
      </c>
      <c r="D430" s="5" t="s">
        <v>1201</v>
      </c>
      <c r="E430" s="5" t="s">
        <v>35</v>
      </c>
      <c r="F430" s="5" t="s">
        <v>104</v>
      </c>
      <c r="G430" s="5" t="s">
        <v>104</v>
      </c>
      <c r="H430" s="5" t="s">
        <v>38</v>
      </c>
      <c r="I430" s="5" t="s">
        <v>71</v>
      </c>
      <c r="J430" s="5" t="s">
        <v>172</v>
      </c>
      <c r="K430" s="5">
        <v>6</v>
      </c>
      <c r="L430" s="5">
        <v>3500</v>
      </c>
      <c r="M430" s="5">
        <v>0.05</v>
      </c>
      <c r="N430" s="5">
        <v>19950</v>
      </c>
      <c r="O430" s="5">
        <v>14178.41</v>
      </c>
      <c r="P430" s="5">
        <v>5771.59</v>
      </c>
      <c r="Q430" s="5">
        <v>28.93</v>
      </c>
      <c r="R430" s="5" t="s">
        <v>41</v>
      </c>
      <c r="S430" s="5" t="s">
        <v>62</v>
      </c>
      <c r="T430" s="5" t="s">
        <v>97</v>
      </c>
      <c r="U430" s="5" t="s">
        <v>44</v>
      </c>
      <c r="V430" s="5">
        <v>2024</v>
      </c>
      <c r="W430" s="5" t="s">
        <v>65</v>
      </c>
      <c r="X430" s="5">
        <v>2</v>
      </c>
      <c r="Y430" s="1" t="s">
        <v>839</v>
      </c>
      <c r="Z430" s="5" t="s">
        <v>47</v>
      </c>
      <c r="AA430" s="5" t="s">
        <v>67</v>
      </c>
      <c r="AB430" s="5" t="s">
        <v>78</v>
      </c>
      <c r="AC430" s="5" t="s">
        <v>50</v>
      </c>
      <c r="AD430" s="5">
        <v>2</v>
      </c>
    </row>
    <row r="431" spans="1:30">
      <c r="A431" s="5" t="s">
        <v>1381</v>
      </c>
      <c r="B431" s="1" t="s">
        <v>1382</v>
      </c>
      <c r="C431" s="5" t="s">
        <v>1383</v>
      </c>
      <c r="D431" s="5" t="s">
        <v>920</v>
      </c>
      <c r="E431" s="5" t="s">
        <v>103</v>
      </c>
      <c r="F431" s="5" t="s">
        <v>149</v>
      </c>
      <c r="G431" s="5" t="s">
        <v>150</v>
      </c>
      <c r="H431" s="5" t="s">
        <v>38</v>
      </c>
      <c r="I431" s="5" t="s">
        <v>95</v>
      </c>
      <c r="J431" s="5" t="s">
        <v>344</v>
      </c>
      <c r="K431" s="5">
        <v>1</v>
      </c>
      <c r="L431" s="5">
        <v>4000</v>
      </c>
      <c r="M431" s="5">
        <v>0.1</v>
      </c>
      <c r="N431" s="5">
        <v>3600</v>
      </c>
      <c r="O431" s="5">
        <v>2912.87</v>
      </c>
      <c r="P431" s="5">
        <v>687.13</v>
      </c>
      <c r="Q431" s="5">
        <v>19.09</v>
      </c>
      <c r="R431" s="5" t="s">
        <v>73</v>
      </c>
      <c r="S431" s="5" t="s">
        <v>62</v>
      </c>
      <c r="T431" s="5" t="s">
        <v>159</v>
      </c>
      <c r="U431" s="5" t="s">
        <v>218</v>
      </c>
      <c r="V431" s="5">
        <v>2025</v>
      </c>
      <c r="W431" s="5" t="s">
        <v>139</v>
      </c>
      <c r="X431" s="5">
        <v>7</v>
      </c>
      <c r="Y431" s="1" t="s">
        <v>1384</v>
      </c>
      <c r="Z431" s="5" t="s">
        <v>89</v>
      </c>
      <c r="AA431" s="5" t="s">
        <v>48</v>
      </c>
      <c r="AB431" s="5" t="s">
        <v>78</v>
      </c>
      <c r="AC431" s="5" t="s">
        <v>50</v>
      </c>
      <c r="AD431" s="5">
        <v>3</v>
      </c>
    </row>
    <row r="432" spans="1:30">
      <c r="A432" s="5" t="s">
        <v>1385</v>
      </c>
      <c r="B432" s="1">
        <v>45722</v>
      </c>
      <c r="C432" s="5" t="s">
        <v>712</v>
      </c>
      <c r="D432" s="5" t="s">
        <v>1386</v>
      </c>
      <c r="E432" s="5" t="s">
        <v>35</v>
      </c>
      <c r="F432" s="5" t="s">
        <v>104</v>
      </c>
      <c r="G432" s="5" t="s">
        <v>104</v>
      </c>
      <c r="H432" s="5" t="s">
        <v>58</v>
      </c>
      <c r="I432" s="5" t="s">
        <v>59</v>
      </c>
      <c r="J432" s="5" t="s">
        <v>372</v>
      </c>
      <c r="K432" s="5">
        <v>3</v>
      </c>
      <c r="L432" s="5">
        <v>500</v>
      </c>
      <c r="M432" s="5">
        <v>0.05</v>
      </c>
      <c r="N432" s="5">
        <v>1425</v>
      </c>
      <c r="O432" s="5">
        <v>946.14</v>
      </c>
      <c r="P432" s="5">
        <v>478.86</v>
      </c>
      <c r="Q432" s="5">
        <v>33.6</v>
      </c>
      <c r="R432" s="5" t="s">
        <v>61</v>
      </c>
      <c r="S432" s="5" t="s">
        <v>74</v>
      </c>
      <c r="T432" s="5" t="s">
        <v>138</v>
      </c>
      <c r="U432" s="5" t="s">
        <v>160</v>
      </c>
      <c r="V432" s="5">
        <v>2025</v>
      </c>
      <c r="W432" s="5" t="s">
        <v>109</v>
      </c>
      <c r="X432" s="5">
        <v>9</v>
      </c>
      <c r="Y432" s="1">
        <v>45997</v>
      </c>
      <c r="Z432" s="5" t="s">
        <v>47</v>
      </c>
      <c r="AA432" s="5" t="s">
        <v>48</v>
      </c>
      <c r="AB432" s="5" t="s">
        <v>111</v>
      </c>
      <c r="AC432" s="5" t="s">
        <v>50</v>
      </c>
      <c r="AD432" s="5">
        <v>5</v>
      </c>
    </row>
    <row r="433" spans="1:30">
      <c r="A433" s="5" t="s">
        <v>1387</v>
      </c>
      <c r="B433" s="1">
        <v>45750</v>
      </c>
      <c r="C433" s="5" t="s">
        <v>1060</v>
      </c>
      <c r="D433" s="5" t="s">
        <v>1308</v>
      </c>
      <c r="E433" s="5" t="s">
        <v>35</v>
      </c>
      <c r="F433" s="5" t="s">
        <v>82</v>
      </c>
      <c r="G433" s="5" t="s">
        <v>83</v>
      </c>
      <c r="H433" s="5" t="s">
        <v>38</v>
      </c>
      <c r="I433" s="5" t="s">
        <v>59</v>
      </c>
      <c r="J433" s="5" t="s">
        <v>372</v>
      </c>
      <c r="K433" s="5">
        <v>6</v>
      </c>
      <c r="L433" s="5">
        <v>3000</v>
      </c>
      <c r="M433" s="5">
        <v>0.1</v>
      </c>
      <c r="N433" s="5">
        <v>16200</v>
      </c>
      <c r="O433" s="5">
        <v>9368.6</v>
      </c>
      <c r="P433" s="5">
        <v>6831.4</v>
      </c>
      <c r="Q433" s="5">
        <v>42.17</v>
      </c>
      <c r="R433" s="5" t="s">
        <v>73</v>
      </c>
      <c r="S433" s="5" t="s">
        <v>62</v>
      </c>
      <c r="T433" s="5" t="s">
        <v>63</v>
      </c>
      <c r="U433" s="5" t="s">
        <v>178</v>
      </c>
      <c r="V433" s="5">
        <v>2025</v>
      </c>
      <c r="W433" s="5" t="s">
        <v>109</v>
      </c>
      <c r="X433" s="5">
        <v>6</v>
      </c>
      <c r="Y433" s="1">
        <v>45933</v>
      </c>
      <c r="Z433" s="5" t="s">
        <v>47</v>
      </c>
      <c r="AA433" s="5" t="s">
        <v>90</v>
      </c>
      <c r="AB433" s="5" t="s">
        <v>49</v>
      </c>
      <c r="AC433" s="5" t="s">
        <v>50</v>
      </c>
      <c r="AD433" s="5">
        <v>3</v>
      </c>
    </row>
    <row r="434" spans="1:30">
      <c r="A434" s="5" t="s">
        <v>1388</v>
      </c>
      <c r="B434" s="1">
        <v>45597</v>
      </c>
      <c r="C434" s="5" t="s">
        <v>873</v>
      </c>
      <c r="D434" s="5" t="s">
        <v>1353</v>
      </c>
      <c r="E434" s="5" t="s">
        <v>55</v>
      </c>
      <c r="F434" s="5" t="s">
        <v>156</v>
      </c>
      <c r="G434" s="5" t="s">
        <v>157</v>
      </c>
      <c r="H434" s="5" t="s">
        <v>38</v>
      </c>
      <c r="I434" s="5" t="s">
        <v>95</v>
      </c>
      <c r="J434" s="5" t="s">
        <v>440</v>
      </c>
      <c r="K434" s="5">
        <v>3</v>
      </c>
      <c r="L434" s="5">
        <v>2500</v>
      </c>
      <c r="M434" s="5">
        <v>0.1</v>
      </c>
      <c r="N434" s="5">
        <v>6750</v>
      </c>
      <c r="O434" s="5">
        <v>3767.21</v>
      </c>
      <c r="P434" s="5">
        <v>2982.79</v>
      </c>
      <c r="Q434" s="5">
        <v>44.19</v>
      </c>
      <c r="R434" s="5" t="s">
        <v>41</v>
      </c>
      <c r="S434" s="5" t="s">
        <v>62</v>
      </c>
      <c r="T434" s="5" t="s">
        <v>43</v>
      </c>
      <c r="U434" s="5" t="s">
        <v>76</v>
      </c>
      <c r="V434" s="5">
        <v>2024</v>
      </c>
      <c r="W434" s="5" t="s">
        <v>139</v>
      </c>
      <c r="X434" s="5">
        <v>2</v>
      </c>
      <c r="Y434" s="1" t="s">
        <v>697</v>
      </c>
      <c r="Z434" s="5" t="s">
        <v>47</v>
      </c>
      <c r="AA434" s="5" t="s">
        <v>90</v>
      </c>
      <c r="AB434" s="5" t="s">
        <v>49</v>
      </c>
      <c r="AC434" s="5" t="s">
        <v>121</v>
      </c>
      <c r="AD434" s="5">
        <v>3</v>
      </c>
    </row>
    <row r="435" spans="1:30">
      <c r="A435" s="5" t="s">
        <v>1389</v>
      </c>
      <c r="B435" s="1">
        <v>45513</v>
      </c>
      <c r="C435" s="5" t="s">
        <v>1390</v>
      </c>
      <c r="D435" s="5" t="s">
        <v>913</v>
      </c>
      <c r="E435" s="5" t="s">
        <v>103</v>
      </c>
      <c r="F435" s="5" t="s">
        <v>245</v>
      </c>
      <c r="G435" s="5" t="s">
        <v>246</v>
      </c>
      <c r="H435" s="5" t="s">
        <v>38</v>
      </c>
      <c r="I435" s="5" t="s">
        <v>95</v>
      </c>
      <c r="J435" s="5" t="s">
        <v>184</v>
      </c>
      <c r="K435" s="5">
        <v>3</v>
      </c>
      <c r="L435" s="5">
        <v>6000</v>
      </c>
      <c r="M435" s="5">
        <v>0.2</v>
      </c>
      <c r="N435" s="5">
        <v>14400</v>
      </c>
      <c r="O435" s="5">
        <v>8003.56</v>
      </c>
      <c r="P435" s="5">
        <v>6396.44</v>
      </c>
      <c r="Q435" s="5">
        <v>44.42</v>
      </c>
      <c r="R435" s="5" t="s">
        <v>166</v>
      </c>
      <c r="S435" s="5" t="s">
        <v>42</v>
      </c>
      <c r="T435" s="5" t="s">
        <v>173</v>
      </c>
      <c r="U435" s="5" t="s">
        <v>108</v>
      </c>
      <c r="V435" s="5">
        <v>2024</v>
      </c>
      <c r="W435" s="5" t="s">
        <v>45</v>
      </c>
      <c r="X435" s="5">
        <v>3</v>
      </c>
      <c r="Y435" s="1">
        <v>45605</v>
      </c>
      <c r="Z435" s="5" t="s">
        <v>47</v>
      </c>
      <c r="AA435" s="5" t="s">
        <v>67</v>
      </c>
      <c r="AB435" s="5" t="s">
        <v>49</v>
      </c>
      <c r="AC435" s="5" t="s">
        <v>50</v>
      </c>
      <c r="AD435" s="5">
        <v>4</v>
      </c>
    </row>
    <row r="436" spans="1:30">
      <c r="A436" s="5" t="s">
        <v>1391</v>
      </c>
      <c r="B436" s="1" t="s">
        <v>756</v>
      </c>
      <c r="C436" s="5" t="s">
        <v>1392</v>
      </c>
      <c r="D436" s="5" t="s">
        <v>1057</v>
      </c>
      <c r="E436" s="5" t="s">
        <v>103</v>
      </c>
      <c r="F436" s="5" t="s">
        <v>149</v>
      </c>
      <c r="G436" s="5" t="s">
        <v>150</v>
      </c>
      <c r="H436" s="5" t="s">
        <v>94</v>
      </c>
      <c r="I436" s="5" t="s">
        <v>84</v>
      </c>
      <c r="J436" s="5" t="s">
        <v>229</v>
      </c>
      <c r="K436" s="5">
        <v>3</v>
      </c>
      <c r="L436" s="5">
        <v>800</v>
      </c>
      <c r="M436" s="5">
        <v>0.2</v>
      </c>
      <c r="N436" s="5">
        <v>1920</v>
      </c>
      <c r="O436" s="5">
        <v>1130.8699999999999</v>
      </c>
      <c r="P436" s="5">
        <v>789.13</v>
      </c>
      <c r="Q436" s="5">
        <v>41.1</v>
      </c>
      <c r="R436" s="5" t="s">
        <v>61</v>
      </c>
      <c r="S436" s="5" t="s">
        <v>62</v>
      </c>
      <c r="T436" s="5" t="s">
        <v>63</v>
      </c>
      <c r="U436" s="5" t="s">
        <v>178</v>
      </c>
      <c r="V436" s="5">
        <v>2025</v>
      </c>
      <c r="W436" s="5" t="s">
        <v>139</v>
      </c>
      <c r="X436" s="5">
        <v>2</v>
      </c>
      <c r="Y436" s="1" t="s">
        <v>1393</v>
      </c>
      <c r="Z436" s="5" t="s">
        <v>47</v>
      </c>
      <c r="AA436" s="5" t="s">
        <v>67</v>
      </c>
      <c r="AB436" s="5" t="s">
        <v>111</v>
      </c>
      <c r="AC436" s="5" t="s">
        <v>121</v>
      </c>
      <c r="AD436" s="5">
        <v>1</v>
      </c>
    </row>
    <row r="437" spans="1:30">
      <c r="A437" s="5" t="s">
        <v>1394</v>
      </c>
      <c r="B437" s="1">
        <v>45303</v>
      </c>
      <c r="C437" s="5" t="s">
        <v>1395</v>
      </c>
      <c r="D437" s="5" t="s">
        <v>1114</v>
      </c>
      <c r="E437" s="5" t="s">
        <v>103</v>
      </c>
      <c r="F437" s="5" t="s">
        <v>144</v>
      </c>
      <c r="G437" s="5" t="s">
        <v>145</v>
      </c>
      <c r="H437" s="5" t="s">
        <v>94</v>
      </c>
      <c r="I437" s="5" t="s">
        <v>59</v>
      </c>
      <c r="J437" s="5" t="s">
        <v>206</v>
      </c>
      <c r="K437" s="5">
        <v>9</v>
      </c>
      <c r="L437" s="5">
        <v>1200</v>
      </c>
      <c r="M437" s="5">
        <v>0.05</v>
      </c>
      <c r="N437" s="5">
        <v>10260</v>
      </c>
      <c r="O437" s="5">
        <v>7386.73</v>
      </c>
      <c r="P437" s="5">
        <v>2873.27</v>
      </c>
      <c r="Q437" s="5">
        <v>28</v>
      </c>
      <c r="R437" s="5" t="s">
        <v>73</v>
      </c>
      <c r="S437" s="5" t="s">
        <v>42</v>
      </c>
      <c r="T437" s="5" t="s">
        <v>173</v>
      </c>
      <c r="U437" s="5" t="s">
        <v>64</v>
      </c>
      <c r="V437" s="5">
        <v>2024</v>
      </c>
      <c r="W437" s="5" t="s">
        <v>45</v>
      </c>
      <c r="X437" s="5">
        <v>4</v>
      </c>
      <c r="Y437" s="1">
        <v>45424</v>
      </c>
      <c r="Z437" s="5" t="s">
        <v>47</v>
      </c>
      <c r="AA437" s="5" t="s">
        <v>67</v>
      </c>
      <c r="AB437" s="5" t="s">
        <v>111</v>
      </c>
      <c r="AC437" s="5" t="s">
        <v>121</v>
      </c>
      <c r="AD437" s="5">
        <v>2</v>
      </c>
    </row>
    <row r="438" spans="1:30">
      <c r="A438" s="5" t="s">
        <v>1396</v>
      </c>
      <c r="B438" s="1" t="s">
        <v>555</v>
      </c>
      <c r="C438" s="5" t="s">
        <v>430</v>
      </c>
      <c r="D438" s="5" t="s">
        <v>817</v>
      </c>
      <c r="E438" s="5" t="s">
        <v>55</v>
      </c>
      <c r="F438" s="5" t="s">
        <v>131</v>
      </c>
      <c r="G438" s="5" t="s">
        <v>132</v>
      </c>
      <c r="H438" s="5" t="s">
        <v>94</v>
      </c>
      <c r="I438" s="5" t="s">
        <v>71</v>
      </c>
      <c r="J438" s="5" t="s">
        <v>172</v>
      </c>
      <c r="K438" s="5">
        <v>6</v>
      </c>
      <c r="L438" s="5">
        <v>2500</v>
      </c>
      <c r="M438" s="5">
        <v>0.2</v>
      </c>
      <c r="N438" s="5">
        <v>12000</v>
      </c>
      <c r="O438" s="5">
        <v>8908.4599999999991</v>
      </c>
      <c r="P438" s="5">
        <v>3091.54</v>
      </c>
      <c r="Q438" s="5">
        <v>25.76</v>
      </c>
      <c r="R438" s="5" t="s">
        <v>61</v>
      </c>
      <c r="S438" s="5" t="s">
        <v>42</v>
      </c>
      <c r="T438" s="5" t="s">
        <v>75</v>
      </c>
      <c r="U438" s="5" t="s">
        <v>44</v>
      </c>
      <c r="V438" s="5">
        <v>2025</v>
      </c>
      <c r="W438" s="5" t="s">
        <v>45</v>
      </c>
      <c r="X438" s="5">
        <v>3</v>
      </c>
      <c r="Y438" s="1" t="s">
        <v>1397</v>
      </c>
      <c r="Z438" s="5" t="s">
        <v>47</v>
      </c>
      <c r="AA438" s="5" t="s">
        <v>48</v>
      </c>
      <c r="AB438" s="5" t="s">
        <v>111</v>
      </c>
      <c r="AC438" s="5" t="s">
        <v>121</v>
      </c>
      <c r="AD438" s="5">
        <v>2</v>
      </c>
    </row>
    <row r="439" spans="1:30">
      <c r="A439" s="5" t="s">
        <v>1398</v>
      </c>
      <c r="B439" s="1">
        <v>45546</v>
      </c>
      <c r="C439" s="5" t="s">
        <v>1399</v>
      </c>
      <c r="D439" s="5" t="s">
        <v>1400</v>
      </c>
      <c r="E439" s="5" t="s">
        <v>35</v>
      </c>
      <c r="F439" s="5" t="s">
        <v>149</v>
      </c>
      <c r="G439" s="5" t="s">
        <v>150</v>
      </c>
      <c r="H439" s="5" t="s">
        <v>38</v>
      </c>
      <c r="I439" s="5" t="s">
        <v>95</v>
      </c>
      <c r="J439" s="5" t="s">
        <v>440</v>
      </c>
      <c r="K439" s="5">
        <v>4</v>
      </c>
      <c r="L439" s="5">
        <v>9000</v>
      </c>
      <c r="M439" s="5">
        <v>0.05</v>
      </c>
      <c r="N439" s="5">
        <v>34200</v>
      </c>
      <c r="O439" s="5">
        <v>24086.03</v>
      </c>
      <c r="P439" s="5">
        <v>10113.969999999999</v>
      </c>
      <c r="Q439" s="5">
        <v>29.57</v>
      </c>
      <c r="R439" s="5" t="s">
        <v>106</v>
      </c>
      <c r="S439" s="5" t="s">
        <v>62</v>
      </c>
      <c r="T439" s="5" t="s">
        <v>138</v>
      </c>
      <c r="U439" s="5" t="s">
        <v>198</v>
      </c>
      <c r="V439" s="5">
        <v>2024</v>
      </c>
      <c r="W439" s="5" t="s">
        <v>65</v>
      </c>
      <c r="X439" s="5">
        <v>7</v>
      </c>
      <c r="Y439" s="1" t="s">
        <v>506</v>
      </c>
      <c r="Z439" s="5" t="s">
        <v>110</v>
      </c>
      <c r="AA439" s="5" t="s">
        <v>48</v>
      </c>
      <c r="AB439" s="5" t="s">
        <v>78</v>
      </c>
      <c r="AC439" s="5" t="s">
        <v>121</v>
      </c>
      <c r="AD439" s="5">
        <v>5</v>
      </c>
    </row>
    <row r="440" spans="1:30">
      <c r="A440" s="5" t="s">
        <v>1401</v>
      </c>
      <c r="B440" s="1">
        <v>45812</v>
      </c>
      <c r="C440" s="5" t="s">
        <v>749</v>
      </c>
      <c r="D440" s="5" t="s">
        <v>1402</v>
      </c>
      <c r="E440" s="5" t="s">
        <v>55</v>
      </c>
      <c r="F440" s="5" t="s">
        <v>104</v>
      </c>
      <c r="G440" s="5" t="s">
        <v>104</v>
      </c>
      <c r="H440" s="5" t="s">
        <v>58</v>
      </c>
      <c r="I440" s="5" t="s">
        <v>71</v>
      </c>
      <c r="J440" s="5" t="s">
        <v>172</v>
      </c>
      <c r="K440" s="5">
        <v>10</v>
      </c>
      <c r="L440" s="5">
        <v>1800</v>
      </c>
      <c r="M440" s="5">
        <v>0.15</v>
      </c>
      <c r="N440" s="5">
        <v>15300</v>
      </c>
      <c r="O440" s="5">
        <v>10104.379999999999</v>
      </c>
      <c r="P440" s="5">
        <v>5195.62</v>
      </c>
      <c r="Q440" s="5">
        <v>33.96</v>
      </c>
      <c r="R440" s="5" t="s">
        <v>73</v>
      </c>
      <c r="S440" s="5" t="s">
        <v>62</v>
      </c>
      <c r="T440" s="5" t="s">
        <v>86</v>
      </c>
      <c r="U440" s="5" t="s">
        <v>44</v>
      </c>
      <c r="V440" s="5">
        <v>2025</v>
      </c>
      <c r="W440" s="5" t="s">
        <v>45</v>
      </c>
      <c r="X440" s="5">
        <v>8</v>
      </c>
      <c r="Y440" s="1" t="s">
        <v>615</v>
      </c>
      <c r="Z440" s="5" t="s">
        <v>110</v>
      </c>
      <c r="AA440" s="5" t="s">
        <v>67</v>
      </c>
      <c r="AB440" s="5" t="s">
        <v>111</v>
      </c>
      <c r="AC440" s="5" t="s">
        <v>121</v>
      </c>
      <c r="AD440" s="5">
        <v>3</v>
      </c>
    </row>
    <row r="441" spans="1:30">
      <c r="A441" s="5" t="s">
        <v>1403</v>
      </c>
      <c r="B441" s="1">
        <v>45575</v>
      </c>
      <c r="C441" s="5" t="s">
        <v>272</v>
      </c>
      <c r="D441" s="5" t="s">
        <v>707</v>
      </c>
      <c r="E441" s="5" t="s">
        <v>35</v>
      </c>
      <c r="F441" s="5" t="s">
        <v>36</v>
      </c>
      <c r="G441" s="5" t="s">
        <v>37</v>
      </c>
      <c r="H441" s="5" t="s">
        <v>171</v>
      </c>
      <c r="I441" s="5" t="s">
        <v>84</v>
      </c>
      <c r="J441" s="5" t="s">
        <v>217</v>
      </c>
      <c r="K441" s="5">
        <v>9</v>
      </c>
      <c r="L441" s="5">
        <v>800</v>
      </c>
      <c r="M441" s="5">
        <v>0</v>
      </c>
      <c r="N441" s="5">
        <v>7200</v>
      </c>
      <c r="O441" s="5">
        <v>4190.53</v>
      </c>
      <c r="P441" s="5">
        <v>3009.47</v>
      </c>
      <c r="Q441" s="5">
        <v>41.8</v>
      </c>
      <c r="R441" s="5" t="s">
        <v>73</v>
      </c>
      <c r="S441" s="5" t="s">
        <v>42</v>
      </c>
      <c r="T441" s="5" t="s">
        <v>97</v>
      </c>
      <c r="U441" s="5" t="s">
        <v>87</v>
      </c>
      <c r="V441" s="5">
        <v>2024</v>
      </c>
      <c r="W441" s="5" t="s">
        <v>139</v>
      </c>
      <c r="X441" s="5">
        <v>4</v>
      </c>
      <c r="Y441" s="1" t="s">
        <v>298</v>
      </c>
      <c r="Z441" s="5" t="s">
        <v>47</v>
      </c>
      <c r="AA441" s="5" t="s">
        <v>67</v>
      </c>
      <c r="AB441" s="5" t="s">
        <v>78</v>
      </c>
      <c r="AC441" s="5" t="s">
        <v>50</v>
      </c>
      <c r="AD441" s="5">
        <v>2</v>
      </c>
    </row>
    <row r="442" spans="1:30">
      <c r="A442" s="5" t="s">
        <v>1404</v>
      </c>
      <c r="B442" s="1" t="s">
        <v>1197</v>
      </c>
      <c r="C442" s="5" t="s">
        <v>593</v>
      </c>
      <c r="D442" s="5" t="s">
        <v>1405</v>
      </c>
      <c r="E442" s="5" t="s">
        <v>103</v>
      </c>
      <c r="F442" s="5" t="s">
        <v>144</v>
      </c>
      <c r="G442" s="5" t="s">
        <v>145</v>
      </c>
      <c r="H442" s="5" t="s">
        <v>38</v>
      </c>
      <c r="I442" s="5" t="s">
        <v>95</v>
      </c>
      <c r="J442" s="5" t="s">
        <v>96</v>
      </c>
      <c r="K442" s="5">
        <v>5</v>
      </c>
      <c r="L442" s="5">
        <v>2500</v>
      </c>
      <c r="M442" s="5">
        <v>0.1</v>
      </c>
      <c r="N442" s="5">
        <v>11250</v>
      </c>
      <c r="O442" s="5">
        <v>9060.41</v>
      </c>
      <c r="P442" s="5">
        <v>2189.59</v>
      </c>
      <c r="Q442" s="5">
        <v>19.46</v>
      </c>
      <c r="R442" s="5" t="s">
        <v>166</v>
      </c>
      <c r="S442" s="5" t="s">
        <v>74</v>
      </c>
      <c r="T442" s="5" t="s">
        <v>86</v>
      </c>
      <c r="U442" s="5" t="s">
        <v>87</v>
      </c>
      <c r="V442" s="5">
        <v>2024</v>
      </c>
      <c r="W442" s="5" t="s">
        <v>109</v>
      </c>
      <c r="X442" s="5">
        <v>6</v>
      </c>
      <c r="Y442" s="1" t="s">
        <v>314</v>
      </c>
      <c r="Z442" s="5" t="s">
        <v>110</v>
      </c>
      <c r="AA442" s="5" t="s">
        <v>48</v>
      </c>
      <c r="AB442" s="5" t="s">
        <v>111</v>
      </c>
      <c r="AC442" s="5" t="s">
        <v>121</v>
      </c>
      <c r="AD442" s="5">
        <v>4</v>
      </c>
    </row>
    <row r="443" spans="1:30">
      <c r="A443" s="5" t="s">
        <v>1406</v>
      </c>
      <c r="B443" s="1" t="s">
        <v>52</v>
      </c>
      <c r="C443" s="5" t="s">
        <v>645</v>
      </c>
      <c r="D443" s="5" t="s">
        <v>1407</v>
      </c>
      <c r="E443" s="5" t="s">
        <v>55</v>
      </c>
      <c r="F443" s="5" t="s">
        <v>149</v>
      </c>
      <c r="G443" s="5" t="s">
        <v>150</v>
      </c>
      <c r="H443" s="5" t="s">
        <v>94</v>
      </c>
      <c r="I443" s="5" t="s">
        <v>59</v>
      </c>
      <c r="J443" s="5" t="s">
        <v>372</v>
      </c>
      <c r="K443" s="5">
        <v>9</v>
      </c>
      <c r="L443" s="5">
        <v>2000</v>
      </c>
      <c r="M443" s="5">
        <v>0.15</v>
      </c>
      <c r="N443" s="5">
        <v>15300</v>
      </c>
      <c r="O443" s="5">
        <v>11909.01</v>
      </c>
      <c r="P443" s="5">
        <v>3390.99</v>
      </c>
      <c r="Q443" s="5">
        <v>22.16</v>
      </c>
      <c r="R443" s="5" t="s">
        <v>41</v>
      </c>
      <c r="S443" s="5" t="s">
        <v>74</v>
      </c>
      <c r="T443" s="5" t="s">
        <v>97</v>
      </c>
      <c r="U443" s="5" t="s">
        <v>64</v>
      </c>
      <c r="V443" s="5">
        <v>2024</v>
      </c>
      <c r="W443" s="5" t="s">
        <v>65</v>
      </c>
      <c r="X443" s="5">
        <v>2</v>
      </c>
      <c r="Y443" s="1" t="s">
        <v>826</v>
      </c>
      <c r="Z443" s="5" t="s">
        <v>47</v>
      </c>
      <c r="AA443" s="5" t="s">
        <v>90</v>
      </c>
      <c r="AB443" s="5" t="s">
        <v>111</v>
      </c>
      <c r="AC443" s="5" t="s">
        <v>121</v>
      </c>
      <c r="AD443" s="5">
        <v>3</v>
      </c>
    </row>
    <row r="444" spans="1:30">
      <c r="A444" s="5" t="s">
        <v>1408</v>
      </c>
      <c r="B444" s="1">
        <v>45964</v>
      </c>
      <c r="C444" s="5" t="s">
        <v>334</v>
      </c>
      <c r="D444" s="5" t="s">
        <v>1094</v>
      </c>
      <c r="E444" s="5" t="s">
        <v>35</v>
      </c>
      <c r="F444" s="5" t="s">
        <v>104</v>
      </c>
      <c r="G444" s="5" t="s">
        <v>104</v>
      </c>
      <c r="H444" s="5" t="s">
        <v>38</v>
      </c>
      <c r="I444" s="5" t="s">
        <v>71</v>
      </c>
      <c r="J444" s="5" t="s">
        <v>240</v>
      </c>
      <c r="K444" s="5">
        <v>6</v>
      </c>
      <c r="L444" s="5">
        <v>1200</v>
      </c>
      <c r="M444" s="5">
        <v>0.15</v>
      </c>
      <c r="N444" s="5">
        <v>6120</v>
      </c>
      <c r="O444" s="5">
        <v>3861.12</v>
      </c>
      <c r="P444" s="5">
        <v>2258.88</v>
      </c>
      <c r="Q444" s="5">
        <v>36.909999999999997</v>
      </c>
      <c r="R444" s="5" t="s">
        <v>73</v>
      </c>
      <c r="S444" s="5" t="s">
        <v>62</v>
      </c>
      <c r="T444" s="5" t="s">
        <v>63</v>
      </c>
      <c r="U444" s="5" t="s">
        <v>178</v>
      </c>
      <c r="V444" s="5">
        <v>2025</v>
      </c>
      <c r="W444" s="5" t="s">
        <v>109</v>
      </c>
      <c r="X444" s="5">
        <v>7</v>
      </c>
      <c r="Y444" s="1" t="s">
        <v>1374</v>
      </c>
      <c r="Z444" s="5" t="s">
        <v>89</v>
      </c>
      <c r="AA444" s="5" t="s">
        <v>48</v>
      </c>
      <c r="AB444" s="5" t="s">
        <v>111</v>
      </c>
      <c r="AC444" s="5" t="s">
        <v>50</v>
      </c>
      <c r="AD444" s="5">
        <v>4</v>
      </c>
    </row>
    <row r="445" spans="1:30">
      <c r="A445" s="5" t="s">
        <v>1409</v>
      </c>
      <c r="B445" s="1">
        <v>45662</v>
      </c>
      <c r="C445" s="5" t="s">
        <v>1410</v>
      </c>
      <c r="D445" s="5" t="s">
        <v>1411</v>
      </c>
      <c r="E445" s="5" t="s">
        <v>35</v>
      </c>
      <c r="F445" s="5" t="s">
        <v>149</v>
      </c>
      <c r="G445" s="5" t="s">
        <v>150</v>
      </c>
      <c r="H445" s="5" t="s">
        <v>58</v>
      </c>
      <c r="I445" s="5" t="s">
        <v>71</v>
      </c>
      <c r="J445" s="5" t="s">
        <v>72</v>
      </c>
      <c r="K445" s="5">
        <v>9</v>
      </c>
      <c r="L445" s="5">
        <v>2500</v>
      </c>
      <c r="M445" s="5">
        <v>0.05</v>
      </c>
      <c r="N445" s="5">
        <v>21375</v>
      </c>
      <c r="O445" s="5">
        <v>15043.06</v>
      </c>
      <c r="P445" s="5">
        <v>6331.94</v>
      </c>
      <c r="Q445" s="5">
        <v>29.62</v>
      </c>
      <c r="R445" s="5" t="s">
        <v>41</v>
      </c>
      <c r="S445" s="5" t="s">
        <v>74</v>
      </c>
      <c r="T445" s="5" t="s">
        <v>43</v>
      </c>
      <c r="U445" s="5" t="s">
        <v>119</v>
      </c>
      <c r="V445" s="5">
        <v>2025</v>
      </c>
      <c r="W445" s="5" t="s">
        <v>139</v>
      </c>
      <c r="X445" s="5">
        <v>2</v>
      </c>
      <c r="Y445" s="1">
        <v>45721</v>
      </c>
      <c r="Z445" s="5" t="s">
        <v>47</v>
      </c>
      <c r="AA445" s="5" t="s">
        <v>48</v>
      </c>
      <c r="AB445" s="5" t="s">
        <v>111</v>
      </c>
      <c r="AC445" s="5" t="s">
        <v>50</v>
      </c>
      <c r="AD445" s="5">
        <v>1</v>
      </c>
    </row>
    <row r="446" spans="1:30">
      <c r="A446" s="5" t="s">
        <v>1412</v>
      </c>
      <c r="B446" s="1" t="s">
        <v>1340</v>
      </c>
      <c r="C446" s="5" t="s">
        <v>1413</v>
      </c>
      <c r="D446" s="5" t="s">
        <v>361</v>
      </c>
      <c r="E446" s="5" t="s">
        <v>35</v>
      </c>
      <c r="F446" s="5" t="s">
        <v>245</v>
      </c>
      <c r="G446" s="5" t="s">
        <v>246</v>
      </c>
      <c r="H446" s="5" t="s">
        <v>38</v>
      </c>
      <c r="I446" s="5" t="s">
        <v>95</v>
      </c>
      <c r="J446" s="5" t="s">
        <v>344</v>
      </c>
      <c r="K446" s="5">
        <v>7</v>
      </c>
      <c r="L446" s="5">
        <v>6000</v>
      </c>
      <c r="M446" s="5">
        <v>0.05</v>
      </c>
      <c r="N446" s="5">
        <v>39900</v>
      </c>
      <c r="O446" s="5">
        <v>22698.89</v>
      </c>
      <c r="P446" s="5">
        <v>17201.11</v>
      </c>
      <c r="Q446" s="5">
        <v>43.11</v>
      </c>
      <c r="R446" s="5" t="s">
        <v>61</v>
      </c>
      <c r="S446" s="5" t="s">
        <v>62</v>
      </c>
      <c r="T446" s="5" t="s">
        <v>75</v>
      </c>
      <c r="U446" s="5" t="s">
        <v>218</v>
      </c>
      <c r="V446" s="5">
        <v>2024</v>
      </c>
      <c r="W446" s="5" t="s">
        <v>126</v>
      </c>
      <c r="X446" s="5">
        <v>5</v>
      </c>
      <c r="Y446" s="1" t="s">
        <v>1088</v>
      </c>
      <c r="Z446" s="5" t="s">
        <v>89</v>
      </c>
      <c r="AA446" s="5" t="s">
        <v>90</v>
      </c>
      <c r="AB446" s="5" t="s">
        <v>49</v>
      </c>
      <c r="AC446" s="5" t="s">
        <v>121</v>
      </c>
      <c r="AD446" s="5">
        <v>5</v>
      </c>
    </row>
    <row r="447" spans="1:30">
      <c r="A447" s="5" t="s">
        <v>1414</v>
      </c>
      <c r="B447" s="1" t="s">
        <v>1415</v>
      </c>
      <c r="C447" s="5" t="s">
        <v>1321</v>
      </c>
      <c r="D447" s="5" t="s">
        <v>542</v>
      </c>
      <c r="E447" s="5" t="s">
        <v>103</v>
      </c>
      <c r="F447" s="5" t="s">
        <v>156</v>
      </c>
      <c r="G447" s="5" t="s">
        <v>157</v>
      </c>
      <c r="H447" s="5" t="s">
        <v>171</v>
      </c>
      <c r="I447" s="5" t="s">
        <v>71</v>
      </c>
      <c r="J447" s="5" t="s">
        <v>72</v>
      </c>
      <c r="K447" s="5">
        <v>7</v>
      </c>
      <c r="L447" s="5">
        <v>1200</v>
      </c>
      <c r="M447" s="5">
        <v>0.05</v>
      </c>
      <c r="N447" s="5">
        <v>7980</v>
      </c>
      <c r="O447" s="5">
        <v>6151.24</v>
      </c>
      <c r="P447" s="5">
        <v>1828.76</v>
      </c>
      <c r="Q447" s="5">
        <v>22.92</v>
      </c>
      <c r="R447" s="5" t="s">
        <v>41</v>
      </c>
      <c r="S447" s="5" t="s">
        <v>74</v>
      </c>
      <c r="T447" s="5" t="s">
        <v>107</v>
      </c>
      <c r="U447" s="5" t="s">
        <v>151</v>
      </c>
      <c r="V447" s="5">
        <v>2024</v>
      </c>
      <c r="W447" s="5" t="s">
        <v>126</v>
      </c>
      <c r="X447" s="5">
        <v>5</v>
      </c>
      <c r="Y447" s="1">
        <v>45359</v>
      </c>
      <c r="Z447" s="5" t="s">
        <v>110</v>
      </c>
      <c r="AA447" s="5" t="s">
        <v>48</v>
      </c>
      <c r="AB447" s="5" t="s">
        <v>111</v>
      </c>
      <c r="AC447" s="5" t="s">
        <v>50</v>
      </c>
      <c r="AD447" s="5">
        <v>3</v>
      </c>
    </row>
    <row r="448" spans="1:30">
      <c r="A448" s="5" t="s">
        <v>1416</v>
      </c>
      <c r="B448" s="1">
        <v>45970</v>
      </c>
      <c r="C448" s="5" t="s">
        <v>1174</v>
      </c>
      <c r="D448" s="5" t="s">
        <v>263</v>
      </c>
      <c r="E448" s="5" t="s">
        <v>55</v>
      </c>
      <c r="F448" s="5" t="s">
        <v>149</v>
      </c>
      <c r="G448" s="5" t="s">
        <v>150</v>
      </c>
      <c r="H448" s="5" t="s">
        <v>58</v>
      </c>
      <c r="I448" s="5" t="s">
        <v>39</v>
      </c>
      <c r="J448" s="5" t="s">
        <v>105</v>
      </c>
      <c r="K448" s="5">
        <v>8</v>
      </c>
      <c r="L448" s="5">
        <v>8000</v>
      </c>
      <c r="M448" s="5">
        <v>0.15</v>
      </c>
      <c r="N448" s="5">
        <v>54400</v>
      </c>
      <c r="O448" s="5">
        <v>34750.76</v>
      </c>
      <c r="P448" s="5">
        <v>19649.240000000002</v>
      </c>
      <c r="Q448" s="5">
        <v>36.119999999999997</v>
      </c>
      <c r="R448" s="5" t="s">
        <v>106</v>
      </c>
      <c r="S448" s="5" t="s">
        <v>62</v>
      </c>
      <c r="T448" s="5" t="s">
        <v>138</v>
      </c>
      <c r="U448" s="5" t="s">
        <v>108</v>
      </c>
      <c r="V448" s="5">
        <v>2025</v>
      </c>
      <c r="W448" s="5" t="s">
        <v>139</v>
      </c>
      <c r="X448" s="5">
        <v>4</v>
      </c>
      <c r="Y448" s="1" t="s">
        <v>793</v>
      </c>
      <c r="Z448" s="5" t="s">
        <v>89</v>
      </c>
      <c r="AA448" s="5" t="s">
        <v>67</v>
      </c>
      <c r="AB448" s="5" t="s">
        <v>111</v>
      </c>
      <c r="AC448" s="5" t="s">
        <v>50</v>
      </c>
      <c r="AD448" s="5">
        <v>4</v>
      </c>
    </row>
    <row r="449" spans="1:30">
      <c r="A449" s="5" t="s">
        <v>1417</v>
      </c>
      <c r="B449" s="1" t="s">
        <v>1374</v>
      </c>
      <c r="C449" s="5" t="s">
        <v>1281</v>
      </c>
      <c r="D449" s="5" t="s">
        <v>650</v>
      </c>
      <c r="E449" s="5" t="s">
        <v>55</v>
      </c>
      <c r="F449" s="5" t="s">
        <v>144</v>
      </c>
      <c r="G449" s="5" t="s">
        <v>145</v>
      </c>
      <c r="H449" s="5" t="s">
        <v>58</v>
      </c>
      <c r="I449" s="5" t="s">
        <v>95</v>
      </c>
      <c r="J449" s="5" t="s">
        <v>440</v>
      </c>
      <c r="K449" s="5">
        <v>4</v>
      </c>
      <c r="L449" s="5">
        <v>4000</v>
      </c>
      <c r="M449" s="5">
        <v>0.2</v>
      </c>
      <c r="N449" s="5">
        <v>12800</v>
      </c>
      <c r="O449" s="5">
        <v>10187.84</v>
      </c>
      <c r="P449" s="5">
        <v>2612.16</v>
      </c>
      <c r="Q449" s="5">
        <v>20.41</v>
      </c>
      <c r="R449" s="5" t="s">
        <v>73</v>
      </c>
      <c r="S449" s="5" t="s">
        <v>74</v>
      </c>
      <c r="T449" s="5" t="s">
        <v>159</v>
      </c>
      <c r="U449" s="5" t="s">
        <v>178</v>
      </c>
      <c r="V449" s="5">
        <v>2025</v>
      </c>
      <c r="W449" s="5" t="s">
        <v>109</v>
      </c>
      <c r="X449" s="5">
        <v>8</v>
      </c>
      <c r="Y449" s="1" t="s">
        <v>1418</v>
      </c>
      <c r="Z449" s="5" t="s">
        <v>110</v>
      </c>
      <c r="AA449" s="5" t="s">
        <v>48</v>
      </c>
      <c r="AB449" s="5" t="s">
        <v>111</v>
      </c>
      <c r="AC449" s="5" t="s">
        <v>50</v>
      </c>
      <c r="AD449" s="5">
        <v>1</v>
      </c>
    </row>
    <row r="450" spans="1:30">
      <c r="A450" s="5" t="s">
        <v>1419</v>
      </c>
      <c r="B450" s="1" t="s">
        <v>460</v>
      </c>
      <c r="C450" s="5" t="s">
        <v>257</v>
      </c>
      <c r="D450" s="5" t="s">
        <v>1420</v>
      </c>
      <c r="E450" s="5" t="s">
        <v>35</v>
      </c>
      <c r="F450" s="5" t="s">
        <v>149</v>
      </c>
      <c r="G450" s="5" t="s">
        <v>150</v>
      </c>
      <c r="H450" s="5" t="s">
        <v>171</v>
      </c>
      <c r="I450" s="5" t="s">
        <v>71</v>
      </c>
      <c r="J450" s="5" t="s">
        <v>158</v>
      </c>
      <c r="K450" s="5">
        <v>9</v>
      </c>
      <c r="L450" s="5">
        <v>700</v>
      </c>
      <c r="M450" s="5">
        <v>0.1</v>
      </c>
      <c r="N450" s="5">
        <v>5670</v>
      </c>
      <c r="O450" s="5">
        <v>4291.99</v>
      </c>
      <c r="P450" s="5">
        <v>1378.01</v>
      </c>
      <c r="Q450" s="5">
        <v>24.3</v>
      </c>
      <c r="R450" s="5" t="s">
        <v>73</v>
      </c>
      <c r="S450" s="5" t="s">
        <v>42</v>
      </c>
      <c r="T450" s="5" t="s">
        <v>43</v>
      </c>
      <c r="U450" s="5" t="s">
        <v>178</v>
      </c>
      <c r="V450" s="5">
        <v>2024</v>
      </c>
      <c r="W450" s="5" t="s">
        <v>109</v>
      </c>
      <c r="X450" s="5">
        <v>2</v>
      </c>
      <c r="Y450" s="1" t="s">
        <v>190</v>
      </c>
      <c r="Z450" s="5" t="s">
        <v>89</v>
      </c>
      <c r="AA450" s="5" t="s">
        <v>67</v>
      </c>
      <c r="AB450" s="5" t="s">
        <v>49</v>
      </c>
      <c r="AC450" s="5" t="s">
        <v>121</v>
      </c>
      <c r="AD450" s="5">
        <v>4</v>
      </c>
    </row>
    <row r="451" spans="1:30">
      <c r="A451" s="5" t="s">
        <v>1421</v>
      </c>
      <c r="B451" s="1">
        <v>45597</v>
      </c>
      <c r="C451" s="5" t="s">
        <v>562</v>
      </c>
      <c r="D451" s="5" t="s">
        <v>582</v>
      </c>
      <c r="E451" s="5" t="s">
        <v>103</v>
      </c>
      <c r="F451" s="5" t="s">
        <v>156</v>
      </c>
      <c r="G451" s="5" t="s">
        <v>157</v>
      </c>
      <c r="H451" s="5" t="s">
        <v>94</v>
      </c>
      <c r="I451" s="5" t="s">
        <v>84</v>
      </c>
      <c r="J451" s="5" t="s">
        <v>290</v>
      </c>
      <c r="K451" s="5">
        <v>4</v>
      </c>
      <c r="L451" s="5">
        <v>500</v>
      </c>
      <c r="M451" s="5">
        <v>0</v>
      </c>
      <c r="N451" s="5">
        <v>2000</v>
      </c>
      <c r="O451" s="5">
        <v>1482.91</v>
      </c>
      <c r="P451" s="5">
        <v>517.09</v>
      </c>
      <c r="Q451" s="5">
        <v>25.85</v>
      </c>
      <c r="R451" s="5" t="s">
        <v>166</v>
      </c>
      <c r="S451" s="5" t="s">
        <v>62</v>
      </c>
      <c r="T451" s="5" t="s">
        <v>173</v>
      </c>
      <c r="U451" s="5" t="s">
        <v>76</v>
      </c>
      <c r="V451" s="5">
        <v>2024</v>
      </c>
      <c r="W451" s="5" t="s">
        <v>139</v>
      </c>
      <c r="X451" s="5">
        <v>5</v>
      </c>
      <c r="Y451" s="1" t="s">
        <v>367</v>
      </c>
      <c r="Z451" s="5" t="s">
        <v>47</v>
      </c>
      <c r="AA451" s="5" t="s">
        <v>90</v>
      </c>
      <c r="AB451" s="5" t="s">
        <v>111</v>
      </c>
      <c r="AC451" s="5" t="s">
        <v>121</v>
      </c>
      <c r="AD451" s="5">
        <v>4</v>
      </c>
    </row>
    <row r="452" spans="1:30">
      <c r="A452" s="5" t="s">
        <v>1422</v>
      </c>
      <c r="B452" s="1" t="s">
        <v>1423</v>
      </c>
      <c r="C452" s="5" t="s">
        <v>812</v>
      </c>
      <c r="D452" s="5" t="s">
        <v>1424</v>
      </c>
      <c r="E452" s="5" t="s">
        <v>35</v>
      </c>
      <c r="F452" s="5" t="s">
        <v>245</v>
      </c>
      <c r="G452" s="5" t="s">
        <v>246</v>
      </c>
      <c r="H452" s="5" t="s">
        <v>58</v>
      </c>
      <c r="I452" s="5" t="s">
        <v>71</v>
      </c>
      <c r="J452" s="5" t="s">
        <v>240</v>
      </c>
      <c r="K452" s="5">
        <v>3</v>
      </c>
      <c r="L452" s="5">
        <v>1200</v>
      </c>
      <c r="M452" s="5">
        <v>0</v>
      </c>
      <c r="N452" s="5">
        <v>3600</v>
      </c>
      <c r="O452" s="5">
        <v>2265.91</v>
      </c>
      <c r="P452" s="5">
        <v>1334.09</v>
      </c>
      <c r="Q452" s="5">
        <v>37.06</v>
      </c>
      <c r="R452" s="5" t="s">
        <v>61</v>
      </c>
      <c r="S452" s="5" t="s">
        <v>74</v>
      </c>
      <c r="T452" s="5" t="s">
        <v>138</v>
      </c>
      <c r="U452" s="5" t="s">
        <v>108</v>
      </c>
      <c r="V452" s="5">
        <v>2025</v>
      </c>
      <c r="W452" s="5" t="s">
        <v>65</v>
      </c>
      <c r="X452" s="5">
        <v>2</v>
      </c>
      <c r="Y452" s="1" t="s">
        <v>793</v>
      </c>
      <c r="Z452" s="5" t="s">
        <v>47</v>
      </c>
      <c r="AA452" s="5" t="s">
        <v>67</v>
      </c>
      <c r="AB452" s="5" t="s">
        <v>49</v>
      </c>
      <c r="AC452" s="5" t="s">
        <v>121</v>
      </c>
      <c r="AD452" s="5">
        <v>1</v>
      </c>
    </row>
    <row r="453" spans="1:30">
      <c r="A453" s="5" t="s">
        <v>1425</v>
      </c>
      <c r="B453" s="1">
        <v>45718</v>
      </c>
      <c r="C453" s="5" t="s">
        <v>1426</v>
      </c>
      <c r="D453" s="5" t="s">
        <v>935</v>
      </c>
      <c r="E453" s="5" t="s">
        <v>55</v>
      </c>
      <c r="F453" s="5" t="s">
        <v>131</v>
      </c>
      <c r="G453" s="5" t="s">
        <v>132</v>
      </c>
      <c r="H453" s="5" t="s">
        <v>38</v>
      </c>
      <c r="I453" s="5" t="s">
        <v>95</v>
      </c>
      <c r="J453" s="5" t="s">
        <v>440</v>
      </c>
      <c r="K453" s="5">
        <v>1</v>
      </c>
      <c r="L453" s="5">
        <v>15000</v>
      </c>
      <c r="M453" s="5">
        <v>0</v>
      </c>
      <c r="N453" s="5">
        <v>15000</v>
      </c>
      <c r="O453" s="5">
        <v>8462.2800000000007</v>
      </c>
      <c r="P453" s="5">
        <v>6537.72</v>
      </c>
      <c r="Q453" s="5">
        <v>43.58</v>
      </c>
      <c r="R453" s="5" t="s">
        <v>73</v>
      </c>
      <c r="S453" s="5" t="s">
        <v>62</v>
      </c>
      <c r="T453" s="5" t="s">
        <v>86</v>
      </c>
      <c r="U453" s="5" t="s">
        <v>98</v>
      </c>
      <c r="V453" s="5">
        <v>2025</v>
      </c>
      <c r="W453" s="5" t="s">
        <v>126</v>
      </c>
      <c r="X453" s="5">
        <v>5</v>
      </c>
      <c r="Y453" s="1">
        <v>45871</v>
      </c>
      <c r="Z453" s="5" t="s">
        <v>110</v>
      </c>
      <c r="AA453" s="5" t="s">
        <v>90</v>
      </c>
      <c r="AB453" s="5" t="s">
        <v>49</v>
      </c>
      <c r="AC453" s="5" t="s">
        <v>121</v>
      </c>
      <c r="AD453" s="5">
        <v>4</v>
      </c>
    </row>
    <row r="454" spans="1:30">
      <c r="A454" s="5" t="s">
        <v>1427</v>
      </c>
      <c r="B454" s="1" t="s">
        <v>658</v>
      </c>
      <c r="C454" s="5" t="s">
        <v>1428</v>
      </c>
      <c r="D454" s="5" t="s">
        <v>917</v>
      </c>
      <c r="E454" s="5" t="s">
        <v>35</v>
      </c>
      <c r="F454" s="5" t="s">
        <v>104</v>
      </c>
      <c r="G454" s="5" t="s">
        <v>104</v>
      </c>
      <c r="H454" s="5" t="s">
        <v>171</v>
      </c>
      <c r="I454" s="5" t="s">
        <v>39</v>
      </c>
      <c r="J454" s="5" t="s">
        <v>40</v>
      </c>
      <c r="K454" s="5">
        <v>4</v>
      </c>
      <c r="L454" s="5">
        <v>50000</v>
      </c>
      <c r="M454" s="5">
        <v>0</v>
      </c>
      <c r="N454" s="5">
        <v>200000</v>
      </c>
      <c r="O454" s="5">
        <v>149096.62</v>
      </c>
      <c r="P454" s="5">
        <v>50903.38</v>
      </c>
      <c r="Q454" s="5">
        <v>25.45</v>
      </c>
      <c r="R454" s="5" t="s">
        <v>61</v>
      </c>
      <c r="S454" s="5" t="s">
        <v>42</v>
      </c>
      <c r="T454" s="5" t="s">
        <v>86</v>
      </c>
      <c r="U454" s="5" t="s">
        <v>218</v>
      </c>
      <c r="V454" s="5">
        <v>2024</v>
      </c>
      <c r="W454" s="5" t="s">
        <v>109</v>
      </c>
      <c r="X454" s="5">
        <v>2</v>
      </c>
      <c r="Y454" s="1" t="s">
        <v>728</v>
      </c>
      <c r="Z454" s="5" t="s">
        <v>47</v>
      </c>
      <c r="AA454" s="5" t="s">
        <v>48</v>
      </c>
      <c r="AB454" s="5" t="s">
        <v>49</v>
      </c>
      <c r="AC454" s="5" t="s">
        <v>50</v>
      </c>
      <c r="AD454" s="5">
        <v>4</v>
      </c>
    </row>
    <row r="455" spans="1:30">
      <c r="A455" s="5" t="s">
        <v>1429</v>
      </c>
      <c r="B455" s="1" t="s">
        <v>1430</v>
      </c>
      <c r="C455" s="5" t="s">
        <v>691</v>
      </c>
      <c r="D455" s="5" t="s">
        <v>1431</v>
      </c>
      <c r="E455" s="5" t="s">
        <v>55</v>
      </c>
      <c r="F455" s="5" t="s">
        <v>36</v>
      </c>
      <c r="G455" s="5" t="s">
        <v>37</v>
      </c>
      <c r="H455" s="5" t="s">
        <v>38</v>
      </c>
      <c r="I455" s="5" t="s">
        <v>95</v>
      </c>
      <c r="J455" s="5" t="s">
        <v>319</v>
      </c>
      <c r="K455" s="5">
        <v>2</v>
      </c>
      <c r="L455" s="5">
        <v>6000</v>
      </c>
      <c r="M455" s="5">
        <v>0.1</v>
      </c>
      <c r="N455" s="5">
        <v>10800</v>
      </c>
      <c r="O455" s="5">
        <v>7847.04</v>
      </c>
      <c r="P455" s="5">
        <v>2952.96</v>
      </c>
      <c r="Q455" s="5">
        <v>27.34</v>
      </c>
      <c r="R455" s="5" t="s">
        <v>106</v>
      </c>
      <c r="S455" s="5" t="s">
        <v>42</v>
      </c>
      <c r="T455" s="5" t="s">
        <v>159</v>
      </c>
      <c r="U455" s="5" t="s">
        <v>160</v>
      </c>
      <c r="V455" s="5">
        <v>2024</v>
      </c>
      <c r="W455" s="5" t="s">
        <v>134</v>
      </c>
      <c r="X455" s="5">
        <v>1</v>
      </c>
      <c r="Y455" s="1" t="s">
        <v>624</v>
      </c>
      <c r="Z455" s="5" t="s">
        <v>110</v>
      </c>
      <c r="AA455" s="5" t="s">
        <v>48</v>
      </c>
      <c r="AB455" s="5" t="s">
        <v>111</v>
      </c>
      <c r="AC455" s="5" t="s">
        <v>50</v>
      </c>
      <c r="AD455" s="5">
        <v>1</v>
      </c>
    </row>
    <row r="456" spans="1:30">
      <c r="A456" s="5" t="s">
        <v>1432</v>
      </c>
      <c r="B456" s="1" t="s">
        <v>32</v>
      </c>
      <c r="C456" s="5" t="s">
        <v>378</v>
      </c>
      <c r="D456" s="5" t="s">
        <v>1362</v>
      </c>
      <c r="E456" s="5" t="s">
        <v>103</v>
      </c>
      <c r="F456" s="5" t="s">
        <v>36</v>
      </c>
      <c r="G456" s="5" t="s">
        <v>37</v>
      </c>
      <c r="H456" s="5" t="s">
        <v>94</v>
      </c>
      <c r="I456" s="5" t="s">
        <v>95</v>
      </c>
      <c r="J456" s="5" t="s">
        <v>440</v>
      </c>
      <c r="K456" s="5">
        <v>5</v>
      </c>
      <c r="L456" s="5">
        <v>15000</v>
      </c>
      <c r="M456" s="5">
        <v>0.15</v>
      </c>
      <c r="N456" s="5">
        <v>63750</v>
      </c>
      <c r="O456" s="5">
        <v>38013.74</v>
      </c>
      <c r="P456" s="5">
        <v>25736.26</v>
      </c>
      <c r="Q456" s="5">
        <v>40.369999999999997</v>
      </c>
      <c r="R456" s="5" t="s">
        <v>73</v>
      </c>
      <c r="S456" s="5" t="s">
        <v>62</v>
      </c>
      <c r="T456" s="5" t="s">
        <v>118</v>
      </c>
      <c r="U456" s="5" t="s">
        <v>44</v>
      </c>
      <c r="V456" s="5">
        <v>2024</v>
      </c>
      <c r="W456" s="5" t="s">
        <v>45</v>
      </c>
      <c r="X456" s="5">
        <v>9</v>
      </c>
      <c r="Y456" s="1" t="s">
        <v>46</v>
      </c>
      <c r="Z456" s="5" t="s">
        <v>89</v>
      </c>
      <c r="AA456" s="5" t="s">
        <v>48</v>
      </c>
      <c r="AB456" s="5" t="s">
        <v>111</v>
      </c>
      <c r="AC456" s="5" t="s">
        <v>50</v>
      </c>
      <c r="AD456" s="5">
        <v>4</v>
      </c>
    </row>
    <row r="457" spans="1:30">
      <c r="A457" s="5" t="s">
        <v>1433</v>
      </c>
      <c r="B457" s="1" t="s">
        <v>431</v>
      </c>
      <c r="C457" s="5" t="s">
        <v>691</v>
      </c>
      <c r="D457" s="5" t="s">
        <v>1434</v>
      </c>
      <c r="E457" s="5" t="s">
        <v>103</v>
      </c>
      <c r="F457" s="5" t="s">
        <v>36</v>
      </c>
      <c r="G457" s="5" t="s">
        <v>37</v>
      </c>
      <c r="H457" s="5" t="s">
        <v>58</v>
      </c>
      <c r="I457" s="5" t="s">
        <v>84</v>
      </c>
      <c r="J457" s="5" t="s">
        <v>390</v>
      </c>
      <c r="K457" s="5">
        <v>10</v>
      </c>
      <c r="L457" s="5">
        <v>800</v>
      </c>
      <c r="M457" s="5">
        <v>0.15</v>
      </c>
      <c r="N457" s="5">
        <v>6800</v>
      </c>
      <c r="O457" s="5">
        <v>4664.28</v>
      </c>
      <c r="P457" s="5">
        <v>2135.7199999999998</v>
      </c>
      <c r="Q457" s="5">
        <v>31.41</v>
      </c>
      <c r="R457" s="5" t="s">
        <v>61</v>
      </c>
      <c r="S457" s="5" t="s">
        <v>74</v>
      </c>
      <c r="T457" s="5" t="s">
        <v>75</v>
      </c>
      <c r="U457" s="5" t="s">
        <v>76</v>
      </c>
      <c r="V457" s="5">
        <v>2025</v>
      </c>
      <c r="W457" s="5" t="s">
        <v>45</v>
      </c>
      <c r="X457" s="5">
        <v>9</v>
      </c>
      <c r="Y457" s="1">
        <v>45749</v>
      </c>
      <c r="Z457" s="5" t="s">
        <v>47</v>
      </c>
      <c r="AA457" s="5" t="s">
        <v>90</v>
      </c>
      <c r="AB457" s="5" t="s">
        <v>111</v>
      </c>
      <c r="AC457" s="5" t="s">
        <v>121</v>
      </c>
      <c r="AD457" s="5">
        <v>1</v>
      </c>
    </row>
    <row r="458" spans="1:30">
      <c r="A458" s="5" t="s">
        <v>1435</v>
      </c>
      <c r="B458" s="1" t="s">
        <v>1075</v>
      </c>
      <c r="C458" s="5" t="s">
        <v>397</v>
      </c>
      <c r="D458" s="5" t="s">
        <v>1342</v>
      </c>
      <c r="E458" s="5" t="s">
        <v>55</v>
      </c>
      <c r="F458" s="5" t="s">
        <v>245</v>
      </c>
      <c r="G458" s="5" t="s">
        <v>246</v>
      </c>
      <c r="H458" s="5" t="s">
        <v>38</v>
      </c>
      <c r="I458" s="5" t="s">
        <v>84</v>
      </c>
      <c r="J458" s="5" t="s">
        <v>290</v>
      </c>
      <c r="K458" s="5">
        <v>5</v>
      </c>
      <c r="L458" s="5">
        <v>200</v>
      </c>
      <c r="M458" s="5">
        <v>0.05</v>
      </c>
      <c r="N458" s="5">
        <v>950</v>
      </c>
      <c r="O458" s="5">
        <v>583.55999999999995</v>
      </c>
      <c r="P458" s="5">
        <v>366.44</v>
      </c>
      <c r="Q458" s="5">
        <v>38.57</v>
      </c>
      <c r="R458" s="5" t="s">
        <v>61</v>
      </c>
      <c r="S458" s="5" t="s">
        <v>62</v>
      </c>
      <c r="T458" s="5" t="s">
        <v>43</v>
      </c>
      <c r="U458" s="5" t="s">
        <v>76</v>
      </c>
      <c r="V458" s="5">
        <v>2025</v>
      </c>
      <c r="W458" s="5" t="s">
        <v>45</v>
      </c>
      <c r="X458" s="5">
        <v>4</v>
      </c>
      <c r="Y458" s="1" t="s">
        <v>928</v>
      </c>
      <c r="Z458" s="5" t="s">
        <v>47</v>
      </c>
      <c r="AA458" s="5" t="s">
        <v>48</v>
      </c>
      <c r="AB458" s="5" t="s">
        <v>78</v>
      </c>
      <c r="AC458" s="5" t="s">
        <v>50</v>
      </c>
      <c r="AD458" s="5">
        <v>1</v>
      </c>
    </row>
    <row r="459" spans="1:30">
      <c r="A459" s="5" t="s">
        <v>1436</v>
      </c>
      <c r="B459" s="1" t="s">
        <v>958</v>
      </c>
      <c r="C459" s="5" t="s">
        <v>317</v>
      </c>
      <c r="D459" s="5" t="s">
        <v>1328</v>
      </c>
      <c r="E459" s="5" t="s">
        <v>35</v>
      </c>
      <c r="F459" s="5" t="s">
        <v>149</v>
      </c>
      <c r="G459" s="5" t="s">
        <v>150</v>
      </c>
      <c r="H459" s="5" t="s">
        <v>94</v>
      </c>
      <c r="I459" s="5" t="s">
        <v>84</v>
      </c>
      <c r="J459" s="5" t="s">
        <v>229</v>
      </c>
      <c r="K459" s="5">
        <v>4</v>
      </c>
      <c r="L459" s="5">
        <v>200</v>
      </c>
      <c r="M459" s="5">
        <v>0.2</v>
      </c>
      <c r="N459" s="5">
        <v>640</v>
      </c>
      <c r="O459" s="5">
        <v>457.07</v>
      </c>
      <c r="P459" s="5">
        <v>182.93</v>
      </c>
      <c r="Q459" s="5">
        <v>28.58</v>
      </c>
      <c r="R459" s="5" t="s">
        <v>106</v>
      </c>
      <c r="S459" s="5" t="s">
        <v>74</v>
      </c>
      <c r="T459" s="5" t="s">
        <v>138</v>
      </c>
      <c r="U459" s="5" t="s">
        <v>98</v>
      </c>
      <c r="V459" s="5">
        <v>2024</v>
      </c>
      <c r="W459" s="5" t="s">
        <v>45</v>
      </c>
      <c r="X459" s="5">
        <v>4</v>
      </c>
      <c r="Y459" s="1" t="s">
        <v>427</v>
      </c>
      <c r="Z459" s="5" t="s">
        <v>47</v>
      </c>
      <c r="AA459" s="5" t="s">
        <v>90</v>
      </c>
      <c r="AB459" s="5" t="s">
        <v>49</v>
      </c>
      <c r="AC459" s="5" t="s">
        <v>121</v>
      </c>
      <c r="AD459" s="5">
        <v>2</v>
      </c>
    </row>
    <row r="460" spans="1:30">
      <c r="A460" s="5" t="s">
        <v>1437</v>
      </c>
      <c r="B460" s="1" t="s">
        <v>999</v>
      </c>
      <c r="C460" s="5" t="s">
        <v>101</v>
      </c>
      <c r="D460" s="5" t="s">
        <v>660</v>
      </c>
      <c r="E460" s="5" t="s">
        <v>103</v>
      </c>
      <c r="F460" s="5" t="s">
        <v>149</v>
      </c>
      <c r="G460" s="5" t="s">
        <v>150</v>
      </c>
      <c r="H460" s="5" t="s">
        <v>38</v>
      </c>
      <c r="I460" s="5" t="s">
        <v>95</v>
      </c>
      <c r="J460" s="5" t="s">
        <v>344</v>
      </c>
      <c r="K460" s="5">
        <v>3</v>
      </c>
      <c r="L460" s="5">
        <v>15000</v>
      </c>
      <c r="M460" s="5">
        <v>0.2</v>
      </c>
      <c r="N460" s="5">
        <v>36000</v>
      </c>
      <c r="O460" s="5">
        <v>20559.759999999998</v>
      </c>
      <c r="P460" s="5">
        <v>15440.24</v>
      </c>
      <c r="Q460" s="5">
        <v>42.89</v>
      </c>
      <c r="R460" s="5" t="s">
        <v>73</v>
      </c>
      <c r="S460" s="5" t="s">
        <v>62</v>
      </c>
      <c r="T460" s="5" t="s">
        <v>118</v>
      </c>
      <c r="U460" s="5" t="s">
        <v>151</v>
      </c>
      <c r="V460" s="5">
        <v>2024</v>
      </c>
      <c r="W460" s="5" t="s">
        <v>45</v>
      </c>
      <c r="X460" s="5">
        <v>4</v>
      </c>
      <c r="Y460" s="1">
        <v>45299</v>
      </c>
      <c r="Z460" s="5" t="s">
        <v>89</v>
      </c>
      <c r="AA460" s="5" t="s">
        <v>48</v>
      </c>
      <c r="AB460" s="5" t="s">
        <v>49</v>
      </c>
      <c r="AC460" s="5" t="s">
        <v>50</v>
      </c>
      <c r="AD460" s="5">
        <v>3</v>
      </c>
    </row>
    <row r="461" spans="1:30">
      <c r="A461" s="5" t="s">
        <v>1438</v>
      </c>
      <c r="B461" s="1">
        <v>45717</v>
      </c>
      <c r="C461" s="5" t="s">
        <v>1254</v>
      </c>
      <c r="D461" s="5" t="s">
        <v>917</v>
      </c>
      <c r="E461" s="5" t="s">
        <v>103</v>
      </c>
      <c r="F461" s="5" t="s">
        <v>144</v>
      </c>
      <c r="G461" s="5" t="s">
        <v>145</v>
      </c>
      <c r="H461" s="5" t="s">
        <v>94</v>
      </c>
      <c r="I461" s="5" t="s">
        <v>71</v>
      </c>
      <c r="J461" s="5" t="s">
        <v>117</v>
      </c>
      <c r="K461" s="5">
        <v>5</v>
      </c>
      <c r="L461" s="5">
        <v>2500</v>
      </c>
      <c r="M461" s="5">
        <v>0</v>
      </c>
      <c r="N461" s="5">
        <v>12500</v>
      </c>
      <c r="O461" s="5">
        <v>7441.21</v>
      </c>
      <c r="P461" s="5">
        <v>5058.79</v>
      </c>
      <c r="Q461" s="5">
        <v>40.47</v>
      </c>
      <c r="R461" s="5" t="s">
        <v>73</v>
      </c>
      <c r="S461" s="5" t="s">
        <v>62</v>
      </c>
      <c r="T461" s="5" t="s">
        <v>43</v>
      </c>
      <c r="U461" s="5" t="s">
        <v>76</v>
      </c>
      <c r="V461" s="5">
        <v>2025</v>
      </c>
      <c r="W461" s="5" t="s">
        <v>194</v>
      </c>
      <c r="X461" s="5">
        <v>7</v>
      </c>
      <c r="Y461" s="1">
        <v>45931</v>
      </c>
      <c r="Z461" s="5" t="s">
        <v>110</v>
      </c>
      <c r="AA461" s="5" t="s">
        <v>67</v>
      </c>
      <c r="AB461" s="5" t="s">
        <v>78</v>
      </c>
      <c r="AC461" s="5" t="s">
        <v>121</v>
      </c>
      <c r="AD461" s="5">
        <v>3</v>
      </c>
    </row>
    <row r="462" spans="1:30">
      <c r="A462" s="5" t="s">
        <v>1439</v>
      </c>
      <c r="B462" s="1" t="s">
        <v>588</v>
      </c>
      <c r="C462" s="5" t="s">
        <v>614</v>
      </c>
      <c r="D462" s="5" t="s">
        <v>1020</v>
      </c>
      <c r="E462" s="5" t="s">
        <v>55</v>
      </c>
      <c r="F462" s="5" t="s">
        <v>144</v>
      </c>
      <c r="G462" s="5" t="s">
        <v>145</v>
      </c>
      <c r="H462" s="5" t="s">
        <v>58</v>
      </c>
      <c r="I462" s="5" t="s">
        <v>59</v>
      </c>
      <c r="J462" s="5" t="s">
        <v>206</v>
      </c>
      <c r="K462" s="5">
        <v>9</v>
      </c>
      <c r="L462" s="5">
        <v>800</v>
      </c>
      <c r="M462" s="5">
        <v>0.1</v>
      </c>
      <c r="N462" s="5">
        <v>6480</v>
      </c>
      <c r="O462" s="5">
        <v>4357.62</v>
      </c>
      <c r="P462" s="5">
        <v>2122.38</v>
      </c>
      <c r="Q462" s="5">
        <v>32.75</v>
      </c>
      <c r="R462" s="5" t="s">
        <v>61</v>
      </c>
      <c r="S462" s="5" t="s">
        <v>74</v>
      </c>
      <c r="T462" s="5" t="s">
        <v>138</v>
      </c>
      <c r="U462" s="5" t="s">
        <v>76</v>
      </c>
      <c r="V462" s="5">
        <v>2025</v>
      </c>
      <c r="W462" s="5" t="s">
        <v>194</v>
      </c>
      <c r="X462" s="5">
        <v>8</v>
      </c>
      <c r="Y462" s="1">
        <v>45659</v>
      </c>
      <c r="Z462" s="5" t="s">
        <v>47</v>
      </c>
      <c r="AA462" s="5" t="s">
        <v>90</v>
      </c>
      <c r="AB462" s="5" t="s">
        <v>49</v>
      </c>
      <c r="AC462" s="5" t="s">
        <v>121</v>
      </c>
      <c r="AD462" s="5">
        <v>1</v>
      </c>
    </row>
    <row r="463" spans="1:30">
      <c r="A463" s="5" t="s">
        <v>1440</v>
      </c>
      <c r="B463" s="1">
        <v>45871</v>
      </c>
      <c r="C463" s="5" t="s">
        <v>1441</v>
      </c>
      <c r="D463" s="5" t="s">
        <v>650</v>
      </c>
      <c r="E463" s="5" t="s">
        <v>55</v>
      </c>
      <c r="F463" s="5" t="s">
        <v>104</v>
      </c>
      <c r="G463" s="5" t="s">
        <v>104</v>
      </c>
      <c r="H463" s="5" t="s">
        <v>58</v>
      </c>
      <c r="I463" s="5" t="s">
        <v>59</v>
      </c>
      <c r="J463" s="5" t="s">
        <v>60</v>
      </c>
      <c r="K463" s="5">
        <v>8</v>
      </c>
      <c r="L463" s="5">
        <v>2000</v>
      </c>
      <c r="M463" s="5">
        <v>0.15</v>
      </c>
      <c r="N463" s="5">
        <v>13600</v>
      </c>
      <c r="O463" s="5">
        <v>9277.6299999999992</v>
      </c>
      <c r="P463" s="5">
        <v>4322.37</v>
      </c>
      <c r="Q463" s="5">
        <v>31.78</v>
      </c>
      <c r="R463" s="5" t="s">
        <v>106</v>
      </c>
      <c r="S463" s="5" t="s">
        <v>62</v>
      </c>
      <c r="T463" s="5" t="s">
        <v>63</v>
      </c>
      <c r="U463" s="5" t="s">
        <v>98</v>
      </c>
      <c r="V463" s="5">
        <v>2025</v>
      </c>
      <c r="W463" s="5" t="s">
        <v>65</v>
      </c>
      <c r="X463" s="5">
        <v>6</v>
      </c>
      <c r="Y463" s="1" t="s">
        <v>934</v>
      </c>
      <c r="Z463" s="5" t="s">
        <v>110</v>
      </c>
      <c r="AA463" s="5" t="s">
        <v>90</v>
      </c>
      <c r="AB463" s="5" t="s">
        <v>49</v>
      </c>
      <c r="AC463" s="5" t="s">
        <v>50</v>
      </c>
      <c r="AD463" s="5">
        <v>3</v>
      </c>
    </row>
    <row r="464" spans="1:30">
      <c r="A464" s="5" t="s">
        <v>1442</v>
      </c>
      <c r="B464" s="1">
        <v>45933</v>
      </c>
      <c r="C464" s="5" t="s">
        <v>406</v>
      </c>
      <c r="D464" s="5" t="s">
        <v>864</v>
      </c>
      <c r="E464" s="5" t="s">
        <v>103</v>
      </c>
      <c r="F464" s="5" t="s">
        <v>82</v>
      </c>
      <c r="G464" s="5" t="s">
        <v>83</v>
      </c>
      <c r="H464" s="5" t="s">
        <v>38</v>
      </c>
      <c r="I464" s="5" t="s">
        <v>59</v>
      </c>
      <c r="J464" s="5" t="s">
        <v>133</v>
      </c>
      <c r="K464" s="5">
        <v>6</v>
      </c>
      <c r="L464" s="5">
        <v>500</v>
      </c>
      <c r="M464" s="5">
        <v>0.15</v>
      </c>
      <c r="N464" s="5">
        <v>2550</v>
      </c>
      <c r="O464" s="5">
        <v>1731.41</v>
      </c>
      <c r="P464" s="5">
        <v>818.59</v>
      </c>
      <c r="Q464" s="5">
        <v>32.1</v>
      </c>
      <c r="R464" s="5" t="s">
        <v>61</v>
      </c>
      <c r="S464" s="5" t="s">
        <v>42</v>
      </c>
      <c r="T464" s="5" t="s">
        <v>138</v>
      </c>
      <c r="U464" s="5" t="s">
        <v>178</v>
      </c>
      <c r="V464" s="5">
        <v>2025</v>
      </c>
      <c r="W464" s="5" t="s">
        <v>126</v>
      </c>
      <c r="X464" s="5">
        <v>4</v>
      </c>
      <c r="Y464" s="1" t="s">
        <v>1443</v>
      </c>
      <c r="Z464" s="5" t="s">
        <v>47</v>
      </c>
      <c r="AA464" s="5" t="s">
        <v>48</v>
      </c>
      <c r="AB464" s="5" t="s">
        <v>49</v>
      </c>
      <c r="AC464" s="5" t="s">
        <v>50</v>
      </c>
      <c r="AD464" s="5">
        <v>2</v>
      </c>
    </row>
    <row r="465" spans="1:30">
      <c r="A465" s="5" t="s">
        <v>1444</v>
      </c>
      <c r="B465" s="1" t="s">
        <v>1445</v>
      </c>
      <c r="C465" s="5" t="s">
        <v>1446</v>
      </c>
      <c r="D465" s="5" t="s">
        <v>900</v>
      </c>
      <c r="E465" s="5" t="s">
        <v>35</v>
      </c>
      <c r="F465" s="5" t="s">
        <v>144</v>
      </c>
      <c r="G465" s="5" t="s">
        <v>145</v>
      </c>
      <c r="H465" s="5" t="s">
        <v>94</v>
      </c>
      <c r="I465" s="5" t="s">
        <v>59</v>
      </c>
      <c r="J465" s="5" t="s">
        <v>206</v>
      </c>
      <c r="K465" s="5">
        <v>1</v>
      </c>
      <c r="L465" s="5">
        <v>500</v>
      </c>
      <c r="M465" s="5">
        <v>0</v>
      </c>
      <c r="N465" s="5">
        <v>500</v>
      </c>
      <c r="O465" s="5">
        <v>370.32</v>
      </c>
      <c r="P465" s="5">
        <v>129.68</v>
      </c>
      <c r="Q465" s="5">
        <v>25.94</v>
      </c>
      <c r="R465" s="5" t="s">
        <v>73</v>
      </c>
      <c r="S465" s="5" t="s">
        <v>62</v>
      </c>
      <c r="T465" s="5" t="s">
        <v>159</v>
      </c>
      <c r="U465" s="5" t="s">
        <v>87</v>
      </c>
      <c r="V465" s="5">
        <v>2025</v>
      </c>
      <c r="W465" s="5" t="s">
        <v>109</v>
      </c>
      <c r="X465" s="5">
        <v>7</v>
      </c>
      <c r="Y465" s="1" t="s">
        <v>1006</v>
      </c>
      <c r="Z465" s="5" t="s">
        <v>110</v>
      </c>
      <c r="AA465" s="5" t="s">
        <v>48</v>
      </c>
      <c r="AB465" s="5" t="s">
        <v>78</v>
      </c>
      <c r="AC465" s="5" t="s">
        <v>50</v>
      </c>
      <c r="AD465" s="5">
        <v>5</v>
      </c>
    </row>
    <row r="466" spans="1:30">
      <c r="A466" s="5" t="s">
        <v>1447</v>
      </c>
      <c r="B466" s="1" t="s">
        <v>1448</v>
      </c>
      <c r="C466" s="5" t="s">
        <v>541</v>
      </c>
      <c r="D466" s="5" t="s">
        <v>1449</v>
      </c>
      <c r="E466" s="5" t="s">
        <v>35</v>
      </c>
      <c r="F466" s="5" t="s">
        <v>116</v>
      </c>
      <c r="G466" s="5" t="s">
        <v>37</v>
      </c>
      <c r="H466" s="5" t="s">
        <v>94</v>
      </c>
      <c r="I466" s="5" t="s">
        <v>71</v>
      </c>
      <c r="J466" s="5" t="s">
        <v>72</v>
      </c>
      <c r="K466" s="5">
        <v>2</v>
      </c>
      <c r="L466" s="5">
        <v>3500</v>
      </c>
      <c r="M466" s="5">
        <v>0.1</v>
      </c>
      <c r="N466" s="5">
        <v>6300</v>
      </c>
      <c r="O466" s="5">
        <v>5046.96</v>
      </c>
      <c r="P466" s="5">
        <v>1253.04</v>
      </c>
      <c r="Q466" s="5">
        <v>19.89</v>
      </c>
      <c r="R466" s="5" t="s">
        <v>106</v>
      </c>
      <c r="S466" s="5" t="s">
        <v>74</v>
      </c>
      <c r="T466" s="5" t="s">
        <v>173</v>
      </c>
      <c r="U466" s="5" t="s">
        <v>119</v>
      </c>
      <c r="V466" s="5">
        <v>2024</v>
      </c>
      <c r="W466" s="5" t="s">
        <v>45</v>
      </c>
      <c r="X466" s="5">
        <v>5</v>
      </c>
      <c r="Y466" s="1" t="s">
        <v>526</v>
      </c>
      <c r="Z466" s="5" t="s">
        <v>47</v>
      </c>
      <c r="AA466" s="5" t="s">
        <v>48</v>
      </c>
      <c r="AB466" s="5" t="s">
        <v>78</v>
      </c>
      <c r="AC466" s="5" t="s">
        <v>50</v>
      </c>
      <c r="AD466" s="5">
        <v>3</v>
      </c>
    </row>
    <row r="467" spans="1:30">
      <c r="A467" s="5" t="s">
        <v>1450</v>
      </c>
      <c r="B467" s="1" t="s">
        <v>1451</v>
      </c>
      <c r="C467" s="5" t="s">
        <v>527</v>
      </c>
      <c r="D467" s="5" t="s">
        <v>634</v>
      </c>
      <c r="E467" s="5" t="s">
        <v>35</v>
      </c>
      <c r="F467" s="5" t="s">
        <v>156</v>
      </c>
      <c r="G467" s="5" t="s">
        <v>157</v>
      </c>
      <c r="H467" s="5" t="s">
        <v>38</v>
      </c>
      <c r="I467" s="5" t="s">
        <v>95</v>
      </c>
      <c r="J467" s="5" t="s">
        <v>319</v>
      </c>
      <c r="K467" s="5">
        <v>6</v>
      </c>
      <c r="L467" s="5">
        <v>4000</v>
      </c>
      <c r="M467" s="5">
        <v>0.05</v>
      </c>
      <c r="N467" s="5">
        <v>22800</v>
      </c>
      <c r="O467" s="5">
        <v>15634.09</v>
      </c>
      <c r="P467" s="5">
        <v>7165.91</v>
      </c>
      <c r="Q467" s="5">
        <v>31.43</v>
      </c>
      <c r="R467" s="5" t="s">
        <v>73</v>
      </c>
      <c r="S467" s="5" t="s">
        <v>74</v>
      </c>
      <c r="T467" s="5" t="s">
        <v>118</v>
      </c>
      <c r="U467" s="5" t="s">
        <v>151</v>
      </c>
      <c r="V467" s="5">
        <v>2024</v>
      </c>
      <c r="W467" s="5" t="s">
        <v>45</v>
      </c>
      <c r="X467" s="5">
        <v>8</v>
      </c>
      <c r="Y467" s="1" t="s">
        <v>1415</v>
      </c>
      <c r="Z467" s="5" t="s">
        <v>47</v>
      </c>
      <c r="AA467" s="5" t="s">
        <v>90</v>
      </c>
      <c r="AB467" s="5" t="s">
        <v>78</v>
      </c>
      <c r="AC467" s="5" t="s">
        <v>50</v>
      </c>
      <c r="AD467" s="5">
        <v>4</v>
      </c>
    </row>
    <row r="468" spans="1:30">
      <c r="A468" s="5" t="s">
        <v>1452</v>
      </c>
      <c r="B468" s="1" t="s">
        <v>1453</v>
      </c>
      <c r="C468" s="5" t="s">
        <v>1085</v>
      </c>
      <c r="D468" s="5" t="s">
        <v>387</v>
      </c>
      <c r="E468" s="5" t="s">
        <v>55</v>
      </c>
      <c r="F468" s="5" t="s">
        <v>144</v>
      </c>
      <c r="G468" s="5" t="s">
        <v>145</v>
      </c>
      <c r="H468" s="5" t="s">
        <v>94</v>
      </c>
      <c r="I468" s="5" t="s">
        <v>39</v>
      </c>
      <c r="J468" s="5" t="s">
        <v>105</v>
      </c>
      <c r="K468" s="5">
        <v>2</v>
      </c>
      <c r="L468" s="5">
        <v>15000</v>
      </c>
      <c r="M468" s="5">
        <v>0</v>
      </c>
      <c r="N468" s="5">
        <v>30000</v>
      </c>
      <c r="O468" s="5">
        <v>17020.53</v>
      </c>
      <c r="P468" s="5">
        <v>12979.47</v>
      </c>
      <c r="Q468" s="5">
        <v>43.26</v>
      </c>
      <c r="R468" s="5" t="s">
        <v>106</v>
      </c>
      <c r="S468" s="5" t="s">
        <v>74</v>
      </c>
      <c r="T468" s="5" t="s">
        <v>43</v>
      </c>
      <c r="U468" s="5" t="s">
        <v>76</v>
      </c>
      <c r="V468" s="5">
        <v>2025</v>
      </c>
      <c r="W468" s="5" t="s">
        <v>109</v>
      </c>
      <c r="X468" s="5">
        <v>2</v>
      </c>
      <c r="Y468" s="1" t="s">
        <v>928</v>
      </c>
      <c r="Z468" s="5" t="s">
        <v>47</v>
      </c>
      <c r="AA468" s="5" t="s">
        <v>67</v>
      </c>
      <c r="AB468" s="5" t="s">
        <v>49</v>
      </c>
      <c r="AC468" s="5" t="s">
        <v>121</v>
      </c>
      <c r="AD468" s="5">
        <v>1</v>
      </c>
    </row>
    <row r="469" spans="1:30">
      <c r="A469" s="5" t="s">
        <v>1454</v>
      </c>
      <c r="B469" s="1" t="s">
        <v>286</v>
      </c>
      <c r="C469" s="5" t="s">
        <v>495</v>
      </c>
      <c r="D469" s="5" t="s">
        <v>383</v>
      </c>
      <c r="E469" s="5" t="s">
        <v>55</v>
      </c>
      <c r="F469" s="5" t="s">
        <v>149</v>
      </c>
      <c r="G469" s="5" t="s">
        <v>150</v>
      </c>
      <c r="H469" s="5" t="s">
        <v>171</v>
      </c>
      <c r="I469" s="5" t="s">
        <v>59</v>
      </c>
      <c r="J469" s="5" t="s">
        <v>328</v>
      </c>
      <c r="K469" s="5">
        <v>7</v>
      </c>
      <c r="L469" s="5">
        <v>3000</v>
      </c>
      <c r="M469" s="5">
        <v>0.2</v>
      </c>
      <c r="N469" s="5">
        <v>16800</v>
      </c>
      <c r="O469" s="5">
        <v>12673.35</v>
      </c>
      <c r="P469" s="5">
        <v>4126.6499999999996</v>
      </c>
      <c r="Q469" s="5">
        <v>24.56</v>
      </c>
      <c r="R469" s="5" t="s">
        <v>61</v>
      </c>
      <c r="S469" s="5" t="s">
        <v>74</v>
      </c>
      <c r="T469" s="5" t="s">
        <v>97</v>
      </c>
      <c r="U469" s="5" t="s">
        <v>108</v>
      </c>
      <c r="V469" s="5">
        <v>2024</v>
      </c>
      <c r="W469" s="5" t="s">
        <v>45</v>
      </c>
      <c r="X469" s="5">
        <v>8</v>
      </c>
      <c r="Y469" s="1">
        <v>45483</v>
      </c>
      <c r="Z469" s="5" t="s">
        <v>110</v>
      </c>
      <c r="AA469" s="5" t="s">
        <v>48</v>
      </c>
      <c r="AB469" s="5" t="s">
        <v>78</v>
      </c>
      <c r="AC469" s="5" t="s">
        <v>50</v>
      </c>
      <c r="AD469" s="5">
        <v>5</v>
      </c>
    </row>
    <row r="470" spans="1:30">
      <c r="A470" s="5" t="s">
        <v>1455</v>
      </c>
      <c r="B470" s="1" t="s">
        <v>1258</v>
      </c>
      <c r="C470" s="5" t="s">
        <v>382</v>
      </c>
      <c r="D470" s="5" t="s">
        <v>102</v>
      </c>
      <c r="E470" s="5" t="s">
        <v>103</v>
      </c>
      <c r="F470" s="5" t="s">
        <v>104</v>
      </c>
      <c r="G470" s="5" t="s">
        <v>104</v>
      </c>
      <c r="H470" s="5" t="s">
        <v>38</v>
      </c>
      <c r="I470" s="5" t="s">
        <v>84</v>
      </c>
      <c r="J470" s="5" t="s">
        <v>229</v>
      </c>
      <c r="K470" s="5">
        <v>2</v>
      </c>
      <c r="L470" s="5">
        <v>100</v>
      </c>
      <c r="M470" s="5">
        <v>0.15</v>
      </c>
      <c r="N470" s="5">
        <v>170</v>
      </c>
      <c r="O470" s="5">
        <v>94.68</v>
      </c>
      <c r="P470" s="5">
        <v>75.319999999999993</v>
      </c>
      <c r="Q470" s="5">
        <v>44.31</v>
      </c>
      <c r="R470" s="5" t="s">
        <v>61</v>
      </c>
      <c r="S470" s="5" t="s">
        <v>62</v>
      </c>
      <c r="T470" s="5" t="s">
        <v>63</v>
      </c>
      <c r="U470" s="5" t="s">
        <v>64</v>
      </c>
      <c r="V470" s="5">
        <v>2025</v>
      </c>
      <c r="W470" s="5" t="s">
        <v>109</v>
      </c>
      <c r="X470" s="5">
        <v>7</v>
      </c>
      <c r="Y470" s="1" t="s">
        <v>450</v>
      </c>
      <c r="Z470" s="5" t="s">
        <v>47</v>
      </c>
      <c r="AA470" s="5" t="s">
        <v>48</v>
      </c>
      <c r="AB470" s="5" t="s">
        <v>111</v>
      </c>
      <c r="AC470" s="5" t="s">
        <v>50</v>
      </c>
      <c r="AD470" s="5">
        <v>5</v>
      </c>
    </row>
    <row r="471" spans="1:30">
      <c r="A471" s="5" t="s">
        <v>1456</v>
      </c>
      <c r="B471" s="1" t="s">
        <v>874</v>
      </c>
      <c r="C471" s="5" t="s">
        <v>1132</v>
      </c>
      <c r="D471" s="5" t="s">
        <v>1457</v>
      </c>
      <c r="E471" s="5" t="s">
        <v>103</v>
      </c>
      <c r="F471" s="5" t="s">
        <v>156</v>
      </c>
      <c r="G471" s="5" t="s">
        <v>157</v>
      </c>
      <c r="H471" s="5" t="s">
        <v>58</v>
      </c>
      <c r="I471" s="5" t="s">
        <v>95</v>
      </c>
      <c r="J471" s="5" t="s">
        <v>344</v>
      </c>
      <c r="K471" s="5">
        <v>6</v>
      </c>
      <c r="L471" s="5">
        <v>2500</v>
      </c>
      <c r="M471" s="5">
        <v>0.1</v>
      </c>
      <c r="N471" s="5">
        <v>13500</v>
      </c>
      <c r="O471" s="5">
        <v>8276.32</v>
      </c>
      <c r="P471" s="5">
        <v>5223.68</v>
      </c>
      <c r="Q471" s="5">
        <v>38.69</v>
      </c>
      <c r="R471" s="5" t="s">
        <v>61</v>
      </c>
      <c r="S471" s="5" t="s">
        <v>62</v>
      </c>
      <c r="T471" s="5" t="s">
        <v>138</v>
      </c>
      <c r="U471" s="5" t="s">
        <v>98</v>
      </c>
      <c r="V471" s="5">
        <v>2024</v>
      </c>
      <c r="W471" s="5" t="s">
        <v>194</v>
      </c>
      <c r="X471" s="5">
        <v>6</v>
      </c>
      <c r="Y471" s="1" t="s">
        <v>1131</v>
      </c>
      <c r="Z471" s="5" t="s">
        <v>110</v>
      </c>
      <c r="AA471" s="5" t="s">
        <v>48</v>
      </c>
      <c r="AB471" s="5" t="s">
        <v>111</v>
      </c>
      <c r="AC471" s="5" t="s">
        <v>121</v>
      </c>
      <c r="AD471" s="5">
        <v>4</v>
      </c>
    </row>
    <row r="472" spans="1:30">
      <c r="A472" s="5" t="s">
        <v>1458</v>
      </c>
      <c r="B472" s="1" t="s">
        <v>544</v>
      </c>
      <c r="C472" s="5" t="s">
        <v>1314</v>
      </c>
      <c r="D472" s="5" t="s">
        <v>115</v>
      </c>
      <c r="E472" s="5" t="s">
        <v>103</v>
      </c>
      <c r="F472" s="5" t="s">
        <v>116</v>
      </c>
      <c r="G472" s="5" t="s">
        <v>37</v>
      </c>
      <c r="H472" s="5" t="s">
        <v>94</v>
      </c>
      <c r="I472" s="5" t="s">
        <v>59</v>
      </c>
      <c r="J472" s="5" t="s">
        <v>206</v>
      </c>
      <c r="K472" s="5">
        <v>3</v>
      </c>
      <c r="L472" s="5">
        <v>3000</v>
      </c>
      <c r="M472" s="5">
        <v>0.2</v>
      </c>
      <c r="N472" s="5">
        <v>7200</v>
      </c>
      <c r="O472" s="5">
        <v>4927.97</v>
      </c>
      <c r="P472" s="5">
        <v>2272.0300000000002</v>
      </c>
      <c r="Q472" s="5">
        <v>31.56</v>
      </c>
      <c r="R472" s="5" t="s">
        <v>73</v>
      </c>
      <c r="S472" s="5" t="s">
        <v>62</v>
      </c>
      <c r="T472" s="5" t="s">
        <v>173</v>
      </c>
      <c r="U472" s="5" t="s">
        <v>119</v>
      </c>
      <c r="V472" s="5">
        <v>2025</v>
      </c>
      <c r="W472" s="5" t="s">
        <v>65</v>
      </c>
      <c r="X472" s="5">
        <v>1</v>
      </c>
      <c r="Y472" s="1">
        <v>45663</v>
      </c>
      <c r="Z472" s="5" t="s">
        <v>47</v>
      </c>
      <c r="AA472" s="5" t="s">
        <v>67</v>
      </c>
      <c r="AB472" s="5" t="s">
        <v>111</v>
      </c>
      <c r="AC472" s="5" t="s">
        <v>121</v>
      </c>
      <c r="AD472" s="5">
        <v>2</v>
      </c>
    </row>
    <row r="473" spans="1:30">
      <c r="A473" s="5" t="s">
        <v>1459</v>
      </c>
      <c r="B473" s="1" t="s">
        <v>857</v>
      </c>
      <c r="C473" s="5" t="s">
        <v>1460</v>
      </c>
      <c r="D473" s="5" t="s">
        <v>1209</v>
      </c>
      <c r="E473" s="5" t="s">
        <v>55</v>
      </c>
      <c r="F473" s="5" t="s">
        <v>149</v>
      </c>
      <c r="G473" s="5" t="s">
        <v>150</v>
      </c>
      <c r="H473" s="5" t="s">
        <v>58</v>
      </c>
      <c r="I473" s="5" t="s">
        <v>95</v>
      </c>
      <c r="J473" s="5" t="s">
        <v>344</v>
      </c>
      <c r="K473" s="5">
        <v>2</v>
      </c>
      <c r="L473" s="5">
        <v>9000</v>
      </c>
      <c r="M473" s="5">
        <v>0</v>
      </c>
      <c r="N473" s="5">
        <v>18000</v>
      </c>
      <c r="O473" s="5">
        <v>13624.26</v>
      </c>
      <c r="P473" s="5">
        <v>4375.74</v>
      </c>
      <c r="Q473" s="5">
        <v>24.31</v>
      </c>
      <c r="R473" s="5" t="s">
        <v>73</v>
      </c>
      <c r="S473" s="5" t="s">
        <v>42</v>
      </c>
      <c r="T473" s="5" t="s">
        <v>138</v>
      </c>
      <c r="U473" s="5" t="s">
        <v>160</v>
      </c>
      <c r="V473" s="5">
        <v>2024</v>
      </c>
      <c r="W473" s="5" t="s">
        <v>139</v>
      </c>
      <c r="X473" s="5">
        <v>6</v>
      </c>
      <c r="Y473" s="1" t="s">
        <v>637</v>
      </c>
      <c r="Z473" s="5" t="s">
        <v>110</v>
      </c>
      <c r="AA473" s="5" t="s">
        <v>90</v>
      </c>
      <c r="AB473" s="5" t="s">
        <v>111</v>
      </c>
      <c r="AC473" s="5" t="s">
        <v>50</v>
      </c>
      <c r="AD473" s="5">
        <v>2</v>
      </c>
    </row>
    <row r="474" spans="1:30">
      <c r="A474" s="5" t="s">
        <v>1461</v>
      </c>
      <c r="B474" s="1" t="s">
        <v>551</v>
      </c>
      <c r="C474" s="5" t="s">
        <v>745</v>
      </c>
      <c r="D474" s="5" t="s">
        <v>1462</v>
      </c>
      <c r="E474" s="5" t="s">
        <v>55</v>
      </c>
      <c r="F474" s="5" t="s">
        <v>144</v>
      </c>
      <c r="G474" s="5" t="s">
        <v>145</v>
      </c>
      <c r="H474" s="5" t="s">
        <v>58</v>
      </c>
      <c r="I474" s="5" t="s">
        <v>59</v>
      </c>
      <c r="J474" s="5" t="s">
        <v>328</v>
      </c>
      <c r="K474" s="5">
        <v>6</v>
      </c>
      <c r="L474" s="5">
        <v>2000</v>
      </c>
      <c r="M474" s="5">
        <v>0.15</v>
      </c>
      <c r="N474" s="5">
        <v>10200</v>
      </c>
      <c r="O474" s="5">
        <v>7836.46</v>
      </c>
      <c r="P474" s="5">
        <v>2363.54</v>
      </c>
      <c r="Q474" s="5">
        <v>23.17</v>
      </c>
      <c r="R474" s="5" t="s">
        <v>106</v>
      </c>
      <c r="S474" s="5" t="s">
        <v>74</v>
      </c>
      <c r="T474" s="5" t="s">
        <v>97</v>
      </c>
      <c r="U474" s="5" t="s">
        <v>87</v>
      </c>
      <c r="V474" s="5">
        <v>2025</v>
      </c>
      <c r="W474" s="5" t="s">
        <v>194</v>
      </c>
      <c r="X474" s="5">
        <v>9</v>
      </c>
      <c r="Y474" s="1">
        <v>45911</v>
      </c>
      <c r="Z474" s="5" t="s">
        <v>110</v>
      </c>
      <c r="AA474" s="5" t="s">
        <v>48</v>
      </c>
      <c r="AB474" s="5" t="s">
        <v>111</v>
      </c>
      <c r="AC474" s="5" t="s">
        <v>121</v>
      </c>
      <c r="AD474" s="5">
        <v>1</v>
      </c>
    </row>
    <row r="475" spans="1:30">
      <c r="A475" s="5" t="s">
        <v>1463</v>
      </c>
      <c r="B475" s="1">
        <v>45323</v>
      </c>
      <c r="C475" s="5" t="s">
        <v>1464</v>
      </c>
      <c r="D475" s="5" t="s">
        <v>1465</v>
      </c>
      <c r="E475" s="5" t="s">
        <v>55</v>
      </c>
      <c r="F475" s="5" t="s">
        <v>144</v>
      </c>
      <c r="G475" s="5" t="s">
        <v>145</v>
      </c>
      <c r="H475" s="5" t="s">
        <v>171</v>
      </c>
      <c r="I475" s="5" t="s">
        <v>84</v>
      </c>
      <c r="J475" s="5" t="s">
        <v>85</v>
      </c>
      <c r="K475" s="5">
        <v>6</v>
      </c>
      <c r="L475" s="5">
        <v>500</v>
      </c>
      <c r="M475" s="5">
        <v>0.2</v>
      </c>
      <c r="N475" s="5">
        <v>2400</v>
      </c>
      <c r="O475" s="5">
        <v>1702.36</v>
      </c>
      <c r="P475" s="5">
        <v>697.64</v>
      </c>
      <c r="Q475" s="5">
        <v>29.07</v>
      </c>
      <c r="R475" s="5" t="s">
        <v>73</v>
      </c>
      <c r="S475" s="5" t="s">
        <v>42</v>
      </c>
      <c r="T475" s="5" t="s">
        <v>63</v>
      </c>
      <c r="U475" s="5" t="s">
        <v>76</v>
      </c>
      <c r="V475" s="5">
        <v>2024</v>
      </c>
      <c r="W475" s="5" t="s">
        <v>109</v>
      </c>
      <c r="X475" s="5">
        <v>5</v>
      </c>
      <c r="Y475" s="1">
        <v>45474</v>
      </c>
      <c r="Z475" s="5" t="s">
        <v>47</v>
      </c>
      <c r="AA475" s="5" t="s">
        <v>48</v>
      </c>
      <c r="AB475" s="5" t="s">
        <v>49</v>
      </c>
      <c r="AC475" s="5" t="s">
        <v>121</v>
      </c>
      <c r="AD475" s="5">
        <v>4</v>
      </c>
    </row>
    <row r="476" spans="1:30">
      <c r="A476" s="5" t="s">
        <v>1466</v>
      </c>
      <c r="B476" s="1">
        <v>45634</v>
      </c>
      <c r="C476" s="5" t="s">
        <v>1285</v>
      </c>
      <c r="D476" s="5" t="s">
        <v>717</v>
      </c>
      <c r="E476" s="5" t="s">
        <v>103</v>
      </c>
      <c r="F476" s="5" t="s">
        <v>104</v>
      </c>
      <c r="G476" s="5" t="s">
        <v>104</v>
      </c>
      <c r="H476" s="5" t="s">
        <v>58</v>
      </c>
      <c r="I476" s="5" t="s">
        <v>59</v>
      </c>
      <c r="J476" s="5" t="s">
        <v>133</v>
      </c>
      <c r="K476" s="5">
        <v>6</v>
      </c>
      <c r="L476" s="5">
        <v>800</v>
      </c>
      <c r="M476" s="5">
        <v>0.1</v>
      </c>
      <c r="N476" s="5">
        <v>4320</v>
      </c>
      <c r="O476" s="5">
        <v>2547.96</v>
      </c>
      <c r="P476" s="5">
        <v>1772.04</v>
      </c>
      <c r="Q476" s="5">
        <v>41.02</v>
      </c>
      <c r="R476" s="5" t="s">
        <v>41</v>
      </c>
      <c r="S476" s="5" t="s">
        <v>62</v>
      </c>
      <c r="T476" s="5" t="s">
        <v>159</v>
      </c>
      <c r="U476" s="5" t="s">
        <v>218</v>
      </c>
      <c r="V476" s="5">
        <v>2024</v>
      </c>
      <c r="W476" s="5" t="s">
        <v>126</v>
      </c>
      <c r="X476" s="5">
        <v>8</v>
      </c>
      <c r="Y476" s="1" t="s">
        <v>1030</v>
      </c>
      <c r="Z476" s="5" t="s">
        <v>110</v>
      </c>
      <c r="AA476" s="5" t="s">
        <v>48</v>
      </c>
      <c r="AB476" s="5" t="s">
        <v>111</v>
      </c>
      <c r="AC476" s="5" t="s">
        <v>121</v>
      </c>
      <c r="AD476" s="5">
        <v>3</v>
      </c>
    </row>
    <row r="477" spans="1:30">
      <c r="A477" s="5" t="s">
        <v>1467</v>
      </c>
      <c r="B477" s="1">
        <v>45294</v>
      </c>
      <c r="C477" s="5" t="s">
        <v>1468</v>
      </c>
      <c r="D477" s="5" t="s">
        <v>1469</v>
      </c>
      <c r="E477" s="5" t="s">
        <v>103</v>
      </c>
      <c r="F477" s="5" t="s">
        <v>144</v>
      </c>
      <c r="G477" s="5" t="s">
        <v>145</v>
      </c>
      <c r="H477" s="5" t="s">
        <v>58</v>
      </c>
      <c r="I477" s="5" t="s">
        <v>71</v>
      </c>
      <c r="J477" s="5" t="s">
        <v>117</v>
      </c>
      <c r="K477" s="5">
        <v>8</v>
      </c>
      <c r="L477" s="5">
        <v>1800</v>
      </c>
      <c r="M477" s="5">
        <v>0.15</v>
      </c>
      <c r="N477" s="5">
        <v>12240</v>
      </c>
      <c r="O477" s="5">
        <v>9467.99</v>
      </c>
      <c r="P477" s="5">
        <v>2772.01</v>
      </c>
      <c r="Q477" s="5">
        <v>22.65</v>
      </c>
      <c r="R477" s="5" t="s">
        <v>73</v>
      </c>
      <c r="S477" s="5" t="s">
        <v>62</v>
      </c>
      <c r="T477" s="5" t="s">
        <v>75</v>
      </c>
      <c r="U477" s="5" t="s">
        <v>178</v>
      </c>
      <c r="V477" s="5">
        <v>2024</v>
      </c>
      <c r="W477" s="5" t="s">
        <v>194</v>
      </c>
      <c r="X477" s="5">
        <v>6</v>
      </c>
      <c r="Y477" s="1">
        <v>45476</v>
      </c>
      <c r="Z477" s="5" t="s">
        <v>47</v>
      </c>
      <c r="AA477" s="5" t="s">
        <v>67</v>
      </c>
      <c r="AB477" s="5" t="s">
        <v>111</v>
      </c>
      <c r="AC477" s="5" t="s">
        <v>121</v>
      </c>
      <c r="AD477" s="5">
        <v>1</v>
      </c>
    </row>
    <row r="478" spans="1:30">
      <c r="A478" s="5" t="s">
        <v>1470</v>
      </c>
      <c r="B478" s="1">
        <v>45749</v>
      </c>
      <c r="C478" s="5" t="s">
        <v>1271</v>
      </c>
      <c r="D478" s="5" t="s">
        <v>560</v>
      </c>
      <c r="E478" s="5" t="s">
        <v>35</v>
      </c>
      <c r="F478" s="5" t="s">
        <v>131</v>
      </c>
      <c r="G478" s="5" t="s">
        <v>132</v>
      </c>
      <c r="H478" s="5" t="s">
        <v>94</v>
      </c>
      <c r="I478" s="5" t="s">
        <v>71</v>
      </c>
      <c r="J478" s="5" t="s">
        <v>240</v>
      </c>
      <c r="K478" s="5">
        <v>7</v>
      </c>
      <c r="L478" s="5">
        <v>2500</v>
      </c>
      <c r="M478" s="5">
        <v>0.1</v>
      </c>
      <c r="N478" s="5">
        <v>15750</v>
      </c>
      <c r="O478" s="5">
        <v>10907.16</v>
      </c>
      <c r="P478" s="5">
        <v>4842.84</v>
      </c>
      <c r="Q478" s="5">
        <v>30.75</v>
      </c>
      <c r="R478" s="5" t="s">
        <v>106</v>
      </c>
      <c r="S478" s="5" t="s">
        <v>74</v>
      </c>
      <c r="T478" s="5" t="s">
        <v>97</v>
      </c>
      <c r="U478" s="5" t="s">
        <v>98</v>
      </c>
      <c r="V478" s="5">
        <v>2025</v>
      </c>
      <c r="W478" s="5" t="s">
        <v>109</v>
      </c>
      <c r="X478" s="5">
        <v>7</v>
      </c>
      <c r="Y478" s="1">
        <v>45963</v>
      </c>
      <c r="Z478" s="5" t="s">
        <v>47</v>
      </c>
      <c r="AA478" s="5" t="s">
        <v>48</v>
      </c>
      <c r="AB478" s="5" t="s">
        <v>49</v>
      </c>
      <c r="AC478" s="5" t="s">
        <v>50</v>
      </c>
      <c r="AD478" s="5">
        <v>4</v>
      </c>
    </row>
    <row r="479" spans="1:30">
      <c r="A479" s="5" t="s">
        <v>1471</v>
      </c>
      <c r="B479" s="1" t="s">
        <v>1472</v>
      </c>
      <c r="C479" s="5" t="s">
        <v>712</v>
      </c>
      <c r="D479" s="5" t="s">
        <v>1473</v>
      </c>
      <c r="E479" s="5" t="s">
        <v>103</v>
      </c>
      <c r="F479" s="5" t="s">
        <v>245</v>
      </c>
      <c r="G479" s="5" t="s">
        <v>246</v>
      </c>
      <c r="H479" s="5" t="s">
        <v>58</v>
      </c>
      <c r="I479" s="5" t="s">
        <v>59</v>
      </c>
      <c r="J479" s="5" t="s">
        <v>206</v>
      </c>
      <c r="K479" s="5">
        <v>8</v>
      </c>
      <c r="L479" s="5">
        <v>2000</v>
      </c>
      <c r="M479" s="5">
        <v>0.1</v>
      </c>
      <c r="N479" s="5">
        <v>14400</v>
      </c>
      <c r="O479" s="5">
        <v>11047.35</v>
      </c>
      <c r="P479" s="5">
        <v>3352.65</v>
      </c>
      <c r="Q479" s="5">
        <v>23.28</v>
      </c>
      <c r="R479" s="5" t="s">
        <v>73</v>
      </c>
      <c r="S479" s="5" t="s">
        <v>62</v>
      </c>
      <c r="T479" s="5" t="s">
        <v>75</v>
      </c>
      <c r="U479" s="5" t="s">
        <v>119</v>
      </c>
      <c r="V479" s="5">
        <v>2024</v>
      </c>
      <c r="W479" s="5" t="s">
        <v>109</v>
      </c>
      <c r="X479" s="5">
        <v>4</v>
      </c>
      <c r="Y479" s="1">
        <v>45297</v>
      </c>
      <c r="Z479" s="5" t="s">
        <v>47</v>
      </c>
      <c r="AA479" s="5" t="s">
        <v>48</v>
      </c>
      <c r="AB479" s="5" t="s">
        <v>49</v>
      </c>
      <c r="AC479" s="5" t="s">
        <v>121</v>
      </c>
      <c r="AD479" s="5">
        <v>1</v>
      </c>
    </row>
    <row r="480" spans="1:30">
      <c r="A480" s="5" t="s">
        <v>1474</v>
      </c>
      <c r="B480" s="1" t="s">
        <v>480</v>
      </c>
      <c r="C480" s="5" t="s">
        <v>1149</v>
      </c>
      <c r="D480" s="5" t="s">
        <v>1431</v>
      </c>
      <c r="E480" s="5" t="s">
        <v>35</v>
      </c>
      <c r="F480" s="5" t="s">
        <v>82</v>
      </c>
      <c r="G480" s="5" t="s">
        <v>83</v>
      </c>
      <c r="H480" s="5" t="s">
        <v>58</v>
      </c>
      <c r="I480" s="5" t="s">
        <v>71</v>
      </c>
      <c r="J480" s="5" t="s">
        <v>117</v>
      </c>
      <c r="K480" s="5">
        <v>1</v>
      </c>
      <c r="L480" s="5">
        <v>700</v>
      </c>
      <c r="M480" s="5">
        <v>0.2</v>
      </c>
      <c r="N480" s="5">
        <v>560</v>
      </c>
      <c r="O480" s="5">
        <v>373.59</v>
      </c>
      <c r="P480" s="5">
        <v>186.41</v>
      </c>
      <c r="Q480" s="5">
        <v>33.29</v>
      </c>
      <c r="R480" s="5" t="s">
        <v>73</v>
      </c>
      <c r="S480" s="5" t="s">
        <v>62</v>
      </c>
      <c r="T480" s="5" t="s">
        <v>138</v>
      </c>
      <c r="U480" s="5" t="s">
        <v>87</v>
      </c>
      <c r="V480" s="5">
        <v>2025</v>
      </c>
      <c r="W480" s="5" t="s">
        <v>126</v>
      </c>
      <c r="X480" s="5">
        <v>6</v>
      </c>
      <c r="Y480" s="1">
        <v>45699</v>
      </c>
      <c r="Z480" s="5" t="s">
        <v>89</v>
      </c>
      <c r="AA480" s="5" t="s">
        <v>67</v>
      </c>
      <c r="AB480" s="5" t="s">
        <v>111</v>
      </c>
      <c r="AC480" s="5" t="s">
        <v>121</v>
      </c>
      <c r="AD480" s="5">
        <v>4</v>
      </c>
    </row>
    <row r="481" spans="1:30">
      <c r="A481" s="5" t="s">
        <v>1475</v>
      </c>
      <c r="B481" s="1">
        <v>45627</v>
      </c>
      <c r="C481" s="5" t="s">
        <v>596</v>
      </c>
      <c r="D481" s="5" t="s">
        <v>1476</v>
      </c>
      <c r="E481" s="5" t="s">
        <v>35</v>
      </c>
      <c r="F481" s="5" t="s">
        <v>36</v>
      </c>
      <c r="G481" s="5" t="s">
        <v>37</v>
      </c>
      <c r="H481" s="5" t="s">
        <v>94</v>
      </c>
      <c r="I481" s="5" t="s">
        <v>71</v>
      </c>
      <c r="J481" s="5" t="s">
        <v>158</v>
      </c>
      <c r="K481" s="5">
        <v>5</v>
      </c>
      <c r="L481" s="5">
        <v>2500</v>
      </c>
      <c r="M481" s="5">
        <v>0.1</v>
      </c>
      <c r="N481" s="5">
        <v>11250</v>
      </c>
      <c r="O481" s="5">
        <v>6438.51</v>
      </c>
      <c r="P481" s="5">
        <v>4811.49</v>
      </c>
      <c r="Q481" s="5">
        <v>42.77</v>
      </c>
      <c r="R481" s="5" t="s">
        <v>61</v>
      </c>
      <c r="S481" s="5" t="s">
        <v>42</v>
      </c>
      <c r="T481" s="5" t="s">
        <v>173</v>
      </c>
      <c r="U481" s="5" t="s">
        <v>76</v>
      </c>
      <c r="V481" s="5">
        <v>2024</v>
      </c>
      <c r="W481" s="5" t="s">
        <v>194</v>
      </c>
      <c r="X481" s="5">
        <v>2</v>
      </c>
      <c r="Y481" s="1" t="s">
        <v>1301</v>
      </c>
      <c r="Z481" s="5" t="s">
        <v>47</v>
      </c>
      <c r="AA481" s="5" t="s">
        <v>48</v>
      </c>
      <c r="AB481" s="5" t="s">
        <v>49</v>
      </c>
      <c r="AC481" s="5" t="s">
        <v>50</v>
      </c>
      <c r="AD481" s="5">
        <v>4</v>
      </c>
    </row>
    <row r="482" spans="1:30">
      <c r="A482" s="5" t="s">
        <v>1477</v>
      </c>
      <c r="B482" s="1">
        <v>45446</v>
      </c>
      <c r="C482" s="5" t="s">
        <v>1005</v>
      </c>
      <c r="D482" s="5" t="s">
        <v>607</v>
      </c>
      <c r="E482" s="5" t="s">
        <v>103</v>
      </c>
      <c r="F482" s="5" t="s">
        <v>156</v>
      </c>
      <c r="G482" s="5" t="s">
        <v>157</v>
      </c>
      <c r="H482" s="5" t="s">
        <v>94</v>
      </c>
      <c r="I482" s="5" t="s">
        <v>84</v>
      </c>
      <c r="J482" s="5" t="s">
        <v>217</v>
      </c>
      <c r="K482" s="5">
        <v>3</v>
      </c>
      <c r="L482" s="5">
        <v>100</v>
      </c>
      <c r="M482" s="5">
        <v>0.1</v>
      </c>
      <c r="N482" s="5">
        <v>270</v>
      </c>
      <c r="O482" s="5">
        <v>178.05</v>
      </c>
      <c r="P482" s="5">
        <v>91.95</v>
      </c>
      <c r="Q482" s="5">
        <v>34.06</v>
      </c>
      <c r="R482" s="5" t="s">
        <v>106</v>
      </c>
      <c r="S482" s="5" t="s">
        <v>42</v>
      </c>
      <c r="T482" s="5" t="s">
        <v>63</v>
      </c>
      <c r="U482" s="5" t="s">
        <v>178</v>
      </c>
      <c r="V482" s="5">
        <v>2024</v>
      </c>
      <c r="W482" s="5" t="s">
        <v>134</v>
      </c>
      <c r="X482" s="5">
        <v>9</v>
      </c>
      <c r="Y482" s="1" t="s">
        <v>179</v>
      </c>
      <c r="Z482" s="5" t="s">
        <v>47</v>
      </c>
      <c r="AA482" s="5" t="s">
        <v>48</v>
      </c>
      <c r="AB482" s="5" t="s">
        <v>111</v>
      </c>
      <c r="AC482" s="5" t="s">
        <v>121</v>
      </c>
      <c r="AD482" s="5">
        <v>2</v>
      </c>
    </row>
    <row r="483" spans="1:30">
      <c r="A483" s="5" t="s">
        <v>1478</v>
      </c>
      <c r="B483" s="1">
        <v>45692</v>
      </c>
      <c r="C483" s="5" t="s">
        <v>946</v>
      </c>
      <c r="D483" s="5" t="s">
        <v>1386</v>
      </c>
      <c r="E483" s="5" t="s">
        <v>35</v>
      </c>
      <c r="F483" s="5" t="s">
        <v>36</v>
      </c>
      <c r="G483" s="5" t="s">
        <v>37</v>
      </c>
      <c r="H483" s="5" t="s">
        <v>58</v>
      </c>
      <c r="I483" s="5" t="s">
        <v>95</v>
      </c>
      <c r="J483" s="5" t="s">
        <v>96</v>
      </c>
      <c r="K483" s="5">
        <v>3</v>
      </c>
      <c r="L483" s="5">
        <v>2500</v>
      </c>
      <c r="M483" s="5">
        <v>0.2</v>
      </c>
      <c r="N483" s="5">
        <v>6000</v>
      </c>
      <c r="O483" s="5">
        <v>3363.41</v>
      </c>
      <c r="P483" s="5">
        <v>2636.59</v>
      </c>
      <c r="Q483" s="5">
        <v>43.94</v>
      </c>
      <c r="R483" s="5" t="s">
        <v>41</v>
      </c>
      <c r="S483" s="5" t="s">
        <v>62</v>
      </c>
      <c r="T483" s="5" t="s">
        <v>43</v>
      </c>
      <c r="U483" s="5" t="s">
        <v>44</v>
      </c>
      <c r="V483" s="5">
        <v>2025</v>
      </c>
      <c r="W483" s="5" t="s">
        <v>134</v>
      </c>
      <c r="X483" s="5">
        <v>6</v>
      </c>
      <c r="Y483" s="1">
        <v>45873</v>
      </c>
      <c r="Z483" s="5" t="s">
        <v>47</v>
      </c>
      <c r="AA483" s="5" t="s">
        <v>90</v>
      </c>
      <c r="AB483" s="5" t="s">
        <v>49</v>
      </c>
      <c r="AC483" s="5" t="s">
        <v>50</v>
      </c>
      <c r="AD483" s="5">
        <v>3</v>
      </c>
    </row>
    <row r="484" spans="1:30">
      <c r="A484" s="5" t="s">
        <v>1479</v>
      </c>
      <c r="B484" s="1" t="s">
        <v>1015</v>
      </c>
      <c r="C484" s="5" t="s">
        <v>484</v>
      </c>
      <c r="D484" s="5" t="s">
        <v>1480</v>
      </c>
      <c r="E484" s="5" t="s">
        <v>55</v>
      </c>
      <c r="F484" s="5" t="s">
        <v>131</v>
      </c>
      <c r="G484" s="5" t="s">
        <v>132</v>
      </c>
      <c r="H484" s="5" t="s">
        <v>171</v>
      </c>
      <c r="I484" s="5" t="s">
        <v>95</v>
      </c>
      <c r="J484" s="5" t="s">
        <v>440</v>
      </c>
      <c r="K484" s="5">
        <v>1</v>
      </c>
      <c r="L484" s="5">
        <v>4000</v>
      </c>
      <c r="M484" s="5">
        <v>0.1</v>
      </c>
      <c r="N484" s="5">
        <v>3600</v>
      </c>
      <c r="O484" s="5">
        <v>2620.6999999999998</v>
      </c>
      <c r="P484" s="5">
        <v>979.3</v>
      </c>
      <c r="Q484" s="5">
        <v>27.2</v>
      </c>
      <c r="R484" s="5" t="s">
        <v>41</v>
      </c>
      <c r="S484" s="5" t="s">
        <v>62</v>
      </c>
      <c r="T484" s="5" t="s">
        <v>63</v>
      </c>
      <c r="U484" s="5" t="s">
        <v>98</v>
      </c>
      <c r="V484" s="5">
        <v>2024</v>
      </c>
      <c r="W484" s="5" t="s">
        <v>65</v>
      </c>
      <c r="X484" s="5">
        <v>9</v>
      </c>
      <c r="Y484" s="1" t="s">
        <v>1163</v>
      </c>
      <c r="Z484" s="5" t="s">
        <v>47</v>
      </c>
      <c r="AA484" s="5" t="s">
        <v>48</v>
      </c>
      <c r="AB484" s="5" t="s">
        <v>111</v>
      </c>
      <c r="AC484" s="5" t="s">
        <v>121</v>
      </c>
      <c r="AD484" s="5">
        <v>1</v>
      </c>
    </row>
    <row r="485" spans="1:30">
      <c r="A485" s="5" t="s">
        <v>1481</v>
      </c>
      <c r="B485" s="1">
        <v>45512</v>
      </c>
      <c r="C485" s="5" t="s">
        <v>1482</v>
      </c>
      <c r="D485" s="5" t="s">
        <v>1483</v>
      </c>
      <c r="E485" s="5" t="s">
        <v>35</v>
      </c>
      <c r="F485" s="5" t="s">
        <v>104</v>
      </c>
      <c r="G485" s="5" t="s">
        <v>104</v>
      </c>
      <c r="H485" s="5" t="s">
        <v>94</v>
      </c>
      <c r="I485" s="5" t="s">
        <v>95</v>
      </c>
      <c r="J485" s="5" t="s">
        <v>344</v>
      </c>
      <c r="K485" s="5">
        <v>4</v>
      </c>
      <c r="L485" s="5">
        <v>4000</v>
      </c>
      <c r="M485" s="5">
        <v>0.1</v>
      </c>
      <c r="N485" s="5">
        <v>14400</v>
      </c>
      <c r="O485" s="5">
        <v>10066.450000000001</v>
      </c>
      <c r="P485" s="5">
        <v>4333.55</v>
      </c>
      <c r="Q485" s="5">
        <v>30.09</v>
      </c>
      <c r="R485" s="5" t="s">
        <v>106</v>
      </c>
      <c r="S485" s="5" t="s">
        <v>42</v>
      </c>
      <c r="T485" s="5" t="s">
        <v>159</v>
      </c>
      <c r="U485" s="5" t="s">
        <v>218</v>
      </c>
      <c r="V485" s="5">
        <v>2024</v>
      </c>
      <c r="W485" s="5" t="s">
        <v>139</v>
      </c>
      <c r="X485" s="5">
        <v>3</v>
      </c>
      <c r="Y485" s="1">
        <v>45604</v>
      </c>
      <c r="Z485" s="5" t="s">
        <v>89</v>
      </c>
      <c r="AA485" s="5" t="s">
        <v>67</v>
      </c>
      <c r="AB485" s="5" t="s">
        <v>78</v>
      </c>
      <c r="AC485" s="5" t="s">
        <v>121</v>
      </c>
      <c r="AD485" s="5">
        <v>4</v>
      </c>
    </row>
    <row r="486" spans="1:30">
      <c r="A486" s="5" t="s">
        <v>1484</v>
      </c>
      <c r="B486" s="1">
        <v>45695</v>
      </c>
      <c r="C486" s="5" t="s">
        <v>1485</v>
      </c>
      <c r="D486" s="5" t="s">
        <v>813</v>
      </c>
      <c r="E486" s="5" t="s">
        <v>55</v>
      </c>
      <c r="F486" s="5" t="s">
        <v>56</v>
      </c>
      <c r="G486" s="5" t="s">
        <v>57</v>
      </c>
      <c r="H486" s="5" t="s">
        <v>38</v>
      </c>
      <c r="I486" s="5" t="s">
        <v>39</v>
      </c>
      <c r="J486" s="5" t="s">
        <v>40</v>
      </c>
      <c r="K486" s="5">
        <v>7</v>
      </c>
      <c r="L486" s="5">
        <v>50000</v>
      </c>
      <c r="M486" s="5">
        <v>0.05</v>
      </c>
      <c r="N486" s="5">
        <v>332500</v>
      </c>
      <c r="O486" s="5">
        <v>239394.49</v>
      </c>
      <c r="P486" s="5">
        <v>93105.51</v>
      </c>
      <c r="Q486" s="5">
        <v>28</v>
      </c>
      <c r="R486" s="5" t="s">
        <v>166</v>
      </c>
      <c r="S486" s="5" t="s">
        <v>74</v>
      </c>
      <c r="T486" s="5" t="s">
        <v>97</v>
      </c>
      <c r="U486" s="5" t="s">
        <v>151</v>
      </c>
      <c r="V486" s="5">
        <v>2025</v>
      </c>
      <c r="W486" s="5" t="s">
        <v>134</v>
      </c>
      <c r="X486" s="5">
        <v>4</v>
      </c>
      <c r="Y486" s="1">
        <v>45815</v>
      </c>
      <c r="Z486" s="5" t="s">
        <v>47</v>
      </c>
      <c r="AA486" s="5" t="s">
        <v>67</v>
      </c>
      <c r="AB486" s="5" t="s">
        <v>78</v>
      </c>
      <c r="AC486" s="5" t="s">
        <v>121</v>
      </c>
      <c r="AD486" s="5">
        <v>5</v>
      </c>
    </row>
    <row r="487" spans="1:30">
      <c r="A487" s="5" t="s">
        <v>1486</v>
      </c>
      <c r="B487" s="1">
        <v>45669</v>
      </c>
      <c r="C487" s="5" t="s">
        <v>971</v>
      </c>
      <c r="D487" s="5" t="s">
        <v>623</v>
      </c>
      <c r="E487" s="5" t="s">
        <v>55</v>
      </c>
      <c r="F487" s="5" t="s">
        <v>149</v>
      </c>
      <c r="G487" s="5" t="s">
        <v>150</v>
      </c>
      <c r="H487" s="5" t="s">
        <v>171</v>
      </c>
      <c r="I487" s="5" t="s">
        <v>39</v>
      </c>
      <c r="J487" s="5" t="s">
        <v>40</v>
      </c>
      <c r="K487" s="5">
        <v>2</v>
      </c>
      <c r="L487" s="5">
        <v>35000</v>
      </c>
      <c r="M487" s="5">
        <v>0</v>
      </c>
      <c r="N487" s="5">
        <v>70000</v>
      </c>
      <c r="O487" s="5">
        <v>39746.629999999997</v>
      </c>
      <c r="P487" s="5">
        <v>30253.37</v>
      </c>
      <c r="Q487" s="5">
        <v>43.22</v>
      </c>
      <c r="R487" s="5" t="s">
        <v>73</v>
      </c>
      <c r="S487" s="5" t="s">
        <v>74</v>
      </c>
      <c r="T487" s="5" t="s">
        <v>159</v>
      </c>
      <c r="U487" s="5" t="s">
        <v>64</v>
      </c>
      <c r="V487" s="5">
        <v>2025</v>
      </c>
      <c r="W487" s="5" t="s">
        <v>126</v>
      </c>
      <c r="X487" s="5">
        <v>9</v>
      </c>
      <c r="Y487" s="1">
        <v>45942</v>
      </c>
      <c r="Z487" s="5" t="s">
        <v>110</v>
      </c>
      <c r="AA487" s="5" t="s">
        <v>90</v>
      </c>
      <c r="AB487" s="5" t="s">
        <v>49</v>
      </c>
      <c r="AC487" s="5" t="s">
        <v>50</v>
      </c>
      <c r="AD487" s="5">
        <v>2</v>
      </c>
    </row>
    <row r="488" spans="1:30">
      <c r="A488" s="5" t="s">
        <v>1487</v>
      </c>
      <c r="B488" s="1" t="s">
        <v>943</v>
      </c>
      <c r="C488" s="5" t="s">
        <v>1025</v>
      </c>
      <c r="D488" s="5" t="s">
        <v>205</v>
      </c>
      <c r="E488" s="5" t="s">
        <v>55</v>
      </c>
      <c r="F488" s="5" t="s">
        <v>156</v>
      </c>
      <c r="G488" s="5" t="s">
        <v>157</v>
      </c>
      <c r="H488" s="5" t="s">
        <v>58</v>
      </c>
      <c r="I488" s="5" t="s">
        <v>39</v>
      </c>
      <c r="J488" s="5" t="s">
        <v>356</v>
      </c>
      <c r="K488" s="5">
        <v>3</v>
      </c>
      <c r="L488" s="5">
        <v>35000</v>
      </c>
      <c r="M488" s="5">
        <v>0.1</v>
      </c>
      <c r="N488" s="5">
        <v>94500</v>
      </c>
      <c r="O488" s="5">
        <v>65471.42</v>
      </c>
      <c r="P488" s="5">
        <v>29028.58</v>
      </c>
      <c r="Q488" s="5">
        <v>30.72</v>
      </c>
      <c r="R488" s="5" t="s">
        <v>106</v>
      </c>
      <c r="S488" s="5" t="s">
        <v>74</v>
      </c>
      <c r="T488" s="5" t="s">
        <v>97</v>
      </c>
      <c r="U488" s="5" t="s">
        <v>218</v>
      </c>
      <c r="V488" s="5">
        <v>2025</v>
      </c>
      <c r="W488" s="5" t="s">
        <v>126</v>
      </c>
      <c r="X488" s="5">
        <v>8</v>
      </c>
      <c r="Y488" s="1">
        <v>45697</v>
      </c>
      <c r="Z488" s="5" t="s">
        <v>47</v>
      </c>
      <c r="AA488" s="5" t="s">
        <v>67</v>
      </c>
      <c r="AB488" s="5" t="s">
        <v>49</v>
      </c>
      <c r="AC488" s="5" t="s">
        <v>50</v>
      </c>
      <c r="AD488" s="5">
        <v>5</v>
      </c>
    </row>
    <row r="489" spans="1:30">
      <c r="A489" s="5" t="s">
        <v>1488</v>
      </c>
      <c r="B489" s="1" t="s">
        <v>1489</v>
      </c>
      <c r="C489" s="5" t="s">
        <v>1490</v>
      </c>
      <c r="D489" s="5" t="s">
        <v>905</v>
      </c>
      <c r="E489" s="5" t="s">
        <v>55</v>
      </c>
      <c r="F489" s="5" t="s">
        <v>131</v>
      </c>
      <c r="G489" s="5" t="s">
        <v>132</v>
      </c>
      <c r="H489" s="5" t="s">
        <v>171</v>
      </c>
      <c r="I489" s="5" t="s">
        <v>59</v>
      </c>
      <c r="J489" s="5" t="s">
        <v>133</v>
      </c>
      <c r="K489" s="5">
        <v>8</v>
      </c>
      <c r="L489" s="5">
        <v>3000</v>
      </c>
      <c r="M489" s="5">
        <v>0.05</v>
      </c>
      <c r="N489" s="5">
        <v>22800</v>
      </c>
      <c r="O489" s="5">
        <v>16930.599999999999</v>
      </c>
      <c r="P489" s="5">
        <v>5869.4</v>
      </c>
      <c r="Q489" s="5">
        <v>25.74</v>
      </c>
      <c r="R489" s="5" t="s">
        <v>106</v>
      </c>
      <c r="S489" s="5" t="s">
        <v>42</v>
      </c>
      <c r="T489" s="5" t="s">
        <v>97</v>
      </c>
      <c r="U489" s="5" t="s">
        <v>108</v>
      </c>
      <c r="V489" s="5">
        <v>2024</v>
      </c>
      <c r="W489" s="5" t="s">
        <v>45</v>
      </c>
      <c r="X489" s="5">
        <v>1</v>
      </c>
      <c r="Y489" s="1" t="s">
        <v>789</v>
      </c>
      <c r="Z489" s="5" t="s">
        <v>89</v>
      </c>
      <c r="AA489" s="5" t="s">
        <v>48</v>
      </c>
      <c r="AB489" s="5" t="s">
        <v>49</v>
      </c>
      <c r="AC489" s="5" t="s">
        <v>50</v>
      </c>
      <c r="AD489" s="5">
        <v>4</v>
      </c>
    </row>
    <row r="490" spans="1:30">
      <c r="A490" s="5" t="s">
        <v>1491</v>
      </c>
      <c r="B490" s="1">
        <v>45545</v>
      </c>
      <c r="C490" s="5" t="s">
        <v>681</v>
      </c>
      <c r="D490" s="5" t="s">
        <v>335</v>
      </c>
      <c r="E490" s="5" t="s">
        <v>35</v>
      </c>
      <c r="F490" s="5" t="s">
        <v>245</v>
      </c>
      <c r="G490" s="5" t="s">
        <v>246</v>
      </c>
      <c r="H490" s="5" t="s">
        <v>171</v>
      </c>
      <c r="I490" s="5" t="s">
        <v>71</v>
      </c>
      <c r="J490" s="5" t="s">
        <v>240</v>
      </c>
      <c r="K490" s="5">
        <v>8</v>
      </c>
      <c r="L490" s="5">
        <v>3500</v>
      </c>
      <c r="M490" s="5">
        <v>0.1</v>
      </c>
      <c r="N490" s="5">
        <v>25200</v>
      </c>
      <c r="O490" s="5">
        <v>20267.169999999998</v>
      </c>
      <c r="P490" s="5">
        <v>4932.83</v>
      </c>
      <c r="Q490" s="5">
        <v>19.57</v>
      </c>
      <c r="R490" s="5" t="s">
        <v>166</v>
      </c>
      <c r="S490" s="5" t="s">
        <v>62</v>
      </c>
      <c r="T490" s="5" t="s">
        <v>173</v>
      </c>
      <c r="U490" s="5" t="s">
        <v>87</v>
      </c>
      <c r="V490" s="5">
        <v>2024</v>
      </c>
      <c r="W490" s="5" t="s">
        <v>134</v>
      </c>
      <c r="X490" s="5">
        <v>7</v>
      </c>
      <c r="Y490" s="1" t="s">
        <v>271</v>
      </c>
      <c r="Z490" s="5" t="s">
        <v>89</v>
      </c>
      <c r="AA490" s="5" t="s">
        <v>48</v>
      </c>
      <c r="AB490" s="5" t="s">
        <v>49</v>
      </c>
      <c r="AC490" s="5" t="s">
        <v>121</v>
      </c>
      <c r="AD490" s="5">
        <v>2</v>
      </c>
    </row>
    <row r="491" spans="1:30">
      <c r="A491" s="5" t="s">
        <v>1492</v>
      </c>
      <c r="B491" s="1" t="s">
        <v>1351</v>
      </c>
      <c r="C491" s="5" t="s">
        <v>1493</v>
      </c>
      <c r="D491" s="5" t="s">
        <v>900</v>
      </c>
      <c r="E491" s="5" t="s">
        <v>103</v>
      </c>
      <c r="F491" s="5" t="s">
        <v>36</v>
      </c>
      <c r="G491" s="5" t="s">
        <v>37</v>
      </c>
      <c r="H491" s="5" t="s">
        <v>38</v>
      </c>
      <c r="I491" s="5" t="s">
        <v>95</v>
      </c>
      <c r="J491" s="5" t="s">
        <v>96</v>
      </c>
      <c r="K491" s="5">
        <v>1</v>
      </c>
      <c r="L491" s="5">
        <v>2500</v>
      </c>
      <c r="M491" s="5">
        <v>0.1</v>
      </c>
      <c r="N491" s="5">
        <v>2250</v>
      </c>
      <c r="O491" s="5">
        <v>1822.02</v>
      </c>
      <c r="P491" s="5">
        <v>427.98</v>
      </c>
      <c r="Q491" s="5">
        <v>19.02</v>
      </c>
      <c r="R491" s="5" t="s">
        <v>166</v>
      </c>
      <c r="S491" s="5" t="s">
        <v>62</v>
      </c>
      <c r="T491" s="5" t="s">
        <v>107</v>
      </c>
      <c r="U491" s="5" t="s">
        <v>151</v>
      </c>
      <c r="V491" s="5">
        <v>2025</v>
      </c>
      <c r="W491" s="5" t="s">
        <v>126</v>
      </c>
      <c r="X491" s="5">
        <v>8</v>
      </c>
      <c r="Y491" s="1" t="s">
        <v>1026</v>
      </c>
      <c r="Z491" s="5" t="s">
        <v>47</v>
      </c>
      <c r="AA491" s="5" t="s">
        <v>48</v>
      </c>
      <c r="AB491" s="5" t="s">
        <v>111</v>
      </c>
      <c r="AC491" s="5" t="s">
        <v>121</v>
      </c>
      <c r="AD491" s="5">
        <v>4</v>
      </c>
    </row>
    <row r="492" spans="1:30">
      <c r="A492" s="5" t="s">
        <v>1494</v>
      </c>
      <c r="B492" s="1" t="s">
        <v>66</v>
      </c>
      <c r="C492" s="5" t="s">
        <v>1060</v>
      </c>
      <c r="D492" s="5" t="s">
        <v>761</v>
      </c>
      <c r="E492" s="5" t="s">
        <v>35</v>
      </c>
      <c r="F492" s="5" t="s">
        <v>104</v>
      </c>
      <c r="G492" s="5" t="s">
        <v>104</v>
      </c>
      <c r="H492" s="5" t="s">
        <v>38</v>
      </c>
      <c r="I492" s="5" t="s">
        <v>59</v>
      </c>
      <c r="J492" s="5" t="s">
        <v>206</v>
      </c>
      <c r="K492" s="5">
        <v>1</v>
      </c>
      <c r="L492" s="5">
        <v>2000</v>
      </c>
      <c r="M492" s="5">
        <v>0.2</v>
      </c>
      <c r="N492" s="5">
        <v>1600</v>
      </c>
      <c r="O492" s="5">
        <v>1175.52</v>
      </c>
      <c r="P492" s="5">
        <v>424.48</v>
      </c>
      <c r="Q492" s="5">
        <v>26.53</v>
      </c>
      <c r="R492" s="5" t="s">
        <v>73</v>
      </c>
      <c r="S492" s="5" t="s">
        <v>74</v>
      </c>
      <c r="T492" s="5" t="s">
        <v>97</v>
      </c>
      <c r="U492" s="5" t="s">
        <v>64</v>
      </c>
      <c r="V492" s="5">
        <v>2024</v>
      </c>
      <c r="W492" s="5" t="s">
        <v>139</v>
      </c>
      <c r="X492" s="5">
        <v>4</v>
      </c>
      <c r="Y492" s="1" t="s">
        <v>446</v>
      </c>
      <c r="Z492" s="5" t="s">
        <v>89</v>
      </c>
      <c r="AA492" s="5" t="s">
        <v>90</v>
      </c>
      <c r="AB492" s="5" t="s">
        <v>111</v>
      </c>
      <c r="AC492" s="5" t="s">
        <v>50</v>
      </c>
      <c r="AD492" s="5">
        <v>1</v>
      </c>
    </row>
    <row r="493" spans="1:30">
      <c r="A493" s="5" t="s">
        <v>1495</v>
      </c>
      <c r="B493" s="1">
        <v>45638</v>
      </c>
      <c r="C493" s="5" t="s">
        <v>514</v>
      </c>
      <c r="D493" s="5" t="s">
        <v>268</v>
      </c>
      <c r="E493" s="5" t="s">
        <v>55</v>
      </c>
      <c r="F493" s="5" t="s">
        <v>156</v>
      </c>
      <c r="G493" s="5" t="s">
        <v>157</v>
      </c>
      <c r="H493" s="5" t="s">
        <v>171</v>
      </c>
      <c r="I493" s="5" t="s">
        <v>71</v>
      </c>
      <c r="J493" s="5" t="s">
        <v>158</v>
      </c>
      <c r="K493" s="5">
        <v>3</v>
      </c>
      <c r="L493" s="5">
        <v>1800</v>
      </c>
      <c r="M493" s="5">
        <v>0</v>
      </c>
      <c r="N493" s="5">
        <v>5400</v>
      </c>
      <c r="O493" s="5">
        <v>4210.43</v>
      </c>
      <c r="P493" s="5">
        <v>1189.57</v>
      </c>
      <c r="Q493" s="5">
        <v>22.03</v>
      </c>
      <c r="R493" s="5" t="s">
        <v>61</v>
      </c>
      <c r="S493" s="5" t="s">
        <v>74</v>
      </c>
      <c r="T493" s="5" t="s">
        <v>43</v>
      </c>
      <c r="U493" s="5" t="s">
        <v>64</v>
      </c>
      <c r="V493" s="5">
        <v>2024</v>
      </c>
      <c r="W493" s="5" t="s">
        <v>139</v>
      </c>
      <c r="X493" s="5">
        <v>4</v>
      </c>
      <c r="Y493" s="1" t="s">
        <v>826</v>
      </c>
      <c r="Z493" s="5" t="s">
        <v>89</v>
      </c>
      <c r="AA493" s="5" t="s">
        <v>48</v>
      </c>
      <c r="AB493" s="5" t="s">
        <v>111</v>
      </c>
      <c r="AC493" s="5" t="s">
        <v>50</v>
      </c>
      <c r="AD493" s="5">
        <v>2</v>
      </c>
    </row>
    <row r="494" spans="1:30">
      <c r="A494" s="5" t="s">
        <v>1496</v>
      </c>
      <c r="B494" s="1" t="s">
        <v>1283</v>
      </c>
      <c r="C494" s="5" t="s">
        <v>1497</v>
      </c>
      <c r="D494" s="5" t="s">
        <v>343</v>
      </c>
      <c r="E494" s="5" t="s">
        <v>35</v>
      </c>
      <c r="F494" s="5" t="s">
        <v>116</v>
      </c>
      <c r="G494" s="5" t="s">
        <v>37</v>
      </c>
      <c r="H494" s="5" t="s">
        <v>58</v>
      </c>
      <c r="I494" s="5" t="s">
        <v>59</v>
      </c>
      <c r="J494" s="5" t="s">
        <v>328</v>
      </c>
      <c r="K494" s="5">
        <v>8</v>
      </c>
      <c r="L494" s="5">
        <v>3000</v>
      </c>
      <c r="M494" s="5">
        <v>0.15</v>
      </c>
      <c r="N494" s="5">
        <v>20400</v>
      </c>
      <c r="O494" s="5">
        <v>14610.34</v>
      </c>
      <c r="P494" s="5">
        <v>5789.66</v>
      </c>
      <c r="Q494" s="5">
        <v>28.38</v>
      </c>
      <c r="R494" s="5" t="s">
        <v>61</v>
      </c>
      <c r="S494" s="5" t="s">
        <v>42</v>
      </c>
      <c r="T494" s="5" t="s">
        <v>118</v>
      </c>
      <c r="U494" s="5" t="s">
        <v>98</v>
      </c>
      <c r="V494" s="5">
        <v>2024</v>
      </c>
      <c r="W494" s="5" t="s">
        <v>134</v>
      </c>
      <c r="X494" s="5">
        <v>6</v>
      </c>
      <c r="Y494" s="1">
        <v>45415</v>
      </c>
      <c r="Z494" s="5" t="s">
        <v>47</v>
      </c>
      <c r="AA494" s="5" t="s">
        <v>67</v>
      </c>
      <c r="AB494" s="5" t="s">
        <v>78</v>
      </c>
      <c r="AC494" s="5" t="s">
        <v>121</v>
      </c>
      <c r="AD494" s="5">
        <v>1</v>
      </c>
    </row>
    <row r="495" spans="1:30">
      <c r="A495" s="5" t="s">
        <v>1498</v>
      </c>
      <c r="B495" s="1">
        <v>45449</v>
      </c>
      <c r="C495" s="5" t="s">
        <v>980</v>
      </c>
      <c r="D495" s="5" t="s">
        <v>1337</v>
      </c>
      <c r="E495" s="5" t="s">
        <v>103</v>
      </c>
      <c r="F495" s="5" t="s">
        <v>156</v>
      </c>
      <c r="G495" s="5" t="s">
        <v>157</v>
      </c>
      <c r="H495" s="5" t="s">
        <v>171</v>
      </c>
      <c r="I495" s="5" t="s">
        <v>71</v>
      </c>
      <c r="J495" s="5" t="s">
        <v>117</v>
      </c>
      <c r="K495" s="5">
        <v>2</v>
      </c>
      <c r="L495" s="5">
        <v>3500</v>
      </c>
      <c r="M495" s="5">
        <v>0.2</v>
      </c>
      <c r="N495" s="5">
        <v>5600</v>
      </c>
      <c r="O495" s="5">
        <v>4460.62</v>
      </c>
      <c r="P495" s="5">
        <v>1139.3800000000001</v>
      </c>
      <c r="Q495" s="5">
        <v>20.350000000000001</v>
      </c>
      <c r="R495" s="5" t="s">
        <v>73</v>
      </c>
      <c r="S495" s="5" t="s">
        <v>62</v>
      </c>
      <c r="T495" s="5" t="s">
        <v>75</v>
      </c>
      <c r="U495" s="5" t="s">
        <v>160</v>
      </c>
      <c r="V495" s="5">
        <v>2024</v>
      </c>
      <c r="W495" s="5" t="s">
        <v>139</v>
      </c>
      <c r="X495" s="5">
        <v>7</v>
      </c>
      <c r="Y495" s="1" t="s">
        <v>857</v>
      </c>
      <c r="Z495" s="5" t="s">
        <v>47</v>
      </c>
      <c r="AA495" s="5" t="s">
        <v>67</v>
      </c>
      <c r="AB495" s="5" t="s">
        <v>78</v>
      </c>
      <c r="AC495" s="5" t="s">
        <v>50</v>
      </c>
      <c r="AD495" s="5">
        <v>4</v>
      </c>
    </row>
    <row r="496" spans="1:30">
      <c r="A496" s="5" t="s">
        <v>1499</v>
      </c>
      <c r="B496" s="1" t="s">
        <v>493</v>
      </c>
      <c r="C496" s="5" t="s">
        <v>1426</v>
      </c>
      <c r="D496" s="5" t="s">
        <v>692</v>
      </c>
      <c r="E496" s="5" t="s">
        <v>103</v>
      </c>
      <c r="F496" s="5" t="s">
        <v>245</v>
      </c>
      <c r="G496" s="5" t="s">
        <v>246</v>
      </c>
      <c r="H496" s="5" t="s">
        <v>38</v>
      </c>
      <c r="I496" s="5" t="s">
        <v>59</v>
      </c>
      <c r="J496" s="5" t="s">
        <v>60</v>
      </c>
      <c r="K496" s="5">
        <v>2</v>
      </c>
      <c r="L496" s="5">
        <v>2000</v>
      </c>
      <c r="M496" s="5">
        <v>0.15</v>
      </c>
      <c r="N496" s="5">
        <v>3400</v>
      </c>
      <c r="O496" s="5">
        <v>2555.83</v>
      </c>
      <c r="P496" s="5">
        <v>844.17</v>
      </c>
      <c r="Q496" s="5">
        <v>24.83</v>
      </c>
      <c r="R496" s="5" t="s">
        <v>106</v>
      </c>
      <c r="S496" s="5" t="s">
        <v>74</v>
      </c>
      <c r="T496" s="5" t="s">
        <v>159</v>
      </c>
      <c r="U496" s="5" t="s">
        <v>160</v>
      </c>
      <c r="V496" s="5">
        <v>2024</v>
      </c>
      <c r="W496" s="5" t="s">
        <v>194</v>
      </c>
      <c r="X496" s="5">
        <v>3</v>
      </c>
      <c r="Y496" s="1" t="s">
        <v>153</v>
      </c>
      <c r="Z496" s="5" t="s">
        <v>47</v>
      </c>
      <c r="AA496" s="5" t="s">
        <v>90</v>
      </c>
      <c r="AB496" s="5" t="s">
        <v>49</v>
      </c>
      <c r="AC496" s="5" t="s">
        <v>50</v>
      </c>
      <c r="AD496" s="5">
        <v>4</v>
      </c>
    </row>
    <row r="497" spans="1:30">
      <c r="A497" s="5" t="s">
        <v>1500</v>
      </c>
      <c r="B497" s="1">
        <v>45296</v>
      </c>
      <c r="C497" s="5" t="s">
        <v>951</v>
      </c>
      <c r="D497" s="5" t="s">
        <v>519</v>
      </c>
      <c r="E497" s="5" t="s">
        <v>55</v>
      </c>
      <c r="F497" s="5" t="s">
        <v>82</v>
      </c>
      <c r="G497" s="5" t="s">
        <v>83</v>
      </c>
      <c r="H497" s="5" t="s">
        <v>94</v>
      </c>
      <c r="I497" s="5" t="s">
        <v>39</v>
      </c>
      <c r="J497" s="5" t="s">
        <v>105</v>
      </c>
      <c r="K497" s="5">
        <v>4</v>
      </c>
      <c r="L497" s="5">
        <v>22000</v>
      </c>
      <c r="M497" s="5">
        <v>0.1</v>
      </c>
      <c r="N497" s="5">
        <v>79200</v>
      </c>
      <c r="O497" s="5">
        <v>55323.839999999997</v>
      </c>
      <c r="P497" s="5">
        <v>23876.16</v>
      </c>
      <c r="Q497" s="5">
        <v>30.15</v>
      </c>
      <c r="R497" s="5" t="s">
        <v>73</v>
      </c>
      <c r="S497" s="5" t="s">
        <v>74</v>
      </c>
      <c r="T497" s="5" t="s">
        <v>173</v>
      </c>
      <c r="U497" s="5" t="s">
        <v>119</v>
      </c>
      <c r="V497" s="5">
        <v>2024</v>
      </c>
      <c r="W497" s="5" t="s">
        <v>134</v>
      </c>
      <c r="X497" s="5">
        <v>7</v>
      </c>
      <c r="Y497" s="1">
        <v>45509</v>
      </c>
      <c r="Z497" s="5" t="s">
        <v>110</v>
      </c>
      <c r="AA497" s="5" t="s">
        <v>90</v>
      </c>
      <c r="AB497" s="5" t="s">
        <v>49</v>
      </c>
      <c r="AC497" s="5" t="s">
        <v>121</v>
      </c>
      <c r="AD497" s="5">
        <v>3</v>
      </c>
    </row>
    <row r="498" spans="1:30">
      <c r="A498" s="5" t="s">
        <v>1501</v>
      </c>
      <c r="B498" s="1" t="s">
        <v>222</v>
      </c>
      <c r="C498" s="5" t="s">
        <v>1502</v>
      </c>
      <c r="D498" s="5" t="s">
        <v>499</v>
      </c>
      <c r="E498" s="5" t="s">
        <v>35</v>
      </c>
      <c r="F498" s="5" t="s">
        <v>131</v>
      </c>
      <c r="G498" s="5" t="s">
        <v>132</v>
      </c>
      <c r="H498" s="5" t="s">
        <v>94</v>
      </c>
      <c r="I498" s="5" t="s">
        <v>39</v>
      </c>
      <c r="J498" s="5" t="s">
        <v>105</v>
      </c>
      <c r="K498" s="5">
        <v>1</v>
      </c>
      <c r="L498" s="5">
        <v>50000</v>
      </c>
      <c r="M498" s="5">
        <v>0.1</v>
      </c>
      <c r="N498" s="5">
        <v>45000</v>
      </c>
      <c r="O498" s="5">
        <v>30027.09</v>
      </c>
      <c r="P498" s="5">
        <v>14972.91</v>
      </c>
      <c r="Q498" s="5">
        <v>33.270000000000003</v>
      </c>
      <c r="R498" s="5" t="s">
        <v>73</v>
      </c>
      <c r="S498" s="5" t="s">
        <v>42</v>
      </c>
      <c r="T498" s="5" t="s">
        <v>118</v>
      </c>
      <c r="U498" s="5" t="s">
        <v>178</v>
      </c>
      <c r="V498" s="5">
        <v>2025</v>
      </c>
      <c r="W498" s="5" t="s">
        <v>65</v>
      </c>
      <c r="X498" s="5">
        <v>10</v>
      </c>
      <c r="Y498" s="1" t="s">
        <v>1269</v>
      </c>
      <c r="Z498" s="5" t="s">
        <v>47</v>
      </c>
      <c r="AA498" s="5" t="s">
        <v>48</v>
      </c>
      <c r="AB498" s="5" t="s">
        <v>111</v>
      </c>
      <c r="AC498" s="5" t="s">
        <v>121</v>
      </c>
      <c r="AD498" s="5">
        <v>2</v>
      </c>
    </row>
    <row r="499" spans="1:30">
      <c r="A499" s="5" t="s">
        <v>1503</v>
      </c>
      <c r="B499" s="1" t="s">
        <v>996</v>
      </c>
      <c r="C499" s="5" t="s">
        <v>447</v>
      </c>
      <c r="D499" s="5" t="s">
        <v>627</v>
      </c>
      <c r="E499" s="5" t="s">
        <v>35</v>
      </c>
      <c r="F499" s="5" t="s">
        <v>116</v>
      </c>
      <c r="G499" s="5" t="s">
        <v>37</v>
      </c>
      <c r="H499" s="5" t="s">
        <v>38</v>
      </c>
      <c r="I499" s="5" t="s">
        <v>39</v>
      </c>
      <c r="J499" s="5" t="s">
        <v>40</v>
      </c>
      <c r="K499" s="5">
        <v>4</v>
      </c>
      <c r="L499" s="5">
        <v>50000</v>
      </c>
      <c r="M499" s="5">
        <v>0.15</v>
      </c>
      <c r="N499" s="5">
        <v>170000</v>
      </c>
      <c r="O499" s="5">
        <v>125682.55</v>
      </c>
      <c r="P499" s="5">
        <v>44317.45</v>
      </c>
      <c r="Q499" s="5">
        <v>26.07</v>
      </c>
      <c r="R499" s="5" t="s">
        <v>73</v>
      </c>
      <c r="S499" s="5" t="s">
        <v>74</v>
      </c>
      <c r="T499" s="5" t="s">
        <v>118</v>
      </c>
      <c r="U499" s="5" t="s">
        <v>151</v>
      </c>
      <c r="V499" s="5">
        <v>2024</v>
      </c>
      <c r="W499" s="5" t="s">
        <v>126</v>
      </c>
      <c r="X499" s="5">
        <v>8</v>
      </c>
      <c r="Y499" s="1" t="s">
        <v>569</v>
      </c>
      <c r="Z499" s="5" t="s">
        <v>47</v>
      </c>
      <c r="AA499" s="5" t="s">
        <v>67</v>
      </c>
      <c r="AB499" s="5" t="s">
        <v>49</v>
      </c>
      <c r="AC499" s="5" t="s">
        <v>50</v>
      </c>
      <c r="AD499" s="5">
        <v>2</v>
      </c>
    </row>
    <row r="500" spans="1:30">
      <c r="A500" s="5" t="s">
        <v>1504</v>
      </c>
      <c r="B500" s="1" t="s">
        <v>1131</v>
      </c>
      <c r="C500" s="5" t="s">
        <v>389</v>
      </c>
      <c r="D500" s="5" t="s">
        <v>1305</v>
      </c>
      <c r="E500" s="5" t="s">
        <v>55</v>
      </c>
      <c r="F500" s="5" t="s">
        <v>245</v>
      </c>
      <c r="G500" s="5" t="s">
        <v>246</v>
      </c>
      <c r="H500" s="5" t="s">
        <v>94</v>
      </c>
      <c r="I500" s="5" t="s">
        <v>71</v>
      </c>
      <c r="J500" s="5" t="s">
        <v>72</v>
      </c>
      <c r="K500" s="5">
        <v>10</v>
      </c>
      <c r="L500" s="5">
        <v>1200</v>
      </c>
      <c r="M500" s="5">
        <v>0</v>
      </c>
      <c r="N500" s="5">
        <v>12000</v>
      </c>
      <c r="O500" s="5">
        <v>8300.91</v>
      </c>
      <c r="P500" s="5">
        <v>3699.09</v>
      </c>
      <c r="Q500" s="5">
        <v>30.83</v>
      </c>
      <c r="R500" s="5" t="s">
        <v>166</v>
      </c>
      <c r="S500" s="5" t="s">
        <v>74</v>
      </c>
      <c r="T500" s="5" t="s">
        <v>107</v>
      </c>
      <c r="U500" s="5" t="s">
        <v>98</v>
      </c>
      <c r="V500" s="5">
        <v>2024</v>
      </c>
      <c r="W500" s="5" t="s">
        <v>139</v>
      </c>
      <c r="X500" s="5">
        <v>7</v>
      </c>
      <c r="Y500" s="1" t="s">
        <v>427</v>
      </c>
      <c r="Z500" s="5" t="s">
        <v>110</v>
      </c>
      <c r="AA500" s="5" t="s">
        <v>67</v>
      </c>
      <c r="AB500" s="5" t="s">
        <v>111</v>
      </c>
      <c r="AC500" s="5" t="s">
        <v>121</v>
      </c>
      <c r="AD500" s="5">
        <v>3</v>
      </c>
    </row>
    <row r="501" spans="1:30">
      <c r="A501" s="5" t="s">
        <v>1505</v>
      </c>
      <c r="B501" s="1">
        <v>45544</v>
      </c>
      <c r="C501" s="5" t="s">
        <v>938</v>
      </c>
      <c r="D501" s="5" t="s">
        <v>1506</v>
      </c>
      <c r="E501" s="5" t="s">
        <v>103</v>
      </c>
      <c r="F501" s="5" t="s">
        <v>36</v>
      </c>
      <c r="G501" s="5" t="s">
        <v>37</v>
      </c>
      <c r="H501" s="5" t="s">
        <v>171</v>
      </c>
      <c r="I501" s="5" t="s">
        <v>84</v>
      </c>
      <c r="J501" s="5" t="s">
        <v>229</v>
      </c>
      <c r="K501" s="5">
        <v>5</v>
      </c>
      <c r="L501" s="5">
        <v>350</v>
      </c>
      <c r="M501" s="5">
        <v>0.15</v>
      </c>
      <c r="N501" s="5">
        <v>1487.5</v>
      </c>
      <c r="O501" s="5">
        <v>891.12</v>
      </c>
      <c r="P501" s="5">
        <v>596.38</v>
      </c>
      <c r="Q501" s="5">
        <v>40.090000000000003</v>
      </c>
      <c r="R501" s="5" t="s">
        <v>73</v>
      </c>
      <c r="S501" s="5" t="s">
        <v>62</v>
      </c>
      <c r="T501" s="5" t="s">
        <v>138</v>
      </c>
      <c r="U501" s="5" t="s">
        <v>108</v>
      </c>
      <c r="V501" s="5">
        <v>2024</v>
      </c>
      <c r="W501" s="5" t="s">
        <v>126</v>
      </c>
      <c r="X501" s="5">
        <v>6</v>
      </c>
      <c r="Y501" s="1" t="s">
        <v>632</v>
      </c>
      <c r="Z501" s="5" t="s">
        <v>47</v>
      </c>
      <c r="AA501" s="5" t="s">
        <v>67</v>
      </c>
      <c r="AB501" s="5" t="s">
        <v>111</v>
      </c>
      <c r="AC501" s="5" t="s">
        <v>121</v>
      </c>
      <c r="AD501" s="5">
        <v>4</v>
      </c>
    </row>
    <row r="502" spans="1:30">
      <c r="A502" s="5" t="s">
        <v>1507</v>
      </c>
      <c r="B502" s="1" t="s">
        <v>1252</v>
      </c>
      <c r="C502" s="5" t="s">
        <v>1392</v>
      </c>
      <c r="D502" s="5" t="s">
        <v>870</v>
      </c>
      <c r="E502" s="5" t="s">
        <v>103</v>
      </c>
      <c r="F502" s="5" t="s">
        <v>245</v>
      </c>
      <c r="G502" s="5" t="s">
        <v>246</v>
      </c>
      <c r="H502" s="5" t="s">
        <v>171</v>
      </c>
      <c r="I502" s="5" t="s">
        <v>84</v>
      </c>
      <c r="J502" s="5" t="s">
        <v>290</v>
      </c>
      <c r="K502" s="5">
        <v>6</v>
      </c>
      <c r="L502" s="5">
        <v>350</v>
      </c>
      <c r="M502" s="5">
        <v>0.1</v>
      </c>
      <c r="N502" s="5">
        <v>1890</v>
      </c>
      <c r="O502" s="5">
        <v>1388.02</v>
      </c>
      <c r="P502" s="5">
        <v>501.98</v>
      </c>
      <c r="Q502" s="5">
        <v>26.56</v>
      </c>
      <c r="R502" s="5" t="s">
        <v>41</v>
      </c>
      <c r="S502" s="5" t="s">
        <v>42</v>
      </c>
      <c r="T502" s="5" t="s">
        <v>63</v>
      </c>
      <c r="U502" s="5" t="s">
        <v>44</v>
      </c>
      <c r="V502" s="5">
        <v>2024</v>
      </c>
      <c r="W502" s="5" t="s">
        <v>134</v>
      </c>
      <c r="X502" s="5">
        <v>2</v>
      </c>
      <c r="Y502" s="1" t="s">
        <v>1066</v>
      </c>
      <c r="Z502" s="5" t="s">
        <v>47</v>
      </c>
      <c r="AA502" s="5" t="s">
        <v>67</v>
      </c>
      <c r="AB502" s="5" t="s">
        <v>49</v>
      </c>
      <c r="AC502" s="5" t="s">
        <v>50</v>
      </c>
      <c r="AD502" s="5">
        <v>2</v>
      </c>
    </row>
    <row r="503" spans="1:30">
      <c r="A503" s="5" t="s">
        <v>1508</v>
      </c>
      <c r="B503" s="1">
        <v>45356</v>
      </c>
      <c r="C503" s="5" t="s">
        <v>1509</v>
      </c>
      <c r="D503" s="5" t="s">
        <v>1057</v>
      </c>
      <c r="E503" s="5" t="s">
        <v>103</v>
      </c>
      <c r="F503" s="5" t="s">
        <v>144</v>
      </c>
      <c r="G503" s="5" t="s">
        <v>145</v>
      </c>
      <c r="H503" s="5" t="s">
        <v>94</v>
      </c>
      <c r="I503" s="5" t="s">
        <v>71</v>
      </c>
      <c r="J503" s="5" t="s">
        <v>72</v>
      </c>
      <c r="K503" s="5">
        <v>2</v>
      </c>
      <c r="L503" s="5">
        <v>1200</v>
      </c>
      <c r="M503" s="5">
        <v>0.2</v>
      </c>
      <c r="N503" s="5">
        <v>1920</v>
      </c>
      <c r="O503" s="5">
        <v>1557.98</v>
      </c>
      <c r="P503" s="5">
        <v>362.02</v>
      </c>
      <c r="Q503" s="5">
        <v>18.86</v>
      </c>
      <c r="R503" s="5" t="s">
        <v>106</v>
      </c>
      <c r="S503" s="5" t="s">
        <v>74</v>
      </c>
      <c r="T503" s="5" t="s">
        <v>107</v>
      </c>
      <c r="U503" s="5" t="s">
        <v>119</v>
      </c>
      <c r="V503" s="5">
        <v>2024</v>
      </c>
      <c r="W503" s="5" t="s">
        <v>194</v>
      </c>
      <c r="X503" s="5">
        <v>1</v>
      </c>
      <c r="Y503" s="1">
        <v>45387</v>
      </c>
      <c r="Z503" s="5" t="s">
        <v>89</v>
      </c>
      <c r="AA503" s="5" t="s">
        <v>48</v>
      </c>
      <c r="AB503" s="5" t="s">
        <v>78</v>
      </c>
      <c r="AC503" s="5" t="s">
        <v>50</v>
      </c>
      <c r="AD503" s="5">
        <v>4</v>
      </c>
    </row>
    <row r="504" spans="1:30">
      <c r="A504" s="5" t="s">
        <v>1510</v>
      </c>
      <c r="B504" s="1">
        <v>45750</v>
      </c>
      <c r="C504" s="5" t="s">
        <v>801</v>
      </c>
      <c r="D504" s="5" t="s">
        <v>692</v>
      </c>
      <c r="E504" s="5" t="s">
        <v>55</v>
      </c>
      <c r="F504" s="5" t="s">
        <v>149</v>
      </c>
      <c r="G504" s="5" t="s">
        <v>150</v>
      </c>
      <c r="H504" s="5" t="s">
        <v>94</v>
      </c>
      <c r="I504" s="5" t="s">
        <v>59</v>
      </c>
      <c r="J504" s="5" t="s">
        <v>206</v>
      </c>
      <c r="K504" s="5">
        <v>1</v>
      </c>
      <c r="L504" s="5">
        <v>800</v>
      </c>
      <c r="M504" s="5">
        <v>0.05</v>
      </c>
      <c r="N504" s="5">
        <v>760</v>
      </c>
      <c r="O504" s="5">
        <v>600.95000000000005</v>
      </c>
      <c r="P504" s="5">
        <v>159.05000000000001</v>
      </c>
      <c r="Q504" s="5">
        <v>20.93</v>
      </c>
      <c r="R504" s="5" t="s">
        <v>106</v>
      </c>
      <c r="S504" s="5" t="s">
        <v>62</v>
      </c>
      <c r="T504" s="5" t="s">
        <v>173</v>
      </c>
      <c r="U504" s="5" t="s">
        <v>178</v>
      </c>
      <c r="V504" s="5">
        <v>2025</v>
      </c>
      <c r="W504" s="5" t="s">
        <v>109</v>
      </c>
      <c r="X504" s="5">
        <v>9</v>
      </c>
      <c r="Y504" s="1" t="s">
        <v>663</v>
      </c>
      <c r="Z504" s="5" t="s">
        <v>47</v>
      </c>
      <c r="AA504" s="5" t="s">
        <v>67</v>
      </c>
      <c r="AB504" s="5" t="s">
        <v>78</v>
      </c>
      <c r="AC504" s="5" t="s">
        <v>121</v>
      </c>
      <c r="AD504" s="5">
        <v>2</v>
      </c>
    </row>
    <row r="505" spans="1:30">
      <c r="A505" s="5" t="s">
        <v>1511</v>
      </c>
      <c r="B505" s="1">
        <v>45354</v>
      </c>
      <c r="C505" s="5" t="s">
        <v>985</v>
      </c>
      <c r="D505" s="5" t="s">
        <v>1170</v>
      </c>
      <c r="E505" s="5" t="s">
        <v>35</v>
      </c>
      <c r="F505" s="5" t="s">
        <v>144</v>
      </c>
      <c r="G505" s="5" t="s">
        <v>145</v>
      </c>
      <c r="H505" s="5" t="s">
        <v>94</v>
      </c>
      <c r="I505" s="5" t="s">
        <v>84</v>
      </c>
      <c r="J505" s="5" t="s">
        <v>85</v>
      </c>
      <c r="K505" s="5">
        <v>5</v>
      </c>
      <c r="L505" s="5">
        <v>100</v>
      </c>
      <c r="M505" s="5">
        <v>0.2</v>
      </c>
      <c r="N505" s="5">
        <v>400</v>
      </c>
      <c r="O505" s="5">
        <v>273.45999999999998</v>
      </c>
      <c r="P505" s="5">
        <v>126.54</v>
      </c>
      <c r="Q505" s="5">
        <v>31.64</v>
      </c>
      <c r="R505" s="5" t="s">
        <v>41</v>
      </c>
      <c r="S505" s="5" t="s">
        <v>62</v>
      </c>
      <c r="T505" s="5" t="s">
        <v>107</v>
      </c>
      <c r="U505" s="5" t="s">
        <v>178</v>
      </c>
      <c r="V505" s="5">
        <v>2024</v>
      </c>
      <c r="W505" s="5" t="s">
        <v>45</v>
      </c>
      <c r="X505" s="5">
        <v>4</v>
      </c>
      <c r="Y505" s="1">
        <v>45476</v>
      </c>
      <c r="Z505" s="5" t="s">
        <v>110</v>
      </c>
      <c r="AA505" s="5" t="s">
        <v>67</v>
      </c>
      <c r="AB505" s="5" t="s">
        <v>78</v>
      </c>
      <c r="AC505" s="5" t="s">
        <v>50</v>
      </c>
      <c r="AD505" s="5">
        <v>2</v>
      </c>
    </row>
    <row r="506" spans="1:30">
      <c r="A506" s="5" t="s">
        <v>1512</v>
      </c>
      <c r="B506" s="1" t="s">
        <v>1513</v>
      </c>
      <c r="C506" s="5" t="s">
        <v>974</v>
      </c>
      <c r="D506" s="5" t="s">
        <v>1514</v>
      </c>
      <c r="E506" s="5" t="s">
        <v>35</v>
      </c>
      <c r="F506" s="5" t="s">
        <v>245</v>
      </c>
      <c r="G506" s="5" t="s">
        <v>246</v>
      </c>
      <c r="H506" s="5" t="s">
        <v>171</v>
      </c>
      <c r="I506" s="5" t="s">
        <v>39</v>
      </c>
      <c r="J506" s="5" t="s">
        <v>105</v>
      </c>
      <c r="K506" s="5">
        <v>10</v>
      </c>
      <c r="L506" s="5">
        <v>12000</v>
      </c>
      <c r="M506" s="5">
        <v>0.2</v>
      </c>
      <c r="N506" s="5">
        <v>96000</v>
      </c>
      <c r="O506" s="5">
        <v>64605.03</v>
      </c>
      <c r="P506" s="5">
        <v>31394.97</v>
      </c>
      <c r="Q506" s="5">
        <v>32.700000000000003</v>
      </c>
      <c r="R506" s="5" t="s">
        <v>61</v>
      </c>
      <c r="S506" s="5" t="s">
        <v>42</v>
      </c>
      <c r="T506" s="5" t="s">
        <v>173</v>
      </c>
      <c r="U506" s="5" t="s">
        <v>64</v>
      </c>
      <c r="V506" s="5">
        <v>2025</v>
      </c>
      <c r="W506" s="5" t="s">
        <v>45</v>
      </c>
      <c r="X506" s="5">
        <v>1</v>
      </c>
      <c r="Y506" s="1" t="s">
        <v>602</v>
      </c>
      <c r="Z506" s="5" t="s">
        <v>89</v>
      </c>
      <c r="AA506" s="5" t="s">
        <v>90</v>
      </c>
      <c r="AB506" s="5" t="s">
        <v>49</v>
      </c>
      <c r="AC506" s="5" t="s">
        <v>121</v>
      </c>
      <c r="AD506" s="5">
        <v>5</v>
      </c>
    </row>
    <row r="507" spans="1:30">
      <c r="A507" s="5" t="s">
        <v>1515</v>
      </c>
      <c r="B507" s="1">
        <v>45361</v>
      </c>
      <c r="C507" s="5" t="s">
        <v>1468</v>
      </c>
      <c r="D507" s="5" t="s">
        <v>1043</v>
      </c>
      <c r="E507" s="5" t="s">
        <v>35</v>
      </c>
      <c r="F507" s="5" t="s">
        <v>149</v>
      </c>
      <c r="G507" s="5" t="s">
        <v>150</v>
      </c>
      <c r="H507" s="5" t="s">
        <v>171</v>
      </c>
      <c r="I507" s="5" t="s">
        <v>84</v>
      </c>
      <c r="J507" s="5" t="s">
        <v>390</v>
      </c>
      <c r="K507" s="5">
        <v>3</v>
      </c>
      <c r="L507" s="5">
        <v>350</v>
      </c>
      <c r="M507" s="5">
        <v>0.05</v>
      </c>
      <c r="N507" s="5">
        <v>997.5</v>
      </c>
      <c r="O507" s="5">
        <v>815.13</v>
      </c>
      <c r="P507" s="5">
        <v>182.37</v>
      </c>
      <c r="Q507" s="5">
        <v>18.28</v>
      </c>
      <c r="R507" s="5" t="s">
        <v>41</v>
      </c>
      <c r="S507" s="5" t="s">
        <v>62</v>
      </c>
      <c r="T507" s="5" t="s">
        <v>97</v>
      </c>
      <c r="U507" s="5" t="s">
        <v>87</v>
      </c>
      <c r="V507" s="5">
        <v>2024</v>
      </c>
      <c r="W507" s="5" t="s">
        <v>139</v>
      </c>
      <c r="X507" s="5">
        <v>1</v>
      </c>
      <c r="Y507" s="1">
        <v>45392</v>
      </c>
      <c r="Z507" s="5" t="s">
        <v>47</v>
      </c>
      <c r="AA507" s="5" t="s">
        <v>90</v>
      </c>
      <c r="AB507" s="5" t="s">
        <v>111</v>
      </c>
      <c r="AC507" s="5" t="s">
        <v>50</v>
      </c>
      <c r="AD507" s="5">
        <v>2</v>
      </c>
    </row>
    <row r="508" spans="1:30">
      <c r="A508" s="5" t="s">
        <v>1516</v>
      </c>
      <c r="B508" s="1" t="s">
        <v>1086</v>
      </c>
      <c r="C508" s="5" t="s">
        <v>368</v>
      </c>
      <c r="D508" s="5" t="s">
        <v>1517</v>
      </c>
      <c r="E508" s="5" t="s">
        <v>103</v>
      </c>
      <c r="F508" s="5" t="s">
        <v>156</v>
      </c>
      <c r="G508" s="5" t="s">
        <v>157</v>
      </c>
      <c r="H508" s="5" t="s">
        <v>58</v>
      </c>
      <c r="I508" s="5" t="s">
        <v>59</v>
      </c>
      <c r="J508" s="5" t="s">
        <v>60</v>
      </c>
      <c r="K508" s="5">
        <v>6</v>
      </c>
      <c r="L508" s="5">
        <v>500</v>
      </c>
      <c r="M508" s="5">
        <v>0</v>
      </c>
      <c r="N508" s="5">
        <v>3000</v>
      </c>
      <c r="O508" s="5">
        <v>1793.16</v>
      </c>
      <c r="P508" s="5">
        <v>1206.8399999999999</v>
      </c>
      <c r="Q508" s="5">
        <v>40.229999999999997</v>
      </c>
      <c r="R508" s="5" t="s">
        <v>166</v>
      </c>
      <c r="S508" s="5" t="s">
        <v>42</v>
      </c>
      <c r="T508" s="5" t="s">
        <v>159</v>
      </c>
      <c r="U508" s="5" t="s">
        <v>64</v>
      </c>
      <c r="V508" s="5">
        <v>2024</v>
      </c>
      <c r="W508" s="5" t="s">
        <v>126</v>
      </c>
      <c r="X508" s="5">
        <v>4</v>
      </c>
      <c r="Y508" s="1">
        <v>45717</v>
      </c>
      <c r="Z508" s="5" t="s">
        <v>47</v>
      </c>
      <c r="AA508" s="5" t="s">
        <v>48</v>
      </c>
      <c r="AB508" s="5" t="s">
        <v>111</v>
      </c>
      <c r="AC508" s="5" t="s">
        <v>121</v>
      </c>
      <c r="AD508" s="5">
        <v>4</v>
      </c>
    </row>
    <row r="509" spans="1:30">
      <c r="A509" s="5" t="s">
        <v>1518</v>
      </c>
      <c r="B509" s="1">
        <v>45510</v>
      </c>
      <c r="C509" s="5" t="s">
        <v>1117</v>
      </c>
      <c r="D509" s="5" t="s">
        <v>763</v>
      </c>
      <c r="E509" s="5" t="s">
        <v>55</v>
      </c>
      <c r="F509" s="5" t="s">
        <v>149</v>
      </c>
      <c r="G509" s="5" t="s">
        <v>150</v>
      </c>
      <c r="H509" s="5" t="s">
        <v>58</v>
      </c>
      <c r="I509" s="5" t="s">
        <v>84</v>
      </c>
      <c r="J509" s="5" t="s">
        <v>229</v>
      </c>
      <c r="K509" s="5">
        <v>4</v>
      </c>
      <c r="L509" s="5">
        <v>800</v>
      </c>
      <c r="M509" s="5">
        <v>0.15</v>
      </c>
      <c r="N509" s="5">
        <v>2720</v>
      </c>
      <c r="O509" s="5">
        <v>2031.97</v>
      </c>
      <c r="P509" s="5">
        <v>688.03</v>
      </c>
      <c r="Q509" s="5">
        <v>25.3</v>
      </c>
      <c r="R509" s="5" t="s">
        <v>166</v>
      </c>
      <c r="S509" s="5" t="s">
        <v>74</v>
      </c>
      <c r="T509" s="5" t="s">
        <v>138</v>
      </c>
      <c r="U509" s="5" t="s">
        <v>160</v>
      </c>
      <c r="V509" s="5">
        <v>2024</v>
      </c>
      <c r="W509" s="5" t="s">
        <v>65</v>
      </c>
      <c r="X509" s="5">
        <v>8</v>
      </c>
      <c r="Y509" s="1" t="s">
        <v>1519</v>
      </c>
      <c r="Z509" s="5" t="s">
        <v>47</v>
      </c>
      <c r="AA509" s="5" t="s">
        <v>90</v>
      </c>
      <c r="AB509" s="5" t="s">
        <v>49</v>
      </c>
      <c r="AC509" s="5" t="s">
        <v>121</v>
      </c>
      <c r="AD509" s="5">
        <v>5</v>
      </c>
    </row>
    <row r="510" spans="1:30">
      <c r="A510" s="5" t="s">
        <v>1520</v>
      </c>
      <c r="B510" s="1" t="s">
        <v>866</v>
      </c>
      <c r="C510" s="5" t="s">
        <v>1090</v>
      </c>
      <c r="D510" s="5" t="s">
        <v>228</v>
      </c>
      <c r="E510" s="5" t="s">
        <v>35</v>
      </c>
      <c r="F510" s="5" t="s">
        <v>56</v>
      </c>
      <c r="G510" s="5" t="s">
        <v>57</v>
      </c>
      <c r="H510" s="5" t="s">
        <v>94</v>
      </c>
      <c r="I510" s="5" t="s">
        <v>95</v>
      </c>
      <c r="J510" s="5" t="s">
        <v>184</v>
      </c>
      <c r="K510" s="5">
        <v>1</v>
      </c>
      <c r="L510" s="5">
        <v>6000</v>
      </c>
      <c r="M510" s="5">
        <v>0.05</v>
      </c>
      <c r="N510" s="5">
        <v>5700</v>
      </c>
      <c r="O510" s="5">
        <v>3424.1</v>
      </c>
      <c r="P510" s="5">
        <v>2275.9</v>
      </c>
      <c r="Q510" s="5">
        <v>39.93</v>
      </c>
      <c r="R510" s="5" t="s">
        <v>166</v>
      </c>
      <c r="S510" s="5" t="s">
        <v>74</v>
      </c>
      <c r="T510" s="5" t="s">
        <v>107</v>
      </c>
      <c r="U510" s="5" t="s">
        <v>160</v>
      </c>
      <c r="V510" s="5">
        <v>2024</v>
      </c>
      <c r="W510" s="5" t="s">
        <v>45</v>
      </c>
      <c r="X510" s="5">
        <v>7</v>
      </c>
      <c r="Y510" s="1">
        <v>45480</v>
      </c>
      <c r="Z510" s="5" t="s">
        <v>89</v>
      </c>
      <c r="AA510" s="5" t="s">
        <v>90</v>
      </c>
      <c r="AB510" s="5" t="s">
        <v>111</v>
      </c>
      <c r="AC510" s="5" t="s">
        <v>121</v>
      </c>
      <c r="AD510" s="5">
        <v>5</v>
      </c>
    </row>
    <row r="511" spans="1:30">
      <c r="A511" s="5" t="s">
        <v>1521</v>
      </c>
      <c r="B511" s="1" t="s">
        <v>1445</v>
      </c>
      <c r="C511" s="5" t="s">
        <v>919</v>
      </c>
      <c r="D511" s="5" t="s">
        <v>1162</v>
      </c>
      <c r="E511" s="5" t="s">
        <v>103</v>
      </c>
      <c r="F511" s="5" t="s">
        <v>36</v>
      </c>
      <c r="G511" s="5" t="s">
        <v>37</v>
      </c>
      <c r="H511" s="5" t="s">
        <v>58</v>
      </c>
      <c r="I511" s="5" t="s">
        <v>71</v>
      </c>
      <c r="J511" s="5" t="s">
        <v>158</v>
      </c>
      <c r="K511" s="5">
        <v>1</v>
      </c>
      <c r="L511" s="5">
        <v>700</v>
      </c>
      <c r="M511" s="5">
        <v>0</v>
      </c>
      <c r="N511" s="5">
        <v>700</v>
      </c>
      <c r="O511" s="5">
        <v>431.94</v>
      </c>
      <c r="P511" s="5">
        <v>268.06</v>
      </c>
      <c r="Q511" s="5">
        <v>38.29</v>
      </c>
      <c r="R511" s="5" t="s">
        <v>106</v>
      </c>
      <c r="S511" s="5" t="s">
        <v>74</v>
      </c>
      <c r="T511" s="5" t="s">
        <v>107</v>
      </c>
      <c r="U511" s="5" t="s">
        <v>87</v>
      </c>
      <c r="V511" s="5">
        <v>2025</v>
      </c>
      <c r="W511" s="5" t="s">
        <v>109</v>
      </c>
      <c r="X511" s="5">
        <v>1</v>
      </c>
      <c r="Y511" s="1" t="s">
        <v>1004</v>
      </c>
      <c r="Z511" s="5" t="s">
        <v>47</v>
      </c>
      <c r="AA511" s="5" t="s">
        <v>48</v>
      </c>
      <c r="AB511" s="5" t="s">
        <v>78</v>
      </c>
      <c r="AC511" s="5" t="s">
        <v>121</v>
      </c>
      <c r="AD511" s="5">
        <v>2</v>
      </c>
    </row>
    <row r="512" spans="1:30">
      <c r="A512" s="5" t="s">
        <v>1522</v>
      </c>
      <c r="B512" s="1">
        <v>45424</v>
      </c>
      <c r="C512" s="5" t="s">
        <v>288</v>
      </c>
      <c r="D512" s="5" t="s">
        <v>1209</v>
      </c>
      <c r="E512" s="5" t="s">
        <v>103</v>
      </c>
      <c r="F512" s="5" t="s">
        <v>245</v>
      </c>
      <c r="G512" s="5" t="s">
        <v>246</v>
      </c>
      <c r="H512" s="5" t="s">
        <v>58</v>
      </c>
      <c r="I512" s="5" t="s">
        <v>71</v>
      </c>
      <c r="J512" s="5" t="s">
        <v>172</v>
      </c>
      <c r="K512" s="5">
        <v>8</v>
      </c>
      <c r="L512" s="5">
        <v>1200</v>
      </c>
      <c r="M512" s="5">
        <v>0.1</v>
      </c>
      <c r="N512" s="5">
        <v>8640</v>
      </c>
      <c r="O512" s="5">
        <v>5320.76</v>
      </c>
      <c r="P512" s="5">
        <v>3319.24</v>
      </c>
      <c r="Q512" s="5">
        <v>38.42</v>
      </c>
      <c r="R512" s="5" t="s">
        <v>106</v>
      </c>
      <c r="S512" s="5" t="s">
        <v>74</v>
      </c>
      <c r="T512" s="5" t="s">
        <v>173</v>
      </c>
      <c r="U512" s="5" t="s">
        <v>64</v>
      </c>
      <c r="V512" s="5">
        <v>2024</v>
      </c>
      <c r="W512" s="5" t="s">
        <v>139</v>
      </c>
      <c r="X512" s="5">
        <v>8</v>
      </c>
      <c r="Y512" s="1" t="s">
        <v>1523</v>
      </c>
      <c r="Z512" s="5" t="s">
        <v>47</v>
      </c>
      <c r="AA512" s="5" t="s">
        <v>48</v>
      </c>
      <c r="AB512" s="5" t="s">
        <v>78</v>
      </c>
      <c r="AC512" s="5" t="s">
        <v>121</v>
      </c>
      <c r="AD512" s="5">
        <v>5</v>
      </c>
    </row>
    <row r="513" spans="1:30">
      <c r="A513" s="5" t="s">
        <v>1524</v>
      </c>
      <c r="B513" s="1" t="s">
        <v>663</v>
      </c>
      <c r="C513" s="5" t="s">
        <v>417</v>
      </c>
      <c r="D513" s="5" t="s">
        <v>1071</v>
      </c>
      <c r="E513" s="5" t="s">
        <v>103</v>
      </c>
      <c r="F513" s="5" t="s">
        <v>156</v>
      </c>
      <c r="G513" s="5" t="s">
        <v>157</v>
      </c>
      <c r="H513" s="5" t="s">
        <v>94</v>
      </c>
      <c r="I513" s="5" t="s">
        <v>95</v>
      </c>
      <c r="J513" s="5" t="s">
        <v>344</v>
      </c>
      <c r="K513" s="5">
        <v>4</v>
      </c>
      <c r="L513" s="5">
        <v>2500</v>
      </c>
      <c r="M513" s="5">
        <v>0.05</v>
      </c>
      <c r="N513" s="5">
        <v>9500</v>
      </c>
      <c r="O513" s="5">
        <v>6131.24</v>
      </c>
      <c r="P513" s="5">
        <v>3368.76</v>
      </c>
      <c r="Q513" s="5">
        <v>35.46</v>
      </c>
      <c r="R513" s="5" t="s">
        <v>106</v>
      </c>
      <c r="S513" s="5" t="s">
        <v>62</v>
      </c>
      <c r="T513" s="5" t="s">
        <v>118</v>
      </c>
      <c r="U513" s="5" t="s">
        <v>178</v>
      </c>
      <c r="V513" s="5">
        <v>2025</v>
      </c>
      <c r="W513" s="5" t="s">
        <v>139</v>
      </c>
      <c r="X513" s="5">
        <v>7</v>
      </c>
      <c r="Y513" s="1" t="s">
        <v>756</v>
      </c>
      <c r="Z513" s="5" t="s">
        <v>47</v>
      </c>
      <c r="AA513" s="5" t="s">
        <v>90</v>
      </c>
      <c r="AB513" s="5" t="s">
        <v>49</v>
      </c>
      <c r="AC513" s="5" t="s">
        <v>121</v>
      </c>
      <c r="AD513" s="5">
        <v>3</v>
      </c>
    </row>
    <row r="514" spans="1:30">
      <c r="A514" s="5" t="s">
        <v>1525</v>
      </c>
      <c r="B514" s="1" t="s">
        <v>721</v>
      </c>
      <c r="C514" s="5" t="s">
        <v>645</v>
      </c>
      <c r="D514" s="5" t="s">
        <v>1328</v>
      </c>
      <c r="E514" s="5" t="s">
        <v>103</v>
      </c>
      <c r="F514" s="5" t="s">
        <v>82</v>
      </c>
      <c r="G514" s="5" t="s">
        <v>83</v>
      </c>
      <c r="H514" s="5" t="s">
        <v>38</v>
      </c>
      <c r="I514" s="5" t="s">
        <v>39</v>
      </c>
      <c r="J514" s="5" t="s">
        <v>165</v>
      </c>
      <c r="K514" s="5">
        <v>6</v>
      </c>
      <c r="L514" s="5">
        <v>8000</v>
      </c>
      <c r="M514" s="5">
        <v>0.1</v>
      </c>
      <c r="N514" s="5">
        <v>43200</v>
      </c>
      <c r="O514" s="5">
        <v>25522.47</v>
      </c>
      <c r="P514" s="5">
        <v>17677.53</v>
      </c>
      <c r="Q514" s="5">
        <v>40.92</v>
      </c>
      <c r="R514" s="5" t="s">
        <v>166</v>
      </c>
      <c r="S514" s="5" t="s">
        <v>74</v>
      </c>
      <c r="T514" s="5" t="s">
        <v>159</v>
      </c>
      <c r="U514" s="5" t="s">
        <v>178</v>
      </c>
      <c r="V514" s="5">
        <v>2024</v>
      </c>
      <c r="W514" s="5" t="s">
        <v>134</v>
      </c>
      <c r="X514" s="5">
        <v>1</v>
      </c>
      <c r="Y514" s="1" t="s">
        <v>882</v>
      </c>
      <c r="Z514" s="5" t="s">
        <v>89</v>
      </c>
      <c r="AA514" s="5" t="s">
        <v>48</v>
      </c>
      <c r="AB514" s="5" t="s">
        <v>78</v>
      </c>
      <c r="AC514" s="5" t="s">
        <v>50</v>
      </c>
      <c r="AD514" s="5">
        <v>1</v>
      </c>
    </row>
    <row r="515" spans="1:30">
      <c r="A515" s="5" t="s">
        <v>1526</v>
      </c>
      <c r="B515" s="1">
        <v>45297</v>
      </c>
      <c r="C515" s="5" t="s">
        <v>570</v>
      </c>
      <c r="D515" s="5" t="s">
        <v>313</v>
      </c>
      <c r="E515" s="5" t="s">
        <v>35</v>
      </c>
      <c r="F515" s="5" t="s">
        <v>116</v>
      </c>
      <c r="G515" s="5" t="s">
        <v>37</v>
      </c>
      <c r="H515" s="5" t="s">
        <v>58</v>
      </c>
      <c r="I515" s="5" t="s">
        <v>71</v>
      </c>
      <c r="J515" s="5" t="s">
        <v>240</v>
      </c>
      <c r="K515" s="5">
        <v>5</v>
      </c>
      <c r="L515" s="5">
        <v>700</v>
      </c>
      <c r="M515" s="5">
        <v>0</v>
      </c>
      <c r="N515" s="5">
        <v>3500</v>
      </c>
      <c r="O515" s="5">
        <v>2064.65</v>
      </c>
      <c r="P515" s="5">
        <v>1435.35</v>
      </c>
      <c r="Q515" s="5">
        <v>41.01</v>
      </c>
      <c r="R515" s="5" t="s">
        <v>41</v>
      </c>
      <c r="S515" s="5" t="s">
        <v>62</v>
      </c>
      <c r="T515" s="5" t="s">
        <v>159</v>
      </c>
      <c r="U515" s="5" t="s">
        <v>160</v>
      </c>
      <c r="V515" s="5">
        <v>2024</v>
      </c>
      <c r="W515" s="5" t="s">
        <v>65</v>
      </c>
      <c r="X515" s="5">
        <v>3</v>
      </c>
      <c r="Y515" s="1">
        <v>45388</v>
      </c>
      <c r="Z515" s="5" t="s">
        <v>47</v>
      </c>
      <c r="AA515" s="5" t="s">
        <v>90</v>
      </c>
      <c r="AB515" s="5" t="s">
        <v>49</v>
      </c>
      <c r="AC515" s="5" t="s">
        <v>50</v>
      </c>
      <c r="AD515" s="5">
        <v>2</v>
      </c>
    </row>
    <row r="516" spans="1:30">
      <c r="A516" s="5" t="s">
        <v>1527</v>
      </c>
      <c r="B516" s="1">
        <v>45843</v>
      </c>
      <c r="C516" s="5" t="s">
        <v>585</v>
      </c>
      <c r="D516" s="5" t="s">
        <v>1337</v>
      </c>
      <c r="E516" s="5" t="s">
        <v>103</v>
      </c>
      <c r="F516" s="5" t="s">
        <v>245</v>
      </c>
      <c r="G516" s="5" t="s">
        <v>246</v>
      </c>
      <c r="H516" s="5" t="s">
        <v>38</v>
      </c>
      <c r="I516" s="5" t="s">
        <v>71</v>
      </c>
      <c r="J516" s="5" t="s">
        <v>240</v>
      </c>
      <c r="K516" s="5">
        <v>6</v>
      </c>
      <c r="L516" s="5">
        <v>2500</v>
      </c>
      <c r="M516" s="5">
        <v>0.15</v>
      </c>
      <c r="N516" s="5">
        <v>12750</v>
      </c>
      <c r="O516" s="5">
        <v>9744.1299999999992</v>
      </c>
      <c r="P516" s="5">
        <v>3005.87</v>
      </c>
      <c r="Q516" s="5">
        <v>23.58</v>
      </c>
      <c r="R516" s="5" t="s">
        <v>166</v>
      </c>
      <c r="S516" s="5" t="s">
        <v>62</v>
      </c>
      <c r="T516" s="5" t="s">
        <v>107</v>
      </c>
      <c r="U516" s="5" t="s">
        <v>119</v>
      </c>
      <c r="V516" s="5">
        <v>2025</v>
      </c>
      <c r="W516" s="5" t="s">
        <v>134</v>
      </c>
      <c r="X516" s="5">
        <v>7</v>
      </c>
      <c r="Y516" s="1" t="s">
        <v>1307</v>
      </c>
      <c r="Z516" s="5" t="s">
        <v>89</v>
      </c>
      <c r="AA516" s="5" t="s">
        <v>67</v>
      </c>
      <c r="AB516" s="5" t="s">
        <v>111</v>
      </c>
      <c r="AC516" s="5" t="s">
        <v>50</v>
      </c>
      <c r="AD516" s="5">
        <v>5</v>
      </c>
    </row>
    <row r="517" spans="1:30">
      <c r="A517" s="5" t="s">
        <v>1528</v>
      </c>
      <c r="B517" s="1" t="s">
        <v>1294</v>
      </c>
      <c r="C517" s="5" t="s">
        <v>477</v>
      </c>
      <c r="D517" s="5" t="s">
        <v>703</v>
      </c>
      <c r="E517" s="5" t="s">
        <v>35</v>
      </c>
      <c r="F517" s="5" t="s">
        <v>131</v>
      </c>
      <c r="G517" s="5" t="s">
        <v>132</v>
      </c>
      <c r="H517" s="5" t="s">
        <v>58</v>
      </c>
      <c r="I517" s="5" t="s">
        <v>95</v>
      </c>
      <c r="J517" s="5" t="s">
        <v>440</v>
      </c>
      <c r="K517" s="5">
        <v>2</v>
      </c>
      <c r="L517" s="5">
        <v>15000</v>
      </c>
      <c r="M517" s="5">
        <v>0.15</v>
      </c>
      <c r="N517" s="5">
        <v>25500</v>
      </c>
      <c r="O517" s="5">
        <v>18865.8</v>
      </c>
      <c r="P517" s="5">
        <v>6634.2</v>
      </c>
      <c r="Q517" s="5">
        <v>26.02</v>
      </c>
      <c r="R517" s="5" t="s">
        <v>61</v>
      </c>
      <c r="S517" s="5" t="s">
        <v>42</v>
      </c>
      <c r="T517" s="5" t="s">
        <v>138</v>
      </c>
      <c r="U517" s="5" t="s">
        <v>160</v>
      </c>
      <c r="V517" s="5">
        <v>2025</v>
      </c>
      <c r="W517" s="5" t="s">
        <v>126</v>
      </c>
      <c r="X517" s="5">
        <v>10</v>
      </c>
      <c r="Y517" s="1">
        <v>45723</v>
      </c>
      <c r="Z517" s="5" t="s">
        <v>47</v>
      </c>
      <c r="AA517" s="5" t="s">
        <v>90</v>
      </c>
      <c r="AB517" s="5" t="s">
        <v>49</v>
      </c>
      <c r="AC517" s="5" t="s">
        <v>121</v>
      </c>
      <c r="AD517" s="5">
        <v>3</v>
      </c>
    </row>
    <row r="518" spans="1:30">
      <c r="A518" s="5" t="s">
        <v>1529</v>
      </c>
      <c r="B518" s="1">
        <v>45841</v>
      </c>
      <c r="C518" s="5" t="s">
        <v>781</v>
      </c>
      <c r="D518" s="5" t="s">
        <v>515</v>
      </c>
      <c r="E518" s="5" t="s">
        <v>103</v>
      </c>
      <c r="F518" s="5" t="s">
        <v>82</v>
      </c>
      <c r="G518" s="5" t="s">
        <v>83</v>
      </c>
      <c r="H518" s="5" t="s">
        <v>38</v>
      </c>
      <c r="I518" s="5" t="s">
        <v>95</v>
      </c>
      <c r="J518" s="5" t="s">
        <v>184</v>
      </c>
      <c r="K518" s="5">
        <v>8</v>
      </c>
      <c r="L518" s="5">
        <v>4000</v>
      </c>
      <c r="M518" s="5">
        <v>0.2</v>
      </c>
      <c r="N518" s="5">
        <v>25600</v>
      </c>
      <c r="O518" s="5">
        <v>19801.900000000001</v>
      </c>
      <c r="P518" s="5">
        <v>5798.1</v>
      </c>
      <c r="Q518" s="5">
        <v>22.65</v>
      </c>
      <c r="R518" s="5" t="s">
        <v>166</v>
      </c>
      <c r="S518" s="5" t="s">
        <v>42</v>
      </c>
      <c r="T518" s="5" t="s">
        <v>43</v>
      </c>
      <c r="U518" s="5" t="s">
        <v>178</v>
      </c>
      <c r="V518" s="5">
        <v>2025</v>
      </c>
      <c r="W518" s="5" t="s">
        <v>194</v>
      </c>
      <c r="X518" s="5">
        <v>4</v>
      </c>
      <c r="Y518" s="1">
        <v>45964</v>
      </c>
      <c r="Z518" s="5" t="s">
        <v>47</v>
      </c>
      <c r="AA518" s="5" t="s">
        <v>48</v>
      </c>
      <c r="AB518" s="5" t="s">
        <v>78</v>
      </c>
      <c r="AC518" s="5" t="s">
        <v>50</v>
      </c>
      <c r="AD518" s="5">
        <v>1</v>
      </c>
    </row>
    <row r="519" spans="1:30">
      <c r="A519" s="5" t="s">
        <v>1530</v>
      </c>
      <c r="B519" s="1" t="s">
        <v>1103</v>
      </c>
      <c r="C519" s="5" t="s">
        <v>1531</v>
      </c>
      <c r="D519" s="5" t="s">
        <v>1532</v>
      </c>
      <c r="E519" s="5" t="s">
        <v>103</v>
      </c>
      <c r="F519" s="5" t="s">
        <v>36</v>
      </c>
      <c r="G519" s="5" t="s">
        <v>37</v>
      </c>
      <c r="H519" s="5" t="s">
        <v>94</v>
      </c>
      <c r="I519" s="5" t="s">
        <v>59</v>
      </c>
      <c r="J519" s="5" t="s">
        <v>328</v>
      </c>
      <c r="K519" s="5">
        <v>8</v>
      </c>
      <c r="L519" s="5">
        <v>3000</v>
      </c>
      <c r="M519" s="5">
        <v>0.05</v>
      </c>
      <c r="N519" s="5">
        <v>22800</v>
      </c>
      <c r="O519" s="5">
        <v>13409.7</v>
      </c>
      <c r="P519" s="5">
        <v>9390.2999999999993</v>
      </c>
      <c r="Q519" s="5">
        <v>41.19</v>
      </c>
      <c r="R519" s="5" t="s">
        <v>73</v>
      </c>
      <c r="S519" s="5" t="s">
        <v>74</v>
      </c>
      <c r="T519" s="5" t="s">
        <v>138</v>
      </c>
      <c r="U519" s="5" t="s">
        <v>76</v>
      </c>
      <c r="V519" s="5">
        <v>2024</v>
      </c>
      <c r="W519" s="5" t="s">
        <v>134</v>
      </c>
      <c r="X519" s="5">
        <v>3</v>
      </c>
      <c r="Y519" s="1">
        <v>45353</v>
      </c>
      <c r="Z519" s="5" t="s">
        <v>47</v>
      </c>
      <c r="AA519" s="5" t="s">
        <v>48</v>
      </c>
      <c r="AB519" s="5" t="s">
        <v>49</v>
      </c>
      <c r="AC519" s="5" t="s">
        <v>50</v>
      </c>
      <c r="AD519" s="5">
        <v>4</v>
      </c>
    </row>
    <row r="520" spans="1:30">
      <c r="A520" s="5" t="s">
        <v>1533</v>
      </c>
      <c r="B520" s="1">
        <v>45510</v>
      </c>
      <c r="C520" s="5" t="s">
        <v>1028</v>
      </c>
      <c r="D520" s="5" t="s">
        <v>604</v>
      </c>
      <c r="E520" s="5" t="s">
        <v>35</v>
      </c>
      <c r="F520" s="5" t="s">
        <v>156</v>
      </c>
      <c r="G520" s="5" t="s">
        <v>157</v>
      </c>
      <c r="H520" s="5" t="s">
        <v>94</v>
      </c>
      <c r="I520" s="5" t="s">
        <v>84</v>
      </c>
      <c r="J520" s="5" t="s">
        <v>290</v>
      </c>
      <c r="K520" s="5">
        <v>1</v>
      </c>
      <c r="L520" s="5">
        <v>350</v>
      </c>
      <c r="M520" s="5">
        <v>0</v>
      </c>
      <c r="N520" s="5">
        <v>350</v>
      </c>
      <c r="O520" s="5">
        <v>249.59</v>
      </c>
      <c r="P520" s="5">
        <v>100.41</v>
      </c>
      <c r="Q520" s="5">
        <v>28.69</v>
      </c>
      <c r="R520" s="5" t="s">
        <v>166</v>
      </c>
      <c r="S520" s="5" t="s">
        <v>42</v>
      </c>
      <c r="T520" s="5" t="s">
        <v>138</v>
      </c>
      <c r="U520" s="5" t="s">
        <v>160</v>
      </c>
      <c r="V520" s="5">
        <v>2024</v>
      </c>
      <c r="W520" s="5" t="s">
        <v>65</v>
      </c>
      <c r="X520" s="5">
        <v>1</v>
      </c>
      <c r="Y520" s="1">
        <v>45541</v>
      </c>
      <c r="Z520" s="5" t="s">
        <v>47</v>
      </c>
      <c r="AA520" s="5" t="s">
        <v>48</v>
      </c>
      <c r="AB520" s="5" t="s">
        <v>111</v>
      </c>
      <c r="AC520" s="5" t="s">
        <v>50</v>
      </c>
      <c r="AD520" s="5">
        <v>5</v>
      </c>
    </row>
    <row r="521" spans="1:30">
      <c r="A521" s="5" t="s">
        <v>1534</v>
      </c>
      <c r="B521" s="1">
        <v>45386</v>
      </c>
      <c r="C521" s="5" t="s">
        <v>1535</v>
      </c>
      <c r="D521" s="5" t="s">
        <v>758</v>
      </c>
      <c r="E521" s="5" t="s">
        <v>103</v>
      </c>
      <c r="F521" s="5" t="s">
        <v>131</v>
      </c>
      <c r="G521" s="5" t="s">
        <v>132</v>
      </c>
      <c r="H521" s="5" t="s">
        <v>58</v>
      </c>
      <c r="I521" s="5" t="s">
        <v>84</v>
      </c>
      <c r="J521" s="5" t="s">
        <v>85</v>
      </c>
      <c r="K521" s="5">
        <v>7</v>
      </c>
      <c r="L521" s="5">
        <v>200</v>
      </c>
      <c r="M521" s="5">
        <v>0.1</v>
      </c>
      <c r="N521" s="5">
        <v>1260</v>
      </c>
      <c r="O521" s="5">
        <v>1025.69</v>
      </c>
      <c r="P521" s="5">
        <v>234.31</v>
      </c>
      <c r="Q521" s="5">
        <v>18.600000000000001</v>
      </c>
      <c r="R521" s="5" t="s">
        <v>73</v>
      </c>
      <c r="S521" s="5" t="s">
        <v>62</v>
      </c>
      <c r="T521" s="5" t="s">
        <v>118</v>
      </c>
      <c r="U521" s="5" t="s">
        <v>44</v>
      </c>
      <c r="V521" s="5">
        <v>2024</v>
      </c>
      <c r="W521" s="5" t="s">
        <v>139</v>
      </c>
      <c r="X521" s="5">
        <v>9</v>
      </c>
      <c r="Y521" s="1" t="s">
        <v>357</v>
      </c>
      <c r="Z521" s="5" t="s">
        <v>110</v>
      </c>
      <c r="AA521" s="5" t="s">
        <v>48</v>
      </c>
      <c r="AB521" s="5" t="s">
        <v>111</v>
      </c>
      <c r="AC521" s="5" t="s">
        <v>121</v>
      </c>
      <c r="AD521" s="5">
        <v>4</v>
      </c>
    </row>
    <row r="522" spans="1:30">
      <c r="A522" s="5" t="s">
        <v>1536</v>
      </c>
      <c r="B522" s="1" t="s">
        <v>77</v>
      </c>
      <c r="C522" s="5" t="s">
        <v>754</v>
      </c>
      <c r="D522" s="5" t="s">
        <v>623</v>
      </c>
      <c r="E522" s="5" t="s">
        <v>103</v>
      </c>
      <c r="F522" s="5" t="s">
        <v>56</v>
      </c>
      <c r="G522" s="5" t="s">
        <v>57</v>
      </c>
      <c r="H522" s="5" t="s">
        <v>171</v>
      </c>
      <c r="I522" s="5" t="s">
        <v>84</v>
      </c>
      <c r="J522" s="5" t="s">
        <v>290</v>
      </c>
      <c r="K522" s="5">
        <v>7</v>
      </c>
      <c r="L522" s="5">
        <v>200</v>
      </c>
      <c r="M522" s="5">
        <v>0</v>
      </c>
      <c r="N522" s="5">
        <v>1400</v>
      </c>
      <c r="O522" s="5">
        <v>872.03</v>
      </c>
      <c r="P522" s="5">
        <v>527.97</v>
      </c>
      <c r="Q522" s="5">
        <v>37.71</v>
      </c>
      <c r="R522" s="5" t="s">
        <v>106</v>
      </c>
      <c r="S522" s="5" t="s">
        <v>74</v>
      </c>
      <c r="T522" s="5" t="s">
        <v>159</v>
      </c>
      <c r="U522" s="5" t="s">
        <v>76</v>
      </c>
      <c r="V522" s="5">
        <v>2025</v>
      </c>
      <c r="W522" s="5" t="s">
        <v>134</v>
      </c>
      <c r="X522" s="5">
        <v>7</v>
      </c>
      <c r="Y522" s="1" t="s">
        <v>1537</v>
      </c>
      <c r="Z522" s="5" t="s">
        <v>47</v>
      </c>
      <c r="AA522" s="5" t="s">
        <v>90</v>
      </c>
      <c r="AB522" s="5" t="s">
        <v>111</v>
      </c>
      <c r="AC522" s="5" t="s">
        <v>121</v>
      </c>
      <c r="AD522" s="5">
        <v>1</v>
      </c>
    </row>
    <row r="523" spans="1:30">
      <c r="A523" s="5" t="s">
        <v>1538</v>
      </c>
      <c r="B523" s="1" t="s">
        <v>1539</v>
      </c>
      <c r="C523" s="5" t="s">
        <v>1174</v>
      </c>
      <c r="D523" s="5" t="s">
        <v>1220</v>
      </c>
      <c r="E523" s="5" t="s">
        <v>103</v>
      </c>
      <c r="F523" s="5" t="s">
        <v>149</v>
      </c>
      <c r="G523" s="5" t="s">
        <v>150</v>
      </c>
      <c r="H523" s="5" t="s">
        <v>94</v>
      </c>
      <c r="I523" s="5" t="s">
        <v>59</v>
      </c>
      <c r="J523" s="5" t="s">
        <v>328</v>
      </c>
      <c r="K523" s="5">
        <v>5</v>
      </c>
      <c r="L523" s="5">
        <v>800</v>
      </c>
      <c r="M523" s="5">
        <v>0.2</v>
      </c>
      <c r="N523" s="5">
        <v>3200</v>
      </c>
      <c r="O523" s="5">
        <v>1992.56</v>
      </c>
      <c r="P523" s="5">
        <v>1207.44</v>
      </c>
      <c r="Q523" s="5">
        <v>37.729999999999997</v>
      </c>
      <c r="R523" s="5" t="s">
        <v>106</v>
      </c>
      <c r="S523" s="5" t="s">
        <v>74</v>
      </c>
      <c r="T523" s="5" t="s">
        <v>97</v>
      </c>
      <c r="U523" s="5" t="s">
        <v>151</v>
      </c>
      <c r="V523" s="5">
        <v>2024</v>
      </c>
      <c r="W523" s="5" t="s">
        <v>139</v>
      </c>
      <c r="X523" s="5">
        <v>1</v>
      </c>
      <c r="Y523" s="1" t="s">
        <v>1173</v>
      </c>
      <c r="Z523" s="5" t="s">
        <v>47</v>
      </c>
      <c r="AA523" s="5" t="s">
        <v>90</v>
      </c>
      <c r="AB523" s="5" t="s">
        <v>78</v>
      </c>
      <c r="AC523" s="5" t="s">
        <v>121</v>
      </c>
      <c r="AD523" s="5">
        <v>3</v>
      </c>
    </row>
    <row r="524" spans="1:30">
      <c r="A524" s="5" t="s">
        <v>1540</v>
      </c>
      <c r="B524" s="1" t="s">
        <v>1086</v>
      </c>
      <c r="C524" s="5" t="s">
        <v>447</v>
      </c>
      <c r="D524" s="5" t="s">
        <v>725</v>
      </c>
      <c r="E524" s="5" t="s">
        <v>35</v>
      </c>
      <c r="F524" s="5" t="s">
        <v>116</v>
      </c>
      <c r="G524" s="5" t="s">
        <v>37</v>
      </c>
      <c r="H524" s="5" t="s">
        <v>58</v>
      </c>
      <c r="I524" s="5" t="s">
        <v>71</v>
      </c>
      <c r="J524" s="5" t="s">
        <v>172</v>
      </c>
      <c r="K524" s="5">
        <v>4</v>
      </c>
      <c r="L524" s="5">
        <v>1800</v>
      </c>
      <c r="M524" s="5">
        <v>0.15</v>
      </c>
      <c r="N524" s="5">
        <v>6120</v>
      </c>
      <c r="O524" s="5">
        <v>3913.47</v>
      </c>
      <c r="P524" s="5">
        <v>2206.5300000000002</v>
      </c>
      <c r="Q524" s="5">
        <v>36.049999999999997</v>
      </c>
      <c r="R524" s="5" t="s">
        <v>41</v>
      </c>
      <c r="S524" s="5" t="s">
        <v>62</v>
      </c>
      <c r="T524" s="5" t="s">
        <v>138</v>
      </c>
      <c r="U524" s="5" t="s">
        <v>64</v>
      </c>
      <c r="V524" s="5">
        <v>2024</v>
      </c>
      <c r="W524" s="5" t="s">
        <v>126</v>
      </c>
      <c r="X524" s="5">
        <v>3</v>
      </c>
      <c r="Y524" s="1">
        <v>45689</v>
      </c>
      <c r="Z524" s="5" t="s">
        <v>47</v>
      </c>
      <c r="AA524" s="5" t="s">
        <v>48</v>
      </c>
      <c r="AB524" s="5" t="s">
        <v>49</v>
      </c>
      <c r="AC524" s="5" t="s">
        <v>50</v>
      </c>
      <c r="AD524" s="5">
        <v>2</v>
      </c>
    </row>
    <row r="525" spans="1:30">
      <c r="A525" s="5" t="s">
        <v>1541</v>
      </c>
      <c r="B525" s="1" t="s">
        <v>1542</v>
      </c>
      <c r="C525" s="5" t="s">
        <v>1543</v>
      </c>
      <c r="D525" s="5" t="s">
        <v>1263</v>
      </c>
      <c r="E525" s="5" t="s">
        <v>103</v>
      </c>
      <c r="F525" s="5" t="s">
        <v>245</v>
      </c>
      <c r="G525" s="5" t="s">
        <v>246</v>
      </c>
      <c r="H525" s="5" t="s">
        <v>171</v>
      </c>
      <c r="I525" s="5" t="s">
        <v>71</v>
      </c>
      <c r="J525" s="5" t="s">
        <v>72</v>
      </c>
      <c r="K525" s="5">
        <v>2</v>
      </c>
      <c r="L525" s="5">
        <v>1200</v>
      </c>
      <c r="M525" s="5">
        <v>0.05</v>
      </c>
      <c r="N525" s="5">
        <v>2280</v>
      </c>
      <c r="O525" s="5">
        <v>1865.55</v>
      </c>
      <c r="P525" s="5">
        <v>414.45</v>
      </c>
      <c r="Q525" s="5">
        <v>18.18</v>
      </c>
      <c r="R525" s="5" t="s">
        <v>166</v>
      </c>
      <c r="S525" s="5" t="s">
        <v>74</v>
      </c>
      <c r="T525" s="5" t="s">
        <v>97</v>
      </c>
      <c r="U525" s="5" t="s">
        <v>198</v>
      </c>
      <c r="V525" s="5">
        <v>2025</v>
      </c>
      <c r="W525" s="5" t="s">
        <v>194</v>
      </c>
      <c r="X525" s="5">
        <v>3</v>
      </c>
      <c r="Y525" s="1">
        <v>45669</v>
      </c>
      <c r="Z525" s="5" t="s">
        <v>47</v>
      </c>
      <c r="AA525" s="5" t="s">
        <v>67</v>
      </c>
      <c r="AB525" s="5" t="s">
        <v>78</v>
      </c>
      <c r="AC525" s="5" t="s">
        <v>50</v>
      </c>
      <c r="AD525" s="5">
        <v>1</v>
      </c>
    </row>
    <row r="526" spans="1:30">
      <c r="A526" s="5" t="s">
        <v>1544</v>
      </c>
      <c r="B526" s="1">
        <v>45418</v>
      </c>
      <c r="C526" s="5" t="s">
        <v>1545</v>
      </c>
      <c r="D526" s="5" t="s">
        <v>1337</v>
      </c>
      <c r="E526" s="5" t="s">
        <v>55</v>
      </c>
      <c r="F526" s="5" t="s">
        <v>156</v>
      </c>
      <c r="G526" s="5" t="s">
        <v>157</v>
      </c>
      <c r="H526" s="5" t="s">
        <v>58</v>
      </c>
      <c r="I526" s="5" t="s">
        <v>95</v>
      </c>
      <c r="J526" s="5" t="s">
        <v>319</v>
      </c>
      <c r="K526" s="5">
        <v>10</v>
      </c>
      <c r="L526" s="5">
        <v>15000</v>
      </c>
      <c r="M526" s="5">
        <v>0</v>
      </c>
      <c r="N526" s="5">
        <v>150000</v>
      </c>
      <c r="O526" s="5">
        <v>86444.94</v>
      </c>
      <c r="P526" s="5">
        <v>63555.06</v>
      </c>
      <c r="Q526" s="5">
        <v>42.37</v>
      </c>
      <c r="R526" s="5" t="s">
        <v>166</v>
      </c>
      <c r="S526" s="5" t="s">
        <v>74</v>
      </c>
      <c r="T526" s="5" t="s">
        <v>138</v>
      </c>
      <c r="U526" s="5" t="s">
        <v>160</v>
      </c>
      <c r="V526" s="5">
        <v>2024</v>
      </c>
      <c r="W526" s="5" t="s">
        <v>134</v>
      </c>
      <c r="X526" s="5">
        <v>10</v>
      </c>
      <c r="Y526" s="1" t="s">
        <v>1211</v>
      </c>
      <c r="Z526" s="5" t="s">
        <v>110</v>
      </c>
      <c r="AA526" s="5" t="s">
        <v>67</v>
      </c>
      <c r="AB526" s="5" t="s">
        <v>49</v>
      </c>
      <c r="AC526" s="5" t="s">
        <v>50</v>
      </c>
      <c r="AD526" s="5">
        <v>2</v>
      </c>
    </row>
    <row r="527" spans="1:30">
      <c r="A527" s="5" t="s">
        <v>1546</v>
      </c>
      <c r="B527" s="1" t="s">
        <v>1547</v>
      </c>
      <c r="C527" s="5" t="s">
        <v>773</v>
      </c>
      <c r="D527" s="5" t="s">
        <v>225</v>
      </c>
      <c r="E527" s="5" t="s">
        <v>55</v>
      </c>
      <c r="F527" s="5" t="s">
        <v>36</v>
      </c>
      <c r="G527" s="5" t="s">
        <v>37</v>
      </c>
      <c r="H527" s="5" t="s">
        <v>38</v>
      </c>
      <c r="I527" s="5" t="s">
        <v>84</v>
      </c>
      <c r="J527" s="5" t="s">
        <v>217</v>
      </c>
      <c r="K527" s="5">
        <v>6</v>
      </c>
      <c r="L527" s="5">
        <v>350</v>
      </c>
      <c r="M527" s="5">
        <v>0</v>
      </c>
      <c r="N527" s="5">
        <v>2100</v>
      </c>
      <c r="O527" s="5">
        <v>1301.25</v>
      </c>
      <c r="P527" s="5">
        <v>798.75</v>
      </c>
      <c r="Q527" s="5">
        <v>38.04</v>
      </c>
      <c r="R527" s="5" t="s">
        <v>106</v>
      </c>
      <c r="S527" s="5" t="s">
        <v>42</v>
      </c>
      <c r="T527" s="5" t="s">
        <v>138</v>
      </c>
      <c r="U527" s="5" t="s">
        <v>178</v>
      </c>
      <c r="V527" s="5">
        <v>2024</v>
      </c>
      <c r="W527" s="5" t="s">
        <v>134</v>
      </c>
      <c r="X527" s="5">
        <v>3</v>
      </c>
      <c r="Y527" s="1" t="s">
        <v>483</v>
      </c>
      <c r="Z527" s="5" t="s">
        <v>110</v>
      </c>
      <c r="AA527" s="5" t="s">
        <v>90</v>
      </c>
      <c r="AB527" s="5" t="s">
        <v>78</v>
      </c>
      <c r="AC527" s="5" t="s">
        <v>50</v>
      </c>
      <c r="AD527" s="5">
        <v>4</v>
      </c>
    </row>
    <row r="528" spans="1:30">
      <c r="A528" s="5" t="s">
        <v>1548</v>
      </c>
      <c r="B528" s="1">
        <v>45667</v>
      </c>
      <c r="C528" s="5" t="s">
        <v>619</v>
      </c>
      <c r="D528" s="5" t="s">
        <v>770</v>
      </c>
      <c r="E528" s="5" t="s">
        <v>55</v>
      </c>
      <c r="F528" s="5" t="s">
        <v>156</v>
      </c>
      <c r="G528" s="5" t="s">
        <v>157</v>
      </c>
      <c r="H528" s="5" t="s">
        <v>58</v>
      </c>
      <c r="I528" s="5" t="s">
        <v>59</v>
      </c>
      <c r="J528" s="5" t="s">
        <v>206</v>
      </c>
      <c r="K528" s="5">
        <v>8</v>
      </c>
      <c r="L528" s="5">
        <v>1200</v>
      </c>
      <c r="M528" s="5">
        <v>0.2</v>
      </c>
      <c r="N528" s="5">
        <v>7680</v>
      </c>
      <c r="O528" s="5">
        <v>4397.13</v>
      </c>
      <c r="P528" s="5">
        <v>3282.87</v>
      </c>
      <c r="Q528" s="5">
        <v>42.75</v>
      </c>
      <c r="R528" s="5" t="s">
        <v>41</v>
      </c>
      <c r="S528" s="5" t="s">
        <v>42</v>
      </c>
      <c r="T528" s="5" t="s">
        <v>43</v>
      </c>
      <c r="U528" s="5" t="s">
        <v>87</v>
      </c>
      <c r="V528" s="5">
        <v>2025</v>
      </c>
      <c r="W528" s="5" t="s">
        <v>134</v>
      </c>
      <c r="X528" s="5">
        <v>6</v>
      </c>
      <c r="Y528" s="1">
        <v>45848</v>
      </c>
      <c r="Z528" s="5" t="s">
        <v>47</v>
      </c>
      <c r="AA528" s="5" t="s">
        <v>48</v>
      </c>
      <c r="AB528" s="5" t="s">
        <v>49</v>
      </c>
      <c r="AC528" s="5" t="s">
        <v>121</v>
      </c>
      <c r="AD528" s="5">
        <v>2</v>
      </c>
    </row>
    <row r="529" spans="1:30">
      <c r="A529" s="5" t="s">
        <v>1549</v>
      </c>
      <c r="B529" s="1" t="s">
        <v>179</v>
      </c>
      <c r="C529" s="5" t="s">
        <v>402</v>
      </c>
      <c r="D529" s="5" t="s">
        <v>623</v>
      </c>
      <c r="E529" s="5" t="s">
        <v>55</v>
      </c>
      <c r="F529" s="5" t="s">
        <v>36</v>
      </c>
      <c r="G529" s="5" t="s">
        <v>37</v>
      </c>
      <c r="H529" s="5" t="s">
        <v>94</v>
      </c>
      <c r="I529" s="5" t="s">
        <v>84</v>
      </c>
      <c r="J529" s="5" t="s">
        <v>290</v>
      </c>
      <c r="K529" s="5">
        <v>3</v>
      </c>
      <c r="L529" s="5">
        <v>800</v>
      </c>
      <c r="M529" s="5">
        <v>0.15</v>
      </c>
      <c r="N529" s="5">
        <v>2040</v>
      </c>
      <c r="O529" s="5">
        <v>1603.49</v>
      </c>
      <c r="P529" s="5">
        <v>436.51</v>
      </c>
      <c r="Q529" s="5">
        <v>21.4</v>
      </c>
      <c r="R529" s="5" t="s">
        <v>41</v>
      </c>
      <c r="S529" s="5" t="s">
        <v>62</v>
      </c>
      <c r="T529" s="5" t="s">
        <v>173</v>
      </c>
      <c r="U529" s="5" t="s">
        <v>178</v>
      </c>
      <c r="V529" s="5">
        <v>2024</v>
      </c>
      <c r="W529" s="5" t="s">
        <v>194</v>
      </c>
      <c r="X529" s="5">
        <v>4</v>
      </c>
      <c r="Y529" s="1" t="s">
        <v>460</v>
      </c>
      <c r="Z529" s="5" t="s">
        <v>110</v>
      </c>
      <c r="AA529" s="5" t="s">
        <v>90</v>
      </c>
      <c r="AB529" s="5" t="s">
        <v>49</v>
      </c>
      <c r="AC529" s="5" t="s">
        <v>121</v>
      </c>
      <c r="AD529" s="5">
        <v>4</v>
      </c>
    </row>
    <row r="530" spans="1:30">
      <c r="A530" s="5" t="s">
        <v>1550</v>
      </c>
      <c r="B530" s="1" t="s">
        <v>826</v>
      </c>
      <c r="C530" s="5" t="s">
        <v>1345</v>
      </c>
      <c r="D530" s="5" t="s">
        <v>1551</v>
      </c>
      <c r="E530" s="5" t="s">
        <v>55</v>
      </c>
      <c r="F530" s="5" t="s">
        <v>156</v>
      </c>
      <c r="G530" s="5" t="s">
        <v>157</v>
      </c>
      <c r="H530" s="5" t="s">
        <v>58</v>
      </c>
      <c r="I530" s="5" t="s">
        <v>95</v>
      </c>
      <c r="J530" s="5" t="s">
        <v>440</v>
      </c>
      <c r="K530" s="5">
        <v>6</v>
      </c>
      <c r="L530" s="5">
        <v>2500</v>
      </c>
      <c r="M530" s="5">
        <v>0.1</v>
      </c>
      <c r="N530" s="5">
        <v>13500</v>
      </c>
      <c r="O530" s="5">
        <v>8200.06</v>
      </c>
      <c r="P530" s="5">
        <v>5299.94</v>
      </c>
      <c r="Q530" s="5">
        <v>39.26</v>
      </c>
      <c r="R530" s="5" t="s">
        <v>41</v>
      </c>
      <c r="S530" s="5" t="s">
        <v>74</v>
      </c>
      <c r="T530" s="5" t="s">
        <v>138</v>
      </c>
      <c r="U530" s="5" t="s">
        <v>64</v>
      </c>
      <c r="V530" s="5">
        <v>2024</v>
      </c>
      <c r="W530" s="5" t="s">
        <v>126</v>
      </c>
      <c r="X530" s="5">
        <v>10</v>
      </c>
      <c r="Y530" s="1" t="s">
        <v>231</v>
      </c>
      <c r="Z530" s="5" t="s">
        <v>110</v>
      </c>
      <c r="AA530" s="5" t="s">
        <v>90</v>
      </c>
      <c r="AB530" s="5" t="s">
        <v>111</v>
      </c>
      <c r="AC530" s="5" t="s">
        <v>121</v>
      </c>
      <c r="AD530" s="5">
        <v>3</v>
      </c>
    </row>
    <row r="531" spans="1:30">
      <c r="A531" s="5" t="s">
        <v>1552</v>
      </c>
      <c r="B531" s="1" t="s">
        <v>979</v>
      </c>
      <c r="C531" s="5" t="s">
        <v>989</v>
      </c>
      <c r="D531" s="5" t="s">
        <v>594</v>
      </c>
      <c r="E531" s="5" t="s">
        <v>55</v>
      </c>
      <c r="F531" s="5" t="s">
        <v>144</v>
      </c>
      <c r="G531" s="5" t="s">
        <v>145</v>
      </c>
      <c r="H531" s="5" t="s">
        <v>38</v>
      </c>
      <c r="I531" s="5" t="s">
        <v>39</v>
      </c>
      <c r="J531" s="5" t="s">
        <v>165</v>
      </c>
      <c r="K531" s="5">
        <v>7</v>
      </c>
      <c r="L531" s="5">
        <v>8000</v>
      </c>
      <c r="M531" s="5">
        <v>0.1</v>
      </c>
      <c r="N531" s="5">
        <v>50400</v>
      </c>
      <c r="O531" s="5">
        <v>28455.89</v>
      </c>
      <c r="P531" s="5">
        <v>21944.11</v>
      </c>
      <c r="Q531" s="5">
        <v>43.54</v>
      </c>
      <c r="R531" s="5" t="s">
        <v>106</v>
      </c>
      <c r="S531" s="5" t="s">
        <v>74</v>
      </c>
      <c r="T531" s="5" t="s">
        <v>173</v>
      </c>
      <c r="U531" s="5" t="s">
        <v>178</v>
      </c>
      <c r="V531" s="5">
        <v>2025</v>
      </c>
      <c r="W531" s="5" t="s">
        <v>45</v>
      </c>
      <c r="X531" s="5">
        <v>8</v>
      </c>
      <c r="Y531" s="1" t="s">
        <v>305</v>
      </c>
      <c r="Z531" s="5" t="s">
        <v>47</v>
      </c>
      <c r="AA531" s="5" t="s">
        <v>67</v>
      </c>
      <c r="AB531" s="5" t="s">
        <v>78</v>
      </c>
      <c r="AC531" s="5" t="s">
        <v>121</v>
      </c>
      <c r="AD531" s="5">
        <v>3</v>
      </c>
    </row>
    <row r="532" spans="1:30">
      <c r="A532" s="5" t="s">
        <v>1553</v>
      </c>
      <c r="B532" s="1" t="s">
        <v>958</v>
      </c>
      <c r="C532" s="5" t="s">
        <v>1242</v>
      </c>
      <c r="D532" s="5" t="s">
        <v>1554</v>
      </c>
      <c r="E532" s="5" t="s">
        <v>55</v>
      </c>
      <c r="F532" s="5" t="s">
        <v>56</v>
      </c>
      <c r="G532" s="5" t="s">
        <v>57</v>
      </c>
      <c r="H532" s="5" t="s">
        <v>94</v>
      </c>
      <c r="I532" s="5" t="s">
        <v>71</v>
      </c>
      <c r="J532" s="5" t="s">
        <v>172</v>
      </c>
      <c r="K532" s="5">
        <v>4</v>
      </c>
      <c r="L532" s="5">
        <v>1800</v>
      </c>
      <c r="M532" s="5">
        <v>0.05</v>
      </c>
      <c r="N532" s="5">
        <v>6840</v>
      </c>
      <c r="O532" s="5">
        <v>4393.6400000000003</v>
      </c>
      <c r="P532" s="5">
        <v>2446.36</v>
      </c>
      <c r="Q532" s="5">
        <v>35.770000000000003</v>
      </c>
      <c r="R532" s="5" t="s">
        <v>166</v>
      </c>
      <c r="S532" s="5" t="s">
        <v>62</v>
      </c>
      <c r="T532" s="5" t="s">
        <v>107</v>
      </c>
      <c r="U532" s="5" t="s">
        <v>98</v>
      </c>
      <c r="V532" s="5">
        <v>2024</v>
      </c>
      <c r="W532" s="5" t="s">
        <v>45</v>
      </c>
      <c r="X532" s="5">
        <v>2</v>
      </c>
      <c r="Y532" s="1" t="s">
        <v>786</v>
      </c>
      <c r="Z532" s="5" t="s">
        <v>110</v>
      </c>
      <c r="AA532" s="5" t="s">
        <v>48</v>
      </c>
      <c r="AB532" s="5" t="s">
        <v>49</v>
      </c>
      <c r="AC532" s="5" t="s">
        <v>50</v>
      </c>
      <c r="AD532" s="5">
        <v>3</v>
      </c>
    </row>
    <row r="533" spans="1:30">
      <c r="A533" s="5" t="s">
        <v>1555</v>
      </c>
      <c r="B533" s="1" t="s">
        <v>433</v>
      </c>
      <c r="C533" s="5" t="s">
        <v>1321</v>
      </c>
      <c r="D533" s="5" t="s">
        <v>1556</v>
      </c>
      <c r="E533" s="5" t="s">
        <v>35</v>
      </c>
      <c r="F533" s="5" t="s">
        <v>144</v>
      </c>
      <c r="G533" s="5" t="s">
        <v>145</v>
      </c>
      <c r="H533" s="5" t="s">
        <v>94</v>
      </c>
      <c r="I533" s="5" t="s">
        <v>71</v>
      </c>
      <c r="J533" s="5" t="s">
        <v>72</v>
      </c>
      <c r="K533" s="5">
        <v>9</v>
      </c>
      <c r="L533" s="5">
        <v>3500</v>
      </c>
      <c r="M533" s="5">
        <v>0.05</v>
      </c>
      <c r="N533" s="5">
        <v>29925</v>
      </c>
      <c r="O533" s="5">
        <v>17627.22</v>
      </c>
      <c r="P533" s="5">
        <v>12297.78</v>
      </c>
      <c r="Q533" s="5">
        <v>41.1</v>
      </c>
      <c r="R533" s="5" t="s">
        <v>73</v>
      </c>
      <c r="S533" s="5" t="s">
        <v>62</v>
      </c>
      <c r="T533" s="5" t="s">
        <v>97</v>
      </c>
      <c r="U533" s="5" t="s">
        <v>178</v>
      </c>
      <c r="V533" s="5">
        <v>2024</v>
      </c>
      <c r="W533" s="5" t="s">
        <v>134</v>
      </c>
      <c r="X533" s="5">
        <v>10</v>
      </c>
      <c r="Y533" s="1" t="s">
        <v>1188</v>
      </c>
      <c r="Z533" s="5" t="s">
        <v>89</v>
      </c>
      <c r="AA533" s="5" t="s">
        <v>90</v>
      </c>
      <c r="AB533" s="5" t="s">
        <v>111</v>
      </c>
      <c r="AC533" s="5" t="s">
        <v>50</v>
      </c>
      <c r="AD533" s="5">
        <v>3</v>
      </c>
    </row>
    <row r="534" spans="1:30">
      <c r="A534" s="5" t="s">
        <v>1557</v>
      </c>
      <c r="B534" s="1" t="s">
        <v>453</v>
      </c>
      <c r="C534" s="5" t="s">
        <v>1558</v>
      </c>
      <c r="D534" s="5" t="s">
        <v>293</v>
      </c>
      <c r="E534" s="5" t="s">
        <v>103</v>
      </c>
      <c r="F534" s="5" t="s">
        <v>131</v>
      </c>
      <c r="G534" s="5" t="s">
        <v>132</v>
      </c>
      <c r="H534" s="5" t="s">
        <v>38</v>
      </c>
      <c r="I534" s="5" t="s">
        <v>39</v>
      </c>
      <c r="J534" s="5" t="s">
        <v>253</v>
      </c>
      <c r="K534" s="5">
        <v>3</v>
      </c>
      <c r="L534" s="5">
        <v>50000</v>
      </c>
      <c r="M534" s="5">
        <v>0.15</v>
      </c>
      <c r="N534" s="5">
        <v>127500</v>
      </c>
      <c r="O534" s="5">
        <v>71381.03</v>
      </c>
      <c r="P534" s="5">
        <v>56118.97</v>
      </c>
      <c r="Q534" s="5">
        <v>44.01</v>
      </c>
      <c r="R534" s="5" t="s">
        <v>41</v>
      </c>
      <c r="S534" s="5" t="s">
        <v>62</v>
      </c>
      <c r="T534" s="5" t="s">
        <v>86</v>
      </c>
      <c r="U534" s="5" t="s">
        <v>87</v>
      </c>
      <c r="V534" s="5">
        <v>2025</v>
      </c>
      <c r="W534" s="5" t="s">
        <v>139</v>
      </c>
      <c r="X534" s="5">
        <v>10</v>
      </c>
      <c r="Y534" s="1" t="s">
        <v>456</v>
      </c>
      <c r="Z534" s="5" t="s">
        <v>47</v>
      </c>
      <c r="AA534" s="5" t="s">
        <v>67</v>
      </c>
      <c r="AB534" s="5" t="s">
        <v>49</v>
      </c>
      <c r="AC534" s="5" t="s">
        <v>121</v>
      </c>
      <c r="AD534" s="5">
        <v>5</v>
      </c>
    </row>
    <row r="535" spans="1:30">
      <c r="A535" s="5" t="s">
        <v>1559</v>
      </c>
      <c r="B535" s="1" t="s">
        <v>896</v>
      </c>
      <c r="C535" s="5" t="s">
        <v>827</v>
      </c>
      <c r="D535" s="5" t="s">
        <v>1560</v>
      </c>
      <c r="E535" s="5" t="s">
        <v>55</v>
      </c>
      <c r="F535" s="5" t="s">
        <v>104</v>
      </c>
      <c r="G535" s="5" t="s">
        <v>104</v>
      </c>
      <c r="H535" s="5" t="s">
        <v>171</v>
      </c>
      <c r="I535" s="5" t="s">
        <v>84</v>
      </c>
      <c r="J535" s="5" t="s">
        <v>229</v>
      </c>
      <c r="K535" s="5">
        <v>1</v>
      </c>
      <c r="L535" s="5">
        <v>350</v>
      </c>
      <c r="M535" s="5">
        <v>0.1</v>
      </c>
      <c r="N535" s="5">
        <v>315</v>
      </c>
      <c r="O535" s="5">
        <v>228.44</v>
      </c>
      <c r="P535" s="5">
        <v>86.56</v>
      </c>
      <c r="Q535" s="5">
        <v>27.48</v>
      </c>
      <c r="R535" s="5" t="s">
        <v>41</v>
      </c>
      <c r="S535" s="5" t="s">
        <v>62</v>
      </c>
      <c r="T535" s="5" t="s">
        <v>107</v>
      </c>
      <c r="U535" s="5" t="s">
        <v>119</v>
      </c>
      <c r="V535" s="5">
        <v>2025</v>
      </c>
      <c r="W535" s="5" t="s">
        <v>139</v>
      </c>
      <c r="X535" s="5">
        <v>2</v>
      </c>
      <c r="Y535" s="1" t="s">
        <v>544</v>
      </c>
      <c r="Z535" s="5" t="s">
        <v>110</v>
      </c>
      <c r="AA535" s="5" t="s">
        <v>67</v>
      </c>
      <c r="AB535" s="5" t="s">
        <v>49</v>
      </c>
      <c r="AC535" s="5" t="s">
        <v>121</v>
      </c>
      <c r="AD535" s="5">
        <v>4</v>
      </c>
    </row>
    <row r="536" spans="1:30">
      <c r="A536" s="5" t="s">
        <v>1561</v>
      </c>
      <c r="B536" s="1">
        <v>45907</v>
      </c>
      <c r="C536" s="5" t="s">
        <v>312</v>
      </c>
      <c r="D536" s="5" t="s">
        <v>924</v>
      </c>
      <c r="E536" s="5" t="s">
        <v>55</v>
      </c>
      <c r="F536" s="5" t="s">
        <v>156</v>
      </c>
      <c r="G536" s="5" t="s">
        <v>157</v>
      </c>
      <c r="H536" s="5" t="s">
        <v>58</v>
      </c>
      <c r="I536" s="5" t="s">
        <v>84</v>
      </c>
      <c r="J536" s="5" t="s">
        <v>85</v>
      </c>
      <c r="K536" s="5">
        <v>9</v>
      </c>
      <c r="L536" s="5">
        <v>800</v>
      </c>
      <c r="M536" s="5">
        <v>0.05</v>
      </c>
      <c r="N536" s="5">
        <v>6840</v>
      </c>
      <c r="O536" s="5">
        <v>4288.3900000000003</v>
      </c>
      <c r="P536" s="5">
        <v>2551.61</v>
      </c>
      <c r="Q536" s="5">
        <v>37.299999999999997</v>
      </c>
      <c r="R536" s="5" t="s">
        <v>106</v>
      </c>
      <c r="S536" s="5" t="s">
        <v>74</v>
      </c>
      <c r="T536" s="5" t="s">
        <v>173</v>
      </c>
      <c r="U536" s="5" t="s">
        <v>151</v>
      </c>
      <c r="V536" s="5">
        <v>2025</v>
      </c>
      <c r="W536" s="5" t="s">
        <v>134</v>
      </c>
      <c r="X536" s="5">
        <v>7</v>
      </c>
      <c r="Y536" s="1" t="s">
        <v>212</v>
      </c>
      <c r="Z536" s="5" t="s">
        <v>110</v>
      </c>
      <c r="AA536" s="5" t="s">
        <v>48</v>
      </c>
      <c r="AB536" s="5" t="s">
        <v>49</v>
      </c>
      <c r="AC536" s="5" t="s">
        <v>50</v>
      </c>
      <c r="AD536" s="5">
        <v>1</v>
      </c>
    </row>
    <row r="537" spans="1:30">
      <c r="A537" s="5" t="s">
        <v>1562</v>
      </c>
      <c r="B537" s="1" t="s">
        <v>575</v>
      </c>
      <c r="C537" s="5" t="s">
        <v>904</v>
      </c>
      <c r="D537" s="5" t="s">
        <v>70</v>
      </c>
      <c r="E537" s="5" t="s">
        <v>55</v>
      </c>
      <c r="F537" s="5" t="s">
        <v>56</v>
      </c>
      <c r="G537" s="5" t="s">
        <v>57</v>
      </c>
      <c r="H537" s="5" t="s">
        <v>94</v>
      </c>
      <c r="I537" s="5" t="s">
        <v>59</v>
      </c>
      <c r="J537" s="5" t="s">
        <v>372</v>
      </c>
      <c r="K537" s="5">
        <v>2</v>
      </c>
      <c r="L537" s="5">
        <v>2000</v>
      </c>
      <c r="M537" s="5">
        <v>0.2</v>
      </c>
      <c r="N537" s="5">
        <v>3200</v>
      </c>
      <c r="O537" s="5">
        <v>2495.87</v>
      </c>
      <c r="P537" s="5">
        <v>704.13</v>
      </c>
      <c r="Q537" s="5">
        <v>22</v>
      </c>
      <c r="R537" s="5" t="s">
        <v>106</v>
      </c>
      <c r="S537" s="5" t="s">
        <v>74</v>
      </c>
      <c r="T537" s="5" t="s">
        <v>138</v>
      </c>
      <c r="U537" s="5" t="s">
        <v>218</v>
      </c>
      <c r="V537" s="5">
        <v>2025</v>
      </c>
      <c r="W537" s="5" t="s">
        <v>126</v>
      </c>
      <c r="X537" s="5">
        <v>1</v>
      </c>
      <c r="Y537" s="1" t="s">
        <v>673</v>
      </c>
      <c r="Z537" s="5" t="s">
        <v>47</v>
      </c>
      <c r="AA537" s="5" t="s">
        <v>90</v>
      </c>
      <c r="AB537" s="5" t="s">
        <v>78</v>
      </c>
      <c r="AC537" s="5" t="s">
        <v>50</v>
      </c>
      <c r="AD537" s="5">
        <v>4</v>
      </c>
    </row>
    <row r="538" spans="1:30">
      <c r="A538" s="5" t="s">
        <v>1563</v>
      </c>
      <c r="B538" s="1">
        <v>45301</v>
      </c>
      <c r="C538" s="5" t="s">
        <v>640</v>
      </c>
      <c r="D538" s="5" t="s">
        <v>1434</v>
      </c>
      <c r="E538" s="5" t="s">
        <v>55</v>
      </c>
      <c r="F538" s="5" t="s">
        <v>156</v>
      </c>
      <c r="G538" s="5" t="s">
        <v>157</v>
      </c>
      <c r="H538" s="5" t="s">
        <v>58</v>
      </c>
      <c r="I538" s="5" t="s">
        <v>39</v>
      </c>
      <c r="J538" s="5" t="s">
        <v>40</v>
      </c>
      <c r="K538" s="5">
        <v>4</v>
      </c>
      <c r="L538" s="5">
        <v>35000</v>
      </c>
      <c r="M538" s="5">
        <v>0.1</v>
      </c>
      <c r="N538" s="5">
        <v>126000</v>
      </c>
      <c r="O538" s="5">
        <v>97825.23</v>
      </c>
      <c r="P538" s="5">
        <v>28174.77</v>
      </c>
      <c r="Q538" s="5">
        <v>22.36</v>
      </c>
      <c r="R538" s="5" t="s">
        <v>106</v>
      </c>
      <c r="S538" s="5" t="s">
        <v>74</v>
      </c>
      <c r="T538" s="5" t="s">
        <v>118</v>
      </c>
      <c r="U538" s="5" t="s">
        <v>87</v>
      </c>
      <c r="V538" s="5">
        <v>2024</v>
      </c>
      <c r="W538" s="5" t="s">
        <v>109</v>
      </c>
      <c r="X538" s="5">
        <v>5</v>
      </c>
      <c r="Y538" s="1">
        <v>45453</v>
      </c>
      <c r="Z538" s="5" t="s">
        <v>47</v>
      </c>
      <c r="AA538" s="5" t="s">
        <v>67</v>
      </c>
      <c r="AB538" s="5" t="s">
        <v>111</v>
      </c>
      <c r="AC538" s="5" t="s">
        <v>50</v>
      </c>
      <c r="AD538" s="5">
        <v>3</v>
      </c>
    </row>
    <row r="539" spans="1:30">
      <c r="A539" s="5" t="s">
        <v>1564</v>
      </c>
      <c r="B539" s="1" t="s">
        <v>1565</v>
      </c>
      <c r="C539" s="5" t="s">
        <v>1124</v>
      </c>
      <c r="D539" s="5" t="s">
        <v>512</v>
      </c>
      <c r="E539" s="5" t="s">
        <v>103</v>
      </c>
      <c r="F539" s="5" t="s">
        <v>245</v>
      </c>
      <c r="G539" s="5" t="s">
        <v>246</v>
      </c>
      <c r="H539" s="5" t="s">
        <v>94</v>
      </c>
      <c r="I539" s="5" t="s">
        <v>59</v>
      </c>
      <c r="J539" s="5" t="s">
        <v>133</v>
      </c>
      <c r="K539" s="5">
        <v>4</v>
      </c>
      <c r="L539" s="5">
        <v>3000</v>
      </c>
      <c r="M539" s="5">
        <v>0.15</v>
      </c>
      <c r="N539" s="5">
        <v>10200</v>
      </c>
      <c r="O539" s="5">
        <v>7891.83</v>
      </c>
      <c r="P539" s="5">
        <v>2308.17</v>
      </c>
      <c r="Q539" s="5">
        <v>22.63</v>
      </c>
      <c r="R539" s="5" t="s">
        <v>73</v>
      </c>
      <c r="S539" s="5" t="s">
        <v>62</v>
      </c>
      <c r="T539" s="5" t="s">
        <v>97</v>
      </c>
      <c r="U539" s="5" t="s">
        <v>151</v>
      </c>
      <c r="V539" s="5">
        <v>2024</v>
      </c>
      <c r="W539" s="5" t="s">
        <v>109</v>
      </c>
      <c r="X539" s="5">
        <v>10</v>
      </c>
      <c r="Y539" s="1" t="s">
        <v>1173</v>
      </c>
      <c r="Z539" s="5" t="s">
        <v>110</v>
      </c>
      <c r="AA539" s="5" t="s">
        <v>48</v>
      </c>
      <c r="AB539" s="5" t="s">
        <v>49</v>
      </c>
      <c r="AC539" s="5" t="s">
        <v>50</v>
      </c>
      <c r="AD539" s="5">
        <v>2</v>
      </c>
    </row>
    <row r="540" spans="1:30">
      <c r="A540" s="5" t="s">
        <v>1566</v>
      </c>
      <c r="B540" s="1">
        <v>45757</v>
      </c>
      <c r="C540" s="5" t="s">
        <v>1080</v>
      </c>
      <c r="D540" s="5" t="s">
        <v>1567</v>
      </c>
      <c r="E540" s="5" t="s">
        <v>35</v>
      </c>
      <c r="F540" s="5" t="s">
        <v>36</v>
      </c>
      <c r="G540" s="5" t="s">
        <v>37</v>
      </c>
      <c r="H540" s="5" t="s">
        <v>58</v>
      </c>
      <c r="I540" s="5" t="s">
        <v>95</v>
      </c>
      <c r="J540" s="5" t="s">
        <v>96</v>
      </c>
      <c r="K540" s="5">
        <v>2</v>
      </c>
      <c r="L540" s="5">
        <v>15000</v>
      </c>
      <c r="M540" s="5">
        <v>0.15</v>
      </c>
      <c r="N540" s="5">
        <v>25500</v>
      </c>
      <c r="O540" s="5">
        <v>15120.08</v>
      </c>
      <c r="P540" s="5">
        <v>10379.92</v>
      </c>
      <c r="Q540" s="5">
        <v>40.71</v>
      </c>
      <c r="R540" s="5" t="s">
        <v>166</v>
      </c>
      <c r="S540" s="5" t="s">
        <v>74</v>
      </c>
      <c r="T540" s="5" t="s">
        <v>63</v>
      </c>
      <c r="U540" s="5" t="s">
        <v>87</v>
      </c>
      <c r="V540" s="5">
        <v>2025</v>
      </c>
      <c r="W540" s="5" t="s">
        <v>65</v>
      </c>
      <c r="X540" s="5">
        <v>5</v>
      </c>
      <c r="Y540" s="1">
        <v>45910</v>
      </c>
      <c r="Z540" s="5" t="s">
        <v>89</v>
      </c>
      <c r="AA540" s="5" t="s">
        <v>90</v>
      </c>
      <c r="AB540" s="5" t="s">
        <v>49</v>
      </c>
      <c r="AC540" s="5" t="s">
        <v>121</v>
      </c>
      <c r="AD540" s="5">
        <v>5</v>
      </c>
    </row>
    <row r="541" spans="1:30">
      <c r="A541" s="5" t="s">
        <v>1568</v>
      </c>
      <c r="B541" s="1">
        <v>45572</v>
      </c>
      <c r="C541" s="5" t="s">
        <v>1082</v>
      </c>
      <c r="D541" s="5" t="s">
        <v>1469</v>
      </c>
      <c r="E541" s="5" t="s">
        <v>55</v>
      </c>
      <c r="F541" s="5" t="s">
        <v>156</v>
      </c>
      <c r="G541" s="5" t="s">
        <v>157</v>
      </c>
      <c r="H541" s="5" t="s">
        <v>171</v>
      </c>
      <c r="I541" s="5" t="s">
        <v>39</v>
      </c>
      <c r="J541" s="5" t="s">
        <v>105</v>
      </c>
      <c r="K541" s="5">
        <v>8</v>
      </c>
      <c r="L541" s="5">
        <v>50000</v>
      </c>
      <c r="M541" s="5">
        <v>0.1</v>
      </c>
      <c r="N541" s="5">
        <v>360000</v>
      </c>
      <c r="O541" s="5">
        <v>226860.87</v>
      </c>
      <c r="P541" s="5">
        <v>133139.13</v>
      </c>
      <c r="Q541" s="5">
        <v>36.979999999999997</v>
      </c>
      <c r="R541" s="5" t="s">
        <v>106</v>
      </c>
      <c r="S541" s="5" t="s">
        <v>62</v>
      </c>
      <c r="T541" s="5" t="s">
        <v>173</v>
      </c>
      <c r="U541" s="5" t="s">
        <v>151</v>
      </c>
      <c r="V541" s="5">
        <v>2024</v>
      </c>
      <c r="W541" s="5" t="s">
        <v>134</v>
      </c>
      <c r="X541" s="5">
        <v>4</v>
      </c>
      <c r="Y541" s="1" t="s">
        <v>832</v>
      </c>
      <c r="Z541" s="5" t="s">
        <v>47</v>
      </c>
      <c r="AA541" s="5" t="s">
        <v>90</v>
      </c>
      <c r="AB541" s="5" t="s">
        <v>111</v>
      </c>
      <c r="AC541" s="5" t="s">
        <v>121</v>
      </c>
      <c r="AD541" s="5">
        <v>5</v>
      </c>
    </row>
    <row r="542" spans="1:30">
      <c r="A542" s="5" t="s">
        <v>1569</v>
      </c>
      <c r="B542" s="1" t="s">
        <v>1277</v>
      </c>
      <c r="C542" s="5" t="s">
        <v>1570</v>
      </c>
      <c r="D542" s="5" t="s">
        <v>297</v>
      </c>
      <c r="E542" s="5" t="s">
        <v>55</v>
      </c>
      <c r="F542" s="5" t="s">
        <v>36</v>
      </c>
      <c r="G542" s="5" t="s">
        <v>37</v>
      </c>
      <c r="H542" s="5" t="s">
        <v>38</v>
      </c>
      <c r="I542" s="5" t="s">
        <v>39</v>
      </c>
      <c r="J542" s="5" t="s">
        <v>253</v>
      </c>
      <c r="K542" s="5">
        <v>10</v>
      </c>
      <c r="L542" s="5">
        <v>8000</v>
      </c>
      <c r="M542" s="5">
        <v>0</v>
      </c>
      <c r="N542" s="5">
        <v>80000</v>
      </c>
      <c r="O542" s="5">
        <v>63323.46</v>
      </c>
      <c r="P542" s="5">
        <v>16676.54</v>
      </c>
      <c r="Q542" s="5">
        <v>20.85</v>
      </c>
      <c r="R542" s="5" t="s">
        <v>166</v>
      </c>
      <c r="S542" s="5" t="s">
        <v>74</v>
      </c>
      <c r="T542" s="5" t="s">
        <v>138</v>
      </c>
      <c r="U542" s="5" t="s">
        <v>119</v>
      </c>
      <c r="V542" s="5">
        <v>2024</v>
      </c>
      <c r="W542" s="5" t="s">
        <v>65</v>
      </c>
      <c r="X542" s="5">
        <v>5</v>
      </c>
      <c r="Y542" s="1" t="s">
        <v>1278</v>
      </c>
      <c r="Z542" s="5" t="s">
        <v>47</v>
      </c>
      <c r="AA542" s="5" t="s">
        <v>90</v>
      </c>
      <c r="AB542" s="5" t="s">
        <v>78</v>
      </c>
      <c r="AC542" s="5" t="s">
        <v>121</v>
      </c>
      <c r="AD542" s="5">
        <v>4</v>
      </c>
    </row>
    <row r="543" spans="1:30">
      <c r="A543" s="5" t="s">
        <v>1571</v>
      </c>
      <c r="B543" s="1" t="s">
        <v>857</v>
      </c>
      <c r="C543" s="5" t="s">
        <v>706</v>
      </c>
      <c r="D543" s="5" t="s">
        <v>821</v>
      </c>
      <c r="E543" s="5" t="s">
        <v>103</v>
      </c>
      <c r="F543" s="5" t="s">
        <v>36</v>
      </c>
      <c r="G543" s="5" t="s">
        <v>37</v>
      </c>
      <c r="H543" s="5" t="s">
        <v>58</v>
      </c>
      <c r="I543" s="5" t="s">
        <v>95</v>
      </c>
      <c r="J543" s="5" t="s">
        <v>440</v>
      </c>
      <c r="K543" s="5">
        <v>7</v>
      </c>
      <c r="L543" s="5">
        <v>6000</v>
      </c>
      <c r="M543" s="5">
        <v>0.15</v>
      </c>
      <c r="N543" s="5">
        <v>35700</v>
      </c>
      <c r="O543" s="5">
        <v>19732.740000000002</v>
      </c>
      <c r="P543" s="5">
        <v>15967.26</v>
      </c>
      <c r="Q543" s="5">
        <v>44.73</v>
      </c>
      <c r="R543" s="5" t="s">
        <v>106</v>
      </c>
      <c r="S543" s="5" t="s">
        <v>62</v>
      </c>
      <c r="T543" s="5" t="s">
        <v>97</v>
      </c>
      <c r="U543" s="5" t="s">
        <v>160</v>
      </c>
      <c r="V543" s="5">
        <v>2024</v>
      </c>
      <c r="W543" s="5" t="s">
        <v>139</v>
      </c>
      <c r="X543" s="5">
        <v>3</v>
      </c>
      <c r="Y543" s="1" t="s">
        <v>1519</v>
      </c>
      <c r="Z543" s="5" t="s">
        <v>47</v>
      </c>
      <c r="AA543" s="5" t="s">
        <v>67</v>
      </c>
      <c r="AB543" s="5" t="s">
        <v>111</v>
      </c>
      <c r="AC543" s="5" t="s">
        <v>121</v>
      </c>
      <c r="AD543" s="5">
        <v>2</v>
      </c>
    </row>
    <row r="544" spans="1:30">
      <c r="A544" s="5" t="s">
        <v>1572</v>
      </c>
      <c r="B544" s="1">
        <v>45695</v>
      </c>
      <c r="C544" s="5" t="s">
        <v>1230</v>
      </c>
      <c r="D544" s="5" t="s">
        <v>535</v>
      </c>
      <c r="E544" s="5" t="s">
        <v>55</v>
      </c>
      <c r="F544" s="5" t="s">
        <v>131</v>
      </c>
      <c r="G544" s="5" t="s">
        <v>132</v>
      </c>
      <c r="H544" s="5" t="s">
        <v>58</v>
      </c>
      <c r="I544" s="5" t="s">
        <v>84</v>
      </c>
      <c r="J544" s="5" t="s">
        <v>390</v>
      </c>
      <c r="K544" s="5">
        <v>4</v>
      </c>
      <c r="L544" s="5">
        <v>800</v>
      </c>
      <c r="M544" s="5">
        <v>0</v>
      </c>
      <c r="N544" s="5">
        <v>3200</v>
      </c>
      <c r="O544" s="5">
        <v>2202.15</v>
      </c>
      <c r="P544" s="5">
        <v>997.85</v>
      </c>
      <c r="Q544" s="5">
        <v>31.18</v>
      </c>
      <c r="R544" s="5" t="s">
        <v>73</v>
      </c>
      <c r="S544" s="5" t="s">
        <v>74</v>
      </c>
      <c r="T544" s="5" t="s">
        <v>97</v>
      </c>
      <c r="U544" s="5" t="s">
        <v>151</v>
      </c>
      <c r="V544" s="5">
        <v>2025</v>
      </c>
      <c r="W544" s="5" t="s">
        <v>134</v>
      </c>
      <c r="X544" s="5">
        <v>1</v>
      </c>
      <c r="Y544" s="1">
        <v>45723</v>
      </c>
      <c r="Z544" s="5" t="s">
        <v>89</v>
      </c>
      <c r="AA544" s="5" t="s">
        <v>90</v>
      </c>
      <c r="AB544" s="5" t="s">
        <v>49</v>
      </c>
      <c r="AC544" s="5" t="s">
        <v>121</v>
      </c>
      <c r="AD544" s="5">
        <v>2</v>
      </c>
    </row>
    <row r="545" spans="1:30">
      <c r="A545" s="5" t="s">
        <v>1573</v>
      </c>
      <c r="B545" s="1" t="s">
        <v>140</v>
      </c>
      <c r="C545" s="5" t="s">
        <v>1574</v>
      </c>
      <c r="D545" s="5" t="s">
        <v>917</v>
      </c>
      <c r="E545" s="5" t="s">
        <v>55</v>
      </c>
      <c r="F545" s="5" t="s">
        <v>116</v>
      </c>
      <c r="G545" s="5" t="s">
        <v>37</v>
      </c>
      <c r="H545" s="5" t="s">
        <v>38</v>
      </c>
      <c r="I545" s="5" t="s">
        <v>84</v>
      </c>
      <c r="J545" s="5" t="s">
        <v>290</v>
      </c>
      <c r="K545" s="5">
        <v>4</v>
      </c>
      <c r="L545" s="5">
        <v>100</v>
      </c>
      <c r="M545" s="5">
        <v>0.1</v>
      </c>
      <c r="N545" s="5">
        <v>360</v>
      </c>
      <c r="O545" s="5">
        <v>243.4</v>
      </c>
      <c r="P545" s="5">
        <v>116.6</v>
      </c>
      <c r="Q545" s="5">
        <v>32.39</v>
      </c>
      <c r="R545" s="5" t="s">
        <v>61</v>
      </c>
      <c r="S545" s="5" t="s">
        <v>74</v>
      </c>
      <c r="T545" s="5" t="s">
        <v>86</v>
      </c>
      <c r="U545" s="5" t="s">
        <v>64</v>
      </c>
      <c r="V545" s="5">
        <v>2025</v>
      </c>
      <c r="W545" s="5" t="s">
        <v>194</v>
      </c>
      <c r="X545" s="5">
        <v>9</v>
      </c>
      <c r="Y545" s="1">
        <v>46113</v>
      </c>
      <c r="Z545" s="5" t="s">
        <v>47</v>
      </c>
      <c r="AA545" s="5" t="s">
        <v>48</v>
      </c>
      <c r="AB545" s="5" t="s">
        <v>111</v>
      </c>
      <c r="AC545" s="5" t="s">
        <v>50</v>
      </c>
      <c r="AD545" s="5">
        <v>4</v>
      </c>
    </row>
    <row r="546" spans="1:30">
      <c r="A546" s="5" t="s">
        <v>1575</v>
      </c>
      <c r="B546" s="1" t="s">
        <v>1307</v>
      </c>
      <c r="C546" s="5" t="s">
        <v>392</v>
      </c>
      <c r="D546" s="5" t="s">
        <v>323</v>
      </c>
      <c r="E546" s="5" t="s">
        <v>35</v>
      </c>
      <c r="F546" s="5" t="s">
        <v>36</v>
      </c>
      <c r="G546" s="5" t="s">
        <v>37</v>
      </c>
      <c r="H546" s="5" t="s">
        <v>94</v>
      </c>
      <c r="I546" s="5" t="s">
        <v>59</v>
      </c>
      <c r="J546" s="5" t="s">
        <v>372</v>
      </c>
      <c r="K546" s="5">
        <v>5</v>
      </c>
      <c r="L546" s="5">
        <v>800</v>
      </c>
      <c r="M546" s="5">
        <v>0.05</v>
      </c>
      <c r="N546" s="5">
        <v>3800</v>
      </c>
      <c r="O546" s="5">
        <v>2524.75</v>
      </c>
      <c r="P546" s="5">
        <v>1275.25</v>
      </c>
      <c r="Q546" s="5">
        <v>33.56</v>
      </c>
      <c r="R546" s="5" t="s">
        <v>166</v>
      </c>
      <c r="S546" s="5" t="s">
        <v>74</v>
      </c>
      <c r="T546" s="5" t="s">
        <v>63</v>
      </c>
      <c r="U546" s="5" t="s">
        <v>119</v>
      </c>
      <c r="V546" s="5">
        <v>2025</v>
      </c>
      <c r="W546" s="5" t="s">
        <v>134</v>
      </c>
      <c r="X546" s="5">
        <v>7</v>
      </c>
      <c r="Y546" s="1" t="s">
        <v>1309</v>
      </c>
      <c r="Z546" s="5" t="s">
        <v>110</v>
      </c>
      <c r="AA546" s="5" t="s">
        <v>67</v>
      </c>
      <c r="AB546" s="5" t="s">
        <v>78</v>
      </c>
      <c r="AC546" s="5" t="s">
        <v>121</v>
      </c>
      <c r="AD546" s="5">
        <v>4</v>
      </c>
    </row>
    <row r="547" spans="1:30">
      <c r="A547" s="5" t="s">
        <v>1576</v>
      </c>
      <c r="B547" s="1" t="s">
        <v>1577</v>
      </c>
      <c r="C547" s="5" t="s">
        <v>1085</v>
      </c>
      <c r="D547" s="5" t="s">
        <v>1187</v>
      </c>
      <c r="E547" s="5" t="s">
        <v>55</v>
      </c>
      <c r="F547" s="5" t="s">
        <v>245</v>
      </c>
      <c r="G547" s="5" t="s">
        <v>246</v>
      </c>
      <c r="H547" s="5" t="s">
        <v>94</v>
      </c>
      <c r="I547" s="5" t="s">
        <v>39</v>
      </c>
      <c r="J547" s="5" t="s">
        <v>165</v>
      </c>
      <c r="K547" s="5">
        <v>5</v>
      </c>
      <c r="L547" s="5">
        <v>35000</v>
      </c>
      <c r="M547" s="5">
        <v>0.15</v>
      </c>
      <c r="N547" s="5">
        <v>148750</v>
      </c>
      <c r="O547" s="5">
        <v>95959.87</v>
      </c>
      <c r="P547" s="5">
        <v>52790.13</v>
      </c>
      <c r="Q547" s="5">
        <v>35.49</v>
      </c>
      <c r="R547" s="5" t="s">
        <v>73</v>
      </c>
      <c r="S547" s="5" t="s">
        <v>62</v>
      </c>
      <c r="T547" s="5" t="s">
        <v>86</v>
      </c>
      <c r="U547" s="5" t="s">
        <v>87</v>
      </c>
      <c r="V547" s="5">
        <v>2024</v>
      </c>
      <c r="W547" s="5" t="s">
        <v>45</v>
      </c>
      <c r="X547" s="5">
        <v>10</v>
      </c>
      <c r="Y547" s="1">
        <v>45454</v>
      </c>
      <c r="Z547" s="5" t="s">
        <v>89</v>
      </c>
      <c r="AA547" s="5" t="s">
        <v>90</v>
      </c>
      <c r="AB547" s="5" t="s">
        <v>49</v>
      </c>
      <c r="AC547" s="5" t="s">
        <v>50</v>
      </c>
      <c r="AD547" s="5">
        <v>3</v>
      </c>
    </row>
    <row r="548" spans="1:30">
      <c r="A548" s="5" t="s">
        <v>1578</v>
      </c>
      <c r="B548" s="1">
        <v>45334</v>
      </c>
      <c r="C548" s="5" t="s">
        <v>1579</v>
      </c>
      <c r="D548" s="5" t="s">
        <v>439</v>
      </c>
      <c r="E548" s="5" t="s">
        <v>35</v>
      </c>
      <c r="F548" s="5" t="s">
        <v>245</v>
      </c>
      <c r="G548" s="5" t="s">
        <v>246</v>
      </c>
      <c r="H548" s="5" t="s">
        <v>94</v>
      </c>
      <c r="I548" s="5" t="s">
        <v>84</v>
      </c>
      <c r="J548" s="5" t="s">
        <v>390</v>
      </c>
      <c r="K548" s="5">
        <v>1</v>
      </c>
      <c r="L548" s="5">
        <v>350</v>
      </c>
      <c r="M548" s="5">
        <v>0</v>
      </c>
      <c r="N548" s="5">
        <v>350</v>
      </c>
      <c r="O548" s="5">
        <v>246.13</v>
      </c>
      <c r="P548" s="5">
        <v>103.87</v>
      </c>
      <c r="Q548" s="5">
        <v>29.68</v>
      </c>
      <c r="R548" s="5" t="s">
        <v>61</v>
      </c>
      <c r="S548" s="5" t="s">
        <v>42</v>
      </c>
      <c r="T548" s="5" t="s">
        <v>86</v>
      </c>
      <c r="U548" s="5" t="s">
        <v>64</v>
      </c>
      <c r="V548" s="5">
        <v>2024</v>
      </c>
      <c r="W548" s="5" t="s">
        <v>126</v>
      </c>
      <c r="X548" s="5">
        <v>4</v>
      </c>
      <c r="Y548" s="1">
        <v>45455</v>
      </c>
      <c r="Z548" s="5" t="s">
        <v>110</v>
      </c>
      <c r="AA548" s="5" t="s">
        <v>48</v>
      </c>
      <c r="AB548" s="5" t="s">
        <v>49</v>
      </c>
      <c r="AC548" s="5" t="s">
        <v>121</v>
      </c>
      <c r="AD548" s="5">
        <v>5</v>
      </c>
    </row>
    <row r="549" spans="1:30">
      <c r="A549" s="5" t="s">
        <v>1580</v>
      </c>
      <c r="B549" s="1" t="s">
        <v>1581</v>
      </c>
      <c r="C549" s="5" t="s">
        <v>1365</v>
      </c>
      <c r="D549" s="5" t="s">
        <v>732</v>
      </c>
      <c r="E549" s="5" t="s">
        <v>55</v>
      </c>
      <c r="F549" s="5" t="s">
        <v>116</v>
      </c>
      <c r="G549" s="5" t="s">
        <v>37</v>
      </c>
      <c r="H549" s="5" t="s">
        <v>94</v>
      </c>
      <c r="I549" s="5" t="s">
        <v>59</v>
      </c>
      <c r="J549" s="5" t="s">
        <v>328</v>
      </c>
      <c r="K549" s="5">
        <v>10</v>
      </c>
      <c r="L549" s="5">
        <v>2000</v>
      </c>
      <c r="M549" s="5">
        <v>0.15</v>
      </c>
      <c r="N549" s="5">
        <v>17000</v>
      </c>
      <c r="O549" s="5">
        <v>10254.799999999999</v>
      </c>
      <c r="P549" s="5">
        <v>6745.2</v>
      </c>
      <c r="Q549" s="5">
        <v>39.68</v>
      </c>
      <c r="R549" s="5" t="s">
        <v>106</v>
      </c>
      <c r="S549" s="5" t="s">
        <v>74</v>
      </c>
      <c r="T549" s="5" t="s">
        <v>138</v>
      </c>
      <c r="U549" s="5" t="s">
        <v>198</v>
      </c>
      <c r="V549" s="5">
        <v>2024</v>
      </c>
      <c r="W549" s="5" t="s">
        <v>139</v>
      </c>
      <c r="X549" s="5">
        <v>6</v>
      </c>
      <c r="Y549" s="1" t="s">
        <v>1008</v>
      </c>
      <c r="Z549" s="5" t="s">
        <v>47</v>
      </c>
      <c r="AA549" s="5" t="s">
        <v>90</v>
      </c>
      <c r="AB549" s="5" t="s">
        <v>111</v>
      </c>
      <c r="AC549" s="5" t="s">
        <v>50</v>
      </c>
      <c r="AD549" s="5">
        <v>5</v>
      </c>
    </row>
    <row r="550" spans="1:30">
      <c r="A550" s="5" t="s">
        <v>1582</v>
      </c>
      <c r="B550" s="1" t="s">
        <v>1445</v>
      </c>
      <c r="C550" s="5" t="s">
        <v>1285</v>
      </c>
      <c r="D550" s="5" t="s">
        <v>1114</v>
      </c>
      <c r="E550" s="5" t="s">
        <v>55</v>
      </c>
      <c r="F550" s="5" t="s">
        <v>156</v>
      </c>
      <c r="G550" s="5" t="s">
        <v>157</v>
      </c>
      <c r="H550" s="5" t="s">
        <v>58</v>
      </c>
      <c r="I550" s="5" t="s">
        <v>95</v>
      </c>
      <c r="J550" s="5" t="s">
        <v>96</v>
      </c>
      <c r="K550" s="5">
        <v>1</v>
      </c>
      <c r="L550" s="5">
        <v>6000</v>
      </c>
      <c r="M550" s="5">
        <v>0</v>
      </c>
      <c r="N550" s="5">
        <v>6000</v>
      </c>
      <c r="O550" s="5">
        <v>4776.8599999999997</v>
      </c>
      <c r="P550" s="5">
        <v>1223.1400000000001</v>
      </c>
      <c r="Q550" s="5">
        <v>20.39</v>
      </c>
      <c r="R550" s="5" t="s">
        <v>41</v>
      </c>
      <c r="S550" s="5" t="s">
        <v>42</v>
      </c>
      <c r="T550" s="5" t="s">
        <v>43</v>
      </c>
      <c r="U550" s="5" t="s">
        <v>87</v>
      </c>
      <c r="V550" s="5">
        <v>2025</v>
      </c>
      <c r="W550" s="5" t="s">
        <v>109</v>
      </c>
      <c r="X550" s="5">
        <v>10</v>
      </c>
      <c r="Y550" s="1" t="s">
        <v>551</v>
      </c>
      <c r="Z550" s="5" t="s">
        <v>47</v>
      </c>
      <c r="AA550" s="5" t="s">
        <v>67</v>
      </c>
      <c r="AB550" s="5" t="s">
        <v>111</v>
      </c>
      <c r="AC550" s="5" t="s">
        <v>121</v>
      </c>
      <c r="AD550" s="5">
        <v>1</v>
      </c>
    </row>
    <row r="551" spans="1:30">
      <c r="A551" s="5" t="s">
        <v>1583</v>
      </c>
      <c r="B551" s="1" t="s">
        <v>534</v>
      </c>
      <c r="C551" s="5" t="s">
        <v>201</v>
      </c>
      <c r="D551" s="5" t="s">
        <v>855</v>
      </c>
      <c r="E551" s="5" t="s">
        <v>35</v>
      </c>
      <c r="F551" s="5" t="s">
        <v>56</v>
      </c>
      <c r="G551" s="5" t="s">
        <v>57</v>
      </c>
      <c r="H551" s="5" t="s">
        <v>94</v>
      </c>
      <c r="I551" s="5" t="s">
        <v>39</v>
      </c>
      <c r="J551" s="5" t="s">
        <v>253</v>
      </c>
      <c r="K551" s="5">
        <v>5</v>
      </c>
      <c r="L551" s="5">
        <v>15000</v>
      </c>
      <c r="M551" s="5">
        <v>0.1</v>
      </c>
      <c r="N551" s="5">
        <v>67500</v>
      </c>
      <c r="O551" s="5">
        <v>47266.3</v>
      </c>
      <c r="P551" s="5">
        <v>20233.7</v>
      </c>
      <c r="Q551" s="5">
        <v>29.98</v>
      </c>
      <c r="R551" s="5" t="s">
        <v>61</v>
      </c>
      <c r="S551" s="5" t="s">
        <v>42</v>
      </c>
      <c r="T551" s="5" t="s">
        <v>138</v>
      </c>
      <c r="U551" s="5" t="s">
        <v>64</v>
      </c>
      <c r="V551" s="5">
        <v>2024</v>
      </c>
      <c r="W551" s="5" t="s">
        <v>194</v>
      </c>
      <c r="X551" s="5">
        <v>7</v>
      </c>
      <c r="Y551" s="1" t="s">
        <v>1584</v>
      </c>
      <c r="Z551" s="5" t="s">
        <v>47</v>
      </c>
      <c r="AA551" s="5" t="s">
        <v>67</v>
      </c>
      <c r="AB551" s="5" t="s">
        <v>111</v>
      </c>
      <c r="AC551" s="5" t="s">
        <v>121</v>
      </c>
      <c r="AD551" s="5">
        <v>3</v>
      </c>
    </row>
    <row r="552" spans="1:30">
      <c r="A552" s="5" t="s">
        <v>1585</v>
      </c>
      <c r="B552" s="1" t="s">
        <v>1110</v>
      </c>
      <c r="C552" s="5" t="s">
        <v>1295</v>
      </c>
      <c r="D552" s="5" t="s">
        <v>1002</v>
      </c>
      <c r="E552" s="5" t="s">
        <v>35</v>
      </c>
      <c r="F552" s="5" t="s">
        <v>144</v>
      </c>
      <c r="G552" s="5" t="s">
        <v>145</v>
      </c>
      <c r="H552" s="5" t="s">
        <v>38</v>
      </c>
      <c r="I552" s="5" t="s">
        <v>39</v>
      </c>
      <c r="J552" s="5" t="s">
        <v>356</v>
      </c>
      <c r="K552" s="5">
        <v>4</v>
      </c>
      <c r="L552" s="5">
        <v>8000</v>
      </c>
      <c r="M552" s="5">
        <v>0</v>
      </c>
      <c r="N552" s="5">
        <v>32000</v>
      </c>
      <c r="O552" s="5">
        <v>25042.400000000001</v>
      </c>
      <c r="P552" s="5">
        <v>6957.6</v>
      </c>
      <c r="Q552" s="5">
        <v>21.74</v>
      </c>
      <c r="R552" s="5" t="s">
        <v>61</v>
      </c>
      <c r="S552" s="5" t="s">
        <v>42</v>
      </c>
      <c r="T552" s="5" t="s">
        <v>43</v>
      </c>
      <c r="U552" s="5" t="s">
        <v>119</v>
      </c>
      <c r="V552" s="5">
        <v>2024</v>
      </c>
      <c r="W552" s="5" t="s">
        <v>134</v>
      </c>
      <c r="X552" s="5">
        <v>2</v>
      </c>
      <c r="Y552" s="1" t="s">
        <v>1586</v>
      </c>
      <c r="Z552" s="5" t="s">
        <v>47</v>
      </c>
      <c r="AA552" s="5" t="s">
        <v>48</v>
      </c>
      <c r="AB552" s="5" t="s">
        <v>49</v>
      </c>
      <c r="AC552" s="5" t="s">
        <v>50</v>
      </c>
      <c r="AD552" s="5">
        <v>1</v>
      </c>
    </row>
    <row r="553" spans="1:30">
      <c r="A553" s="5" t="s">
        <v>1587</v>
      </c>
      <c r="B553" s="1">
        <v>45789</v>
      </c>
      <c r="C553" s="5" t="s">
        <v>1588</v>
      </c>
      <c r="D553" s="5" t="s">
        <v>1480</v>
      </c>
      <c r="E553" s="5" t="s">
        <v>55</v>
      </c>
      <c r="F553" s="5" t="s">
        <v>36</v>
      </c>
      <c r="G553" s="5" t="s">
        <v>37</v>
      </c>
      <c r="H553" s="5" t="s">
        <v>58</v>
      </c>
      <c r="I553" s="5" t="s">
        <v>39</v>
      </c>
      <c r="J553" s="5" t="s">
        <v>40</v>
      </c>
      <c r="K553" s="5">
        <v>2</v>
      </c>
      <c r="L553" s="5">
        <v>15000</v>
      </c>
      <c r="M553" s="5">
        <v>0.1</v>
      </c>
      <c r="N553" s="5">
        <v>27000</v>
      </c>
      <c r="O553" s="5">
        <v>16817.66</v>
      </c>
      <c r="P553" s="5">
        <v>10182.34</v>
      </c>
      <c r="Q553" s="5">
        <v>37.71</v>
      </c>
      <c r="R553" s="5" t="s">
        <v>73</v>
      </c>
      <c r="S553" s="5" t="s">
        <v>62</v>
      </c>
      <c r="T553" s="5" t="s">
        <v>118</v>
      </c>
      <c r="U553" s="5" t="s">
        <v>64</v>
      </c>
      <c r="V553" s="5">
        <v>2025</v>
      </c>
      <c r="W553" s="5" t="s">
        <v>194</v>
      </c>
      <c r="X553" s="5">
        <v>10</v>
      </c>
      <c r="Y553" s="1" t="s">
        <v>602</v>
      </c>
      <c r="Z553" s="5" t="s">
        <v>110</v>
      </c>
      <c r="AA553" s="5" t="s">
        <v>48</v>
      </c>
      <c r="AB553" s="5" t="s">
        <v>78</v>
      </c>
      <c r="AC553" s="5" t="s">
        <v>50</v>
      </c>
      <c r="AD553" s="5">
        <v>1</v>
      </c>
    </row>
    <row r="554" spans="1:30">
      <c r="A554" s="5" t="s">
        <v>1589</v>
      </c>
      <c r="B554" s="1" t="s">
        <v>298</v>
      </c>
      <c r="C554" s="5" t="s">
        <v>154</v>
      </c>
      <c r="D554" s="5" t="s">
        <v>560</v>
      </c>
      <c r="E554" s="5" t="s">
        <v>35</v>
      </c>
      <c r="F554" s="5" t="s">
        <v>131</v>
      </c>
      <c r="G554" s="5" t="s">
        <v>132</v>
      </c>
      <c r="H554" s="5" t="s">
        <v>171</v>
      </c>
      <c r="I554" s="5" t="s">
        <v>59</v>
      </c>
      <c r="J554" s="5" t="s">
        <v>206</v>
      </c>
      <c r="K554" s="5">
        <v>10</v>
      </c>
      <c r="L554" s="5">
        <v>2000</v>
      </c>
      <c r="M554" s="5">
        <v>0.15</v>
      </c>
      <c r="N554" s="5">
        <v>17000</v>
      </c>
      <c r="O554" s="5">
        <v>10386.56</v>
      </c>
      <c r="P554" s="5">
        <v>6613.44</v>
      </c>
      <c r="Q554" s="5">
        <v>38.9</v>
      </c>
      <c r="R554" s="5" t="s">
        <v>41</v>
      </c>
      <c r="S554" s="5" t="s">
        <v>74</v>
      </c>
      <c r="T554" s="5" t="s">
        <v>86</v>
      </c>
      <c r="U554" s="5" t="s">
        <v>87</v>
      </c>
      <c r="V554" s="5">
        <v>2024</v>
      </c>
      <c r="W554" s="5" t="s">
        <v>126</v>
      </c>
      <c r="X554" s="5">
        <v>6</v>
      </c>
      <c r="Y554" s="1" t="s">
        <v>970</v>
      </c>
      <c r="Z554" s="5" t="s">
        <v>110</v>
      </c>
      <c r="AA554" s="5" t="s">
        <v>48</v>
      </c>
      <c r="AB554" s="5" t="s">
        <v>49</v>
      </c>
      <c r="AC554" s="5" t="s">
        <v>121</v>
      </c>
      <c r="AD554" s="5">
        <v>4</v>
      </c>
    </row>
    <row r="555" spans="1:30">
      <c r="A555" s="5" t="s">
        <v>1590</v>
      </c>
      <c r="B555" s="1">
        <v>45603</v>
      </c>
      <c r="C555" s="5" t="s">
        <v>1482</v>
      </c>
      <c r="D555" s="5" t="s">
        <v>699</v>
      </c>
      <c r="E555" s="5" t="s">
        <v>55</v>
      </c>
      <c r="F555" s="5" t="s">
        <v>104</v>
      </c>
      <c r="G555" s="5" t="s">
        <v>104</v>
      </c>
      <c r="H555" s="5" t="s">
        <v>171</v>
      </c>
      <c r="I555" s="5" t="s">
        <v>95</v>
      </c>
      <c r="J555" s="5" t="s">
        <v>344</v>
      </c>
      <c r="K555" s="5">
        <v>4</v>
      </c>
      <c r="L555" s="5">
        <v>9000</v>
      </c>
      <c r="M555" s="5">
        <v>0.15</v>
      </c>
      <c r="N555" s="5">
        <v>30600</v>
      </c>
      <c r="O555" s="5">
        <v>19642.8</v>
      </c>
      <c r="P555" s="5">
        <v>10957.2</v>
      </c>
      <c r="Q555" s="5">
        <v>35.81</v>
      </c>
      <c r="R555" s="5" t="s">
        <v>166</v>
      </c>
      <c r="S555" s="5" t="s">
        <v>42</v>
      </c>
      <c r="T555" s="5" t="s">
        <v>118</v>
      </c>
      <c r="U555" s="5" t="s">
        <v>151</v>
      </c>
      <c r="V555" s="5">
        <v>2024</v>
      </c>
      <c r="W555" s="5" t="s">
        <v>139</v>
      </c>
      <c r="X555" s="5">
        <v>8</v>
      </c>
      <c r="Y555" s="1" t="s">
        <v>741</v>
      </c>
      <c r="Z555" s="5" t="s">
        <v>47</v>
      </c>
      <c r="AA555" s="5" t="s">
        <v>48</v>
      </c>
      <c r="AB555" s="5" t="s">
        <v>49</v>
      </c>
      <c r="AC555" s="5" t="s">
        <v>121</v>
      </c>
      <c r="AD555" s="5">
        <v>2</v>
      </c>
    </row>
    <row r="556" spans="1:30">
      <c r="A556" s="5" t="s">
        <v>1591</v>
      </c>
      <c r="B556" s="1" t="s">
        <v>1119</v>
      </c>
      <c r="C556" s="5" t="s">
        <v>557</v>
      </c>
      <c r="D556" s="5" t="s">
        <v>115</v>
      </c>
      <c r="E556" s="5" t="s">
        <v>103</v>
      </c>
      <c r="F556" s="5" t="s">
        <v>82</v>
      </c>
      <c r="G556" s="5" t="s">
        <v>83</v>
      </c>
      <c r="H556" s="5" t="s">
        <v>58</v>
      </c>
      <c r="I556" s="5" t="s">
        <v>71</v>
      </c>
      <c r="J556" s="5" t="s">
        <v>158</v>
      </c>
      <c r="K556" s="5">
        <v>10</v>
      </c>
      <c r="L556" s="5">
        <v>3500</v>
      </c>
      <c r="M556" s="5">
        <v>0.05</v>
      </c>
      <c r="N556" s="5">
        <v>33250</v>
      </c>
      <c r="O556" s="5">
        <v>20781.79</v>
      </c>
      <c r="P556" s="5">
        <v>12468.21</v>
      </c>
      <c r="Q556" s="5">
        <v>37.5</v>
      </c>
      <c r="R556" s="5" t="s">
        <v>73</v>
      </c>
      <c r="S556" s="5" t="s">
        <v>62</v>
      </c>
      <c r="T556" s="5" t="s">
        <v>173</v>
      </c>
      <c r="U556" s="5" t="s">
        <v>98</v>
      </c>
      <c r="V556" s="5">
        <v>2025</v>
      </c>
      <c r="W556" s="5" t="s">
        <v>139</v>
      </c>
      <c r="X556" s="5">
        <v>4</v>
      </c>
      <c r="Y556" s="1" t="s">
        <v>99</v>
      </c>
      <c r="Z556" s="5" t="s">
        <v>47</v>
      </c>
      <c r="AA556" s="5" t="s">
        <v>48</v>
      </c>
      <c r="AB556" s="5" t="s">
        <v>49</v>
      </c>
      <c r="AC556" s="5" t="s">
        <v>121</v>
      </c>
      <c r="AD556" s="5">
        <v>1</v>
      </c>
    </row>
    <row r="557" spans="1:30">
      <c r="A557" s="5" t="s">
        <v>1592</v>
      </c>
      <c r="B557" s="1">
        <v>45873</v>
      </c>
      <c r="C557" s="5" t="s">
        <v>553</v>
      </c>
      <c r="D557" s="5" t="s">
        <v>623</v>
      </c>
      <c r="E557" s="5" t="s">
        <v>55</v>
      </c>
      <c r="F557" s="5" t="s">
        <v>56</v>
      </c>
      <c r="G557" s="5" t="s">
        <v>57</v>
      </c>
      <c r="H557" s="5" t="s">
        <v>38</v>
      </c>
      <c r="I557" s="5" t="s">
        <v>95</v>
      </c>
      <c r="J557" s="5" t="s">
        <v>184</v>
      </c>
      <c r="K557" s="5">
        <v>1</v>
      </c>
      <c r="L557" s="5">
        <v>9000</v>
      </c>
      <c r="M557" s="5">
        <v>0.2</v>
      </c>
      <c r="N557" s="5">
        <v>7200</v>
      </c>
      <c r="O557" s="5">
        <v>4190.03</v>
      </c>
      <c r="P557" s="5">
        <v>3009.97</v>
      </c>
      <c r="Q557" s="5">
        <v>41.81</v>
      </c>
      <c r="R557" s="5" t="s">
        <v>73</v>
      </c>
      <c r="S557" s="5" t="s">
        <v>62</v>
      </c>
      <c r="T557" s="5" t="s">
        <v>107</v>
      </c>
      <c r="U557" s="5" t="s">
        <v>44</v>
      </c>
      <c r="V557" s="5">
        <v>2025</v>
      </c>
      <c r="W557" s="5" t="s">
        <v>109</v>
      </c>
      <c r="X557" s="5">
        <v>6</v>
      </c>
      <c r="Y557" s="1" t="s">
        <v>615</v>
      </c>
      <c r="Z557" s="5" t="s">
        <v>47</v>
      </c>
      <c r="AA557" s="5" t="s">
        <v>67</v>
      </c>
      <c r="AB557" s="5" t="s">
        <v>111</v>
      </c>
      <c r="AC557" s="5" t="s">
        <v>50</v>
      </c>
      <c r="AD557" s="5">
        <v>1</v>
      </c>
    </row>
    <row r="558" spans="1:30">
      <c r="A558" s="5" t="s">
        <v>1593</v>
      </c>
      <c r="B558" s="1">
        <v>45872</v>
      </c>
      <c r="C558" s="5" t="s">
        <v>192</v>
      </c>
      <c r="D558" s="5" t="s">
        <v>1055</v>
      </c>
      <c r="E558" s="5" t="s">
        <v>103</v>
      </c>
      <c r="F558" s="5" t="s">
        <v>56</v>
      </c>
      <c r="G558" s="5" t="s">
        <v>57</v>
      </c>
      <c r="H558" s="5" t="s">
        <v>94</v>
      </c>
      <c r="I558" s="5" t="s">
        <v>84</v>
      </c>
      <c r="J558" s="5" t="s">
        <v>229</v>
      </c>
      <c r="K558" s="5">
        <v>2</v>
      </c>
      <c r="L558" s="5">
        <v>100</v>
      </c>
      <c r="M558" s="5">
        <v>0.15</v>
      </c>
      <c r="N558" s="5">
        <v>170</v>
      </c>
      <c r="O558" s="5">
        <v>102.2</v>
      </c>
      <c r="P558" s="5">
        <v>67.8</v>
      </c>
      <c r="Q558" s="5">
        <v>39.880000000000003</v>
      </c>
      <c r="R558" s="5" t="s">
        <v>41</v>
      </c>
      <c r="S558" s="5" t="s">
        <v>62</v>
      </c>
      <c r="T558" s="5" t="s">
        <v>173</v>
      </c>
      <c r="U558" s="5" t="s">
        <v>178</v>
      </c>
      <c r="V558" s="5">
        <v>2025</v>
      </c>
      <c r="W558" s="5" t="s">
        <v>65</v>
      </c>
      <c r="X558" s="5">
        <v>4</v>
      </c>
      <c r="Y558" s="1">
        <v>45994</v>
      </c>
      <c r="Z558" s="5" t="s">
        <v>47</v>
      </c>
      <c r="AA558" s="5" t="s">
        <v>48</v>
      </c>
      <c r="AB558" s="5" t="s">
        <v>49</v>
      </c>
      <c r="AC558" s="5" t="s">
        <v>121</v>
      </c>
      <c r="AD558" s="5">
        <v>1</v>
      </c>
    </row>
    <row r="559" spans="1:30">
      <c r="A559" s="5" t="s">
        <v>1594</v>
      </c>
      <c r="B559" s="1">
        <v>45300</v>
      </c>
      <c r="C559" s="5" t="s">
        <v>1595</v>
      </c>
      <c r="D559" s="5" t="s">
        <v>339</v>
      </c>
      <c r="E559" s="5" t="s">
        <v>103</v>
      </c>
      <c r="F559" s="5" t="s">
        <v>149</v>
      </c>
      <c r="G559" s="5" t="s">
        <v>150</v>
      </c>
      <c r="H559" s="5" t="s">
        <v>94</v>
      </c>
      <c r="I559" s="5" t="s">
        <v>39</v>
      </c>
      <c r="J559" s="5" t="s">
        <v>356</v>
      </c>
      <c r="K559" s="5">
        <v>1</v>
      </c>
      <c r="L559" s="5">
        <v>35000</v>
      </c>
      <c r="M559" s="5">
        <v>0.1</v>
      </c>
      <c r="N559" s="5">
        <v>31500</v>
      </c>
      <c r="O559" s="5">
        <v>18184.28</v>
      </c>
      <c r="P559" s="5">
        <v>13315.72</v>
      </c>
      <c r="Q559" s="5">
        <v>42.27</v>
      </c>
      <c r="R559" s="5" t="s">
        <v>166</v>
      </c>
      <c r="S559" s="5" t="s">
        <v>62</v>
      </c>
      <c r="T559" s="5" t="s">
        <v>173</v>
      </c>
      <c r="U559" s="5" t="s">
        <v>108</v>
      </c>
      <c r="V559" s="5">
        <v>2024</v>
      </c>
      <c r="W559" s="5" t="s">
        <v>45</v>
      </c>
      <c r="X559" s="5">
        <v>2</v>
      </c>
      <c r="Y559" s="1">
        <v>45360</v>
      </c>
      <c r="Z559" s="5" t="s">
        <v>89</v>
      </c>
      <c r="AA559" s="5" t="s">
        <v>90</v>
      </c>
      <c r="AB559" s="5" t="s">
        <v>111</v>
      </c>
      <c r="AC559" s="5" t="s">
        <v>50</v>
      </c>
      <c r="AD559" s="5">
        <v>4</v>
      </c>
    </row>
    <row r="560" spans="1:30">
      <c r="A560" s="5" t="s">
        <v>1596</v>
      </c>
      <c r="B560" s="1" t="s">
        <v>314</v>
      </c>
      <c r="C560" s="5" t="s">
        <v>1597</v>
      </c>
      <c r="D560" s="5" t="s">
        <v>817</v>
      </c>
      <c r="E560" s="5" t="s">
        <v>55</v>
      </c>
      <c r="F560" s="5" t="s">
        <v>149</v>
      </c>
      <c r="G560" s="5" t="s">
        <v>150</v>
      </c>
      <c r="H560" s="5" t="s">
        <v>38</v>
      </c>
      <c r="I560" s="5" t="s">
        <v>95</v>
      </c>
      <c r="J560" s="5" t="s">
        <v>319</v>
      </c>
      <c r="K560" s="5">
        <v>6</v>
      </c>
      <c r="L560" s="5">
        <v>6000</v>
      </c>
      <c r="M560" s="5">
        <v>0.2</v>
      </c>
      <c r="N560" s="5">
        <v>28800</v>
      </c>
      <c r="O560" s="5">
        <v>17279.169999999998</v>
      </c>
      <c r="P560" s="5">
        <v>11520.83</v>
      </c>
      <c r="Q560" s="5">
        <v>40</v>
      </c>
      <c r="R560" s="5" t="s">
        <v>73</v>
      </c>
      <c r="S560" s="5" t="s">
        <v>62</v>
      </c>
      <c r="T560" s="5" t="s">
        <v>173</v>
      </c>
      <c r="U560" s="5" t="s">
        <v>87</v>
      </c>
      <c r="V560" s="5">
        <v>2024</v>
      </c>
      <c r="W560" s="5" t="s">
        <v>126</v>
      </c>
      <c r="X560" s="5">
        <v>1</v>
      </c>
      <c r="Y560" s="1" t="s">
        <v>1040</v>
      </c>
      <c r="Z560" s="5" t="s">
        <v>47</v>
      </c>
      <c r="AA560" s="5" t="s">
        <v>90</v>
      </c>
      <c r="AB560" s="5" t="s">
        <v>49</v>
      </c>
      <c r="AC560" s="5" t="s">
        <v>50</v>
      </c>
      <c r="AD560" s="5">
        <v>4</v>
      </c>
    </row>
    <row r="561" spans="1:30">
      <c r="A561" s="5" t="s">
        <v>1598</v>
      </c>
      <c r="B561" s="1" t="s">
        <v>866</v>
      </c>
      <c r="C561" s="5" t="s">
        <v>655</v>
      </c>
      <c r="D561" s="5" t="s">
        <v>1362</v>
      </c>
      <c r="E561" s="5" t="s">
        <v>55</v>
      </c>
      <c r="F561" s="5" t="s">
        <v>245</v>
      </c>
      <c r="G561" s="5" t="s">
        <v>246</v>
      </c>
      <c r="H561" s="5" t="s">
        <v>58</v>
      </c>
      <c r="I561" s="5" t="s">
        <v>39</v>
      </c>
      <c r="J561" s="5" t="s">
        <v>253</v>
      </c>
      <c r="K561" s="5">
        <v>7</v>
      </c>
      <c r="L561" s="5">
        <v>15000</v>
      </c>
      <c r="M561" s="5">
        <v>0</v>
      </c>
      <c r="N561" s="5">
        <v>105000</v>
      </c>
      <c r="O561" s="5">
        <v>62590.06</v>
      </c>
      <c r="P561" s="5">
        <v>42409.94</v>
      </c>
      <c r="Q561" s="5">
        <v>40.39</v>
      </c>
      <c r="R561" s="5" t="s">
        <v>166</v>
      </c>
      <c r="S561" s="5" t="s">
        <v>74</v>
      </c>
      <c r="T561" s="5" t="s">
        <v>138</v>
      </c>
      <c r="U561" s="5" t="s">
        <v>160</v>
      </c>
      <c r="V561" s="5">
        <v>2024</v>
      </c>
      <c r="W561" s="5" t="s">
        <v>45</v>
      </c>
      <c r="X561" s="5">
        <v>5</v>
      </c>
      <c r="Y561" s="1">
        <v>45419</v>
      </c>
      <c r="Z561" s="5" t="s">
        <v>47</v>
      </c>
      <c r="AA561" s="5" t="s">
        <v>90</v>
      </c>
      <c r="AB561" s="5" t="s">
        <v>49</v>
      </c>
      <c r="AC561" s="5" t="s">
        <v>121</v>
      </c>
      <c r="AD561" s="5">
        <v>5</v>
      </c>
    </row>
    <row r="562" spans="1:30">
      <c r="A562" s="5" t="s">
        <v>1599</v>
      </c>
      <c r="B562" s="1">
        <v>45447</v>
      </c>
      <c r="C562" s="5" t="s">
        <v>1372</v>
      </c>
      <c r="D562" s="5" t="s">
        <v>508</v>
      </c>
      <c r="E562" s="5" t="s">
        <v>103</v>
      </c>
      <c r="F562" s="5" t="s">
        <v>116</v>
      </c>
      <c r="G562" s="5" t="s">
        <v>37</v>
      </c>
      <c r="H562" s="5" t="s">
        <v>171</v>
      </c>
      <c r="I562" s="5" t="s">
        <v>95</v>
      </c>
      <c r="J562" s="5" t="s">
        <v>96</v>
      </c>
      <c r="K562" s="5">
        <v>9</v>
      </c>
      <c r="L562" s="5">
        <v>4000</v>
      </c>
      <c r="M562" s="5">
        <v>0.05</v>
      </c>
      <c r="N562" s="5">
        <v>34200</v>
      </c>
      <c r="O562" s="5">
        <v>26233.14</v>
      </c>
      <c r="P562" s="5">
        <v>7966.86</v>
      </c>
      <c r="Q562" s="5">
        <v>23.29</v>
      </c>
      <c r="R562" s="5" t="s">
        <v>41</v>
      </c>
      <c r="S562" s="5" t="s">
        <v>62</v>
      </c>
      <c r="T562" s="5" t="s">
        <v>138</v>
      </c>
      <c r="U562" s="5" t="s">
        <v>44</v>
      </c>
      <c r="V562" s="5">
        <v>2024</v>
      </c>
      <c r="W562" s="5" t="s">
        <v>65</v>
      </c>
      <c r="X562" s="5">
        <v>2</v>
      </c>
      <c r="Y562" s="1">
        <v>45508</v>
      </c>
      <c r="Z562" s="5" t="s">
        <v>47</v>
      </c>
      <c r="AA562" s="5" t="s">
        <v>67</v>
      </c>
      <c r="AB562" s="5" t="s">
        <v>78</v>
      </c>
      <c r="AC562" s="5" t="s">
        <v>50</v>
      </c>
      <c r="AD562" s="5">
        <v>1</v>
      </c>
    </row>
    <row r="563" spans="1:30">
      <c r="A563" s="5" t="s">
        <v>1600</v>
      </c>
      <c r="B563" s="1" t="s">
        <v>1601</v>
      </c>
      <c r="C563" s="5" t="s">
        <v>1005</v>
      </c>
      <c r="D563" s="5" t="s">
        <v>1049</v>
      </c>
      <c r="E563" s="5" t="s">
        <v>35</v>
      </c>
      <c r="F563" s="5" t="s">
        <v>82</v>
      </c>
      <c r="G563" s="5" t="s">
        <v>83</v>
      </c>
      <c r="H563" s="5" t="s">
        <v>38</v>
      </c>
      <c r="I563" s="5" t="s">
        <v>84</v>
      </c>
      <c r="J563" s="5" t="s">
        <v>229</v>
      </c>
      <c r="K563" s="5">
        <v>9</v>
      </c>
      <c r="L563" s="5">
        <v>800</v>
      </c>
      <c r="M563" s="5">
        <v>0.15</v>
      </c>
      <c r="N563" s="5">
        <v>6120</v>
      </c>
      <c r="O563" s="5">
        <v>4569.3</v>
      </c>
      <c r="P563" s="5">
        <v>1550.7</v>
      </c>
      <c r="Q563" s="5">
        <v>25.34</v>
      </c>
      <c r="R563" s="5" t="s">
        <v>61</v>
      </c>
      <c r="S563" s="5" t="s">
        <v>62</v>
      </c>
      <c r="T563" s="5" t="s">
        <v>43</v>
      </c>
      <c r="U563" s="5" t="s">
        <v>44</v>
      </c>
      <c r="V563" s="5">
        <v>2024</v>
      </c>
      <c r="W563" s="5" t="s">
        <v>139</v>
      </c>
      <c r="X563" s="5">
        <v>5</v>
      </c>
      <c r="Y563" s="1" t="s">
        <v>819</v>
      </c>
      <c r="Z563" s="5" t="s">
        <v>89</v>
      </c>
      <c r="AA563" s="5" t="s">
        <v>90</v>
      </c>
      <c r="AB563" s="5" t="s">
        <v>111</v>
      </c>
      <c r="AC563" s="5" t="s">
        <v>50</v>
      </c>
      <c r="AD563" s="5">
        <v>3</v>
      </c>
    </row>
    <row r="564" spans="1:30">
      <c r="A564" s="5" t="s">
        <v>1602</v>
      </c>
      <c r="B564" s="1">
        <v>45483</v>
      </c>
      <c r="C564" s="5" t="s">
        <v>430</v>
      </c>
      <c r="D564" s="5" t="s">
        <v>273</v>
      </c>
      <c r="E564" s="5" t="s">
        <v>103</v>
      </c>
      <c r="F564" s="5" t="s">
        <v>149</v>
      </c>
      <c r="G564" s="5" t="s">
        <v>150</v>
      </c>
      <c r="H564" s="5" t="s">
        <v>171</v>
      </c>
      <c r="I564" s="5" t="s">
        <v>39</v>
      </c>
      <c r="J564" s="5" t="s">
        <v>105</v>
      </c>
      <c r="K564" s="5">
        <v>7</v>
      </c>
      <c r="L564" s="5">
        <v>50000</v>
      </c>
      <c r="M564" s="5">
        <v>0</v>
      </c>
      <c r="N564" s="5">
        <v>350000</v>
      </c>
      <c r="O564" s="5">
        <v>285802.84000000003</v>
      </c>
      <c r="P564" s="5">
        <v>64197.16</v>
      </c>
      <c r="Q564" s="5">
        <v>18.34</v>
      </c>
      <c r="R564" s="5" t="s">
        <v>61</v>
      </c>
      <c r="S564" s="5" t="s">
        <v>62</v>
      </c>
      <c r="T564" s="5" t="s">
        <v>63</v>
      </c>
      <c r="U564" s="5" t="s">
        <v>87</v>
      </c>
      <c r="V564" s="5">
        <v>2024</v>
      </c>
      <c r="W564" s="5" t="s">
        <v>126</v>
      </c>
      <c r="X564" s="5">
        <v>9</v>
      </c>
      <c r="Y564" s="1" t="s">
        <v>271</v>
      </c>
      <c r="Z564" s="5" t="s">
        <v>110</v>
      </c>
      <c r="AA564" s="5" t="s">
        <v>67</v>
      </c>
      <c r="AB564" s="5" t="s">
        <v>78</v>
      </c>
      <c r="AC564" s="5" t="s">
        <v>50</v>
      </c>
      <c r="AD564" s="5">
        <v>2</v>
      </c>
    </row>
    <row r="565" spans="1:30">
      <c r="A565" s="5" t="s">
        <v>1603</v>
      </c>
      <c r="B565" s="1" t="s">
        <v>1052</v>
      </c>
      <c r="C565" s="5" t="s">
        <v>698</v>
      </c>
      <c r="D565" s="5" t="s">
        <v>1411</v>
      </c>
      <c r="E565" s="5" t="s">
        <v>35</v>
      </c>
      <c r="F565" s="5" t="s">
        <v>104</v>
      </c>
      <c r="G565" s="5" t="s">
        <v>104</v>
      </c>
      <c r="H565" s="5" t="s">
        <v>94</v>
      </c>
      <c r="I565" s="5" t="s">
        <v>59</v>
      </c>
      <c r="J565" s="5" t="s">
        <v>372</v>
      </c>
      <c r="K565" s="5">
        <v>6</v>
      </c>
      <c r="L565" s="5">
        <v>3000</v>
      </c>
      <c r="M565" s="5">
        <v>0</v>
      </c>
      <c r="N565" s="5">
        <v>18000</v>
      </c>
      <c r="O565" s="5">
        <v>14605.22</v>
      </c>
      <c r="P565" s="5">
        <v>3394.78</v>
      </c>
      <c r="Q565" s="5">
        <v>18.86</v>
      </c>
      <c r="R565" s="5" t="s">
        <v>73</v>
      </c>
      <c r="S565" s="5" t="s">
        <v>62</v>
      </c>
      <c r="T565" s="5" t="s">
        <v>118</v>
      </c>
      <c r="U565" s="5" t="s">
        <v>178</v>
      </c>
      <c r="V565" s="5">
        <v>2025</v>
      </c>
      <c r="W565" s="5" t="s">
        <v>134</v>
      </c>
      <c r="X565" s="5">
        <v>8</v>
      </c>
      <c r="Y565" s="1" t="s">
        <v>276</v>
      </c>
      <c r="Z565" s="5" t="s">
        <v>89</v>
      </c>
      <c r="AA565" s="5" t="s">
        <v>48</v>
      </c>
      <c r="AB565" s="5" t="s">
        <v>78</v>
      </c>
      <c r="AC565" s="5" t="s">
        <v>121</v>
      </c>
      <c r="AD565" s="5">
        <v>3</v>
      </c>
    </row>
    <row r="566" spans="1:30">
      <c r="A566" s="5" t="s">
        <v>1604</v>
      </c>
      <c r="B566" s="1">
        <v>45598</v>
      </c>
      <c r="C566" s="5" t="s">
        <v>204</v>
      </c>
      <c r="D566" s="5" t="s">
        <v>1282</v>
      </c>
      <c r="E566" s="5" t="s">
        <v>55</v>
      </c>
      <c r="F566" s="5" t="s">
        <v>56</v>
      </c>
      <c r="G566" s="5" t="s">
        <v>57</v>
      </c>
      <c r="H566" s="5" t="s">
        <v>58</v>
      </c>
      <c r="I566" s="5" t="s">
        <v>84</v>
      </c>
      <c r="J566" s="5" t="s">
        <v>390</v>
      </c>
      <c r="K566" s="5">
        <v>5</v>
      </c>
      <c r="L566" s="5">
        <v>100</v>
      </c>
      <c r="M566" s="5">
        <v>0.15</v>
      </c>
      <c r="N566" s="5">
        <v>425</v>
      </c>
      <c r="O566" s="5">
        <v>328.47</v>
      </c>
      <c r="P566" s="5">
        <v>96.53</v>
      </c>
      <c r="Q566" s="5">
        <v>22.71</v>
      </c>
      <c r="R566" s="5" t="s">
        <v>166</v>
      </c>
      <c r="S566" s="5" t="s">
        <v>62</v>
      </c>
      <c r="T566" s="5" t="s">
        <v>43</v>
      </c>
      <c r="U566" s="5" t="s">
        <v>98</v>
      </c>
      <c r="V566" s="5">
        <v>2024</v>
      </c>
      <c r="W566" s="5" t="s">
        <v>45</v>
      </c>
      <c r="X566" s="5">
        <v>4</v>
      </c>
      <c r="Y566" s="1" t="s">
        <v>1605</v>
      </c>
      <c r="Z566" s="5" t="s">
        <v>47</v>
      </c>
      <c r="AA566" s="5" t="s">
        <v>90</v>
      </c>
      <c r="AB566" s="5" t="s">
        <v>78</v>
      </c>
      <c r="AC566" s="5" t="s">
        <v>121</v>
      </c>
      <c r="AD566" s="5">
        <v>3</v>
      </c>
    </row>
    <row r="567" spans="1:30">
      <c r="A567" s="5" t="s">
        <v>1606</v>
      </c>
      <c r="B567" s="1" t="s">
        <v>1448</v>
      </c>
      <c r="C567" s="5" t="s">
        <v>1446</v>
      </c>
      <c r="D567" s="5" t="s">
        <v>859</v>
      </c>
      <c r="E567" s="5" t="s">
        <v>35</v>
      </c>
      <c r="F567" s="5" t="s">
        <v>116</v>
      </c>
      <c r="G567" s="5" t="s">
        <v>37</v>
      </c>
      <c r="H567" s="5" t="s">
        <v>94</v>
      </c>
      <c r="I567" s="5" t="s">
        <v>59</v>
      </c>
      <c r="J567" s="5" t="s">
        <v>372</v>
      </c>
      <c r="K567" s="5">
        <v>3</v>
      </c>
      <c r="L567" s="5">
        <v>500</v>
      </c>
      <c r="M567" s="5">
        <v>0.1</v>
      </c>
      <c r="N567" s="5">
        <v>1350</v>
      </c>
      <c r="O567" s="5">
        <v>955.81</v>
      </c>
      <c r="P567" s="5">
        <v>394.19</v>
      </c>
      <c r="Q567" s="5">
        <v>29.2</v>
      </c>
      <c r="R567" s="5" t="s">
        <v>61</v>
      </c>
      <c r="S567" s="5" t="s">
        <v>74</v>
      </c>
      <c r="T567" s="5" t="s">
        <v>75</v>
      </c>
      <c r="U567" s="5" t="s">
        <v>119</v>
      </c>
      <c r="V567" s="5">
        <v>2024</v>
      </c>
      <c r="W567" s="5" t="s">
        <v>45</v>
      </c>
      <c r="X567" s="5">
        <v>4</v>
      </c>
      <c r="Y567" s="1" t="s">
        <v>1278</v>
      </c>
      <c r="Z567" s="5" t="s">
        <v>110</v>
      </c>
      <c r="AA567" s="5" t="s">
        <v>67</v>
      </c>
      <c r="AB567" s="5" t="s">
        <v>78</v>
      </c>
      <c r="AC567" s="5" t="s">
        <v>121</v>
      </c>
      <c r="AD567" s="5">
        <v>3</v>
      </c>
    </row>
    <row r="568" spans="1:30">
      <c r="A568" s="5" t="s">
        <v>1607</v>
      </c>
      <c r="B568" s="1" t="s">
        <v>352</v>
      </c>
      <c r="C568" s="5" t="s">
        <v>1145</v>
      </c>
      <c r="D568" s="5" t="s">
        <v>1162</v>
      </c>
      <c r="E568" s="5" t="s">
        <v>55</v>
      </c>
      <c r="F568" s="5" t="s">
        <v>116</v>
      </c>
      <c r="G568" s="5" t="s">
        <v>37</v>
      </c>
      <c r="H568" s="5" t="s">
        <v>38</v>
      </c>
      <c r="I568" s="5" t="s">
        <v>59</v>
      </c>
      <c r="J568" s="5" t="s">
        <v>60</v>
      </c>
      <c r="K568" s="5">
        <v>3</v>
      </c>
      <c r="L568" s="5">
        <v>3000</v>
      </c>
      <c r="M568" s="5">
        <v>0.15</v>
      </c>
      <c r="N568" s="5">
        <v>7650</v>
      </c>
      <c r="O568" s="5">
        <v>4494.97</v>
      </c>
      <c r="P568" s="5">
        <v>3155.03</v>
      </c>
      <c r="Q568" s="5">
        <v>41.24</v>
      </c>
      <c r="R568" s="5" t="s">
        <v>61</v>
      </c>
      <c r="S568" s="5" t="s">
        <v>62</v>
      </c>
      <c r="T568" s="5" t="s">
        <v>173</v>
      </c>
      <c r="U568" s="5" t="s">
        <v>198</v>
      </c>
      <c r="V568" s="5">
        <v>2025</v>
      </c>
      <c r="W568" s="5" t="s">
        <v>134</v>
      </c>
      <c r="X568" s="5">
        <v>6</v>
      </c>
      <c r="Y568" s="1">
        <v>45700</v>
      </c>
      <c r="Z568" s="5" t="s">
        <v>89</v>
      </c>
      <c r="AA568" s="5" t="s">
        <v>67</v>
      </c>
      <c r="AB568" s="5" t="s">
        <v>111</v>
      </c>
      <c r="AC568" s="5" t="s">
        <v>50</v>
      </c>
      <c r="AD568" s="5">
        <v>5</v>
      </c>
    </row>
    <row r="569" spans="1:30">
      <c r="A569" s="5" t="s">
        <v>1608</v>
      </c>
      <c r="B569" s="1" t="s">
        <v>1609</v>
      </c>
      <c r="C569" s="5" t="s">
        <v>1383</v>
      </c>
      <c r="D569" s="5" t="s">
        <v>617</v>
      </c>
      <c r="E569" s="5" t="s">
        <v>55</v>
      </c>
      <c r="F569" s="5" t="s">
        <v>245</v>
      </c>
      <c r="G569" s="5" t="s">
        <v>246</v>
      </c>
      <c r="H569" s="5" t="s">
        <v>94</v>
      </c>
      <c r="I569" s="5" t="s">
        <v>71</v>
      </c>
      <c r="J569" s="5" t="s">
        <v>158</v>
      </c>
      <c r="K569" s="5">
        <v>2</v>
      </c>
      <c r="L569" s="5">
        <v>1200</v>
      </c>
      <c r="M569" s="5">
        <v>0.2</v>
      </c>
      <c r="N569" s="5">
        <v>1920</v>
      </c>
      <c r="O569" s="5">
        <v>1540.64</v>
      </c>
      <c r="P569" s="5">
        <v>379.36</v>
      </c>
      <c r="Q569" s="5">
        <v>19.760000000000002</v>
      </c>
      <c r="R569" s="5" t="s">
        <v>166</v>
      </c>
      <c r="S569" s="5" t="s">
        <v>62</v>
      </c>
      <c r="T569" s="5" t="s">
        <v>138</v>
      </c>
      <c r="U569" s="5" t="s">
        <v>178</v>
      </c>
      <c r="V569" s="5">
        <v>2025</v>
      </c>
      <c r="W569" s="5" t="s">
        <v>194</v>
      </c>
      <c r="X569" s="5">
        <v>6</v>
      </c>
      <c r="Y569" s="1">
        <v>45720</v>
      </c>
      <c r="Z569" s="5" t="s">
        <v>89</v>
      </c>
      <c r="AA569" s="5" t="s">
        <v>90</v>
      </c>
      <c r="AB569" s="5" t="s">
        <v>111</v>
      </c>
      <c r="AC569" s="5" t="s">
        <v>121</v>
      </c>
      <c r="AD569" s="5">
        <v>4</v>
      </c>
    </row>
    <row r="570" spans="1:30">
      <c r="A570" s="5" t="s">
        <v>1610</v>
      </c>
      <c r="B570" s="1">
        <v>45875</v>
      </c>
      <c r="C570" s="5" t="s">
        <v>249</v>
      </c>
      <c r="D570" s="5" t="s">
        <v>1449</v>
      </c>
      <c r="E570" s="5" t="s">
        <v>55</v>
      </c>
      <c r="F570" s="5" t="s">
        <v>36</v>
      </c>
      <c r="G570" s="5" t="s">
        <v>37</v>
      </c>
      <c r="H570" s="5" t="s">
        <v>38</v>
      </c>
      <c r="I570" s="5" t="s">
        <v>95</v>
      </c>
      <c r="J570" s="5" t="s">
        <v>96</v>
      </c>
      <c r="K570" s="5">
        <v>5</v>
      </c>
      <c r="L570" s="5">
        <v>4000</v>
      </c>
      <c r="M570" s="5">
        <v>0.2</v>
      </c>
      <c r="N570" s="5">
        <v>16000</v>
      </c>
      <c r="O570" s="5">
        <v>11482.24</v>
      </c>
      <c r="P570" s="5">
        <v>4517.76</v>
      </c>
      <c r="Q570" s="5">
        <v>28.24</v>
      </c>
      <c r="R570" s="5" t="s">
        <v>166</v>
      </c>
      <c r="S570" s="5" t="s">
        <v>42</v>
      </c>
      <c r="T570" s="5" t="s">
        <v>43</v>
      </c>
      <c r="U570" s="5" t="s">
        <v>160</v>
      </c>
      <c r="V570" s="5">
        <v>2025</v>
      </c>
      <c r="W570" s="5" t="s">
        <v>45</v>
      </c>
      <c r="X570" s="5">
        <v>6</v>
      </c>
      <c r="Y570" s="1" t="s">
        <v>1611</v>
      </c>
      <c r="Z570" s="5" t="s">
        <v>47</v>
      </c>
      <c r="AA570" s="5" t="s">
        <v>67</v>
      </c>
      <c r="AB570" s="5" t="s">
        <v>111</v>
      </c>
      <c r="AC570" s="5" t="s">
        <v>50</v>
      </c>
      <c r="AD570" s="5">
        <v>1</v>
      </c>
    </row>
    <row r="571" spans="1:30">
      <c r="A571" s="5" t="s">
        <v>1612</v>
      </c>
      <c r="B571" s="1">
        <v>45539</v>
      </c>
      <c r="C571" s="5" t="s">
        <v>1613</v>
      </c>
      <c r="D571" s="5" t="s">
        <v>183</v>
      </c>
      <c r="E571" s="5" t="s">
        <v>103</v>
      </c>
      <c r="F571" s="5" t="s">
        <v>36</v>
      </c>
      <c r="G571" s="5" t="s">
        <v>37</v>
      </c>
      <c r="H571" s="5" t="s">
        <v>58</v>
      </c>
      <c r="I571" s="5" t="s">
        <v>39</v>
      </c>
      <c r="J571" s="5" t="s">
        <v>40</v>
      </c>
      <c r="K571" s="5">
        <v>2</v>
      </c>
      <c r="L571" s="5">
        <v>15000</v>
      </c>
      <c r="M571" s="5">
        <v>0.2</v>
      </c>
      <c r="N571" s="5">
        <v>24000</v>
      </c>
      <c r="O571" s="5">
        <v>16319.91</v>
      </c>
      <c r="P571" s="5">
        <v>7680.09</v>
      </c>
      <c r="Q571" s="5">
        <v>32</v>
      </c>
      <c r="R571" s="5" t="s">
        <v>73</v>
      </c>
      <c r="S571" s="5" t="s">
        <v>42</v>
      </c>
      <c r="T571" s="5" t="s">
        <v>118</v>
      </c>
      <c r="U571" s="5" t="s">
        <v>44</v>
      </c>
      <c r="V571" s="5">
        <v>2024</v>
      </c>
      <c r="W571" s="5" t="s">
        <v>109</v>
      </c>
      <c r="X571" s="5">
        <v>5</v>
      </c>
      <c r="Y571" s="1" t="s">
        <v>32</v>
      </c>
      <c r="Z571" s="5" t="s">
        <v>89</v>
      </c>
      <c r="AA571" s="5" t="s">
        <v>48</v>
      </c>
      <c r="AB571" s="5" t="s">
        <v>111</v>
      </c>
      <c r="AC571" s="5" t="s">
        <v>50</v>
      </c>
      <c r="AD571" s="5">
        <v>2</v>
      </c>
    </row>
    <row r="572" spans="1:30">
      <c r="A572" s="5" t="s">
        <v>1614</v>
      </c>
      <c r="B572" s="1" t="s">
        <v>1615</v>
      </c>
      <c r="C572" s="5" t="s">
        <v>1230</v>
      </c>
      <c r="D572" s="5" t="s">
        <v>600</v>
      </c>
      <c r="E572" s="5" t="s">
        <v>35</v>
      </c>
      <c r="F572" s="5" t="s">
        <v>149</v>
      </c>
      <c r="G572" s="5" t="s">
        <v>150</v>
      </c>
      <c r="H572" s="5" t="s">
        <v>58</v>
      </c>
      <c r="I572" s="5" t="s">
        <v>95</v>
      </c>
      <c r="J572" s="5" t="s">
        <v>184</v>
      </c>
      <c r="K572" s="5">
        <v>5</v>
      </c>
      <c r="L572" s="5">
        <v>2500</v>
      </c>
      <c r="M572" s="5">
        <v>0.15</v>
      </c>
      <c r="N572" s="5">
        <v>10625</v>
      </c>
      <c r="O572" s="5">
        <v>6036.36</v>
      </c>
      <c r="P572" s="5">
        <v>4588.6400000000003</v>
      </c>
      <c r="Q572" s="5">
        <v>43.19</v>
      </c>
      <c r="R572" s="5" t="s">
        <v>73</v>
      </c>
      <c r="S572" s="5" t="s">
        <v>74</v>
      </c>
      <c r="T572" s="5" t="s">
        <v>173</v>
      </c>
      <c r="U572" s="5" t="s">
        <v>108</v>
      </c>
      <c r="V572" s="5">
        <v>2025</v>
      </c>
      <c r="W572" s="5" t="s">
        <v>109</v>
      </c>
      <c r="X572" s="5">
        <v>4</v>
      </c>
      <c r="Y572" s="1">
        <v>45757</v>
      </c>
      <c r="Z572" s="5" t="s">
        <v>47</v>
      </c>
      <c r="AA572" s="5" t="s">
        <v>67</v>
      </c>
      <c r="AB572" s="5" t="s">
        <v>49</v>
      </c>
      <c r="AC572" s="5" t="s">
        <v>50</v>
      </c>
      <c r="AD572" s="5">
        <v>4</v>
      </c>
    </row>
    <row r="573" spans="1:30">
      <c r="A573" s="5" t="s">
        <v>1616</v>
      </c>
      <c r="B573" s="1" t="s">
        <v>214</v>
      </c>
      <c r="C573" s="5" t="s">
        <v>1288</v>
      </c>
      <c r="D573" s="5" t="s">
        <v>143</v>
      </c>
      <c r="E573" s="5" t="s">
        <v>103</v>
      </c>
      <c r="F573" s="5" t="s">
        <v>104</v>
      </c>
      <c r="G573" s="5" t="s">
        <v>104</v>
      </c>
      <c r="H573" s="5" t="s">
        <v>58</v>
      </c>
      <c r="I573" s="5" t="s">
        <v>39</v>
      </c>
      <c r="J573" s="5" t="s">
        <v>40</v>
      </c>
      <c r="K573" s="5">
        <v>7</v>
      </c>
      <c r="L573" s="5">
        <v>22000</v>
      </c>
      <c r="M573" s="5">
        <v>0.05</v>
      </c>
      <c r="N573" s="5">
        <v>146300</v>
      </c>
      <c r="O573" s="5">
        <v>112922.44</v>
      </c>
      <c r="P573" s="5">
        <v>33377.56</v>
      </c>
      <c r="Q573" s="5">
        <v>22.81</v>
      </c>
      <c r="R573" s="5" t="s">
        <v>166</v>
      </c>
      <c r="S573" s="5" t="s">
        <v>74</v>
      </c>
      <c r="T573" s="5" t="s">
        <v>43</v>
      </c>
      <c r="U573" s="5" t="s">
        <v>218</v>
      </c>
      <c r="V573" s="5">
        <v>2024</v>
      </c>
      <c r="W573" s="5" t="s">
        <v>134</v>
      </c>
      <c r="X573" s="5">
        <v>9</v>
      </c>
      <c r="Y573" s="1">
        <v>45452</v>
      </c>
      <c r="Z573" s="5" t="s">
        <v>47</v>
      </c>
      <c r="AA573" s="5" t="s">
        <v>90</v>
      </c>
      <c r="AB573" s="5" t="s">
        <v>49</v>
      </c>
      <c r="AC573" s="5" t="s">
        <v>121</v>
      </c>
      <c r="AD573" s="5">
        <v>2</v>
      </c>
    </row>
    <row r="574" spans="1:30">
      <c r="A574" s="5" t="s">
        <v>1617</v>
      </c>
      <c r="B574" s="1" t="s">
        <v>497</v>
      </c>
      <c r="C574" s="5" t="s">
        <v>1618</v>
      </c>
      <c r="D574" s="5" t="s">
        <v>791</v>
      </c>
      <c r="E574" s="5" t="s">
        <v>55</v>
      </c>
      <c r="F574" s="5" t="s">
        <v>131</v>
      </c>
      <c r="G574" s="5" t="s">
        <v>132</v>
      </c>
      <c r="H574" s="5" t="s">
        <v>58</v>
      </c>
      <c r="I574" s="5" t="s">
        <v>59</v>
      </c>
      <c r="J574" s="5" t="s">
        <v>206</v>
      </c>
      <c r="K574" s="5">
        <v>8</v>
      </c>
      <c r="L574" s="5">
        <v>2000</v>
      </c>
      <c r="M574" s="5">
        <v>0.1</v>
      </c>
      <c r="N574" s="5">
        <v>14400</v>
      </c>
      <c r="O574" s="5">
        <v>9836.64</v>
      </c>
      <c r="P574" s="5">
        <v>4563.3599999999997</v>
      </c>
      <c r="Q574" s="5">
        <v>31.69</v>
      </c>
      <c r="R574" s="5" t="s">
        <v>166</v>
      </c>
      <c r="S574" s="5" t="s">
        <v>62</v>
      </c>
      <c r="T574" s="5" t="s">
        <v>75</v>
      </c>
      <c r="U574" s="5" t="s">
        <v>87</v>
      </c>
      <c r="V574" s="5">
        <v>2024</v>
      </c>
      <c r="W574" s="5" t="s">
        <v>134</v>
      </c>
      <c r="X574" s="5">
        <v>2</v>
      </c>
      <c r="Y574" s="1" t="s">
        <v>1619</v>
      </c>
      <c r="Z574" s="5" t="s">
        <v>89</v>
      </c>
      <c r="AA574" s="5" t="s">
        <v>90</v>
      </c>
      <c r="AB574" s="5" t="s">
        <v>49</v>
      </c>
      <c r="AC574" s="5" t="s">
        <v>50</v>
      </c>
      <c r="AD574" s="5">
        <v>4</v>
      </c>
    </row>
    <row r="575" spans="1:30">
      <c r="A575" s="5" t="s">
        <v>1620</v>
      </c>
      <c r="B575" s="1">
        <v>45384</v>
      </c>
      <c r="C575" s="5" t="s">
        <v>1621</v>
      </c>
      <c r="D575" s="5" t="s">
        <v>1112</v>
      </c>
      <c r="E575" s="5" t="s">
        <v>103</v>
      </c>
      <c r="F575" s="5" t="s">
        <v>36</v>
      </c>
      <c r="G575" s="5" t="s">
        <v>37</v>
      </c>
      <c r="H575" s="5" t="s">
        <v>94</v>
      </c>
      <c r="I575" s="5" t="s">
        <v>59</v>
      </c>
      <c r="J575" s="5" t="s">
        <v>133</v>
      </c>
      <c r="K575" s="5">
        <v>1</v>
      </c>
      <c r="L575" s="5">
        <v>3000</v>
      </c>
      <c r="M575" s="5">
        <v>0.1</v>
      </c>
      <c r="N575" s="5">
        <v>2700</v>
      </c>
      <c r="O575" s="5">
        <v>1516.08</v>
      </c>
      <c r="P575" s="5">
        <v>1183.92</v>
      </c>
      <c r="Q575" s="5">
        <v>43.85</v>
      </c>
      <c r="R575" s="5" t="s">
        <v>61</v>
      </c>
      <c r="S575" s="5" t="s">
        <v>74</v>
      </c>
      <c r="T575" s="5" t="s">
        <v>118</v>
      </c>
      <c r="U575" s="5" t="s">
        <v>98</v>
      </c>
      <c r="V575" s="5">
        <v>2024</v>
      </c>
      <c r="W575" s="5" t="s">
        <v>45</v>
      </c>
      <c r="X575" s="5">
        <v>10</v>
      </c>
      <c r="Y575" s="1" t="s">
        <v>345</v>
      </c>
      <c r="Z575" s="5" t="s">
        <v>110</v>
      </c>
      <c r="AA575" s="5" t="s">
        <v>67</v>
      </c>
      <c r="AB575" s="5" t="s">
        <v>111</v>
      </c>
      <c r="AC575" s="5" t="s">
        <v>121</v>
      </c>
      <c r="AD575" s="5">
        <v>3</v>
      </c>
    </row>
    <row r="576" spans="1:30">
      <c r="A576" s="5" t="s">
        <v>1622</v>
      </c>
      <c r="B576" s="1" t="s">
        <v>231</v>
      </c>
      <c r="C576" s="5" t="s">
        <v>612</v>
      </c>
      <c r="D576" s="5" t="s">
        <v>225</v>
      </c>
      <c r="E576" s="5" t="s">
        <v>103</v>
      </c>
      <c r="F576" s="5" t="s">
        <v>131</v>
      </c>
      <c r="G576" s="5" t="s">
        <v>132</v>
      </c>
      <c r="H576" s="5" t="s">
        <v>171</v>
      </c>
      <c r="I576" s="5" t="s">
        <v>71</v>
      </c>
      <c r="J576" s="5" t="s">
        <v>172</v>
      </c>
      <c r="K576" s="5">
        <v>2</v>
      </c>
      <c r="L576" s="5">
        <v>1200</v>
      </c>
      <c r="M576" s="5">
        <v>0.05</v>
      </c>
      <c r="N576" s="5">
        <v>2280</v>
      </c>
      <c r="O576" s="5">
        <v>1536.86</v>
      </c>
      <c r="P576" s="5">
        <v>743.14</v>
      </c>
      <c r="Q576" s="5">
        <v>32.590000000000003</v>
      </c>
      <c r="R576" s="5" t="s">
        <v>166</v>
      </c>
      <c r="S576" s="5" t="s">
        <v>74</v>
      </c>
      <c r="T576" s="5" t="s">
        <v>138</v>
      </c>
      <c r="U576" s="5" t="s">
        <v>64</v>
      </c>
      <c r="V576" s="5">
        <v>2024</v>
      </c>
      <c r="W576" s="5" t="s">
        <v>139</v>
      </c>
      <c r="X576" s="5">
        <v>10</v>
      </c>
      <c r="Y576" s="1">
        <v>45778</v>
      </c>
      <c r="Z576" s="5" t="s">
        <v>47</v>
      </c>
      <c r="AA576" s="5" t="s">
        <v>67</v>
      </c>
      <c r="AB576" s="5" t="s">
        <v>78</v>
      </c>
      <c r="AC576" s="5" t="s">
        <v>121</v>
      </c>
      <c r="AD576" s="5">
        <v>5</v>
      </c>
    </row>
    <row r="577" spans="1:30">
      <c r="A577" s="5" t="s">
        <v>1623</v>
      </c>
      <c r="B577" s="1" t="s">
        <v>1624</v>
      </c>
      <c r="C577" s="5" t="s">
        <v>301</v>
      </c>
      <c r="D577" s="5" t="s">
        <v>1532</v>
      </c>
      <c r="E577" s="5" t="s">
        <v>35</v>
      </c>
      <c r="F577" s="5" t="s">
        <v>131</v>
      </c>
      <c r="G577" s="5" t="s">
        <v>132</v>
      </c>
      <c r="H577" s="5" t="s">
        <v>38</v>
      </c>
      <c r="I577" s="5" t="s">
        <v>59</v>
      </c>
      <c r="J577" s="5" t="s">
        <v>60</v>
      </c>
      <c r="K577" s="5">
        <v>3</v>
      </c>
      <c r="L577" s="5">
        <v>1200</v>
      </c>
      <c r="M577" s="5">
        <v>0.2</v>
      </c>
      <c r="N577" s="5">
        <v>2880</v>
      </c>
      <c r="O577" s="5">
        <v>2064.15</v>
      </c>
      <c r="P577" s="5">
        <v>815.85</v>
      </c>
      <c r="Q577" s="5">
        <v>28.33</v>
      </c>
      <c r="R577" s="5" t="s">
        <v>73</v>
      </c>
      <c r="S577" s="5" t="s">
        <v>74</v>
      </c>
      <c r="T577" s="5" t="s">
        <v>173</v>
      </c>
      <c r="U577" s="5" t="s">
        <v>218</v>
      </c>
      <c r="V577" s="5">
        <v>2025</v>
      </c>
      <c r="W577" s="5" t="s">
        <v>45</v>
      </c>
      <c r="X577" s="5">
        <v>6</v>
      </c>
      <c r="Y577" s="1" t="s">
        <v>381</v>
      </c>
      <c r="Z577" s="5" t="s">
        <v>89</v>
      </c>
      <c r="AA577" s="5" t="s">
        <v>67</v>
      </c>
      <c r="AB577" s="5" t="s">
        <v>111</v>
      </c>
      <c r="AC577" s="5" t="s">
        <v>50</v>
      </c>
      <c r="AD577" s="5">
        <v>3</v>
      </c>
    </row>
    <row r="578" spans="1:30">
      <c r="A578" s="5" t="s">
        <v>1625</v>
      </c>
      <c r="B578" s="1">
        <v>45446</v>
      </c>
      <c r="C578" s="5" t="s">
        <v>1626</v>
      </c>
      <c r="D578" s="5" t="s">
        <v>297</v>
      </c>
      <c r="E578" s="5" t="s">
        <v>55</v>
      </c>
      <c r="F578" s="5" t="s">
        <v>149</v>
      </c>
      <c r="G578" s="5" t="s">
        <v>150</v>
      </c>
      <c r="H578" s="5" t="s">
        <v>58</v>
      </c>
      <c r="I578" s="5" t="s">
        <v>95</v>
      </c>
      <c r="J578" s="5" t="s">
        <v>344</v>
      </c>
      <c r="K578" s="5">
        <v>3</v>
      </c>
      <c r="L578" s="5">
        <v>9000</v>
      </c>
      <c r="M578" s="5">
        <v>0.15</v>
      </c>
      <c r="N578" s="5">
        <v>22950</v>
      </c>
      <c r="O578" s="5">
        <v>14174.62</v>
      </c>
      <c r="P578" s="5">
        <v>8775.3799999999992</v>
      </c>
      <c r="Q578" s="5">
        <v>38.24</v>
      </c>
      <c r="R578" s="5" t="s">
        <v>73</v>
      </c>
      <c r="S578" s="5" t="s">
        <v>62</v>
      </c>
      <c r="T578" s="5" t="s">
        <v>173</v>
      </c>
      <c r="U578" s="5" t="s">
        <v>178</v>
      </c>
      <c r="V578" s="5">
        <v>2024</v>
      </c>
      <c r="W578" s="5" t="s">
        <v>134</v>
      </c>
      <c r="X578" s="5">
        <v>1</v>
      </c>
      <c r="Y578" s="1">
        <v>45476</v>
      </c>
      <c r="Z578" s="5" t="s">
        <v>89</v>
      </c>
      <c r="AA578" s="5" t="s">
        <v>48</v>
      </c>
      <c r="AB578" s="5" t="s">
        <v>78</v>
      </c>
      <c r="AC578" s="5" t="s">
        <v>50</v>
      </c>
      <c r="AD578" s="5">
        <v>2</v>
      </c>
    </row>
    <row r="579" spans="1:30">
      <c r="A579" s="5" t="s">
        <v>1627</v>
      </c>
      <c r="B579" s="1" t="s">
        <v>305</v>
      </c>
      <c r="C579" s="5" t="s">
        <v>1628</v>
      </c>
      <c r="D579" s="5" t="s">
        <v>1370</v>
      </c>
      <c r="E579" s="5" t="s">
        <v>103</v>
      </c>
      <c r="F579" s="5" t="s">
        <v>144</v>
      </c>
      <c r="G579" s="5" t="s">
        <v>145</v>
      </c>
      <c r="H579" s="5" t="s">
        <v>38</v>
      </c>
      <c r="I579" s="5" t="s">
        <v>59</v>
      </c>
      <c r="J579" s="5" t="s">
        <v>206</v>
      </c>
      <c r="K579" s="5">
        <v>4</v>
      </c>
      <c r="L579" s="5">
        <v>1200</v>
      </c>
      <c r="M579" s="5">
        <v>0.15</v>
      </c>
      <c r="N579" s="5">
        <v>4080</v>
      </c>
      <c r="O579" s="5">
        <v>2465.63</v>
      </c>
      <c r="P579" s="5">
        <v>1614.37</v>
      </c>
      <c r="Q579" s="5">
        <v>39.57</v>
      </c>
      <c r="R579" s="5" t="s">
        <v>106</v>
      </c>
      <c r="S579" s="5" t="s">
        <v>42</v>
      </c>
      <c r="T579" s="5" t="s">
        <v>43</v>
      </c>
      <c r="U579" s="5" t="s">
        <v>178</v>
      </c>
      <c r="V579" s="5">
        <v>2025</v>
      </c>
      <c r="W579" s="5" t="s">
        <v>126</v>
      </c>
      <c r="X579" s="5">
        <v>5</v>
      </c>
      <c r="Y579" s="1" t="s">
        <v>993</v>
      </c>
      <c r="Z579" s="5" t="s">
        <v>47</v>
      </c>
      <c r="AA579" s="5" t="s">
        <v>48</v>
      </c>
      <c r="AB579" s="5" t="s">
        <v>111</v>
      </c>
      <c r="AC579" s="5" t="s">
        <v>121</v>
      </c>
      <c r="AD579" s="5">
        <v>2</v>
      </c>
    </row>
    <row r="580" spans="1:30">
      <c r="A580" s="5" t="s">
        <v>1629</v>
      </c>
      <c r="B580" s="1" t="s">
        <v>1630</v>
      </c>
      <c r="C580" s="5" t="s">
        <v>1441</v>
      </c>
      <c r="D580" s="5" t="s">
        <v>770</v>
      </c>
      <c r="E580" s="5" t="s">
        <v>35</v>
      </c>
      <c r="F580" s="5" t="s">
        <v>104</v>
      </c>
      <c r="G580" s="5" t="s">
        <v>104</v>
      </c>
      <c r="H580" s="5" t="s">
        <v>38</v>
      </c>
      <c r="I580" s="5" t="s">
        <v>95</v>
      </c>
      <c r="J580" s="5" t="s">
        <v>344</v>
      </c>
      <c r="K580" s="5">
        <v>6</v>
      </c>
      <c r="L580" s="5">
        <v>9000</v>
      </c>
      <c r="M580" s="5">
        <v>0.2</v>
      </c>
      <c r="N580" s="5">
        <v>43200</v>
      </c>
      <c r="O580" s="5">
        <v>25921.39</v>
      </c>
      <c r="P580" s="5">
        <v>17278.61</v>
      </c>
      <c r="Q580" s="5">
        <v>40</v>
      </c>
      <c r="R580" s="5" t="s">
        <v>41</v>
      </c>
      <c r="S580" s="5" t="s">
        <v>62</v>
      </c>
      <c r="T580" s="5" t="s">
        <v>107</v>
      </c>
      <c r="U580" s="5" t="s">
        <v>151</v>
      </c>
      <c r="V580" s="5">
        <v>2025</v>
      </c>
      <c r="W580" s="5" t="s">
        <v>45</v>
      </c>
      <c r="X580" s="5">
        <v>2</v>
      </c>
      <c r="Y580" s="1" t="s">
        <v>209</v>
      </c>
      <c r="Z580" s="5" t="s">
        <v>47</v>
      </c>
      <c r="AA580" s="5" t="s">
        <v>67</v>
      </c>
      <c r="AB580" s="5" t="s">
        <v>78</v>
      </c>
      <c r="AC580" s="5" t="s">
        <v>121</v>
      </c>
      <c r="AD580" s="5">
        <v>1</v>
      </c>
    </row>
    <row r="581" spans="1:30">
      <c r="A581" s="5" t="s">
        <v>1631</v>
      </c>
      <c r="B581" s="1">
        <v>45570</v>
      </c>
      <c r="C581" s="5" t="s">
        <v>454</v>
      </c>
      <c r="D581" s="5" t="s">
        <v>1434</v>
      </c>
      <c r="E581" s="5" t="s">
        <v>103</v>
      </c>
      <c r="F581" s="5" t="s">
        <v>56</v>
      </c>
      <c r="G581" s="5" t="s">
        <v>57</v>
      </c>
      <c r="H581" s="5" t="s">
        <v>171</v>
      </c>
      <c r="I581" s="5" t="s">
        <v>71</v>
      </c>
      <c r="J581" s="5" t="s">
        <v>158</v>
      </c>
      <c r="K581" s="5">
        <v>2</v>
      </c>
      <c r="L581" s="5">
        <v>3500</v>
      </c>
      <c r="M581" s="5">
        <v>0</v>
      </c>
      <c r="N581" s="5">
        <v>7000</v>
      </c>
      <c r="O581" s="5">
        <v>4040.73</v>
      </c>
      <c r="P581" s="5">
        <v>2959.27</v>
      </c>
      <c r="Q581" s="5">
        <v>42.28</v>
      </c>
      <c r="R581" s="5" t="s">
        <v>106</v>
      </c>
      <c r="S581" s="5" t="s">
        <v>74</v>
      </c>
      <c r="T581" s="5" t="s">
        <v>159</v>
      </c>
      <c r="U581" s="5" t="s">
        <v>119</v>
      </c>
      <c r="V581" s="5">
        <v>2024</v>
      </c>
      <c r="W581" s="5" t="s">
        <v>194</v>
      </c>
      <c r="X581" s="5">
        <v>9</v>
      </c>
      <c r="Y581" s="1" t="s">
        <v>504</v>
      </c>
      <c r="Z581" s="5" t="s">
        <v>47</v>
      </c>
      <c r="AA581" s="5" t="s">
        <v>67</v>
      </c>
      <c r="AB581" s="5" t="s">
        <v>78</v>
      </c>
      <c r="AC581" s="5" t="s">
        <v>50</v>
      </c>
      <c r="AD581" s="5">
        <v>1</v>
      </c>
    </row>
    <row r="582" spans="1:30">
      <c r="A582" s="5" t="s">
        <v>1632</v>
      </c>
      <c r="B582" s="1" t="s">
        <v>1611</v>
      </c>
      <c r="C582" s="5" t="s">
        <v>281</v>
      </c>
      <c r="D582" s="5" t="s">
        <v>707</v>
      </c>
      <c r="E582" s="5" t="s">
        <v>103</v>
      </c>
      <c r="F582" s="5" t="s">
        <v>245</v>
      </c>
      <c r="G582" s="5" t="s">
        <v>246</v>
      </c>
      <c r="H582" s="5" t="s">
        <v>58</v>
      </c>
      <c r="I582" s="5" t="s">
        <v>84</v>
      </c>
      <c r="J582" s="5" t="s">
        <v>390</v>
      </c>
      <c r="K582" s="5">
        <v>9</v>
      </c>
      <c r="L582" s="5">
        <v>800</v>
      </c>
      <c r="M582" s="5">
        <v>0.05</v>
      </c>
      <c r="N582" s="5">
        <v>6840</v>
      </c>
      <c r="O582" s="5">
        <v>4338.6400000000003</v>
      </c>
      <c r="P582" s="5">
        <v>2501.36</v>
      </c>
      <c r="Q582" s="5">
        <v>36.57</v>
      </c>
      <c r="R582" s="5" t="s">
        <v>41</v>
      </c>
      <c r="S582" s="5" t="s">
        <v>62</v>
      </c>
      <c r="T582" s="5" t="s">
        <v>159</v>
      </c>
      <c r="U582" s="5" t="s">
        <v>160</v>
      </c>
      <c r="V582" s="5">
        <v>2025</v>
      </c>
      <c r="W582" s="5" t="s">
        <v>65</v>
      </c>
      <c r="X582" s="5">
        <v>10</v>
      </c>
      <c r="Y582" s="1" t="s">
        <v>648</v>
      </c>
      <c r="Z582" s="5" t="s">
        <v>89</v>
      </c>
      <c r="AA582" s="5" t="s">
        <v>48</v>
      </c>
      <c r="AB582" s="5" t="s">
        <v>49</v>
      </c>
      <c r="AC582" s="5" t="s">
        <v>121</v>
      </c>
      <c r="AD582" s="5">
        <v>3</v>
      </c>
    </row>
    <row r="583" spans="1:30">
      <c r="A583" s="5" t="s">
        <v>1633</v>
      </c>
      <c r="B583" s="1" t="s">
        <v>999</v>
      </c>
      <c r="C583" s="5" t="s">
        <v>236</v>
      </c>
      <c r="D583" s="5" t="s">
        <v>1063</v>
      </c>
      <c r="E583" s="5" t="s">
        <v>55</v>
      </c>
      <c r="F583" s="5" t="s">
        <v>156</v>
      </c>
      <c r="G583" s="5" t="s">
        <v>157</v>
      </c>
      <c r="H583" s="5" t="s">
        <v>58</v>
      </c>
      <c r="I583" s="5" t="s">
        <v>84</v>
      </c>
      <c r="J583" s="5" t="s">
        <v>85</v>
      </c>
      <c r="K583" s="5">
        <v>6</v>
      </c>
      <c r="L583" s="5">
        <v>100</v>
      </c>
      <c r="M583" s="5">
        <v>0.05</v>
      </c>
      <c r="N583" s="5">
        <v>570</v>
      </c>
      <c r="O583" s="5">
        <v>455.73</v>
      </c>
      <c r="P583" s="5">
        <v>114.27</v>
      </c>
      <c r="Q583" s="5">
        <v>20.05</v>
      </c>
      <c r="R583" s="5" t="s">
        <v>41</v>
      </c>
      <c r="S583" s="5" t="s">
        <v>42</v>
      </c>
      <c r="T583" s="5" t="s">
        <v>43</v>
      </c>
      <c r="U583" s="5" t="s">
        <v>151</v>
      </c>
      <c r="V583" s="5">
        <v>2024</v>
      </c>
      <c r="W583" s="5" t="s">
        <v>45</v>
      </c>
      <c r="X583" s="5">
        <v>9</v>
      </c>
      <c r="Y583" s="1">
        <v>45451</v>
      </c>
      <c r="Z583" s="5" t="s">
        <v>47</v>
      </c>
      <c r="AA583" s="5" t="s">
        <v>67</v>
      </c>
      <c r="AB583" s="5" t="s">
        <v>49</v>
      </c>
      <c r="AC583" s="5" t="s">
        <v>50</v>
      </c>
      <c r="AD583" s="5">
        <v>5</v>
      </c>
    </row>
    <row r="584" spans="1:30">
      <c r="A584" s="5" t="s">
        <v>1634</v>
      </c>
      <c r="B584" s="1">
        <v>45628</v>
      </c>
      <c r="C584" s="5" t="s">
        <v>1595</v>
      </c>
      <c r="D584" s="5" t="s">
        <v>1635</v>
      </c>
      <c r="E584" s="5" t="s">
        <v>55</v>
      </c>
      <c r="F584" s="5" t="s">
        <v>144</v>
      </c>
      <c r="G584" s="5" t="s">
        <v>145</v>
      </c>
      <c r="H584" s="5" t="s">
        <v>171</v>
      </c>
      <c r="I584" s="5" t="s">
        <v>39</v>
      </c>
      <c r="J584" s="5" t="s">
        <v>165</v>
      </c>
      <c r="K584" s="5">
        <v>8</v>
      </c>
      <c r="L584" s="5">
        <v>12000</v>
      </c>
      <c r="M584" s="5">
        <v>0.1</v>
      </c>
      <c r="N584" s="5">
        <v>86400</v>
      </c>
      <c r="O584" s="5">
        <v>59104.61</v>
      </c>
      <c r="P584" s="5">
        <v>27295.39</v>
      </c>
      <c r="Q584" s="5">
        <v>31.59</v>
      </c>
      <c r="R584" s="5" t="s">
        <v>73</v>
      </c>
      <c r="S584" s="5" t="s">
        <v>74</v>
      </c>
      <c r="T584" s="5" t="s">
        <v>43</v>
      </c>
      <c r="U584" s="5" t="s">
        <v>98</v>
      </c>
      <c r="V584" s="5">
        <v>2024</v>
      </c>
      <c r="W584" s="5" t="s">
        <v>126</v>
      </c>
      <c r="X584" s="5">
        <v>2</v>
      </c>
      <c r="Y584" s="1" t="s">
        <v>345</v>
      </c>
      <c r="Z584" s="5" t="s">
        <v>47</v>
      </c>
      <c r="AA584" s="5" t="s">
        <v>90</v>
      </c>
      <c r="AB584" s="5" t="s">
        <v>49</v>
      </c>
      <c r="AC584" s="5" t="s">
        <v>50</v>
      </c>
      <c r="AD584" s="5">
        <v>1</v>
      </c>
    </row>
    <row r="585" spans="1:30">
      <c r="A585" s="5" t="s">
        <v>1636</v>
      </c>
      <c r="B585" s="1" t="s">
        <v>979</v>
      </c>
      <c r="C585" s="5" t="s">
        <v>176</v>
      </c>
      <c r="D585" s="5" t="s">
        <v>1637</v>
      </c>
      <c r="E585" s="5" t="s">
        <v>103</v>
      </c>
      <c r="F585" s="5" t="s">
        <v>131</v>
      </c>
      <c r="G585" s="5" t="s">
        <v>132</v>
      </c>
      <c r="H585" s="5" t="s">
        <v>171</v>
      </c>
      <c r="I585" s="5" t="s">
        <v>71</v>
      </c>
      <c r="J585" s="5" t="s">
        <v>72</v>
      </c>
      <c r="K585" s="5">
        <v>7</v>
      </c>
      <c r="L585" s="5">
        <v>2500</v>
      </c>
      <c r="M585" s="5">
        <v>0.05</v>
      </c>
      <c r="N585" s="5">
        <v>16625</v>
      </c>
      <c r="O585" s="5">
        <v>9762.17</v>
      </c>
      <c r="P585" s="5">
        <v>6862.83</v>
      </c>
      <c r="Q585" s="5">
        <v>41.28</v>
      </c>
      <c r="R585" s="5" t="s">
        <v>61</v>
      </c>
      <c r="S585" s="5" t="s">
        <v>74</v>
      </c>
      <c r="T585" s="5" t="s">
        <v>97</v>
      </c>
      <c r="U585" s="5" t="s">
        <v>178</v>
      </c>
      <c r="V585" s="5">
        <v>2025</v>
      </c>
      <c r="W585" s="5" t="s">
        <v>45</v>
      </c>
      <c r="X585" s="5">
        <v>7</v>
      </c>
      <c r="Y585" s="1" t="s">
        <v>759</v>
      </c>
      <c r="Z585" s="5" t="s">
        <v>89</v>
      </c>
      <c r="AA585" s="5" t="s">
        <v>67</v>
      </c>
      <c r="AB585" s="5" t="s">
        <v>49</v>
      </c>
      <c r="AC585" s="5" t="s">
        <v>121</v>
      </c>
      <c r="AD585" s="5">
        <v>2</v>
      </c>
    </row>
    <row r="586" spans="1:30">
      <c r="A586" s="5" t="s">
        <v>1638</v>
      </c>
      <c r="B586" s="1">
        <v>45755</v>
      </c>
      <c r="C586" s="5" t="s">
        <v>1262</v>
      </c>
      <c r="D586" s="5" t="s">
        <v>183</v>
      </c>
      <c r="E586" s="5" t="s">
        <v>35</v>
      </c>
      <c r="F586" s="5" t="s">
        <v>36</v>
      </c>
      <c r="G586" s="5" t="s">
        <v>37</v>
      </c>
      <c r="H586" s="5" t="s">
        <v>38</v>
      </c>
      <c r="I586" s="5" t="s">
        <v>59</v>
      </c>
      <c r="J586" s="5" t="s">
        <v>328</v>
      </c>
      <c r="K586" s="5">
        <v>4</v>
      </c>
      <c r="L586" s="5">
        <v>2000</v>
      </c>
      <c r="M586" s="5">
        <v>0.2</v>
      </c>
      <c r="N586" s="5">
        <v>6400</v>
      </c>
      <c r="O586" s="5">
        <v>5028.99</v>
      </c>
      <c r="P586" s="5">
        <v>1371.01</v>
      </c>
      <c r="Q586" s="5">
        <v>21.42</v>
      </c>
      <c r="R586" s="5" t="s">
        <v>166</v>
      </c>
      <c r="S586" s="5" t="s">
        <v>74</v>
      </c>
      <c r="T586" s="5" t="s">
        <v>159</v>
      </c>
      <c r="U586" s="5" t="s">
        <v>218</v>
      </c>
      <c r="V586" s="5">
        <v>2025</v>
      </c>
      <c r="W586" s="5" t="s">
        <v>126</v>
      </c>
      <c r="X586" s="5">
        <v>1</v>
      </c>
      <c r="Y586" s="1">
        <v>45785</v>
      </c>
      <c r="Z586" s="5" t="s">
        <v>47</v>
      </c>
      <c r="AA586" s="5" t="s">
        <v>90</v>
      </c>
      <c r="AB586" s="5" t="s">
        <v>78</v>
      </c>
      <c r="AC586" s="5" t="s">
        <v>50</v>
      </c>
      <c r="AD586" s="5">
        <v>5</v>
      </c>
    </row>
    <row r="587" spans="1:30">
      <c r="A587" s="5" t="s">
        <v>1639</v>
      </c>
      <c r="B587" s="1">
        <v>45758</v>
      </c>
      <c r="C587" s="5" t="s">
        <v>288</v>
      </c>
      <c r="D587" s="5" t="s">
        <v>847</v>
      </c>
      <c r="E587" s="5" t="s">
        <v>103</v>
      </c>
      <c r="F587" s="5" t="s">
        <v>149</v>
      </c>
      <c r="G587" s="5" t="s">
        <v>150</v>
      </c>
      <c r="H587" s="5" t="s">
        <v>171</v>
      </c>
      <c r="I587" s="5" t="s">
        <v>84</v>
      </c>
      <c r="J587" s="5" t="s">
        <v>85</v>
      </c>
      <c r="K587" s="5">
        <v>10</v>
      </c>
      <c r="L587" s="5">
        <v>500</v>
      </c>
      <c r="M587" s="5">
        <v>0.15</v>
      </c>
      <c r="N587" s="5">
        <v>4250</v>
      </c>
      <c r="O587" s="5">
        <v>2425.14</v>
      </c>
      <c r="P587" s="5">
        <v>1824.86</v>
      </c>
      <c r="Q587" s="5">
        <v>42.94</v>
      </c>
      <c r="R587" s="5" t="s">
        <v>73</v>
      </c>
      <c r="S587" s="5" t="s">
        <v>62</v>
      </c>
      <c r="T587" s="5" t="s">
        <v>159</v>
      </c>
      <c r="U587" s="5" t="s">
        <v>198</v>
      </c>
      <c r="V587" s="5">
        <v>2025</v>
      </c>
      <c r="W587" s="5" t="s">
        <v>109</v>
      </c>
      <c r="X587" s="5">
        <v>2</v>
      </c>
      <c r="Y587" s="1">
        <v>45819</v>
      </c>
      <c r="Z587" s="5" t="s">
        <v>47</v>
      </c>
      <c r="AA587" s="5" t="s">
        <v>67</v>
      </c>
      <c r="AB587" s="5" t="s">
        <v>111</v>
      </c>
      <c r="AC587" s="5" t="s">
        <v>50</v>
      </c>
      <c r="AD587" s="5">
        <v>2</v>
      </c>
    </row>
    <row r="588" spans="1:30">
      <c r="A588" s="5" t="s">
        <v>1640</v>
      </c>
      <c r="B588" s="1" t="s">
        <v>958</v>
      </c>
      <c r="C588" s="5" t="s">
        <v>1597</v>
      </c>
      <c r="D588" s="5" t="s">
        <v>468</v>
      </c>
      <c r="E588" s="5" t="s">
        <v>35</v>
      </c>
      <c r="F588" s="5" t="s">
        <v>131</v>
      </c>
      <c r="G588" s="5" t="s">
        <v>132</v>
      </c>
      <c r="H588" s="5" t="s">
        <v>38</v>
      </c>
      <c r="I588" s="5" t="s">
        <v>84</v>
      </c>
      <c r="J588" s="5" t="s">
        <v>229</v>
      </c>
      <c r="K588" s="5">
        <v>9</v>
      </c>
      <c r="L588" s="5">
        <v>800</v>
      </c>
      <c r="M588" s="5">
        <v>0</v>
      </c>
      <c r="N588" s="5">
        <v>7200</v>
      </c>
      <c r="O588" s="5">
        <v>5331.5</v>
      </c>
      <c r="P588" s="5">
        <v>1868.5</v>
      </c>
      <c r="Q588" s="5">
        <v>25.95</v>
      </c>
      <c r="R588" s="5" t="s">
        <v>73</v>
      </c>
      <c r="S588" s="5" t="s">
        <v>42</v>
      </c>
      <c r="T588" s="5" t="s">
        <v>86</v>
      </c>
      <c r="U588" s="5" t="s">
        <v>98</v>
      </c>
      <c r="V588" s="5">
        <v>2024</v>
      </c>
      <c r="W588" s="5" t="s">
        <v>45</v>
      </c>
      <c r="X588" s="5">
        <v>6</v>
      </c>
      <c r="Y588" s="1">
        <v>45325</v>
      </c>
      <c r="Z588" s="5" t="s">
        <v>110</v>
      </c>
      <c r="AA588" s="5" t="s">
        <v>67</v>
      </c>
      <c r="AB588" s="5" t="s">
        <v>111</v>
      </c>
      <c r="AC588" s="5" t="s">
        <v>121</v>
      </c>
      <c r="AD588" s="5">
        <v>1</v>
      </c>
    </row>
    <row r="589" spans="1:30">
      <c r="A589" s="5" t="s">
        <v>1641</v>
      </c>
      <c r="B589" s="1" t="s">
        <v>1066</v>
      </c>
      <c r="C589" s="5" t="s">
        <v>267</v>
      </c>
      <c r="D589" s="5" t="s">
        <v>252</v>
      </c>
      <c r="E589" s="5" t="s">
        <v>55</v>
      </c>
      <c r="F589" s="5" t="s">
        <v>82</v>
      </c>
      <c r="G589" s="5" t="s">
        <v>83</v>
      </c>
      <c r="H589" s="5" t="s">
        <v>171</v>
      </c>
      <c r="I589" s="5" t="s">
        <v>95</v>
      </c>
      <c r="J589" s="5" t="s">
        <v>344</v>
      </c>
      <c r="K589" s="5">
        <v>4</v>
      </c>
      <c r="L589" s="5">
        <v>9000</v>
      </c>
      <c r="M589" s="5">
        <v>0.15</v>
      </c>
      <c r="N589" s="5">
        <v>30600</v>
      </c>
      <c r="O589" s="5">
        <v>23739.72</v>
      </c>
      <c r="P589" s="5">
        <v>6860.28</v>
      </c>
      <c r="Q589" s="5">
        <v>22.42</v>
      </c>
      <c r="R589" s="5" t="s">
        <v>106</v>
      </c>
      <c r="S589" s="5" t="s">
        <v>74</v>
      </c>
      <c r="T589" s="5" t="s">
        <v>159</v>
      </c>
      <c r="U589" s="5" t="s">
        <v>44</v>
      </c>
      <c r="V589" s="5">
        <v>2024</v>
      </c>
      <c r="W589" s="5" t="s">
        <v>194</v>
      </c>
      <c r="X589" s="5">
        <v>1</v>
      </c>
      <c r="Y589" s="1" t="s">
        <v>1642</v>
      </c>
      <c r="Z589" s="5" t="s">
        <v>110</v>
      </c>
      <c r="AA589" s="5" t="s">
        <v>48</v>
      </c>
      <c r="AB589" s="5" t="s">
        <v>78</v>
      </c>
      <c r="AC589" s="5" t="s">
        <v>50</v>
      </c>
      <c r="AD589" s="5">
        <v>1</v>
      </c>
    </row>
    <row r="590" spans="1:30">
      <c r="A590" s="5" t="s">
        <v>1643</v>
      </c>
      <c r="B590" s="1" t="s">
        <v>928</v>
      </c>
      <c r="C590" s="5" t="s">
        <v>1111</v>
      </c>
      <c r="D590" s="5" t="s">
        <v>1449</v>
      </c>
      <c r="E590" s="5" t="s">
        <v>103</v>
      </c>
      <c r="F590" s="5" t="s">
        <v>156</v>
      </c>
      <c r="G590" s="5" t="s">
        <v>157</v>
      </c>
      <c r="H590" s="5" t="s">
        <v>171</v>
      </c>
      <c r="I590" s="5" t="s">
        <v>71</v>
      </c>
      <c r="J590" s="5" t="s">
        <v>158</v>
      </c>
      <c r="K590" s="5">
        <v>1</v>
      </c>
      <c r="L590" s="5">
        <v>1200</v>
      </c>
      <c r="M590" s="5">
        <v>0.05</v>
      </c>
      <c r="N590" s="5">
        <v>1140</v>
      </c>
      <c r="O590" s="5">
        <v>790.9</v>
      </c>
      <c r="P590" s="5">
        <v>349.1</v>
      </c>
      <c r="Q590" s="5">
        <v>30.62</v>
      </c>
      <c r="R590" s="5" t="s">
        <v>106</v>
      </c>
      <c r="S590" s="5" t="s">
        <v>42</v>
      </c>
      <c r="T590" s="5" t="s">
        <v>97</v>
      </c>
      <c r="U590" s="5" t="s">
        <v>76</v>
      </c>
      <c r="V590" s="5">
        <v>2025</v>
      </c>
      <c r="W590" s="5" t="s">
        <v>139</v>
      </c>
      <c r="X590" s="5">
        <v>3</v>
      </c>
      <c r="Y590" s="1" t="s">
        <v>431</v>
      </c>
      <c r="Z590" s="5" t="s">
        <v>110</v>
      </c>
      <c r="AA590" s="5" t="s">
        <v>67</v>
      </c>
      <c r="AB590" s="5" t="s">
        <v>111</v>
      </c>
      <c r="AC590" s="5" t="s">
        <v>121</v>
      </c>
      <c r="AD590" s="5">
        <v>1</v>
      </c>
    </row>
    <row r="591" spans="1:30">
      <c r="A591" s="5" t="s">
        <v>1644</v>
      </c>
      <c r="B591" s="1" t="s">
        <v>1024</v>
      </c>
      <c r="C591" s="5" t="s">
        <v>812</v>
      </c>
      <c r="D591" s="5" t="s">
        <v>81</v>
      </c>
      <c r="E591" s="5" t="s">
        <v>103</v>
      </c>
      <c r="F591" s="5" t="s">
        <v>82</v>
      </c>
      <c r="G591" s="5" t="s">
        <v>83</v>
      </c>
      <c r="H591" s="5" t="s">
        <v>171</v>
      </c>
      <c r="I591" s="5" t="s">
        <v>59</v>
      </c>
      <c r="J591" s="5" t="s">
        <v>133</v>
      </c>
      <c r="K591" s="5">
        <v>7</v>
      </c>
      <c r="L591" s="5">
        <v>500</v>
      </c>
      <c r="M591" s="5">
        <v>0</v>
      </c>
      <c r="N591" s="5">
        <v>3500</v>
      </c>
      <c r="O591" s="5">
        <v>2736.3</v>
      </c>
      <c r="P591" s="5">
        <v>763.7</v>
      </c>
      <c r="Q591" s="5">
        <v>21.82</v>
      </c>
      <c r="R591" s="5" t="s">
        <v>73</v>
      </c>
      <c r="S591" s="5" t="s">
        <v>62</v>
      </c>
      <c r="T591" s="5" t="s">
        <v>138</v>
      </c>
      <c r="U591" s="5" t="s">
        <v>151</v>
      </c>
      <c r="V591" s="5">
        <v>2025</v>
      </c>
      <c r="W591" s="5" t="s">
        <v>45</v>
      </c>
      <c r="X591" s="5">
        <v>7</v>
      </c>
      <c r="Y591" s="1" t="s">
        <v>967</v>
      </c>
      <c r="Z591" s="5" t="s">
        <v>47</v>
      </c>
      <c r="AA591" s="5" t="s">
        <v>48</v>
      </c>
      <c r="AB591" s="5" t="s">
        <v>49</v>
      </c>
      <c r="AC591" s="5" t="s">
        <v>121</v>
      </c>
      <c r="AD591" s="5">
        <v>1</v>
      </c>
    </row>
    <row r="592" spans="1:30">
      <c r="A592" s="5" t="s">
        <v>1645</v>
      </c>
      <c r="B592" s="1">
        <v>45608</v>
      </c>
      <c r="C592" s="5" t="s">
        <v>1646</v>
      </c>
      <c r="D592" s="5" t="s">
        <v>1483</v>
      </c>
      <c r="E592" s="5" t="s">
        <v>103</v>
      </c>
      <c r="F592" s="5" t="s">
        <v>116</v>
      </c>
      <c r="G592" s="5" t="s">
        <v>37</v>
      </c>
      <c r="H592" s="5" t="s">
        <v>171</v>
      </c>
      <c r="I592" s="5" t="s">
        <v>84</v>
      </c>
      <c r="J592" s="5" t="s">
        <v>390</v>
      </c>
      <c r="K592" s="5">
        <v>4</v>
      </c>
      <c r="L592" s="5">
        <v>800</v>
      </c>
      <c r="M592" s="5">
        <v>0.1</v>
      </c>
      <c r="N592" s="5">
        <v>2880</v>
      </c>
      <c r="O592" s="5">
        <v>1614.02</v>
      </c>
      <c r="P592" s="5">
        <v>1265.98</v>
      </c>
      <c r="Q592" s="5">
        <v>43.96</v>
      </c>
      <c r="R592" s="5" t="s">
        <v>41</v>
      </c>
      <c r="S592" s="5" t="s">
        <v>74</v>
      </c>
      <c r="T592" s="5" t="s">
        <v>173</v>
      </c>
      <c r="U592" s="5" t="s">
        <v>64</v>
      </c>
      <c r="V592" s="5">
        <v>2024</v>
      </c>
      <c r="W592" s="5" t="s">
        <v>134</v>
      </c>
      <c r="X592" s="5">
        <v>10</v>
      </c>
      <c r="Y592" s="1" t="s">
        <v>185</v>
      </c>
      <c r="Z592" s="5" t="s">
        <v>110</v>
      </c>
      <c r="AA592" s="5" t="s">
        <v>67</v>
      </c>
      <c r="AB592" s="5" t="s">
        <v>111</v>
      </c>
      <c r="AC592" s="5" t="s">
        <v>50</v>
      </c>
      <c r="AD592" s="5">
        <v>3</v>
      </c>
    </row>
    <row r="593" spans="1:30">
      <c r="A593" s="5" t="s">
        <v>1647</v>
      </c>
      <c r="B593" s="1" t="s">
        <v>1648</v>
      </c>
      <c r="C593" s="5" t="s">
        <v>1352</v>
      </c>
      <c r="D593" s="5" t="s">
        <v>758</v>
      </c>
      <c r="E593" s="5" t="s">
        <v>35</v>
      </c>
      <c r="F593" s="5" t="s">
        <v>245</v>
      </c>
      <c r="G593" s="5" t="s">
        <v>246</v>
      </c>
      <c r="H593" s="5" t="s">
        <v>58</v>
      </c>
      <c r="I593" s="5" t="s">
        <v>71</v>
      </c>
      <c r="J593" s="5" t="s">
        <v>158</v>
      </c>
      <c r="K593" s="5">
        <v>1</v>
      </c>
      <c r="L593" s="5">
        <v>2500</v>
      </c>
      <c r="M593" s="5">
        <v>0</v>
      </c>
      <c r="N593" s="5">
        <v>2500</v>
      </c>
      <c r="O593" s="5">
        <v>1699.14</v>
      </c>
      <c r="P593" s="5">
        <v>800.86</v>
      </c>
      <c r="Q593" s="5">
        <v>32.03</v>
      </c>
      <c r="R593" s="5" t="s">
        <v>61</v>
      </c>
      <c r="S593" s="5" t="s">
        <v>42</v>
      </c>
      <c r="T593" s="5" t="s">
        <v>107</v>
      </c>
      <c r="U593" s="5" t="s">
        <v>44</v>
      </c>
      <c r="V593" s="5">
        <v>2025</v>
      </c>
      <c r="W593" s="5" t="s">
        <v>109</v>
      </c>
      <c r="X593" s="5">
        <v>1</v>
      </c>
      <c r="Y593" s="1" t="s">
        <v>1397</v>
      </c>
      <c r="Z593" s="5" t="s">
        <v>47</v>
      </c>
      <c r="AA593" s="5" t="s">
        <v>67</v>
      </c>
      <c r="AB593" s="5" t="s">
        <v>49</v>
      </c>
      <c r="AC593" s="5" t="s">
        <v>50</v>
      </c>
      <c r="AD593" s="5">
        <v>2</v>
      </c>
    </row>
    <row r="594" spans="1:30">
      <c r="A594" s="5" t="s">
        <v>1649</v>
      </c>
      <c r="B594" s="1">
        <v>45848</v>
      </c>
      <c r="C594" s="5" t="s">
        <v>1509</v>
      </c>
      <c r="D594" s="5" t="s">
        <v>1063</v>
      </c>
      <c r="E594" s="5" t="s">
        <v>35</v>
      </c>
      <c r="F594" s="5" t="s">
        <v>116</v>
      </c>
      <c r="G594" s="5" t="s">
        <v>37</v>
      </c>
      <c r="H594" s="5" t="s">
        <v>58</v>
      </c>
      <c r="I594" s="5" t="s">
        <v>84</v>
      </c>
      <c r="J594" s="5" t="s">
        <v>229</v>
      </c>
      <c r="K594" s="5">
        <v>8</v>
      </c>
      <c r="L594" s="5">
        <v>200</v>
      </c>
      <c r="M594" s="5">
        <v>0.05</v>
      </c>
      <c r="N594" s="5">
        <v>1520</v>
      </c>
      <c r="O594" s="5">
        <v>1193.56</v>
      </c>
      <c r="P594" s="5">
        <v>326.44</v>
      </c>
      <c r="Q594" s="5">
        <v>21.48</v>
      </c>
      <c r="R594" s="5" t="s">
        <v>73</v>
      </c>
      <c r="S594" s="5" t="s">
        <v>42</v>
      </c>
      <c r="T594" s="5" t="s">
        <v>107</v>
      </c>
      <c r="U594" s="5" t="s">
        <v>87</v>
      </c>
      <c r="V594" s="5">
        <v>2025</v>
      </c>
      <c r="W594" s="5" t="s">
        <v>109</v>
      </c>
      <c r="X594" s="5">
        <v>3</v>
      </c>
      <c r="Y594" s="1">
        <v>45940</v>
      </c>
      <c r="Z594" s="5" t="s">
        <v>47</v>
      </c>
      <c r="AA594" s="5" t="s">
        <v>67</v>
      </c>
      <c r="AB594" s="5" t="s">
        <v>111</v>
      </c>
      <c r="AC594" s="5" t="s">
        <v>50</v>
      </c>
      <c r="AD594" s="5">
        <v>1</v>
      </c>
    </row>
    <row r="595" spans="1:30">
      <c r="A595" s="5" t="s">
        <v>1650</v>
      </c>
      <c r="B595" s="1" t="s">
        <v>476</v>
      </c>
      <c r="C595" s="5" t="s">
        <v>1651</v>
      </c>
      <c r="D595" s="5" t="s">
        <v>1652</v>
      </c>
      <c r="E595" s="5" t="s">
        <v>35</v>
      </c>
      <c r="F595" s="5" t="s">
        <v>131</v>
      </c>
      <c r="G595" s="5" t="s">
        <v>132</v>
      </c>
      <c r="H595" s="5" t="s">
        <v>58</v>
      </c>
      <c r="I595" s="5" t="s">
        <v>95</v>
      </c>
      <c r="J595" s="5" t="s">
        <v>344</v>
      </c>
      <c r="K595" s="5">
        <v>5</v>
      </c>
      <c r="L595" s="5">
        <v>6000</v>
      </c>
      <c r="M595" s="5">
        <v>0</v>
      </c>
      <c r="N595" s="5">
        <v>30000</v>
      </c>
      <c r="O595" s="5">
        <v>22318.39</v>
      </c>
      <c r="P595" s="5">
        <v>7681.61</v>
      </c>
      <c r="Q595" s="5">
        <v>25.61</v>
      </c>
      <c r="R595" s="5" t="s">
        <v>41</v>
      </c>
      <c r="S595" s="5" t="s">
        <v>62</v>
      </c>
      <c r="T595" s="5" t="s">
        <v>173</v>
      </c>
      <c r="U595" s="5" t="s">
        <v>198</v>
      </c>
      <c r="V595" s="5">
        <v>2025</v>
      </c>
      <c r="W595" s="5" t="s">
        <v>109</v>
      </c>
      <c r="X595" s="5">
        <v>6</v>
      </c>
      <c r="Y595" s="1">
        <v>45669</v>
      </c>
      <c r="Z595" s="5" t="s">
        <v>89</v>
      </c>
      <c r="AA595" s="5" t="s">
        <v>48</v>
      </c>
      <c r="AB595" s="5" t="s">
        <v>49</v>
      </c>
      <c r="AC595" s="5" t="s">
        <v>121</v>
      </c>
      <c r="AD595" s="5">
        <v>2</v>
      </c>
    </row>
    <row r="596" spans="1:30">
      <c r="A596" s="5" t="s">
        <v>1653</v>
      </c>
      <c r="B596" s="1" t="s">
        <v>271</v>
      </c>
      <c r="C596" s="5" t="s">
        <v>272</v>
      </c>
      <c r="D596" s="5" t="s">
        <v>379</v>
      </c>
      <c r="E596" s="5" t="s">
        <v>103</v>
      </c>
      <c r="F596" s="5" t="s">
        <v>82</v>
      </c>
      <c r="G596" s="5" t="s">
        <v>83</v>
      </c>
      <c r="H596" s="5" t="s">
        <v>171</v>
      </c>
      <c r="I596" s="5" t="s">
        <v>59</v>
      </c>
      <c r="J596" s="5" t="s">
        <v>60</v>
      </c>
      <c r="K596" s="5">
        <v>7</v>
      </c>
      <c r="L596" s="5">
        <v>500</v>
      </c>
      <c r="M596" s="5">
        <v>0.15</v>
      </c>
      <c r="N596" s="5">
        <v>2975</v>
      </c>
      <c r="O596" s="5">
        <v>1898.54</v>
      </c>
      <c r="P596" s="5">
        <v>1076.46</v>
      </c>
      <c r="Q596" s="5">
        <v>36.18</v>
      </c>
      <c r="R596" s="5" t="s">
        <v>166</v>
      </c>
      <c r="S596" s="5" t="s">
        <v>62</v>
      </c>
      <c r="T596" s="5" t="s">
        <v>63</v>
      </c>
      <c r="U596" s="5" t="s">
        <v>87</v>
      </c>
      <c r="V596" s="5">
        <v>2024</v>
      </c>
      <c r="W596" s="5" t="s">
        <v>134</v>
      </c>
      <c r="X596" s="5">
        <v>3</v>
      </c>
      <c r="Y596" s="1" t="s">
        <v>1654</v>
      </c>
      <c r="Z596" s="5" t="s">
        <v>47</v>
      </c>
      <c r="AA596" s="5" t="s">
        <v>90</v>
      </c>
      <c r="AB596" s="5" t="s">
        <v>49</v>
      </c>
      <c r="AC596" s="5" t="s">
        <v>50</v>
      </c>
      <c r="AD596" s="5">
        <v>1</v>
      </c>
    </row>
    <row r="597" spans="1:30">
      <c r="A597" s="5" t="s">
        <v>1655</v>
      </c>
      <c r="B597" s="1">
        <v>45390</v>
      </c>
      <c r="C597" s="5" t="s">
        <v>1656</v>
      </c>
      <c r="D597" s="5" t="s">
        <v>799</v>
      </c>
      <c r="E597" s="5" t="s">
        <v>55</v>
      </c>
      <c r="F597" s="5" t="s">
        <v>116</v>
      </c>
      <c r="G597" s="5" t="s">
        <v>37</v>
      </c>
      <c r="H597" s="5" t="s">
        <v>38</v>
      </c>
      <c r="I597" s="5" t="s">
        <v>95</v>
      </c>
      <c r="J597" s="5" t="s">
        <v>96</v>
      </c>
      <c r="K597" s="5">
        <v>1</v>
      </c>
      <c r="L597" s="5">
        <v>2500</v>
      </c>
      <c r="M597" s="5">
        <v>0.2</v>
      </c>
      <c r="N597" s="5">
        <v>2000</v>
      </c>
      <c r="O597" s="5">
        <v>1486.51</v>
      </c>
      <c r="P597" s="5">
        <v>513.49</v>
      </c>
      <c r="Q597" s="5">
        <v>25.67</v>
      </c>
      <c r="R597" s="5" t="s">
        <v>166</v>
      </c>
      <c r="S597" s="5" t="s">
        <v>42</v>
      </c>
      <c r="T597" s="5" t="s">
        <v>43</v>
      </c>
      <c r="U597" s="5" t="s">
        <v>218</v>
      </c>
      <c r="V597" s="5">
        <v>2024</v>
      </c>
      <c r="W597" s="5" t="s">
        <v>45</v>
      </c>
      <c r="X597" s="5">
        <v>6</v>
      </c>
      <c r="Y597" s="1">
        <v>45573</v>
      </c>
      <c r="Z597" s="5" t="s">
        <v>89</v>
      </c>
      <c r="AA597" s="5" t="s">
        <v>48</v>
      </c>
      <c r="AB597" s="5" t="s">
        <v>111</v>
      </c>
      <c r="AC597" s="5" t="s">
        <v>121</v>
      </c>
      <c r="AD597" s="5">
        <v>4</v>
      </c>
    </row>
    <row r="598" spans="1:30">
      <c r="A598" s="5" t="s">
        <v>1657</v>
      </c>
      <c r="B598" s="1">
        <v>45848</v>
      </c>
      <c r="C598" s="5" t="s">
        <v>382</v>
      </c>
      <c r="D598" s="5" t="s">
        <v>782</v>
      </c>
      <c r="E598" s="5" t="s">
        <v>35</v>
      </c>
      <c r="F598" s="5" t="s">
        <v>36</v>
      </c>
      <c r="G598" s="5" t="s">
        <v>37</v>
      </c>
      <c r="H598" s="5" t="s">
        <v>94</v>
      </c>
      <c r="I598" s="5" t="s">
        <v>39</v>
      </c>
      <c r="J598" s="5" t="s">
        <v>105</v>
      </c>
      <c r="K598" s="5">
        <v>10</v>
      </c>
      <c r="L598" s="5">
        <v>35000</v>
      </c>
      <c r="M598" s="5">
        <v>0.2</v>
      </c>
      <c r="N598" s="5">
        <v>280000</v>
      </c>
      <c r="O598" s="5">
        <v>194745.93</v>
      </c>
      <c r="P598" s="5">
        <v>85254.07</v>
      </c>
      <c r="Q598" s="5">
        <v>30.45</v>
      </c>
      <c r="R598" s="5" t="s">
        <v>41</v>
      </c>
      <c r="S598" s="5" t="s">
        <v>42</v>
      </c>
      <c r="T598" s="5" t="s">
        <v>138</v>
      </c>
      <c r="U598" s="5" t="s">
        <v>87</v>
      </c>
      <c r="V598" s="5">
        <v>2025</v>
      </c>
      <c r="W598" s="5" t="s">
        <v>109</v>
      </c>
      <c r="X598" s="5">
        <v>9</v>
      </c>
      <c r="Y598" s="1" t="s">
        <v>453</v>
      </c>
      <c r="Z598" s="5" t="s">
        <v>110</v>
      </c>
      <c r="AA598" s="5" t="s">
        <v>67</v>
      </c>
      <c r="AB598" s="5" t="s">
        <v>78</v>
      </c>
      <c r="AC598" s="5" t="s">
        <v>121</v>
      </c>
      <c r="AD598" s="5">
        <v>5</v>
      </c>
    </row>
    <row r="599" spans="1:30">
      <c r="A599" s="5" t="s">
        <v>1658</v>
      </c>
      <c r="B599" s="1">
        <v>45965</v>
      </c>
      <c r="C599" s="5" t="s">
        <v>484</v>
      </c>
      <c r="D599" s="5" t="s">
        <v>383</v>
      </c>
      <c r="E599" s="5" t="s">
        <v>35</v>
      </c>
      <c r="F599" s="5" t="s">
        <v>116</v>
      </c>
      <c r="G599" s="5" t="s">
        <v>37</v>
      </c>
      <c r="H599" s="5" t="s">
        <v>171</v>
      </c>
      <c r="I599" s="5" t="s">
        <v>95</v>
      </c>
      <c r="J599" s="5" t="s">
        <v>184</v>
      </c>
      <c r="K599" s="5">
        <v>4</v>
      </c>
      <c r="L599" s="5">
        <v>6000</v>
      </c>
      <c r="M599" s="5">
        <v>0.05</v>
      </c>
      <c r="N599" s="5">
        <v>22800</v>
      </c>
      <c r="O599" s="5">
        <v>16806.560000000001</v>
      </c>
      <c r="P599" s="5">
        <v>5993.44</v>
      </c>
      <c r="Q599" s="5">
        <v>26.29</v>
      </c>
      <c r="R599" s="5" t="s">
        <v>41</v>
      </c>
      <c r="S599" s="5" t="s">
        <v>42</v>
      </c>
      <c r="T599" s="5" t="s">
        <v>173</v>
      </c>
      <c r="U599" s="5" t="s">
        <v>44</v>
      </c>
      <c r="V599" s="5">
        <v>2025</v>
      </c>
      <c r="W599" s="5" t="s">
        <v>194</v>
      </c>
      <c r="X599" s="5">
        <v>6</v>
      </c>
      <c r="Y599" s="1" t="s">
        <v>416</v>
      </c>
      <c r="Z599" s="5" t="s">
        <v>47</v>
      </c>
      <c r="AA599" s="5" t="s">
        <v>67</v>
      </c>
      <c r="AB599" s="5" t="s">
        <v>111</v>
      </c>
      <c r="AC599" s="5" t="s">
        <v>50</v>
      </c>
      <c r="AD599" s="5">
        <v>5</v>
      </c>
    </row>
    <row r="600" spans="1:30">
      <c r="A600" s="5" t="s">
        <v>1659</v>
      </c>
      <c r="B600" s="1">
        <v>45754</v>
      </c>
      <c r="C600" s="5" t="s">
        <v>1321</v>
      </c>
      <c r="D600" s="5" t="s">
        <v>1480</v>
      </c>
      <c r="E600" s="5" t="s">
        <v>55</v>
      </c>
      <c r="F600" s="5" t="s">
        <v>149</v>
      </c>
      <c r="G600" s="5" t="s">
        <v>150</v>
      </c>
      <c r="H600" s="5" t="s">
        <v>171</v>
      </c>
      <c r="I600" s="5" t="s">
        <v>71</v>
      </c>
      <c r="J600" s="5" t="s">
        <v>158</v>
      </c>
      <c r="K600" s="5">
        <v>4</v>
      </c>
      <c r="L600" s="5">
        <v>3500</v>
      </c>
      <c r="M600" s="5">
        <v>0.05</v>
      </c>
      <c r="N600" s="5">
        <v>13300</v>
      </c>
      <c r="O600" s="5">
        <v>9735.7099999999991</v>
      </c>
      <c r="P600" s="5">
        <v>3564.29</v>
      </c>
      <c r="Q600" s="5">
        <v>26.8</v>
      </c>
      <c r="R600" s="5" t="s">
        <v>61</v>
      </c>
      <c r="S600" s="5" t="s">
        <v>62</v>
      </c>
      <c r="T600" s="5" t="s">
        <v>173</v>
      </c>
      <c r="U600" s="5" t="s">
        <v>151</v>
      </c>
      <c r="V600" s="5">
        <v>2025</v>
      </c>
      <c r="W600" s="5" t="s">
        <v>194</v>
      </c>
      <c r="X600" s="5">
        <v>4</v>
      </c>
      <c r="Y600" s="1">
        <v>45876</v>
      </c>
      <c r="Z600" s="5" t="s">
        <v>110</v>
      </c>
      <c r="AA600" s="5" t="s">
        <v>90</v>
      </c>
      <c r="AB600" s="5" t="s">
        <v>78</v>
      </c>
      <c r="AC600" s="5" t="s">
        <v>50</v>
      </c>
      <c r="AD600" s="5">
        <v>5</v>
      </c>
    </row>
    <row r="601" spans="1:30">
      <c r="A601" s="5" t="s">
        <v>1660</v>
      </c>
      <c r="B601" s="1" t="s">
        <v>367</v>
      </c>
      <c r="C601" s="5" t="s">
        <v>363</v>
      </c>
      <c r="D601" s="5" t="s">
        <v>817</v>
      </c>
      <c r="E601" s="5" t="s">
        <v>35</v>
      </c>
      <c r="F601" s="5" t="s">
        <v>245</v>
      </c>
      <c r="G601" s="5" t="s">
        <v>246</v>
      </c>
      <c r="H601" s="5" t="s">
        <v>38</v>
      </c>
      <c r="I601" s="5" t="s">
        <v>59</v>
      </c>
      <c r="J601" s="5" t="s">
        <v>133</v>
      </c>
      <c r="K601" s="5">
        <v>4</v>
      </c>
      <c r="L601" s="5">
        <v>800</v>
      </c>
      <c r="M601" s="5">
        <v>0.15</v>
      </c>
      <c r="N601" s="5">
        <v>2720</v>
      </c>
      <c r="O601" s="5">
        <v>1803.44</v>
      </c>
      <c r="P601" s="5">
        <v>916.56</v>
      </c>
      <c r="Q601" s="5">
        <v>33.700000000000003</v>
      </c>
      <c r="R601" s="5" t="s">
        <v>106</v>
      </c>
      <c r="S601" s="5" t="s">
        <v>62</v>
      </c>
      <c r="T601" s="5" t="s">
        <v>43</v>
      </c>
      <c r="U601" s="5" t="s">
        <v>76</v>
      </c>
      <c r="V601" s="5">
        <v>2024</v>
      </c>
      <c r="W601" s="5" t="s">
        <v>109</v>
      </c>
      <c r="X601" s="5">
        <v>3</v>
      </c>
      <c r="Y601" s="1" t="s">
        <v>1045</v>
      </c>
      <c r="Z601" s="5" t="s">
        <v>47</v>
      </c>
      <c r="AA601" s="5" t="s">
        <v>48</v>
      </c>
      <c r="AB601" s="5" t="s">
        <v>49</v>
      </c>
      <c r="AC601" s="5" t="s">
        <v>121</v>
      </c>
      <c r="AD601" s="5">
        <v>2</v>
      </c>
    </row>
    <row r="602" spans="1:30">
      <c r="A602" s="5" t="s">
        <v>1661</v>
      </c>
      <c r="B602" s="1" t="s">
        <v>1378</v>
      </c>
      <c r="C602" s="5" t="s">
        <v>514</v>
      </c>
      <c r="D602" s="5" t="s">
        <v>351</v>
      </c>
      <c r="E602" s="5" t="s">
        <v>55</v>
      </c>
      <c r="F602" s="5" t="s">
        <v>131</v>
      </c>
      <c r="G602" s="5" t="s">
        <v>132</v>
      </c>
      <c r="H602" s="5" t="s">
        <v>58</v>
      </c>
      <c r="I602" s="5" t="s">
        <v>59</v>
      </c>
      <c r="J602" s="5" t="s">
        <v>133</v>
      </c>
      <c r="K602" s="5">
        <v>7</v>
      </c>
      <c r="L602" s="5">
        <v>1200</v>
      </c>
      <c r="M602" s="5">
        <v>0.05</v>
      </c>
      <c r="N602" s="5">
        <v>7980</v>
      </c>
      <c r="O602" s="5">
        <v>5923.04</v>
      </c>
      <c r="P602" s="5">
        <v>2056.96</v>
      </c>
      <c r="Q602" s="5">
        <v>25.78</v>
      </c>
      <c r="R602" s="5" t="s">
        <v>106</v>
      </c>
      <c r="S602" s="5" t="s">
        <v>74</v>
      </c>
      <c r="T602" s="5" t="s">
        <v>97</v>
      </c>
      <c r="U602" s="5" t="s">
        <v>98</v>
      </c>
      <c r="V602" s="5">
        <v>2025</v>
      </c>
      <c r="W602" s="5" t="s">
        <v>65</v>
      </c>
      <c r="X602" s="5">
        <v>9</v>
      </c>
      <c r="Y602" s="1" t="s">
        <v>316</v>
      </c>
      <c r="Z602" s="5" t="s">
        <v>47</v>
      </c>
      <c r="AA602" s="5" t="s">
        <v>67</v>
      </c>
      <c r="AB602" s="5" t="s">
        <v>78</v>
      </c>
      <c r="AC602" s="5" t="s">
        <v>50</v>
      </c>
      <c r="AD602" s="5">
        <v>4</v>
      </c>
    </row>
    <row r="603" spans="1:30">
      <c r="A603" s="5" t="s">
        <v>1662</v>
      </c>
      <c r="B603" s="1" t="s">
        <v>1663</v>
      </c>
      <c r="C603" s="5" t="s">
        <v>188</v>
      </c>
      <c r="D603" s="5" t="s">
        <v>81</v>
      </c>
      <c r="E603" s="5" t="s">
        <v>55</v>
      </c>
      <c r="F603" s="5" t="s">
        <v>116</v>
      </c>
      <c r="G603" s="5" t="s">
        <v>37</v>
      </c>
      <c r="H603" s="5" t="s">
        <v>94</v>
      </c>
      <c r="I603" s="5" t="s">
        <v>71</v>
      </c>
      <c r="J603" s="5" t="s">
        <v>117</v>
      </c>
      <c r="K603" s="5">
        <v>3</v>
      </c>
      <c r="L603" s="5">
        <v>3500</v>
      </c>
      <c r="M603" s="5">
        <v>0.2</v>
      </c>
      <c r="N603" s="5">
        <v>8400</v>
      </c>
      <c r="O603" s="5">
        <v>5966.18</v>
      </c>
      <c r="P603" s="5">
        <v>2433.8200000000002</v>
      </c>
      <c r="Q603" s="5">
        <v>28.97</v>
      </c>
      <c r="R603" s="5" t="s">
        <v>73</v>
      </c>
      <c r="S603" s="5" t="s">
        <v>42</v>
      </c>
      <c r="T603" s="5" t="s">
        <v>63</v>
      </c>
      <c r="U603" s="5" t="s">
        <v>178</v>
      </c>
      <c r="V603" s="5">
        <v>2024</v>
      </c>
      <c r="W603" s="5" t="s">
        <v>109</v>
      </c>
      <c r="X603" s="5">
        <v>3</v>
      </c>
      <c r="Y603" s="1" t="s">
        <v>956</v>
      </c>
      <c r="Z603" s="5" t="s">
        <v>47</v>
      </c>
      <c r="AA603" s="5" t="s">
        <v>67</v>
      </c>
      <c r="AB603" s="5" t="s">
        <v>49</v>
      </c>
      <c r="AC603" s="5" t="s">
        <v>121</v>
      </c>
      <c r="AD603" s="5">
        <v>3</v>
      </c>
    </row>
    <row r="604" spans="1:30">
      <c r="A604" s="5" t="s">
        <v>1664</v>
      </c>
      <c r="B604" s="1" t="s">
        <v>411</v>
      </c>
      <c r="C604" s="5" t="s">
        <v>1067</v>
      </c>
      <c r="D604" s="5" t="s">
        <v>1665</v>
      </c>
      <c r="E604" s="5" t="s">
        <v>35</v>
      </c>
      <c r="F604" s="5" t="s">
        <v>56</v>
      </c>
      <c r="G604" s="5" t="s">
        <v>57</v>
      </c>
      <c r="H604" s="5" t="s">
        <v>38</v>
      </c>
      <c r="I604" s="5" t="s">
        <v>84</v>
      </c>
      <c r="J604" s="5" t="s">
        <v>390</v>
      </c>
      <c r="K604" s="5">
        <v>10</v>
      </c>
      <c r="L604" s="5">
        <v>800</v>
      </c>
      <c r="M604" s="5">
        <v>0.2</v>
      </c>
      <c r="N604" s="5">
        <v>6400</v>
      </c>
      <c r="O604" s="5">
        <v>4012.92</v>
      </c>
      <c r="P604" s="5">
        <v>2387.08</v>
      </c>
      <c r="Q604" s="5">
        <v>37.299999999999997</v>
      </c>
      <c r="R604" s="5" t="s">
        <v>106</v>
      </c>
      <c r="S604" s="5" t="s">
        <v>42</v>
      </c>
      <c r="T604" s="5" t="s">
        <v>86</v>
      </c>
      <c r="U604" s="5" t="s">
        <v>218</v>
      </c>
      <c r="V604" s="5">
        <v>2025</v>
      </c>
      <c r="W604" s="5" t="s">
        <v>65</v>
      </c>
      <c r="X604" s="5">
        <v>9</v>
      </c>
      <c r="Y604" s="1" t="s">
        <v>943</v>
      </c>
      <c r="Z604" s="5" t="s">
        <v>110</v>
      </c>
      <c r="AA604" s="5" t="s">
        <v>67</v>
      </c>
      <c r="AB604" s="5" t="s">
        <v>111</v>
      </c>
      <c r="AC604" s="5" t="s">
        <v>50</v>
      </c>
      <c r="AD604" s="5">
        <v>5</v>
      </c>
    </row>
    <row r="605" spans="1:30">
      <c r="A605" s="5" t="s">
        <v>1666</v>
      </c>
      <c r="B605" s="1">
        <v>45296</v>
      </c>
      <c r="C605" s="5" t="s">
        <v>745</v>
      </c>
      <c r="D605" s="5" t="s">
        <v>273</v>
      </c>
      <c r="E605" s="5" t="s">
        <v>55</v>
      </c>
      <c r="F605" s="5" t="s">
        <v>144</v>
      </c>
      <c r="G605" s="5" t="s">
        <v>145</v>
      </c>
      <c r="H605" s="5" t="s">
        <v>58</v>
      </c>
      <c r="I605" s="5" t="s">
        <v>84</v>
      </c>
      <c r="J605" s="5" t="s">
        <v>390</v>
      </c>
      <c r="K605" s="5">
        <v>6</v>
      </c>
      <c r="L605" s="5">
        <v>350</v>
      </c>
      <c r="M605" s="5">
        <v>0.05</v>
      </c>
      <c r="N605" s="5">
        <v>1995</v>
      </c>
      <c r="O605" s="5">
        <v>1359.38</v>
      </c>
      <c r="P605" s="5">
        <v>635.62</v>
      </c>
      <c r="Q605" s="5">
        <v>31.86</v>
      </c>
      <c r="R605" s="5" t="s">
        <v>73</v>
      </c>
      <c r="S605" s="5" t="s">
        <v>42</v>
      </c>
      <c r="T605" s="5" t="s">
        <v>159</v>
      </c>
      <c r="U605" s="5" t="s">
        <v>119</v>
      </c>
      <c r="V605" s="5">
        <v>2024</v>
      </c>
      <c r="W605" s="5" t="s">
        <v>134</v>
      </c>
      <c r="X605" s="5">
        <v>5</v>
      </c>
      <c r="Y605" s="1">
        <v>45448</v>
      </c>
      <c r="Z605" s="5" t="s">
        <v>47</v>
      </c>
      <c r="AA605" s="5" t="s">
        <v>90</v>
      </c>
      <c r="AB605" s="5" t="s">
        <v>49</v>
      </c>
      <c r="AC605" s="5" t="s">
        <v>121</v>
      </c>
      <c r="AD605" s="5">
        <v>5</v>
      </c>
    </row>
    <row r="606" spans="1:30">
      <c r="A606" s="5" t="s">
        <v>1667</v>
      </c>
      <c r="B606" s="1">
        <v>45754</v>
      </c>
      <c r="C606" s="5" t="s">
        <v>481</v>
      </c>
      <c r="D606" s="5" t="s">
        <v>448</v>
      </c>
      <c r="E606" s="5" t="s">
        <v>55</v>
      </c>
      <c r="F606" s="5" t="s">
        <v>131</v>
      </c>
      <c r="G606" s="5" t="s">
        <v>132</v>
      </c>
      <c r="H606" s="5" t="s">
        <v>94</v>
      </c>
      <c r="I606" s="5" t="s">
        <v>95</v>
      </c>
      <c r="J606" s="5" t="s">
        <v>344</v>
      </c>
      <c r="K606" s="5">
        <v>10</v>
      </c>
      <c r="L606" s="5">
        <v>2500</v>
      </c>
      <c r="M606" s="5">
        <v>0.2</v>
      </c>
      <c r="N606" s="5">
        <v>20000</v>
      </c>
      <c r="O606" s="5">
        <v>13637.18</v>
      </c>
      <c r="P606" s="5">
        <v>6362.82</v>
      </c>
      <c r="Q606" s="5">
        <v>31.81</v>
      </c>
      <c r="R606" s="5" t="s">
        <v>166</v>
      </c>
      <c r="S606" s="5" t="s">
        <v>42</v>
      </c>
      <c r="T606" s="5" t="s">
        <v>118</v>
      </c>
      <c r="U606" s="5" t="s">
        <v>151</v>
      </c>
      <c r="V606" s="5">
        <v>2025</v>
      </c>
      <c r="W606" s="5" t="s">
        <v>194</v>
      </c>
      <c r="X606" s="5">
        <v>4</v>
      </c>
      <c r="Y606" s="1">
        <v>45876</v>
      </c>
      <c r="Z606" s="5" t="s">
        <v>47</v>
      </c>
      <c r="AA606" s="5" t="s">
        <v>67</v>
      </c>
      <c r="AB606" s="5" t="s">
        <v>78</v>
      </c>
      <c r="AC606" s="5" t="s">
        <v>121</v>
      </c>
      <c r="AD606" s="5">
        <v>1</v>
      </c>
    </row>
    <row r="607" spans="1:30">
      <c r="A607" s="5" t="s">
        <v>1668</v>
      </c>
      <c r="B607" s="1">
        <v>45636</v>
      </c>
      <c r="C607" s="5" t="s">
        <v>1212</v>
      </c>
      <c r="D607" s="5" t="s">
        <v>623</v>
      </c>
      <c r="E607" s="5" t="s">
        <v>35</v>
      </c>
      <c r="F607" s="5" t="s">
        <v>56</v>
      </c>
      <c r="G607" s="5" t="s">
        <v>57</v>
      </c>
      <c r="H607" s="5" t="s">
        <v>171</v>
      </c>
      <c r="I607" s="5" t="s">
        <v>71</v>
      </c>
      <c r="J607" s="5" t="s">
        <v>158</v>
      </c>
      <c r="K607" s="5">
        <v>5</v>
      </c>
      <c r="L607" s="5">
        <v>700</v>
      </c>
      <c r="M607" s="5">
        <v>0.05</v>
      </c>
      <c r="N607" s="5">
        <v>3325</v>
      </c>
      <c r="O607" s="5">
        <v>2550.2199999999998</v>
      </c>
      <c r="P607" s="5">
        <v>774.78</v>
      </c>
      <c r="Q607" s="5">
        <v>23.3</v>
      </c>
      <c r="R607" s="5" t="s">
        <v>61</v>
      </c>
      <c r="S607" s="5" t="s">
        <v>62</v>
      </c>
      <c r="T607" s="5" t="s">
        <v>107</v>
      </c>
      <c r="U607" s="5" t="s">
        <v>87</v>
      </c>
      <c r="V607" s="5">
        <v>2024</v>
      </c>
      <c r="W607" s="5" t="s">
        <v>65</v>
      </c>
      <c r="X607" s="5">
        <v>2</v>
      </c>
      <c r="Y607" s="1" t="s">
        <v>298</v>
      </c>
      <c r="Z607" s="5" t="s">
        <v>47</v>
      </c>
      <c r="AA607" s="5" t="s">
        <v>48</v>
      </c>
      <c r="AB607" s="5" t="s">
        <v>49</v>
      </c>
      <c r="AC607" s="5" t="s">
        <v>50</v>
      </c>
      <c r="AD607" s="5">
        <v>1</v>
      </c>
    </row>
    <row r="608" spans="1:30">
      <c r="A608" s="5" t="s">
        <v>1669</v>
      </c>
      <c r="B608" s="1">
        <v>45849</v>
      </c>
      <c r="C608" s="5" t="s">
        <v>334</v>
      </c>
      <c r="D608" s="5" t="s">
        <v>348</v>
      </c>
      <c r="E608" s="5" t="s">
        <v>35</v>
      </c>
      <c r="F608" s="5" t="s">
        <v>156</v>
      </c>
      <c r="G608" s="5" t="s">
        <v>157</v>
      </c>
      <c r="H608" s="5" t="s">
        <v>38</v>
      </c>
      <c r="I608" s="5" t="s">
        <v>39</v>
      </c>
      <c r="J608" s="5" t="s">
        <v>165</v>
      </c>
      <c r="K608" s="5">
        <v>6</v>
      </c>
      <c r="L608" s="5">
        <v>12000</v>
      </c>
      <c r="M608" s="5">
        <v>0.2</v>
      </c>
      <c r="N608" s="5">
        <v>57600</v>
      </c>
      <c r="O608" s="5">
        <v>35504.449999999997</v>
      </c>
      <c r="P608" s="5">
        <v>22095.55</v>
      </c>
      <c r="Q608" s="5">
        <v>38.36</v>
      </c>
      <c r="R608" s="5" t="s">
        <v>61</v>
      </c>
      <c r="S608" s="5" t="s">
        <v>62</v>
      </c>
      <c r="T608" s="5" t="s">
        <v>118</v>
      </c>
      <c r="U608" s="5" t="s">
        <v>198</v>
      </c>
      <c r="V608" s="5">
        <v>2025</v>
      </c>
      <c r="W608" s="5" t="s">
        <v>194</v>
      </c>
      <c r="X608" s="5">
        <v>1</v>
      </c>
      <c r="Y608" s="1">
        <v>45880</v>
      </c>
      <c r="Z608" s="5" t="s">
        <v>47</v>
      </c>
      <c r="AA608" s="5" t="s">
        <v>67</v>
      </c>
      <c r="AB608" s="5" t="s">
        <v>49</v>
      </c>
      <c r="AC608" s="5" t="s">
        <v>50</v>
      </c>
      <c r="AD608" s="5">
        <v>3</v>
      </c>
    </row>
    <row r="609" spans="1:30">
      <c r="A609" s="5" t="s">
        <v>1670</v>
      </c>
      <c r="B609" s="1" t="s">
        <v>756</v>
      </c>
      <c r="C609" s="5" t="s">
        <v>1671</v>
      </c>
      <c r="D609" s="5" t="s">
        <v>737</v>
      </c>
      <c r="E609" s="5" t="s">
        <v>55</v>
      </c>
      <c r="F609" s="5" t="s">
        <v>245</v>
      </c>
      <c r="G609" s="5" t="s">
        <v>246</v>
      </c>
      <c r="H609" s="5" t="s">
        <v>171</v>
      </c>
      <c r="I609" s="5" t="s">
        <v>95</v>
      </c>
      <c r="J609" s="5" t="s">
        <v>344</v>
      </c>
      <c r="K609" s="5">
        <v>9</v>
      </c>
      <c r="L609" s="5">
        <v>4000</v>
      </c>
      <c r="M609" s="5">
        <v>0</v>
      </c>
      <c r="N609" s="5">
        <v>36000</v>
      </c>
      <c r="O609" s="5">
        <v>25221.21</v>
      </c>
      <c r="P609" s="5">
        <v>10778.79</v>
      </c>
      <c r="Q609" s="5">
        <v>29.94</v>
      </c>
      <c r="R609" s="5" t="s">
        <v>41</v>
      </c>
      <c r="S609" s="5" t="s">
        <v>62</v>
      </c>
      <c r="T609" s="5" t="s">
        <v>63</v>
      </c>
      <c r="U609" s="5" t="s">
        <v>178</v>
      </c>
      <c r="V609" s="5">
        <v>2025</v>
      </c>
      <c r="W609" s="5" t="s">
        <v>139</v>
      </c>
      <c r="X609" s="5">
        <v>2</v>
      </c>
      <c r="Y609" s="1" t="s">
        <v>1393</v>
      </c>
      <c r="Z609" s="5" t="s">
        <v>110</v>
      </c>
      <c r="AA609" s="5" t="s">
        <v>90</v>
      </c>
      <c r="AB609" s="5" t="s">
        <v>111</v>
      </c>
      <c r="AC609" s="5" t="s">
        <v>50</v>
      </c>
      <c r="AD609" s="5">
        <v>4</v>
      </c>
    </row>
    <row r="610" spans="1:30">
      <c r="A610" s="5" t="s">
        <v>1672</v>
      </c>
      <c r="B610" s="1" t="s">
        <v>1673</v>
      </c>
      <c r="C610" s="5" t="s">
        <v>794</v>
      </c>
      <c r="D610" s="5" t="s">
        <v>1411</v>
      </c>
      <c r="E610" s="5" t="s">
        <v>35</v>
      </c>
      <c r="F610" s="5" t="s">
        <v>131</v>
      </c>
      <c r="G610" s="5" t="s">
        <v>132</v>
      </c>
      <c r="H610" s="5" t="s">
        <v>58</v>
      </c>
      <c r="I610" s="5" t="s">
        <v>95</v>
      </c>
      <c r="J610" s="5" t="s">
        <v>184</v>
      </c>
      <c r="K610" s="5">
        <v>4</v>
      </c>
      <c r="L610" s="5">
        <v>6000</v>
      </c>
      <c r="M610" s="5">
        <v>0.15</v>
      </c>
      <c r="N610" s="5">
        <v>20400</v>
      </c>
      <c r="O610" s="5">
        <v>13187.06</v>
      </c>
      <c r="P610" s="5">
        <v>7212.94</v>
      </c>
      <c r="Q610" s="5">
        <v>35.36</v>
      </c>
      <c r="R610" s="5" t="s">
        <v>61</v>
      </c>
      <c r="S610" s="5" t="s">
        <v>62</v>
      </c>
      <c r="T610" s="5" t="s">
        <v>138</v>
      </c>
      <c r="U610" s="5" t="s">
        <v>119</v>
      </c>
      <c r="V610" s="5">
        <v>2025</v>
      </c>
      <c r="W610" s="5" t="s">
        <v>194</v>
      </c>
      <c r="X610" s="5">
        <v>7</v>
      </c>
      <c r="Y610" s="1" t="s">
        <v>1674</v>
      </c>
      <c r="Z610" s="5" t="s">
        <v>89</v>
      </c>
      <c r="AA610" s="5" t="s">
        <v>67</v>
      </c>
      <c r="AB610" s="5" t="s">
        <v>49</v>
      </c>
      <c r="AC610" s="5" t="s">
        <v>50</v>
      </c>
      <c r="AD610" s="5">
        <v>1</v>
      </c>
    </row>
    <row r="611" spans="1:30">
      <c r="A611" s="5" t="s">
        <v>1675</v>
      </c>
      <c r="B611" s="1" t="s">
        <v>247</v>
      </c>
      <c r="C611" s="5" t="s">
        <v>596</v>
      </c>
      <c r="D611" s="5" t="s">
        <v>1146</v>
      </c>
      <c r="E611" s="5" t="s">
        <v>103</v>
      </c>
      <c r="F611" s="5" t="s">
        <v>245</v>
      </c>
      <c r="G611" s="5" t="s">
        <v>246</v>
      </c>
      <c r="H611" s="5" t="s">
        <v>38</v>
      </c>
      <c r="I611" s="5" t="s">
        <v>71</v>
      </c>
      <c r="J611" s="5" t="s">
        <v>240</v>
      </c>
      <c r="K611" s="5">
        <v>2</v>
      </c>
      <c r="L611" s="5">
        <v>1800</v>
      </c>
      <c r="M611" s="5">
        <v>0.15</v>
      </c>
      <c r="N611" s="5">
        <v>3060</v>
      </c>
      <c r="O611" s="5">
        <v>2377.11</v>
      </c>
      <c r="P611" s="5">
        <v>682.89</v>
      </c>
      <c r="Q611" s="5">
        <v>22.32</v>
      </c>
      <c r="R611" s="5" t="s">
        <v>106</v>
      </c>
      <c r="S611" s="5" t="s">
        <v>62</v>
      </c>
      <c r="T611" s="5" t="s">
        <v>159</v>
      </c>
      <c r="U611" s="5" t="s">
        <v>64</v>
      </c>
      <c r="V611" s="5">
        <v>2025</v>
      </c>
      <c r="W611" s="5" t="s">
        <v>126</v>
      </c>
      <c r="X611" s="5">
        <v>3</v>
      </c>
      <c r="Y611" s="1" t="s">
        <v>136</v>
      </c>
      <c r="Z611" s="5" t="s">
        <v>110</v>
      </c>
      <c r="AA611" s="5" t="s">
        <v>48</v>
      </c>
      <c r="AB611" s="5" t="s">
        <v>49</v>
      </c>
      <c r="AC611" s="5" t="s">
        <v>50</v>
      </c>
      <c r="AD611" s="5">
        <v>1</v>
      </c>
    </row>
    <row r="612" spans="1:30">
      <c r="A612" s="5" t="s">
        <v>1676</v>
      </c>
      <c r="B612" s="1" t="s">
        <v>1609</v>
      </c>
      <c r="C612" s="5" t="s">
        <v>863</v>
      </c>
      <c r="D612" s="5" t="s">
        <v>1127</v>
      </c>
      <c r="E612" s="5" t="s">
        <v>103</v>
      </c>
      <c r="F612" s="5" t="s">
        <v>131</v>
      </c>
      <c r="G612" s="5" t="s">
        <v>132</v>
      </c>
      <c r="H612" s="5" t="s">
        <v>38</v>
      </c>
      <c r="I612" s="5" t="s">
        <v>84</v>
      </c>
      <c r="J612" s="5" t="s">
        <v>229</v>
      </c>
      <c r="K612" s="5">
        <v>6</v>
      </c>
      <c r="L612" s="5">
        <v>500</v>
      </c>
      <c r="M612" s="5">
        <v>0.15</v>
      </c>
      <c r="N612" s="5">
        <v>2550</v>
      </c>
      <c r="O612" s="5">
        <v>1581.99</v>
      </c>
      <c r="P612" s="5">
        <v>968.01</v>
      </c>
      <c r="Q612" s="5">
        <v>37.96</v>
      </c>
      <c r="R612" s="5" t="s">
        <v>61</v>
      </c>
      <c r="S612" s="5" t="s">
        <v>42</v>
      </c>
      <c r="T612" s="5" t="s">
        <v>43</v>
      </c>
      <c r="U612" s="5" t="s">
        <v>178</v>
      </c>
      <c r="V612" s="5">
        <v>2025</v>
      </c>
      <c r="W612" s="5" t="s">
        <v>194</v>
      </c>
      <c r="X612" s="5">
        <v>7</v>
      </c>
      <c r="Y612" s="1">
        <v>45751</v>
      </c>
      <c r="Z612" s="5" t="s">
        <v>110</v>
      </c>
      <c r="AA612" s="5" t="s">
        <v>67</v>
      </c>
      <c r="AB612" s="5" t="s">
        <v>78</v>
      </c>
      <c r="AC612" s="5" t="s">
        <v>50</v>
      </c>
      <c r="AD612" s="5">
        <v>2</v>
      </c>
    </row>
    <row r="613" spans="1:30">
      <c r="A613" s="5" t="s">
        <v>1677</v>
      </c>
      <c r="B613" s="1" t="s">
        <v>1678</v>
      </c>
      <c r="C613" s="5" t="s">
        <v>1005</v>
      </c>
      <c r="D613" s="5" t="s">
        <v>931</v>
      </c>
      <c r="E613" s="5" t="s">
        <v>55</v>
      </c>
      <c r="F613" s="5" t="s">
        <v>144</v>
      </c>
      <c r="G613" s="5" t="s">
        <v>145</v>
      </c>
      <c r="H613" s="5" t="s">
        <v>58</v>
      </c>
      <c r="I613" s="5" t="s">
        <v>95</v>
      </c>
      <c r="J613" s="5" t="s">
        <v>96</v>
      </c>
      <c r="K613" s="5">
        <v>4</v>
      </c>
      <c r="L613" s="5">
        <v>2500</v>
      </c>
      <c r="M613" s="5">
        <v>0.2</v>
      </c>
      <c r="N613" s="5">
        <v>8000</v>
      </c>
      <c r="O613" s="5">
        <v>5706.72</v>
      </c>
      <c r="P613" s="5">
        <v>2293.2800000000002</v>
      </c>
      <c r="Q613" s="5">
        <v>28.67</v>
      </c>
      <c r="R613" s="5" t="s">
        <v>61</v>
      </c>
      <c r="S613" s="5" t="s">
        <v>62</v>
      </c>
      <c r="T613" s="5" t="s">
        <v>107</v>
      </c>
      <c r="U613" s="5" t="s">
        <v>108</v>
      </c>
      <c r="V613" s="5">
        <v>2025</v>
      </c>
      <c r="W613" s="5" t="s">
        <v>134</v>
      </c>
      <c r="X613" s="5">
        <v>6</v>
      </c>
      <c r="Y613" s="1" t="s">
        <v>1679</v>
      </c>
      <c r="Z613" s="5" t="s">
        <v>47</v>
      </c>
      <c r="AA613" s="5" t="s">
        <v>90</v>
      </c>
      <c r="AB613" s="5" t="s">
        <v>111</v>
      </c>
      <c r="AC613" s="5" t="s">
        <v>121</v>
      </c>
      <c r="AD613" s="5">
        <v>5</v>
      </c>
    </row>
    <row r="614" spans="1:30">
      <c r="A614" s="5" t="s">
        <v>1680</v>
      </c>
      <c r="B614" s="1">
        <v>45902</v>
      </c>
      <c r="C614" s="5" t="s">
        <v>1399</v>
      </c>
      <c r="D614" s="5" t="s">
        <v>379</v>
      </c>
      <c r="E614" s="5" t="s">
        <v>35</v>
      </c>
      <c r="F614" s="5" t="s">
        <v>149</v>
      </c>
      <c r="G614" s="5" t="s">
        <v>150</v>
      </c>
      <c r="H614" s="5" t="s">
        <v>38</v>
      </c>
      <c r="I614" s="5" t="s">
        <v>84</v>
      </c>
      <c r="J614" s="5" t="s">
        <v>217</v>
      </c>
      <c r="K614" s="5">
        <v>4</v>
      </c>
      <c r="L614" s="5">
        <v>200</v>
      </c>
      <c r="M614" s="5">
        <v>0.2</v>
      </c>
      <c r="N614" s="5">
        <v>640</v>
      </c>
      <c r="O614" s="5">
        <v>490.46</v>
      </c>
      <c r="P614" s="5">
        <v>149.54</v>
      </c>
      <c r="Q614" s="5">
        <v>23.37</v>
      </c>
      <c r="R614" s="5" t="s">
        <v>106</v>
      </c>
      <c r="S614" s="5" t="s">
        <v>74</v>
      </c>
      <c r="T614" s="5" t="s">
        <v>43</v>
      </c>
      <c r="U614" s="5" t="s">
        <v>98</v>
      </c>
      <c r="V614" s="5">
        <v>2025</v>
      </c>
      <c r="W614" s="5" t="s">
        <v>45</v>
      </c>
      <c r="X614" s="5">
        <v>4</v>
      </c>
      <c r="Y614" s="1" t="s">
        <v>1119</v>
      </c>
      <c r="Z614" s="5" t="s">
        <v>47</v>
      </c>
      <c r="AA614" s="5" t="s">
        <v>48</v>
      </c>
      <c r="AB614" s="5" t="s">
        <v>49</v>
      </c>
      <c r="AC614" s="5" t="s">
        <v>50</v>
      </c>
      <c r="AD614" s="5">
        <v>4</v>
      </c>
    </row>
    <row r="615" spans="1:30">
      <c r="A615" s="5" t="s">
        <v>1681</v>
      </c>
      <c r="B615" s="1">
        <v>45879</v>
      </c>
      <c r="C615" s="5" t="s">
        <v>204</v>
      </c>
      <c r="D615" s="5" t="s">
        <v>318</v>
      </c>
      <c r="E615" s="5" t="s">
        <v>55</v>
      </c>
      <c r="F615" s="5" t="s">
        <v>104</v>
      </c>
      <c r="G615" s="5" t="s">
        <v>104</v>
      </c>
      <c r="H615" s="5" t="s">
        <v>38</v>
      </c>
      <c r="I615" s="5" t="s">
        <v>95</v>
      </c>
      <c r="J615" s="5" t="s">
        <v>184</v>
      </c>
      <c r="K615" s="5">
        <v>5</v>
      </c>
      <c r="L615" s="5">
        <v>2500</v>
      </c>
      <c r="M615" s="5">
        <v>0.05</v>
      </c>
      <c r="N615" s="5">
        <v>11875</v>
      </c>
      <c r="O615" s="5">
        <v>7404.82</v>
      </c>
      <c r="P615" s="5">
        <v>4470.18</v>
      </c>
      <c r="Q615" s="5">
        <v>37.64</v>
      </c>
      <c r="R615" s="5" t="s">
        <v>61</v>
      </c>
      <c r="S615" s="5" t="s">
        <v>74</v>
      </c>
      <c r="T615" s="5" t="s">
        <v>173</v>
      </c>
      <c r="U615" s="5" t="s">
        <v>87</v>
      </c>
      <c r="V615" s="5">
        <v>2025</v>
      </c>
      <c r="W615" s="5" t="s">
        <v>134</v>
      </c>
      <c r="X615" s="5">
        <v>4</v>
      </c>
      <c r="Y615" s="1">
        <v>46001</v>
      </c>
      <c r="Z615" s="5" t="s">
        <v>47</v>
      </c>
      <c r="AA615" s="5" t="s">
        <v>90</v>
      </c>
      <c r="AB615" s="5" t="s">
        <v>111</v>
      </c>
      <c r="AC615" s="5" t="s">
        <v>50</v>
      </c>
      <c r="AD615" s="5">
        <v>1</v>
      </c>
    </row>
    <row r="616" spans="1:30">
      <c r="A616" s="5" t="s">
        <v>1682</v>
      </c>
      <c r="B616" s="1">
        <v>45749</v>
      </c>
      <c r="C616" s="5" t="s">
        <v>1080</v>
      </c>
      <c r="D616" s="5" t="s">
        <v>917</v>
      </c>
      <c r="E616" s="5" t="s">
        <v>103</v>
      </c>
      <c r="F616" s="5" t="s">
        <v>104</v>
      </c>
      <c r="G616" s="5" t="s">
        <v>104</v>
      </c>
      <c r="H616" s="5" t="s">
        <v>58</v>
      </c>
      <c r="I616" s="5" t="s">
        <v>59</v>
      </c>
      <c r="J616" s="5" t="s">
        <v>372</v>
      </c>
      <c r="K616" s="5">
        <v>3</v>
      </c>
      <c r="L616" s="5">
        <v>500</v>
      </c>
      <c r="M616" s="5">
        <v>0.2</v>
      </c>
      <c r="N616" s="5">
        <v>1200</v>
      </c>
      <c r="O616" s="5">
        <v>938.41</v>
      </c>
      <c r="P616" s="5">
        <v>261.58999999999997</v>
      </c>
      <c r="Q616" s="5">
        <v>21.8</v>
      </c>
      <c r="R616" s="5" t="s">
        <v>61</v>
      </c>
      <c r="S616" s="5" t="s">
        <v>62</v>
      </c>
      <c r="T616" s="5" t="s">
        <v>138</v>
      </c>
      <c r="U616" s="5" t="s">
        <v>98</v>
      </c>
      <c r="V616" s="5">
        <v>2025</v>
      </c>
      <c r="W616" s="5" t="s">
        <v>109</v>
      </c>
      <c r="X616" s="5">
        <v>4</v>
      </c>
      <c r="Y616" s="1">
        <v>45871</v>
      </c>
      <c r="Z616" s="5" t="s">
        <v>89</v>
      </c>
      <c r="AA616" s="5" t="s">
        <v>90</v>
      </c>
      <c r="AB616" s="5" t="s">
        <v>49</v>
      </c>
      <c r="AC616" s="5" t="s">
        <v>50</v>
      </c>
      <c r="AD616" s="5">
        <v>5</v>
      </c>
    </row>
    <row r="617" spans="1:30">
      <c r="A617" s="5" t="s">
        <v>1683</v>
      </c>
      <c r="B617" s="1" t="s">
        <v>780</v>
      </c>
      <c r="C617" s="5" t="s">
        <v>812</v>
      </c>
      <c r="D617" s="5" t="s">
        <v>1476</v>
      </c>
      <c r="E617" s="5" t="s">
        <v>55</v>
      </c>
      <c r="F617" s="5" t="s">
        <v>56</v>
      </c>
      <c r="G617" s="5" t="s">
        <v>57</v>
      </c>
      <c r="H617" s="5" t="s">
        <v>58</v>
      </c>
      <c r="I617" s="5" t="s">
        <v>71</v>
      </c>
      <c r="J617" s="5" t="s">
        <v>240</v>
      </c>
      <c r="K617" s="5">
        <v>7</v>
      </c>
      <c r="L617" s="5">
        <v>700</v>
      </c>
      <c r="M617" s="5">
        <v>0.05</v>
      </c>
      <c r="N617" s="5">
        <v>4655</v>
      </c>
      <c r="O617" s="5">
        <v>3167.75</v>
      </c>
      <c r="P617" s="5">
        <v>1487.25</v>
      </c>
      <c r="Q617" s="5">
        <v>31.95</v>
      </c>
      <c r="R617" s="5" t="s">
        <v>166</v>
      </c>
      <c r="S617" s="5" t="s">
        <v>42</v>
      </c>
      <c r="T617" s="5" t="s">
        <v>75</v>
      </c>
      <c r="U617" s="5" t="s">
        <v>98</v>
      </c>
      <c r="V617" s="5">
        <v>2025</v>
      </c>
      <c r="W617" s="5" t="s">
        <v>139</v>
      </c>
      <c r="X617" s="5">
        <v>9</v>
      </c>
      <c r="Y617" s="1">
        <v>45660</v>
      </c>
      <c r="Z617" s="5" t="s">
        <v>47</v>
      </c>
      <c r="AA617" s="5" t="s">
        <v>67</v>
      </c>
      <c r="AB617" s="5" t="s">
        <v>111</v>
      </c>
      <c r="AC617" s="5" t="s">
        <v>121</v>
      </c>
      <c r="AD617" s="5">
        <v>4</v>
      </c>
    </row>
    <row r="618" spans="1:30">
      <c r="A618" s="5" t="s">
        <v>1684</v>
      </c>
      <c r="B618" s="1" t="s">
        <v>1685</v>
      </c>
      <c r="C618" s="5" t="s">
        <v>1093</v>
      </c>
      <c r="D618" s="5" t="s">
        <v>546</v>
      </c>
      <c r="E618" s="5" t="s">
        <v>103</v>
      </c>
      <c r="F618" s="5" t="s">
        <v>149</v>
      </c>
      <c r="G618" s="5" t="s">
        <v>150</v>
      </c>
      <c r="H618" s="5" t="s">
        <v>58</v>
      </c>
      <c r="I618" s="5" t="s">
        <v>59</v>
      </c>
      <c r="J618" s="5" t="s">
        <v>328</v>
      </c>
      <c r="K618" s="5">
        <v>7</v>
      </c>
      <c r="L618" s="5">
        <v>800</v>
      </c>
      <c r="M618" s="5">
        <v>0.15</v>
      </c>
      <c r="N618" s="5">
        <v>4760</v>
      </c>
      <c r="O618" s="5">
        <v>2758.02</v>
      </c>
      <c r="P618" s="5">
        <v>2001.98</v>
      </c>
      <c r="Q618" s="5">
        <v>42.06</v>
      </c>
      <c r="R618" s="5" t="s">
        <v>106</v>
      </c>
      <c r="S618" s="5" t="s">
        <v>42</v>
      </c>
      <c r="T618" s="5" t="s">
        <v>118</v>
      </c>
      <c r="U618" s="5" t="s">
        <v>76</v>
      </c>
      <c r="V618" s="5">
        <v>2025</v>
      </c>
      <c r="W618" s="5" t="s">
        <v>126</v>
      </c>
      <c r="X618" s="5">
        <v>8</v>
      </c>
      <c r="Y618" s="1" t="s">
        <v>1453</v>
      </c>
      <c r="Z618" s="5" t="s">
        <v>89</v>
      </c>
      <c r="AA618" s="5" t="s">
        <v>90</v>
      </c>
      <c r="AB618" s="5" t="s">
        <v>78</v>
      </c>
      <c r="AC618" s="5" t="s">
        <v>121</v>
      </c>
      <c r="AD618" s="5">
        <v>1</v>
      </c>
    </row>
    <row r="619" spans="1:30">
      <c r="A619" s="5" t="s">
        <v>1686</v>
      </c>
      <c r="B619" s="1" t="s">
        <v>1340</v>
      </c>
      <c r="C619" s="5" t="s">
        <v>1093</v>
      </c>
      <c r="D619" s="5" t="s">
        <v>413</v>
      </c>
      <c r="E619" s="5" t="s">
        <v>35</v>
      </c>
      <c r="F619" s="5" t="s">
        <v>245</v>
      </c>
      <c r="G619" s="5" t="s">
        <v>246</v>
      </c>
      <c r="H619" s="5" t="s">
        <v>58</v>
      </c>
      <c r="I619" s="5" t="s">
        <v>71</v>
      </c>
      <c r="J619" s="5" t="s">
        <v>172</v>
      </c>
      <c r="K619" s="5">
        <v>8</v>
      </c>
      <c r="L619" s="5">
        <v>3500</v>
      </c>
      <c r="M619" s="5">
        <v>0.2</v>
      </c>
      <c r="N619" s="5">
        <v>22400</v>
      </c>
      <c r="O619" s="5">
        <v>13844.24</v>
      </c>
      <c r="P619" s="5">
        <v>8555.76</v>
      </c>
      <c r="Q619" s="5">
        <v>38.200000000000003</v>
      </c>
      <c r="R619" s="5" t="s">
        <v>61</v>
      </c>
      <c r="S619" s="5" t="s">
        <v>42</v>
      </c>
      <c r="T619" s="5" t="s">
        <v>63</v>
      </c>
      <c r="U619" s="5" t="s">
        <v>218</v>
      </c>
      <c r="V619" s="5">
        <v>2024</v>
      </c>
      <c r="W619" s="5" t="s">
        <v>126</v>
      </c>
      <c r="X619" s="5">
        <v>1</v>
      </c>
      <c r="Y619" s="1" t="s">
        <v>1687</v>
      </c>
      <c r="Z619" s="5" t="s">
        <v>110</v>
      </c>
      <c r="AA619" s="5" t="s">
        <v>48</v>
      </c>
      <c r="AB619" s="5" t="s">
        <v>78</v>
      </c>
      <c r="AC619" s="5" t="s">
        <v>121</v>
      </c>
      <c r="AD619" s="5">
        <v>3</v>
      </c>
    </row>
    <row r="620" spans="1:30">
      <c r="A620" s="5" t="s">
        <v>1688</v>
      </c>
      <c r="B620" s="1" t="s">
        <v>735</v>
      </c>
      <c r="C620" s="5" t="s">
        <v>622</v>
      </c>
      <c r="D620" s="5" t="s">
        <v>699</v>
      </c>
      <c r="E620" s="5" t="s">
        <v>103</v>
      </c>
      <c r="F620" s="5" t="s">
        <v>149</v>
      </c>
      <c r="G620" s="5" t="s">
        <v>150</v>
      </c>
      <c r="H620" s="5" t="s">
        <v>58</v>
      </c>
      <c r="I620" s="5" t="s">
        <v>59</v>
      </c>
      <c r="J620" s="5" t="s">
        <v>133</v>
      </c>
      <c r="K620" s="5">
        <v>9</v>
      </c>
      <c r="L620" s="5">
        <v>2000</v>
      </c>
      <c r="M620" s="5">
        <v>0.1</v>
      </c>
      <c r="N620" s="5">
        <v>16200</v>
      </c>
      <c r="O620" s="5">
        <v>10928.04</v>
      </c>
      <c r="P620" s="5">
        <v>5271.96</v>
      </c>
      <c r="Q620" s="5">
        <v>32.54</v>
      </c>
      <c r="R620" s="5" t="s">
        <v>106</v>
      </c>
      <c r="S620" s="5" t="s">
        <v>62</v>
      </c>
      <c r="T620" s="5" t="s">
        <v>173</v>
      </c>
      <c r="U620" s="5" t="s">
        <v>87</v>
      </c>
      <c r="V620" s="5">
        <v>2025</v>
      </c>
      <c r="W620" s="5" t="s">
        <v>134</v>
      </c>
      <c r="X620" s="5">
        <v>4</v>
      </c>
      <c r="Y620" s="1">
        <v>45699</v>
      </c>
      <c r="Z620" s="5" t="s">
        <v>47</v>
      </c>
      <c r="AA620" s="5" t="s">
        <v>67</v>
      </c>
      <c r="AB620" s="5" t="s">
        <v>49</v>
      </c>
      <c r="AC620" s="5" t="s">
        <v>121</v>
      </c>
      <c r="AD620" s="5">
        <v>2</v>
      </c>
    </row>
    <row r="621" spans="1:30">
      <c r="A621" s="5" t="s">
        <v>1689</v>
      </c>
      <c r="B621" s="1">
        <v>45537</v>
      </c>
      <c r="C621" s="5" t="s">
        <v>974</v>
      </c>
      <c r="D621" s="5" t="s">
        <v>542</v>
      </c>
      <c r="E621" s="5" t="s">
        <v>103</v>
      </c>
      <c r="F621" s="5" t="s">
        <v>131</v>
      </c>
      <c r="G621" s="5" t="s">
        <v>132</v>
      </c>
      <c r="H621" s="5" t="s">
        <v>94</v>
      </c>
      <c r="I621" s="5" t="s">
        <v>39</v>
      </c>
      <c r="J621" s="5" t="s">
        <v>105</v>
      </c>
      <c r="K621" s="5">
        <v>4</v>
      </c>
      <c r="L621" s="5">
        <v>22000</v>
      </c>
      <c r="M621" s="5">
        <v>0</v>
      </c>
      <c r="N621" s="5">
        <v>88000</v>
      </c>
      <c r="O621" s="5">
        <v>52456.36</v>
      </c>
      <c r="P621" s="5">
        <v>35543.64</v>
      </c>
      <c r="Q621" s="5">
        <v>40.39</v>
      </c>
      <c r="R621" s="5" t="s">
        <v>166</v>
      </c>
      <c r="S621" s="5" t="s">
        <v>74</v>
      </c>
      <c r="T621" s="5" t="s">
        <v>159</v>
      </c>
      <c r="U621" s="5" t="s">
        <v>98</v>
      </c>
      <c r="V621" s="5">
        <v>2024</v>
      </c>
      <c r="W621" s="5" t="s">
        <v>194</v>
      </c>
      <c r="X621" s="5">
        <v>7</v>
      </c>
      <c r="Y621" s="1" t="s">
        <v>874</v>
      </c>
      <c r="Z621" s="5" t="s">
        <v>110</v>
      </c>
      <c r="AA621" s="5" t="s">
        <v>90</v>
      </c>
      <c r="AB621" s="5" t="s">
        <v>78</v>
      </c>
      <c r="AC621" s="5" t="s">
        <v>50</v>
      </c>
      <c r="AD621" s="5">
        <v>3</v>
      </c>
    </row>
    <row r="622" spans="1:30">
      <c r="A622" s="5" t="s">
        <v>1690</v>
      </c>
      <c r="B622" s="1" t="s">
        <v>1586</v>
      </c>
      <c r="C622" s="5" t="s">
        <v>897</v>
      </c>
      <c r="D622" s="5" t="s">
        <v>361</v>
      </c>
      <c r="E622" s="5" t="s">
        <v>103</v>
      </c>
      <c r="F622" s="5" t="s">
        <v>131</v>
      </c>
      <c r="G622" s="5" t="s">
        <v>132</v>
      </c>
      <c r="H622" s="5" t="s">
        <v>171</v>
      </c>
      <c r="I622" s="5" t="s">
        <v>84</v>
      </c>
      <c r="J622" s="5" t="s">
        <v>217</v>
      </c>
      <c r="K622" s="5">
        <v>6</v>
      </c>
      <c r="L622" s="5">
        <v>800</v>
      </c>
      <c r="M622" s="5">
        <v>0.05</v>
      </c>
      <c r="N622" s="5">
        <v>4560</v>
      </c>
      <c r="O622" s="5">
        <v>3351.4</v>
      </c>
      <c r="P622" s="5">
        <v>1208.5999999999999</v>
      </c>
      <c r="Q622" s="5">
        <v>26.5</v>
      </c>
      <c r="R622" s="5" t="s">
        <v>166</v>
      </c>
      <c r="S622" s="5" t="s">
        <v>62</v>
      </c>
      <c r="T622" s="5" t="s">
        <v>86</v>
      </c>
      <c r="U622" s="5" t="s">
        <v>119</v>
      </c>
      <c r="V622" s="5">
        <v>2024</v>
      </c>
      <c r="W622" s="5" t="s">
        <v>194</v>
      </c>
      <c r="X622" s="5">
        <v>5</v>
      </c>
      <c r="Y622" s="1" t="s">
        <v>1691</v>
      </c>
      <c r="Z622" s="5" t="s">
        <v>89</v>
      </c>
      <c r="AA622" s="5" t="s">
        <v>67</v>
      </c>
      <c r="AB622" s="5" t="s">
        <v>111</v>
      </c>
      <c r="AC622" s="5" t="s">
        <v>121</v>
      </c>
      <c r="AD622" s="5">
        <v>2</v>
      </c>
    </row>
    <row r="623" spans="1:30">
      <c r="A623" s="5" t="s">
        <v>1692</v>
      </c>
      <c r="B623" s="1">
        <v>45328</v>
      </c>
      <c r="C623" s="5" t="s">
        <v>1426</v>
      </c>
      <c r="D623" s="5" t="s">
        <v>560</v>
      </c>
      <c r="E623" s="5" t="s">
        <v>35</v>
      </c>
      <c r="F623" s="5" t="s">
        <v>131</v>
      </c>
      <c r="G623" s="5" t="s">
        <v>132</v>
      </c>
      <c r="H623" s="5" t="s">
        <v>38</v>
      </c>
      <c r="I623" s="5" t="s">
        <v>71</v>
      </c>
      <c r="J623" s="5" t="s">
        <v>72</v>
      </c>
      <c r="K623" s="5">
        <v>6</v>
      </c>
      <c r="L623" s="5">
        <v>2500</v>
      </c>
      <c r="M623" s="5">
        <v>0.05</v>
      </c>
      <c r="N623" s="5">
        <v>14250</v>
      </c>
      <c r="O623" s="5">
        <v>11659.26</v>
      </c>
      <c r="P623" s="5">
        <v>2590.7399999999998</v>
      </c>
      <c r="Q623" s="5">
        <v>18.18</v>
      </c>
      <c r="R623" s="5" t="s">
        <v>106</v>
      </c>
      <c r="S623" s="5" t="s">
        <v>42</v>
      </c>
      <c r="T623" s="5" t="s">
        <v>138</v>
      </c>
      <c r="U623" s="5" t="s">
        <v>160</v>
      </c>
      <c r="V623" s="5">
        <v>2024</v>
      </c>
      <c r="W623" s="5" t="s">
        <v>45</v>
      </c>
      <c r="X623" s="5">
        <v>8</v>
      </c>
      <c r="Y623" s="1">
        <v>45571</v>
      </c>
      <c r="Z623" s="5" t="s">
        <v>47</v>
      </c>
      <c r="AA623" s="5" t="s">
        <v>67</v>
      </c>
      <c r="AB623" s="5" t="s">
        <v>49</v>
      </c>
      <c r="AC623" s="5" t="s">
        <v>121</v>
      </c>
      <c r="AD623" s="5">
        <v>5</v>
      </c>
    </row>
    <row r="624" spans="1:30">
      <c r="A624" s="5" t="s">
        <v>1693</v>
      </c>
      <c r="B624" s="1" t="s">
        <v>1123</v>
      </c>
      <c r="C624" s="5" t="s">
        <v>1646</v>
      </c>
      <c r="D624" s="5" t="s">
        <v>115</v>
      </c>
      <c r="E624" s="5" t="s">
        <v>55</v>
      </c>
      <c r="F624" s="5" t="s">
        <v>56</v>
      </c>
      <c r="G624" s="5" t="s">
        <v>57</v>
      </c>
      <c r="H624" s="5" t="s">
        <v>171</v>
      </c>
      <c r="I624" s="5" t="s">
        <v>59</v>
      </c>
      <c r="J624" s="5" t="s">
        <v>206</v>
      </c>
      <c r="K624" s="5">
        <v>2</v>
      </c>
      <c r="L624" s="5">
        <v>1200</v>
      </c>
      <c r="M624" s="5">
        <v>0.2</v>
      </c>
      <c r="N624" s="5">
        <v>1920</v>
      </c>
      <c r="O624" s="5">
        <v>1537.01</v>
      </c>
      <c r="P624" s="5">
        <v>382.99</v>
      </c>
      <c r="Q624" s="5">
        <v>19.95</v>
      </c>
      <c r="R624" s="5" t="s">
        <v>61</v>
      </c>
      <c r="S624" s="5" t="s">
        <v>42</v>
      </c>
      <c r="T624" s="5" t="s">
        <v>75</v>
      </c>
      <c r="U624" s="5" t="s">
        <v>218</v>
      </c>
      <c r="V624" s="5">
        <v>2024</v>
      </c>
      <c r="W624" s="5" t="s">
        <v>126</v>
      </c>
      <c r="X624" s="5">
        <v>6</v>
      </c>
      <c r="Y624" s="1" t="s">
        <v>906</v>
      </c>
      <c r="Z624" s="5" t="s">
        <v>47</v>
      </c>
      <c r="AA624" s="5" t="s">
        <v>67</v>
      </c>
      <c r="AB624" s="5" t="s">
        <v>111</v>
      </c>
      <c r="AC624" s="5" t="s">
        <v>121</v>
      </c>
      <c r="AD624" s="5">
        <v>1</v>
      </c>
    </row>
    <row r="625" spans="1:30">
      <c r="A625" s="5" t="s">
        <v>1694</v>
      </c>
      <c r="B625" s="1" t="s">
        <v>1695</v>
      </c>
      <c r="C625" s="5" t="s">
        <v>251</v>
      </c>
      <c r="D625" s="5" t="s">
        <v>821</v>
      </c>
      <c r="E625" s="5" t="s">
        <v>55</v>
      </c>
      <c r="F625" s="5" t="s">
        <v>144</v>
      </c>
      <c r="G625" s="5" t="s">
        <v>145</v>
      </c>
      <c r="H625" s="5" t="s">
        <v>171</v>
      </c>
      <c r="I625" s="5" t="s">
        <v>95</v>
      </c>
      <c r="J625" s="5" t="s">
        <v>344</v>
      </c>
      <c r="K625" s="5">
        <v>4</v>
      </c>
      <c r="L625" s="5">
        <v>6000</v>
      </c>
      <c r="M625" s="5">
        <v>0.05</v>
      </c>
      <c r="N625" s="5">
        <v>22800</v>
      </c>
      <c r="O625" s="5">
        <v>13319.99</v>
      </c>
      <c r="P625" s="5">
        <v>9480.01</v>
      </c>
      <c r="Q625" s="5">
        <v>41.58</v>
      </c>
      <c r="R625" s="5" t="s">
        <v>41</v>
      </c>
      <c r="S625" s="5" t="s">
        <v>42</v>
      </c>
      <c r="T625" s="5" t="s">
        <v>63</v>
      </c>
      <c r="U625" s="5" t="s">
        <v>108</v>
      </c>
      <c r="V625" s="5">
        <v>2024</v>
      </c>
      <c r="W625" s="5" t="s">
        <v>139</v>
      </c>
      <c r="X625" s="5">
        <v>10</v>
      </c>
      <c r="Y625" s="1">
        <v>45453</v>
      </c>
      <c r="Z625" s="5" t="s">
        <v>47</v>
      </c>
      <c r="AA625" s="5" t="s">
        <v>67</v>
      </c>
      <c r="AB625" s="5" t="s">
        <v>111</v>
      </c>
      <c r="AC625" s="5" t="s">
        <v>50</v>
      </c>
      <c r="AD625" s="5">
        <v>2</v>
      </c>
    </row>
    <row r="626" spans="1:30">
      <c r="A626" s="5" t="s">
        <v>1696</v>
      </c>
      <c r="B626" s="1" t="s">
        <v>1278</v>
      </c>
      <c r="C626" s="5" t="s">
        <v>938</v>
      </c>
      <c r="D626" s="5" t="s">
        <v>137</v>
      </c>
      <c r="E626" s="5" t="s">
        <v>35</v>
      </c>
      <c r="F626" s="5" t="s">
        <v>245</v>
      </c>
      <c r="G626" s="5" t="s">
        <v>246</v>
      </c>
      <c r="H626" s="5" t="s">
        <v>38</v>
      </c>
      <c r="I626" s="5" t="s">
        <v>39</v>
      </c>
      <c r="J626" s="5" t="s">
        <v>105</v>
      </c>
      <c r="K626" s="5">
        <v>4</v>
      </c>
      <c r="L626" s="5">
        <v>8000</v>
      </c>
      <c r="M626" s="5">
        <v>0.2</v>
      </c>
      <c r="N626" s="5">
        <v>25600</v>
      </c>
      <c r="O626" s="5">
        <v>17366.41</v>
      </c>
      <c r="P626" s="5">
        <v>8233.59</v>
      </c>
      <c r="Q626" s="5">
        <v>32.159999999999997</v>
      </c>
      <c r="R626" s="5" t="s">
        <v>41</v>
      </c>
      <c r="S626" s="5" t="s">
        <v>62</v>
      </c>
      <c r="T626" s="5" t="s">
        <v>75</v>
      </c>
      <c r="U626" s="5" t="s">
        <v>119</v>
      </c>
      <c r="V626" s="5">
        <v>2024</v>
      </c>
      <c r="W626" s="5" t="s">
        <v>139</v>
      </c>
      <c r="X626" s="5">
        <v>3</v>
      </c>
      <c r="Y626" s="1">
        <v>45328</v>
      </c>
      <c r="Z626" s="5" t="s">
        <v>47</v>
      </c>
      <c r="AA626" s="5" t="s">
        <v>48</v>
      </c>
      <c r="AB626" s="5" t="s">
        <v>78</v>
      </c>
      <c r="AC626" s="5" t="s">
        <v>50</v>
      </c>
      <c r="AD626" s="5">
        <v>3</v>
      </c>
    </row>
    <row r="627" spans="1:30">
      <c r="A627" s="5" t="s">
        <v>1697</v>
      </c>
      <c r="B627" s="1" t="s">
        <v>1180</v>
      </c>
      <c r="C627" s="5" t="s">
        <v>251</v>
      </c>
      <c r="D627" s="5" t="s">
        <v>1698</v>
      </c>
      <c r="E627" s="5" t="s">
        <v>35</v>
      </c>
      <c r="F627" s="5" t="s">
        <v>131</v>
      </c>
      <c r="G627" s="5" t="s">
        <v>132</v>
      </c>
      <c r="H627" s="5" t="s">
        <v>38</v>
      </c>
      <c r="I627" s="5" t="s">
        <v>39</v>
      </c>
      <c r="J627" s="5" t="s">
        <v>105</v>
      </c>
      <c r="K627" s="5">
        <v>9</v>
      </c>
      <c r="L627" s="5">
        <v>22000</v>
      </c>
      <c r="M627" s="5">
        <v>0.15</v>
      </c>
      <c r="N627" s="5">
        <v>168300</v>
      </c>
      <c r="O627" s="5">
        <v>106731.77</v>
      </c>
      <c r="P627" s="5">
        <v>61568.23</v>
      </c>
      <c r="Q627" s="5">
        <v>36.58</v>
      </c>
      <c r="R627" s="5" t="s">
        <v>73</v>
      </c>
      <c r="S627" s="5" t="s">
        <v>42</v>
      </c>
      <c r="T627" s="5" t="s">
        <v>159</v>
      </c>
      <c r="U627" s="5" t="s">
        <v>76</v>
      </c>
      <c r="V627" s="5">
        <v>2025</v>
      </c>
      <c r="W627" s="5" t="s">
        <v>134</v>
      </c>
      <c r="X627" s="5">
        <v>8</v>
      </c>
      <c r="Y627" s="1">
        <v>45810</v>
      </c>
      <c r="Z627" s="5" t="s">
        <v>47</v>
      </c>
      <c r="AA627" s="5" t="s">
        <v>48</v>
      </c>
      <c r="AB627" s="5" t="s">
        <v>49</v>
      </c>
      <c r="AC627" s="5" t="s">
        <v>50</v>
      </c>
      <c r="AD627" s="5">
        <v>5</v>
      </c>
    </row>
    <row r="628" spans="1:30">
      <c r="A628" s="5" t="s">
        <v>1699</v>
      </c>
      <c r="B628" s="1" t="s">
        <v>735</v>
      </c>
      <c r="C628" s="5" t="s">
        <v>977</v>
      </c>
      <c r="D628" s="5" t="s">
        <v>148</v>
      </c>
      <c r="E628" s="5" t="s">
        <v>103</v>
      </c>
      <c r="F628" s="5" t="s">
        <v>56</v>
      </c>
      <c r="G628" s="5" t="s">
        <v>57</v>
      </c>
      <c r="H628" s="5" t="s">
        <v>171</v>
      </c>
      <c r="I628" s="5" t="s">
        <v>71</v>
      </c>
      <c r="J628" s="5" t="s">
        <v>240</v>
      </c>
      <c r="K628" s="5">
        <v>2</v>
      </c>
      <c r="L628" s="5">
        <v>3500</v>
      </c>
      <c r="M628" s="5">
        <v>0.15</v>
      </c>
      <c r="N628" s="5">
        <v>5950</v>
      </c>
      <c r="O628" s="5">
        <v>3313.14</v>
      </c>
      <c r="P628" s="5">
        <v>2636.86</v>
      </c>
      <c r="Q628" s="5">
        <v>44.32</v>
      </c>
      <c r="R628" s="5" t="s">
        <v>166</v>
      </c>
      <c r="S628" s="5" t="s">
        <v>74</v>
      </c>
      <c r="T628" s="5" t="s">
        <v>63</v>
      </c>
      <c r="U628" s="5" t="s">
        <v>87</v>
      </c>
      <c r="V628" s="5">
        <v>2025</v>
      </c>
      <c r="W628" s="5" t="s">
        <v>134</v>
      </c>
      <c r="X628" s="5">
        <v>6</v>
      </c>
      <c r="Y628" s="1">
        <v>45758</v>
      </c>
      <c r="Z628" s="5" t="s">
        <v>47</v>
      </c>
      <c r="AA628" s="5" t="s">
        <v>48</v>
      </c>
      <c r="AB628" s="5" t="s">
        <v>49</v>
      </c>
      <c r="AC628" s="5" t="s">
        <v>50</v>
      </c>
      <c r="AD628" s="5">
        <v>3</v>
      </c>
    </row>
    <row r="629" spans="1:30">
      <c r="A629" s="5" t="s">
        <v>1700</v>
      </c>
      <c r="B629" s="1" t="s">
        <v>471</v>
      </c>
      <c r="C629" s="5" t="s">
        <v>378</v>
      </c>
      <c r="D629" s="5" t="s">
        <v>692</v>
      </c>
      <c r="E629" s="5" t="s">
        <v>55</v>
      </c>
      <c r="F629" s="5" t="s">
        <v>245</v>
      </c>
      <c r="G629" s="5" t="s">
        <v>246</v>
      </c>
      <c r="H629" s="5" t="s">
        <v>58</v>
      </c>
      <c r="I629" s="5" t="s">
        <v>39</v>
      </c>
      <c r="J629" s="5" t="s">
        <v>105</v>
      </c>
      <c r="K629" s="5">
        <v>8</v>
      </c>
      <c r="L629" s="5">
        <v>15000</v>
      </c>
      <c r="M629" s="5">
        <v>0.2</v>
      </c>
      <c r="N629" s="5">
        <v>96000</v>
      </c>
      <c r="O629" s="5">
        <v>60845.33</v>
      </c>
      <c r="P629" s="5">
        <v>35154.67</v>
      </c>
      <c r="Q629" s="5">
        <v>36.619999999999997</v>
      </c>
      <c r="R629" s="5" t="s">
        <v>41</v>
      </c>
      <c r="S629" s="5" t="s">
        <v>62</v>
      </c>
      <c r="T629" s="5" t="s">
        <v>43</v>
      </c>
      <c r="U629" s="5" t="s">
        <v>151</v>
      </c>
      <c r="V629" s="5">
        <v>2024</v>
      </c>
      <c r="W629" s="5" t="s">
        <v>139</v>
      </c>
      <c r="X629" s="5">
        <v>1</v>
      </c>
      <c r="Y629" s="1" t="s">
        <v>741</v>
      </c>
      <c r="Z629" s="5" t="s">
        <v>89</v>
      </c>
      <c r="AA629" s="5" t="s">
        <v>48</v>
      </c>
      <c r="AB629" s="5" t="s">
        <v>78</v>
      </c>
      <c r="AC629" s="5" t="s">
        <v>50</v>
      </c>
      <c r="AD629" s="5">
        <v>4</v>
      </c>
    </row>
    <row r="630" spans="1:30">
      <c r="A630" s="5" t="s">
        <v>1701</v>
      </c>
      <c r="B630" s="1" t="s">
        <v>806</v>
      </c>
      <c r="C630" s="5" t="s">
        <v>773</v>
      </c>
      <c r="D630" s="5" t="s">
        <v>713</v>
      </c>
      <c r="E630" s="5" t="s">
        <v>35</v>
      </c>
      <c r="F630" s="5" t="s">
        <v>104</v>
      </c>
      <c r="G630" s="5" t="s">
        <v>104</v>
      </c>
      <c r="H630" s="5" t="s">
        <v>58</v>
      </c>
      <c r="I630" s="5" t="s">
        <v>84</v>
      </c>
      <c r="J630" s="5" t="s">
        <v>229</v>
      </c>
      <c r="K630" s="5">
        <v>1</v>
      </c>
      <c r="L630" s="5">
        <v>800</v>
      </c>
      <c r="M630" s="5">
        <v>0</v>
      </c>
      <c r="N630" s="5">
        <v>800</v>
      </c>
      <c r="O630" s="5">
        <v>545.9</v>
      </c>
      <c r="P630" s="5">
        <v>254.1</v>
      </c>
      <c r="Q630" s="5">
        <v>31.76</v>
      </c>
      <c r="R630" s="5" t="s">
        <v>61</v>
      </c>
      <c r="S630" s="5" t="s">
        <v>74</v>
      </c>
      <c r="T630" s="5" t="s">
        <v>63</v>
      </c>
      <c r="U630" s="5" t="s">
        <v>44</v>
      </c>
      <c r="V630" s="5">
        <v>2025</v>
      </c>
      <c r="W630" s="5" t="s">
        <v>45</v>
      </c>
      <c r="X630" s="5">
        <v>10</v>
      </c>
      <c r="Y630" s="1">
        <v>45843</v>
      </c>
      <c r="Z630" s="5" t="s">
        <v>110</v>
      </c>
      <c r="AA630" s="5" t="s">
        <v>48</v>
      </c>
      <c r="AB630" s="5" t="s">
        <v>49</v>
      </c>
      <c r="AC630" s="5" t="s">
        <v>121</v>
      </c>
      <c r="AD630" s="5">
        <v>2</v>
      </c>
    </row>
    <row r="631" spans="1:30">
      <c r="A631" s="5" t="s">
        <v>1702</v>
      </c>
      <c r="B631" s="1" t="s">
        <v>1261</v>
      </c>
      <c r="C631" s="5" t="s">
        <v>1703</v>
      </c>
      <c r="D631" s="5" t="s">
        <v>339</v>
      </c>
      <c r="E631" s="5" t="s">
        <v>35</v>
      </c>
      <c r="F631" s="5" t="s">
        <v>36</v>
      </c>
      <c r="G631" s="5" t="s">
        <v>37</v>
      </c>
      <c r="H631" s="5" t="s">
        <v>171</v>
      </c>
      <c r="I631" s="5" t="s">
        <v>71</v>
      </c>
      <c r="J631" s="5" t="s">
        <v>72</v>
      </c>
      <c r="K631" s="5">
        <v>1</v>
      </c>
      <c r="L631" s="5">
        <v>2500</v>
      </c>
      <c r="M631" s="5">
        <v>0</v>
      </c>
      <c r="N631" s="5">
        <v>2500</v>
      </c>
      <c r="O631" s="5">
        <v>1562.3</v>
      </c>
      <c r="P631" s="5">
        <v>937.7</v>
      </c>
      <c r="Q631" s="5">
        <v>37.51</v>
      </c>
      <c r="R631" s="5" t="s">
        <v>61</v>
      </c>
      <c r="S631" s="5" t="s">
        <v>42</v>
      </c>
      <c r="T631" s="5" t="s">
        <v>118</v>
      </c>
      <c r="U631" s="5" t="s">
        <v>198</v>
      </c>
      <c r="V631" s="5">
        <v>2024</v>
      </c>
      <c r="W631" s="5" t="s">
        <v>45</v>
      </c>
      <c r="X631" s="5">
        <v>2</v>
      </c>
      <c r="Y631" s="1" t="s">
        <v>808</v>
      </c>
      <c r="Z631" s="5" t="s">
        <v>89</v>
      </c>
      <c r="AA631" s="5" t="s">
        <v>48</v>
      </c>
      <c r="AB631" s="5" t="s">
        <v>111</v>
      </c>
      <c r="AC631" s="5" t="s">
        <v>50</v>
      </c>
      <c r="AD631" s="5">
        <v>5</v>
      </c>
    </row>
    <row r="632" spans="1:30">
      <c r="A632" s="5" t="s">
        <v>1704</v>
      </c>
      <c r="B632" s="1" t="s">
        <v>1705</v>
      </c>
      <c r="C632" s="5" t="s">
        <v>484</v>
      </c>
      <c r="D632" s="5" t="s">
        <v>1175</v>
      </c>
      <c r="E632" s="5" t="s">
        <v>103</v>
      </c>
      <c r="F632" s="5" t="s">
        <v>104</v>
      </c>
      <c r="G632" s="5" t="s">
        <v>104</v>
      </c>
      <c r="H632" s="5" t="s">
        <v>38</v>
      </c>
      <c r="I632" s="5" t="s">
        <v>71</v>
      </c>
      <c r="J632" s="5" t="s">
        <v>158</v>
      </c>
      <c r="K632" s="5">
        <v>1</v>
      </c>
      <c r="L632" s="5">
        <v>700</v>
      </c>
      <c r="M632" s="5">
        <v>0.05</v>
      </c>
      <c r="N632" s="5">
        <v>665</v>
      </c>
      <c r="O632" s="5">
        <v>380.83</v>
      </c>
      <c r="P632" s="5">
        <v>284.17</v>
      </c>
      <c r="Q632" s="5">
        <v>42.73</v>
      </c>
      <c r="R632" s="5" t="s">
        <v>41</v>
      </c>
      <c r="S632" s="5" t="s">
        <v>62</v>
      </c>
      <c r="T632" s="5" t="s">
        <v>118</v>
      </c>
      <c r="U632" s="5" t="s">
        <v>119</v>
      </c>
      <c r="V632" s="5">
        <v>2025</v>
      </c>
      <c r="W632" s="5" t="s">
        <v>134</v>
      </c>
      <c r="X632" s="5">
        <v>3</v>
      </c>
      <c r="Y632" s="1" t="s">
        <v>544</v>
      </c>
      <c r="Z632" s="5" t="s">
        <v>47</v>
      </c>
      <c r="AA632" s="5" t="s">
        <v>48</v>
      </c>
      <c r="AB632" s="5" t="s">
        <v>111</v>
      </c>
      <c r="AC632" s="5" t="s">
        <v>121</v>
      </c>
      <c r="AD632" s="5">
        <v>3</v>
      </c>
    </row>
    <row r="633" spans="1:30">
      <c r="A633" s="5" t="s">
        <v>1706</v>
      </c>
      <c r="B633" s="1">
        <v>45755</v>
      </c>
      <c r="C633" s="5" t="s">
        <v>1001</v>
      </c>
      <c r="D633" s="5" t="s">
        <v>1637</v>
      </c>
      <c r="E633" s="5" t="s">
        <v>35</v>
      </c>
      <c r="F633" s="5" t="s">
        <v>116</v>
      </c>
      <c r="G633" s="5" t="s">
        <v>37</v>
      </c>
      <c r="H633" s="5" t="s">
        <v>38</v>
      </c>
      <c r="I633" s="5" t="s">
        <v>59</v>
      </c>
      <c r="J633" s="5" t="s">
        <v>60</v>
      </c>
      <c r="K633" s="5">
        <v>2</v>
      </c>
      <c r="L633" s="5">
        <v>1200</v>
      </c>
      <c r="M633" s="5">
        <v>0.15</v>
      </c>
      <c r="N633" s="5">
        <v>2040</v>
      </c>
      <c r="O633" s="5">
        <v>1634.39</v>
      </c>
      <c r="P633" s="5">
        <v>405.61</v>
      </c>
      <c r="Q633" s="5">
        <v>19.88</v>
      </c>
      <c r="R633" s="5" t="s">
        <v>106</v>
      </c>
      <c r="S633" s="5" t="s">
        <v>74</v>
      </c>
      <c r="T633" s="5" t="s">
        <v>97</v>
      </c>
      <c r="U633" s="5" t="s">
        <v>218</v>
      </c>
      <c r="V633" s="5">
        <v>2025</v>
      </c>
      <c r="W633" s="5" t="s">
        <v>126</v>
      </c>
      <c r="X633" s="5">
        <v>2</v>
      </c>
      <c r="Y633" s="1">
        <v>45816</v>
      </c>
      <c r="Z633" s="5" t="s">
        <v>89</v>
      </c>
      <c r="AA633" s="5" t="s">
        <v>48</v>
      </c>
      <c r="AB633" s="5" t="s">
        <v>111</v>
      </c>
      <c r="AC633" s="5" t="s">
        <v>121</v>
      </c>
      <c r="AD633" s="5">
        <v>2</v>
      </c>
    </row>
    <row r="634" spans="1:30">
      <c r="A634" s="5" t="s">
        <v>1707</v>
      </c>
      <c r="B634" s="1">
        <v>45607</v>
      </c>
      <c r="C634" s="5" t="s">
        <v>606</v>
      </c>
      <c r="D634" s="5" t="s">
        <v>660</v>
      </c>
      <c r="E634" s="5" t="s">
        <v>55</v>
      </c>
      <c r="F634" s="5" t="s">
        <v>104</v>
      </c>
      <c r="G634" s="5" t="s">
        <v>104</v>
      </c>
      <c r="H634" s="5" t="s">
        <v>38</v>
      </c>
      <c r="I634" s="5" t="s">
        <v>95</v>
      </c>
      <c r="J634" s="5" t="s">
        <v>184</v>
      </c>
      <c r="K634" s="5">
        <v>8</v>
      </c>
      <c r="L634" s="5">
        <v>2500</v>
      </c>
      <c r="M634" s="5">
        <v>0.05</v>
      </c>
      <c r="N634" s="5">
        <v>19000</v>
      </c>
      <c r="O634" s="5">
        <v>12042.8</v>
      </c>
      <c r="P634" s="5">
        <v>6957.2</v>
      </c>
      <c r="Q634" s="5">
        <v>36.619999999999997</v>
      </c>
      <c r="R634" s="5" t="s">
        <v>41</v>
      </c>
      <c r="S634" s="5" t="s">
        <v>62</v>
      </c>
      <c r="T634" s="5" t="s">
        <v>75</v>
      </c>
      <c r="U634" s="5" t="s">
        <v>198</v>
      </c>
      <c r="V634" s="5">
        <v>2024</v>
      </c>
      <c r="W634" s="5" t="s">
        <v>126</v>
      </c>
      <c r="X634" s="5">
        <v>4</v>
      </c>
      <c r="Y634" s="1" t="s">
        <v>991</v>
      </c>
      <c r="Z634" s="5" t="s">
        <v>47</v>
      </c>
      <c r="AA634" s="5" t="s">
        <v>90</v>
      </c>
      <c r="AB634" s="5" t="s">
        <v>49</v>
      </c>
      <c r="AC634" s="5" t="s">
        <v>50</v>
      </c>
      <c r="AD634" s="5">
        <v>2</v>
      </c>
    </row>
    <row r="635" spans="1:30">
      <c r="A635" s="5" t="s">
        <v>1708</v>
      </c>
      <c r="B635" s="1" t="s">
        <v>1673</v>
      </c>
      <c r="C635" s="5" t="s">
        <v>1441</v>
      </c>
      <c r="D635" s="5" t="s">
        <v>770</v>
      </c>
      <c r="E635" s="5" t="s">
        <v>103</v>
      </c>
      <c r="F635" s="5" t="s">
        <v>245</v>
      </c>
      <c r="G635" s="5" t="s">
        <v>246</v>
      </c>
      <c r="H635" s="5" t="s">
        <v>38</v>
      </c>
      <c r="I635" s="5" t="s">
        <v>84</v>
      </c>
      <c r="J635" s="5" t="s">
        <v>229</v>
      </c>
      <c r="K635" s="5">
        <v>8</v>
      </c>
      <c r="L635" s="5">
        <v>350</v>
      </c>
      <c r="M635" s="5">
        <v>0</v>
      </c>
      <c r="N635" s="5">
        <v>2800</v>
      </c>
      <c r="O635" s="5">
        <v>1814.89</v>
      </c>
      <c r="P635" s="5">
        <v>985.11</v>
      </c>
      <c r="Q635" s="5">
        <v>35.18</v>
      </c>
      <c r="R635" s="5" t="s">
        <v>106</v>
      </c>
      <c r="S635" s="5" t="s">
        <v>42</v>
      </c>
      <c r="T635" s="5" t="s">
        <v>75</v>
      </c>
      <c r="U635" s="5" t="s">
        <v>119</v>
      </c>
      <c r="V635" s="5">
        <v>2025</v>
      </c>
      <c r="W635" s="5" t="s">
        <v>194</v>
      </c>
      <c r="X635" s="5">
        <v>6</v>
      </c>
      <c r="Y635" s="1" t="s">
        <v>1709</v>
      </c>
      <c r="Z635" s="5" t="s">
        <v>89</v>
      </c>
      <c r="AA635" s="5" t="s">
        <v>90</v>
      </c>
      <c r="AB635" s="5" t="s">
        <v>111</v>
      </c>
      <c r="AC635" s="5" t="s">
        <v>121</v>
      </c>
      <c r="AD635" s="5">
        <v>4</v>
      </c>
    </row>
    <row r="636" spans="1:30">
      <c r="A636" s="5" t="s">
        <v>1710</v>
      </c>
      <c r="B636" s="1">
        <v>45332</v>
      </c>
      <c r="C636" s="5" t="s">
        <v>1711</v>
      </c>
      <c r="D636" s="5" t="s">
        <v>847</v>
      </c>
      <c r="E636" s="5" t="s">
        <v>55</v>
      </c>
      <c r="F636" s="5" t="s">
        <v>82</v>
      </c>
      <c r="G636" s="5" t="s">
        <v>83</v>
      </c>
      <c r="H636" s="5" t="s">
        <v>58</v>
      </c>
      <c r="I636" s="5" t="s">
        <v>84</v>
      </c>
      <c r="J636" s="5" t="s">
        <v>85</v>
      </c>
      <c r="K636" s="5">
        <v>6</v>
      </c>
      <c r="L636" s="5">
        <v>800</v>
      </c>
      <c r="M636" s="5">
        <v>0.2</v>
      </c>
      <c r="N636" s="5">
        <v>3840</v>
      </c>
      <c r="O636" s="5">
        <v>2913.87</v>
      </c>
      <c r="P636" s="5">
        <v>926.13</v>
      </c>
      <c r="Q636" s="5">
        <v>24.12</v>
      </c>
      <c r="R636" s="5" t="s">
        <v>106</v>
      </c>
      <c r="S636" s="5" t="s">
        <v>42</v>
      </c>
      <c r="T636" s="5" t="s">
        <v>118</v>
      </c>
      <c r="U636" s="5" t="s">
        <v>87</v>
      </c>
      <c r="V636" s="5">
        <v>2024</v>
      </c>
      <c r="W636" s="5" t="s">
        <v>134</v>
      </c>
      <c r="X636" s="5">
        <v>2</v>
      </c>
      <c r="Y636" s="1">
        <v>45392</v>
      </c>
      <c r="Z636" s="5" t="s">
        <v>89</v>
      </c>
      <c r="AA636" s="5" t="s">
        <v>67</v>
      </c>
      <c r="AB636" s="5" t="s">
        <v>49</v>
      </c>
      <c r="AC636" s="5" t="s">
        <v>50</v>
      </c>
      <c r="AD636" s="5">
        <v>5</v>
      </c>
    </row>
    <row r="637" spans="1:30">
      <c r="A637" s="5" t="s">
        <v>1712</v>
      </c>
      <c r="B637" s="1" t="s">
        <v>1713</v>
      </c>
      <c r="C637" s="5" t="s">
        <v>655</v>
      </c>
      <c r="D637" s="5" t="s">
        <v>1714</v>
      </c>
      <c r="E637" s="5" t="s">
        <v>55</v>
      </c>
      <c r="F637" s="5" t="s">
        <v>82</v>
      </c>
      <c r="G637" s="5" t="s">
        <v>83</v>
      </c>
      <c r="H637" s="5" t="s">
        <v>171</v>
      </c>
      <c r="I637" s="5" t="s">
        <v>84</v>
      </c>
      <c r="J637" s="5" t="s">
        <v>217</v>
      </c>
      <c r="K637" s="5">
        <v>7</v>
      </c>
      <c r="L637" s="5">
        <v>800</v>
      </c>
      <c r="M637" s="5">
        <v>0</v>
      </c>
      <c r="N637" s="5">
        <v>5600</v>
      </c>
      <c r="O637" s="5">
        <v>4394.43</v>
      </c>
      <c r="P637" s="5">
        <v>1205.57</v>
      </c>
      <c r="Q637" s="5">
        <v>21.53</v>
      </c>
      <c r="R637" s="5" t="s">
        <v>61</v>
      </c>
      <c r="S637" s="5" t="s">
        <v>42</v>
      </c>
      <c r="T637" s="5" t="s">
        <v>173</v>
      </c>
      <c r="U637" s="5" t="s">
        <v>198</v>
      </c>
      <c r="V637" s="5">
        <v>2024</v>
      </c>
      <c r="W637" s="5" t="s">
        <v>109</v>
      </c>
      <c r="X637" s="5">
        <v>2</v>
      </c>
      <c r="Y637" s="1" t="s">
        <v>405</v>
      </c>
      <c r="Z637" s="5" t="s">
        <v>47</v>
      </c>
      <c r="AA637" s="5" t="s">
        <v>90</v>
      </c>
      <c r="AB637" s="5" t="s">
        <v>78</v>
      </c>
      <c r="AC637" s="5" t="s">
        <v>50</v>
      </c>
      <c r="AD637" s="5">
        <v>2</v>
      </c>
    </row>
    <row r="638" spans="1:30">
      <c r="A638" s="5" t="s">
        <v>1715</v>
      </c>
      <c r="B638" s="1">
        <v>45995</v>
      </c>
      <c r="C638" s="5" t="s">
        <v>1716</v>
      </c>
      <c r="D638" s="5" t="s">
        <v>313</v>
      </c>
      <c r="E638" s="5" t="s">
        <v>35</v>
      </c>
      <c r="F638" s="5" t="s">
        <v>56</v>
      </c>
      <c r="G638" s="5" t="s">
        <v>57</v>
      </c>
      <c r="H638" s="5" t="s">
        <v>171</v>
      </c>
      <c r="I638" s="5" t="s">
        <v>59</v>
      </c>
      <c r="J638" s="5" t="s">
        <v>206</v>
      </c>
      <c r="K638" s="5">
        <v>1</v>
      </c>
      <c r="L638" s="5">
        <v>2000</v>
      </c>
      <c r="M638" s="5">
        <v>0.2</v>
      </c>
      <c r="N638" s="5">
        <v>1600</v>
      </c>
      <c r="O638" s="5">
        <v>1180.02</v>
      </c>
      <c r="P638" s="5">
        <v>419.98</v>
      </c>
      <c r="Q638" s="5">
        <v>26.25</v>
      </c>
      <c r="R638" s="5" t="s">
        <v>61</v>
      </c>
      <c r="S638" s="5" t="s">
        <v>42</v>
      </c>
      <c r="T638" s="5" t="s">
        <v>97</v>
      </c>
      <c r="U638" s="5" t="s">
        <v>44</v>
      </c>
      <c r="V638" s="5">
        <v>2025</v>
      </c>
      <c r="W638" s="5" t="s">
        <v>65</v>
      </c>
      <c r="X638" s="5">
        <v>10</v>
      </c>
      <c r="Y638" s="1" t="s">
        <v>1648</v>
      </c>
      <c r="Z638" s="5" t="s">
        <v>89</v>
      </c>
      <c r="AA638" s="5" t="s">
        <v>67</v>
      </c>
      <c r="AB638" s="5" t="s">
        <v>111</v>
      </c>
      <c r="AC638" s="5" t="s">
        <v>50</v>
      </c>
      <c r="AD638" s="5">
        <v>3</v>
      </c>
    </row>
    <row r="639" spans="1:30">
      <c r="A639" s="5" t="s">
        <v>1717</v>
      </c>
      <c r="B639" s="1">
        <v>45332</v>
      </c>
      <c r="C639" s="5" t="s">
        <v>80</v>
      </c>
      <c r="D639" s="5" t="s">
        <v>604</v>
      </c>
      <c r="E639" s="5" t="s">
        <v>55</v>
      </c>
      <c r="F639" s="5" t="s">
        <v>104</v>
      </c>
      <c r="G639" s="5" t="s">
        <v>104</v>
      </c>
      <c r="H639" s="5" t="s">
        <v>38</v>
      </c>
      <c r="I639" s="5" t="s">
        <v>95</v>
      </c>
      <c r="J639" s="5" t="s">
        <v>96</v>
      </c>
      <c r="K639" s="5">
        <v>2</v>
      </c>
      <c r="L639" s="5">
        <v>9000</v>
      </c>
      <c r="M639" s="5">
        <v>0.15</v>
      </c>
      <c r="N639" s="5">
        <v>15300</v>
      </c>
      <c r="O639" s="5">
        <v>10865</v>
      </c>
      <c r="P639" s="5">
        <v>4435</v>
      </c>
      <c r="Q639" s="5">
        <v>28.99</v>
      </c>
      <c r="R639" s="5" t="s">
        <v>41</v>
      </c>
      <c r="S639" s="5" t="s">
        <v>74</v>
      </c>
      <c r="T639" s="5" t="s">
        <v>118</v>
      </c>
      <c r="U639" s="5" t="s">
        <v>87</v>
      </c>
      <c r="V639" s="5">
        <v>2024</v>
      </c>
      <c r="W639" s="5" t="s">
        <v>134</v>
      </c>
      <c r="X639" s="5">
        <v>10</v>
      </c>
      <c r="Y639" s="1">
        <v>45636</v>
      </c>
      <c r="Z639" s="5" t="s">
        <v>110</v>
      </c>
      <c r="AA639" s="5" t="s">
        <v>48</v>
      </c>
      <c r="AB639" s="5" t="s">
        <v>78</v>
      </c>
      <c r="AC639" s="5" t="s">
        <v>121</v>
      </c>
      <c r="AD639" s="5">
        <v>1</v>
      </c>
    </row>
    <row r="640" spans="1:30">
      <c r="A640" s="5" t="s">
        <v>1718</v>
      </c>
      <c r="B640" s="1" t="s">
        <v>656</v>
      </c>
      <c r="C640" s="5" t="s">
        <v>1028</v>
      </c>
      <c r="D640" s="5" t="s">
        <v>268</v>
      </c>
      <c r="E640" s="5" t="s">
        <v>35</v>
      </c>
      <c r="F640" s="5" t="s">
        <v>116</v>
      </c>
      <c r="G640" s="5" t="s">
        <v>37</v>
      </c>
      <c r="H640" s="5" t="s">
        <v>38</v>
      </c>
      <c r="I640" s="5" t="s">
        <v>95</v>
      </c>
      <c r="J640" s="5" t="s">
        <v>184</v>
      </c>
      <c r="K640" s="5">
        <v>8</v>
      </c>
      <c r="L640" s="5">
        <v>9000</v>
      </c>
      <c r="M640" s="5">
        <v>0.05</v>
      </c>
      <c r="N640" s="5">
        <v>68400</v>
      </c>
      <c r="O640" s="5">
        <v>41321.11</v>
      </c>
      <c r="P640" s="5">
        <v>27078.89</v>
      </c>
      <c r="Q640" s="5">
        <v>39.590000000000003</v>
      </c>
      <c r="R640" s="5" t="s">
        <v>73</v>
      </c>
      <c r="S640" s="5" t="s">
        <v>74</v>
      </c>
      <c r="T640" s="5" t="s">
        <v>75</v>
      </c>
      <c r="U640" s="5" t="s">
        <v>44</v>
      </c>
      <c r="V640" s="5">
        <v>2025</v>
      </c>
      <c r="W640" s="5" t="s">
        <v>134</v>
      </c>
      <c r="X640" s="5">
        <v>1</v>
      </c>
      <c r="Y640" s="1" t="s">
        <v>416</v>
      </c>
      <c r="Z640" s="5" t="s">
        <v>47</v>
      </c>
      <c r="AA640" s="5" t="s">
        <v>90</v>
      </c>
      <c r="AB640" s="5" t="s">
        <v>111</v>
      </c>
      <c r="AC640" s="5" t="s">
        <v>121</v>
      </c>
      <c r="AD640" s="5">
        <v>2</v>
      </c>
    </row>
    <row r="641" spans="1:30">
      <c r="A641" s="5" t="s">
        <v>1719</v>
      </c>
      <c r="B641" s="1">
        <v>45630</v>
      </c>
      <c r="C641" s="5" t="s">
        <v>904</v>
      </c>
      <c r="D641" s="5" t="s">
        <v>1157</v>
      </c>
      <c r="E641" s="5" t="s">
        <v>55</v>
      </c>
      <c r="F641" s="5" t="s">
        <v>131</v>
      </c>
      <c r="G641" s="5" t="s">
        <v>132</v>
      </c>
      <c r="H641" s="5" t="s">
        <v>94</v>
      </c>
      <c r="I641" s="5" t="s">
        <v>84</v>
      </c>
      <c r="J641" s="5" t="s">
        <v>390</v>
      </c>
      <c r="K641" s="5">
        <v>8</v>
      </c>
      <c r="L641" s="5">
        <v>200</v>
      </c>
      <c r="M641" s="5">
        <v>0.1</v>
      </c>
      <c r="N641" s="5">
        <v>1440</v>
      </c>
      <c r="O641" s="5">
        <v>1059.02</v>
      </c>
      <c r="P641" s="5">
        <v>380.98</v>
      </c>
      <c r="Q641" s="5">
        <v>26.46</v>
      </c>
      <c r="R641" s="5" t="s">
        <v>73</v>
      </c>
      <c r="S641" s="5" t="s">
        <v>74</v>
      </c>
      <c r="T641" s="5" t="s">
        <v>75</v>
      </c>
      <c r="U641" s="5" t="s">
        <v>44</v>
      </c>
      <c r="V641" s="5">
        <v>2024</v>
      </c>
      <c r="W641" s="5" t="s">
        <v>194</v>
      </c>
      <c r="X641" s="5">
        <v>8</v>
      </c>
      <c r="Y641" s="1" t="s">
        <v>1297</v>
      </c>
      <c r="Z641" s="5" t="s">
        <v>89</v>
      </c>
      <c r="AA641" s="5" t="s">
        <v>90</v>
      </c>
      <c r="AB641" s="5" t="s">
        <v>78</v>
      </c>
      <c r="AC641" s="5" t="s">
        <v>121</v>
      </c>
      <c r="AD641" s="5">
        <v>4</v>
      </c>
    </row>
    <row r="642" spans="1:30">
      <c r="A642" s="5" t="s">
        <v>1720</v>
      </c>
      <c r="B642" s="1" t="s">
        <v>1323</v>
      </c>
      <c r="C642" s="5" t="s">
        <v>334</v>
      </c>
      <c r="D642" s="5" t="s">
        <v>1721</v>
      </c>
      <c r="E642" s="5" t="s">
        <v>103</v>
      </c>
      <c r="F642" s="5" t="s">
        <v>82</v>
      </c>
      <c r="G642" s="5" t="s">
        <v>83</v>
      </c>
      <c r="H642" s="5" t="s">
        <v>38</v>
      </c>
      <c r="I642" s="5" t="s">
        <v>84</v>
      </c>
      <c r="J642" s="5" t="s">
        <v>290</v>
      </c>
      <c r="K642" s="5">
        <v>10</v>
      </c>
      <c r="L642" s="5">
        <v>500</v>
      </c>
      <c r="M642" s="5">
        <v>0.2</v>
      </c>
      <c r="N642" s="5">
        <v>4000</v>
      </c>
      <c r="O642" s="5">
        <v>2923.47</v>
      </c>
      <c r="P642" s="5">
        <v>1076.53</v>
      </c>
      <c r="Q642" s="5">
        <v>26.91</v>
      </c>
      <c r="R642" s="5" t="s">
        <v>73</v>
      </c>
      <c r="S642" s="5" t="s">
        <v>62</v>
      </c>
      <c r="T642" s="5" t="s">
        <v>97</v>
      </c>
      <c r="U642" s="5" t="s">
        <v>178</v>
      </c>
      <c r="V642" s="5">
        <v>2024</v>
      </c>
      <c r="W642" s="5" t="s">
        <v>139</v>
      </c>
      <c r="X642" s="5">
        <v>6</v>
      </c>
      <c r="Y642" s="1" t="s">
        <v>433</v>
      </c>
      <c r="Z642" s="5" t="s">
        <v>110</v>
      </c>
      <c r="AA642" s="5" t="s">
        <v>67</v>
      </c>
      <c r="AB642" s="5" t="s">
        <v>111</v>
      </c>
      <c r="AC642" s="5" t="s">
        <v>121</v>
      </c>
      <c r="AD642" s="5">
        <v>5</v>
      </c>
    </row>
    <row r="643" spans="1:30">
      <c r="A643" s="5" t="s">
        <v>1722</v>
      </c>
      <c r="B643" s="1">
        <v>45603</v>
      </c>
      <c r="C643" s="5" t="s">
        <v>1570</v>
      </c>
      <c r="D643" s="5" t="s">
        <v>379</v>
      </c>
      <c r="E643" s="5" t="s">
        <v>103</v>
      </c>
      <c r="F643" s="5" t="s">
        <v>144</v>
      </c>
      <c r="G643" s="5" t="s">
        <v>145</v>
      </c>
      <c r="H643" s="5" t="s">
        <v>38</v>
      </c>
      <c r="I643" s="5" t="s">
        <v>71</v>
      </c>
      <c r="J643" s="5" t="s">
        <v>72</v>
      </c>
      <c r="K643" s="5">
        <v>4</v>
      </c>
      <c r="L643" s="5">
        <v>1200</v>
      </c>
      <c r="M643" s="5">
        <v>0.15</v>
      </c>
      <c r="N643" s="5">
        <v>4080</v>
      </c>
      <c r="O643" s="5">
        <v>2576.61</v>
      </c>
      <c r="P643" s="5">
        <v>1503.39</v>
      </c>
      <c r="Q643" s="5">
        <v>36.85</v>
      </c>
      <c r="R643" s="5" t="s">
        <v>166</v>
      </c>
      <c r="S643" s="5" t="s">
        <v>74</v>
      </c>
      <c r="T643" s="5" t="s">
        <v>159</v>
      </c>
      <c r="U643" s="5" t="s">
        <v>151</v>
      </c>
      <c r="V643" s="5">
        <v>2024</v>
      </c>
      <c r="W643" s="5" t="s">
        <v>139</v>
      </c>
      <c r="X643" s="5">
        <v>1</v>
      </c>
      <c r="Y643" s="1">
        <v>45633</v>
      </c>
      <c r="Z643" s="5" t="s">
        <v>47</v>
      </c>
      <c r="AA643" s="5" t="s">
        <v>67</v>
      </c>
      <c r="AB643" s="5" t="s">
        <v>78</v>
      </c>
      <c r="AC643" s="5" t="s">
        <v>50</v>
      </c>
      <c r="AD643" s="5">
        <v>1</v>
      </c>
    </row>
    <row r="644" spans="1:30">
      <c r="A644" s="5" t="s">
        <v>1723</v>
      </c>
      <c r="B644" s="1" t="s">
        <v>723</v>
      </c>
      <c r="C644" s="5" t="s">
        <v>326</v>
      </c>
      <c r="D644" s="5" t="s">
        <v>620</v>
      </c>
      <c r="E644" s="5" t="s">
        <v>35</v>
      </c>
      <c r="F644" s="5" t="s">
        <v>116</v>
      </c>
      <c r="G644" s="5" t="s">
        <v>37</v>
      </c>
      <c r="H644" s="5" t="s">
        <v>38</v>
      </c>
      <c r="I644" s="5" t="s">
        <v>71</v>
      </c>
      <c r="J644" s="5" t="s">
        <v>117</v>
      </c>
      <c r="K644" s="5">
        <v>3</v>
      </c>
      <c r="L644" s="5">
        <v>2500</v>
      </c>
      <c r="M644" s="5">
        <v>0.2</v>
      </c>
      <c r="N644" s="5">
        <v>6000</v>
      </c>
      <c r="O644" s="5">
        <v>3860.98</v>
      </c>
      <c r="P644" s="5">
        <v>2139.02</v>
      </c>
      <c r="Q644" s="5">
        <v>35.65</v>
      </c>
      <c r="R644" s="5" t="s">
        <v>61</v>
      </c>
      <c r="S644" s="5" t="s">
        <v>74</v>
      </c>
      <c r="T644" s="5" t="s">
        <v>63</v>
      </c>
      <c r="U644" s="5" t="s">
        <v>44</v>
      </c>
      <c r="V644" s="5">
        <v>2024</v>
      </c>
      <c r="W644" s="5" t="s">
        <v>139</v>
      </c>
      <c r="X644" s="5">
        <v>8</v>
      </c>
      <c r="Y644" s="1" t="s">
        <v>1066</v>
      </c>
      <c r="Z644" s="5" t="s">
        <v>47</v>
      </c>
      <c r="AA644" s="5" t="s">
        <v>48</v>
      </c>
      <c r="AB644" s="5" t="s">
        <v>78</v>
      </c>
      <c r="AC644" s="5" t="s">
        <v>50</v>
      </c>
      <c r="AD644" s="5">
        <v>1</v>
      </c>
    </row>
    <row r="645" spans="1:30">
      <c r="A645" s="5" t="s">
        <v>1724</v>
      </c>
      <c r="B645" s="1" t="s">
        <v>788</v>
      </c>
      <c r="C645" s="5" t="s">
        <v>491</v>
      </c>
      <c r="D645" s="5" t="s">
        <v>1328</v>
      </c>
      <c r="E645" s="5" t="s">
        <v>55</v>
      </c>
      <c r="F645" s="5" t="s">
        <v>56</v>
      </c>
      <c r="G645" s="5" t="s">
        <v>57</v>
      </c>
      <c r="H645" s="5" t="s">
        <v>171</v>
      </c>
      <c r="I645" s="5" t="s">
        <v>71</v>
      </c>
      <c r="J645" s="5" t="s">
        <v>158</v>
      </c>
      <c r="K645" s="5">
        <v>1</v>
      </c>
      <c r="L645" s="5">
        <v>1800</v>
      </c>
      <c r="M645" s="5">
        <v>0.15</v>
      </c>
      <c r="N645" s="5">
        <v>1530</v>
      </c>
      <c r="O645" s="5">
        <v>1174.92</v>
      </c>
      <c r="P645" s="5">
        <v>355.08</v>
      </c>
      <c r="Q645" s="5">
        <v>23.21</v>
      </c>
      <c r="R645" s="5" t="s">
        <v>41</v>
      </c>
      <c r="S645" s="5" t="s">
        <v>62</v>
      </c>
      <c r="T645" s="5" t="s">
        <v>173</v>
      </c>
      <c r="U645" s="5" t="s">
        <v>108</v>
      </c>
      <c r="V645" s="5">
        <v>2024</v>
      </c>
      <c r="W645" s="5" t="s">
        <v>65</v>
      </c>
      <c r="X645" s="5">
        <v>2</v>
      </c>
      <c r="Y645" s="1" t="s">
        <v>789</v>
      </c>
      <c r="Z645" s="5" t="s">
        <v>89</v>
      </c>
      <c r="AA645" s="5" t="s">
        <v>90</v>
      </c>
      <c r="AB645" s="5" t="s">
        <v>78</v>
      </c>
      <c r="AC645" s="5" t="s">
        <v>50</v>
      </c>
      <c r="AD645" s="5">
        <v>1</v>
      </c>
    </row>
    <row r="646" spans="1:30">
      <c r="A646" s="5" t="s">
        <v>1725</v>
      </c>
      <c r="B646" s="1">
        <v>45967</v>
      </c>
      <c r="C646" s="5" t="s">
        <v>565</v>
      </c>
      <c r="D646" s="5" t="s">
        <v>1449</v>
      </c>
      <c r="E646" s="5" t="s">
        <v>35</v>
      </c>
      <c r="F646" s="5" t="s">
        <v>245</v>
      </c>
      <c r="G646" s="5" t="s">
        <v>246</v>
      </c>
      <c r="H646" s="5" t="s">
        <v>94</v>
      </c>
      <c r="I646" s="5" t="s">
        <v>39</v>
      </c>
      <c r="J646" s="5" t="s">
        <v>40</v>
      </c>
      <c r="K646" s="5">
        <v>10</v>
      </c>
      <c r="L646" s="5">
        <v>15000</v>
      </c>
      <c r="M646" s="5">
        <v>0.05</v>
      </c>
      <c r="N646" s="5">
        <v>142500</v>
      </c>
      <c r="O646" s="5">
        <v>95107.32</v>
      </c>
      <c r="P646" s="5">
        <v>47392.68</v>
      </c>
      <c r="Q646" s="5">
        <v>33.26</v>
      </c>
      <c r="R646" s="5" t="s">
        <v>166</v>
      </c>
      <c r="S646" s="5" t="s">
        <v>62</v>
      </c>
      <c r="T646" s="5" t="s">
        <v>43</v>
      </c>
      <c r="U646" s="5" t="s">
        <v>160</v>
      </c>
      <c r="V646" s="5">
        <v>2025</v>
      </c>
      <c r="W646" s="5" t="s">
        <v>134</v>
      </c>
      <c r="X646" s="5">
        <v>10</v>
      </c>
      <c r="Y646" s="1" t="s">
        <v>1726</v>
      </c>
      <c r="Z646" s="5" t="s">
        <v>110</v>
      </c>
      <c r="AA646" s="5" t="s">
        <v>48</v>
      </c>
      <c r="AB646" s="5" t="s">
        <v>111</v>
      </c>
      <c r="AC646" s="5" t="s">
        <v>50</v>
      </c>
      <c r="AD646" s="5">
        <v>3</v>
      </c>
    </row>
    <row r="647" spans="1:30">
      <c r="A647" s="5" t="s">
        <v>1727</v>
      </c>
      <c r="B647" s="1">
        <v>45329</v>
      </c>
      <c r="C647" s="5" t="s">
        <v>570</v>
      </c>
      <c r="D647" s="5" t="s">
        <v>1402</v>
      </c>
      <c r="E647" s="5" t="s">
        <v>103</v>
      </c>
      <c r="F647" s="5" t="s">
        <v>156</v>
      </c>
      <c r="G647" s="5" t="s">
        <v>157</v>
      </c>
      <c r="H647" s="5" t="s">
        <v>58</v>
      </c>
      <c r="I647" s="5" t="s">
        <v>84</v>
      </c>
      <c r="J647" s="5" t="s">
        <v>229</v>
      </c>
      <c r="K647" s="5">
        <v>1</v>
      </c>
      <c r="L647" s="5">
        <v>800</v>
      </c>
      <c r="M647" s="5">
        <v>0.1</v>
      </c>
      <c r="N647" s="5">
        <v>720</v>
      </c>
      <c r="O647" s="5">
        <v>477.08</v>
      </c>
      <c r="P647" s="5">
        <v>242.92</v>
      </c>
      <c r="Q647" s="5">
        <v>33.74</v>
      </c>
      <c r="R647" s="5" t="s">
        <v>41</v>
      </c>
      <c r="S647" s="5" t="s">
        <v>74</v>
      </c>
      <c r="T647" s="5" t="s">
        <v>97</v>
      </c>
      <c r="U647" s="5" t="s">
        <v>151</v>
      </c>
      <c r="V647" s="5">
        <v>2024</v>
      </c>
      <c r="W647" s="5" t="s">
        <v>109</v>
      </c>
      <c r="X647" s="5">
        <v>5</v>
      </c>
      <c r="Y647" s="1">
        <v>45480</v>
      </c>
      <c r="Z647" s="5" t="s">
        <v>47</v>
      </c>
      <c r="AA647" s="5" t="s">
        <v>48</v>
      </c>
      <c r="AB647" s="5" t="s">
        <v>49</v>
      </c>
      <c r="AC647" s="5" t="s">
        <v>50</v>
      </c>
      <c r="AD647" s="5">
        <v>2</v>
      </c>
    </row>
    <row r="648" spans="1:30">
      <c r="A648" s="5" t="s">
        <v>1728</v>
      </c>
      <c r="B648" s="1">
        <v>45940</v>
      </c>
      <c r="C648" s="5" t="s">
        <v>883</v>
      </c>
      <c r="D648" s="5" t="s">
        <v>1342</v>
      </c>
      <c r="E648" s="5" t="s">
        <v>103</v>
      </c>
      <c r="F648" s="5" t="s">
        <v>245</v>
      </c>
      <c r="G648" s="5" t="s">
        <v>246</v>
      </c>
      <c r="H648" s="5" t="s">
        <v>38</v>
      </c>
      <c r="I648" s="5" t="s">
        <v>39</v>
      </c>
      <c r="J648" s="5" t="s">
        <v>165</v>
      </c>
      <c r="K648" s="5">
        <v>2</v>
      </c>
      <c r="L648" s="5">
        <v>12000</v>
      </c>
      <c r="M648" s="5">
        <v>0.05</v>
      </c>
      <c r="N648" s="5">
        <v>22800</v>
      </c>
      <c r="O648" s="5">
        <v>18035.560000000001</v>
      </c>
      <c r="P648" s="5">
        <v>4764.4399999999996</v>
      </c>
      <c r="Q648" s="5">
        <v>20.9</v>
      </c>
      <c r="R648" s="5" t="s">
        <v>41</v>
      </c>
      <c r="S648" s="5" t="s">
        <v>42</v>
      </c>
      <c r="T648" s="5" t="s">
        <v>138</v>
      </c>
      <c r="U648" s="5" t="s">
        <v>87</v>
      </c>
      <c r="V648" s="5">
        <v>2025</v>
      </c>
      <c r="W648" s="5" t="s">
        <v>194</v>
      </c>
      <c r="X648" s="5">
        <v>8</v>
      </c>
      <c r="Y648" s="1" t="s">
        <v>1729</v>
      </c>
      <c r="Z648" s="5" t="s">
        <v>110</v>
      </c>
      <c r="AA648" s="5" t="s">
        <v>90</v>
      </c>
      <c r="AB648" s="5" t="s">
        <v>49</v>
      </c>
      <c r="AC648" s="5" t="s">
        <v>50</v>
      </c>
      <c r="AD648" s="5">
        <v>3</v>
      </c>
    </row>
    <row r="649" spans="1:30">
      <c r="A649" s="5" t="s">
        <v>1730</v>
      </c>
      <c r="B649" s="1" t="s">
        <v>190</v>
      </c>
      <c r="C649" s="5" t="s">
        <v>989</v>
      </c>
      <c r="D649" s="5" t="s">
        <v>1731</v>
      </c>
      <c r="E649" s="5" t="s">
        <v>55</v>
      </c>
      <c r="F649" s="5" t="s">
        <v>104</v>
      </c>
      <c r="G649" s="5" t="s">
        <v>104</v>
      </c>
      <c r="H649" s="5" t="s">
        <v>58</v>
      </c>
      <c r="I649" s="5" t="s">
        <v>95</v>
      </c>
      <c r="J649" s="5" t="s">
        <v>96</v>
      </c>
      <c r="K649" s="5">
        <v>2</v>
      </c>
      <c r="L649" s="5">
        <v>9000</v>
      </c>
      <c r="M649" s="5">
        <v>0.2</v>
      </c>
      <c r="N649" s="5">
        <v>14400</v>
      </c>
      <c r="O649" s="5">
        <v>9562.7999999999993</v>
      </c>
      <c r="P649" s="5">
        <v>4837.2</v>
      </c>
      <c r="Q649" s="5">
        <v>33.590000000000003</v>
      </c>
      <c r="R649" s="5" t="s">
        <v>166</v>
      </c>
      <c r="S649" s="5" t="s">
        <v>74</v>
      </c>
      <c r="T649" s="5" t="s">
        <v>86</v>
      </c>
      <c r="U649" s="5" t="s">
        <v>178</v>
      </c>
      <c r="V649" s="5">
        <v>2024</v>
      </c>
      <c r="W649" s="5" t="s">
        <v>139</v>
      </c>
      <c r="X649" s="5">
        <v>6</v>
      </c>
      <c r="Y649" s="1" t="s">
        <v>721</v>
      </c>
      <c r="Z649" s="5" t="s">
        <v>47</v>
      </c>
      <c r="AA649" s="5" t="s">
        <v>48</v>
      </c>
      <c r="AB649" s="5" t="s">
        <v>78</v>
      </c>
      <c r="AC649" s="5" t="s">
        <v>50</v>
      </c>
      <c r="AD649" s="5">
        <v>5</v>
      </c>
    </row>
    <row r="650" spans="1:30">
      <c r="A650" s="5" t="s">
        <v>1732</v>
      </c>
      <c r="B650" s="1" t="s">
        <v>1733</v>
      </c>
      <c r="C650" s="5" t="s">
        <v>163</v>
      </c>
      <c r="D650" s="5" t="s">
        <v>1400</v>
      </c>
      <c r="E650" s="5" t="s">
        <v>103</v>
      </c>
      <c r="F650" s="5" t="s">
        <v>131</v>
      </c>
      <c r="G650" s="5" t="s">
        <v>132</v>
      </c>
      <c r="H650" s="5" t="s">
        <v>58</v>
      </c>
      <c r="I650" s="5" t="s">
        <v>59</v>
      </c>
      <c r="J650" s="5" t="s">
        <v>206</v>
      </c>
      <c r="K650" s="5">
        <v>1</v>
      </c>
      <c r="L650" s="5">
        <v>1200</v>
      </c>
      <c r="M650" s="5">
        <v>0.2</v>
      </c>
      <c r="N650" s="5">
        <v>960</v>
      </c>
      <c r="O650" s="5">
        <v>599.22</v>
      </c>
      <c r="P650" s="5">
        <v>360.78</v>
      </c>
      <c r="Q650" s="5">
        <v>37.58</v>
      </c>
      <c r="R650" s="5" t="s">
        <v>41</v>
      </c>
      <c r="S650" s="5" t="s">
        <v>62</v>
      </c>
      <c r="T650" s="5" t="s">
        <v>118</v>
      </c>
      <c r="U650" s="5" t="s">
        <v>44</v>
      </c>
      <c r="V650" s="5">
        <v>2025</v>
      </c>
      <c r="W650" s="5" t="s">
        <v>109</v>
      </c>
      <c r="X650" s="5">
        <v>4</v>
      </c>
      <c r="Y650" s="1">
        <v>45721</v>
      </c>
      <c r="Z650" s="5" t="s">
        <v>110</v>
      </c>
      <c r="AA650" s="5" t="s">
        <v>48</v>
      </c>
      <c r="AB650" s="5" t="s">
        <v>78</v>
      </c>
      <c r="AC650" s="5" t="s">
        <v>50</v>
      </c>
      <c r="AD650" s="5">
        <v>1</v>
      </c>
    </row>
    <row r="651" spans="1:30">
      <c r="A651" s="5" t="s">
        <v>1734</v>
      </c>
      <c r="B651" s="1" t="s">
        <v>1316</v>
      </c>
      <c r="C651" s="5" t="s">
        <v>930</v>
      </c>
      <c r="D651" s="5" t="s">
        <v>137</v>
      </c>
      <c r="E651" s="5" t="s">
        <v>35</v>
      </c>
      <c r="F651" s="5" t="s">
        <v>156</v>
      </c>
      <c r="G651" s="5" t="s">
        <v>157</v>
      </c>
      <c r="H651" s="5" t="s">
        <v>38</v>
      </c>
      <c r="I651" s="5" t="s">
        <v>95</v>
      </c>
      <c r="J651" s="5" t="s">
        <v>344</v>
      </c>
      <c r="K651" s="5">
        <v>7</v>
      </c>
      <c r="L651" s="5">
        <v>4000</v>
      </c>
      <c r="M651" s="5">
        <v>0.1</v>
      </c>
      <c r="N651" s="5">
        <v>25200</v>
      </c>
      <c r="O651" s="5">
        <v>19236.919999999998</v>
      </c>
      <c r="P651" s="5">
        <v>5963.08</v>
      </c>
      <c r="Q651" s="5">
        <v>23.66</v>
      </c>
      <c r="R651" s="5" t="s">
        <v>106</v>
      </c>
      <c r="S651" s="5" t="s">
        <v>42</v>
      </c>
      <c r="T651" s="5" t="s">
        <v>97</v>
      </c>
      <c r="U651" s="5" t="s">
        <v>108</v>
      </c>
      <c r="V651" s="5">
        <v>2024</v>
      </c>
      <c r="W651" s="5" t="s">
        <v>126</v>
      </c>
      <c r="X651" s="5">
        <v>8</v>
      </c>
      <c r="Y651" s="1">
        <v>45514</v>
      </c>
      <c r="Z651" s="5" t="s">
        <v>89</v>
      </c>
      <c r="AA651" s="5" t="s">
        <v>90</v>
      </c>
      <c r="AB651" s="5" t="s">
        <v>49</v>
      </c>
      <c r="AC651" s="5" t="s">
        <v>50</v>
      </c>
      <c r="AD651" s="5">
        <v>5</v>
      </c>
    </row>
    <row r="652" spans="1:30">
      <c r="A652" s="5" t="s">
        <v>1735</v>
      </c>
      <c r="B652" s="1">
        <v>45690</v>
      </c>
      <c r="C652" s="5" t="s">
        <v>1736</v>
      </c>
      <c r="D652" s="5" t="s">
        <v>870</v>
      </c>
      <c r="E652" s="5" t="s">
        <v>55</v>
      </c>
      <c r="F652" s="5" t="s">
        <v>56</v>
      </c>
      <c r="G652" s="5" t="s">
        <v>57</v>
      </c>
      <c r="H652" s="5" t="s">
        <v>38</v>
      </c>
      <c r="I652" s="5" t="s">
        <v>59</v>
      </c>
      <c r="J652" s="5" t="s">
        <v>133</v>
      </c>
      <c r="K652" s="5">
        <v>10</v>
      </c>
      <c r="L652" s="5">
        <v>1200</v>
      </c>
      <c r="M652" s="5">
        <v>0.2</v>
      </c>
      <c r="N652" s="5">
        <v>9600</v>
      </c>
      <c r="O652" s="5">
        <v>5312.57</v>
      </c>
      <c r="P652" s="5">
        <v>4287.43</v>
      </c>
      <c r="Q652" s="5">
        <v>44.66</v>
      </c>
      <c r="R652" s="5" t="s">
        <v>166</v>
      </c>
      <c r="S652" s="5" t="s">
        <v>42</v>
      </c>
      <c r="T652" s="5" t="s">
        <v>138</v>
      </c>
      <c r="U652" s="5" t="s">
        <v>98</v>
      </c>
      <c r="V652" s="5">
        <v>2025</v>
      </c>
      <c r="W652" s="5" t="s">
        <v>45</v>
      </c>
      <c r="X652" s="5">
        <v>8</v>
      </c>
      <c r="Y652" s="1">
        <v>45932</v>
      </c>
      <c r="Z652" s="5" t="s">
        <v>89</v>
      </c>
      <c r="AA652" s="5" t="s">
        <v>90</v>
      </c>
      <c r="AB652" s="5" t="s">
        <v>111</v>
      </c>
      <c r="AC652" s="5" t="s">
        <v>121</v>
      </c>
      <c r="AD652" s="5">
        <v>4</v>
      </c>
    </row>
    <row r="653" spans="1:30">
      <c r="A653" s="5" t="s">
        <v>1737</v>
      </c>
      <c r="B653" s="1" t="s">
        <v>530</v>
      </c>
      <c r="C653" s="5" t="s">
        <v>1738</v>
      </c>
      <c r="D653" s="5" t="s">
        <v>1483</v>
      </c>
      <c r="E653" s="5" t="s">
        <v>55</v>
      </c>
      <c r="F653" s="5" t="s">
        <v>116</v>
      </c>
      <c r="G653" s="5" t="s">
        <v>37</v>
      </c>
      <c r="H653" s="5" t="s">
        <v>171</v>
      </c>
      <c r="I653" s="5" t="s">
        <v>71</v>
      </c>
      <c r="J653" s="5" t="s">
        <v>72</v>
      </c>
      <c r="K653" s="5">
        <v>10</v>
      </c>
      <c r="L653" s="5">
        <v>700</v>
      </c>
      <c r="M653" s="5">
        <v>0.15</v>
      </c>
      <c r="N653" s="5">
        <v>5950</v>
      </c>
      <c r="O653" s="5">
        <v>3605.93</v>
      </c>
      <c r="P653" s="5">
        <v>2344.0700000000002</v>
      </c>
      <c r="Q653" s="5">
        <v>39.4</v>
      </c>
      <c r="R653" s="5" t="s">
        <v>166</v>
      </c>
      <c r="S653" s="5" t="s">
        <v>42</v>
      </c>
      <c r="T653" s="5" t="s">
        <v>138</v>
      </c>
      <c r="U653" s="5" t="s">
        <v>151</v>
      </c>
      <c r="V653" s="5">
        <v>2025</v>
      </c>
      <c r="W653" s="5" t="s">
        <v>126</v>
      </c>
      <c r="X653" s="5">
        <v>6</v>
      </c>
      <c r="Y653" s="1">
        <v>45724</v>
      </c>
      <c r="Z653" s="5" t="s">
        <v>47</v>
      </c>
      <c r="AA653" s="5" t="s">
        <v>90</v>
      </c>
      <c r="AB653" s="5" t="s">
        <v>49</v>
      </c>
      <c r="AC653" s="5" t="s">
        <v>121</v>
      </c>
      <c r="AD653" s="5">
        <v>5</v>
      </c>
    </row>
    <row r="654" spans="1:30">
      <c r="A654" s="5" t="s">
        <v>1739</v>
      </c>
      <c r="B654" s="1" t="s">
        <v>269</v>
      </c>
      <c r="C654" s="5" t="s">
        <v>659</v>
      </c>
      <c r="D654" s="5" t="s">
        <v>1049</v>
      </c>
      <c r="E654" s="5" t="s">
        <v>103</v>
      </c>
      <c r="F654" s="5" t="s">
        <v>82</v>
      </c>
      <c r="G654" s="5" t="s">
        <v>83</v>
      </c>
      <c r="H654" s="5" t="s">
        <v>58</v>
      </c>
      <c r="I654" s="5" t="s">
        <v>59</v>
      </c>
      <c r="J654" s="5" t="s">
        <v>133</v>
      </c>
      <c r="K654" s="5">
        <v>7</v>
      </c>
      <c r="L654" s="5">
        <v>500</v>
      </c>
      <c r="M654" s="5">
        <v>0.1</v>
      </c>
      <c r="N654" s="5">
        <v>3150</v>
      </c>
      <c r="O654" s="5">
        <v>2051.6799999999998</v>
      </c>
      <c r="P654" s="5">
        <v>1098.32</v>
      </c>
      <c r="Q654" s="5">
        <v>34.869999999999997</v>
      </c>
      <c r="R654" s="5" t="s">
        <v>106</v>
      </c>
      <c r="S654" s="5" t="s">
        <v>62</v>
      </c>
      <c r="T654" s="5" t="s">
        <v>86</v>
      </c>
      <c r="U654" s="5" t="s">
        <v>151</v>
      </c>
      <c r="V654" s="5">
        <v>2025</v>
      </c>
      <c r="W654" s="5" t="s">
        <v>134</v>
      </c>
      <c r="X654" s="5">
        <v>8</v>
      </c>
      <c r="Y654" s="1" t="s">
        <v>1354</v>
      </c>
      <c r="Z654" s="5" t="s">
        <v>47</v>
      </c>
      <c r="AA654" s="5" t="s">
        <v>90</v>
      </c>
      <c r="AB654" s="5" t="s">
        <v>49</v>
      </c>
      <c r="AC654" s="5" t="s">
        <v>50</v>
      </c>
      <c r="AD654" s="5">
        <v>2</v>
      </c>
    </row>
    <row r="655" spans="1:30">
      <c r="A655" s="5" t="s">
        <v>1740</v>
      </c>
      <c r="B655" s="1">
        <v>45750</v>
      </c>
      <c r="C655" s="5" t="s">
        <v>406</v>
      </c>
      <c r="D655" s="5" t="s">
        <v>643</v>
      </c>
      <c r="E655" s="5" t="s">
        <v>103</v>
      </c>
      <c r="F655" s="5" t="s">
        <v>245</v>
      </c>
      <c r="G655" s="5" t="s">
        <v>246</v>
      </c>
      <c r="H655" s="5" t="s">
        <v>171</v>
      </c>
      <c r="I655" s="5" t="s">
        <v>71</v>
      </c>
      <c r="J655" s="5" t="s">
        <v>172</v>
      </c>
      <c r="K655" s="5">
        <v>7</v>
      </c>
      <c r="L655" s="5">
        <v>1800</v>
      </c>
      <c r="M655" s="5">
        <v>0.05</v>
      </c>
      <c r="N655" s="5">
        <v>11970</v>
      </c>
      <c r="O655" s="5">
        <v>7615.78</v>
      </c>
      <c r="P655" s="5">
        <v>4354.22</v>
      </c>
      <c r="Q655" s="5">
        <v>36.380000000000003</v>
      </c>
      <c r="R655" s="5" t="s">
        <v>41</v>
      </c>
      <c r="S655" s="5" t="s">
        <v>42</v>
      </c>
      <c r="T655" s="5" t="s">
        <v>107</v>
      </c>
      <c r="U655" s="5" t="s">
        <v>178</v>
      </c>
      <c r="V655" s="5">
        <v>2025</v>
      </c>
      <c r="W655" s="5" t="s">
        <v>109</v>
      </c>
      <c r="X655" s="5">
        <v>10</v>
      </c>
      <c r="Y655" s="1" t="s">
        <v>1443</v>
      </c>
      <c r="Z655" s="5" t="s">
        <v>47</v>
      </c>
      <c r="AA655" s="5" t="s">
        <v>67</v>
      </c>
      <c r="AB655" s="5" t="s">
        <v>49</v>
      </c>
      <c r="AC655" s="5" t="s">
        <v>50</v>
      </c>
      <c r="AD655" s="5">
        <v>4</v>
      </c>
    </row>
    <row r="656" spans="1:30">
      <c r="A656" s="5" t="s">
        <v>1741</v>
      </c>
      <c r="B656" s="1" t="s">
        <v>1040</v>
      </c>
      <c r="C656" s="5" t="s">
        <v>565</v>
      </c>
      <c r="D656" s="5" t="s">
        <v>802</v>
      </c>
      <c r="E656" s="5" t="s">
        <v>35</v>
      </c>
      <c r="F656" s="5" t="s">
        <v>56</v>
      </c>
      <c r="G656" s="5" t="s">
        <v>57</v>
      </c>
      <c r="H656" s="5" t="s">
        <v>94</v>
      </c>
      <c r="I656" s="5" t="s">
        <v>84</v>
      </c>
      <c r="J656" s="5" t="s">
        <v>290</v>
      </c>
      <c r="K656" s="5">
        <v>3</v>
      </c>
      <c r="L656" s="5">
        <v>200</v>
      </c>
      <c r="M656" s="5">
        <v>0.15</v>
      </c>
      <c r="N656" s="5">
        <v>510</v>
      </c>
      <c r="O656" s="5">
        <v>394.77</v>
      </c>
      <c r="P656" s="5">
        <v>115.23</v>
      </c>
      <c r="Q656" s="5">
        <v>22.59</v>
      </c>
      <c r="R656" s="5" t="s">
        <v>41</v>
      </c>
      <c r="S656" s="5" t="s">
        <v>42</v>
      </c>
      <c r="T656" s="5" t="s">
        <v>75</v>
      </c>
      <c r="U656" s="5" t="s">
        <v>87</v>
      </c>
      <c r="V656" s="5">
        <v>2024</v>
      </c>
      <c r="W656" s="5" t="s">
        <v>109</v>
      </c>
      <c r="X656" s="5">
        <v>1</v>
      </c>
      <c r="Y656" s="1" t="s">
        <v>497</v>
      </c>
      <c r="Z656" s="5" t="s">
        <v>89</v>
      </c>
      <c r="AA656" s="5" t="s">
        <v>67</v>
      </c>
      <c r="AB656" s="5" t="s">
        <v>78</v>
      </c>
      <c r="AC656" s="5" t="s">
        <v>121</v>
      </c>
      <c r="AD656" s="5">
        <v>1</v>
      </c>
    </row>
    <row r="657" spans="1:30">
      <c r="A657" s="5" t="s">
        <v>1742</v>
      </c>
      <c r="B657" s="1" t="s">
        <v>1165</v>
      </c>
      <c r="C657" s="5" t="s">
        <v>989</v>
      </c>
      <c r="D657" s="5" t="s">
        <v>323</v>
      </c>
      <c r="E657" s="5" t="s">
        <v>35</v>
      </c>
      <c r="F657" s="5" t="s">
        <v>144</v>
      </c>
      <c r="G657" s="5" t="s">
        <v>145</v>
      </c>
      <c r="H657" s="5" t="s">
        <v>38</v>
      </c>
      <c r="I657" s="5" t="s">
        <v>95</v>
      </c>
      <c r="J657" s="5" t="s">
        <v>319</v>
      </c>
      <c r="K657" s="5">
        <v>10</v>
      </c>
      <c r="L657" s="5">
        <v>15000</v>
      </c>
      <c r="M657" s="5">
        <v>0.2</v>
      </c>
      <c r="N657" s="5">
        <v>120000</v>
      </c>
      <c r="O657" s="5">
        <v>89721.600000000006</v>
      </c>
      <c r="P657" s="5">
        <v>30278.400000000001</v>
      </c>
      <c r="Q657" s="5">
        <v>25.23</v>
      </c>
      <c r="R657" s="5" t="s">
        <v>41</v>
      </c>
      <c r="S657" s="5" t="s">
        <v>42</v>
      </c>
      <c r="T657" s="5" t="s">
        <v>138</v>
      </c>
      <c r="U657" s="5" t="s">
        <v>178</v>
      </c>
      <c r="V657" s="5">
        <v>2024</v>
      </c>
      <c r="W657" s="5" t="s">
        <v>65</v>
      </c>
      <c r="X657" s="5">
        <v>10</v>
      </c>
      <c r="Y657" s="1">
        <v>45326</v>
      </c>
      <c r="Z657" s="5" t="s">
        <v>89</v>
      </c>
      <c r="AA657" s="5" t="s">
        <v>48</v>
      </c>
      <c r="AB657" s="5" t="s">
        <v>49</v>
      </c>
      <c r="AC657" s="5" t="s">
        <v>50</v>
      </c>
      <c r="AD657" s="5">
        <v>1</v>
      </c>
    </row>
    <row r="658" spans="1:30">
      <c r="A658" s="5" t="s">
        <v>1743</v>
      </c>
      <c r="B658" s="1" t="s">
        <v>1059</v>
      </c>
      <c r="C658" s="5" t="s">
        <v>1145</v>
      </c>
      <c r="D658" s="5" t="s">
        <v>546</v>
      </c>
      <c r="E658" s="5" t="s">
        <v>55</v>
      </c>
      <c r="F658" s="5" t="s">
        <v>144</v>
      </c>
      <c r="G658" s="5" t="s">
        <v>145</v>
      </c>
      <c r="H658" s="5" t="s">
        <v>58</v>
      </c>
      <c r="I658" s="5" t="s">
        <v>71</v>
      </c>
      <c r="J658" s="5" t="s">
        <v>172</v>
      </c>
      <c r="K658" s="5">
        <v>9</v>
      </c>
      <c r="L658" s="5">
        <v>1200</v>
      </c>
      <c r="M658" s="5">
        <v>0.05</v>
      </c>
      <c r="N658" s="5">
        <v>10260</v>
      </c>
      <c r="O658" s="5">
        <v>6128.37</v>
      </c>
      <c r="P658" s="5">
        <v>4131.63</v>
      </c>
      <c r="Q658" s="5">
        <v>40.270000000000003</v>
      </c>
      <c r="R658" s="5" t="s">
        <v>106</v>
      </c>
      <c r="S658" s="5" t="s">
        <v>74</v>
      </c>
      <c r="T658" s="5" t="s">
        <v>63</v>
      </c>
      <c r="U658" s="5" t="s">
        <v>44</v>
      </c>
      <c r="V658" s="5">
        <v>2025</v>
      </c>
      <c r="W658" s="5" t="s">
        <v>45</v>
      </c>
      <c r="X658" s="5">
        <v>6</v>
      </c>
      <c r="Y658" s="1" t="s">
        <v>1744</v>
      </c>
      <c r="Z658" s="5" t="s">
        <v>47</v>
      </c>
      <c r="AA658" s="5" t="s">
        <v>67</v>
      </c>
      <c r="AB658" s="5" t="s">
        <v>78</v>
      </c>
      <c r="AC658" s="5" t="s">
        <v>121</v>
      </c>
      <c r="AD658" s="5">
        <v>5</v>
      </c>
    </row>
    <row r="659" spans="1:30">
      <c r="A659" s="5" t="s">
        <v>1745</v>
      </c>
      <c r="B659" s="1">
        <v>45939</v>
      </c>
      <c r="C659" s="5" t="s">
        <v>1746</v>
      </c>
      <c r="D659" s="5" t="s">
        <v>864</v>
      </c>
      <c r="E659" s="5" t="s">
        <v>35</v>
      </c>
      <c r="F659" s="5" t="s">
        <v>56</v>
      </c>
      <c r="G659" s="5" t="s">
        <v>57</v>
      </c>
      <c r="H659" s="5" t="s">
        <v>94</v>
      </c>
      <c r="I659" s="5" t="s">
        <v>95</v>
      </c>
      <c r="J659" s="5" t="s">
        <v>319</v>
      </c>
      <c r="K659" s="5">
        <v>8</v>
      </c>
      <c r="L659" s="5">
        <v>15000</v>
      </c>
      <c r="M659" s="5">
        <v>0</v>
      </c>
      <c r="N659" s="5">
        <v>120000</v>
      </c>
      <c r="O659" s="5">
        <v>73933.58</v>
      </c>
      <c r="P659" s="5">
        <v>46066.42</v>
      </c>
      <c r="Q659" s="5">
        <v>38.39</v>
      </c>
      <c r="R659" s="5" t="s">
        <v>41</v>
      </c>
      <c r="S659" s="5" t="s">
        <v>62</v>
      </c>
      <c r="T659" s="5" t="s">
        <v>75</v>
      </c>
      <c r="U659" s="5" t="s">
        <v>108</v>
      </c>
      <c r="V659" s="5">
        <v>2025</v>
      </c>
      <c r="W659" s="5" t="s">
        <v>134</v>
      </c>
      <c r="X659" s="5">
        <v>6</v>
      </c>
      <c r="Y659" s="1" t="s">
        <v>474</v>
      </c>
      <c r="Z659" s="5" t="s">
        <v>47</v>
      </c>
      <c r="AA659" s="5" t="s">
        <v>90</v>
      </c>
      <c r="AB659" s="5" t="s">
        <v>78</v>
      </c>
      <c r="AC659" s="5" t="s">
        <v>50</v>
      </c>
      <c r="AD659" s="5">
        <v>5</v>
      </c>
    </row>
    <row r="660" spans="1:30">
      <c r="A660" s="5" t="s">
        <v>1747</v>
      </c>
      <c r="B660" s="1">
        <v>45325</v>
      </c>
      <c r="C660" s="5" t="s">
        <v>292</v>
      </c>
      <c r="D660" s="5" t="s">
        <v>1635</v>
      </c>
      <c r="E660" s="5" t="s">
        <v>103</v>
      </c>
      <c r="F660" s="5" t="s">
        <v>36</v>
      </c>
      <c r="G660" s="5" t="s">
        <v>37</v>
      </c>
      <c r="H660" s="5" t="s">
        <v>94</v>
      </c>
      <c r="I660" s="5" t="s">
        <v>59</v>
      </c>
      <c r="J660" s="5" t="s">
        <v>372</v>
      </c>
      <c r="K660" s="5">
        <v>1</v>
      </c>
      <c r="L660" s="5">
        <v>2000</v>
      </c>
      <c r="M660" s="5">
        <v>0.15</v>
      </c>
      <c r="N660" s="5">
        <v>1700</v>
      </c>
      <c r="O660" s="5">
        <v>1315.19</v>
      </c>
      <c r="P660" s="5">
        <v>384.81</v>
      </c>
      <c r="Q660" s="5">
        <v>22.64</v>
      </c>
      <c r="R660" s="5" t="s">
        <v>166</v>
      </c>
      <c r="S660" s="5" t="s">
        <v>74</v>
      </c>
      <c r="T660" s="5" t="s">
        <v>173</v>
      </c>
      <c r="U660" s="5" t="s">
        <v>178</v>
      </c>
      <c r="V660" s="5">
        <v>2024</v>
      </c>
      <c r="W660" s="5" t="s">
        <v>65</v>
      </c>
      <c r="X660" s="5">
        <v>5</v>
      </c>
      <c r="Y660" s="1">
        <v>45476</v>
      </c>
      <c r="Z660" s="5" t="s">
        <v>110</v>
      </c>
      <c r="AA660" s="5" t="s">
        <v>90</v>
      </c>
      <c r="AB660" s="5" t="s">
        <v>78</v>
      </c>
      <c r="AC660" s="5" t="s">
        <v>121</v>
      </c>
      <c r="AD660" s="5">
        <v>2</v>
      </c>
    </row>
    <row r="661" spans="1:30">
      <c r="A661" s="5" t="s">
        <v>1748</v>
      </c>
      <c r="B661" s="1">
        <v>45359</v>
      </c>
      <c r="C661" s="5" t="s">
        <v>633</v>
      </c>
      <c r="D661" s="5" t="s">
        <v>1749</v>
      </c>
      <c r="E661" s="5" t="s">
        <v>103</v>
      </c>
      <c r="F661" s="5" t="s">
        <v>82</v>
      </c>
      <c r="G661" s="5" t="s">
        <v>83</v>
      </c>
      <c r="H661" s="5" t="s">
        <v>94</v>
      </c>
      <c r="I661" s="5" t="s">
        <v>71</v>
      </c>
      <c r="J661" s="5" t="s">
        <v>240</v>
      </c>
      <c r="K661" s="5">
        <v>3</v>
      </c>
      <c r="L661" s="5">
        <v>1200</v>
      </c>
      <c r="M661" s="5">
        <v>0.15</v>
      </c>
      <c r="N661" s="5">
        <v>3060</v>
      </c>
      <c r="O661" s="5">
        <v>1955.67</v>
      </c>
      <c r="P661" s="5">
        <v>1104.33</v>
      </c>
      <c r="Q661" s="5">
        <v>36.090000000000003</v>
      </c>
      <c r="R661" s="5" t="s">
        <v>73</v>
      </c>
      <c r="S661" s="5" t="s">
        <v>62</v>
      </c>
      <c r="T661" s="5" t="s">
        <v>97</v>
      </c>
      <c r="U661" s="5" t="s">
        <v>218</v>
      </c>
      <c r="V661" s="5">
        <v>2024</v>
      </c>
      <c r="W661" s="5" t="s">
        <v>65</v>
      </c>
      <c r="X661" s="5">
        <v>5</v>
      </c>
      <c r="Y661" s="1">
        <v>45512</v>
      </c>
      <c r="Z661" s="5" t="s">
        <v>47</v>
      </c>
      <c r="AA661" s="5" t="s">
        <v>67</v>
      </c>
      <c r="AB661" s="5" t="s">
        <v>111</v>
      </c>
      <c r="AC661" s="5" t="s">
        <v>50</v>
      </c>
      <c r="AD661" s="5">
        <v>3</v>
      </c>
    </row>
    <row r="662" spans="1:30">
      <c r="A662" s="5" t="s">
        <v>1750</v>
      </c>
      <c r="B662" s="1" t="s">
        <v>1751</v>
      </c>
      <c r="C662" s="5" t="s">
        <v>1212</v>
      </c>
      <c r="D662" s="5" t="s">
        <v>1038</v>
      </c>
      <c r="E662" s="5" t="s">
        <v>55</v>
      </c>
      <c r="F662" s="5" t="s">
        <v>56</v>
      </c>
      <c r="G662" s="5" t="s">
        <v>57</v>
      </c>
      <c r="H662" s="5" t="s">
        <v>171</v>
      </c>
      <c r="I662" s="5" t="s">
        <v>84</v>
      </c>
      <c r="J662" s="5" t="s">
        <v>217</v>
      </c>
      <c r="K662" s="5">
        <v>5</v>
      </c>
      <c r="L662" s="5">
        <v>800</v>
      </c>
      <c r="M662" s="5">
        <v>0</v>
      </c>
      <c r="N662" s="5">
        <v>4000</v>
      </c>
      <c r="O662" s="5">
        <v>2511.5</v>
      </c>
      <c r="P662" s="5">
        <v>1488.5</v>
      </c>
      <c r="Q662" s="5">
        <v>37.21</v>
      </c>
      <c r="R662" s="5" t="s">
        <v>61</v>
      </c>
      <c r="S662" s="5" t="s">
        <v>42</v>
      </c>
      <c r="T662" s="5" t="s">
        <v>118</v>
      </c>
      <c r="U662" s="5" t="s">
        <v>119</v>
      </c>
      <c r="V662" s="5">
        <v>2024</v>
      </c>
      <c r="W662" s="5" t="s">
        <v>139</v>
      </c>
      <c r="X662" s="5">
        <v>3</v>
      </c>
      <c r="Y662" s="1" t="s">
        <v>1448</v>
      </c>
      <c r="Z662" s="5" t="s">
        <v>89</v>
      </c>
      <c r="AA662" s="5" t="s">
        <v>48</v>
      </c>
      <c r="AB662" s="5" t="s">
        <v>111</v>
      </c>
      <c r="AC662" s="5" t="s">
        <v>50</v>
      </c>
      <c r="AD662" s="5">
        <v>4</v>
      </c>
    </row>
    <row r="663" spans="1:30">
      <c r="A663" s="5" t="s">
        <v>1752</v>
      </c>
      <c r="B663" s="1" t="s">
        <v>1319</v>
      </c>
      <c r="C663" s="5" t="s">
        <v>1215</v>
      </c>
      <c r="D663" s="5" t="s">
        <v>364</v>
      </c>
      <c r="E663" s="5" t="s">
        <v>55</v>
      </c>
      <c r="F663" s="5" t="s">
        <v>56</v>
      </c>
      <c r="G663" s="5" t="s">
        <v>57</v>
      </c>
      <c r="H663" s="5" t="s">
        <v>38</v>
      </c>
      <c r="I663" s="5" t="s">
        <v>84</v>
      </c>
      <c r="J663" s="5" t="s">
        <v>85</v>
      </c>
      <c r="K663" s="5">
        <v>3</v>
      </c>
      <c r="L663" s="5">
        <v>200</v>
      </c>
      <c r="M663" s="5">
        <v>0.2</v>
      </c>
      <c r="N663" s="5">
        <v>480</v>
      </c>
      <c r="O663" s="5">
        <v>346.52</v>
      </c>
      <c r="P663" s="5">
        <v>133.47999999999999</v>
      </c>
      <c r="Q663" s="5">
        <v>27.81</v>
      </c>
      <c r="R663" s="5" t="s">
        <v>41</v>
      </c>
      <c r="S663" s="5" t="s">
        <v>74</v>
      </c>
      <c r="T663" s="5" t="s">
        <v>159</v>
      </c>
      <c r="U663" s="5" t="s">
        <v>87</v>
      </c>
      <c r="V663" s="5">
        <v>2024</v>
      </c>
      <c r="W663" s="5" t="s">
        <v>65</v>
      </c>
      <c r="X663" s="5">
        <v>7</v>
      </c>
      <c r="Y663" s="1">
        <v>45333</v>
      </c>
      <c r="Z663" s="5" t="s">
        <v>47</v>
      </c>
      <c r="AA663" s="5" t="s">
        <v>67</v>
      </c>
      <c r="AB663" s="5" t="s">
        <v>111</v>
      </c>
      <c r="AC663" s="5" t="s">
        <v>50</v>
      </c>
      <c r="AD663" s="5">
        <v>4</v>
      </c>
    </row>
    <row r="664" spans="1:30">
      <c r="A664" s="5" t="s">
        <v>1753</v>
      </c>
      <c r="B664" s="1" t="s">
        <v>1261</v>
      </c>
      <c r="C664" s="5" t="s">
        <v>1132</v>
      </c>
      <c r="D664" s="5" t="s">
        <v>464</v>
      </c>
      <c r="E664" s="5" t="s">
        <v>103</v>
      </c>
      <c r="F664" s="5" t="s">
        <v>144</v>
      </c>
      <c r="G664" s="5" t="s">
        <v>145</v>
      </c>
      <c r="H664" s="5" t="s">
        <v>94</v>
      </c>
      <c r="I664" s="5" t="s">
        <v>95</v>
      </c>
      <c r="J664" s="5" t="s">
        <v>184</v>
      </c>
      <c r="K664" s="5">
        <v>3</v>
      </c>
      <c r="L664" s="5">
        <v>15000</v>
      </c>
      <c r="M664" s="5">
        <v>0.2</v>
      </c>
      <c r="N664" s="5">
        <v>36000</v>
      </c>
      <c r="O664" s="5">
        <v>23473.95</v>
      </c>
      <c r="P664" s="5">
        <v>12526.05</v>
      </c>
      <c r="Q664" s="5">
        <v>34.79</v>
      </c>
      <c r="R664" s="5" t="s">
        <v>73</v>
      </c>
      <c r="S664" s="5" t="s">
        <v>62</v>
      </c>
      <c r="T664" s="5" t="s">
        <v>75</v>
      </c>
      <c r="U664" s="5" t="s">
        <v>198</v>
      </c>
      <c r="V664" s="5">
        <v>2024</v>
      </c>
      <c r="W664" s="5" t="s">
        <v>45</v>
      </c>
      <c r="X664" s="5">
        <v>9</v>
      </c>
      <c r="Y664" s="1" t="s">
        <v>1713</v>
      </c>
      <c r="Z664" s="5" t="s">
        <v>47</v>
      </c>
      <c r="AA664" s="5" t="s">
        <v>90</v>
      </c>
      <c r="AB664" s="5" t="s">
        <v>111</v>
      </c>
      <c r="AC664" s="5" t="s">
        <v>121</v>
      </c>
      <c r="AD664" s="5">
        <v>3</v>
      </c>
    </row>
    <row r="665" spans="1:30">
      <c r="A665" s="5" t="s">
        <v>1754</v>
      </c>
      <c r="B665" s="1" t="s">
        <v>793</v>
      </c>
      <c r="C665" s="5" t="s">
        <v>675</v>
      </c>
      <c r="D665" s="5" t="s">
        <v>1166</v>
      </c>
      <c r="E665" s="5" t="s">
        <v>103</v>
      </c>
      <c r="F665" s="5" t="s">
        <v>149</v>
      </c>
      <c r="G665" s="5" t="s">
        <v>150</v>
      </c>
      <c r="H665" s="5" t="s">
        <v>58</v>
      </c>
      <c r="I665" s="5" t="s">
        <v>84</v>
      </c>
      <c r="J665" s="5" t="s">
        <v>85</v>
      </c>
      <c r="K665" s="5">
        <v>4</v>
      </c>
      <c r="L665" s="5">
        <v>200</v>
      </c>
      <c r="M665" s="5">
        <v>0.1</v>
      </c>
      <c r="N665" s="5">
        <v>720</v>
      </c>
      <c r="O665" s="5">
        <v>465.3</v>
      </c>
      <c r="P665" s="5">
        <v>254.7</v>
      </c>
      <c r="Q665" s="5">
        <v>35.380000000000003</v>
      </c>
      <c r="R665" s="5" t="s">
        <v>41</v>
      </c>
      <c r="S665" s="5" t="s">
        <v>74</v>
      </c>
      <c r="T665" s="5" t="s">
        <v>86</v>
      </c>
      <c r="U665" s="5" t="s">
        <v>108</v>
      </c>
      <c r="V665" s="5">
        <v>2025</v>
      </c>
      <c r="W665" s="5" t="s">
        <v>126</v>
      </c>
      <c r="X665" s="5">
        <v>2</v>
      </c>
      <c r="Y665" s="1" t="s">
        <v>1678</v>
      </c>
      <c r="Z665" s="5" t="s">
        <v>47</v>
      </c>
      <c r="AA665" s="5" t="s">
        <v>67</v>
      </c>
      <c r="AB665" s="5" t="s">
        <v>111</v>
      </c>
      <c r="AC665" s="5" t="s">
        <v>121</v>
      </c>
      <c r="AD665" s="5">
        <v>4</v>
      </c>
    </row>
    <row r="666" spans="1:30">
      <c r="A666" s="5" t="s">
        <v>1755</v>
      </c>
      <c r="B666" s="1">
        <v>45664</v>
      </c>
      <c r="C666" s="5" t="s">
        <v>781</v>
      </c>
      <c r="D666" s="5" t="s">
        <v>634</v>
      </c>
      <c r="E666" s="5" t="s">
        <v>103</v>
      </c>
      <c r="F666" s="5" t="s">
        <v>36</v>
      </c>
      <c r="G666" s="5" t="s">
        <v>37</v>
      </c>
      <c r="H666" s="5" t="s">
        <v>38</v>
      </c>
      <c r="I666" s="5" t="s">
        <v>84</v>
      </c>
      <c r="J666" s="5" t="s">
        <v>217</v>
      </c>
      <c r="K666" s="5">
        <v>2</v>
      </c>
      <c r="L666" s="5">
        <v>350</v>
      </c>
      <c r="M666" s="5">
        <v>0.2</v>
      </c>
      <c r="N666" s="5">
        <v>560</v>
      </c>
      <c r="O666" s="5">
        <v>454.73</v>
      </c>
      <c r="P666" s="5">
        <v>105.27</v>
      </c>
      <c r="Q666" s="5">
        <v>18.8</v>
      </c>
      <c r="R666" s="5" t="s">
        <v>73</v>
      </c>
      <c r="S666" s="5" t="s">
        <v>62</v>
      </c>
      <c r="T666" s="5" t="s">
        <v>118</v>
      </c>
      <c r="U666" s="5" t="s">
        <v>151</v>
      </c>
      <c r="V666" s="5">
        <v>2025</v>
      </c>
      <c r="W666" s="5" t="s">
        <v>109</v>
      </c>
      <c r="X666" s="5">
        <v>9</v>
      </c>
      <c r="Y666" s="1">
        <v>45937</v>
      </c>
      <c r="Z666" s="5" t="s">
        <v>47</v>
      </c>
      <c r="AA666" s="5" t="s">
        <v>48</v>
      </c>
      <c r="AB666" s="5" t="s">
        <v>111</v>
      </c>
      <c r="AC666" s="5" t="s">
        <v>121</v>
      </c>
      <c r="AD666" s="5">
        <v>2</v>
      </c>
    </row>
    <row r="667" spans="1:30">
      <c r="A667" s="5" t="s">
        <v>1756</v>
      </c>
      <c r="B667" s="1">
        <v>45606</v>
      </c>
      <c r="C667" s="5" t="s">
        <v>1757</v>
      </c>
      <c r="D667" s="5" t="s">
        <v>1758</v>
      </c>
      <c r="E667" s="5" t="s">
        <v>55</v>
      </c>
      <c r="F667" s="5" t="s">
        <v>56</v>
      </c>
      <c r="G667" s="5" t="s">
        <v>57</v>
      </c>
      <c r="H667" s="5" t="s">
        <v>58</v>
      </c>
      <c r="I667" s="5" t="s">
        <v>95</v>
      </c>
      <c r="J667" s="5" t="s">
        <v>344</v>
      </c>
      <c r="K667" s="5">
        <v>10</v>
      </c>
      <c r="L667" s="5">
        <v>6000</v>
      </c>
      <c r="M667" s="5">
        <v>0.2</v>
      </c>
      <c r="N667" s="5">
        <v>48000</v>
      </c>
      <c r="O667" s="5">
        <v>35904.050000000003</v>
      </c>
      <c r="P667" s="5">
        <v>12095.95</v>
      </c>
      <c r="Q667" s="5">
        <v>25.2</v>
      </c>
      <c r="R667" s="5" t="s">
        <v>73</v>
      </c>
      <c r="S667" s="5" t="s">
        <v>74</v>
      </c>
      <c r="T667" s="5" t="s">
        <v>86</v>
      </c>
      <c r="U667" s="5" t="s">
        <v>87</v>
      </c>
      <c r="V667" s="5">
        <v>2024</v>
      </c>
      <c r="W667" s="5" t="s">
        <v>194</v>
      </c>
      <c r="X667" s="5">
        <v>2</v>
      </c>
      <c r="Y667" s="1" t="s">
        <v>1325</v>
      </c>
      <c r="Z667" s="5" t="s">
        <v>47</v>
      </c>
      <c r="AA667" s="5" t="s">
        <v>48</v>
      </c>
      <c r="AB667" s="5" t="s">
        <v>111</v>
      </c>
      <c r="AC667" s="5" t="s">
        <v>50</v>
      </c>
      <c r="AD667" s="5">
        <v>4</v>
      </c>
    </row>
    <row r="668" spans="1:30">
      <c r="A668" s="5" t="s">
        <v>1759</v>
      </c>
      <c r="B668" s="1">
        <v>45752</v>
      </c>
      <c r="C668" s="5" t="s">
        <v>885</v>
      </c>
      <c r="D668" s="5" t="s">
        <v>725</v>
      </c>
      <c r="E668" s="5" t="s">
        <v>103</v>
      </c>
      <c r="F668" s="5" t="s">
        <v>36</v>
      </c>
      <c r="G668" s="5" t="s">
        <v>37</v>
      </c>
      <c r="H668" s="5" t="s">
        <v>38</v>
      </c>
      <c r="I668" s="5" t="s">
        <v>59</v>
      </c>
      <c r="J668" s="5" t="s">
        <v>328</v>
      </c>
      <c r="K668" s="5">
        <v>6</v>
      </c>
      <c r="L668" s="5">
        <v>500</v>
      </c>
      <c r="M668" s="5">
        <v>0.05</v>
      </c>
      <c r="N668" s="5">
        <v>2850</v>
      </c>
      <c r="O668" s="5">
        <v>1631.67</v>
      </c>
      <c r="P668" s="5">
        <v>1218.33</v>
      </c>
      <c r="Q668" s="5">
        <v>42.75</v>
      </c>
      <c r="R668" s="5" t="s">
        <v>41</v>
      </c>
      <c r="S668" s="5" t="s">
        <v>62</v>
      </c>
      <c r="T668" s="5" t="s">
        <v>159</v>
      </c>
      <c r="U668" s="5" t="s">
        <v>119</v>
      </c>
      <c r="V668" s="5">
        <v>2025</v>
      </c>
      <c r="W668" s="5" t="s">
        <v>45</v>
      </c>
      <c r="X668" s="5">
        <v>2</v>
      </c>
      <c r="Y668" s="1">
        <v>45813</v>
      </c>
      <c r="Z668" s="5" t="s">
        <v>110</v>
      </c>
      <c r="AA668" s="5" t="s">
        <v>48</v>
      </c>
      <c r="AB668" s="5" t="s">
        <v>49</v>
      </c>
      <c r="AC668" s="5" t="s">
        <v>50</v>
      </c>
      <c r="AD668" s="5">
        <v>1</v>
      </c>
    </row>
    <row r="669" spans="1:30">
      <c r="A669" s="5" t="s">
        <v>1760</v>
      </c>
      <c r="B669" s="1" t="s">
        <v>1761</v>
      </c>
      <c r="C669" s="5" t="s">
        <v>809</v>
      </c>
      <c r="D669" s="5" t="s">
        <v>810</v>
      </c>
      <c r="E669" s="5" t="s">
        <v>103</v>
      </c>
      <c r="F669" s="5" t="s">
        <v>56</v>
      </c>
      <c r="G669" s="5" t="s">
        <v>57</v>
      </c>
      <c r="H669" s="5" t="s">
        <v>94</v>
      </c>
      <c r="I669" s="5" t="s">
        <v>95</v>
      </c>
      <c r="J669" s="5" t="s">
        <v>96</v>
      </c>
      <c r="K669" s="5">
        <v>10</v>
      </c>
      <c r="L669" s="5">
        <v>9000</v>
      </c>
      <c r="M669" s="5">
        <v>0</v>
      </c>
      <c r="N669" s="5">
        <v>90000</v>
      </c>
      <c r="O669" s="5">
        <v>56079.06</v>
      </c>
      <c r="P669" s="5">
        <v>33920.94</v>
      </c>
      <c r="Q669" s="5">
        <v>37.69</v>
      </c>
      <c r="R669" s="5" t="s">
        <v>41</v>
      </c>
      <c r="S669" s="5" t="s">
        <v>62</v>
      </c>
      <c r="T669" s="5" t="s">
        <v>159</v>
      </c>
      <c r="U669" s="5" t="s">
        <v>108</v>
      </c>
      <c r="V669" s="5">
        <v>2024</v>
      </c>
      <c r="W669" s="5" t="s">
        <v>65</v>
      </c>
      <c r="X669" s="5">
        <v>7</v>
      </c>
      <c r="Y669" s="1" t="s">
        <v>788</v>
      </c>
      <c r="Z669" s="5" t="s">
        <v>89</v>
      </c>
      <c r="AA669" s="5" t="s">
        <v>67</v>
      </c>
      <c r="AB669" s="5" t="s">
        <v>111</v>
      </c>
      <c r="AC669" s="5" t="s">
        <v>121</v>
      </c>
      <c r="AD669" s="5">
        <v>3</v>
      </c>
    </row>
    <row r="670" spans="1:30">
      <c r="A670" s="5" t="s">
        <v>1762</v>
      </c>
      <c r="B670" s="1">
        <v>45419</v>
      </c>
      <c r="C670" s="5" t="s">
        <v>1656</v>
      </c>
      <c r="D670" s="5" t="s">
        <v>263</v>
      </c>
      <c r="E670" s="5" t="s">
        <v>35</v>
      </c>
      <c r="F670" s="5" t="s">
        <v>116</v>
      </c>
      <c r="G670" s="5" t="s">
        <v>37</v>
      </c>
      <c r="H670" s="5" t="s">
        <v>38</v>
      </c>
      <c r="I670" s="5" t="s">
        <v>59</v>
      </c>
      <c r="J670" s="5" t="s">
        <v>372</v>
      </c>
      <c r="K670" s="5">
        <v>5</v>
      </c>
      <c r="L670" s="5">
        <v>2000</v>
      </c>
      <c r="M670" s="5">
        <v>0</v>
      </c>
      <c r="N670" s="5">
        <v>10000</v>
      </c>
      <c r="O670" s="5">
        <v>6361.86</v>
      </c>
      <c r="P670" s="5">
        <v>3638.14</v>
      </c>
      <c r="Q670" s="5">
        <v>36.380000000000003</v>
      </c>
      <c r="R670" s="5" t="s">
        <v>106</v>
      </c>
      <c r="S670" s="5" t="s">
        <v>62</v>
      </c>
      <c r="T670" s="5" t="s">
        <v>159</v>
      </c>
      <c r="U670" s="5" t="s">
        <v>151</v>
      </c>
      <c r="V670" s="5">
        <v>2024</v>
      </c>
      <c r="W670" s="5" t="s">
        <v>194</v>
      </c>
      <c r="X670" s="5">
        <v>8</v>
      </c>
      <c r="Y670" s="1" t="s">
        <v>1763</v>
      </c>
      <c r="Z670" s="5" t="s">
        <v>47</v>
      </c>
      <c r="AA670" s="5" t="s">
        <v>90</v>
      </c>
      <c r="AB670" s="5" t="s">
        <v>78</v>
      </c>
      <c r="AC670" s="5" t="s">
        <v>50</v>
      </c>
      <c r="AD670" s="5">
        <v>5</v>
      </c>
    </row>
    <row r="671" spans="1:30">
      <c r="A671" s="5" t="s">
        <v>1764</v>
      </c>
      <c r="B671" s="1" t="s">
        <v>1705</v>
      </c>
      <c r="C671" s="5" t="s">
        <v>309</v>
      </c>
      <c r="D671" s="5" t="s">
        <v>643</v>
      </c>
      <c r="E671" s="5" t="s">
        <v>55</v>
      </c>
      <c r="F671" s="5" t="s">
        <v>245</v>
      </c>
      <c r="G671" s="5" t="s">
        <v>246</v>
      </c>
      <c r="H671" s="5" t="s">
        <v>38</v>
      </c>
      <c r="I671" s="5" t="s">
        <v>95</v>
      </c>
      <c r="J671" s="5" t="s">
        <v>344</v>
      </c>
      <c r="K671" s="5">
        <v>4</v>
      </c>
      <c r="L671" s="5">
        <v>4000</v>
      </c>
      <c r="M671" s="5">
        <v>0.1</v>
      </c>
      <c r="N671" s="5">
        <v>14400</v>
      </c>
      <c r="O671" s="5">
        <v>10899.84</v>
      </c>
      <c r="P671" s="5">
        <v>3500.16</v>
      </c>
      <c r="Q671" s="5">
        <v>24.31</v>
      </c>
      <c r="R671" s="5" t="s">
        <v>41</v>
      </c>
      <c r="S671" s="5" t="s">
        <v>42</v>
      </c>
      <c r="T671" s="5" t="s">
        <v>118</v>
      </c>
      <c r="U671" s="5" t="s">
        <v>119</v>
      </c>
      <c r="V671" s="5">
        <v>2025</v>
      </c>
      <c r="W671" s="5" t="s">
        <v>134</v>
      </c>
      <c r="X671" s="5">
        <v>5</v>
      </c>
      <c r="Y671" s="1">
        <v>45694</v>
      </c>
      <c r="Z671" s="5" t="s">
        <v>47</v>
      </c>
      <c r="AA671" s="5" t="s">
        <v>67</v>
      </c>
      <c r="AB671" s="5" t="s">
        <v>49</v>
      </c>
      <c r="AC671" s="5" t="s">
        <v>121</v>
      </c>
      <c r="AD671" s="5">
        <v>4</v>
      </c>
    </row>
    <row r="672" spans="1:30">
      <c r="A672" s="5" t="s">
        <v>1765</v>
      </c>
      <c r="B672" s="1" t="s">
        <v>518</v>
      </c>
      <c r="C672" s="5" t="s">
        <v>1485</v>
      </c>
      <c r="D672" s="5" t="s">
        <v>1071</v>
      </c>
      <c r="E672" s="5" t="s">
        <v>55</v>
      </c>
      <c r="F672" s="5" t="s">
        <v>245</v>
      </c>
      <c r="G672" s="5" t="s">
        <v>246</v>
      </c>
      <c r="H672" s="5" t="s">
        <v>94</v>
      </c>
      <c r="I672" s="5" t="s">
        <v>95</v>
      </c>
      <c r="J672" s="5" t="s">
        <v>96</v>
      </c>
      <c r="K672" s="5">
        <v>3</v>
      </c>
      <c r="L672" s="5">
        <v>6000</v>
      </c>
      <c r="M672" s="5">
        <v>0.2</v>
      </c>
      <c r="N672" s="5">
        <v>14400</v>
      </c>
      <c r="O672" s="5">
        <v>10951.69</v>
      </c>
      <c r="P672" s="5">
        <v>3448.31</v>
      </c>
      <c r="Q672" s="5">
        <v>23.95</v>
      </c>
      <c r="R672" s="5" t="s">
        <v>61</v>
      </c>
      <c r="S672" s="5" t="s">
        <v>62</v>
      </c>
      <c r="T672" s="5" t="s">
        <v>118</v>
      </c>
      <c r="U672" s="5" t="s">
        <v>44</v>
      </c>
      <c r="V672" s="5">
        <v>2025</v>
      </c>
      <c r="W672" s="5" t="s">
        <v>134</v>
      </c>
      <c r="X672" s="5">
        <v>10</v>
      </c>
      <c r="Y672" s="1">
        <v>45935</v>
      </c>
      <c r="Z672" s="5" t="s">
        <v>110</v>
      </c>
      <c r="AA672" s="5" t="s">
        <v>67</v>
      </c>
      <c r="AB672" s="5" t="s">
        <v>78</v>
      </c>
      <c r="AC672" s="5" t="s">
        <v>50</v>
      </c>
      <c r="AD672" s="5">
        <v>3</v>
      </c>
    </row>
    <row r="673" spans="1:30">
      <c r="A673" s="5" t="s">
        <v>1766</v>
      </c>
      <c r="B673" s="1">
        <v>45444</v>
      </c>
      <c r="C673" s="5" t="s">
        <v>1621</v>
      </c>
      <c r="D673" s="5" t="s">
        <v>1112</v>
      </c>
      <c r="E673" s="5" t="s">
        <v>55</v>
      </c>
      <c r="F673" s="5" t="s">
        <v>56</v>
      </c>
      <c r="G673" s="5" t="s">
        <v>57</v>
      </c>
      <c r="H673" s="5" t="s">
        <v>58</v>
      </c>
      <c r="I673" s="5" t="s">
        <v>84</v>
      </c>
      <c r="J673" s="5" t="s">
        <v>290</v>
      </c>
      <c r="K673" s="5">
        <v>10</v>
      </c>
      <c r="L673" s="5">
        <v>500</v>
      </c>
      <c r="M673" s="5">
        <v>0.15</v>
      </c>
      <c r="N673" s="5">
        <v>4250</v>
      </c>
      <c r="O673" s="5">
        <v>3449.06</v>
      </c>
      <c r="P673" s="5">
        <v>800.94</v>
      </c>
      <c r="Q673" s="5">
        <v>18.850000000000001</v>
      </c>
      <c r="R673" s="5" t="s">
        <v>73</v>
      </c>
      <c r="S673" s="5" t="s">
        <v>74</v>
      </c>
      <c r="T673" s="5" t="s">
        <v>159</v>
      </c>
      <c r="U673" s="5" t="s">
        <v>76</v>
      </c>
      <c r="V673" s="5">
        <v>2024</v>
      </c>
      <c r="W673" s="5" t="s">
        <v>65</v>
      </c>
      <c r="X673" s="5">
        <v>7</v>
      </c>
      <c r="Y673" s="1" t="s">
        <v>697</v>
      </c>
      <c r="Z673" s="5" t="s">
        <v>47</v>
      </c>
      <c r="AA673" s="5" t="s">
        <v>67</v>
      </c>
      <c r="AB673" s="5" t="s">
        <v>78</v>
      </c>
      <c r="AC673" s="5" t="s">
        <v>121</v>
      </c>
      <c r="AD673" s="5">
        <v>3</v>
      </c>
    </row>
    <row r="674" spans="1:30">
      <c r="A674" s="5" t="s">
        <v>1767</v>
      </c>
      <c r="B674" s="1">
        <v>45512</v>
      </c>
      <c r="C674" s="5" t="s">
        <v>1646</v>
      </c>
      <c r="D674" s="5" t="s">
        <v>54</v>
      </c>
      <c r="E674" s="5" t="s">
        <v>35</v>
      </c>
      <c r="F674" s="5" t="s">
        <v>156</v>
      </c>
      <c r="G674" s="5" t="s">
        <v>157</v>
      </c>
      <c r="H674" s="5" t="s">
        <v>38</v>
      </c>
      <c r="I674" s="5" t="s">
        <v>71</v>
      </c>
      <c r="J674" s="5" t="s">
        <v>240</v>
      </c>
      <c r="K674" s="5">
        <v>9</v>
      </c>
      <c r="L674" s="5">
        <v>3500</v>
      </c>
      <c r="M674" s="5">
        <v>0.05</v>
      </c>
      <c r="N674" s="5">
        <v>29925</v>
      </c>
      <c r="O674" s="5">
        <v>20014.669999999998</v>
      </c>
      <c r="P674" s="5">
        <v>9910.33</v>
      </c>
      <c r="Q674" s="5">
        <v>33.119999999999997</v>
      </c>
      <c r="R674" s="5" t="s">
        <v>61</v>
      </c>
      <c r="S674" s="5" t="s">
        <v>42</v>
      </c>
      <c r="T674" s="5" t="s">
        <v>138</v>
      </c>
      <c r="U674" s="5" t="s">
        <v>218</v>
      </c>
      <c r="V674" s="5">
        <v>2024</v>
      </c>
      <c r="W674" s="5" t="s">
        <v>139</v>
      </c>
      <c r="X674" s="5">
        <v>10</v>
      </c>
      <c r="Y674" s="1" t="s">
        <v>661</v>
      </c>
      <c r="Z674" s="5" t="s">
        <v>89</v>
      </c>
      <c r="AA674" s="5" t="s">
        <v>48</v>
      </c>
      <c r="AB674" s="5" t="s">
        <v>111</v>
      </c>
      <c r="AC674" s="5" t="s">
        <v>50</v>
      </c>
      <c r="AD674" s="5">
        <v>1</v>
      </c>
    </row>
    <row r="675" spans="1:30">
      <c r="A675" s="5" t="s">
        <v>1768</v>
      </c>
      <c r="B675" s="1" t="s">
        <v>1075</v>
      </c>
      <c r="C675" s="5" t="s">
        <v>421</v>
      </c>
      <c r="D675" s="5" t="s">
        <v>1400</v>
      </c>
      <c r="E675" s="5" t="s">
        <v>55</v>
      </c>
      <c r="F675" s="5" t="s">
        <v>156</v>
      </c>
      <c r="G675" s="5" t="s">
        <v>157</v>
      </c>
      <c r="H675" s="5" t="s">
        <v>94</v>
      </c>
      <c r="I675" s="5" t="s">
        <v>71</v>
      </c>
      <c r="J675" s="5" t="s">
        <v>117</v>
      </c>
      <c r="K675" s="5">
        <v>5</v>
      </c>
      <c r="L675" s="5">
        <v>3500</v>
      </c>
      <c r="M675" s="5">
        <v>0.2</v>
      </c>
      <c r="N675" s="5">
        <v>14000</v>
      </c>
      <c r="O675" s="5">
        <v>7912.11</v>
      </c>
      <c r="P675" s="5">
        <v>6087.89</v>
      </c>
      <c r="Q675" s="5">
        <v>43.48</v>
      </c>
      <c r="R675" s="5" t="s">
        <v>61</v>
      </c>
      <c r="S675" s="5" t="s">
        <v>74</v>
      </c>
      <c r="T675" s="5" t="s">
        <v>138</v>
      </c>
      <c r="U675" s="5" t="s">
        <v>76</v>
      </c>
      <c r="V675" s="5">
        <v>2025</v>
      </c>
      <c r="W675" s="5" t="s">
        <v>45</v>
      </c>
      <c r="X675" s="5">
        <v>1</v>
      </c>
      <c r="Y675" s="1" t="s">
        <v>429</v>
      </c>
      <c r="Z675" s="5" t="s">
        <v>47</v>
      </c>
      <c r="AA675" s="5" t="s">
        <v>90</v>
      </c>
      <c r="AB675" s="5" t="s">
        <v>111</v>
      </c>
      <c r="AC675" s="5" t="s">
        <v>121</v>
      </c>
      <c r="AD675" s="5">
        <v>3</v>
      </c>
    </row>
    <row r="676" spans="1:30">
      <c r="A676" s="5" t="s">
        <v>1769</v>
      </c>
      <c r="B676" s="1" t="s">
        <v>443</v>
      </c>
      <c r="C676" s="5" t="s">
        <v>1770</v>
      </c>
      <c r="D676" s="5" t="s">
        <v>189</v>
      </c>
      <c r="E676" s="5" t="s">
        <v>103</v>
      </c>
      <c r="F676" s="5" t="s">
        <v>156</v>
      </c>
      <c r="G676" s="5" t="s">
        <v>157</v>
      </c>
      <c r="H676" s="5" t="s">
        <v>171</v>
      </c>
      <c r="I676" s="5" t="s">
        <v>95</v>
      </c>
      <c r="J676" s="5" t="s">
        <v>319</v>
      </c>
      <c r="K676" s="5">
        <v>10</v>
      </c>
      <c r="L676" s="5">
        <v>6000</v>
      </c>
      <c r="M676" s="5">
        <v>0.2</v>
      </c>
      <c r="N676" s="5">
        <v>48000</v>
      </c>
      <c r="O676" s="5">
        <v>32079.87</v>
      </c>
      <c r="P676" s="5">
        <v>15920.13</v>
      </c>
      <c r="Q676" s="5">
        <v>33.17</v>
      </c>
      <c r="R676" s="5" t="s">
        <v>41</v>
      </c>
      <c r="S676" s="5" t="s">
        <v>42</v>
      </c>
      <c r="T676" s="5" t="s">
        <v>159</v>
      </c>
      <c r="U676" s="5" t="s">
        <v>151</v>
      </c>
      <c r="V676" s="5">
        <v>2024</v>
      </c>
      <c r="W676" s="5" t="s">
        <v>109</v>
      </c>
      <c r="X676" s="5">
        <v>9</v>
      </c>
      <c r="Y676" s="1">
        <v>45299</v>
      </c>
      <c r="Z676" s="5" t="s">
        <v>47</v>
      </c>
      <c r="AA676" s="5" t="s">
        <v>48</v>
      </c>
      <c r="AB676" s="5" t="s">
        <v>49</v>
      </c>
      <c r="AC676" s="5" t="s">
        <v>121</v>
      </c>
      <c r="AD676" s="5">
        <v>1</v>
      </c>
    </row>
    <row r="677" spans="1:30">
      <c r="A677" s="5" t="s">
        <v>1771</v>
      </c>
      <c r="B677" s="1" t="s">
        <v>1106</v>
      </c>
      <c r="C677" s="5" t="s">
        <v>885</v>
      </c>
      <c r="D677" s="5" t="s">
        <v>1514</v>
      </c>
      <c r="E677" s="5" t="s">
        <v>103</v>
      </c>
      <c r="F677" s="5" t="s">
        <v>82</v>
      </c>
      <c r="G677" s="5" t="s">
        <v>83</v>
      </c>
      <c r="H677" s="5" t="s">
        <v>58</v>
      </c>
      <c r="I677" s="5" t="s">
        <v>84</v>
      </c>
      <c r="J677" s="5" t="s">
        <v>290</v>
      </c>
      <c r="K677" s="5">
        <v>4</v>
      </c>
      <c r="L677" s="5">
        <v>200</v>
      </c>
      <c r="M677" s="5">
        <v>0.1</v>
      </c>
      <c r="N677" s="5">
        <v>720</v>
      </c>
      <c r="O677" s="5">
        <v>466.41</v>
      </c>
      <c r="P677" s="5">
        <v>253.59</v>
      </c>
      <c r="Q677" s="5">
        <v>35.22</v>
      </c>
      <c r="R677" s="5" t="s">
        <v>73</v>
      </c>
      <c r="S677" s="5" t="s">
        <v>74</v>
      </c>
      <c r="T677" s="5" t="s">
        <v>75</v>
      </c>
      <c r="U677" s="5" t="s">
        <v>44</v>
      </c>
      <c r="V677" s="5">
        <v>2025</v>
      </c>
      <c r="W677" s="5" t="s">
        <v>139</v>
      </c>
      <c r="X677" s="5">
        <v>4</v>
      </c>
      <c r="Y677" s="1" t="s">
        <v>705</v>
      </c>
      <c r="Z677" s="5" t="s">
        <v>110</v>
      </c>
      <c r="AA677" s="5" t="s">
        <v>67</v>
      </c>
      <c r="AB677" s="5" t="s">
        <v>78</v>
      </c>
      <c r="AC677" s="5" t="s">
        <v>50</v>
      </c>
      <c r="AD677" s="5">
        <v>1</v>
      </c>
    </row>
    <row r="678" spans="1:30">
      <c r="A678" s="5" t="s">
        <v>1772</v>
      </c>
      <c r="B678" s="1" t="s">
        <v>759</v>
      </c>
      <c r="C678" s="5" t="s">
        <v>1770</v>
      </c>
      <c r="D678" s="5" t="s">
        <v>893</v>
      </c>
      <c r="E678" s="5" t="s">
        <v>55</v>
      </c>
      <c r="F678" s="5" t="s">
        <v>131</v>
      </c>
      <c r="G678" s="5" t="s">
        <v>132</v>
      </c>
      <c r="H678" s="5" t="s">
        <v>171</v>
      </c>
      <c r="I678" s="5" t="s">
        <v>39</v>
      </c>
      <c r="J678" s="5" t="s">
        <v>165</v>
      </c>
      <c r="K678" s="5">
        <v>6</v>
      </c>
      <c r="L678" s="5">
        <v>8000</v>
      </c>
      <c r="M678" s="5">
        <v>0.2</v>
      </c>
      <c r="N678" s="5">
        <v>38400</v>
      </c>
      <c r="O678" s="5">
        <v>30172.1</v>
      </c>
      <c r="P678" s="5">
        <v>8227.9</v>
      </c>
      <c r="Q678" s="5">
        <v>21.43</v>
      </c>
      <c r="R678" s="5" t="s">
        <v>106</v>
      </c>
      <c r="S678" s="5" t="s">
        <v>42</v>
      </c>
      <c r="T678" s="5" t="s">
        <v>173</v>
      </c>
      <c r="U678" s="5" t="s">
        <v>178</v>
      </c>
      <c r="V678" s="5">
        <v>2025</v>
      </c>
      <c r="W678" s="5" t="s">
        <v>45</v>
      </c>
      <c r="X678" s="5">
        <v>1</v>
      </c>
      <c r="Y678" s="1" t="s">
        <v>305</v>
      </c>
      <c r="Z678" s="5" t="s">
        <v>89</v>
      </c>
      <c r="AA678" s="5" t="s">
        <v>48</v>
      </c>
      <c r="AB678" s="5" t="s">
        <v>49</v>
      </c>
      <c r="AC678" s="5" t="s">
        <v>121</v>
      </c>
      <c r="AD678" s="5">
        <v>5</v>
      </c>
    </row>
    <row r="679" spans="1:30">
      <c r="A679" s="5" t="s">
        <v>1773</v>
      </c>
      <c r="B679" s="1" t="s">
        <v>480</v>
      </c>
      <c r="C679" s="5" t="s">
        <v>210</v>
      </c>
      <c r="D679" s="5" t="s">
        <v>1127</v>
      </c>
      <c r="E679" s="5" t="s">
        <v>55</v>
      </c>
      <c r="F679" s="5" t="s">
        <v>245</v>
      </c>
      <c r="G679" s="5" t="s">
        <v>246</v>
      </c>
      <c r="H679" s="5" t="s">
        <v>38</v>
      </c>
      <c r="I679" s="5" t="s">
        <v>59</v>
      </c>
      <c r="J679" s="5" t="s">
        <v>328</v>
      </c>
      <c r="K679" s="5">
        <v>10</v>
      </c>
      <c r="L679" s="5">
        <v>2000</v>
      </c>
      <c r="M679" s="5">
        <v>0.2</v>
      </c>
      <c r="N679" s="5">
        <v>16000</v>
      </c>
      <c r="O679" s="5">
        <v>12113.94</v>
      </c>
      <c r="P679" s="5">
        <v>3886.06</v>
      </c>
      <c r="Q679" s="5">
        <v>24.29</v>
      </c>
      <c r="R679" s="5" t="s">
        <v>61</v>
      </c>
      <c r="S679" s="5" t="s">
        <v>74</v>
      </c>
      <c r="T679" s="5" t="s">
        <v>118</v>
      </c>
      <c r="U679" s="5" t="s">
        <v>87</v>
      </c>
      <c r="V679" s="5">
        <v>2025</v>
      </c>
      <c r="W679" s="5" t="s">
        <v>126</v>
      </c>
      <c r="X679" s="5">
        <v>4</v>
      </c>
      <c r="Y679" s="1" t="s">
        <v>551</v>
      </c>
      <c r="Z679" s="5" t="s">
        <v>47</v>
      </c>
      <c r="AA679" s="5" t="s">
        <v>48</v>
      </c>
      <c r="AB679" s="5" t="s">
        <v>111</v>
      </c>
      <c r="AC679" s="5" t="s">
        <v>50</v>
      </c>
      <c r="AD679" s="5">
        <v>4</v>
      </c>
    </row>
    <row r="680" spans="1:30">
      <c r="A680" s="5" t="s">
        <v>1774</v>
      </c>
      <c r="B680" s="1">
        <v>45474</v>
      </c>
      <c r="C680" s="5" t="s">
        <v>1595</v>
      </c>
      <c r="D680" s="5" t="s">
        <v>379</v>
      </c>
      <c r="E680" s="5" t="s">
        <v>35</v>
      </c>
      <c r="F680" s="5" t="s">
        <v>131</v>
      </c>
      <c r="G680" s="5" t="s">
        <v>132</v>
      </c>
      <c r="H680" s="5" t="s">
        <v>171</v>
      </c>
      <c r="I680" s="5" t="s">
        <v>71</v>
      </c>
      <c r="J680" s="5" t="s">
        <v>72</v>
      </c>
      <c r="K680" s="5">
        <v>7</v>
      </c>
      <c r="L680" s="5">
        <v>3500</v>
      </c>
      <c r="M680" s="5">
        <v>0.1</v>
      </c>
      <c r="N680" s="5">
        <v>22050</v>
      </c>
      <c r="O680" s="5">
        <v>12239.85</v>
      </c>
      <c r="P680" s="5">
        <v>9810.15</v>
      </c>
      <c r="Q680" s="5">
        <v>44.49</v>
      </c>
      <c r="R680" s="5" t="s">
        <v>73</v>
      </c>
      <c r="S680" s="5" t="s">
        <v>42</v>
      </c>
      <c r="T680" s="5" t="s">
        <v>97</v>
      </c>
      <c r="U680" s="5" t="s">
        <v>76</v>
      </c>
      <c r="V680" s="5">
        <v>2024</v>
      </c>
      <c r="W680" s="5" t="s">
        <v>45</v>
      </c>
      <c r="X680" s="5">
        <v>10</v>
      </c>
      <c r="Y680" s="1" t="s">
        <v>592</v>
      </c>
      <c r="Z680" s="5" t="s">
        <v>110</v>
      </c>
      <c r="AA680" s="5" t="s">
        <v>48</v>
      </c>
      <c r="AB680" s="5" t="s">
        <v>78</v>
      </c>
      <c r="AC680" s="5" t="s">
        <v>121</v>
      </c>
      <c r="AD680" s="5">
        <v>5</v>
      </c>
    </row>
    <row r="681" spans="1:30">
      <c r="A681" s="5" t="s">
        <v>1775</v>
      </c>
      <c r="B681" s="1">
        <v>45607</v>
      </c>
      <c r="C681" s="5" t="s">
        <v>1776</v>
      </c>
      <c r="D681" s="5" t="s">
        <v>935</v>
      </c>
      <c r="E681" s="5" t="s">
        <v>35</v>
      </c>
      <c r="F681" s="5" t="s">
        <v>82</v>
      </c>
      <c r="G681" s="5" t="s">
        <v>83</v>
      </c>
      <c r="H681" s="5" t="s">
        <v>171</v>
      </c>
      <c r="I681" s="5" t="s">
        <v>59</v>
      </c>
      <c r="J681" s="5" t="s">
        <v>206</v>
      </c>
      <c r="K681" s="5">
        <v>4</v>
      </c>
      <c r="L681" s="5">
        <v>800</v>
      </c>
      <c r="M681" s="5">
        <v>0.05</v>
      </c>
      <c r="N681" s="5">
        <v>3040</v>
      </c>
      <c r="O681" s="5">
        <v>1693.53</v>
      </c>
      <c r="P681" s="5">
        <v>1346.47</v>
      </c>
      <c r="Q681" s="5">
        <v>44.29</v>
      </c>
      <c r="R681" s="5" t="s">
        <v>106</v>
      </c>
      <c r="S681" s="5" t="s">
        <v>62</v>
      </c>
      <c r="T681" s="5" t="s">
        <v>97</v>
      </c>
      <c r="U681" s="5" t="s">
        <v>198</v>
      </c>
      <c r="V681" s="5">
        <v>2024</v>
      </c>
      <c r="W681" s="5" t="s">
        <v>126</v>
      </c>
      <c r="X681" s="5">
        <v>3</v>
      </c>
      <c r="Y681" s="1" t="s">
        <v>1202</v>
      </c>
      <c r="Z681" s="5" t="s">
        <v>47</v>
      </c>
      <c r="AA681" s="5" t="s">
        <v>90</v>
      </c>
      <c r="AB681" s="5" t="s">
        <v>111</v>
      </c>
      <c r="AC681" s="5" t="s">
        <v>121</v>
      </c>
      <c r="AD681" s="5">
        <v>2</v>
      </c>
    </row>
    <row r="682" spans="1:30">
      <c r="A682" s="5" t="s">
        <v>1777</v>
      </c>
      <c r="B682" s="1" t="s">
        <v>598</v>
      </c>
      <c r="C682" s="5" t="s">
        <v>1254</v>
      </c>
      <c r="D682" s="5" t="s">
        <v>743</v>
      </c>
      <c r="E682" s="5" t="s">
        <v>55</v>
      </c>
      <c r="F682" s="5" t="s">
        <v>116</v>
      </c>
      <c r="G682" s="5" t="s">
        <v>37</v>
      </c>
      <c r="H682" s="5" t="s">
        <v>58</v>
      </c>
      <c r="I682" s="5" t="s">
        <v>95</v>
      </c>
      <c r="J682" s="5" t="s">
        <v>440</v>
      </c>
      <c r="K682" s="5">
        <v>5</v>
      </c>
      <c r="L682" s="5">
        <v>4000</v>
      </c>
      <c r="M682" s="5">
        <v>0.05</v>
      </c>
      <c r="N682" s="5">
        <v>19000</v>
      </c>
      <c r="O682" s="5">
        <v>14952.28</v>
      </c>
      <c r="P682" s="5">
        <v>4047.72</v>
      </c>
      <c r="Q682" s="5">
        <v>21.3</v>
      </c>
      <c r="R682" s="5" t="s">
        <v>166</v>
      </c>
      <c r="S682" s="5" t="s">
        <v>42</v>
      </c>
      <c r="T682" s="5" t="s">
        <v>86</v>
      </c>
      <c r="U682" s="5" t="s">
        <v>64</v>
      </c>
      <c r="V682" s="5">
        <v>2024</v>
      </c>
      <c r="W682" s="5" t="s">
        <v>45</v>
      </c>
      <c r="X682" s="5">
        <v>1</v>
      </c>
      <c r="Y682" s="1" t="s">
        <v>1086</v>
      </c>
      <c r="Z682" s="5" t="s">
        <v>47</v>
      </c>
      <c r="AA682" s="5" t="s">
        <v>67</v>
      </c>
      <c r="AB682" s="5" t="s">
        <v>49</v>
      </c>
      <c r="AC682" s="5" t="s">
        <v>50</v>
      </c>
      <c r="AD682" s="5">
        <v>4</v>
      </c>
    </row>
    <row r="683" spans="1:30">
      <c r="A683" s="5" t="s">
        <v>1778</v>
      </c>
      <c r="B683" s="1">
        <v>45416</v>
      </c>
      <c r="C683" s="5" t="s">
        <v>1062</v>
      </c>
      <c r="D683" s="5" t="s">
        <v>1187</v>
      </c>
      <c r="E683" s="5" t="s">
        <v>35</v>
      </c>
      <c r="F683" s="5" t="s">
        <v>156</v>
      </c>
      <c r="G683" s="5" t="s">
        <v>157</v>
      </c>
      <c r="H683" s="5" t="s">
        <v>58</v>
      </c>
      <c r="I683" s="5" t="s">
        <v>95</v>
      </c>
      <c r="J683" s="5" t="s">
        <v>319</v>
      </c>
      <c r="K683" s="5">
        <v>7</v>
      </c>
      <c r="L683" s="5">
        <v>15000</v>
      </c>
      <c r="M683" s="5">
        <v>0</v>
      </c>
      <c r="N683" s="5">
        <v>105000</v>
      </c>
      <c r="O683" s="5">
        <v>83641.58</v>
      </c>
      <c r="P683" s="5">
        <v>21358.42</v>
      </c>
      <c r="Q683" s="5">
        <v>20.34</v>
      </c>
      <c r="R683" s="5" t="s">
        <v>166</v>
      </c>
      <c r="S683" s="5" t="s">
        <v>42</v>
      </c>
      <c r="T683" s="5" t="s">
        <v>63</v>
      </c>
      <c r="U683" s="5" t="s">
        <v>44</v>
      </c>
      <c r="V683" s="5">
        <v>2024</v>
      </c>
      <c r="W683" s="5" t="s">
        <v>194</v>
      </c>
      <c r="X683" s="5">
        <v>3</v>
      </c>
      <c r="Y683" s="1">
        <v>45508</v>
      </c>
      <c r="Z683" s="5" t="s">
        <v>89</v>
      </c>
      <c r="AA683" s="5" t="s">
        <v>67</v>
      </c>
      <c r="AB683" s="5" t="s">
        <v>111</v>
      </c>
      <c r="AC683" s="5" t="s">
        <v>50</v>
      </c>
      <c r="AD683" s="5">
        <v>4</v>
      </c>
    </row>
    <row r="684" spans="1:30">
      <c r="A684" s="5" t="s">
        <v>1779</v>
      </c>
      <c r="B684" s="1" t="s">
        <v>635</v>
      </c>
      <c r="C684" s="5" t="s">
        <v>368</v>
      </c>
      <c r="D684" s="5" t="s">
        <v>1780</v>
      </c>
      <c r="E684" s="5" t="s">
        <v>55</v>
      </c>
      <c r="F684" s="5" t="s">
        <v>149</v>
      </c>
      <c r="G684" s="5" t="s">
        <v>150</v>
      </c>
      <c r="H684" s="5" t="s">
        <v>94</v>
      </c>
      <c r="I684" s="5" t="s">
        <v>95</v>
      </c>
      <c r="J684" s="5" t="s">
        <v>344</v>
      </c>
      <c r="K684" s="5">
        <v>9</v>
      </c>
      <c r="L684" s="5">
        <v>6000</v>
      </c>
      <c r="M684" s="5">
        <v>0.15</v>
      </c>
      <c r="N684" s="5">
        <v>45900</v>
      </c>
      <c r="O684" s="5">
        <v>36955.11</v>
      </c>
      <c r="P684" s="5">
        <v>8944.89</v>
      </c>
      <c r="Q684" s="5">
        <v>19.489999999999998</v>
      </c>
      <c r="R684" s="5" t="s">
        <v>106</v>
      </c>
      <c r="S684" s="5" t="s">
        <v>62</v>
      </c>
      <c r="T684" s="5" t="s">
        <v>97</v>
      </c>
      <c r="U684" s="5" t="s">
        <v>108</v>
      </c>
      <c r="V684" s="5">
        <v>2024</v>
      </c>
      <c r="W684" s="5" t="s">
        <v>134</v>
      </c>
      <c r="X684" s="5">
        <v>9</v>
      </c>
      <c r="Y684" s="1" t="s">
        <v>283</v>
      </c>
      <c r="Z684" s="5" t="s">
        <v>47</v>
      </c>
      <c r="AA684" s="5" t="s">
        <v>67</v>
      </c>
      <c r="AB684" s="5" t="s">
        <v>49</v>
      </c>
      <c r="AC684" s="5" t="s">
        <v>50</v>
      </c>
      <c r="AD684" s="5">
        <v>3</v>
      </c>
    </row>
    <row r="685" spans="1:30">
      <c r="A685" s="5" t="s">
        <v>1781</v>
      </c>
      <c r="B685" s="1" t="s">
        <v>734</v>
      </c>
      <c r="C685" s="5" t="s">
        <v>1262</v>
      </c>
      <c r="D685" s="5" t="s">
        <v>1268</v>
      </c>
      <c r="E685" s="5" t="s">
        <v>35</v>
      </c>
      <c r="F685" s="5" t="s">
        <v>149</v>
      </c>
      <c r="G685" s="5" t="s">
        <v>150</v>
      </c>
      <c r="H685" s="5" t="s">
        <v>38</v>
      </c>
      <c r="I685" s="5" t="s">
        <v>39</v>
      </c>
      <c r="J685" s="5" t="s">
        <v>253</v>
      </c>
      <c r="K685" s="5">
        <v>8</v>
      </c>
      <c r="L685" s="5">
        <v>8000</v>
      </c>
      <c r="M685" s="5">
        <v>0.1</v>
      </c>
      <c r="N685" s="5">
        <v>57600</v>
      </c>
      <c r="O685" s="5">
        <v>33868.720000000001</v>
      </c>
      <c r="P685" s="5">
        <v>23731.279999999999</v>
      </c>
      <c r="Q685" s="5">
        <v>41.2</v>
      </c>
      <c r="R685" s="5" t="s">
        <v>41</v>
      </c>
      <c r="S685" s="5" t="s">
        <v>74</v>
      </c>
      <c r="T685" s="5" t="s">
        <v>118</v>
      </c>
      <c r="U685" s="5" t="s">
        <v>87</v>
      </c>
      <c r="V685" s="5">
        <v>2025</v>
      </c>
      <c r="W685" s="5" t="s">
        <v>194</v>
      </c>
      <c r="X685" s="5">
        <v>6</v>
      </c>
      <c r="Y685" s="1" t="s">
        <v>685</v>
      </c>
      <c r="Z685" s="5" t="s">
        <v>47</v>
      </c>
      <c r="AA685" s="5" t="s">
        <v>48</v>
      </c>
      <c r="AB685" s="5" t="s">
        <v>78</v>
      </c>
      <c r="AC685" s="5" t="s">
        <v>121</v>
      </c>
      <c r="AD685" s="5">
        <v>1</v>
      </c>
    </row>
    <row r="686" spans="1:30">
      <c r="A686" s="5" t="s">
        <v>1782</v>
      </c>
      <c r="B686" s="1">
        <v>45571</v>
      </c>
      <c r="C686" s="5" t="s">
        <v>220</v>
      </c>
      <c r="D686" s="5" t="s">
        <v>717</v>
      </c>
      <c r="E686" s="5" t="s">
        <v>103</v>
      </c>
      <c r="F686" s="5" t="s">
        <v>144</v>
      </c>
      <c r="G686" s="5" t="s">
        <v>145</v>
      </c>
      <c r="H686" s="5" t="s">
        <v>38</v>
      </c>
      <c r="I686" s="5" t="s">
        <v>95</v>
      </c>
      <c r="J686" s="5" t="s">
        <v>184</v>
      </c>
      <c r="K686" s="5">
        <v>6</v>
      </c>
      <c r="L686" s="5">
        <v>15000</v>
      </c>
      <c r="M686" s="5">
        <v>0.15</v>
      </c>
      <c r="N686" s="5">
        <v>76500</v>
      </c>
      <c r="O686" s="5">
        <v>45682.14</v>
      </c>
      <c r="P686" s="5">
        <v>30817.86</v>
      </c>
      <c r="Q686" s="5">
        <v>40.28</v>
      </c>
      <c r="R686" s="5" t="s">
        <v>61</v>
      </c>
      <c r="S686" s="5" t="s">
        <v>74</v>
      </c>
      <c r="T686" s="5" t="s">
        <v>118</v>
      </c>
      <c r="U686" s="5" t="s">
        <v>160</v>
      </c>
      <c r="V686" s="5">
        <v>2024</v>
      </c>
      <c r="W686" s="5" t="s">
        <v>126</v>
      </c>
      <c r="X686" s="5">
        <v>7</v>
      </c>
      <c r="Y686" s="1" t="s">
        <v>153</v>
      </c>
      <c r="Z686" s="5" t="s">
        <v>47</v>
      </c>
      <c r="AA686" s="5" t="s">
        <v>90</v>
      </c>
      <c r="AB686" s="5" t="s">
        <v>78</v>
      </c>
      <c r="AC686" s="5" t="s">
        <v>121</v>
      </c>
      <c r="AD686" s="5">
        <v>3</v>
      </c>
    </row>
    <row r="687" spans="1:30">
      <c r="A687" s="5" t="s">
        <v>1783</v>
      </c>
      <c r="B687" s="1" t="s">
        <v>1784</v>
      </c>
      <c r="C687" s="5" t="s">
        <v>1142</v>
      </c>
      <c r="D687" s="5" t="s">
        <v>684</v>
      </c>
      <c r="E687" s="5" t="s">
        <v>55</v>
      </c>
      <c r="F687" s="5" t="s">
        <v>156</v>
      </c>
      <c r="G687" s="5" t="s">
        <v>157</v>
      </c>
      <c r="H687" s="5" t="s">
        <v>58</v>
      </c>
      <c r="I687" s="5" t="s">
        <v>84</v>
      </c>
      <c r="J687" s="5" t="s">
        <v>229</v>
      </c>
      <c r="K687" s="5">
        <v>10</v>
      </c>
      <c r="L687" s="5">
        <v>350</v>
      </c>
      <c r="M687" s="5">
        <v>0</v>
      </c>
      <c r="N687" s="5">
        <v>3500</v>
      </c>
      <c r="O687" s="5">
        <v>2764.94</v>
      </c>
      <c r="P687" s="5">
        <v>735.06</v>
      </c>
      <c r="Q687" s="5">
        <v>21</v>
      </c>
      <c r="R687" s="5" t="s">
        <v>41</v>
      </c>
      <c r="S687" s="5" t="s">
        <v>62</v>
      </c>
      <c r="T687" s="5" t="s">
        <v>63</v>
      </c>
      <c r="U687" s="5" t="s">
        <v>76</v>
      </c>
      <c r="V687" s="5">
        <v>2024</v>
      </c>
      <c r="W687" s="5" t="s">
        <v>65</v>
      </c>
      <c r="X687" s="5">
        <v>6</v>
      </c>
      <c r="Y687" s="1">
        <v>45324</v>
      </c>
      <c r="Z687" s="5" t="s">
        <v>47</v>
      </c>
      <c r="AA687" s="5" t="s">
        <v>48</v>
      </c>
      <c r="AB687" s="5" t="s">
        <v>111</v>
      </c>
      <c r="AC687" s="5" t="s">
        <v>121</v>
      </c>
      <c r="AD687" s="5">
        <v>2</v>
      </c>
    </row>
    <row r="688" spans="1:30">
      <c r="A688" s="5" t="s">
        <v>1785</v>
      </c>
      <c r="B688" s="1">
        <v>45507</v>
      </c>
      <c r="C688" s="5" t="s">
        <v>640</v>
      </c>
      <c r="D688" s="5" t="s">
        <v>893</v>
      </c>
      <c r="E688" s="5" t="s">
        <v>35</v>
      </c>
      <c r="F688" s="5" t="s">
        <v>36</v>
      </c>
      <c r="G688" s="5" t="s">
        <v>37</v>
      </c>
      <c r="H688" s="5" t="s">
        <v>58</v>
      </c>
      <c r="I688" s="5" t="s">
        <v>39</v>
      </c>
      <c r="J688" s="5" t="s">
        <v>40</v>
      </c>
      <c r="K688" s="5">
        <v>4</v>
      </c>
      <c r="L688" s="5">
        <v>8000</v>
      </c>
      <c r="M688" s="5">
        <v>0.15</v>
      </c>
      <c r="N688" s="5">
        <v>27200</v>
      </c>
      <c r="O688" s="5">
        <v>18370.8</v>
      </c>
      <c r="P688" s="5">
        <v>8829.2000000000007</v>
      </c>
      <c r="Q688" s="5">
        <v>32.46</v>
      </c>
      <c r="R688" s="5" t="s">
        <v>61</v>
      </c>
      <c r="S688" s="5" t="s">
        <v>62</v>
      </c>
      <c r="T688" s="5" t="s">
        <v>138</v>
      </c>
      <c r="U688" s="5" t="s">
        <v>178</v>
      </c>
      <c r="V688" s="5">
        <v>2024</v>
      </c>
      <c r="W688" s="5" t="s">
        <v>194</v>
      </c>
      <c r="X688" s="5">
        <v>2</v>
      </c>
      <c r="Y688" s="1">
        <v>45568</v>
      </c>
      <c r="Z688" s="5" t="s">
        <v>110</v>
      </c>
      <c r="AA688" s="5" t="s">
        <v>67</v>
      </c>
      <c r="AB688" s="5" t="s">
        <v>49</v>
      </c>
      <c r="AC688" s="5" t="s">
        <v>50</v>
      </c>
      <c r="AD688" s="5">
        <v>5</v>
      </c>
    </row>
    <row r="689" spans="1:30">
      <c r="A689" s="5" t="s">
        <v>1786</v>
      </c>
      <c r="B689" s="1" t="s">
        <v>741</v>
      </c>
      <c r="C689" s="5" t="s">
        <v>1090</v>
      </c>
      <c r="D689" s="5" t="s">
        <v>289</v>
      </c>
      <c r="E689" s="5" t="s">
        <v>35</v>
      </c>
      <c r="F689" s="5" t="s">
        <v>82</v>
      </c>
      <c r="G689" s="5" t="s">
        <v>83</v>
      </c>
      <c r="H689" s="5" t="s">
        <v>58</v>
      </c>
      <c r="I689" s="5" t="s">
        <v>59</v>
      </c>
      <c r="J689" s="5" t="s">
        <v>328</v>
      </c>
      <c r="K689" s="5">
        <v>8</v>
      </c>
      <c r="L689" s="5">
        <v>2000</v>
      </c>
      <c r="M689" s="5">
        <v>0.2</v>
      </c>
      <c r="N689" s="5">
        <v>12800</v>
      </c>
      <c r="O689" s="5">
        <v>8818.92</v>
      </c>
      <c r="P689" s="5">
        <v>3981.08</v>
      </c>
      <c r="Q689" s="5">
        <v>31.1</v>
      </c>
      <c r="R689" s="5" t="s">
        <v>166</v>
      </c>
      <c r="S689" s="5" t="s">
        <v>62</v>
      </c>
      <c r="T689" s="5" t="s">
        <v>63</v>
      </c>
      <c r="U689" s="5" t="s">
        <v>151</v>
      </c>
      <c r="V689" s="5">
        <v>2024</v>
      </c>
      <c r="W689" s="5" t="s">
        <v>194</v>
      </c>
      <c r="X689" s="5">
        <v>3</v>
      </c>
      <c r="Y689" s="1" t="s">
        <v>996</v>
      </c>
      <c r="Z689" s="5" t="s">
        <v>47</v>
      </c>
      <c r="AA689" s="5" t="s">
        <v>90</v>
      </c>
      <c r="AB689" s="5" t="s">
        <v>49</v>
      </c>
      <c r="AC689" s="5" t="s">
        <v>121</v>
      </c>
      <c r="AD689" s="5">
        <v>3</v>
      </c>
    </row>
    <row r="690" spans="1:30">
      <c r="A690" s="5" t="s">
        <v>1787</v>
      </c>
      <c r="B690" s="1" t="s">
        <v>1788</v>
      </c>
      <c r="C690" s="5" t="s">
        <v>912</v>
      </c>
      <c r="D690" s="5" t="s">
        <v>379</v>
      </c>
      <c r="E690" s="5" t="s">
        <v>55</v>
      </c>
      <c r="F690" s="5" t="s">
        <v>245</v>
      </c>
      <c r="G690" s="5" t="s">
        <v>246</v>
      </c>
      <c r="H690" s="5" t="s">
        <v>38</v>
      </c>
      <c r="I690" s="5" t="s">
        <v>84</v>
      </c>
      <c r="J690" s="5" t="s">
        <v>229</v>
      </c>
      <c r="K690" s="5">
        <v>8</v>
      </c>
      <c r="L690" s="5">
        <v>800</v>
      </c>
      <c r="M690" s="5">
        <v>0.2</v>
      </c>
      <c r="N690" s="5">
        <v>5120</v>
      </c>
      <c r="O690" s="5">
        <v>3866.48</v>
      </c>
      <c r="P690" s="5">
        <v>1253.52</v>
      </c>
      <c r="Q690" s="5">
        <v>24.48</v>
      </c>
      <c r="R690" s="5" t="s">
        <v>41</v>
      </c>
      <c r="S690" s="5" t="s">
        <v>42</v>
      </c>
      <c r="T690" s="5" t="s">
        <v>43</v>
      </c>
      <c r="U690" s="5" t="s">
        <v>160</v>
      </c>
      <c r="V690" s="5">
        <v>2025</v>
      </c>
      <c r="W690" s="5" t="s">
        <v>194</v>
      </c>
      <c r="X690" s="5">
        <v>10</v>
      </c>
      <c r="Y690" s="1" t="s">
        <v>1294</v>
      </c>
      <c r="Z690" s="5" t="s">
        <v>47</v>
      </c>
      <c r="AA690" s="5" t="s">
        <v>48</v>
      </c>
      <c r="AB690" s="5" t="s">
        <v>78</v>
      </c>
      <c r="AC690" s="5" t="s">
        <v>121</v>
      </c>
      <c r="AD690" s="5">
        <v>2</v>
      </c>
    </row>
    <row r="691" spans="1:30">
      <c r="A691" s="5" t="s">
        <v>1789</v>
      </c>
      <c r="B691" s="1">
        <v>45932</v>
      </c>
      <c r="C691" s="5" t="s">
        <v>622</v>
      </c>
      <c r="D691" s="5" t="s">
        <v>448</v>
      </c>
      <c r="E691" s="5" t="s">
        <v>103</v>
      </c>
      <c r="F691" s="5" t="s">
        <v>245</v>
      </c>
      <c r="G691" s="5" t="s">
        <v>246</v>
      </c>
      <c r="H691" s="5" t="s">
        <v>94</v>
      </c>
      <c r="I691" s="5" t="s">
        <v>39</v>
      </c>
      <c r="J691" s="5" t="s">
        <v>105</v>
      </c>
      <c r="K691" s="5">
        <v>1</v>
      </c>
      <c r="L691" s="5">
        <v>12000</v>
      </c>
      <c r="M691" s="5">
        <v>0.05</v>
      </c>
      <c r="N691" s="5">
        <v>11400</v>
      </c>
      <c r="O691" s="5">
        <v>8030.88</v>
      </c>
      <c r="P691" s="5">
        <v>3369.12</v>
      </c>
      <c r="Q691" s="5">
        <v>29.55</v>
      </c>
      <c r="R691" s="5" t="s">
        <v>166</v>
      </c>
      <c r="S691" s="5" t="s">
        <v>74</v>
      </c>
      <c r="T691" s="5" t="s">
        <v>138</v>
      </c>
      <c r="U691" s="5" t="s">
        <v>98</v>
      </c>
      <c r="V691" s="5">
        <v>2025</v>
      </c>
      <c r="W691" s="5" t="s">
        <v>126</v>
      </c>
      <c r="X691" s="5">
        <v>6</v>
      </c>
      <c r="Y691" s="1" t="s">
        <v>1333</v>
      </c>
      <c r="Z691" s="5" t="s">
        <v>47</v>
      </c>
      <c r="AA691" s="5" t="s">
        <v>48</v>
      </c>
      <c r="AB691" s="5" t="s">
        <v>78</v>
      </c>
      <c r="AC691" s="5" t="s">
        <v>50</v>
      </c>
      <c r="AD691" s="5">
        <v>1</v>
      </c>
    </row>
    <row r="692" spans="1:30">
      <c r="A692" s="5" t="s">
        <v>1790</v>
      </c>
      <c r="B692" s="1" t="s">
        <v>1791</v>
      </c>
      <c r="C692" s="5" t="s">
        <v>603</v>
      </c>
      <c r="D692" s="5" t="s">
        <v>1665</v>
      </c>
      <c r="E692" s="5" t="s">
        <v>103</v>
      </c>
      <c r="F692" s="5" t="s">
        <v>116</v>
      </c>
      <c r="G692" s="5" t="s">
        <v>37</v>
      </c>
      <c r="H692" s="5" t="s">
        <v>171</v>
      </c>
      <c r="I692" s="5" t="s">
        <v>59</v>
      </c>
      <c r="J692" s="5" t="s">
        <v>60</v>
      </c>
      <c r="K692" s="5">
        <v>6</v>
      </c>
      <c r="L692" s="5">
        <v>800</v>
      </c>
      <c r="M692" s="5">
        <v>0.1</v>
      </c>
      <c r="N692" s="5">
        <v>4320</v>
      </c>
      <c r="O692" s="5">
        <v>2908.25</v>
      </c>
      <c r="P692" s="5">
        <v>1411.75</v>
      </c>
      <c r="Q692" s="5">
        <v>32.68</v>
      </c>
      <c r="R692" s="5" t="s">
        <v>106</v>
      </c>
      <c r="S692" s="5" t="s">
        <v>62</v>
      </c>
      <c r="T692" s="5" t="s">
        <v>75</v>
      </c>
      <c r="U692" s="5" t="s">
        <v>64</v>
      </c>
      <c r="V692" s="5">
        <v>2024</v>
      </c>
      <c r="W692" s="5" t="s">
        <v>45</v>
      </c>
      <c r="X692" s="5">
        <v>8</v>
      </c>
      <c r="Y692" s="1" t="s">
        <v>446</v>
      </c>
      <c r="Z692" s="5" t="s">
        <v>89</v>
      </c>
      <c r="AA692" s="5" t="s">
        <v>48</v>
      </c>
      <c r="AB692" s="5" t="s">
        <v>49</v>
      </c>
      <c r="AC692" s="5" t="s">
        <v>121</v>
      </c>
      <c r="AD692" s="5">
        <v>1</v>
      </c>
    </row>
    <row r="693" spans="1:30">
      <c r="A693" s="5" t="s">
        <v>1792</v>
      </c>
      <c r="B693" s="1">
        <v>45540</v>
      </c>
      <c r="C693" s="5" t="s">
        <v>363</v>
      </c>
      <c r="D693" s="5" t="s">
        <v>1793</v>
      </c>
      <c r="E693" s="5" t="s">
        <v>103</v>
      </c>
      <c r="F693" s="5" t="s">
        <v>149</v>
      </c>
      <c r="G693" s="5" t="s">
        <v>150</v>
      </c>
      <c r="H693" s="5" t="s">
        <v>38</v>
      </c>
      <c r="I693" s="5" t="s">
        <v>71</v>
      </c>
      <c r="J693" s="5" t="s">
        <v>72</v>
      </c>
      <c r="K693" s="5">
        <v>2</v>
      </c>
      <c r="L693" s="5">
        <v>3500</v>
      </c>
      <c r="M693" s="5">
        <v>0.1</v>
      </c>
      <c r="N693" s="5">
        <v>6300</v>
      </c>
      <c r="O693" s="5">
        <v>4234.8100000000004</v>
      </c>
      <c r="P693" s="5">
        <v>2065.19</v>
      </c>
      <c r="Q693" s="5">
        <v>32.78</v>
      </c>
      <c r="R693" s="5" t="s">
        <v>166</v>
      </c>
      <c r="S693" s="5" t="s">
        <v>42</v>
      </c>
      <c r="T693" s="5" t="s">
        <v>86</v>
      </c>
      <c r="U693" s="5" t="s">
        <v>119</v>
      </c>
      <c r="V693" s="5">
        <v>2024</v>
      </c>
      <c r="W693" s="5" t="s">
        <v>139</v>
      </c>
      <c r="X693" s="5">
        <v>6</v>
      </c>
      <c r="Y693" s="1" t="s">
        <v>1794</v>
      </c>
      <c r="Z693" s="5" t="s">
        <v>47</v>
      </c>
      <c r="AA693" s="5" t="s">
        <v>90</v>
      </c>
      <c r="AB693" s="5" t="s">
        <v>111</v>
      </c>
      <c r="AC693" s="5" t="s">
        <v>121</v>
      </c>
      <c r="AD693" s="5">
        <v>1</v>
      </c>
    </row>
    <row r="694" spans="1:30">
      <c r="A694" s="5" t="s">
        <v>1795</v>
      </c>
      <c r="B694" s="1" t="s">
        <v>849</v>
      </c>
      <c r="C694" s="5" t="s">
        <v>406</v>
      </c>
      <c r="D694" s="5" t="s">
        <v>1118</v>
      </c>
      <c r="E694" s="5" t="s">
        <v>103</v>
      </c>
      <c r="F694" s="5" t="s">
        <v>149</v>
      </c>
      <c r="G694" s="5" t="s">
        <v>150</v>
      </c>
      <c r="H694" s="5" t="s">
        <v>38</v>
      </c>
      <c r="I694" s="5" t="s">
        <v>84</v>
      </c>
      <c r="J694" s="5" t="s">
        <v>217</v>
      </c>
      <c r="K694" s="5">
        <v>10</v>
      </c>
      <c r="L694" s="5">
        <v>200</v>
      </c>
      <c r="M694" s="5">
        <v>0.2</v>
      </c>
      <c r="N694" s="5">
        <v>1600</v>
      </c>
      <c r="O694" s="5">
        <v>1225.71</v>
      </c>
      <c r="P694" s="5">
        <v>374.29</v>
      </c>
      <c r="Q694" s="5">
        <v>23.39</v>
      </c>
      <c r="R694" s="5" t="s">
        <v>61</v>
      </c>
      <c r="S694" s="5" t="s">
        <v>74</v>
      </c>
      <c r="T694" s="5" t="s">
        <v>173</v>
      </c>
      <c r="U694" s="5" t="s">
        <v>160</v>
      </c>
      <c r="V694" s="5">
        <v>2025</v>
      </c>
      <c r="W694" s="5" t="s">
        <v>194</v>
      </c>
      <c r="X694" s="5">
        <v>9</v>
      </c>
      <c r="Y694" s="1">
        <v>45815</v>
      </c>
      <c r="Z694" s="5" t="s">
        <v>47</v>
      </c>
      <c r="AA694" s="5" t="s">
        <v>48</v>
      </c>
      <c r="AB694" s="5" t="s">
        <v>49</v>
      </c>
      <c r="AC694" s="5" t="s">
        <v>121</v>
      </c>
      <c r="AD694" s="5">
        <v>2</v>
      </c>
    </row>
    <row r="695" spans="1:30">
      <c r="A695" s="5" t="s">
        <v>1796</v>
      </c>
      <c r="B695" s="1" t="s">
        <v>934</v>
      </c>
      <c r="C695" s="5" t="s">
        <v>1259</v>
      </c>
      <c r="D695" s="5" t="s">
        <v>263</v>
      </c>
      <c r="E695" s="5" t="s">
        <v>55</v>
      </c>
      <c r="F695" s="5" t="s">
        <v>131</v>
      </c>
      <c r="G695" s="5" t="s">
        <v>132</v>
      </c>
      <c r="H695" s="5" t="s">
        <v>38</v>
      </c>
      <c r="I695" s="5" t="s">
        <v>59</v>
      </c>
      <c r="J695" s="5" t="s">
        <v>133</v>
      </c>
      <c r="K695" s="5">
        <v>4</v>
      </c>
      <c r="L695" s="5">
        <v>1200</v>
      </c>
      <c r="M695" s="5">
        <v>0</v>
      </c>
      <c r="N695" s="5">
        <v>4800</v>
      </c>
      <c r="O695" s="5">
        <v>3807.64</v>
      </c>
      <c r="P695" s="5">
        <v>992.36</v>
      </c>
      <c r="Q695" s="5">
        <v>20.67</v>
      </c>
      <c r="R695" s="5" t="s">
        <v>61</v>
      </c>
      <c r="S695" s="5" t="s">
        <v>74</v>
      </c>
      <c r="T695" s="5" t="s">
        <v>173</v>
      </c>
      <c r="U695" s="5" t="s">
        <v>98</v>
      </c>
      <c r="V695" s="5">
        <v>2025</v>
      </c>
      <c r="W695" s="5" t="s">
        <v>194</v>
      </c>
      <c r="X695" s="5">
        <v>5</v>
      </c>
      <c r="Y695" s="1" t="s">
        <v>871</v>
      </c>
      <c r="Z695" s="5" t="s">
        <v>110</v>
      </c>
      <c r="AA695" s="5" t="s">
        <v>67</v>
      </c>
      <c r="AB695" s="5" t="s">
        <v>111</v>
      </c>
      <c r="AC695" s="5" t="s">
        <v>50</v>
      </c>
      <c r="AD695" s="5">
        <v>2</v>
      </c>
    </row>
    <row r="696" spans="1:30">
      <c r="A696" s="5" t="s">
        <v>1797</v>
      </c>
      <c r="B696" s="1" t="s">
        <v>1798</v>
      </c>
      <c r="C696" s="5" t="s">
        <v>1799</v>
      </c>
      <c r="D696" s="5" t="s">
        <v>620</v>
      </c>
      <c r="E696" s="5" t="s">
        <v>35</v>
      </c>
      <c r="F696" s="5" t="s">
        <v>144</v>
      </c>
      <c r="G696" s="5" t="s">
        <v>145</v>
      </c>
      <c r="H696" s="5" t="s">
        <v>94</v>
      </c>
      <c r="I696" s="5" t="s">
        <v>59</v>
      </c>
      <c r="J696" s="5" t="s">
        <v>328</v>
      </c>
      <c r="K696" s="5">
        <v>1</v>
      </c>
      <c r="L696" s="5">
        <v>2000</v>
      </c>
      <c r="M696" s="5">
        <v>0.05</v>
      </c>
      <c r="N696" s="5">
        <v>1900</v>
      </c>
      <c r="O696" s="5">
        <v>1437.24</v>
      </c>
      <c r="P696" s="5">
        <v>462.76</v>
      </c>
      <c r="Q696" s="5">
        <v>24.36</v>
      </c>
      <c r="R696" s="5" t="s">
        <v>166</v>
      </c>
      <c r="S696" s="5" t="s">
        <v>42</v>
      </c>
      <c r="T696" s="5" t="s">
        <v>86</v>
      </c>
      <c r="U696" s="5" t="s">
        <v>119</v>
      </c>
      <c r="V696" s="5">
        <v>2024</v>
      </c>
      <c r="W696" s="5" t="s">
        <v>126</v>
      </c>
      <c r="X696" s="5">
        <v>8</v>
      </c>
      <c r="Y696" s="1">
        <v>45388</v>
      </c>
      <c r="Z696" s="5" t="s">
        <v>47</v>
      </c>
      <c r="AA696" s="5" t="s">
        <v>90</v>
      </c>
      <c r="AB696" s="5" t="s">
        <v>78</v>
      </c>
      <c r="AC696" s="5" t="s">
        <v>121</v>
      </c>
      <c r="AD696" s="5">
        <v>2</v>
      </c>
    </row>
    <row r="697" spans="1:30">
      <c r="A697" s="5" t="s">
        <v>1800</v>
      </c>
      <c r="B697" s="1" t="s">
        <v>1415</v>
      </c>
      <c r="C697" s="5" t="s">
        <v>1770</v>
      </c>
      <c r="D697" s="5" t="s">
        <v>1801</v>
      </c>
      <c r="E697" s="5" t="s">
        <v>35</v>
      </c>
      <c r="F697" s="5" t="s">
        <v>116</v>
      </c>
      <c r="G697" s="5" t="s">
        <v>37</v>
      </c>
      <c r="H697" s="5" t="s">
        <v>171</v>
      </c>
      <c r="I697" s="5" t="s">
        <v>95</v>
      </c>
      <c r="J697" s="5" t="s">
        <v>440</v>
      </c>
      <c r="K697" s="5">
        <v>2</v>
      </c>
      <c r="L697" s="5">
        <v>15000</v>
      </c>
      <c r="M697" s="5">
        <v>0.05</v>
      </c>
      <c r="N697" s="5">
        <v>28500</v>
      </c>
      <c r="O697" s="5">
        <v>20847.87</v>
      </c>
      <c r="P697" s="5">
        <v>7652.13</v>
      </c>
      <c r="Q697" s="5">
        <v>26.85</v>
      </c>
      <c r="R697" s="5" t="s">
        <v>41</v>
      </c>
      <c r="S697" s="5" t="s">
        <v>74</v>
      </c>
      <c r="T697" s="5" t="s">
        <v>63</v>
      </c>
      <c r="U697" s="5" t="s">
        <v>151</v>
      </c>
      <c r="V697" s="5">
        <v>2024</v>
      </c>
      <c r="W697" s="5" t="s">
        <v>126</v>
      </c>
      <c r="X697" s="5">
        <v>8</v>
      </c>
      <c r="Y697" s="1">
        <v>45451</v>
      </c>
      <c r="Z697" s="5" t="s">
        <v>47</v>
      </c>
      <c r="AA697" s="5" t="s">
        <v>67</v>
      </c>
      <c r="AB697" s="5" t="s">
        <v>49</v>
      </c>
      <c r="AC697" s="5" t="s">
        <v>50</v>
      </c>
      <c r="AD697" s="5">
        <v>3</v>
      </c>
    </row>
    <row r="698" spans="1:30">
      <c r="A698" s="5" t="s">
        <v>1802</v>
      </c>
      <c r="B698" s="1" t="s">
        <v>1791</v>
      </c>
      <c r="C698" s="5" t="s">
        <v>1803</v>
      </c>
      <c r="D698" s="5" t="s">
        <v>643</v>
      </c>
      <c r="E698" s="5" t="s">
        <v>55</v>
      </c>
      <c r="F698" s="5" t="s">
        <v>36</v>
      </c>
      <c r="G698" s="5" t="s">
        <v>37</v>
      </c>
      <c r="H698" s="5" t="s">
        <v>94</v>
      </c>
      <c r="I698" s="5" t="s">
        <v>59</v>
      </c>
      <c r="J698" s="5" t="s">
        <v>372</v>
      </c>
      <c r="K698" s="5">
        <v>8</v>
      </c>
      <c r="L698" s="5">
        <v>800</v>
      </c>
      <c r="M698" s="5">
        <v>0</v>
      </c>
      <c r="N698" s="5">
        <v>6400</v>
      </c>
      <c r="O698" s="5">
        <v>4179.2299999999996</v>
      </c>
      <c r="P698" s="5">
        <v>2220.77</v>
      </c>
      <c r="Q698" s="5">
        <v>34.700000000000003</v>
      </c>
      <c r="R698" s="5" t="s">
        <v>41</v>
      </c>
      <c r="S698" s="5" t="s">
        <v>74</v>
      </c>
      <c r="T698" s="5" t="s">
        <v>138</v>
      </c>
      <c r="U698" s="5" t="s">
        <v>64</v>
      </c>
      <c r="V698" s="5">
        <v>2024</v>
      </c>
      <c r="W698" s="5" t="s">
        <v>45</v>
      </c>
      <c r="X698" s="5">
        <v>5</v>
      </c>
      <c r="Y698" s="1" t="s">
        <v>534</v>
      </c>
      <c r="Z698" s="5" t="s">
        <v>47</v>
      </c>
      <c r="AA698" s="5" t="s">
        <v>67</v>
      </c>
      <c r="AB698" s="5" t="s">
        <v>49</v>
      </c>
      <c r="AC698" s="5" t="s">
        <v>121</v>
      </c>
      <c r="AD698" s="5">
        <v>1</v>
      </c>
    </row>
    <row r="699" spans="1:30">
      <c r="A699" s="5" t="s">
        <v>1804</v>
      </c>
      <c r="B699" s="1">
        <v>45841</v>
      </c>
      <c r="C699" s="5" t="s">
        <v>1395</v>
      </c>
      <c r="D699" s="5" t="s">
        <v>609</v>
      </c>
      <c r="E699" s="5" t="s">
        <v>55</v>
      </c>
      <c r="F699" s="5" t="s">
        <v>144</v>
      </c>
      <c r="G699" s="5" t="s">
        <v>145</v>
      </c>
      <c r="H699" s="5" t="s">
        <v>171</v>
      </c>
      <c r="I699" s="5" t="s">
        <v>59</v>
      </c>
      <c r="J699" s="5" t="s">
        <v>60</v>
      </c>
      <c r="K699" s="5">
        <v>4</v>
      </c>
      <c r="L699" s="5">
        <v>2000</v>
      </c>
      <c r="M699" s="5">
        <v>0.15</v>
      </c>
      <c r="N699" s="5">
        <v>6800</v>
      </c>
      <c r="O699" s="5">
        <v>5328.45</v>
      </c>
      <c r="P699" s="5">
        <v>1471.55</v>
      </c>
      <c r="Q699" s="5">
        <v>21.64</v>
      </c>
      <c r="R699" s="5" t="s">
        <v>166</v>
      </c>
      <c r="S699" s="5" t="s">
        <v>42</v>
      </c>
      <c r="T699" s="5" t="s">
        <v>159</v>
      </c>
      <c r="U699" s="5" t="s">
        <v>178</v>
      </c>
      <c r="V699" s="5">
        <v>2025</v>
      </c>
      <c r="W699" s="5" t="s">
        <v>194</v>
      </c>
      <c r="X699" s="5">
        <v>1</v>
      </c>
      <c r="Y699" s="1">
        <v>45872</v>
      </c>
      <c r="Z699" s="5" t="s">
        <v>47</v>
      </c>
      <c r="AA699" s="5" t="s">
        <v>67</v>
      </c>
      <c r="AB699" s="5" t="s">
        <v>49</v>
      </c>
      <c r="AC699" s="5" t="s">
        <v>121</v>
      </c>
      <c r="AD699" s="5">
        <v>1</v>
      </c>
    </row>
    <row r="700" spans="1:30">
      <c r="A700" s="5" t="s">
        <v>1805</v>
      </c>
      <c r="B700" s="1" t="s">
        <v>756</v>
      </c>
      <c r="C700" s="5" t="s">
        <v>965</v>
      </c>
      <c r="D700" s="5" t="s">
        <v>1020</v>
      </c>
      <c r="E700" s="5" t="s">
        <v>103</v>
      </c>
      <c r="F700" s="5" t="s">
        <v>56</v>
      </c>
      <c r="G700" s="5" t="s">
        <v>57</v>
      </c>
      <c r="H700" s="5" t="s">
        <v>94</v>
      </c>
      <c r="I700" s="5" t="s">
        <v>95</v>
      </c>
      <c r="J700" s="5" t="s">
        <v>96</v>
      </c>
      <c r="K700" s="5">
        <v>8</v>
      </c>
      <c r="L700" s="5">
        <v>4000</v>
      </c>
      <c r="M700" s="5">
        <v>0.2</v>
      </c>
      <c r="N700" s="5">
        <v>25600</v>
      </c>
      <c r="O700" s="5">
        <v>20973.360000000001</v>
      </c>
      <c r="P700" s="5">
        <v>4626.6400000000003</v>
      </c>
      <c r="Q700" s="5">
        <v>18.07</v>
      </c>
      <c r="R700" s="5" t="s">
        <v>41</v>
      </c>
      <c r="S700" s="5" t="s">
        <v>42</v>
      </c>
      <c r="T700" s="5" t="s">
        <v>75</v>
      </c>
      <c r="U700" s="5" t="s">
        <v>178</v>
      </c>
      <c r="V700" s="5">
        <v>2025</v>
      </c>
      <c r="W700" s="5" t="s">
        <v>139</v>
      </c>
      <c r="X700" s="5">
        <v>5</v>
      </c>
      <c r="Y700" s="1" t="s">
        <v>1269</v>
      </c>
      <c r="Z700" s="5" t="s">
        <v>47</v>
      </c>
      <c r="AA700" s="5" t="s">
        <v>90</v>
      </c>
      <c r="AB700" s="5" t="s">
        <v>111</v>
      </c>
      <c r="AC700" s="5" t="s">
        <v>121</v>
      </c>
      <c r="AD700" s="5">
        <v>5</v>
      </c>
    </row>
    <row r="701" spans="1:30">
      <c r="A701" s="5" t="s">
        <v>1806</v>
      </c>
      <c r="B701" s="1" t="s">
        <v>1624</v>
      </c>
      <c r="C701" s="5" t="s">
        <v>292</v>
      </c>
      <c r="D701" s="5" t="s">
        <v>355</v>
      </c>
      <c r="E701" s="5" t="s">
        <v>55</v>
      </c>
      <c r="F701" s="5" t="s">
        <v>36</v>
      </c>
      <c r="G701" s="5" t="s">
        <v>37</v>
      </c>
      <c r="H701" s="5" t="s">
        <v>94</v>
      </c>
      <c r="I701" s="5" t="s">
        <v>59</v>
      </c>
      <c r="J701" s="5" t="s">
        <v>328</v>
      </c>
      <c r="K701" s="5">
        <v>2</v>
      </c>
      <c r="L701" s="5">
        <v>800</v>
      </c>
      <c r="M701" s="5">
        <v>0.1</v>
      </c>
      <c r="N701" s="5">
        <v>1440</v>
      </c>
      <c r="O701" s="5">
        <v>1108.98</v>
      </c>
      <c r="P701" s="5">
        <v>331.02</v>
      </c>
      <c r="Q701" s="5">
        <v>22.99</v>
      </c>
      <c r="R701" s="5" t="s">
        <v>41</v>
      </c>
      <c r="S701" s="5" t="s">
        <v>42</v>
      </c>
      <c r="T701" s="5" t="s">
        <v>43</v>
      </c>
      <c r="U701" s="5" t="s">
        <v>218</v>
      </c>
      <c r="V701" s="5">
        <v>2025</v>
      </c>
      <c r="W701" s="5" t="s">
        <v>45</v>
      </c>
      <c r="X701" s="5">
        <v>10</v>
      </c>
      <c r="Y701" s="1" t="s">
        <v>892</v>
      </c>
      <c r="Z701" s="5" t="s">
        <v>110</v>
      </c>
      <c r="AA701" s="5" t="s">
        <v>67</v>
      </c>
      <c r="AB701" s="5" t="s">
        <v>111</v>
      </c>
      <c r="AC701" s="5" t="s">
        <v>50</v>
      </c>
      <c r="AD701" s="5">
        <v>1</v>
      </c>
    </row>
    <row r="702" spans="1:30">
      <c r="A702" s="5" t="s">
        <v>1807</v>
      </c>
      <c r="B702" s="1" t="s">
        <v>1319</v>
      </c>
      <c r="C702" s="5" t="s">
        <v>277</v>
      </c>
      <c r="D702" s="5" t="s">
        <v>672</v>
      </c>
      <c r="E702" s="5" t="s">
        <v>103</v>
      </c>
      <c r="F702" s="5" t="s">
        <v>149</v>
      </c>
      <c r="G702" s="5" t="s">
        <v>150</v>
      </c>
      <c r="H702" s="5" t="s">
        <v>171</v>
      </c>
      <c r="I702" s="5" t="s">
        <v>59</v>
      </c>
      <c r="J702" s="5" t="s">
        <v>206</v>
      </c>
      <c r="K702" s="5">
        <v>1</v>
      </c>
      <c r="L702" s="5">
        <v>1200</v>
      </c>
      <c r="M702" s="5">
        <v>0</v>
      </c>
      <c r="N702" s="5">
        <v>1200</v>
      </c>
      <c r="O702" s="5">
        <v>896.21</v>
      </c>
      <c r="P702" s="5">
        <v>303.79000000000002</v>
      </c>
      <c r="Q702" s="5">
        <v>25.32</v>
      </c>
      <c r="R702" s="5" t="s">
        <v>61</v>
      </c>
      <c r="S702" s="5" t="s">
        <v>74</v>
      </c>
      <c r="T702" s="5" t="s">
        <v>159</v>
      </c>
      <c r="U702" s="5" t="s">
        <v>87</v>
      </c>
      <c r="V702" s="5">
        <v>2024</v>
      </c>
      <c r="W702" s="5" t="s">
        <v>65</v>
      </c>
      <c r="X702" s="5">
        <v>7</v>
      </c>
      <c r="Y702" s="1">
        <v>45333</v>
      </c>
      <c r="Z702" s="5" t="s">
        <v>47</v>
      </c>
      <c r="AA702" s="5" t="s">
        <v>67</v>
      </c>
      <c r="AB702" s="5" t="s">
        <v>49</v>
      </c>
      <c r="AC702" s="5" t="s">
        <v>50</v>
      </c>
      <c r="AD702" s="5">
        <v>4</v>
      </c>
    </row>
    <row r="703" spans="1:30">
      <c r="A703" s="5" t="s">
        <v>1808</v>
      </c>
      <c r="B703" s="1" t="s">
        <v>934</v>
      </c>
      <c r="C703" s="5" t="s">
        <v>1001</v>
      </c>
      <c r="D703" s="5" t="s">
        <v>870</v>
      </c>
      <c r="E703" s="5" t="s">
        <v>103</v>
      </c>
      <c r="F703" s="5" t="s">
        <v>116</v>
      </c>
      <c r="G703" s="5" t="s">
        <v>37</v>
      </c>
      <c r="H703" s="5" t="s">
        <v>38</v>
      </c>
      <c r="I703" s="5" t="s">
        <v>95</v>
      </c>
      <c r="J703" s="5" t="s">
        <v>319</v>
      </c>
      <c r="K703" s="5">
        <v>9</v>
      </c>
      <c r="L703" s="5">
        <v>15000</v>
      </c>
      <c r="M703" s="5">
        <v>0.1</v>
      </c>
      <c r="N703" s="5">
        <v>121500</v>
      </c>
      <c r="O703" s="5">
        <v>94536.03</v>
      </c>
      <c r="P703" s="5">
        <v>26963.97</v>
      </c>
      <c r="Q703" s="5">
        <v>22.19</v>
      </c>
      <c r="R703" s="5" t="s">
        <v>61</v>
      </c>
      <c r="S703" s="5" t="s">
        <v>62</v>
      </c>
      <c r="T703" s="5" t="s">
        <v>173</v>
      </c>
      <c r="U703" s="5" t="s">
        <v>98</v>
      </c>
      <c r="V703" s="5">
        <v>2025</v>
      </c>
      <c r="W703" s="5" t="s">
        <v>194</v>
      </c>
      <c r="X703" s="5">
        <v>6</v>
      </c>
      <c r="Y703" s="1" t="s">
        <v>780</v>
      </c>
      <c r="Z703" s="5" t="s">
        <v>47</v>
      </c>
      <c r="AA703" s="5" t="s">
        <v>48</v>
      </c>
      <c r="AB703" s="5" t="s">
        <v>49</v>
      </c>
      <c r="AC703" s="5" t="s">
        <v>50</v>
      </c>
      <c r="AD703" s="5">
        <v>3</v>
      </c>
    </row>
    <row r="704" spans="1:30">
      <c r="A704" s="5" t="s">
        <v>1809</v>
      </c>
      <c r="B704" s="1" t="s">
        <v>136</v>
      </c>
      <c r="C704" s="5" t="s">
        <v>176</v>
      </c>
      <c r="D704" s="5" t="s">
        <v>1810</v>
      </c>
      <c r="E704" s="5" t="s">
        <v>35</v>
      </c>
      <c r="F704" s="5" t="s">
        <v>144</v>
      </c>
      <c r="G704" s="5" t="s">
        <v>145</v>
      </c>
      <c r="H704" s="5" t="s">
        <v>38</v>
      </c>
      <c r="I704" s="5" t="s">
        <v>71</v>
      </c>
      <c r="J704" s="5" t="s">
        <v>117</v>
      </c>
      <c r="K704" s="5">
        <v>7</v>
      </c>
      <c r="L704" s="5">
        <v>1200</v>
      </c>
      <c r="M704" s="5">
        <v>0.1</v>
      </c>
      <c r="N704" s="5">
        <v>7560</v>
      </c>
      <c r="O704" s="5">
        <v>4845.8900000000003</v>
      </c>
      <c r="P704" s="5">
        <v>2714.11</v>
      </c>
      <c r="Q704" s="5">
        <v>35.9</v>
      </c>
      <c r="R704" s="5" t="s">
        <v>61</v>
      </c>
      <c r="S704" s="5" t="s">
        <v>74</v>
      </c>
      <c r="T704" s="5" t="s">
        <v>173</v>
      </c>
      <c r="U704" s="5" t="s">
        <v>64</v>
      </c>
      <c r="V704" s="5">
        <v>2025</v>
      </c>
      <c r="W704" s="5" t="s">
        <v>139</v>
      </c>
      <c r="X704" s="5">
        <v>8</v>
      </c>
      <c r="Y704" s="1">
        <v>46054</v>
      </c>
      <c r="Z704" s="5" t="s">
        <v>47</v>
      </c>
      <c r="AA704" s="5" t="s">
        <v>90</v>
      </c>
      <c r="AB704" s="5" t="s">
        <v>111</v>
      </c>
      <c r="AC704" s="5" t="s">
        <v>50</v>
      </c>
      <c r="AD704" s="5">
        <v>5</v>
      </c>
    </row>
    <row r="705" spans="1:30">
      <c r="A705" s="5" t="s">
        <v>1811</v>
      </c>
      <c r="B705" s="1" t="s">
        <v>1366</v>
      </c>
      <c r="C705" s="5" t="s">
        <v>397</v>
      </c>
      <c r="D705" s="5" t="s">
        <v>348</v>
      </c>
      <c r="E705" s="5" t="s">
        <v>55</v>
      </c>
      <c r="F705" s="5" t="s">
        <v>131</v>
      </c>
      <c r="G705" s="5" t="s">
        <v>132</v>
      </c>
      <c r="H705" s="5" t="s">
        <v>38</v>
      </c>
      <c r="I705" s="5" t="s">
        <v>84</v>
      </c>
      <c r="J705" s="5" t="s">
        <v>217</v>
      </c>
      <c r="K705" s="5">
        <v>9</v>
      </c>
      <c r="L705" s="5">
        <v>200</v>
      </c>
      <c r="M705" s="5">
        <v>0.15</v>
      </c>
      <c r="N705" s="5">
        <v>1530</v>
      </c>
      <c r="O705" s="5">
        <v>880.07</v>
      </c>
      <c r="P705" s="5">
        <v>649.92999999999995</v>
      </c>
      <c r="Q705" s="5">
        <v>42.48</v>
      </c>
      <c r="R705" s="5" t="s">
        <v>61</v>
      </c>
      <c r="S705" s="5" t="s">
        <v>42</v>
      </c>
      <c r="T705" s="5" t="s">
        <v>97</v>
      </c>
      <c r="U705" s="5" t="s">
        <v>108</v>
      </c>
      <c r="V705" s="5">
        <v>2025</v>
      </c>
      <c r="W705" s="5" t="s">
        <v>139</v>
      </c>
      <c r="X705" s="5">
        <v>2</v>
      </c>
      <c r="Y705" s="1" t="s">
        <v>1010</v>
      </c>
      <c r="Z705" s="5" t="s">
        <v>47</v>
      </c>
      <c r="AA705" s="5" t="s">
        <v>67</v>
      </c>
      <c r="AB705" s="5" t="s">
        <v>49</v>
      </c>
      <c r="AC705" s="5" t="s">
        <v>50</v>
      </c>
      <c r="AD705" s="5">
        <v>1</v>
      </c>
    </row>
    <row r="706" spans="1:30">
      <c r="A706" s="5" t="s">
        <v>1812</v>
      </c>
      <c r="B706" s="1" t="s">
        <v>993</v>
      </c>
      <c r="C706" s="5" t="s">
        <v>1618</v>
      </c>
      <c r="D706" s="5" t="s">
        <v>1813</v>
      </c>
      <c r="E706" s="5" t="s">
        <v>55</v>
      </c>
      <c r="F706" s="5" t="s">
        <v>116</v>
      </c>
      <c r="G706" s="5" t="s">
        <v>37</v>
      </c>
      <c r="H706" s="5" t="s">
        <v>38</v>
      </c>
      <c r="I706" s="5" t="s">
        <v>59</v>
      </c>
      <c r="J706" s="5" t="s">
        <v>372</v>
      </c>
      <c r="K706" s="5">
        <v>2</v>
      </c>
      <c r="L706" s="5">
        <v>1200</v>
      </c>
      <c r="M706" s="5">
        <v>0.05</v>
      </c>
      <c r="N706" s="5">
        <v>2280</v>
      </c>
      <c r="O706" s="5">
        <v>1591.34</v>
      </c>
      <c r="P706" s="5">
        <v>688.66</v>
      </c>
      <c r="Q706" s="5">
        <v>30.2</v>
      </c>
      <c r="R706" s="5" t="s">
        <v>73</v>
      </c>
      <c r="S706" s="5" t="s">
        <v>74</v>
      </c>
      <c r="T706" s="5" t="s">
        <v>86</v>
      </c>
      <c r="U706" s="5" t="s">
        <v>178</v>
      </c>
      <c r="V706" s="5">
        <v>2025</v>
      </c>
      <c r="W706" s="5" t="s">
        <v>65</v>
      </c>
      <c r="X706" s="5">
        <v>1</v>
      </c>
      <c r="Y706" s="1" t="s">
        <v>359</v>
      </c>
      <c r="Z706" s="5" t="s">
        <v>47</v>
      </c>
      <c r="AA706" s="5" t="s">
        <v>67</v>
      </c>
      <c r="AB706" s="5" t="s">
        <v>111</v>
      </c>
      <c r="AC706" s="5" t="s">
        <v>121</v>
      </c>
      <c r="AD706" s="5">
        <v>2</v>
      </c>
    </row>
    <row r="707" spans="1:30">
      <c r="A707" s="5" t="s">
        <v>1814</v>
      </c>
      <c r="B707" s="1" t="s">
        <v>1269</v>
      </c>
      <c r="C707" s="5" t="s">
        <v>1815</v>
      </c>
      <c r="D707" s="5" t="s">
        <v>758</v>
      </c>
      <c r="E707" s="5" t="s">
        <v>35</v>
      </c>
      <c r="F707" s="5" t="s">
        <v>104</v>
      </c>
      <c r="G707" s="5" t="s">
        <v>104</v>
      </c>
      <c r="H707" s="5" t="s">
        <v>94</v>
      </c>
      <c r="I707" s="5" t="s">
        <v>84</v>
      </c>
      <c r="J707" s="5" t="s">
        <v>85</v>
      </c>
      <c r="K707" s="5">
        <v>1</v>
      </c>
      <c r="L707" s="5">
        <v>800</v>
      </c>
      <c r="M707" s="5">
        <v>0.15</v>
      </c>
      <c r="N707" s="5">
        <v>680</v>
      </c>
      <c r="O707" s="5">
        <v>475.21</v>
      </c>
      <c r="P707" s="5">
        <v>204.79</v>
      </c>
      <c r="Q707" s="5">
        <v>30.12</v>
      </c>
      <c r="R707" s="5" t="s">
        <v>41</v>
      </c>
      <c r="S707" s="5" t="s">
        <v>62</v>
      </c>
      <c r="T707" s="5" t="s">
        <v>159</v>
      </c>
      <c r="U707" s="5" t="s">
        <v>178</v>
      </c>
      <c r="V707" s="5">
        <v>2025</v>
      </c>
      <c r="W707" s="5" t="s">
        <v>109</v>
      </c>
      <c r="X707" s="5">
        <v>7</v>
      </c>
      <c r="Y707" s="1">
        <v>45661</v>
      </c>
      <c r="Z707" s="5" t="s">
        <v>89</v>
      </c>
      <c r="AA707" s="5" t="s">
        <v>48</v>
      </c>
      <c r="AB707" s="5" t="s">
        <v>78</v>
      </c>
      <c r="AC707" s="5" t="s">
        <v>50</v>
      </c>
      <c r="AD707" s="5">
        <v>4</v>
      </c>
    </row>
    <row r="708" spans="1:30">
      <c r="A708" s="5" t="s">
        <v>1816</v>
      </c>
      <c r="B708" s="1" t="s">
        <v>460</v>
      </c>
      <c r="C708" s="5" t="s">
        <v>92</v>
      </c>
      <c r="D708" s="5" t="s">
        <v>1020</v>
      </c>
      <c r="E708" s="5" t="s">
        <v>35</v>
      </c>
      <c r="F708" s="5" t="s">
        <v>82</v>
      </c>
      <c r="G708" s="5" t="s">
        <v>83</v>
      </c>
      <c r="H708" s="5" t="s">
        <v>58</v>
      </c>
      <c r="I708" s="5" t="s">
        <v>84</v>
      </c>
      <c r="J708" s="5" t="s">
        <v>85</v>
      </c>
      <c r="K708" s="5">
        <v>6</v>
      </c>
      <c r="L708" s="5">
        <v>800</v>
      </c>
      <c r="M708" s="5">
        <v>0.1</v>
      </c>
      <c r="N708" s="5">
        <v>4320</v>
      </c>
      <c r="O708" s="5">
        <v>3379.04</v>
      </c>
      <c r="P708" s="5">
        <v>940.96</v>
      </c>
      <c r="Q708" s="5">
        <v>21.78</v>
      </c>
      <c r="R708" s="5" t="s">
        <v>41</v>
      </c>
      <c r="S708" s="5" t="s">
        <v>42</v>
      </c>
      <c r="T708" s="5" t="s">
        <v>138</v>
      </c>
      <c r="U708" s="5" t="s">
        <v>178</v>
      </c>
      <c r="V708" s="5">
        <v>2024</v>
      </c>
      <c r="W708" s="5" t="s">
        <v>109</v>
      </c>
      <c r="X708" s="5">
        <v>3</v>
      </c>
      <c r="Y708" s="1" t="s">
        <v>1817</v>
      </c>
      <c r="Z708" s="5" t="s">
        <v>47</v>
      </c>
      <c r="AA708" s="5" t="s">
        <v>48</v>
      </c>
      <c r="AB708" s="5" t="s">
        <v>78</v>
      </c>
      <c r="AC708" s="5" t="s">
        <v>121</v>
      </c>
      <c r="AD708" s="5">
        <v>5</v>
      </c>
    </row>
    <row r="709" spans="1:30">
      <c r="A709" s="5" t="s">
        <v>1818</v>
      </c>
      <c r="B709" s="1">
        <v>45969</v>
      </c>
      <c r="C709" s="5" t="s">
        <v>749</v>
      </c>
      <c r="D709" s="5" t="s">
        <v>1243</v>
      </c>
      <c r="E709" s="5" t="s">
        <v>35</v>
      </c>
      <c r="F709" s="5" t="s">
        <v>149</v>
      </c>
      <c r="G709" s="5" t="s">
        <v>150</v>
      </c>
      <c r="H709" s="5" t="s">
        <v>38</v>
      </c>
      <c r="I709" s="5" t="s">
        <v>84</v>
      </c>
      <c r="J709" s="5" t="s">
        <v>217</v>
      </c>
      <c r="K709" s="5">
        <v>4</v>
      </c>
      <c r="L709" s="5">
        <v>500</v>
      </c>
      <c r="M709" s="5">
        <v>0.1</v>
      </c>
      <c r="N709" s="5">
        <v>1800</v>
      </c>
      <c r="O709" s="5">
        <v>1290.74</v>
      </c>
      <c r="P709" s="5">
        <v>509.26</v>
      </c>
      <c r="Q709" s="5">
        <v>28.29</v>
      </c>
      <c r="R709" s="5" t="s">
        <v>106</v>
      </c>
      <c r="S709" s="5" t="s">
        <v>42</v>
      </c>
      <c r="T709" s="5" t="s">
        <v>138</v>
      </c>
      <c r="U709" s="5" t="s">
        <v>218</v>
      </c>
      <c r="V709" s="5">
        <v>2025</v>
      </c>
      <c r="W709" s="5" t="s">
        <v>126</v>
      </c>
      <c r="X709" s="5">
        <v>1</v>
      </c>
      <c r="Y709" s="1">
        <v>45999</v>
      </c>
      <c r="Z709" s="5" t="s">
        <v>110</v>
      </c>
      <c r="AA709" s="5" t="s">
        <v>48</v>
      </c>
      <c r="AB709" s="5" t="s">
        <v>111</v>
      </c>
      <c r="AC709" s="5" t="s">
        <v>121</v>
      </c>
      <c r="AD709" s="5">
        <v>3</v>
      </c>
    </row>
    <row r="710" spans="1:30">
      <c r="A710" s="5" t="s">
        <v>1819</v>
      </c>
      <c r="B710" s="1">
        <v>45816</v>
      </c>
      <c r="C710" s="5" t="s">
        <v>296</v>
      </c>
      <c r="D710" s="5" t="s">
        <v>293</v>
      </c>
      <c r="E710" s="5" t="s">
        <v>35</v>
      </c>
      <c r="F710" s="5" t="s">
        <v>56</v>
      </c>
      <c r="G710" s="5" t="s">
        <v>57</v>
      </c>
      <c r="H710" s="5" t="s">
        <v>94</v>
      </c>
      <c r="I710" s="5" t="s">
        <v>95</v>
      </c>
      <c r="J710" s="5" t="s">
        <v>344</v>
      </c>
      <c r="K710" s="5">
        <v>6</v>
      </c>
      <c r="L710" s="5">
        <v>2500</v>
      </c>
      <c r="M710" s="5">
        <v>0.1</v>
      </c>
      <c r="N710" s="5">
        <v>13500</v>
      </c>
      <c r="O710" s="5">
        <v>10026.120000000001</v>
      </c>
      <c r="P710" s="5">
        <v>3473.88</v>
      </c>
      <c r="Q710" s="5">
        <v>25.73</v>
      </c>
      <c r="R710" s="5" t="s">
        <v>73</v>
      </c>
      <c r="S710" s="5" t="s">
        <v>42</v>
      </c>
      <c r="T710" s="5" t="s">
        <v>138</v>
      </c>
      <c r="U710" s="5" t="s">
        <v>218</v>
      </c>
      <c r="V710" s="5">
        <v>2025</v>
      </c>
      <c r="W710" s="5" t="s">
        <v>134</v>
      </c>
      <c r="X710" s="5">
        <v>5</v>
      </c>
      <c r="Y710" s="1">
        <v>45969</v>
      </c>
      <c r="Z710" s="5" t="s">
        <v>47</v>
      </c>
      <c r="AA710" s="5" t="s">
        <v>67</v>
      </c>
      <c r="AB710" s="5" t="s">
        <v>111</v>
      </c>
      <c r="AC710" s="5" t="s">
        <v>50</v>
      </c>
      <c r="AD710" s="5">
        <v>3</v>
      </c>
    </row>
    <row r="711" spans="1:30">
      <c r="A711" s="5" t="s">
        <v>1820</v>
      </c>
      <c r="B711" s="1" t="s">
        <v>1542</v>
      </c>
      <c r="C711" s="5" t="s">
        <v>331</v>
      </c>
      <c r="D711" s="5" t="s">
        <v>1821</v>
      </c>
      <c r="E711" s="5" t="s">
        <v>55</v>
      </c>
      <c r="F711" s="5" t="s">
        <v>149</v>
      </c>
      <c r="G711" s="5" t="s">
        <v>150</v>
      </c>
      <c r="H711" s="5" t="s">
        <v>58</v>
      </c>
      <c r="I711" s="5" t="s">
        <v>59</v>
      </c>
      <c r="J711" s="5" t="s">
        <v>372</v>
      </c>
      <c r="K711" s="5">
        <v>7</v>
      </c>
      <c r="L711" s="5">
        <v>800</v>
      </c>
      <c r="M711" s="5">
        <v>0.2</v>
      </c>
      <c r="N711" s="5">
        <v>4480</v>
      </c>
      <c r="O711" s="5">
        <v>3507.56</v>
      </c>
      <c r="P711" s="5">
        <v>972.44</v>
      </c>
      <c r="Q711" s="5">
        <v>21.71</v>
      </c>
      <c r="R711" s="5" t="s">
        <v>106</v>
      </c>
      <c r="S711" s="5" t="s">
        <v>42</v>
      </c>
      <c r="T711" s="5" t="s">
        <v>173</v>
      </c>
      <c r="U711" s="5" t="s">
        <v>198</v>
      </c>
      <c r="V711" s="5">
        <v>2025</v>
      </c>
      <c r="W711" s="5" t="s">
        <v>194</v>
      </c>
      <c r="X711" s="5">
        <v>10</v>
      </c>
      <c r="Y711" s="1">
        <v>45881</v>
      </c>
      <c r="Z711" s="5" t="s">
        <v>47</v>
      </c>
      <c r="AA711" s="5" t="s">
        <v>48</v>
      </c>
      <c r="AB711" s="5" t="s">
        <v>78</v>
      </c>
      <c r="AC711" s="5" t="s">
        <v>121</v>
      </c>
      <c r="AD711" s="5">
        <v>2</v>
      </c>
    </row>
    <row r="712" spans="1:30">
      <c r="A712" s="5" t="s">
        <v>1822</v>
      </c>
      <c r="B712" s="1">
        <v>45327</v>
      </c>
      <c r="C712" s="5" t="s">
        <v>301</v>
      </c>
      <c r="D712" s="5" t="s">
        <v>799</v>
      </c>
      <c r="E712" s="5" t="s">
        <v>103</v>
      </c>
      <c r="F712" s="5" t="s">
        <v>149</v>
      </c>
      <c r="G712" s="5" t="s">
        <v>150</v>
      </c>
      <c r="H712" s="5" t="s">
        <v>94</v>
      </c>
      <c r="I712" s="5" t="s">
        <v>59</v>
      </c>
      <c r="J712" s="5" t="s">
        <v>206</v>
      </c>
      <c r="K712" s="5">
        <v>3</v>
      </c>
      <c r="L712" s="5">
        <v>500</v>
      </c>
      <c r="M712" s="5">
        <v>0.15</v>
      </c>
      <c r="N712" s="5">
        <v>1275</v>
      </c>
      <c r="O712" s="5">
        <v>733.67</v>
      </c>
      <c r="P712" s="5">
        <v>541.33000000000004</v>
      </c>
      <c r="Q712" s="5">
        <v>42.46</v>
      </c>
      <c r="R712" s="5" t="s">
        <v>166</v>
      </c>
      <c r="S712" s="5" t="s">
        <v>62</v>
      </c>
      <c r="T712" s="5" t="s">
        <v>138</v>
      </c>
      <c r="U712" s="5" t="s">
        <v>119</v>
      </c>
      <c r="V712" s="5">
        <v>2024</v>
      </c>
      <c r="W712" s="5" t="s">
        <v>139</v>
      </c>
      <c r="X712" s="5">
        <v>6</v>
      </c>
      <c r="Y712" s="1">
        <v>45509</v>
      </c>
      <c r="Z712" s="5" t="s">
        <v>47</v>
      </c>
      <c r="AA712" s="5" t="s">
        <v>90</v>
      </c>
      <c r="AB712" s="5" t="s">
        <v>78</v>
      </c>
      <c r="AC712" s="5" t="s">
        <v>121</v>
      </c>
      <c r="AD712" s="5">
        <v>1</v>
      </c>
    </row>
    <row r="713" spans="1:30">
      <c r="A713" s="5" t="s">
        <v>1823</v>
      </c>
      <c r="B713" s="1">
        <v>45326</v>
      </c>
      <c r="C713" s="5" t="s">
        <v>1824</v>
      </c>
      <c r="D713" s="5" t="s">
        <v>355</v>
      </c>
      <c r="E713" s="5" t="s">
        <v>103</v>
      </c>
      <c r="F713" s="5" t="s">
        <v>116</v>
      </c>
      <c r="G713" s="5" t="s">
        <v>37</v>
      </c>
      <c r="H713" s="5" t="s">
        <v>58</v>
      </c>
      <c r="I713" s="5" t="s">
        <v>84</v>
      </c>
      <c r="J713" s="5" t="s">
        <v>85</v>
      </c>
      <c r="K713" s="5">
        <v>7</v>
      </c>
      <c r="L713" s="5">
        <v>350</v>
      </c>
      <c r="M713" s="5">
        <v>0.15</v>
      </c>
      <c r="N713" s="5">
        <v>2082.5</v>
      </c>
      <c r="O713" s="5">
        <v>1371.09</v>
      </c>
      <c r="P713" s="5">
        <v>711.41</v>
      </c>
      <c r="Q713" s="5">
        <v>34.159999999999997</v>
      </c>
      <c r="R713" s="5" t="s">
        <v>61</v>
      </c>
      <c r="S713" s="5" t="s">
        <v>62</v>
      </c>
      <c r="T713" s="5" t="s">
        <v>173</v>
      </c>
      <c r="U713" s="5" t="s">
        <v>44</v>
      </c>
      <c r="V713" s="5">
        <v>2024</v>
      </c>
      <c r="W713" s="5" t="s">
        <v>109</v>
      </c>
      <c r="X713" s="5">
        <v>3</v>
      </c>
      <c r="Y713" s="1">
        <v>45416</v>
      </c>
      <c r="Z713" s="5" t="s">
        <v>47</v>
      </c>
      <c r="AA713" s="5" t="s">
        <v>48</v>
      </c>
      <c r="AB713" s="5" t="s">
        <v>78</v>
      </c>
      <c r="AC713" s="5" t="s">
        <v>121</v>
      </c>
      <c r="AD713" s="5">
        <v>5</v>
      </c>
    </row>
    <row r="714" spans="1:30">
      <c r="A714" s="5" t="s">
        <v>1825</v>
      </c>
      <c r="B714" s="1">
        <v>45323</v>
      </c>
      <c r="C714" s="5" t="s">
        <v>1067</v>
      </c>
      <c r="D714" s="5" t="s">
        <v>1449</v>
      </c>
      <c r="E714" s="5" t="s">
        <v>103</v>
      </c>
      <c r="F714" s="5" t="s">
        <v>104</v>
      </c>
      <c r="G714" s="5" t="s">
        <v>104</v>
      </c>
      <c r="H714" s="5" t="s">
        <v>171</v>
      </c>
      <c r="I714" s="5" t="s">
        <v>59</v>
      </c>
      <c r="J714" s="5" t="s">
        <v>328</v>
      </c>
      <c r="K714" s="5">
        <v>6</v>
      </c>
      <c r="L714" s="5">
        <v>500</v>
      </c>
      <c r="M714" s="5">
        <v>0.05</v>
      </c>
      <c r="N714" s="5">
        <v>2850</v>
      </c>
      <c r="O714" s="5">
        <v>1571.09</v>
      </c>
      <c r="P714" s="5">
        <v>1278.9100000000001</v>
      </c>
      <c r="Q714" s="5">
        <v>44.87</v>
      </c>
      <c r="R714" s="5" t="s">
        <v>106</v>
      </c>
      <c r="S714" s="5" t="s">
        <v>74</v>
      </c>
      <c r="T714" s="5" t="s">
        <v>86</v>
      </c>
      <c r="U714" s="5" t="s">
        <v>76</v>
      </c>
      <c r="V714" s="5">
        <v>2024</v>
      </c>
      <c r="W714" s="5" t="s">
        <v>109</v>
      </c>
      <c r="X714" s="5">
        <v>9</v>
      </c>
      <c r="Y714" s="1">
        <v>45597</v>
      </c>
      <c r="Z714" s="5" t="s">
        <v>47</v>
      </c>
      <c r="AA714" s="5" t="s">
        <v>48</v>
      </c>
      <c r="AB714" s="5" t="s">
        <v>111</v>
      </c>
      <c r="AC714" s="5" t="s">
        <v>50</v>
      </c>
      <c r="AD714" s="5">
        <v>2</v>
      </c>
    </row>
    <row r="715" spans="1:30">
      <c r="A715" s="5" t="s">
        <v>1826</v>
      </c>
      <c r="B715" s="1" t="s">
        <v>679</v>
      </c>
      <c r="C715" s="5" t="s">
        <v>192</v>
      </c>
      <c r="D715" s="5" t="s">
        <v>604</v>
      </c>
      <c r="E715" s="5" t="s">
        <v>55</v>
      </c>
      <c r="F715" s="5" t="s">
        <v>131</v>
      </c>
      <c r="G715" s="5" t="s">
        <v>132</v>
      </c>
      <c r="H715" s="5" t="s">
        <v>58</v>
      </c>
      <c r="I715" s="5" t="s">
        <v>95</v>
      </c>
      <c r="J715" s="5" t="s">
        <v>184</v>
      </c>
      <c r="K715" s="5">
        <v>2</v>
      </c>
      <c r="L715" s="5">
        <v>4000</v>
      </c>
      <c r="M715" s="5">
        <v>0.2</v>
      </c>
      <c r="N715" s="5">
        <v>6400</v>
      </c>
      <c r="O715" s="5">
        <v>5060.3999999999996</v>
      </c>
      <c r="P715" s="5">
        <v>1339.6</v>
      </c>
      <c r="Q715" s="5">
        <v>20.93</v>
      </c>
      <c r="R715" s="5" t="s">
        <v>41</v>
      </c>
      <c r="S715" s="5" t="s">
        <v>74</v>
      </c>
      <c r="T715" s="5" t="s">
        <v>107</v>
      </c>
      <c r="U715" s="5" t="s">
        <v>76</v>
      </c>
      <c r="V715" s="5">
        <v>2025</v>
      </c>
      <c r="W715" s="5" t="s">
        <v>65</v>
      </c>
      <c r="X715" s="5">
        <v>10</v>
      </c>
      <c r="Y715" s="1" t="s">
        <v>1827</v>
      </c>
      <c r="Z715" s="5" t="s">
        <v>47</v>
      </c>
      <c r="AA715" s="5" t="s">
        <v>90</v>
      </c>
      <c r="AB715" s="5" t="s">
        <v>78</v>
      </c>
      <c r="AC715" s="5" t="s">
        <v>50</v>
      </c>
      <c r="AD715" s="5">
        <v>1</v>
      </c>
    </row>
    <row r="716" spans="1:30">
      <c r="A716" s="5" t="s">
        <v>1828</v>
      </c>
      <c r="B716" s="1" t="s">
        <v>264</v>
      </c>
      <c r="C716" s="5" t="s">
        <v>830</v>
      </c>
      <c r="D716" s="5" t="s">
        <v>1083</v>
      </c>
      <c r="E716" s="5" t="s">
        <v>103</v>
      </c>
      <c r="F716" s="5" t="s">
        <v>82</v>
      </c>
      <c r="G716" s="5" t="s">
        <v>83</v>
      </c>
      <c r="H716" s="5" t="s">
        <v>94</v>
      </c>
      <c r="I716" s="5" t="s">
        <v>95</v>
      </c>
      <c r="J716" s="5" t="s">
        <v>96</v>
      </c>
      <c r="K716" s="5">
        <v>9</v>
      </c>
      <c r="L716" s="5">
        <v>4000</v>
      </c>
      <c r="M716" s="5">
        <v>0</v>
      </c>
      <c r="N716" s="5">
        <v>36000</v>
      </c>
      <c r="O716" s="5">
        <v>21309.06</v>
      </c>
      <c r="P716" s="5">
        <v>14690.94</v>
      </c>
      <c r="Q716" s="5">
        <v>40.81</v>
      </c>
      <c r="R716" s="5" t="s">
        <v>166</v>
      </c>
      <c r="S716" s="5" t="s">
        <v>74</v>
      </c>
      <c r="T716" s="5" t="s">
        <v>107</v>
      </c>
      <c r="U716" s="5" t="s">
        <v>119</v>
      </c>
      <c r="V716" s="5">
        <v>2025</v>
      </c>
      <c r="W716" s="5" t="s">
        <v>65</v>
      </c>
      <c r="X716" s="5">
        <v>4</v>
      </c>
      <c r="Y716" s="1" t="s">
        <v>1705</v>
      </c>
      <c r="Z716" s="5" t="s">
        <v>89</v>
      </c>
      <c r="AA716" s="5" t="s">
        <v>90</v>
      </c>
      <c r="AB716" s="5" t="s">
        <v>78</v>
      </c>
      <c r="AC716" s="5" t="s">
        <v>121</v>
      </c>
      <c r="AD716" s="5">
        <v>3</v>
      </c>
    </row>
    <row r="717" spans="1:30">
      <c r="A717" s="5" t="s">
        <v>1829</v>
      </c>
      <c r="B717" s="1">
        <v>45658</v>
      </c>
      <c r="C717" s="5" t="s">
        <v>312</v>
      </c>
      <c r="D717" s="5" t="s">
        <v>650</v>
      </c>
      <c r="E717" s="5" t="s">
        <v>103</v>
      </c>
      <c r="F717" s="5" t="s">
        <v>245</v>
      </c>
      <c r="G717" s="5" t="s">
        <v>246</v>
      </c>
      <c r="H717" s="5" t="s">
        <v>58</v>
      </c>
      <c r="I717" s="5" t="s">
        <v>95</v>
      </c>
      <c r="J717" s="5" t="s">
        <v>440</v>
      </c>
      <c r="K717" s="5">
        <v>4</v>
      </c>
      <c r="L717" s="5">
        <v>9000</v>
      </c>
      <c r="M717" s="5">
        <v>0</v>
      </c>
      <c r="N717" s="5">
        <v>36000</v>
      </c>
      <c r="O717" s="5">
        <v>27682.02</v>
      </c>
      <c r="P717" s="5">
        <v>8317.98</v>
      </c>
      <c r="Q717" s="5">
        <v>23.11</v>
      </c>
      <c r="R717" s="5" t="s">
        <v>61</v>
      </c>
      <c r="S717" s="5" t="s">
        <v>42</v>
      </c>
      <c r="T717" s="5" t="s">
        <v>63</v>
      </c>
      <c r="U717" s="5" t="s">
        <v>76</v>
      </c>
      <c r="V717" s="5">
        <v>2025</v>
      </c>
      <c r="W717" s="5" t="s">
        <v>134</v>
      </c>
      <c r="X717" s="5">
        <v>1</v>
      </c>
      <c r="Y717" s="1">
        <v>45689</v>
      </c>
      <c r="Z717" s="5" t="s">
        <v>110</v>
      </c>
      <c r="AA717" s="5" t="s">
        <v>48</v>
      </c>
      <c r="AB717" s="5" t="s">
        <v>111</v>
      </c>
      <c r="AC717" s="5" t="s">
        <v>50</v>
      </c>
      <c r="AD717" s="5">
        <v>5</v>
      </c>
    </row>
    <row r="718" spans="1:30">
      <c r="A718" s="5" t="s">
        <v>1830</v>
      </c>
      <c r="B718" s="1" t="s">
        <v>1319</v>
      </c>
      <c r="C718" s="5" t="s">
        <v>919</v>
      </c>
      <c r="D718" s="5" t="s">
        <v>732</v>
      </c>
      <c r="E718" s="5" t="s">
        <v>55</v>
      </c>
      <c r="F718" s="5" t="s">
        <v>149</v>
      </c>
      <c r="G718" s="5" t="s">
        <v>150</v>
      </c>
      <c r="H718" s="5" t="s">
        <v>58</v>
      </c>
      <c r="I718" s="5" t="s">
        <v>84</v>
      </c>
      <c r="J718" s="5" t="s">
        <v>229</v>
      </c>
      <c r="K718" s="5">
        <v>3</v>
      </c>
      <c r="L718" s="5">
        <v>500</v>
      </c>
      <c r="M718" s="5">
        <v>0.05</v>
      </c>
      <c r="N718" s="5">
        <v>1425</v>
      </c>
      <c r="O718" s="5">
        <v>951.17</v>
      </c>
      <c r="P718" s="5">
        <v>473.83</v>
      </c>
      <c r="Q718" s="5">
        <v>33.25</v>
      </c>
      <c r="R718" s="5" t="s">
        <v>61</v>
      </c>
      <c r="S718" s="5" t="s">
        <v>42</v>
      </c>
      <c r="T718" s="5" t="s">
        <v>138</v>
      </c>
      <c r="U718" s="5" t="s">
        <v>87</v>
      </c>
      <c r="V718" s="5">
        <v>2024</v>
      </c>
      <c r="W718" s="5" t="s">
        <v>65</v>
      </c>
      <c r="X718" s="5">
        <v>7</v>
      </c>
      <c r="Y718" s="1">
        <v>45333</v>
      </c>
      <c r="Z718" s="5" t="s">
        <v>110</v>
      </c>
      <c r="AA718" s="5" t="s">
        <v>48</v>
      </c>
      <c r="AB718" s="5" t="s">
        <v>78</v>
      </c>
      <c r="AC718" s="5" t="s">
        <v>50</v>
      </c>
      <c r="AD718" s="5">
        <v>4</v>
      </c>
    </row>
    <row r="719" spans="1:30">
      <c r="A719" s="5" t="s">
        <v>1831</v>
      </c>
      <c r="B719" s="1">
        <v>45576</v>
      </c>
      <c r="C719" s="5" t="s">
        <v>1441</v>
      </c>
      <c r="D719" s="5" t="s">
        <v>1832</v>
      </c>
      <c r="E719" s="5" t="s">
        <v>35</v>
      </c>
      <c r="F719" s="5" t="s">
        <v>116</v>
      </c>
      <c r="G719" s="5" t="s">
        <v>37</v>
      </c>
      <c r="H719" s="5" t="s">
        <v>58</v>
      </c>
      <c r="I719" s="5" t="s">
        <v>39</v>
      </c>
      <c r="J719" s="5" t="s">
        <v>165</v>
      </c>
      <c r="K719" s="5">
        <v>1</v>
      </c>
      <c r="L719" s="5">
        <v>12000</v>
      </c>
      <c r="M719" s="5">
        <v>0</v>
      </c>
      <c r="N719" s="5">
        <v>12000</v>
      </c>
      <c r="O719" s="5">
        <v>8358.6299999999992</v>
      </c>
      <c r="P719" s="5">
        <v>3641.37</v>
      </c>
      <c r="Q719" s="5">
        <v>30.34</v>
      </c>
      <c r="R719" s="5" t="s">
        <v>106</v>
      </c>
      <c r="S719" s="5" t="s">
        <v>62</v>
      </c>
      <c r="T719" s="5" t="s">
        <v>75</v>
      </c>
      <c r="U719" s="5" t="s">
        <v>198</v>
      </c>
      <c r="V719" s="5">
        <v>2024</v>
      </c>
      <c r="W719" s="5" t="s">
        <v>45</v>
      </c>
      <c r="X719" s="5">
        <v>10</v>
      </c>
      <c r="Y719" s="1" t="s">
        <v>509</v>
      </c>
      <c r="Z719" s="5" t="s">
        <v>89</v>
      </c>
      <c r="AA719" s="5" t="s">
        <v>90</v>
      </c>
      <c r="AB719" s="5" t="s">
        <v>78</v>
      </c>
      <c r="AC719" s="5" t="s">
        <v>121</v>
      </c>
      <c r="AD719" s="5">
        <v>4</v>
      </c>
    </row>
    <row r="720" spans="1:30">
      <c r="A720" s="5" t="s">
        <v>1833</v>
      </c>
      <c r="B720" s="1">
        <v>45481</v>
      </c>
      <c r="C720" s="5" t="s">
        <v>1212</v>
      </c>
      <c r="D720" s="5" t="s">
        <v>137</v>
      </c>
      <c r="E720" s="5" t="s">
        <v>103</v>
      </c>
      <c r="F720" s="5" t="s">
        <v>131</v>
      </c>
      <c r="G720" s="5" t="s">
        <v>132</v>
      </c>
      <c r="H720" s="5" t="s">
        <v>38</v>
      </c>
      <c r="I720" s="5" t="s">
        <v>59</v>
      </c>
      <c r="J720" s="5" t="s">
        <v>206</v>
      </c>
      <c r="K720" s="5">
        <v>9</v>
      </c>
      <c r="L720" s="5">
        <v>1200</v>
      </c>
      <c r="M720" s="5">
        <v>0</v>
      </c>
      <c r="N720" s="5">
        <v>10800</v>
      </c>
      <c r="O720" s="5">
        <v>8710.1</v>
      </c>
      <c r="P720" s="5">
        <v>2089.9</v>
      </c>
      <c r="Q720" s="5">
        <v>19.350000000000001</v>
      </c>
      <c r="R720" s="5" t="s">
        <v>166</v>
      </c>
      <c r="S720" s="5" t="s">
        <v>74</v>
      </c>
      <c r="T720" s="5" t="s">
        <v>63</v>
      </c>
      <c r="U720" s="5" t="s">
        <v>218</v>
      </c>
      <c r="V720" s="5">
        <v>2024</v>
      </c>
      <c r="W720" s="5" t="s">
        <v>134</v>
      </c>
      <c r="X720" s="5">
        <v>2</v>
      </c>
      <c r="Y720" s="1">
        <v>45543</v>
      </c>
      <c r="Z720" s="5" t="s">
        <v>110</v>
      </c>
      <c r="AA720" s="5" t="s">
        <v>48</v>
      </c>
      <c r="AB720" s="5" t="s">
        <v>111</v>
      </c>
      <c r="AC720" s="5" t="s">
        <v>121</v>
      </c>
      <c r="AD720" s="5">
        <v>1</v>
      </c>
    </row>
    <row r="721" spans="1:30">
      <c r="A721" s="5" t="s">
        <v>1834</v>
      </c>
      <c r="B721" s="1">
        <v>45819</v>
      </c>
      <c r="C721" s="5" t="s">
        <v>1824</v>
      </c>
      <c r="D721" s="5" t="s">
        <v>692</v>
      </c>
      <c r="E721" s="5" t="s">
        <v>55</v>
      </c>
      <c r="F721" s="5" t="s">
        <v>156</v>
      </c>
      <c r="G721" s="5" t="s">
        <v>157</v>
      </c>
      <c r="H721" s="5" t="s">
        <v>58</v>
      </c>
      <c r="I721" s="5" t="s">
        <v>95</v>
      </c>
      <c r="J721" s="5" t="s">
        <v>344</v>
      </c>
      <c r="K721" s="5">
        <v>5</v>
      </c>
      <c r="L721" s="5">
        <v>2500</v>
      </c>
      <c r="M721" s="5">
        <v>0.05</v>
      </c>
      <c r="N721" s="5">
        <v>11875</v>
      </c>
      <c r="O721" s="5">
        <v>9696.09</v>
      </c>
      <c r="P721" s="5">
        <v>2178.91</v>
      </c>
      <c r="Q721" s="5">
        <v>18.350000000000001</v>
      </c>
      <c r="R721" s="5" t="s">
        <v>73</v>
      </c>
      <c r="S721" s="5" t="s">
        <v>74</v>
      </c>
      <c r="T721" s="5" t="s">
        <v>63</v>
      </c>
      <c r="U721" s="5" t="s">
        <v>198</v>
      </c>
      <c r="V721" s="5">
        <v>2025</v>
      </c>
      <c r="W721" s="5" t="s">
        <v>139</v>
      </c>
      <c r="X721" s="5">
        <v>6</v>
      </c>
      <c r="Y721" s="1">
        <v>46002</v>
      </c>
      <c r="Z721" s="5" t="s">
        <v>47</v>
      </c>
      <c r="AA721" s="5" t="s">
        <v>90</v>
      </c>
      <c r="AB721" s="5" t="s">
        <v>111</v>
      </c>
      <c r="AC721" s="5" t="s">
        <v>50</v>
      </c>
      <c r="AD721" s="5">
        <v>4</v>
      </c>
    </row>
    <row r="722" spans="1:30">
      <c r="A722" s="5" t="s">
        <v>1835</v>
      </c>
      <c r="B722" s="1">
        <v>45660</v>
      </c>
      <c r="C722" s="5" t="s">
        <v>1464</v>
      </c>
      <c r="D722" s="5" t="s">
        <v>468</v>
      </c>
      <c r="E722" s="5" t="s">
        <v>103</v>
      </c>
      <c r="F722" s="5" t="s">
        <v>144</v>
      </c>
      <c r="G722" s="5" t="s">
        <v>145</v>
      </c>
      <c r="H722" s="5" t="s">
        <v>58</v>
      </c>
      <c r="I722" s="5" t="s">
        <v>84</v>
      </c>
      <c r="J722" s="5" t="s">
        <v>85</v>
      </c>
      <c r="K722" s="5">
        <v>5</v>
      </c>
      <c r="L722" s="5">
        <v>500</v>
      </c>
      <c r="M722" s="5">
        <v>0</v>
      </c>
      <c r="N722" s="5">
        <v>2500</v>
      </c>
      <c r="O722" s="5">
        <v>1562.71</v>
      </c>
      <c r="P722" s="5">
        <v>937.29</v>
      </c>
      <c r="Q722" s="5">
        <v>37.49</v>
      </c>
      <c r="R722" s="5" t="s">
        <v>166</v>
      </c>
      <c r="S722" s="5" t="s">
        <v>74</v>
      </c>
      <c r="T722" s="5" t="s">
        <v>138</v>
      </c>
      <c r="U722" s="5" t="s">
        <v>178</v>
      </c>
      <c r="V722" s="5">
        <v>2025</v>
      </c>
      <c r="W722" s="5" t="s">
        <v>65</v>
      </c>
      <c r="X722" s="5">
        <v>7</v>
      </c>
      <c r="Y722" s="1">
        <v>45872</v>
      </c>
      <c r="Z722" s="5" t="s">
        <v>110</v>
      </c>
      <c r="AA722" s="5" t="s">
        <v>90</v>
      </c>
      <c r="AB722" s="5" t="s">
        <v>111</v>
      </c>
      <c r="AC722" s="5" t="s">
        <v>121</v>
      </c>
      <c r="AD722" s="5">
        <v>1</v>
      </c>
    </row>
    <row r="723" spans="1:30">
      <c r="A723" s="5" t="s">
        <v>1836</v>
      </c>
      <c r="B723" s="1">
        <v>45723</v>
      </c>
      <c r="C723" s="5" t="s">
        <v>1248</v>
      </c>
      <c r="D723" s="5" t="s">
        <v>426</v>
      </c>
      <c r="E723" s="5" t="s">
        <v>103</v>
      </c>
      <c r="F723" s="5" t="s">
        <v>36</v>
      </c>
      <c r="G723" s="5" t="s">
        <v>37</v>
      </c>
      <c r="H723" s="5" t="s">
        <v>171</v>
      </c>
      <c r="I723" s="5" t="s">
        <v>39</v>
      </c>
      <c r="J723" s="5" t="s">
        <v>105</v>
      </c>
      <c r="K723" s="5">
        <v>8</v>
      </c>
      <c r="L723" s="5">
        <v>8000</v>
      </c>
      <c r="M723" s="5">
        <v>0.05</v>
      </c>
      <c r="N723" s="5">
        <v>60800</v>
      </c>
      <c r="O723" s="5">
        <v>48928.55</v>
      </c>
      <c r="P723" s="5">
        <v>11871.45</v>
      </c>
      <c r="Q723" s="5">
        <v>19.53</v>
      </c>
      <c r="R723" s="5" t="s">
        <v>61</v>
      </c>
      <c r="S723" s="5" t="s">
        <v>42</v>
      </c>
      <c r="T723" s="5" t="s">
        <v>159</v>
      </c>
      <c r="U723" s="5" t="s">
        <v>151</v>
      </c>
      <c r="V723" s="5">
        <v>2025</v>
      </c>
      <c r="W723" s="5" t="s">
        <v>139</v>
      </c>
      <c r="X723" s="5">
        <v>6</v>
      </c>
      <c r="Y723" s="1">
        <v>45907</v>
      </c>
      <c r="Z723" s="5" t="s">
        <v>47</v>
      </c>
      <c r="AA723" s="5" t="s">
        <v>90</v>
      </c>
      <c r="AB723" s="5" t="s">
        <v>49</v>
      </c>
      <c r="AC723" s="5" t="s">
        <v>50</v>
      </c>
      <c r="AD723" s="5">
        <v>2</v>
      </c>
    </row>
    <row r="724" spans="1:30">
      <c r="A724" s="5" t="s">
        <v>1837</v>
      </c>
      <c r="B724" s="1">
        <v>45445</v>
      </c>
      <c r="C724" s="5" t="s">
        <v>681</v>
      </c>
      <c r="D724" s="5" t="s">
        <v>955</v>
      </c>
      <c r="E724" s="5" t="s">
        <v>55</v>
      </c>
      <c r="F724" s="5" t="s">
        <v>36</v>
      </c>
      <c r="G724" s="5" t="s">
        <v>37</v>
      </c>
      <c r="H724" s="5" t="s">
        <v>38</v>
      </c>
      <c r="I724" s="5" t="s">
        <v>59</v>
      </c>
      <c r="J724" s="5" t="s">
        <v>133</v>
      </c>
      <c r="K724" s="5">
        <v>4</v>
      </c>
      <c r="L724" s="5">
        <v>800</v>
      </c>
      <c r="M724" s="5">
        <v>0.2</v>
      </c>
      <c r="N724" s="5">
        <v>2560</v>
      </c>
      <c r="O724" s="5">
        <v>1483.58</v>
      </c>
      <c r="P724" s="5">
        <v>1076.42</v>
      </c>
      <c r="Q724" s="5">
        <v>42.05</v>
      </c>
      <c r="R724" s="5" t="s">
        <v>106</v>
      </c>
      <c r="S724" s="5" t="s">
        <v>42</v>
      </c>
      <c r="T724" s="5" t="s">
        <v>173</v>
      </c>
      <c r="U724" s="5" t="s">
        <v>98</v>
      </c>
      <c r="V724" s="5">
        <v>2024</v>
      </c>
      <c r="W724" s="5" t="s">
        <v>109</v>
      </c>
      <c r="X724" s="5">
        <v>8</v>
      </c>
      <c r="Y724" s="1" t="s">
        <v>345</v>
      </c>
      <c r="Z724" s="5" t="s">
        <v>110</v>
      </c>
      <c r="AA724" s="5" t="s">
        <v>90</v>
      </c>
      <c r="AB724" s="5" t="s">
        <v>78</v>
      </c>
      <c r="AC724" s="5" t="s">
        <v>50</v>
      </c>
      <c r="AD724" s="5">
        <v>4</v>
      </c>
    </row>
    <row r="725" spans="1:30">
      <c r="A725" s="5" t="s">
        <v>1838</v>
      </c>
      <c r="B725" s="1">
        <v>45359</v>
      </c>
      <c r="C725" s="5" t="s">
        <v>1230</v>
      </c>
      <c r="D725" s="5" t="s">
        <v>413</v>
      </c>
      <c r="E725" s="5" t="s">
        <v>55</v>
      </c>
      <c r="F725" s="5" t="s">
        <v>245</v>
      </c>
      <c r="G725" s="5" t="s">
        <v>246</v>
      </c>
      <c r="H725" s="5" t="s">
        <v>38</v>
      </c>
      <c r="I725" s="5" t="s">
        <v>71</v>
      </c>
      <c r="J725" s="5" t="s">
        <v>172</v>
      </c>
      <c r="K725" s="5">
        <v>1</v>
      </c>
      <c r="L725" s="5">
        <v>3500</v>
      </c>
      <c r="M725" s="5">
        <v>0.05</v>
      </c>
      <c r="N725" s="5">
        <v>3325</v>
      </c>
      <c r="O725" s="5">
        <v>2339.39</v>
      </c>
      <c r="P725" s="5">
        <v>985.61</v>
      </c>
      <c r="Q725" s="5">
        <v>29.64</v>
      </c>
      <c r="R725" s="5" t="s">
        <v>61</v>
      </c>
      <c r="S725" s="5" t="s">
        <v>62</v>
      </c>
      <c r="T725" s="5" t="s">
        <v>86</v>
      </c>
      <c r="U725" s="5" t="s">
        <v>218</v>
      </c>
      <c r="V725" s="5">
        <v>2024</v>
      </c>
      <c r="W725" s="5" t="s">
        <v>65</v>
      </c>
      <c r="X725" s="5">
        <v>6</v>
      </c>
      <c r="Y725" s="1">
        <v>45543</v>
      </c>
      <c r="Z725" s="5" t="s">
        <v>47</v>
      </c>
      <c r="AA725" s="5" t="s">
        <v>48</v>
      </c>
      <c r="AB725" s="5" t="s">
        <v>49</v>
      </c>
      <c r="AC725" s="5" t="s">
        <v>50</v>
      </c>
      <c r="AD725" s="5">
        <v>4</v>
      </c>
    </row>
    <row r="726" spans="1:30">
      <c r="A726" s="5" t="s">
        <v>1839</v>
      </c>
      <c r="B726" s="1">
        <v>45757</v>
      </c>
      <c r="C726" s="5" t="s">
        <v>176</v>
      </c>
      <c r="D726" s="5" t="s">
        <v>831</v>
      </c>
      <c r="E726" s="5" t="s">
        <v>55</v>
      </c>
      <c r="F726" s="5" t="s">
        <v>245</v>
      </c>
      <c r="G726" s="5" t="s">
        <v>246</v>
      </c>
      <c r="H726" s="5" t="s">
        <v>58</v>
      </c>
      <c r="I726" s="5" t="s">
        <v>84</v>
      </c>
      <c r="J726" s="5" t="s">
        <v>217</v>
      </c>
      <c r="K726" s="5">
        <v>2</v>
      </c>
      <c r="L726" s="5">
        <v>200</v>
      </c>
      <c r="M726" s="5">
        <v>0.05</v>
      </c>
      <c r="N726" s="5">
        <v>380</v>
      </c>
      <c r="O726" s="5">
        <v>276.51</v>
      </c>
      <c r="P726" s="5">
        <v>103.49</v>
      </c>
      <c r="Q726" s="5">
        <v>27.23</v>
      </c>
      <c r="R726" s="5" t="s">
        <v>73</v>
      </c>
      <c r="S726" s="5" t="s">
        <v>42</v>
      </c>
      <c r="T726" s="5" t="s">
        <v>107</v>
      </c>
      <c r="U726" s="5" t="s">
        <v>87</v>
      </c>
      <c r="V726" s="5">
        <v>2025</v>
      </c>
      <c r="W726" s="5" t="s">
        <v>65</v>
      </c>
      <c r="X726" s="5">
        <v>4</v>
      </c>
      <c r="Y726" s="1">
        <v>45879</v>
      </c>
      <c r="Z726" s="5" t="s">
        <v>47</v>
      </c>
      <c r="AA726" s="5" t="s">
        <v>67</v>
      </c>
      <c r="AB726" s="5" t="s">
        <v>111</v>
      </c>
      <c r="AC726" s="5" t="s">
        <v>121</v>
      </c>
      <c r="AD726" s="5">
        <v>2</v>
      </c>
    </row>
    <row r="727" spans="1:30">
      <c r="A727" s="5" t="s">
        <v>1840</v>
      </c>
      <c r="B727" s="1" t="s">
        <v>1611</v>
      </c>
      <c r="C727" s="5" t="s">
        <v>1037</v>
      </c>
      <c r="D727" s="5" t="s">
        <v>870</v>
      </c>
      <c r="E727" s="5" t="s">
        <v>35</v>
      </c>
      <c r="F727" s="5" t="s">
        <v>131</v>
      </c>
      <c r="G727" s="5" t="s">
        <v>132</v>
      </c>
      <c r="H727" s="5" t="s">
        <v>38</v>
      </c>
      <c r="I727" s="5" t="s">
        <v>84</v>
      </c>
      <c r="J727" s="5" t="s">
        <v>390</v>
      </c>
      <c r="K727" s="5">
        <v>2</v>
      </c>
      <c r="L727" s="5">
        <v>100</v>
      </c>
      <c r="M727" s="5">
        <v>0.15</v>
      </c>
      <c r="N727" s="5">
        <v>170</v>
      </c>
      <c r="O727" s="5">
        <v>121.89</v>
      </c>
      <c r="P727" s="5">
        <v>48.11</v>
      </c>
      <c r="Q727" s="5">
        <v>28.3</v>
      </c>
      <c r="R727" s="5" t="s">
        <v>106</v>
      </c>
      <c r="S727" s="5" t="s">
        <v>42</v>
      </c>
      <c r="T727" s="5" t="s">
        <v>86</v>
      </c>
      <c r="U727" s="5" t="s">
        <v>160</v>
      </c>
      <c r="V727" s="5">
        <v>2025</v>
      </c>
      <c r="W727" s="5" t="s">
        <v>65</v>
      </c>
      <c r="X727" s="5">
        <v>9</v>
      </c>
      <c r="Y727" s="1" t="s">
        <v>1294</v>
      </c>
      <c r="Z727" s="5" t="s">
        <v>47</v>
      </c>
      <c r="AA727" s="5" t="s">
        <v>90</v>
      </c>
      <c r="AB727" s="5" t="s">
        <v>78</v>
      </c>
      <c r="AC727" s="5" t="s">
        <v>121</v>
      </c>
      <c r="AD727" s="5">
        <v>5</v>
      </c>
    </row>
    <row r="728" spans="1:30">
      <c r="A728" s="5" t="s">
        <v>1841</v>
      </c>
      <c r="B728" s="1" t="s">
        <v>1354</v>
      </c>
      <c r="C728" s="5" t="s">
        <v>1345</v>
      </c>
      <c r="D728" s="5" t="s">
        <v>821</v>
      </c>
      <c r="E728" s="5" t="s">
        <v>55</v>
      </c>
      <c r="F728" s="5" t="s">
        <v>104</v>
      </c>
      <c r="G728" s="5" t="s">
        <v>104</v>
      </c>
      <c r="H728" s="5" t="s">
        <v>171</v>
      </c>
      <c r="I728" s="5" t="s">
        <v>71</v>
      </c>
      <c r="J728" s="5" t="s">
        <v>172</v>
      </c>
      <c r="K728" s="5">
        <v>2</v>
      </c>
      <c r="L728" s="5">
        <v>1200</v>
      </c>
      <c r="M728" s="5">
        <v>0</v>
      </c>
      <c r="N728" s="5">
        <v>2400</v>
      </c>
      <c r="O728" s="5">
        <v>1332.83</v>
      </c>
      <c r="P728" s="5">
        <v>1067.17</v>
      </c>
      <c r="Q728" s="5">
        <v>44.47</v>
      </c>
      <c r="R728" s="5" t="s">
        <v>41</v>
      </c>
      <c r="S728" s="5" t="s">
        <v>62</v>
      </c>
      <c r="T728" s="5" t="s">
        <v>138</v>
      </c>
      <c r="U728" s="5" t="s">
        <v>151</v>
      </c>
      <c r="V728" s="5">
        <v>2025</v>
      </c>
      <c r="W728" s="5" t="s">
        <v>139</v>
      </c>
      <c r="X728" s="5">
        <v>9</v>
      </c>
      <c r="Y728" s="1">
        <v>45908</v>
      </c>
      <c r="Z728" s="5" t="s">
        <v>47</v>
      </c>
      <c r="AA728" s="5" t="s">
        <v>48</v>
      </c>
      <c r="AB728" s="5" t="s">
        <v>49</v>
      </c>
      <c r="AC728" s="5" t="s">
        <v>50</v>
      </c>
      <c r="AD728" s="5">
        <v>5</v>
      </c>
    </row>
    <row r="729" spans="1:30">
      <c r="A729" s="5" t="s">
        <v>1842</v>
      </c>
      <c r="B729" s="1">
        <v>45723</v>
      </c>
      <c r="C729" s="5" t="s">
        <v>224</v>
      </c>
      <c r="D729" s="5" t="s">
        <v>1714</v>
      </c>
      <c r="E729" s="5" t="s">
        <v>55</v>
      </c>
      <c r="F729" s="5" t="s">
        <v>116</v>
      </c>
      <c r="G729" s="5" t="s">
        <v>37</v>
      </c>
      <c r="H729" s="5" t="s">
        <v>38</v>
      </c>
      <c r="I729" s="5" t="s">
        <v>84</v>
      </c>
      <c r="J729" s="5" t="s">
        <v>290</v>
      </c>
      <c r="K729" s="5">
        <v>8</v>
      </c>
      <c r="L729" s="5">
        <v>200</v>
      </c>
      <c r="M729" s="5">
        <v>0.15</v>
      </c>
      <c r="N729" s="5">
        <v>1360</v>
      </c>
      <c r="O729" s="5">
        <v>801.03</v>
      </c>
      <c r="P729" s="5">
        <v>558.97</v>
      </c>
      <c r="Q729" s="5">
        <v>41.1</v>
      </c>
      <c r="R729" s="5" t="s">
        <v>61</v>
      </c>
      <c r="S729" s="5" t="s">
        <v>42</v>
      </c>
      <c r="T729" s="5" t="s">
        <v>43</v>
      </c>
      <c r="U729" s="5" t="s">
        <v>151</v>
      </c>
      <c r="V729" s="5">
        <v>2025</v>
      </c>
      <c r="W729" s="5" t="s">
        <v>139</v>
      </c>
      <c r="X729" s="5">
        <v>6</v>
      </c>
      <c r="Y729" s="1">
        <v>45907</v>
      </c>
      <c r="Z729" s="5" t="s">
        <v>47</v>
      </c>
      <c r="AA729" s="5" t="s">
        <v>67</v>
      </c>
      <c r="AB729" s="5" t="s">
        <v>78</v>
      </c>
      <c r="AC729" s="5" t="s">
        <v>121</v>
      </c>
      <c r="AD729" s="5">
        <v>1</v>
      </c>
    </row>
    <row r="730" spans="1:30">
      <c r="A730" s="5" t="s">
        <v>1843</v>
      </c>
      <c r="B730" s="1">
        <v>45726</v>
      </c>
      <c r="C730" s="5" t="s">
        <v>1259</v>
      </c>
      <c r="D730" s="5" t="s">
        <v>1420</v>
      </c>
      <c r="E730" s="5" t="s">
        <v>103</v>
      </c>
      <c r="F730" s="5" t="s">
        <v>56</v>
      </c>
      <c r="G730" s="5" t="s">
        <v>57</v>
      </c>
      <c r="H730" s="5" t="s">
        <v>94</v>
      </c>
      <c r="I730" s="5" t="s">
        <v>71</v>
      </c>
      <c r="J730" s="5" t="s">
        <v>172</v>
      </c>
      <c r="K730" s="5">
        <v>4</v>
      </c>
      <c r="L730" s="5">
        <v>2500</v>
      </c>
      <c r="M730" s="5">
        <v>0.05</v>
      </c>
      <c r="N730" s="5">
        <v>9500</v>
      </c>
      <c r="O730" s="5">
        <v>7640.93</v>
      </c>
      <c r="P730" s="5">
        <v>1859.07</v>
      </c>
      <c r="Q730" s="5">
        <v>19.57</v>
      </c>
      <c r="R730" s="5" t="s">
        <v>166</v>
      </c>
      <c r="S730" s="5" t="s">
        <v>62</v>
      </c>
      <c r="T730" s="5" t="s">
        <v>138</v>
      </c>
      <c r="U730" s="5" t="s">
        <v>87</v>
      </c>
      <c r="V730" s="5">
        <v>2025</v>
      </c>
      <c r="W730" s="5" t="s">
        <v>194</v>
      </c>
      <c r="X730" s="5">
        <v>6</v>
      </c>
      <c r="Y730" s="1">
        <v>45910</v>
      </c>
      <c r="Z730" s="5" t="s">
        <v>47</v>
      </c>
      <c r="AA730" s="5" t="s">
        <v>67</v>
      </c>
      <c r="AB730" s="5" t="s">
        <v>78</v>
      </c>
      <c r="AC730" s="5" t="s">
        <v>50</v>
      </c>
      <c r="AD730" s="5">
        <v>4</v>
      </c>
    </row>
    <row r="731" spans="1:30">
      <c r="A731" s="5" t="s">
        <v>1844</v>
      </c>
      <c r="B731" s="1">
        <v>45785</v>
      </c>
      <c r="C731" s="5" t="s">
        <v>565</v>
      </c>
      <c r="D731" s="5" t="s">
        <v>1011</v>
      </c>
      <c r="E731" s="5" t="s">
        <v>55</v>
      </c>
      <c r="F731" s="5" t="s">
        <v>245</v>
      </c>
      <c r="G731" s="5" t="s">
        <v>246</v>
      </c>
      <c r="H731" s="5" t="s">
        <v>171</v>
      </c>
      <c r="I731" s="5" t="s">
        <v>59</v>
      </c>
      <c r="J731" s="5" t="s">
        <v>206</v>
      </c>
      <c r="K731" s="5">
        <v>4</v>
      </c>
      <c r="L731" s="5">
        <v>800</v>
      </c>
      <c r="M731" s="5">
        <v>0.05</v>
      </c>
      <c r="N731" s="5">
        <v>3040</v>
      </c>
      <c r="O731" s="5">
        <v>1970.29</v>
      </c>
      <c r="P731" s="5">
        <v>1069.71</v>
      </c>
      <c r="Q731" s="5">
        <v>35.19</v>
      </c>
      <c r="R731" s="5" t="s">
        <v>61</v>
      </c>
      <c r="S731" s="5" t="s">
        <v>74</v>
      </c>
      <c r="T731" s="5" t="s">
        <v>75</v>
      </c>
      <c r="U731" s="5" t="s">
        <v>218</v>
      </c>
      <c r="V731" s="5">
        <v>2025</v>
      </c>
      <c r="W731" s="5" t="s">
        <v>109</v>
      </c>
      <c r="X731" s="5">
        <v>4</v>
      </c>
      <c r="Y731" s="1">
        <v>45908</v>
      </c>
      <c r="Z731" s="5" t="s">
        <v>89</v>
      </c>
      <c r="AA731" s="5" t="s">
        <v>90</v>
      </c>
      <c r="AB731" s="5" t="s">
        <v>78</v>
      </c>
      <c r="AC731" s="5" t="s">
        <v>121</v>
      </c>
      <c r="AD731" s="5">
        <v>5</v>
      </c>
    </row>
    <row r="732" spans="1:30">
      <c r="A732" s="5" t="s">
        <v>1845</v>
      </c>
      <c r="B732" s="1">
        <v>45573</v>
      </c>
      <c r="C732" s="5" t="s">
        <v>312</v>
      </c>
      <c r="D732" s="5" t="s">
        <v>1846</v>
      </c>
      <c r="E732" s="5" t="s">
        <v>103</v>
      </c>
      <c r="F732" s="5" t="s">
        <v>56</v>
      </c>
      <c r="G732" s="5" t="s">
        <v>57</v>
      </c>
      <c r="H732" s="5" t="s">
        <v>94</v>
      </c>
      <c r="I732" s="5" t="s">
        <v>84</v>
      </c>
      <c r="J732" s="5" t="s">
        <v>217</v>
      </c>
      <c r="K732" s="5">
        <v>7</v>
      </c>
      <c r="L732" s="5">
        <v>100</v>
      </c>
      <c r="M732" s="5">
        <v>0.05</v>
      </c>
      <c r="N732" s="5">
        <v>665</v>
      </c>
      <c r="O732" s="5">
        <v>525.54</v>
      </c>
      <c r="P732" s="5">
        <v>139.46</v>
      </c>
      <c r="Q732" s="5">
        <v>20.97</v>
      </c>
      <c r="R732" s="5" t="s">
        <v>73</v>
      </c>
      <c r="S732" s="5" t="s">
        <v>62</v>
      </c>
      <c r="T732" s="5" t="s">
        <v>43</v>
      </c>
      <c r="U732" s="5" t="s">
        <v>218</v>
      </c>
      <c r="V732" s="5">
        <v>2024</v>
      </c>
      <c r="W732" s="5" t="s">
        <v>65</v>
      </c>
      <c r="X732" s="5">
        <v>6</v>
      </c>
      <c r="Y732" s="1" t="s">
        <v>564</v>
      </c>
      <c r="Z732" s="5" t="s">
        <v>89</v>
      </c>
      <c r="AA732" s="5" t="s">
        <v>48</v>
      </c>
      <c r="AB732" s="5" t="s">
        <v>49</v>
      </c>
      <c r="AC732" s="5" t="s">
        <v>50</v>
      </c>
      <c r="AD732" s="5">
        <v>5</v>
      </c>
    </row>
    <row r="733" spans="1:30">
      <c r="A733" s="5" t="s">
        <v>1847</v>
      </c>
      <c r="B733" s="1" t="s">
        <v>1451</v>
      </c>
      <c r="C733" s="5" t="s">
        <v>1531</v>
      </c>
      <c r="D733" s="5" t="s">
        <v>1337</v>
      </c>
      <c r="E733" s="5" t="s">
        <v>55</v>
      </c>
      <c r="F733" s="5" t="s">
        <v>245</v>
      </c>
      <c r="G733" s="5" t="s">
        <v>246</v>
      </c>
      <c r="H733" s="5" t="s">
        <v>171</v>
      </c>
      <c r="I733" s="5" t="s">
        <v>84</v>
      </c>
      <c r="J733" s="5" t="s">
        <v>217</v>
      </c>
      <c r="K733" s="5">
        <v>3</v>
      </c>
      <c r="L733" s="5">
        <v>500</v>
      </c>
      <c r="M733" s="5">
        <v>0.2</v>
      </c>
      <c r="N733" s="5">
        <v>1200</v>
      </c>
      <c r="O733" s="5">
        <v>762.54</v>
      </c>
      <c r="P733" s="5">
        <v>437.46</v>
      </c>
      <c r="Q733" s="5">
        <v>36.450000000000003</v>
      </c>
      <c r="R733" s="5" t="s">
        <v>41</v>
      </c>
      <c r="S733" s="5" t="s">
        <v>42</v>
      </c>
      <c r="T733" s="5" t="s">
        <v>107</v>
      </c>
      <c r="U733" s="5" t="s">
        <v>151</v>
      </c>
      <c r="V733" s="5">
        <v>2024</v>
      </c>
      <c r="W733" s="5" t="s">
        <v>45</v>
      </c>
      <c r="X733" s="5">
        <v>3</v>
      </c>
      <c r="Y733" s="1" t="s">
        <v>488</v>
      </c>
      <c r="Z733" s="5" t="s">
        <v>110</v>
      </c>
      <c r="AA733" s="5" t="s">
        <v>48</v>
      </c>
      <c r="AB733" s="5" t="s">
        <v>111</v>
      </c>
      <c r="AC733" s="5" t="s">
        <v>121</v>
      </c>
      <c r="AD733" s="5">
        <v>1</v>
      </c>
    </row>
    <row r="734" spans="1:30">
      <c r="A734" s="5" t="s">
        <v>1848</v>
      </c>
      <c r="B734" s="1">
        <v>45326</v>
      </c>
      <c r="C734" s="5" t="s">
        <v>1849</v>
      </c>
      <c r="D734" s="5" t="s">
        <v>1154</v>
      </c>
      <c r="E734" s="5" t="s">
        <v>35</v>
      </c>
      <c r="F734" s="5" t="s">
        <v>36</v>
      </c>
      <c r="G734" s="5" t="s">
        <v>37</v>
      </c>
      <c r="H734" s="5" t="s">
        <v>171</v>
      </c>
      <c r="I734" s="5" t="s">
        <v>39</v>
      </c>
      <c r="J734" s="5" t="s">
        <v>356</v>
      </c>
      <c r="K734" s="5">
        <v>1</v>
      </c>
      <c r="L734" s="5">
        <v>8000</v>
      </c>
      <c r="M734" s="5">
        <v>0.1</v>
      </c>
      <c r="N734" s="5">
        <v>7200</v>
      </c>
      <c r="O734" s="5">
        <v>4354.6499999999996</v>
      </c>
      <c r="P734" s="5">
        <v>2845.35</v>
      </c>
      <c r="Q734" s="5">
        <v>39.520000000000003</v>
      </c>
      <c r="R734" s="5" t="s">
        <v>41</v>
      </c>
      <c r="S734" s="5" t="s">
        <v>62</v>
      </c>
      <c r="T734" s="5" t="s">
        <v>63</v>
      </c>
      <c r="U734" s="5" t="s">
        <v>44</v>
      </c>
      <c r="V734" s="5">
        <v>2024</v>
      </c>
      <c r="W734" s="5" t="s">
        <v>109</v>
      </c>
      <c r="X734" s="5">
        <v>6</v>
      </c>
      <c r="Y734" s="1">
        <v>45508</v>
      </c>
      <c r="Z734" s="5" t="s">
        <v>47</v>
      </c>
      <c r="AA734" s="5" t="s">
        <v>67</v>
      </c>
      <c r="AB734" s="5" t="s">
        <v>78</v>
      </c>
      <c r="AC734" s="5" t="s">
        <v>50</v>
      </c>
      <c r="AD734" s="5">
        <v>2</v>
      </c>
    </row>
    <row r="735" spans="1:30">
      <c r="A735" s="5" t="s">
        <v>1850</v>
      </c>
      <c r="B735" s="1" t="s">
        <v>1519</v>
      </c>
      <c r="C735" s="5" t="s">
        <v>281</v>
      </c>
      <c r="D735" s="5" t="s">
        <v>512</v>
      </c>
      <c r="E735" s="5" t="s">
        <v>103</v>
      </c>
      <c r="F735" s="5" t="s">
        <v>116</v>
      </c>
      <c r="G735" s="5" t="s">
        <v>37</v>
      </c>
      <c r="H735" s="5" t="s">
        <v>94</v>
      </c>
      <c r="I735" s="5" t="s">
        <v>84</v>
      </c>
      <c r="J735" s="5" t="s">
        <v>390</v>
      </c>
      <c r="K735" s="5">
        <v>9</v>
      </c>
      <c r="L735" s="5">
        <v>200</v>
      </c>
      <c r="M735" s="5">
        <v>0.05</v>
      </c>
      <c r="N735" s="5">
        <v>1710</v>
      </c>
      <c r="O735" s="5">
        <v>1186.27</v>
      </c>
      <c r="P735" s="5">
        <v>523.73</v>
      </c>
      <c r="Q735" s="5">
        <v>30.63</v>
      </c>
      <c r="R735" s="5" t="s">
        <v>61</v>
      </c>
      <c r="S735" s="5" t="s">
        <v>42</v>
      </c>
      <c r="T735" s="5" t="s">
        <v>86</v>
      </c>
      <c r="U735" s="5" t="s">
        <v>160</v>
      </c>
      <c r="V735" s="5">
        <v>2024</v>
      </c>
      <c r="W735" s="5" t="s">
        <v>45</v>
      </c>
      <c r="X735" s="5">
        <v>7</v>
      </c>
      <c r="Y735" s="1" t="s">
        <v>940</v>
      </c>
      <c r="Z735" s="5" t="s">
        <v>47</v>
      </c>
      <c r="AA735" s="5" t="s">
        <v>90</v>
      </c>
      <c r="AB735" s="5" t="s">
        <v>111</v>
      </c>
      <c r="AC735" s="5" t="s">
        <v>121</v>
      </c>
      <c r="AD735" s="5">
        <v>4</v>
      </c>
    </row>
    <row r="736" spans="1:30">
      <c r="A736" s="5" t="s">
        <v>1851</v>
      </c>
      <c r="B736" s="1">
        <v>45721</v>
      </c>
      <c r="C736" s="5" t="s">
        <v>406</v>
      </c>
      <c r="D736" s="5" t="s">
        <v>634</v>
      </c>
      <c r="E736" s="5" t="s">
        <v>103</v>
      </c>
      <c r="F736" s="5" t="s">
        <v>36</v>
      </c>
      <c r="G736" s="5" t="s">
        <v>37</v>
      </c>
      <c r="H736" s="5" t="s">
        <v>38</v>
      </c>
      <c r="I736" s="5" t="s">
        <v>39</v>
      </c>
      <c r="J736" s="5" t="s">
        <v>105</v>
      </c>
      <c r="K736" s="5">
        <v>7</v>
      </c>
      <c r="L736" s="5">
        <v>22000</v>
      </c>
      <c r="M736" s="5">
        <v>0.15</v>
      </c>
      <c r="N736" s="5">
        <v>130900</v>
      </c>
      <c r="O736" s="5">
        <v>92712.2</v>
      </c>
      <c r="P736" s="5">
        <v>38187.800000000003</v>
      </c>
      <c r="Q736" s="5">
        <v>29.17</v>
      </c>
      <c r="R736" s="5" t="s">
        <v>166</v>
      </c>
      <c r="S736" s="5" t="s">
        <v>74</v>
      </c>
      <c r="T736" s="5" t="s">
        <v>138</v>
      </c>
      <c r="U736" s="5" t="s">
        <v>119</v>
      </c>
      <c r="V736" s="5">
        <v>2025</v>
      </c>
      <c r="W736" s="5" t="s">
        <v>65</v>
      </c>
      <c r="X736" s="5">
        <v>3</v>
      </c>
      <c r="Y736" s="1">
        <v>45813</v>
      </c>
      <c r="Z736" s="5" t="s">
        <v>47</v>
      </c>
      <c r="AA736" s="5" t="s">
        <v>48</v>
      </c>
      <c r="AB736" s="5" t="s">
        <v>111</v>
      </c>
      <c r="AC736" s="5" t="s">
        <v>50</v>
      </c>
      <c r="AD736" s="5">
        <v>3</v>
      </c>
    </row>
    <row r="737" spans="1:30">
      <c r="A737" s="5" t="s">
        <v>1852</v>
      </c>
      <c r="B737" s="1">
        <v>45362</v>
      </c>
      <c r="C737" s="5" t="s">
        <v>402</v>
      </c>
      <c r="D737" s="5" t="s">
        <v>1386</v>
      </c>
      <c r="E737" s="5" t="s">
        <v>55</v>
      </c>
      <c r="F737" s="5" t="s">
        <v>36</v>
      </c>
      <c r="G737" s="5" t="s">
        <v>37</v>
      </c>
      <c r="H737" s="5" t="s">
        <v>171</v>
      </c>
      <c r="I737" s="5" t="s">
        <v>84</v>
      </c>
      <c r="J737" s="5" t="s">
        <v>390</v>
      </c>
      <c r="K737" s="5">
        <v>3</v>
      </c>
      <c r="L737" s="5">
        <v>200</v>
      </c>
      <c r="M737" s="5">
        <v>0.2</v>
      </c>
      <c r="N737" s="5">
        <v>480</v>
      </c>
      <c r="O737" s="5">
        <v>278.38</v>
      </c>
      <c r="P737" s="5">
        <v>201.62</v>
      </c>
      <c r="Q737" s="5">
        <v>42</v>
      </c>
      <c r="R737" s="5" t="s">
        <v>106</v>
      </c>
      <c r="S737" s="5" t="s">
        <v>62</v>
      </c>
      <c r="T737" s="5" t="s">
        <v>63</v>
      </c>
      <c r="U737" s="5" t="s">
        <v>198</v>
      </c>
      <c r="V737" s="5">
        <v>2024</v>
      </c>
      <c r="W737" s="5" t="s">
        <v>45</v>
      </c>
      <c r="X737" s="5">
        <v>7</v>
      </c>
      <c r="Y737" s="1">
        <v>45576</v>
      </c>
      <c r="Z737" s="5" t="s">
        <v>47</v>
      </c>
      <c r="AA737" s="5" t="s">
        <v>67</v>
      </c>
      <c r="AB737" s="5" t="s">
        <v>49</v>
      </c>
      <c r="AC737" s="5" t="s">
        <v>50</v>
      </c>
      <c r="AD737" s="5">
        <v>2</v>
      </c>
    </row>
    <row r="738" spans="1:30">
      <c r="A738" s="5" t="s">
        <v>1853</v>
      </c>
      <c r="B738" s="1" t="s">
        <v>1046</v>
      </c>
      <c r="C738" s="5" t="s">
        <v>444</v>
      </c>
      <c r="D738" s="5" t="s">
        <v>1469</v>
      </c>
      <c r="E738" s="5" t="s">
        <v>55</v>
      </c>
      <c r="F738" s="5" t="s">
        <v>82</v>
      </c>
      <c r="G738" s="5" t="s">
        <v>83</v>
      </c>
      <c r="H738" s="5" t="s">
        <v>171</v>
      </c>
      <c r="I738" s="5" t="s">
        <v>84</v>
      </c>
      <c r="J738" s="5" t="s">
        <v>85</v>
      </c>
      <c r="K738" s="5">
        <v>9</v>
      </c>
      <c r="L738" s="5">
        <v>350</v>
      </c>
      <c r="M738" s="5">
        <v>0.2</v>
      </c>
      <c r="N738" s="5">
        <v>2520</v>
      </c>
      <c r="O738" s="5">
        <v>2002.32</v>
      </c>
      <c r="P738" s="5">
        <v>517.67999999999995</v>
      </c>
      <c r="Q738" s="5">
        <v>20.54</v>
      </c>
      <c r="R738" s="5" t="s">
        <v>166</v>
      </c>
      <c r="S738" s="5" t="s">
        <v>62</v>
      </c>
      <c r="T738" s="5" t="s">
        <v>97</v>
      </c>
      <c r="U738" s="5" t="s">
        <v>76</v>
      </c>
      <c r="V738" s="5">
        <v>2024</v>
      </c>
      <c r="W738" s="5" t="s">
        <v>139</v>
      </c>
      <c r="X738" s="5">
        <v>8</v>
      </c>
      <c r="Y738" s="1">
        <v>45324</v>
      </c>
      <c r="Z738" s="5" t="s">
        <v>47</v>
      </c>
      <c r="AA738" s="5" t="s">
        <v>90</v>
      </c>
      <c r="AB738" s="5" t="s">
        <v>78</v>
      </c>
      <c r="AC738" s="5" t="s">
        <v>50</v>
      </c>
      <c r="AD738" s="5">
        <v>1</v>
      </c>
    </row>
    <row r="739" spans="1:30">
      <c r="A739" s="5" t="s">
        <v>1854</v>
      </c>
      <c r="B739" s="1">
        <v>45938</v>
      </c>
      <c r="C739" s="5" t="s">
        <v>1129</v>
      </c>
      <c r="D739" s="5" t="s">
        <v>1465</v>
      </c>
      <c r="E739" s="5" t="s">
        <v>35</v>
      </c>
      <c r="F739" s="5" t="s">
        <v>82</v>
      </c>
      <c r="G739" s="5" t="s">
        <v>83</v>
      </c>
      <c r="H739" s="5" t="s">
        <v>171</v>
      </c>
      <c r="I739" s="5" t="s">
        <v>59</v>
      </c>
      <c r="J739" s="5" t="s">
        <v>328</v>
      </c>
      <c r="K739" s="5">
        <v>3</v>
      </c>
      <c r="L739" s="5">
        <v>3000</v>
      </c>
      <c r="M739" s="5">
        <v>0</v>
      </c>
      <c r="N739" s="5">
        <v>9000</v>
      </c>
      <c r="O739" s="5">
        <v>5875.03</v>
      </c>
      <c r="P739" s="5">
        <v>3124.97</v>
      </c>
      <c r="Q739" s="5">
        <v>34.72</v>
      </c>
      <c r="R739" s="5" t="s">
        <v>166</v>
      </c>
      <c r="S739" s="5" t="s">
        <v>62</v>
      </c>
      <c r="T739" s="5" t="s">
        <v>97</v>
      </c>
      <c r="U739" s="5" t="s">
        <v>218</v>
      </c>
      <c r="V739" s="5">
        <v>2025</v>
      </c>
      <c r="W739" s="5" t="s">
        <v>45</v>
      </c>
      <c r="X739" s="5">
        <v>1</v>
      </c>
      <c r="Y739" s="1">
        <v>45969</v>
      </c>
      <c r="Z739" s="5" t="s">
        <v>47</v>
      </c>
      <c r="AA739" s="5" t="s">
        <v>48</v>
      </c>
      <c r="AB739" s="5" t="s">
        <v>78</v>
      </c>
      <c r="AC739" s="5" t="s">
        <v>50</v>
      </c>
      <c r="AD739" s="5">
        <v>3</v>
      </c>
    </row>
    <row r="740" spans="1:30">
      <c r="A740" s="5" t="s">
        <v>1855</v>
      </c>
      <c r="B740" s="1" t="s">
        <v>1197</v>
      </c>
      <c r="C740" s="5" t="s">
        <v>1341</v>
      </c>
      <c r="D740" s="5" t="s">
        <v>485</v>
      </c>
      <c r="E740" s="5" t="s">
        <v>103</v>
      </c>
      <c r="F740" s="5" t="s">
        <v>245</v>
      </c>
      <c r="G740" s="5" t="s">
        <v>246</v>
      </c>
      <c r="H740" s="5" t="s">
        <v>171</v>
      </c>
      <c r="I740" s="5" t="s">
        <v>84</v>
      </c>
      <c r="J740" s="5" t="s">
        <v>229</v>
      </c>
      <c r="K740" s="5">
        <v>9</v>
      </c>
      <c r="L740" s="5">
        <v>200</v>
      </c>
      <c r="M740" s="5">
        <v>0.15</v>
      </c>
      <c r="N740" s="5">
        <v>1530</v>
      </c>
      <c r="O740" s="5">
        <v>1218.81</v>
      </c>
      <c r="P740" s="5">
        <v>311.19</v>
      </c>
      <c r="Q740" s="5">
        <v>20.34</v>
      </c>
      <c r="R740" s="5" t="s">
        <v>41</v>
      </c>
      <c r="S740" s="5" t="s">
        <v>74</v>
      </c>
      <c r="T740" s="5" t="s">
        <v>43</v>
      </c>
      <c r="U740" s="5" t="s">
        <v>87</v>
      </c>
      <c r="V740" s="5">
        <v>2024</v>
      </c>
      <c r="W740" s="5" t="s">
        <v>109</v>
      </c>
      <c r="X740" s="5">
        <v>5</v>
      </c>
      <c r="Y740" s="1" t="s">
        <v>970</v>
      </c>
      <c r="Z740" s="5" t="s">
        <v>47</v>
      </c>
      <c r="AA740" s="5" t="s">
        <v>90</v>
      </c>
      <c r="AB740" s="5" t="s">
        <v>49</v>
      </c>
      <c r="AC740" s="5" t="s">
        <v>121</v>
      </c>
      <c r="AD740" s="5">
        <v>1</v>
      </c>
    </row>
    <row r="741" spans="1:30">
      <c r="A741" s="5" t="s">
        <v>1856</v>
      </c>
      <c r="B741" s="1" t="s">
        <v>1188</v>
      </c>
      <c r="C741" s="5" t="s">
        <v>1736</v>
      </c>
      <c r="D741" s="5" t="s">
        <v>890</v>
      </c>
      <c r="E741" s="5" t="s">
        <v>35</v>
      </c>
      <c r="F741" s="5" t="s">
        <v>245</v>
      </c>
      <c r="G741" s="5" t="s">
        <v>246</v>
      </c>
      <c r="H741" s="5" t="s">
        <v>94</v>
      </c>
      <c r="I741" s="5" t="s">
        <v>84</v>
      </c>
      <c r="J741" s="5" t="s">
        <v>390</v>
      </c>
      <c r="K741" s="5">
        <v>3</v>
      </c>
      <c r="L741" s="5">
        <v>800</v>
      </c>
      <c r="M741" s="5">
        <v>0.05</v>
      </c>
      <c r="N741" s="5">
        <v>2280</v>
      </c>
      <c r="O741" s="5">
        <v>1699.14</v>
      </c>
      <c r="P741" s="5">
        <v>580.86</v>
      </c>
      <c r="Q741" s="5">
        <v>25.48</v>
      </c>
      <c r="R741" s="5" t="s">
        <v>61</v>
      </c>
      <c r="S741" s="5" t="s">
        <v>42</v>
      </c>
      <c r="T741" s="5" t="s">
        <v>173</v>
      </c>
      <c r="U741" s="5" t="s">
        <v>178</v>
      </c>
      <c r="V741" s="5">
        <v>2024</v>
      </c>
      <c r="W741" s="5" t="s">
        <v>65</v>
      </c>
      <c r="X741" s="5">
        <v>2</v>
      </c>
      <c r="Y741" s="1">
        <v>45295</v>
      </c>
      <c r="Z741" s="5" t="s">
        <v>47</v>
      </c>
      <c r="AA741" s="5" t="s">
        <v>48</v>
      </c>
      <c r="AB741" s="5" t="s">
        <v>49</v>
      </c>
      <c r="AC741" s="5" t="s">
        <v>121</v>
      </c>
      <c r="AD741" s="5">
        <v>2</v>
      </c>
    </row>
    <row r="742" spans="1:30">
      <c r="A742" s="5" t="s">
        <v>1857</v>
      </c>
      <c r="B742" s="1">
        <v>45383</v>
      </c>
      <c r="C742" s="5" t="s">
        <v>124</v>
      </c>
      <c r="D742" s="5" t="s">
        <v>197</v>
      </c>
      <c r="E742" s="5" t="s">
        <v>103</v>
      </c>
      <c r="F742" s="5" t="s">
        <v>149</v>
      </c>
      <c r="G742" s="5" t="s">
        <v>150</v>
      </c>
      <c r="H742" s="5" t="s">
        <v>38</v>
      </c>
      <c r="I742" s="5" t="s">
        <v>39</v>
      </c>
      <c r="J742" s="5" t="s">
        <v>105</v>
      </c>
      <c r="K742" s="5">
        <v>2</v>
      </c>
      <c r="L742" s="5">
        <v>50000</v>
      </c>
      <c r="M742" s="5">
        <v>0</v>
      </c>
      <c r="N742" s="5">
        <v>100000</v>
      </c>
      <c r="O742" s="5">
        <v>60675.91</v>
      </c>
      <c r="P742" s="5">
        <v>39324.089999999997</v>
      </c>
      <c r="Q742" s="5">
        <v>39.32</v>
      </c>
      <c r="R742" s="5" t="s">
        <v>166</v>
      </c>
      <c r="S742" s="5" t="s">
        <v>74</v>
      </c>
      <c r="T742" s="5" t="s">
        <v>138</v>
      </c>
      <c r="U742" s="5" t="s">
        <v>76</v>
      </c>
      <c r="V742" s="5">
        <v>2024</v>
      </c>
      <c r="W742" s="5" t="s">
        <v>139</v>
      </c>
      <c r="X742" s="5">
        <v>7</v>
      </c>
      <c r="Y742" s="1">
        <v>45597</v>
      </c>
      <c r="Z742" s="5" t="s">
        <v>47</v>
      </c>
      <c r="AA742" s="5" t="s">
        <v>48</v>
      </c>
      <c r="AB742" s="5" t="s">
        <v>111</v>
      </c>
      <c r="AC742" s="5" t="s">
        <v>121</v>
      </c>
      <c r="AD742" s="5">
        <v>4</v>
      </c>
    </row>
    <row r="743" spans="1:30">
      <c r="A743" s="5" t="s">
        <v>1858</v>
      </c>
      <c r="B743" s="1">
        <v>45474</v>
      </c>
      <c r="C743" s="5" t="s">
        <v>1390</v>
      </c>
      <c r="D743" s="5" t="s">
        <v>684</v>
      </c>
      <c r="E743" s="5" t="s">
        <v>103</v>
      </c>
      <c r="F743" s="5" t="s">
        <v>116</v>
      </c>
      <c r="G743" s="5" t="s">
        <v>37</v>
      </c>
      <c r="H743" s="5" t="s">
        <v>38</v>
      </c>
      <c r="I743" s="5" t="s">
        <v>59</v>
      </c>
      <c r="J743" s="5" t="s">
        <v>328</v>
      </c>
      <c r="K743" s="5">
        <v>8</v>
      </c>
      <c r="L743" s="5">
        <v>800</v>
      </c>
      <c r="M743" s="5">
        <v>0.2</v>
      </c>
      <c r="N743" s="5">
        <v>5120</v>
      </c>
      <c r="O743" s="5">
        <v>4162.72</v>
      </c>
      <c r="P743" s="5">
        <v>957.28</v>
      </c>
      <c r="Q743" s="5">
        <v>18.7</v>
      </c>
      <c r="R743" s="5" t="s">
        <v>106</v>
      </c>
      <c r="S743" s="5" t="s">
        <v>42</v>
      </c>
      <c r="T743" s="5" t="s">
        <v>173</v>
      </c>
      <c r="U743" s="5" t="s">
        <v>76</v>
      </c>
      <c r="V743" s="5">
        <v>2024</v>
      </c>
      <c r="W743" s="5" t="s">
        <v>45</v>
      </c>
      <c r="X743" s="5">
        <v>2</v>
      </c>
      <c r="Y743" s="1">
        <v>45536</v>
      </c>
      <c r="Z743" s="5" t="s">
        <v>47</v>
      </c>
      <c r="AA743" s="5" t="s">
        <v>90</v>
      </c>
      <c r="AB743" s="5" t="s">
        <v>49</v>
      </c>
      <c r="AC743" s="5" t="s">
        <v>50</v>
      </c>
      <c r="AD743" s="5">
        <v>2</v>
      </c>
    </row>
    <row r="744" spans="1:30">
      <c r="A744" s="5" t="s">
        <v>1859</v>
      </c>
      <c r="B744" s="1">
        <v>45694</v>
      </c>
      <c r="C744" s="5" t="s">
        <v>883</v>
      </c>
      <c r="D744" s="5" t="s">
        <v>439</v>
      </c>
      <c r="E744" s="5" t="s">
        <v>35</v>
      </c>
      <c r="F744" s="5" t="s">
        <v>245</v>
      </c>
      <c r="G744" s="5" t="s">
        <v>246</v>
      </c>
      <c r="H744" s="5" t="s">
        <v>171</v>
      </c>
      <c r="I744" s="5" t="s">
        <v>71</v>
      </c>
      <c r="J744" s="5" t="s">
        <v>172</v>
      </c>
      <c r="K744" s="5">
        <v>5</v>
      </c>
      <c r="L744" s="5">
        <v>3500</v>
      </c>
      <c r="M744" s="5">
        <v>0.15</v>
      </c>
      <c r="N744" s="5">
        <v>14875</v>
      </c>
      <c r="O744" s="5">
        <v>9894.27</v>
      </c>
      <c r="P744" s="5">
        <v>4980.7299999999996</v>
      </c>
      <c r="Q744" s="5">
        <v>33.479999999999997</v>
      </c>
      <c r="R744" s="5" t="s">
        <v>61</v>
      </c>
      <c r="S744" s="5" t="s">
        <v>74</v>
      </c>
      <c r="T744" s="5" t="s">
        <v>173</v>
      </c>
      <c r="U744" s="5" t="s">
        <v>160</v>
      </c>
      <c r="V744" s="5">
        <v>2025</v>
      </c>
      <c r="W744" s="5" t="s">
        <v>126</v>
      </c>
      <c r="X744" s="5">
        <v>5</v>
      </c>
      <c r="Y744" s="1">
        <v>45844</v>
      </c>
      <c r="Z744" s="5" t="s">
        <v>47</v>
      </c>
      <c r="AA744" s="5" t="s">
        <v>90</v>
      </c>
      <c r="AB744" s="5" t="s">
        <v>49</v>
      </c>
      <c r="AC744" s="5" t="s">
        <v>50</v>
      </c>
      <c r="AD744" s="5">
        <v>3</v>
      </c>
    </row>
    <row r="745" spans="1:30">
      <c r="A745" s="5" t="s">
        <v>1860</v>
      </c>
      <c r="B745" s="1" t="s">
        <v>1363</v>
      </c>
      <c r="C745" s="5" t="s">
        <v>406</v>
      </c>
      <c r="D745" s="5" t="s">
        <v>571</v>
      </c>
      <c r="E745" s="5" t="s">
        <v>35</v>
      </c>
      <c r="F745" s="5" t="s">
        <v>104</v>
      </c>
      <c r="G745" s="5" t="s">
        <v>104</v>
      </c>
      <c r="H745" s="5" t="s">
        <v>171</v>
      </c>
      <c r="I745" s="5" t="s">
        <v>59</v>
      </c>
      <c r="J745" s="5" t="s">
        <v>133</v>
      </c>
      <c r="K745" s="5">
        <v>2</v>
      </c>
      <c r="L745" s="5">
        <v>2000</v>
      </c>
      <c r="M745" s="5">
        <v>0</v>
      </c>
      <c r="N745" s="5">
        <v>4000</v>
      </c>
      <c r="O745" s="5">
        <v>2835.19</v>
      </c>
      <c r="P745" s="5">
        <v>1164.81</v>
      </c>
      <c r="Q745" s="5">
        <v>29.12</v>
      </c>
      <c r="R745" s="5" t="s">
        <v>61</v>
      </c>
      <c r="S745" s="5" t="s">
        <v>62</v>
      </c>
      <c r="T745" s="5" t="s">
        <v>97</v>
      </c>
      <c r="U745" s="5" t="s">
        <v>198</v>
      </c>
      <c r="V745" s="5">
        <v>2025</v>
      </c>
      <c r="W745" s="5" t="s">
        <v>194</v>
      </c>
      <c r="X745" s="5">
        <v>2</v>
      </c>
      <c r="Y745" s="1" t="s">
        <v>437</v>
      </c>
      <c r="Z745" s="5" t="s">
        <v>47</v>
      </c>
      <c r="AA745" s="5" t="s">
        <v>48</v>
      </c>
      <c r="AB745" s="5" t="s">
        <v>78</v>
      </c>
      <c r="AC745" s="5" t="s">
        <v>50</v>
      </c>
      <c r="AD745" s="5">
        <v>4</v>
      </c>
    </row>
    <row r="746" spans="1:30">
      <c r="A746" s="5" t="s">
        <v>1861</v>
      </c>
      <c r="B746" s="1" t="s">
        <v>414</v>
      </c>
      <c r="C746" s="5" t="s">
        <v>1862</v>
      </c>
      <c r="D746" s="5" t="s">
        <v>1749</v>
      </c>
      <c r="E746" s="5" t="s">
        <v>55</v>
      </c>
      <c r="F746" s="5" t="s">
        <v>116</v>
      </c>
      <c r="G746" s="5" t="s">
        <v>37</v>
      </c>
      <c r="H746" s="5" t="s">
        <v>171</v>
      </c>
      <c r="I746" s="5" t="s">
        <v>71</v>
      </c>
      <c r="J746" s="5" t="s">
        <v>240</v>
      </c>
      <c r="K746" s="5">
        <v>9</v>
      </c>
      <c r="L746" s="5">
        <v>1200</v>
      </c>
      <c r="M746" s="5">
        <v>0.05</v>
      </c>
      <c r="N746" s="5">
        <v>10260</v>
      </c>
      <c r="O746" s="5">
        <v>7556.83</v>
      </c>
      <c r="P746" s="5">
        <v>2703.17</v>
      </c>
      <c r="Q746" s="5">
        <v>26.35</v>
      </c>
      <c r="R746" s="5" t="s">
        <v>166</v>
      </c>
      <c r="S746" s="5" t="s">
        <v>62</v>
      </c>
      <c r="T746" s="5" t="s">
        <v>138</v>
      </c>
      <c r="U746" s="5" t="s">
        <v>218</v>
      </c>
      <c r="V746" s="5">
        <v>2025</v>
      </c>
      <c r="W746" s="5" t="s">
        <v>45</v>
      </c>
      <c r="X746" s="5">
        <v>3</v>
      </c>
      <c r="Y746" s="1" t="s">
        <v>892</v>
      </c>
      <c r="Z746" s="5" t="s">
        <v>47</v>
      </c>
      <c r="AA746" s="5" t="s">
        <v>67</v>
      </c>
      <c r="AB746" s="5" t="s">
        <v>49</v>
      </c>
      <c r="AC746" s="5" t="s">
        <v>121</v>
      </c>
      <c r="AD746" s="5">
        <v>4</v>
      </c>
    </row>
    <row r="747" spans="1:30">
      <c r="A747" s="5" t="s">
        <v>1863</v>
      </c>
      <c r="B747" s="1" t="s">
        <v>1119</v>
      </c>
      <c r="C747" s="5" t="s">
        <v>1111</v>
      </c>
      <c r="D747" s="5" t="s">
        <v>548</v>
      </c>
      <c r="E747" s="5" t="s">
        <v>103</v>
      </c>
      <c r="F747" s="5" t="s">
        <v>156</v>
      </c>
      <c r="G747" s="5" t="s">
        <v>157</v>
      </c>
      <c r="H747" s="5" t="s">
        <v>38</v>
      </c>
      <c r="I747" s="5" t="s">
        <v>39</v>
      </c>
      <c r="J747" s="5" t="s">
        <v>105</v>
      </c>
      <c r="K747" s="5">
        <v>6</v>
      </c>
      <c r="L747" s="5">
        <v>22000</v>
      </c>
      <c r="M747" s="5">
        <v>0.05</v>
      </c>
      <c r="N747" s="5">
        <v>125400</v>
      </c>
      <c r="O747" s="5">
        <v>83677.279999999999</v>
      </c>
      <c r="P747" s="5">
        <v>41722.720000000001</v>
      </c>
      <c r="Q747" s="5">
        <v>33.270000000000003</v>
      </c>
      <c r="R747" s="5" t="s">
        <v>73</v>
      </c>
      <c r="S747" s="5" t="s">
        <v>74</v>
      </c>
      <c r="T747" s="5" t="s">
        <v>43</v>
      </c>
      <c r="U747" s="5" t="s">
        <v>98</v>
      </c>
      <c r="V747" s="5">
        <v>2025</v>
      </c>
      <c r="W747" s="5" t="s">
        <v>139</v>
      </c>
      <c r="X747" s="5">
        <v>6</v>
      </c>
      <c r="Y747" s="1" t="s">
        <v>871</v>
      </c>
      <c r="Z747" s="5" t="s">
        <v>47</v>
      </c>
      <c r="AA747" s="5" t="s">
        <v>67</v>
      </c>
      <c r="AB747" s="5" t="s">
        <v>78</v>
      </c>
      <c r="AC747" s="5" t="s">
        <v>121</v>
      </c>
      <c r="AD747" s="5">
        <v>3</v>
      </c>
    </row>
    <row r="748" spans="1:30">
      <c r="A748" s="5" t="s">
        <v>1864</v>
      </c>
      <c r="B748" s="1">
        <v>45454</v>
      </c>
      <c r="C748" s="5" t="s">
        <v>965</v>
      </c>
      <c r="D748" s="5" t="s">
        <v>339</v>
      </c>
      <c r="E748" s="5" t="s">
        <v>55</v>
      </c>
      <c r="F748" s="5" t="s">
        <v>82</v>
      </c>
      <c r="G748" s="5" t="s">
        <v>83</v>
      </c>
      <c r="H748" s="5" t="s">
        <v>94</v>
      </c>
      <c r="I748" s="5" t="s">
        <v>95</v>
      </c>
      <c r="J748" s="5" t="s">
        <v>344</v>
      </c>
      <c r="K748" s="5">
        <v>8</v>
      </c>
      <c r="L748" s="5">
        <v>9000</v>
      </c>
      <c r="M748" s="5">
        <v>0.05</v>
      </c>
      <c r="N748" s="5">
        <v>68400</v>
      </c>
      <c r="O748" s="5">
        <v>41825.89</v>
      </c>
      <c r="P748" s="5">
        <v>26574.11</v>
      </c>
      <c r="Q748" s="5">
        <v>38.85</v>
      </c>
      <c r="R748" s="5" t="s">
        <v>166</v>
      </c>
      <c r="S748" s="5" t="s">
        <v>74</v>
      </c>
      <c r="T748" s="5" t="s">
        <v>138</v>
      </c>
      <c r="U748" s="5" t="s">
        <v>198</v>
      </c>
      <c r="V748" s="5">
        <v>2024</v>
      </c>
      <c r="W748" s="5" t="s">
        <v>134</v>
      </c>
      <c r="X748" s="5">
        <v>9</v>
      </c>
      <c r="Y748" s="1" t="s">
        <v>991</v>
      </c>
      <c r="Z748" s="5" t="s">
        <v>47</v>
      </c>
      <c r="AA748" s="5" t="s">
        <v>48</v>
      </c>
      <c r="AB748" s="5" t="s">
        <v>49</v>
      </c>
      <c r="AC748" s="5" t="s">
        <v>50</v>
      </c>
      <c r="AD748" s="5">
        <v>1</v>
      </c>
    </row>
    <row r="749" spans="1:30">
      <c r="A749" s="5" t="s">
        <v>1865</v>
      </c>
      <c r="B749" s="1" t="s">
        <v>214</v>
      </c>
      <c r="C749" s="5" t="s">
        <v>522</v>
      </c>
      <c r="D749" s="5" t="s">
        <v>732</v>
      </c>
      <c r="E749" s="5" t="s">
        <v>55</v>
      </c>
      <c r="F749" s="5" t="s">
        <v>36</v>
      </c>
      <c r="G749" s="5" t="s">
        <v>37</v>
      </c>
      <c r="H749" s="5" t="s">
        <v>38</v>
      </c>
      <c r="I749" s="5" t="s">
        <v>84</v>
      </c>
      <c r="J749" s="5" t="s">
        <v>290</v>
      </c>
      <c r="K749" s="5">
        <v>10</v>
      </c>
      <c r="L749" s="5">
        <v>350</v>
      </c>
      <c r="M749" s="5">
        <v>0.05</v>
      </c>
      <c r="N749" s="5">
        <v>3325</v>
      </c>
      <c r="O749" s="5">
        <v>2550.1999999999998</v>
      </c>
      <c r="P749" s="5">
        <v>774.8</v>
      </c>
      <c r="Q749" s="5">
        <v>23.3</v>
      </c>
      <c r="R749" s="5" t="s">
        <v>61</v>
      </c>
      <c r="S749" s="5" t="s">
        <v>42</v>
      </c>
      <c r="T749" s="5" t="s">
        <v>159</v>
      </c>
      <c r="U749" s="5" t="s">
        <v>218</v>
      </c>
      <c r="V749" s="5">
        <v>2024</v>
      </c>
      <c r="W749" s="5" t="s">
        <v>134</v>
      </c>
      <c r="X749" s="5">
        <v>9</v>
      </c>
      <c r="Y749" s="1">
        <v>45452</v>
      </c>
      <c r="Z749" s="5" t="s">
        <v>110</v>
      </c>
      <c r="AA749" s="5" t="s">
        <v>48</v>
      </c>
      <c r="AB749" s="5" t="s">
        <v>111</v>
      </c>
      <c r="AC749" s="5" t="s">
        <v>50</v>
      </c>
      <c r="AD749" s="5">
        <v>5</v>
      </c>
    </row>
    <row r="750" spans="1:30">
      <c r="A750" s="5" t="s">
        <v>1866</v>
      </c>
      <c r="B750" s="1" t="s">
        <v>778</v>
      </c>
      <c r="C750" s="5" t="s">
        <v>773</v>
      </c>
      <c r="D750" s="5" t="s">
        <v>1532</v>
      </c>
      <c r="E750" s="5" t="s">
        <v>55</v>
      </c>
      <c r="F750" s="5" t="s">
        <v>36</v>
      </c>
      <c r="G750" s="5" t="s">
        <v>37</v>
      </c>
      <c r="H750" s="5" t="s">
        <v>171</v>
      </c>
      <c r="I750" s="5" t="s">
        <v>59</v>
      </c>
      <c r="J750" s="5" t="s">
        <v>206</v>
      </c>
      <c r="K750" s="5">
        <v>9</v>
      </c>
      <c r="L750" s="5">
        <v>1200</v>
      </c>
      <c r="M750" s="5">
        <v>0.1</v>
      </c>
      <c r="N750" s="5">
        <v>9720</v>
      </c>
      <c r="O750" s="5">
        <v>6829.65</v>
      </c>
      <c r="P750" s="5">
        <v>2890.35</v>
      </c>
      <c r="Q750" s="5">
        <v>29.74</v>
      </c>
      <c r="R750" s="5" t="s">
        <v>166</v>
      </c>
      <c r="S750" s="5" t="s">
        <v>74</v>
      </c>
      <c r="T750" s="5" t="s">
        <v>86</v>
      </c>
      <c r="U750" s="5" t="s">
        <v>76</v>
      </c>
      <c r="V750" s="5">
        <v>2025</v>
      </c>
      <c r="W750" s="5" t="s">
        <v>194</v>
      </c>
      <c r="X750" s="5">
        <v>3</v>
      </c>
      <c r="Y750" s="1" t="s">
        <v>429</v>
      </c>
      <c r="Z750" s="5" t="s">
        <v>47</v>
      </c>
      <c r="AA750" s="5" t="s">
        <v>67</v>
      </c>
      <c r="AB750" s="5" t="s">
        <v>111</v>
      </c>
      <c r="AC750" s="5" t="s">
        <v>121</v>
      </c>
      <c r="AD750" s="5">
        <v>3</v>
      </c>
    </row>
    <row r="751" spans="1:30">
      <c r="A751" s="5" t="s">
        <v>1867</v>
      </c>
      <c r="B751" s="1" t="s">
        <v>1258</v>
      </c>
      <c r="C751" s="5" t="s">
        <v>809</v>
      </c>
      <c r="D751" s="5" t="s">
        <v>1166</v>
      </c>
      <c r="E751" s="5" t="s">
        <v>35</v>
      </c>
      <c r="F751" s="5" t="s">
        <v>56</v>
      </c>
      <c r="G751" s="5" t="s">
        <v>57</v>
      </c>
      <c r="H751" s="5" t="s">
        <v>38</v>
      </c>
      <c r="I751" s="5" t="s">
        <v>84</v>
      </c>
      <c r="J751" s="5" t="s">
        <v>217</v>
      </c>
      <c r="K751" s="5">
        <v>6</v>
      </c>
      <c r="L751" s="5">
        <v>800</v>
      </c>
      <c r="M751" s="5">
        <v>0.1</v>
      </c>
      <c r="N751" s="5">
        <v>4320</v>
      </c>
      <c r="O751" s="5">
        <v>3502.13</v>
      </c>
      <c r="P751" s="5">
        <v>817.87</v>
      </c>
      <c r="Q751" s="5">
        <v>18.93</v>
      </c>
      <c r="R751" s="5" t="s">
        <v>73</v>
      </c>
      <c r="S751" s="5" t="s">
        <v>62</v>
      </c>
      <c r="T751" s="5" t="s">
        <v>63</v>
      </c>
      <c r="U751" s="5" t="s">
        <v>64</v>
      </c>
      <c r="V751" s="5">
        <v>2025</v>
      </c>
      <c r="W751" s="5" t="s">
        <v>109</v>
      </c>
      <c r="X751" s="5">
        <v>4</v>
      </c>
      <c r="Y751" s="1" t="s">
        <v>1868</v>
      </c>
      <c r="Z751" s="5" t="s">
        <v>47</v>
      </c>
      <c r="AA751" s="5" t="s">
        <v>67</v>
      </c>
      <c r="AB751" s="5" t="s">
        <v>49</v>
      </c>
      <c r="AC751" s="5" t="s">
        <v>50</v>
      </c>
      <c r="AD751" s="5">
        <v>5</v>
      </c>
    </row>
    <row r="752" spans="1:30">
      <c r="A752" s="5" t="s">
        <v>1869</v>
      </c>
      <c r="B752" s="1" t="s">
        <v>1216</v>
      </c>
      <c r="C752" s="5" t="s">
        <v>1870</v>
      </c>
      <c r="D752" s="5" t="s">
        <v>297</v>
      </c>
      <c r="E752" s="5" t="s">
        <v>55</v>
      </c>
      <c r="F752" s="5" t="s">
        <v>36</v>
      </c>
      <c r="G752" s="5" t="s">
        <v>37</v>
      </c>
      <c r="H752" s="5" t="s">
        <v>38</v>
      </c>
      <c r="I752" s="5" t="s">
        <v>71</v>
      </c>
      <c r="J752" s="5" t="s">
        <v>117</v>
      </c>
      <c r="K752" s="5">
        <v>10</v>
      </c>
      <c r="L752" s="5">
        <v>1800</v>
      </c>
      <c r="M752" s="5">
        <v>0</v>
      </c>
      <c r="N752" s="5">
        <v>18000</v>
      </c>
      <c r="O752" s="5">
        <v>12828.63</v>
      </c>
      <c r="P752" s="5">
        <v>5171.37</v>
      </c>
      <c r="Q752" s="5">
        <v>28.73</v>
      </c>
      <c r="R752" s="5" t="s">
        <v>61</v>
      </c>
      <c r="S752" s="5" t="s">
        <v>42</v>
      </c>
      <c r="T752" s="5" t="s">
        <v>118</v>
      </c>
      <c r="U752" s="5" t="s">
        <v>160</v>
      </c>
      <c r="V752" s="5">
        <v>2025</v>
      </c>
      <c r="W752" s="5" t="s">
        <v>134</v>
      </c>
      <c r="X752" s="5">
        <v>8</v>
      </c>
      <c r="Y752" s="1">
        <v>45723</v>
      </c>
      <c r="Z752" s="5" t="s">
        <v>110</v>
      </c>
      <c r="AA752" s="5" t="s">
        <v>67</v>
      </c>
      <c r="AB752" s="5" t="s">
        <v>49</v>
      </c>
      <c r="AC752" s="5" t="s">
        <v>50</v>
      </c>
      <c r="AD752" s="5">
        <v>2</v>
      </c>
    </row>
    <row r="753" spans="1:30">
      <c r="A753" s="5" t="s">
        <v>1871</v>
      </c>
      <c r="B753" s="1" t="s">
        <v>1026</v>
      </c>
      <c r="C753" s="5" t="s">
        <v>1132</v>
      </c>
      <c r="D753" s="5" t="s">
        <v>323</v>
      </c>
      <c r="E753" s="5" t="s">
        <v>103</v>
      </c>
      <c r="F753" s="5" t="s">
        <v>149</v>
      </c>
      <c r="G753" s="5" t="s">
        <v>150</v>
      </c>
      <c r="H753" s="5" t="s">
        <v>38</v>
      </c>
      <c r="I753" s="5" t="s">
        <v>39</v>
      </c>
      <c r="J753" s="5" t="s">
        <v>40</v>
      </c>
      <c r="K753" s="5">
        <v>6</v>
      </c>
      <c r="L753" s="5">
        <v>35000</v>
      </c>
      <c r="M753" s="5">
        <v>0.15</v>
      </c>
      <c r="N753" s="5">
        <v>178500</v>
      </c>
      <c r="O753" s="5">
        <v>144281.60000000001</v>
      </c>
      <c r="P753" s="5">
        <v>34218.400000000001</v>
      </c>
      <c r="Q753" s="5">
        <v>19.170000000000002</v>
      </c>
      <c r="R753" s="5" t="s">
        <v>73</v>
      </c>
      <c r="S753" s="5" t="s">
        <v>42</v>
      </c>
      <c r="T753" s="5" t="s">
        <v>63</v>
      </c>
      <c r="U753" s="5" t="s">
        <v>151</v>
      </c>
      <c r="V753" s="5">
        <v>2025</v>
      </c>
      <c r="W753" s="5" t="s">
        <v>109</v>
      </c>
      <c r="X753" s="5">
        <v>3</v>
      </c>
      <c r="Y753" s="1">
        <v>45665</v>
      </c>
      <c r="Z753" s="5" t="s">
        <v>47</v>
      </c>
      <c r="AA753" s="5" t="s">
        <v>90</v>
      </c>
      <c r="AB753" s="5" t="s">
        <v>78</v>
      </c>
      <c r="AC753" s="5" t="s">
        <v>121</v>
      </c>
      <c r="AD753" s="5">
        <v>2</v>
      </c>
    </row>
    <row r="754" spans="1:30">
      <c r="A754" s="5" t="s">
        <v>1872</v>
      </c>
      <c r="B754" s="1" t="s">
        <v>1873</v>
      </c>
      <c r="C754" s="5" t="s">
        <v>1090</v>
      </c>
      <c r="D754" s="5" t="s">
        <v>1449</v>
      </c>
      <c r="E754" s="5" t="s">
        <v>35</v>
      </c>
      <c r="F754" s="5" t="s">
        <v>131</v>
      </c>
      <c r="G754" s="5" t="s">
        <v>132</v>
      </c>
      <c r="H754" s="5" t="s">
        <v>94</v>
      </c>
      <c r="I754" s="5" t="s">
        <v>59</v>
      </c>
      <c r="J754" s="5" t="s">
        <v>60</v>
      </c>
      <c r="K754" s="5">
        <v>4</v>
      </c>
      <c r="L754" s="5">
        <v>2000</v>
      </c>
      <c r="M754" s="5">
        <v>0.15</v>
      </c>
      <c r="N754" s="5">
        <v>6800</v>
      </c>
      <c r="O754" s="5">
        <v>4219.17</v>
      </c>
      <c r="P754" s="5">
        <v>2580.83</v>
      </c>
      <c r="Q754" s="5">
        <v>37.950000000000003</v>
      </c>
      <c r="R754" s="5" t="s">
        <v>106</v>
      </c>
      <c r="S754" s="5" t="s">
        <v>62</v>
      </c>
      <c r="T754" s="5" t="s">
        <v>138</v>
      </c>
      <c r="U754" s="5" t="s">
        <v>64</v>
      </c>
      <c r="V754" s="5">
        <v>2025</v>
      </c>
      <c r="W754" s="5" t="s">
        <v>139</v>
      </c>
      <c r="X754" s="5">
        <v>1</v>
      </c>
      <c r="Y754" s="1" t="s">
        <v>610</v>
      </c>
      <c r="Z754" s="5" t="s">
        <v>47</v>
      </c>
      <c r="AA754" s="5" t="s">
        <v>90</v>
      </c>
      <c r="AB754" s="5" t="s">
        <v>78</v>
      </c>
      <c r="AC754" s="5" t="s">
        <v>50</v>
      </c>
      <c r="AD754" s="5">
        <v>5</v>
      </c>
    </row>
    <row r="755" spans="1:30">
      <c r="A755" s="5" t="s">
        <v>1874</v>
      </c>
      <c r="B755" s="1">
        <v>45965</v>
      </c>
      <c r="C755" s="5" t="s">
        <v>354</v>
      </c>
      <c r="D755" s="5" t="s">
        <v>660</v>
      </c>
      <c r="E755" s="5" t="s">
        <v>103</v>
      </c>
      <c r="F755" s="5" t="s">
        <v>245</v>
      </c>
      <c r="G755" s="5" t="s">
        <v>246</v>
      </c>
      <c r="H755" s="5" t="s">
        <v>38</v>
      </c>
      <c r="I755" s="5" t="s">
        <v>59</v>
      </c>
      <c r="J755" s="5" t="s">
        <v>133</v>
      </c>
      <c r="K755" s="5">
        <v>6</v>
      </c>
      <c r="L755" s="5">
        <v>500</v>
      </c>
      <c r="M755" s="5">
        <v>0.1</v>
      </c>
      <c r="N755" s="5">
        <v>2700</v>
      </c>
      <c r="O755" s="5">
        <v>1999.89</v>
      </c>
      <c r="P755" s="5">
        <v>700.11</v>
      </c>
      <c r="Q755" s="5">
        <v>25.93</v>
      </c>
      <c r="R755" s="5" t="s">
        <v>61</v>
      </c>
      <c r="S755" s="5" t="s">
        <v>74</v>
      </c>
      <c r="T755" s="5" t="s">
        <v>173</v>
      </c>
      <c r="U755" s="5" t="s">
        <v>44</v>
      </c>
      <c r="V755" s="5">
        <v>2025</v>
      </c>
      <c r="W755" s="5" t="s">
        <v>194</v>
      </c>
      <c r="X755" s="5">
        <v>5</v>
      </c>
      <c r="Y755" s="1" t="s">
        <v>656</v>
      </c>
      <c r="Z755" s="5" t="s">
        <v>47</v>
      </c>
      <c r="AA755" s="5" t="s">
        <v>90</v>
      </c>
      <c r="AB755" s="5" t="s">
        <v>78</v>
      </c>
      <c r="AC755" s="5" t="s">
        <v>50</v>
      </c>
      <c r="AD755" s="5">
        <v>3</v>
      </c>
    </row>
    <row r="756" spans="1:30">
      <c r="A756" s="5" t="s">
        <v>1875</v>
      </c>
      <c r="B756" s="1" t="s">
        <v>1876</v>
      </c>
      <c r="C756" s="5" t="s">
        <v>830</v>
      </c>
      <c r="D756" s="5" t="s">
        <v>1506</v>
      </c>
      <c r="E756" s="5" t="s">
        <v>55</v>
      </c>
      <c r="F756" s="5" t="s">
        <v>245</v>
      </c>
      <c r="G756" s="5" t="s">
        <v>246</v>
      </c>
      <c r="H756" s="5" t="s">
        <v>171</v>
      </c>
      <c r="I756" s="5" t="s">
        <v>84</v>
      </c>
      <c r="J756" s="5" t="s">
        <v>290</v>
      </c>
      <c r="K756" s="5">
        <v>9</v>
      </c>
      <c r="L756" s="5">
        <v>100</v>
      </c>
      <c r="M756" s="5">
        <v>0.15</v>
      </c>
      <c r="N756" s="5">
        <v>765</v>
      </c>
      <c r="O756" s="5">
        <v>457.52</v>
      </c>
      <c r="P756" s="5">
        <v>307.48</v>
      </c>
      <c r="Q756" s="5">
        <v>40.19</v>
      </c>
      <c r="R756" s="5" t="s">
        <v>41</v>
      </c>
      <c r="S756" s="5" t="s">
        <v>42</v>
      </c>
      <c r="T756" s="5" t="s">
        <v>43</v>
      </c>
      <c r="U756" s="5" t="s">
        <v>87</v>
      </c>
      <c r="V756" s="5">
        <v>2025</v>
      </c>
      <c r="W756" s="5" t="s">
        <v>139</v>
      </c>
      <c r="X756" s="5">
        <v>6</v>
      </c>
      <c r="Y756" s="1" t="s">
        <v>735</v>
      </c>
      <c r="Z756" s="5" t="s">
        <v>110</v>
      </c>
      <c r="AA756" s="5" t="s">
        <v>48</v>
      </c>
      <c r="AB756" s="5" t="s">
        <v>49</v>
      </c>
      <c r="AC756" s="5" t="s">
        <v>121</v>
      </c>
      <c r="AD756" s="5">
        <v>4</v>
      </c>
    </row>
    <row r="757" spans="1:30">
      <c r="A757" s="5" t="s">
        <v>1877</v>
      </c>
      <c r="B757" s="1" t="s">
        <v>1519</v>
      </c>
      <c r="C757" s="5" t="s">
        <v>1878</v>
      </c>
      <c r="D757" s="5" t="s">
        <v>137</v>
      </c>
      <c r="E757" s="5" t="s">
        <v>55</v>
      </c>
      <c r="F757" s="5" t="s">
        <v>36</v>
      </c>
      <c r="G757" s="5" t="s">
        <v>37</v>
      </c>
      <c r="H757" s="5" t="s">
        <v>171</v>
      </c>
      <c r="I757" s="5" t="s">
        <v>39</v>
      </c>
      <c r="J757" s="5" t="s">
        <v>105</v>
      </c>
      <c r="K757" s="5">
        <v>3</v>
      </c>
      <c r="L757" s="5">
        <v>8000</v>
      </c>
      <c r="M757" s="5">
        <v>0.2</v>
      </c>
      <c r="N757" s="5">
        <v>19200</v>
      </c>
      <c r="O757" s="5">
        <v>14472.16</v>
      </c>
      <c r="P757" s="5">
        <v>4727.84</v>
      </c>
      <c r="Q757" s="5">
        <v>24.62</v>
      </c>
      <c r="R757" s="5" t="s">
        <v>106</v>
      </c>
      <c r="S757" s="5" t="s">
        <v>62</v>
      </c>
      <c r="T757" s="5" t="s">
        <v>75</v>
      </c>
      <c r="U757" s="5" t="s">
        <v>160</v>
      </c>
      <c r="V757" s="5">
        <v>2024</v>
      </c>
      <c r="W757" s="5" t="s">
        <v>45</v>
      </c>
      <c r="X757" s="5">
        <v>4</v>
      </c>
      <c r="Y757" s="1" t="s">
        <v>394</v>
      </c>
      <c r="Z757" s="5" t="s">
        <v>47</v>
      </c>
      <c r="AA757" s="5" t="s">
        <v>48</v>
      </c>
      <c r="AB757" s="5" t="s">
        <v>49</v>
      </c>
      <c r="AC757" s="5" t="s">
        <v>50</v>
      </c>
      <c r="AD757" s="5">
        <v>4</v>
      </c>
    </row>
    <row r="758" spans="1:30">
      <c r="A758" s="5" t="s">
        <v>1879</v>
      </c>
      <c r="B758" s="1" t="s">
        <v>1880</v>
      </c>
      <c r="C758" s="5" t="s">
        <v>262</v>
      </c>
      <c r="D758" s="5" t="s">
        <v>459</v>
      </c>
      <c r="E758" s="5" t="s">
        <v>35</v>
      </c>
      <c r="F758" s="5" t="s">
        <v>245</v>
      </c>
      <c r="G758" s="5" t="s">
        <v>246</v>
      </c>
      <c r="H758" s="5" t="s">
        <v>38</v>
      </c>
      <c r="I758" s="5" t="s">
        <v>59</v>
      </c>
      <c r="J758" s="5" t="s">
        <v>328</v>
      </c>
      <c r="K758" s="5">
        <v>4</v>
      </c>
      <c r="L758" s="5">
        <v>2000</v>
      </c>
      <c r="M758" s="5">
        <v>0.05</v>
      </c>
      <c r="N758" s="5">
        <v>7600</v>
      </c>
      <c r="O758" s="5">
        <v>4670.97</v>
      </c>
      <c r="P758" s="5">
        <v>2929.03</v>
      </c>
      <c r="Q758" s="5">
        <v>38.54</v>
      </c>
      <c r="R758" s="5" t="s">
        <v>166</v>
      </c>
      <c r="S758" s="5" t="s">
        <v>74</v>
      </c>
      <c r="T758" s="5" t="s">
        <v>43</v>
      </c>
      <c r="U758" s="5" t="s">
        <v>44</v>
      </c>
      <c r="V758" s="5">
        <v>2024</v>
      </c>
      <c r="W758" s="5" t="s">
        <v>45</v>
      </c>
      <c r="X758" s="5">
        <v>5</v>
      </c>
      <c r="Y758" s="1">
        <v>45356</v>
      </c>
      <c r="Z758" s="5" t="s">
        <v>47</v>
      </c>
      <c r="AA758" s="5" t="s">
        <v>90</v>
      </c>
      <c r="AB758" s="5" t="s">
        <v>49</v>
      </c>
      <c r="AC758" s="5" t="s">
        <v>121</v>
      </c>
      <c r="AD758" s="5">
        <v>2</v>
      </c>
    </row>
    <row r="759" spans="1:30">
      <c r="A759" s="5" t="s">
        <v>1881</v>
      </c>
      <c r="B759" s="1">
        <v>45814</v>
      </c>
      <c r="C759" s="5" t="s">
        <v>640</v>
      </c>
      <c r="D759" s="5" t="s">
        <v>1043</v>
      </c>
      <c r="E759" s="5" t="s">
        <v>35</v>
      </c>
      <c r="F759" s="5" t="s">
        <v>131</v>
      </c>
      <c r="G759" s="5" t="s">
        <v>132</v>
      </c>
      <c r="H759" s="5" t="s">
        <v>38</v>
      </c>
      <c r="I759" s="5" t="s">
        <v>84</v>
      </c>
      <c r="J759" s="5" t="s">
        <v>229</v>
      </c>
      <c r="K759" s="5">
        <v>7</v>
      </c>
      <c r="L759" s="5">
        <v>500</v>
      </c>
      <c r="M759" s="5">
        <v>0</v>
      </c>
      <c r="N759" s="5">
        <v>3500</v>
      </c>
      <c r="O759" s="5">
        <v>1947.22</v>
      </c>
      <c r="P759" s="5">
        <v>1552.78</v>
      </c>
      <c r="Q759" s="5">
        <v>44.37</v>
      </c>
      <c r="R759" s="5" t="s">
        <v>41</v>
      </c>
      <c r="S759" s="5" t="s">
        <v>74</v>
      </c>
      <c r="T759" s="5" t="s">
        <v>86</v>
      </c>
      <c r="U759" s="5" t="s">
        <v>160</v>
      </c>
      <c r="V759" s="5">
        <v>2025</v>
      </c>
      <c r="W759" s="5" t="s">
        <v>194</v>
      </c>
      <c r="X759" s="5">
        <v>5</v>
      </c>
      <c r="Y759" s="1">
        <v>45967</v>
      </c>
      <c r="Z759" s="5" t="s">
        <v>110</v>
      </c>
      <c r="AA759" s="5" t="s">
        <v>90</v>
      </c>
      <c r="AB759" s="5" t="s">
        <v>111</v>
      </c>
      <c r="AC759" s="5" t="s">
        <v>50</v>
      </c>
      <c r="AD759" s="5">
        <v>1</v>
      </c>
    </row>
    <row r="760" spans="1:30">
      <c r="A760" s="5" t="s">
        <v>1882</v>
      </c>
      <c r="B760" s="1">
        <v>45932</v>
      </c>
      <c r="C760" s="5" t="s">
        <v>1883</v>
      </c>
      <c r="D760" s="5" t="s">
        <v>1055</v>
      </c>
      <c r="E760" s="5" t="s">
        <v>55</v>
      </c>
      <c r="F760" s="5" t="s">
        <v>82</v>
      </c>
      <c r="G760" s="5" t="s">
        <v>83</v>
      </c>
      <c r="H760" s="5" t="s">
        <v>171</v>
      </c>
      <c r="I760" s="5" t="s">
        <v>39</v>
      </c>
      <c r="J760" s="5" t="s">
        <v>165</v>
      </c>
      <c r="K760" s="5">
        <v>6</v>
      </c>
      <c r="L760" s="5">
        <v>35000</v>
      </c>
      <c r="M760" s="5">
        <v>0.05</v>
      </c>
      <c r="N760" s="5">
        <v>199500</v>
      </c>
      <c r="O760" s="5">
        <v>138609.03</v>
      </c>
      <c r="P760" s="5">
        <v>60890.97</v>
      </c>
      <c r="Q760" s="5">
        <v>30.52</v>
      </c>
      <c r="R760" s="5" t="s">
        <v>41</v>
      </c>
      <c r="S760" s="5" t="s">
        <v>62</v>
      </c>
      <c r="T760" s="5" t="s">
        <v>118</v>
      </c>
      <c r="U760" s="5" t="s">
        <v>98</v>
      </c>
      <c r="V760" s="5">
        <v>2025</v>
      </c>
      <c r="W760" s="5" t="s">
        <v>126</v>
      </c>
      <c r="X760" s="5">
        <v>4</v>
      </c>
      <c r="Y760" s="1" t="s">
        <v>934</v>
      </c>
      <c r="Z760" s="5" t="s">
        <v>47</v>
      </c>
      <c r="AA760" s="5" t="s">
        <v>90</v>
      </c>
      <c r="AB760" s="5" t="s">
        <v>111</v>
      </c>
      <c r="AC760" s="5" t="s">
        <v>50</v>
      </c>
      <c r="AD760" s="5">
        <v>3</v>
      </c>
    </row>
    <row r="761" spans="1:30">
      <c r="A761" s="5" t="s">
        <v>1884</v>
      </c>
      <c r="B761" s="1">
        <v>45842</v>
      </c>
      <c r="C761" s="5" t="s">
        <v>626</v>
      </c>
      <c r="D761" s="5" t="s">
        <v>782</v>
      </c>
      <c r="E761" s="5" t="s">
        <v>55</v>
      </c>
      <c r="F761" s="5" t="s">
        <v>149</v>
      </c>
      <c r="G761" s="5" t="s">
        <v>150</v>
      </c>
      <c r="H761" s="5" t="s">
        <v>38</v>
      </c>
      <c r="I761" s="5" t="s">
        <v>84</v>
      </c>
      <c r="J761" s="5" t="s">
        <v>229</v>
      </c>
      <c r="K761" s="5">
        <v>7</v>
      </c>
      <c r="L761" s="5">
        <v>100</v>
      </c>
      <c r="M761" s="5">
        <v>0.1</v>
      </c>
      <c r="N761" s="5">
        <v>630</v>
      </c>
      <c r="O761" s="5">
        <v>449.13</v>
      </c>
      <c r="P761" s="5">
        <v>180.87</v>
      </c>
      <c r="Q761" s="5">
        <v>28.71</v>
      </c>
      <c r="R761" s="5" t="s">
        <v>73</v>
      </c>
      <c r="S761" s="5" t="s">
        <v>74</v>
      </c>
      <c r="T761" s="5" t="s">
        <v>43</v>
      </c>
      <c r="U761" s="5" t="s">
        <v>44</v>
      </c>
      <c r="V761" s="5">
        <v>2025</v>
      </c>
      <c r="W761" s="5" t="s">
        <v>126</v>
      </c>
      <c r="X761" s="5">
        <v>1</v>
      </c>
      <c r="Y761" s="1">
        <v>45873</v>
      </c>
      <c r="Z761" s="5" t="s">
        <v>110</v>
      </c>
      <c r="AA761" s="5" t="s">
        <v>67</v>
      </c>
      <c r="AB761" s="5" t="s">
        <v>49</v>
      </c>
      <c r="AC761" s="5" t="s">
        <v>121</v>
      </c>
      <c r="AD761" s="5">
        <v>2</v>
      </c>
    </row>
    <row r="762" spans="1:30">
      <c r="A762" s="5" t="s">
        <v>1885</v>
      </c>
      <c r="B762" s="1" t="s">
        <v>1744</v>
      </c>
      <c r="C762" s="5" t="s">
        <v>277</v>
      </c>
      <c r="D762" s="5" t="s">
        <v>1035</v>
      </c>
      <c r="E762" s="5" t="s">
        <v>35</v>
      </c>
      <c r="F762" s="5" t="s">
        <v>144</v>
      </c>
      <c r="G762" s="5" t="s">
        <v>145</v>
      </c>
      <c r="H762" s="5" t="s">
        <v>171</v>
      </c>
      <c r="I762" s="5" t="s">
        <v>84</v>
      </c>
      <c r="J762" s="5" t="s">
        <v>85</v>
      </c>
      <c r="K762" s="5">
        <v>10</v>
      </c>
      <c r="L762" s="5">
        <v>350</v>
      </c>
      <c r="M762" s="5">
        <v>0.1</v>
      </c>
      <c r="N762" s="5">
        <v>3150</v>
      </c>
      <c r="O762" s="5">
        <v>2214.6</v>
      </c>
      <c r="P762" s="5">
        <v>935.4</v>
      </c>
      <c r="Q762" s="5">
        <v>29.7</v>
      </c>
      <c r="R762" s="5" t="s">
        <v>106</v>
      </c>
      <c r="S762" s="5" t="s">
        <v>74</v>
      </c>
      <c r="T762" s="5" t="s">
        <v>118</v>
      </c>
      <c r="U762" s="5" t="s">
        <v>44</v>
      </c>
      <c r="V762" s="5">
        <v>2025</v>
      </c>
      <c r="W762" s="5" t="s">
        <v>65</v>
      </c>
      <c r="X762" s="5">
        <v>1</v>
      </c>
      <c r="Y762" s="1" t="s">
        <v>555</v>
      </c>
      <c r="Z762" s="5" t="s">
        <v>47</v>
      </c>
      <c r="AA762" s="5" t="s">
        <v>67</v>
      </c>
      <c r="AB762" s="5" t="s">
        <v>49</v>
      </c>
      <c r="AC762" s="5" t="s">
        <v>50</v>
      </c>
      <c r="AD762" s="5">
        <v>4</v>
      </c>
    </row>
    <row r="763" spans="1:30">
      <c r="A763" s="5" t="s">
        <v>1886</v>
      </c>
      <c r="B763" s="1">
        <v>45813</v>
      </c>
      <c r="C763" s="5" t="s">
        <v>1618</v>
      </c>
      <c r="D763" s="5" t="s">
        <v>1887</v>
      </c>
      <c r="E763" s="5" t="s">
        <v>103</v>
      </c>
      <c r="F763" s="5" t="s">
        <v>82</v>
      </c>
      <c r="G763" s="5" t="s">
        <v>83</v>
      </c>
      <c r="H763" s="5" t="s">
        <v>58</v>
      </c>
      <c r="I763" s="5" t="s">
        <v>71</v>
      </c>
      <c r="J763" s="5" t="s">
        <v>158</v>
      </c>
      <c r="K763" s="5">
        <v>10</v>
      </c>
      <c r="L763" s="5">
        <v>1200</v>
      </c>
      <c r="M763" s="5">
        <v>0.15</v>
      </c>
      <c r="N763" s="5">
        <v>10200</v>
      </c>
      <c r="O763" s="5">
        <v>6395.83</v>
      </c>
      <c r="P763" s="5">
        <v>3804.17</v>
      </c>
      <c r="Q763" s="5">
        <v>37.299999999999997</v>
      </c>
      <c r="R763" s="5" t="s">
        <v>106</v>
      </c>
      <c r="S763" s="5" t="s">
        <v>74</v>
      </c>
      <c r="T763" s="5" t="s">
        <v>63</v>
      </c>
      <c r="U763" s="5" t="s">
        <v>119</v>
      </c>
      <c r="V763" s="5">
        <v>2025</v>
      </c>
      <c r="W763" s="5" t="s">
        <v>109</v>
      </c>
      <c r="X763" s="5">
        <v>9</v>
      </c>
      <c r="Y763" s="1" t="s">
        <v>261</v>
      </c>
      <c r="Z763" s="5" t="s">
        <v>89</v>
      </c>
      <c r="AA763" s="5" t="s">
        <v>90</v>
      </c>
      <c r="AB763" s="5" t="s">
        <v>49</v>
      </c>
      <c r="AC763" s="5" t="s">
        <v>50</v>
      </c>
      <c r="AD763" s="5">
        <v>1</v>
      </c>
    </row>
    <row r="764" spans="1:30">
      <c r="A764" s="5" t="s">
        <v>1888</v>
      </c>
      <c r="B764" s="1" t="s">
        <v>1280</v>
      </c>
      <c r="C764" s="5" t="s">
        <v>1292</v>
      </c>
      <c r="D764" s="5" t="s">
        <v>403</v>
      </c>
      <c r="E764" s="5" t="s">
        <v>55</v>
      </c>
      <c r="F764" s="5" t="s">
        <v>116</v>
      </c>
      <c r="G764" s="5" t="s">
        <v>37</v>
      </c>
      <c r="H764" s="5" t="s">
        <v>94</v>
      </c>
      <c r="I764" s="5" t="s">
        <v>71</v>
      </c>
      <c r="J764" s="5" t="s">
        <v>158</v>
      </c>
      <c r="K764" s="5">
        <v>10</v>
      </c>
      <c r="L764" s="5">
        <v>1200</v>
      </c>
      <c r="M764" s="5">
        <v>0</v>
      </c>
      <c r="N764" s="5">
        <v>12000</v>
      </c>
      <c r="O764" s="5">
        <v>8692.2999999999993</v>
      </c>
      <c r="P764" s="5">
        <v>3307.7</v>
      </c>
      <c r="Q764" s="5">
        <v>27.56</v>
      </c>
      <c r="R764" s="5" t="s">
        <v>106</v>
      </c>
      <c r="S764" s="5" t="s">
        <v>62</v>
      </c>
      <c r="T764" s="5" t="s">
        <v>43</v>
      </c>
      <c r="U764" s="5" t="s">
        <v>98</v>
      </c>
      <c r="V764" s="5">
        <v>2024</v>
      </c>
      <c r="W764" s="5" t="s">
        <v>65</v>
      </c>
      <c r="X764" s="5">
        <v>6</v>
      </c>
      <c r="Y764" s="1">
        <v>45294</v>
      </c>
      <c r="Z764" s="5" t="s">
        <v>47</v>
      </c>
      <c r="AA764" s="5" t="s">
        <v>90</v>
      </c>
      <c r="AB764" s="5" t="s">
        <v>78</v>
      </c>
      <c r="AC764" s="5" t="s">
        <v>121</v>
      </c>
      <c r="AD764" s="5">
        <v>3</v>
      </c>
    </row>
    <row r="765" spans="1:30">
      <c r="A765" s="5" t="s">
        <v>1889</v>
      </c>
      <c r="B765" s="1" t="s">
        <v>1890</v>
      </c>
      <c r="C765" s="5" t="s">
        <v>827</v>
      </c>
      <c r="D765" s="5" t="s">
        <v>799</v>
      </c>
      <c r="E765" s="5" t="s">
        <v>103</v>
      </c>
      <c r="F765" s="5" t="s">
        <v>56</v>
      </c>
      <c r="G765" s="5" t="s">
        <v>57</v>
      </c>
      <c r="H765" s="5" t="s">
        <v>171</v>
      </c>
      <c r="I765" s="5" t="s">
        <v>95</v>
      </c>
      <c r="J765" s="5" t="s">
        <v>344</v>
      </c>
      <c r="K765" s="5">
        <v>1</v>
      </c>
      <c r="L765" s="5">
        <v>9000</v>
      </c>
      <c r="M765" s="5">
        <v>0.05</v>
      </c>
      <c r="N765" s="5">
        <v>8550</v>
      </c>
      <c r="O765" s="5">
        <v>6375.72</v>
      </c>
      <c r="P765" s="5">
        <v>2174.2800000000002</v>
      </c>
      <c r="Q765" s="5">
        <v>25.43</v>
      </c>
      <c r="R765" s="5" t="s">
        <v>61</v>
      </c>
      <c r="S765" s="5" t="s">
        <v>74</v>
      </c>
      <c r="T765" s="5" t="s">
        <v>63</v>
      </c>
      <c r="U765" s="5" t="s">
        <v>76</v>
      </c>
      <c r="V765" s="5">
        <v>2024</v>
      </c>
      <c r="W765" s="5" t="s">
        <v>126</v>
      </c>
      <c r="X765" s="5">
        <v>2</v>
      </c>
      <c r="Y765" s="1" t="s">
        <v>592</v>
      </c>
      <c r="Z765" s="5" t="s">
        <v>47</v>
      </c>
      <c r="AA765" s="5" t="s">
        <v>67</v>
      </c>
      <c r="AB765" s="5" t="s">
        <v>49</v>
      </c>
      <c r="AC765" s="5" t="s">
        <v>121</v>
      </c>
      <c r="AD765" s="5">
        <v>2</v>
      </c>
    </row>
    <row r="766" spans="1:30">
      <c r="A766" s="5" t="s">
        <v>1891</v>
      </c>
      <c r="B766" s="1" t="s">
        <v>1374</v>
      </c>
      <c r="C766" s="5" t="s">
        <v>691</v>
      </c>
      <c r="D766" s="5" t="s">
        <v>1166</v>
      </c>
      <c r="E766" s="5" t="s">
        <v>35</v>
      </c>
      <c r="F766" s="5" t="s">
        <v>36</v>
      </c>
      <c r="G766" s="5" t="s">
        <v>37</v>
      </c>
      <c r="H766" s="5" t="s">
        <v>58</v>
      </c>
      <c r="I766" s="5" t="s">
        <v>71</v>
      </c>
      <c r="J766" s="5" t="s">
        <v>158</v>
      </c>
      <c r="K766" s="5">
        <v>1</v>
      </c>
      <c r="L766" s="5">
        <v>700</v>
      </c>
      <c r="M766" s="5">
        <v>0.15</v>
      </c>
      <c r="N766" s="5">
        <v>595</v>
      </c>
      <c r="O766" s="5">
        <v>355.37</v>
      </c>
      <c r="P766" s="5">
        <v>239.63</v>
      </c>
      <c r="Q766" s="5">
        <v>40.270000000000003</v>
      </c>
      <c r="R766" s="5" t="s">
        <v>61</v>
      </c>
      <c r="S766" s="5" t="s">
        <v>42</v>
      </c>
      <c r="T766" s="5" t="s">
        <v>159</v>
      </c>
      <c r="U766" s="5" t="s">
        <v>178</v>
      </c>
      <c r="V766" s="5">
        <v>2025</v>
      </c>
      <c r="W766" s="5" t="s">
        <v>109</v>
      </c>
      <c r="X766" s="5">
        <v>8</v>
      </c>
      <c r="Y766" s="1" t="s">
        <v>1418</v>
      </c>
      <c r="Z766" s="5" t="s">
        <v>110</v>
      </c>
      <c r="AA766" s="5" t="s">
        <v>48</v>
      </c>
      <c r="AB766" s="5" t="s">
        <v>78</v>
      </c>
      <c r="AC766" s="5" t="s">
        <v>121</v>
      </c>
      <c r="AD766" s="5">
        <v>3</v>
      </c>
    </row>
    <row r="767" spans="1:30">
      <c r="A767" s="5" t="s">
        <v>1892</v>
      </c>
      <c r="B767" s="1" t="s">
        <v>480</v>
      </c>
      <c r="C767" s="5" t="s">
        <v>1117</v>
      </c>
      <c r="D767" s="5" t="s">
        <v>177</v>
      </c>
      <c r="E767" s="5" t="s">
        <v>55</v>
      </c>
      <c r="F767" s="5" t="s">
        <v>104</v>
      </c>
      <c r="G767" s="5" t="s">
        <v>104</v>
      </c>
      <c r="H767" s="5" t="s">
        <v>38</v>
      </c>
      <c r="I767" s="5" t="s">
        <v>84</v>
      </c>
      <c r="J767" s="5" t="s">
        <v>85</v>
      </c>
      <c r="K767" s="5">
        <v>4</v>
      </c>
      <c r="L767" s="5">
        <v>500</v>
      </c>
      <c r="M767" s="5">
        <v>0</v>
      </c>
      <c r="N767" s="5">
        <v>2000</v>
      </c>
      <c r="O767" s="5">
        <v>1551.11</v>
      </c>
      <c r="P767" s="5">
        <v>448.89</v>
      </c>
      <c r="Q767" s="5">
        <v>22.44</v>
      </c>
      <c r="R767" s="5" t="s">
        <v>106</v>
      </c>
      <c r="S767" s="5" t="s">
        <v>62</v>
      </c>
      <c r="T767" s="5" t="s">
        <v>97</v>
      </c>
      <c r="U767" s="5" t="s">
        <v>87</v>
      </c>
      <c r="V767" s="5">
        <v>2025</v>
      </c>
      <c r="W767" s="5" t="s">
        <v>126</v>
      </c>
      <c r="X767" s="5">
        <v>1</v>
      </c>
      <c r="Y767" s="1" t="s">
        <v>1006</v>
      </c>
      <c r="Z767" s="5" t="s">
        <v>89</v>
      </c>
      <c r="AA767" s="5" t="s">
        <v>90</v>
      </c>
      <c r="AB767" s="5" t="s">
        <v>111</v>
      </c>
      <c r="AC767" s="5" t="s">
        <v>50</v>
      </c>
      <c r="AD767" s="5">
        <v>4</v>
      </c>
    </row>
    <row r="768" spans="1:30">
      <c r="A768" s="5" t="s">
        <v>1893</v>
      </c>
      <c r="B768" s="1">
        <v>45845</v>
      </c>
      <c r="C768" s="5" t="s">
        <v>698</v>
      </c>
      <c r="D768" s="5" t="s">
        <v>512</v>
      </c>
      <c r="E768" s="5" t="s">
        <v>103</v>
      </c>
      <c r="F768" s="5" t="s">
        <v>56</v>
      </c>
      <c r="G768" s="5" t="s">
        <v>57</v>
      </c>
      <c r="H768" s="5" t="s">
        <v>94</v>
      </c>
      <c r="I768" s="5" t="s">
        <v>59</v>
      </c>
      <c r="J768" s="5" t="s">
        <v>206</v>
      </c>
      <c r="K768" s="5">
        <v>6</v>
      </c>
      <c r="L768" s="5">
        <v>1200</v>
      </c>
      <c r="M768" s="5">
        <v>0.2</v>
      </c>
      <c r="N768" s="5">
        <v>5760</v>
      </c>
      <c r="O768" s="5">
        <v>4311.38</v>
      </c>
      <c r="P768" s="5">
        <v>1448.62</v>
      </c>
      <c r="Q768" s="5">
        <v>25.15</v>
      </c>
      <c r="R768" s="5" t="s">
        <v>61</v>
      </c>
      <c r="S768" s="5" t="s">
        <v>62</v>
      </c>
      <c r="T768" s="5" t="s">
        <v>97</v>
      </c>
      <c r="U768" s="5" t="s">
        <v>151</v>
      </c>
      <c r="V768" s="5">
        <v>2025</v>
      </c>
      <c r="W768" s="5" t="s">
        <v>126</v>
      </c>
      <c r="X768" s="5">
        <v>3</v>
      </c>
      <c r="Y768" s="1">
        <v>45937</v>
      </c>
      <c r="Z768" s="5" t="s">
        <v>47</v>
      </c>
      <c r="AA768" s="5" t="s">
        <v>67</v>
      </c>
      <c r="AB768" s="5" t="s">
        <v>49</v>
      </c>
      <c r="AC768" s="5" t="s">
        <v>50</v>
      </c>
      <c r="AD768" s="5">
        <v>5</v>
      </c>
    </row>
    <row r="769" spans="1:30">
      <c r="A769" s="5" t="s">
        <v>1894</v>
      </c>
      <c r="B769" s="1" t="s">
        <v>1272</v>
      </c>
      <c r="C769" s="5" t="s">
        <v>491</v>
      </c>
      <c r="D769" s="5" t="s">
        <v>1011</v>
      </c>
      <c r="E769" s="5" t="s">
        <v>103</v>
      </c>
      <c r="F769" s="5" t="s">
        <v>156</v>
      </c>
      <c r="G769" s="5" t="s">
        <v>157</v>
      </c>
      <c r="H769" s="5" t="s">
        <v>38</v>
      </c>
      <c r="I769" s="5" t="s">
        <v>84</v>
      </c>
      <c r="J769" s="5" t="s">
        <v>290</v>
      </c>
      <c r="K769" s="5">
        <v>2</v>
      </c>
      <c r="L769" s="5">
        <v>800</v>
      </c>
      <c r="M769" s="5">
        <v>0.1</v>
      </c>
      <c r="N769" s="5">
        <v>1440</v>
      </c>
      <c r="O769" s="5">
        <v>1042.96</v>
      </c>
      <c r="P769" s="5">
        <v>397.04</v>
      </c>
      <c r="Q769" s="5">
        <v>27.57</v>
      </c>
      <c r="R769" s="5" t="s">
        <v>106</v>
      </c>
      <c r="S769" s="5" t="s">
        <v>62</v>
      </c>
      <c r="T769" s="5" t="s">
        <v>107</v>
      </c>
      <c r="U769" s="5" t="s">
        <v>119</v>
      </c>
      <c r="V769" s="5">
        <v>2024</v>
      </c>
      <c r="W769" s="5" t="s">
        <v>126</v>
      </c>
      <c r="X769" s="5">
        <v>6</v>
      </c>
      <c r="Y769" s="1" t="s">
        <v>1448</v>
      </c>
      <c r="Z769" s="5" t="s">
        <v>47</v>
      </c>
      <c r="AA769" s="5" t="s">
        <v>48</v>
      </c>
      <c r="AB769" s="5" t="s">
        <v>49</v>
      </c>
      <c r="AC769" s="5" t="s">
        <v>50</v>
      </c>
      <c r="AD769" s="5">
        <v>5</v>
      </c>
    </row>
    <row r="770" spans="1:30">
      <c r="A770" s="5" t="s">
        <v>1895</v>
      </c>
      <c r="B770" s="1">
        <v>45780</v>
      </c>
      <c r="C770" s="5" t="s">
        <v>1140</v>
      </c>
      <c r="D770" s="5" t="s">
        <v>1152</v>
      </c>
      <c r="E770" s="5" t="s">
        <v>35</v>
      </c>
      <c r="F770" s="5" t="s">
        <v>245</v>
      </c>
      <c r="G770" s="5" t="s">
        <v>246</v>
      </c>
      <c r="H770" s="5" t="s">
        <v>171</v>
      </c>
      <c r="I770" s="5" t="s">
        <v>59</v>
      </c>
      <c r="J770" s="5" t="s">
        <v>206</v>
      </c>
      <c r="K770" s="5">
        <v>4</v>
      </c>
      <c r="L770" s="5">
        <v>2000</v>
      </c>
      <c r="M770" s="5">
        <v>0</v>
      </c>
      <c r="N770" s="5">
        <v>8000</v>
      </c>
      <c r="O770" s="5">
        <v>5575.03</v>
      </c>
      <c r="P770" s="5">
        <v>2424.9699999999998</v>
      </c>
      <c r="Q770" s="5">
        <v>30.31</v>
      </c>
      <c r="R770" s="5" t="s">
        <v>41</v>
      </c>
      <c r="S770" s="5" t="s">
        <v>42</v>
      </c>
      <c r="T770" s="5" t="s">
        <v>118</v>
      </c>
      <c r="U770" s="5" t="s">
        <v>178</v>
      </c>
      <c r="V770" s="5">
        <v>2025</v>
      </c>
      <c r="W770" s="5" t="s">
        <v>134</v>
      </c>
      <c r="X770" s="5">
        <v>2</v>
      </c>
      <c r="Y770" s="1">
        <v>45841</v>
      </c>
      <c r="Z770" s="5" t="s">
        <v>89</v>
      </c>
      <c r="AA770" s="5" t="s">
        <v>48</v>
      </c>
      <c r="AB770" s="5" t="s">
        <v>49</v>
      </c>
      <c r="AC770" s="5" t="s">
        <v>50</v>
      </c>
      <c r="AD770" s="5">
        <v>4</v>
      </c>
    </row>
    <row r="771" spans="1:30">
      <c r="A771" s="5" t="s">
        <v>1896</v>
      </c>
      <c r="B771" s="1">
        <v>45727</v>
      </c>
      <c r="C771" s="5" t="s">
        <v>724</v>
      </c>
      <c r="D771" s="5" t="s">
        <v>998</v>
      </c>
      <c r="E771" s="5" t="s">
        <v>103</v>
      </c>
      <c r="F771" s="5" t="s">
        <v>36</v>
      </c>
      <c r="G771" s="5" t="s">
        <v>37</v>
      </c>
      <c r="H771" s="5" t="s">
        <v>94</v>
      </c>
      <c r="I771" s="5" t="s">
        <v>84</v>
      </c>
      <c r="J771" s="5" t="s">
        <v>229</v>
      </c>
      <c r="K771" s="5">
        <v>9</v>
      </c>
      <c r="L771" s="5">
        <v>500</v>
      </c>
      <c r="M771" s="5">
        <v>0.2</v>
      </c>
      <c r="N771" s="5">
        <v>3600</v>
      </c>
      <c r="O771" s="5">
        <v>2540.86</v>
      </c>
      <c r="P771" s="5">
        <v>1059.1400000000001</v>
      </c>
      <c r="Q771" s="5">
        <v>29.42</v>
      </c>
      <c r="R771" s="5" t="s">
        <v>73</v>
      </c>
      <c r="S771" s="5" t="s">
        <v>42</v>
      </c>
      <c r="T771" s="5" t="s">
        <v>86</v>
      </c>
      <c r="U771" s="5" t="s">
        <v>198</v>
      </c>
      <c r="V771" s="5">
        <v>2025</v>
      </c>
      <c r="W771" s="5" t="s">
        <v>126</v>
      </c>
      <c r="X771" s="5">
        <v>7</v>
      </c>
      <c r="Y771" s="1">
        <v>45941</v>
      </c>
      <c r="Z771" s="5" t="s">
        <v>47</v>
      </c>
      <c r="AA771" s="5" t="s">
        <v>48</v>
      </c>
      <c r="AB771" s="5" t="s">
        <v>49</v>
      </c>
      <c r="AC771" s="5" t="s">
        <v>121</v>
      </c>
      <c r="AD771" s="5">
        <v>4</v>
      </c>
    </row>
    <row r="772" spans="1:30">
      <c r="A772" s="5" t="s">
        <v>1897</v>
      </c>
      <c r="B772" s="1">
        <v>45330</v>
      </c>
      <c r="C772" s="5" t="s">
        <v>1464</v>
      </c>
      <c r="D772" s="5" t="s">
        <v>216</v>
      </c>
      <c r="E772" s="5" t="s">
        <v>35</v>
      </c>
      <c r="F772" s="5" t="s">
        <v>245</v>
      </c>
      <c r="G772" s="5" t="s">
        <v>246</v>
      </c>
      <c r="H772" s="5" t="s">
        <v>171</v>
      </c>
      <c r="I772" s="5" t="s">
        <v>39</v>
      </c>
      <c r="J772" s="5" t="s">
        <v>40</v>
      </c>
      <c r="K772" s="5">
        <v>4</v>
      </c>
      <c r="L772" s="5">
        <v>22000</v>
      </c>
      <c r="M772" s="5">
        <v>0.1</v>
      </c>
      <c r="N772" s="5">
        <v>79200</v>
      </c>
      <c r="O772" s="5">
        <v>63907.96</v>
      </c>
      <c r="P772" s="5">
        <v>15292.04</v>
      </c>
      <c r="Q772" s="5">
        <v>19.309999999999999</v>
      </c>
      <c r="R772" s="5" t="s">
        <v>106</v>
      </c>
      <c r="S772" s="5" t="s">
        <v>74</v>
      </c>
      <c r="T772" s="5" t="s">
        <v>118</v>
      </c>
      <c r="U772" s="5" t="s">
        <v>218</v>
      </c>
      <c r="V772" s="5">
        <v>2024</v>
      </c>
      <c r="W772" s="5" t="s">
        <v>194</v>
      </c>
      <c r="X772" s="5">
        <v>9</v>
      </c>
      <c r="Y772" s="1">
        <v>45604</v>
      </c>
      <c r="Z772" s="5" t="s">
        <v>47</v>
      </c>
      <c r="AA772" s="5" t="s">
        <v>48</v>
      </c>
      <c r="AB772" s="5" t="s">
        <v>49</v>
      </c>
      <c r="AC772" s="5" t="s">
        <v>121</v>
      </c>
      <c r="AD772" s="5">
        <v>3</v>
      </c>
    </row>
    <row r="773" spans="1:30">
      <c r="A773" s="5" t="s">
        <v>1898</v>
      </c>
      <c r="B773" s="1">
        <v>45597</v>
      </c>
      <c r="C773" s="5" t="s">
        <v>1399</v>
      </c>
      <c r="D773" s="5" t="s">
        <v>1154</v>
      </c>
      <c r="E773" s="5" t="s">
        <v>55</v>
      </c>
      <c r="F773" s="5" t="s">
        <v>56</v>
      </c>
      <c r="G773" s="5" t="s">
        <v>57</v>
      </c>
      <c r="H773" s="5" t="s">
        <v>94</v>
      </c>
      <c r="I773" s="5" t="s">
        <v>39</v>
      </c>
      <c r="J773" s="5" t="s">
        <v>253</v>
      </c>
      <c r="K773" s="5">
        <v>6</v>
      </c>
      <c r="L773" s="5">
        <v>50000</v>
      </c>
      <c r="M773" s="5">
        <v>0.15</v>
      </c>
      <c r="N773" s="5">
        <v>255000</v>
      </c>
      <c r="O773" s="5">
        <v>163877.23000000001</v>
      </c>
      <c r="P773" s="5">
        <v>91122.77</v>
      </c>
      <c r="Q773" s="5">
        <v>35.729999999999997</v>
      </c>
      <c r="R773" s="5" t="s">
        <v>41</v>
      </c>
      <c r="S773" s="5" t="s">
        <v>42</v>
      </c>
      <c r="T773" s="5" t="s">
        <v>43</v>
      </c>
      <c r="U773" s="5" t="s">
        <v>76</v>
      </c>
      <c r="V773" s="5">
        <v>2024</v>
      </c>
      <c r="W773" s="5" t="s">
        <v>139</v>
      </c>
      <c r="X773" s="5">
        <v>10</v>
      </c>
      <c r="Y773" s="1" t="s">
        <v>1303</v>
      </c>
      <c r="Z773" s="5" t="s">
        <v>47</v>
      </c>
      <c r="AA773" s="5" t="s">
        <v>48</v>
      </c>
      <c r="AB773" s="5" t="s">
        <v>78</v>
      </c>
      <c r="AC773" s="5" t="s">
        <v>121</v>
      </c>
      <c r="AD773" s="5">
        <v>4</v>
      </c>
    </row>
    <row r="774" spans="1:30">
      <c r="A774" s="5" t="s">
        <v>1899</v>
      </c>
      <c r="B774" s="1">
        <v>45784</v>
      </c>
      <c r="C774" s="5" t="s">
        <v>805</v>
      </c>
      <c r="D774" s="5" t="s">
        <v>355</v>
      </c>
      <c r="E774" s="5" t="s">
        <v>55</v>
      </c>
      <c r="F774" s="5" t="s">
        <v>82</v>
      </c>
      <c r="G774" s="5" t="s">
        <v>83</v>
      </c>
      <c r="H774" s="5" t="s">
        <v>58</v>
      </c>
      <c r="I774" s="5" t="s">
        <v>84</v>
      </c>
      <c r="J774" s="5" t="s">
        <v>390</v>
      </c>
      <c r="K774" s="5">
        <v>5</v>
      </c>
      <c r="L774" s="5">
        <v>500</v>
      </c>
      <c r="M774" s="5">
        <v>0.15</v>
      </c>
      <c r="N774" s="5">
        <v>2125</v>
      </c>
      <c r="O774" s="5">
        <v>1563.83</v>
      </c>
      <c r="P774" s="5">
        <v>561.16999999999996</v>
      </c>
      <c r="Q774" s="5">
        <v>26.41</v>
      </c>
      <c r="R774" s="5" t="s">
        <v>166</v>
      </c>
      <c r="S774" s="5" t="s">
        <v>74</v>
      </c>
      <c r="T774" s="5" t="s">
        <v>138</v>
      </c>
      <c r="U774" s="5" t="s">
        <v>151</v>
      </c>
      <c r="V774" s="5">
        <v>2025</v>
      </c>
      <c r="W774" s="5" t="s">
        <v>65</v>
      </c>
      <c r="X774" s="5">
        <v>2</v>
      </c>
      <c r="Y774" s="1">
        <v>45845</v>
      </c>
      <c r="Z774" s="5" t="s">
        <v>110</v>
      </c>
      <c r="AA774" s="5" t="s">
        <v>90</v>
      </c>
      <c r="AB774" s="5" t="s">
        <v>78</v>
      </c>
      <c r="AC774" s="5" t="s">
        <v>50</v>
      </c>
      <c r="AD774" s="5">
        <v>5</v>
      </c>
    </row>
    <row r="775" spans="1:30">
      <c r="A775" s="5" t="s">
        <v>1900</v>
      </c>
      <c r="B775" s="1">
        <v>45608</v>
      </c>
      <c r="C775" s="5" t="s">
        <v>1142</v>
      </c>
      <c r="D775" s="5" t="s">
        <v>1402</v>
      </c>
      <c r="E775" s="5" t="s">
        <v>103</v>
      </c>
      <c r="F775" s="5" t="s">
        <v>36</v>
      </c>
      <c r="G775" s="5" t="s">
        <v>37</v>
      </c>
      <c r="H775" s="5" t="s">
        <v>94</v>
      </c>
      <c r="I775" s="5" t="s">
        <v>39</v>
      </c>
      <c r="J775" s="5" t="s">
        <v>105</v>
      </c>
      <c r="K775" s="5">
        <v>2</v>
      </c>
      <c r="L775" s="5">
        <v>22000</v>
      </c>
      <c r="M775" s="5">
        <v>0.15</v>
      </c>
      <c r="N775" s="5">
        <v>37400</v>
      </c>
      <c r="O775" s="5">
        <v>30506.43</v>
      </c>
      <c r="P775" s="5">
        <v>6893.57</v>
      </c>
      <c r="Q775" s="5">
        <v>18.43</v>
      </c>
      <c r="R775" s="5" t="s">
        <v>73</v>
      </c>
      <c r="S775" s="5" t="s">
        <v>42</v>
      </c>
      <c r="T775" s="5" t="s">
        <v>75</v>
      </c>
      <c r="U775" s="5" t="s">
        <v>64</v>
      </c>
      <c r="V775" s="5">
        <v>2024</v>
      </c>
      <c r="W775" s="5" t="s">
        <v>134</v>
      </c>
      <c r="X775" s="5">
        <v>4</v>
      </c>
      <c r="Y775" s="1" t="s">
        <v>1791</v>
      </c>
      <c r="Z775" s="5" t="s">
        <v>89</v>
      </c>
      <c r="AA775" s="5" t="s">
        <v>90</v>
      </c>
      <c r="AB775" s="5" t="s">
        <v>49</v>
      </c>
      <c r="AC775" s="5" t="s">
        <v>121</v>
      </c>
      <c r="AD775" s="5">
        <v>5</v>
      </c>
    </row>
    <row r="776" spans="1:30">
      <c r="A776" s="5" t="s">
        <v>1901</v>
      </c>
      <c r="B776" s="1" t="s">
        <v>1744</v>
      </c>
      <c r="C776" s="5" t="s">
        <v>1082</v>
      </c>
      <c r="D776" s="5" t="s">
        <v>1175</v>
      </c>
      <c r="E776" s="5" t="s">
        <v>103</v>
      </c>
      <c r="F776" s="5" t="s">
        <v>104</v>
      </c>
      <c r="G776" s="5" t="s">
        <v>104</v>
      </c>
      <c r="H776" s="5" t="s">
        <v>58</v>
      </c>
      <c r="I776" s="5" t="s">
        <v>59</v>
      </c>
      <c r="J776" s="5" t="s">
        <v>133</v>
      </c>
      <c r="K776" s="5">
        <v>2</v>
      </c>
      <c r="L776" s="5">
        <v>3000</v>
      </c>
      <c r="M776" s="5">
        <v>0.05</v>
      </c>
      <c r="N776" s="5">
        <v>5700</v>
      </c>
      <c r="O776" s="5">
        <v>3732.41</v>
      </c>
      <c r="P776" s="5">
        <v>1967.59</v>
      </c>
      <c r="Q776" s="5">
        <v>34.520000000000003</v>
      </c>
      <c r="R776" s="5" t="s">
        <v>41</v>
      </c>
      <c r="S776" s="5" t="s">
        <v>62</v>
      </c>
      <c r="T776" s="5" t="s">
        <v>118</v>
      </c>
      <c r="U776" s="5" t="s">
        <v>44</v>
      </c>
      <c r="V776" s="5">
        <v>2025</v>
      </c>
      <c r="W776" s="5" t="s">
        <v>65</v>
      </c>
      <c r="X776" s="5">
        <v>5</v>
      </c>
      <c r="Y776" s="1" t="s">
        <v>1106</v>
      </c>
      <c r="Z776" s="5" t="s">
        <v>89</v>
      </c>
      <c r="AA776" s="5" t="s">
        <v>67</v>
      </c>
      <c r="AB776" s="5" t="s">
        <v>78</v>
      </c>
      <c r="AC776" s="5" t="s">
        <v>121</v>
      </c>
      <c r="AD776" s="5">
        <v>1</v>
      </c>
    </row>
    <row r="777" spans="1:30">
      <c r="A777" s="5" t="s">
        <v>1902</v>
      </c>
      <c r="B777" s="1" t="s">
        <v>460</v>
      </c>
      <c r="C777" s="5" t="s">
        <v>1426</v>
      </c>
      <c r="D777" s="5" t="s">
        <v>620</v>
      </c>
      <c r="E777" s="5" t="s">
        <v>103</v>
      </c>
      <c r="F777" s="5" t="s">
        <v>116</v>
      </c>
      <c r="G777" s="5" t="s">
        <v>37</v>
      </c>
      <c r="H777" s="5" t="s">
        <v>38</v>
      </c>
      <c r="I777" s="5" t="s">
        <v>59</v>
      </c>
      <c r="J777" s="5" t="s">
        <v>60</v>
      </c>
      <c r="K777" s="5">
        <v>7</v>
      </c>
      <c r="L777" s="5">
        <v>500</v>
      </c>
      <c r="M777" s="5">
        <v>0.05</v>
      </c>
      <c r="N777" s="5">
        <v>3325</v>
      </c>
      <c r="O777" s="5">
        <v>2265.2800000000002</v>
      </c>
      <c r="P777" s="5">
        <v>1059.72</v>
      </c>
      <c r="Q777" s="5">
        <v>31.87</v>
      </c>
      <c r="R777" s="5" t="s">
        <v>166</v>
      </c>
      <c r="S777" s="5" t="s">
        <v>74</v>
      </c>
      <c r="T777" s="5" t="s">
        <v>159</v>
      </c>
      <c r="U777" s="5" t="s">
        <v>178</v>
      </c>
      <c r="V777" s="5">
        <v>2024</v>
      </c>
      <c r="W777" s="5" t="s">
        <v>109</v>
      </c>
      <c r="X777" s="5">
        <v>4</v>
      </c>
      <c r="Y777" s="1" t="s">
        <v>1165</v>
      </c>
      <c r="Z777" s="5" t="s">
        <v>110</v>
      </c>
      <c r="AA777" s="5" t="s">
        <v>90</v>
      </c>
      <c r="AB777" s="5" t="s">
        <v>49</v>
      </c>
      <c r="AC777" s="5" t="s">
        <v>50</v>
      </c>
      <c r="AD777" s="5">
        <v>5</v>
      </c>
    </row>
    <row r="778" spans="1:30">
      <c r="A778" s="5" t="s">
        <v>1903</v>
      </c>
      <c r="B778" s="1" t="s">
        <v>1110</v>
      </c>
      <c r="C778" s="5" t="s">
        <v>176</v>
      </c>
      <c r="D778" s="5" t="s">
        <v>1311</v>
      </c>
      <c r="E778" s="5" t="s">
        <v>103</v>
      </c>
      <c r="F778" s="5" t="s">
        <v>56</v>
      </c>
      <c r="G778" s="5" t="s">
        <v>57</v>
      </c>
      <c r="H778" s="5" t="s">
        <v>94</v>
      </c>
      <c r="I778" s="5" t="s">
        <v>95</v>
      </c>
      <c r="J778" s="5" t="s">
        <v>440</v>
      </c>
      <c r="K778" s="5">
        <v>2</v>
      </c>
      <c r="L778" s="5">
        <v>2500</v>
      </c>
      <c r="M778" s="5">
        <v>0.05</v>
      </c>
      <c r="N778" s="5">
        <v>4750</v>
      </c>
      <c r="O778" s="5">
        <v>3334.25</v>
      </c>
      <c r="P778" s="5">
        <v>1415.75</v>
      </c>
      <c r="Q778" s="5">
        <v>29.81</v>
      </c>
      <c r="R778" s="5" t="s">
        <v>106</v>
      </c>
      <c r="S778" s="5" t="s">
        <v>42</v>
      </c>
      <c r="T778" s="5" t="s">
        <v>107</v>
      </c>
      <c r="U778" s="5" t="s">
        <v>119</v>
      </c>
      <c r="V778" s="5">
        <v>2024</v>
      </c>
      <c r="W778" s="5" t="s">
        <v>134</v>
      </c>
      <c r="X778" s="5">
        <v>3</v>
      </c>
      <c r="Y778" s="1" t="s">
        <v>1277</v>
      </c>
      <c r="Z778" s="5" t="s">
        <v>89</v>
      </c>
      <c r="AA778" s="5" t="s">
        <v>48</v>
      </c>
      <c r="AB778" s="5" t="s">
        <v>78</v>
      </c>
      <c r="AC778" s="5" t="s">
        <v>121</v>
      </c>
      <c r="AD778" s="5">
        <v>4</v>
      </c>
    </row>
    <row r="779" spans="1:30">
      <c r="A779" s="5" t="s">
        <v>1904</v>
      </c>
      <c r="B779" s="1">
        <v>45538</v>
      </c>
      <c r="C779" s="5" t="s">
        <v>1321</v>
      </c>
      <c r="D779" s="5" t="s">
        <v>130</v>
      </c>
      <c r="E779" s="5" t="s">
        <v>55</v>
      </c>
      <c r="F779" s="5" t="s">
        <v>56</v>
      </c>
      <c r="G779" s="5" t="s">
        <v>57</v>
      </c>
      <c r="H779" s="5" t="s">
        <v>38</v>
      </c>
      <c r="I779" s="5" t="s">
        <v>39</v>
      </c>
      <c r="J779" s="5" t="s">
        <v>40</v>
      </c>
      <c r="K779" s="5">
        <v>7</v>
      </c>
      <c r="L779" s="5">
        <v>35000</v>
      </c>
      <c r="M779" s="5">
        <v>0.15</v>
      </c>
      <c r="N779" s="5">
        <v>208250</v>
      </c>
      <c r="O779" s="5">
        <v>129312.71</v>
      </c>
      <c r="P779" s="5">
        <v>78937.289999999994</v>
      </c>
      <c r="Q779" s="5">
        <v>37.909999999999997</v>
      </c>
      <c r="R779" s="5" t="s">
        <v>73</v>
      </c>
      <c r="S779" s="5" t="s">
        <v>74</v>
      </c>
      <c r="T779" s="5" t="s">
        <v>43</v>
      </c>
      <c r="U779" s="5" t="s">
        <v>178</v>
      </c>
      <c r="V779" s="5">
        <v>2024</v>
      </c>
      <c r="W779" s="5" t="s">
        <v>65</v>
      </c>
      <c r="X779" s="5">
        <v>2</v>
      </c>
      <c r="Y779" s="1">
        <v>45599</v>
      </c>
      <c r="Z779" s="5" t="s">
        <v>47</v>
      </c>
      <c r="AA779" s="5" t="s">
        <v>90</v>
      </c>
      <c r="AB779" s="5" t="s">
        <v>49</v>
      </c>
      <c r="AC779" s="5" t="s">
        <v>121</v>
      </c>
      <c r="AD779" s="5">
        <v>2</v>
      </c>
    </row>
    <row r="780" spans="1:30">
      <c r="A780" s="5" t="s">
        <v>1905</v>
      </c>
      <c r="B780" s="1">
        <v>45538</v>
      </c>
      <c r="C780" s="5" t="s">
        <v>801</v>
      </c>
      <c r="D780" s="5" t="s">
        <v>1063</v>
      </c>
      <c r="E780" s="5" t="s">
        <v>35</v>
      </c>
      <c r="F780" s="5" t="s">
        <v>56</v>
      </c>
      <c r="G780" s="5" t="s">
        <v>57</v>
      </c>
      <c r="H780" s="5" t="s">
        <v>38</v>
      </c>
      <c r="I780" s="5" t="s">
        <v>59</v>
      </c>
      <c r="J780" s="5" t="s">
        <v>60</v>
      </c>
      <c r="K780" s="5">
        <v>9</v>
      </c>
      <c r="L780" s="5">
        <v>1200</v>
      </c>
      <c r="M780" s="5">
        <v>0.15</v>
      </c>
      <c r="N780" s="5">
        <v>9180</v>
      </c>
      <c r="O780" s="5">
        <v>6073.3</v>
      </c>
      <c r="P780" s="5">
        <v>3106.7</v>
      </c>
      <c r="Q780" s="5">
        <v>33.840000000000003</v>
      </c>
      <c r="R780" s="5" t="s">
        <v>61</v>
      </c>
      <c r="S780" s="5" t="s">
        <v>74</v>
      </c>
      <c r="T780" s="5" t="s">
        <v>75</v>
      </c>
      <c r="U780" s="5" t="s">
        <v>178</v>
      </c>
      <c r="V780" s="5">
        <v>2024</v>
      </c>
      <c r="W780" s="5" t="s">
        <v>65</v>
      </c>
      <c r="X780" s="5">
        <v>3</v>
      </c>
      <c r="Y780" s="1">
        <v>45629</v>
      </c>
      <c r="Z780" s="5" t="s">
        <v>89</v>
      </c>
      <c r="AA780" s="5" t="s">
        <v>90</v>
      </c>
      <c r="AB780" s="5" t="s">
        <v>78</v>
      </c>
      <c r="AC780" s="5" t="s">
        <v>121</v>
      </c>
      <c r="AD780" s="5">
        <v>5</v>
      </c>
    </row>
    <row r="781" spans="1:30">
      <c r="A781" s="5" t="s">
        <v>1906</v>
      </c>
      <c r="B781" s="1">
        <v>45566</v>
      </c>
      <c r="C781" s="5" t="s">
        <v>1799</v>
      </c>
      <c r="D781" s="5" t="s">
        <v>554</v>
      </c>
      <c r="E781" s="5" t="s">
        <v>35</v>
      </c>
      <c r="F781" s="5" t="s">
        <v>104</v>
      </c>
      <c r="G781" s="5" t="s">
        <v>104</v>
      </c>
      <c r="H781" s="5" t="s">
        <v>38</v>
      </c>
      <c r="I781" s="5" t="s">
        <v>39</v>
      </c>
      <c r="J781" s="5" t="s">
        <v>165</v>
      </c>
      <c r="K781" s="5">
        <v>5</v>
      </c>
      <c r="L781" s="5">
        <v>35000</v>
      </c>
      <c r="M781" s="5">
        <v>0.2</v>
      </c>
      <c r="N781" s="5">
        <v>140000</v>
      </c>
      <c r="O781" s="5">
        <v>89078.2</v>
      </c>
      <c r="P781" s="5">
        <v>50921.8</v>
      </c>
      <c r="Q781" s="5">
        <v>36.369999999999997</v>
      </c>
      <c r="R781" s="5" t="s">
        <v>166</v>
      </c>
      <c r="S781" s="5" t="s">
        <v>62</v>
      </c>
      <c r="T781" s="5" t="s">
        <v>138</v>
      </c>
      <c r="U781" s="5" t="s">
        <v>76</v>
      </c>
      <c r="V781" s="5">
        <v>2024</v>
      </c>
      <c r="W781" s="5" t="s">
        <v>134</v>
      </c>
      <c r="X781" s="5">
        <v>5</v>
      </c>
      <c r="Y781" s="1" t="s">
        <v>1890</v>
      </c>
      <c r="Z781" s="5" t="s">
        <v>47</v>
      </c>
      <c r="AA781" s="5" t="s">
        <v>90</v>
      </c>
      <c r="AB781" s="5" t="s">
        <v>49</v>
      </c>
      <c r="AC781" s="5" t="s">
        <v>121</v>
      </c>
      <c r="AD781" s="5">
        <v>4</v>
      </c>
    </row>
    <row r="782" spans="1:30">
      <c r="A782" s="5" t="s">
        <v>1907</v>
      </c>
      <c r="B782" s="1" t="s">
        <v>1472</v>
      </c>
      <c r="C782" s="5" t="s">
        <v>633</v>
      </c>
      <c r="D782" s="5" t="s">
        <v>1193</v>
      </c>
      <c r="E782" s="5" t="s">
        <v>35</v>
      </c>
      <c r="F782" s="5" t="s">
        <v>131</v>
      </c>
      <c r="G782" s="5" t="s">
        <v>132</v>
      </c>
      <c r="H782" s="5" t="s">
        <v>94</v>
      </c>
      <c r="I782" s="5" t="s">
        <v>59</v>
      </c>
      <c r="J782" s="5" t="s">
        <v>328</v>
      </c>
      <c r="K782" s="5">
        <v>3</v>
      </c>
      <c r="L782" s="5">
        <v>800</v>
      </c>
      <c r="M782" s="5">
        <v>0.2</v>
      </c>
      <c r="N782" s="5">
        <v>1920</v>
      </c>
      <c r="O782" s="5">
        <v>1322.14</v>
      </c>
      <c r="P782" s="5">
        <v>597.86</v>
      </c>
      <c r="Q782" s="5">
        <v>31.14</v>
      </c>
      <c r="R782" s="5" t="s">
        <v>61</v>
      </c>
      <c r="S782" s="5" t="s">
        <v>74</v>
      </c>
      <c r="T782" s="5" t="s">
        <v>159</v>
      </c>
      <c r="U782" s="5" t="s">
        <v>119</v>
      </c>
      <c r="V782" s="5">
        <v>2024</v>
      </c>
      <c r="W782" s="5" t="s">
        <v>109</v>
      </c>
      <c r="X782" s="5">
        <v>2</v>
      </c>
      <c r="Y782" s="1" t="s">
        <v>1278</v>
      </c>
      <c r="Z782" s="5" t="s">
        <v>110</v>
      </c>
      <c r="AA782" s="5" t="s">
        <v>67</v>
      </c>
      <c r="AB782" s="5" t="s">
        <v>49</v>
      </c>
      <c r="AC782" s="5" t="s">
        <v>50</v>
      </c>
      <c r="AD782" s="5">
        <v>1</v>
      </c>
    </row>
    <row r="783" spans="1:30">
      <c r="A783" s="5" t="s">
        <v>1908</v>
      </c>
      <c r="B783" s="1">
        <v>45781</v>
      </c>
      <c r="C783" s="5" t="s">
        <v>908</v>
      </c>
      <c r="D783" s="5" t="s">
        <v>855</v>
      </c>
      <c r="E783" s="5" t="s">
        <v>103</v>
      </c>
      <c r="F783" s="5" t="s">
        <v>82</v>
      </c>
      <c r="G783" s="5" t="s">
        <v>83</v>
      </c>
      <c r="H783" s="5" t="s">
        <v>94</v>
      </c>
      <c r="I783" s="5" t="s">
        <v>71</v>
      </c>
      <c r="J783" s="5" t="s">
        <v>72</v>
      </c>
      <c r="K783" s="5">
        <v>4</v>
      </c>
      <c r="L783" s="5">
        <v>1800</v>
      </c>
      <c r="M783" s="5">
        <v>0.15</v>
      </c>
      <c r="N783" s="5">
        <v>6120</v>
      </c>
      <c r="O783" s="5">
        <v>4603</v>
      </c>
      <c r="P783" s="5">
        <v>1517</v>
      </c>
      <c r="Q783" s="5">
        <v>24.79</v>
      </c>
      <c r="R783" s="5" t="s">
        <v>73</v>
      </c>
      <c r="S783" s="5" t="s">
        <v>74</v>
      </c>
      <c r="T783" s="5" t="s">
        <v>63</v>
      </c>
      <c r="U783" s="5" t="s">
        <v>44</v>
      </c>
      <c r="V783" s="5">
        <v>2025</v>
      </c>
      <c r="W783" s="5" t="s">
        <v>65</v>
      </c>
      <c r="X783" s="5">
        <v>10</v>
      </c>
      <c r="Y783" s="1" t="s">
        <v>1359</v>
      </c>
      <c r="Z783" s="5" t="s">
        <v>47</v>
      </c>
      <c r="AA783" s="5" t="s">
        <v>48</v>
      </c>
      <c r="AB783" s="5" t="s">
        <v>78</v>
      </c>
      <c r="AC783" s="5" t="s">
        <v>50</v>
      </c>
      <c r="AD783" s="5">
        <v>1</v>
      </c>
    </row>
    <row r="784" spans="1:30">
      <c r="A784" s="5" t="s">
        <v>1909</v>
      </c>
      <c r="B784" s="1" t="s">
        <v>721</v>
      </c>
      <c r="C784" s="5" t="s">
        <v>846</v>
      </c>
      <c r="D784" s="5" t="s">
        <v>1127</v>
      </c>
      <c r="E784" s="5" t="s">
        <v>103</v>
      </c>
      <c r="F784" s="5" t="s">
        <v>156</v>
      </c>
      <c r="G784" s="5" t="s">
        <v>157</v>
      </c>
      <c r="H784" s="5" t="s">
        <v>171</v>
      </c>
      <c r="I784" s="5" t="s">
        <v>59</v>
      </c>
      <c r="J784" s="5" t="s">
        <v>328</v>
      </c>
      <c r="K784" s="5">
        <v>7</v>
      </c>
      <c r="L784" s="5">
        <v>500</v>
      </c>
      <c r="M784" s="5">
        <v>0.2</v>
      </c>
      <c r="N784" s="5">
        <v>2800</v>
      </c>
      <c r="O784" s="5">
        <v>1819.36</v>
      </c>
      <c r="P784" s="5">
        <v>980.64</v>
      </c>
      <c r="Q784" s="5">
        <v>35.020000000000003</v>
      </c>
      <c r="R784" s="5" t="s">
        <v>61</v>
      </c>
      <c r="S784" s="5" t="s">
        <v>42</v>
      </c>
      <c r="T784" s="5" t="s">
        <v>63</v>
      </c>
      <c r="U784" s="5" t="s">
        <v>178</v>
      </c>
      <c r="V784" s="5">
        <v>2024</v>
      </c>
      <c r="W784" s="5" t="s">
        <v>134</v>
      </c>
      <c r="X784" s="5">
        <v>3</v>
      </c>
      <c r="Y784" s="1" t="s">
        <v>1188</v>
      </c>
      <c r="Z784" s="5" t="s">
        <v>47</v>
      </c>
      <c r="AA784" s="5" t="s">
        <v>67</v>
      </c>
      <c r="AB784" s="5" t="s">
        <v>78</v>
      </c>
      <c r="AC784" s="5" t="s">
        <v>50</v>
      </c>
      <c r="AD784" s="5">
        <v>5</v>
      </c>
    </row>
    <row r="785" spans="1:30">
      <c r="A785" s="5" t="s">
        <v>1910</v>
      </c>
      <c r="B785" s="1">
        <v>45849</v>
      </c>
      <c r="C785" s="5" t="s">
        <v>342</v>
      </c>
      <c r="D785" s="5" t="s">
        <v>1311</v>
      </c>
      <c r="E785" s="5" t="s">
        <v>103</v>
      </c>
      <c r="F785" s="5" t="s">
        <v>56</v>
      </c>
      <c r="G785" s="5" t="s">
        <v>57</v>
      </c>
      <c r="H785" s="5" t="s">
        <v>58</v>
      </c>
      <c r="I785" s="5" t="s">
        <v>71</v>
      </c>
      <c r="J785" s="5" t="s">
        <v>172</v>
      </c>
      <c r="K785" s="5">
        <v>9</v>
      </c>
      <c r="L785" s="5">
        <v>3500</v>
      </c>
      <c r="M785" s="5">
        <v>0.2</v>
      </c>
      <c r="N785" s="5">
        <v>25200</v>
      </c>
      <c r="O785" s="5">
        <v>17053.310000000001</v>
      </c>
      <c r="P785" s="5">
        <v>8146.69</v>
      </c>
      <c r="Q785" s="5">
        <v>32.33</v>
      </c>
      <c r="R785" s="5" t="s">
        <v>61</v>
      </c>
      <c r="S785" s="5" t="s">
        <v>42</v>
      </c>
      <c r="T785" s="5" t="s">
        <v>159</v>
      </c>
      <c r="U785" s="5" t="s">
        <v>198</v>
      </c>
      <c r="V785" s="5">
        <v>2025</v>
      </c>
      <c r="W785" s="5" t="s">
        <v>194</v>
      </c>
      <c r="X785" s="5">
        <v>10</v>
      </c>
      <c r="Y785" s="1" t="s">
        <v>207</v>
      </c>
      <c r="Z785" s="5" t="s">
        <v>47</v>
      </c>
      <c r="AA785" s="5" t="s">
        <v>67</v>
      </c>
      <c r="AB785" s="5" t="s">
        <v>78</v>
      </c>
      <c r="AC785" s="5" t="s">
        <v>121</v>
      </c>
      <c r="AD785" s="5">
        <v>3</v>
      </c>
    </row>
    <row r="786" spans="1:30">
      <c r="A786" s="5" t="s">
        <v>1911</v>
      </c>
      <c r="B786" s="1" t="s">
        <v>1912</v>
      </c>
      <c r="C786" s="5" t="s">
        <v>386</v>
      </c>
      <c r="D786" s="5" t="s">
        <v>252</v>
      </c>
      <c r="E786" s="5" t="s">
        <v>55</v>
      </c>
      <c r="F786" s="5" t="s">
        <v>82</v>
      </c>
      <c r="G786" s="5" t="s">
        <v>83</v>
      </c>
      <c r="H786" s="5" t="s">
        <v>38</v>
      </c>
      <c r="I786" s="5" t="s">
        <v>95</v>
      </c>
      <c r="J786" s="5" t="s">
        <v>96</v>
      </c>
      <c r="K786" s="5">
        <v>4</v>
      </c>
      <c r="L786" s="5">
        <v>6000</v>
      </c>
      <c r="M786" s="5">
        <v>0.1</v>
      </c>
      <c r="N786" s="5">
        <v>21600</v>
      </c>
      <c r="O786" s="5">
        <v>15823.02</v>
      </c>
      <c r="P786" s="5">
        <v>5776.98</v>
      </c>
      <c r="Q786" s="5">
        <v>26.75</v>
      </c>
      <c r="R786" s="5" t="s">
        <v>41</v>
      </c>
      <c r="S786" s="5" t="s">
        <v>74</v>
      </c>
      <c r="T786" s="5" t="s">
        <v>159</v>
      </c>
      <c r="U786" s="5" t="s">
        <v>151</v>
      </c>
      <c r="V786" s="5">
        <v>2024</v>
      </c>
      <c r="W786" s="5" t="s">
        <v>126</v>
      </c>
      <c r="X786" s="5">
        <v>6</v>
      </c>
      <c r="Y786" s="1" t="s">
        <v>1451</v>
      </c>
      <c r="Z786" s="5" t="s">
        <v>89</v>
      </c>
      <c r="AA786" s="5" t="s">
        <v>90</v>
      </c>
      <c r="AB786" s="5" t="s">
        <v>111</v>
      </c>
      <c r="AC786" s="5" t="s">
        <v>50</v>
      </c>
      <c r="AD786" s="5">
        <v>5</v>
      </c>
    </row>
    <row r="787" spans="1:30">
      <c r="A787" s="5" t="s">
        <v>1913</v>
      </c>
      <c r="B787" s="1" t="s">
        <v>1430</v>
      </c>
      <c r="C787" s="5" t="s">
        <v>757</v>
      </c>
      <c r="D787" s="5" t="s">
        <v>307</v>
      </c>
      <c r="E787" s="5" t="s">
        <v>103</v>
      </c>
      <c r="F787" s="5" t="s">
        <v>131</v>
      </c>
      <c r="G787" s="5" t="s">
        <v>132</v>
      </c>
      <c r="H787" s="5" t="s">
        <v>171</v>
      </c>
      <c r="I787" s="5" t="s">
        <v>84</v>
      </c>
      <c r="J787" s="5" t="s">
        <v>85</v>
      </c>
      <c r="K787" s="5">
        <v>8</v>
      </c>
      <c r="L787" s="5">
        <v>800</v>
      </c>
      <c r="M787" s="5">
        <v>0.2</v>
      </c>
      <c r="N787" s="5">
        <v>5120</v>
      </c>
      <c r="O787" s="5">
        <v>3698.79</v>
      </c>
      <c r="P787" s="5">
        <v>1421.21</v>
      </c>
      <c r="Q787" s="5">
        <v>27.76</v>
      </c>
      <c r="R787" s="5" t="s">
        <v>73</v>
      </c>
      <c r="S787" s="5" t="s">
        <v>42</v>
      </c>
      <c r="T787" s="5" t="s">
        <v>138</v>
      </c>
      <c r="U787" s="5" t="s">
        <v>160</v>
      </c>
      <c r="V787" s="5">
        <v>2024</v>
      </c>
      <c r="W787" s="5" t="s">
        <v>134</v>
      </c>
      <c r="X787" s="5">
        <v>2</v>
      </c>
      <c r="Y787" s="1" t="s">
        <v>1914</v>
      </c>
      <c r="Z787" s="5" t="s">
        <v>47</v>
      </c>
      <c r="AA787" s="5" t="s">
        <v>67</v>
      </c>
      <c r="AB787" s="5" t="s">
        <v>49</v>
      </c>
      <c r="AC787" s="5" t="s">
        <v>50</v>
      </c>
      <c r="AD787" s="5">
        <v>4</v>
      </c>
    </row>
    <row r="788" spans="1:30">
      <c r="A788" s="5" t="s">
        <v>1915</v>
      </c>
      <c r="B788" s="1" t="s">
        <v>845</v>
      </c>
      <c r="C788" s="5" t="s">
        <v>614</v>
      </c>
      <c r="D788" s="5" t="s">
        <v>566</v>
      </c>
      <c r="E788" s="5" t="s">
        <v>35</v>
      </c>
      <c r="F788" s="5" t="s">
        <v>116</v>
      </c>
      <c r="G788" s="5" t="s">
        <v>37</v>
      </c>
      <c r="H788" s="5" t="s">
        <v>58</v>
      </c>
      <c r="I788" s="5" t="s">
        <v>59</v>
      </c>
      <c r="J788" s="5" t="s">
        <v>133</v>
      </c>
      <c r="K788" s="5">
        <v>9</v>
      </c>
      <c r="L788" s="5">
        <v>1200</v>
      </c>
      <c r="M788" s="5">
        <v>0.05</v>
      </c>
      <c r="N788" s="5">
        <v>10260</v>
      </c>
      <c r="O788" s="5">
        <v>6342.57</v>
      </c>
      <c r="P788" s="5">
        <v>3917.43</v>
      </c>
      <c r="Q788" s="5">
        <v>38.18</v>
      </c>
      <c r="R788" s="5" t="s">
        <v>73</v>
      </c>
      <c r="S788" s="5" t="s">
        <v>62</v>
      </c>
      <c r="T788" s="5" t="s">
        <v>138</v>
      </c>
      <c r="U788" s="5" t="s">
        <v>108</v>
      </c>
      <c r="V788" s="5">
        <v>2024</v>
      </c>
      <c r="W788" s="5" t="s">
        <v>109</v>
      </c>
      <c r="X788" s="5">
        <v>10</v>
      </c>
      <c r="Y788" s="1" t="s">
        <v>283</v>
      </c>
      <c r="Z788" s="5" t="s">
        <v>47</v>
      </c>
      <c r="AA788" s="5" t="s">
        <v>67</v>
      </c>
      <c r="AB788" s="5" t="s">
        <v>111</v>
      </c>
      <c r="AC788" s="5" t="s">
        <v>50</v>
      </c>
      <c r="AD788" s="5">
        <v>5</v>
      </c>
    </row>
    <row r="789" spans="1:30">
      <c r="A789" s="5" t="s">
        <v>1916</v>
      </c>
      <c r="B789" s="1">
        <v>45787</v>
      </c>
      <c r="C789" s="5" t="s">
        <v>1295</v>
      </c>
      <c r="D789" s="5" t="s">
        <v>197</v>
      </c>
      <c r="E789" s="5" t="s">
        <v>35</v>
      </c>
      <c r="F789" s="5" t="s">
        <v>144</v>
      </c>
      <c r="G789" s="5" t="s">
        <v>145</v>
      </c>
      <c r="H789" s="5" t="s">
        <v>38</v>
      </c>
      <c r="I789" s="5" t="s">
        <v>71</v>
      </c>
      <c r="J789" s="5" t="s">
        <v>117</v>
      </c>
      <c r="K789" s="5">
        <v>5</v>
      </c>
      <c r="L789" s="5">
        <v>700</v>
      </c>
      <c r="M789" s="5">
        <v>0.15</v>
      </c>
      <c r="N789" s="5">
        <v>2975</v>
      </c>
      <c r="O789" s="5">
        <v>1723.06</v>
      </c>
      <c r="P789" s="5">
        <v>1251.94</v>
      </c>
      <c r="Q789" s="5">
        <v>42.08</v>
      </c>
      <c r="R789" s="5" t="s">
        <v>73</v>
      </c>
      <c r="S789" s="5" t="s">
        <v>74</v>
      </c>
      <c r="T789" s="5" t="s">
        <v>97</v>
      </c>
      <c r="U789" s="5" t="s">
        <v>87</v>
      </c>
      <c r="V789" s="5">
        <v>2025</v>
      </c>
      <c r="W789" s="5" t="s">
        <v>45</v>
      </c>
      <c r="X789" s="5">
        <v>8</v>
      </c>
      <c r="Y789" s="1" t="s">
        <v>1330</v>
      </c>
      <c r="Z789" s="5" t="s">
        <v>89</v>
      </c>
      <c r="AA789" s="5" t="s">
        <v>90</v>
      </c>
      <c r="AB789" s="5" t="s">
        <v>49</v>
      </c>
      <c r="AC789" s="5" t="s">
        <v>121</v>
      </c>
      <c r="AD789" s="5">
        <v>3</v>
      </c>
    </row>
    <row r="790" spans="1:30">
      <c r="A790" s="5" t="s">
        <v>1917</v>
      </c>
      <c r="B790" s="1">
        <v>45759</v>
      </c>
      <c r="C790" s="5" t="s">
        <v>1111</v>
      </c>
      <c r="D790" s="5" t="s">
        <v>1220</v>
      </c>
      <c r="E790" s="5" t="s">
        <v>35</v>
      </c>
      <c r="F790" s="5" t="s">
        <v>36</v>
      </c>
      <c r="G790" s="5" t="s">
        <v>37</v>
      </c>
      <c r="H790" s="5" t="s">
        <v>58</v>
      </c>
      <c r="I790" s="5" t="s">
        <v>59</v>
      </c>
      <c r="J790" s="5" t="s">
        <v>372</v>
      </c>
      <c r="K790" s="5">
        <v>5</v>
      </c>
      <c r="L790" s="5">
        <v>800</v>
      </c>
      <c r="M790" s="5">
        <v>0</v>
      </c>
      <c r="N790" s="5">
        <v>4000</v>
      </c>
      <c r="O790" s="5">
        <v>2243.13</v>
      </c>
      <c r="P790" s="5">
        <v>1756.87</v>
      </c>
      <c r="Q790" s="5">
        <v>43.92</v>
      </c>
      <c r="R790" s="5" t="s">
        <v>61</v>
      </c>
      <c r="S790" s="5" t="s">
        <v>42</v>
      </c>
      <c r="T790" s="5" t="s">
        <v>159</v>
      </c>
      <c r="U790" s="5" t="s">
        <v>64</v>
      </c>
      <c r="V790" s="5">
        <v>2025</v>
      </c>
      <c r="W790" s="5" t="s">
        <v>139</v>
      </c>
      <c r="X790" s="5">
        <v>7</v>
      </c>
      <c r="Y790" s="1">
        <v>45973</v>
      </c>
      <c r="Z790" s="5" t="s">
        <v>47</v>
      </c>
      <c r="AA790" s="5" t="s">
        <v>67</v>
      </c>
      <c r="AB790" s="5" t="s">
        <v>78</v>
      </c>
      <c r="AC790" s="5" t="s">
        <v>121</v>
      </c>
      <c r="AD790" s="5">
        <v>2</v>
      </c>
    </row>
    <row r="791" spans="1:30">
      <c r="A791" s="5" t="s">
        <v>1918</v>
      </c>
      <c r="B791" s="1" t="s">
        <v>536</v>
      </c>
      <c r="C791" s="5" t="s">
        <v>375</v>
      </c>
      <c r="D791" s="5" t="s">
        <v>1665</v>
      </c>
      <c r="E791" s="5" t="s">
        <v>35</v>
      </c>
      <c r="F791" s="5" t="s">
        <v>149</v>
      </c>
      <c r="G791" s="5" t="s">
        <v>150</v>
      </c>
      <c r="H791" s="5" t="s">
        <v>38</v>
      </c>
      <c r="I791" s="5" t="s">
        <v>59</v>
      </c>
      <c r="J791" s="5" t="s">
        <v>372</v>
      </c>
      <c r="K791" s="5">
        <v>10</v>
      </c>
      <c r="L791" s="5">
        <v>1200</v>
      </c>
      <c r="M791" s="5">
        <v>0.2</v>
      </c>
      <c r="N791" s="5">
        <v>9600</v>
      </c>
      <c r="O791" s="5">
        <v>5339.5</v>
      </c>
      <c r="P791" s="5">
        <v>4260.5</v>
      </c>
      <c r="Q791" s="5">
        <v>44.38</v>
      </c>
      <c r="R791" s="5" t="s">
        <v>166</v>
      </c>
      <c r="S791" s="5" t="s">
        <v>74</v>
      </c>
      <c r="T791" s="5" t="s">
        <v>107</v>
      </c>
      <c r="U791" s="5" t="s">
        <v>64</v>
      </c>
      <c r="V791" s="5">
        <v>2024</v>
      </c>
      <c r="W791" s="5" t="s">
        <v>65</v>
      </c>
      <c r="X791" s="5">
        <v>4</v>
      </c>
      <c r="Y791" s="1">
        <v>45658</v>
      </c>
      <c r="Z791" s="5" t="s">
        <v>47</v>
      </c>
      <c r="AA791" s="5" t="s">
        <v>48</v>
      </c>
      <c r="AB791" s="5" t="s">
        <v>49</v>
      </c>
      <c r="AC791" s="5" t="s">
        <v>121</v>
      </c>
      <c r="AD791" s="5">
        <v>1</v>
      </c>
    </row>
    <row r="792" spans="1:30">
      <c r="A792" s="5" t="s">
        <v>1919</v>
      </c>
      <c r="B792" s="1">
        <v>45544</v>
      </c>
      <c r="C792" s="5" t="s">
        <v>331</v>
      </c>
      <c r="D792" s="5" t="s">
        <v>597</v>
      </c>
      <c r="E792" s="5" t="s">
        <v>35</v>
      </c>
      <c r="F792" s="5" t="s">
        <v>144</v>
      </c>
      <c r="G792" s="5" t="s">
        <v>145</v>
      </c>
      <c r="H792" s="5" t="s">
        <v>38</v>
      </c>
      <c r="I792" s="5" t="s">
        <v>59</v>
      </c>
      <c r="J792" s="5" t="s">
        <v>60</v>
      </c>
      <c r="K792" s="5">
        <v>8</v>
      </c>
      <c r="L792" s="5">
        <v>500</v>
      </c>
      <c r="M792" s="5">
        <v>0</v>
      </c>
      <c r="N792" s="5">
        <v>4000</v>
      </c>
      <c r="O792" s="5">
        <v>2461.39</v>
      </c>
      <c r="P792" s="5">
        <v>1538.61</v>
      </c>
      <c r="Q792" s="5">
        <v>38.47</v>
      </c>
      <c r="R792" s="5" t="s">
        <v>61</v>
      </c>
      <c r="S792" s="5" t="s">
        <v>74</v>
      </c>
      <c r="T792" s="5" t="s">
        <v>43</v>
      </c>
      <c r="U792" s="5" t="s">
        <v>108</v>
      </c>
      <c r="V792" s="5">
        <v>2024</v>
      </c>
      <c r="W792" s="5" t="s">
        <v>126</v>
      </c>
      <c r="X792" s="5">
        <v>7</v>
      </c>
      <c r="Y792" s="1" t="s">
        <v>1275</v>
      </c>
      <c r="Z792" s="5" t="s">
        <v>47</v>
      </c>
      <c r="AA792" s="5" t="s">
        <v>90</v>
      </c>
      <c r="AB792" s="5" t="s">
        <v>111</v>
      </c>
      <c r="AC792" s="5" t="s">
        <v>50</v>
      </c>
      <c r="AD792" s="5">
        <v>4</v>
      </c>
    </row>
    <row r="793" spans="1:30">
      <c r="A793" s="5" t="s">
        <v>1920</v>
      </c>
      <c r="B793" s="1">
        <v>45630</v>
      </c>
      <c r="C793" s="5" t="s">
        <v>1921</v>
      </c>
      <c r="D793" s="5" t="s">
        <v>717</v>
      </c>
      <c r="E793" s="5" t="s">
        <v>55</v>
      </c>
      <c r="F793" s="5" t="s">
        <v>144</v>
      </c>
      <c r="G793" s="5" t="s">
        <v>145</v>
      </c>
      <c r="H793" s="5" t="s">
        <v>94</v>
      </c>
      <c r="I793" s="5" t="s">
        <v>59</v>
      </c>
      <c r="J793" s="5" t="s">
        <v>133</v>
      </c>
      <c r="K793" s="5">
        <v>8</v>
      </c>
      <c r="L793" s="5">
        <v>800</v>
      </c>
      <c r="M793" s="5">
        <v>0.05</v>
      </c>
      <c r="N793" s="5">
        <v>6080</v>
      </c>
      <c r="O793" s="5">
        <v>4513.5200000000004</v>
      </c>
      <c r="P793" s="5">
        <v>1566.48</v>
      </c>
      <c r="Q793" s="5">
        <v>25.76</v>
      </c>
      <c r="R793" s="5" t="s">
        <v>106</v>
      </c>
      <c r="S793" s="5" t="s">
        <v>42</v>
      </c>
      <c r="T793" s="5" t="s">
        <v>159</v>
      </c>
      <c r="U793" s="5" t="s">
        <v>44</v>
      </c>
      <c r="V793" s="5">
        <v>2024</v>
      </c>
      <c r="W793" s="5" t="s">
        <v>194</v>
      </c>
      <c r="X793" s="5">
        <v>2</v>
      </c>
      <c r="Y793" s="1" t="s">
        <v>32</v>
      </c>
      <c r="Z793" s="5" t="s">
        <v>110</v>
      </c>
      <c r="AA793" s="5" t="s">
        <v>90</v>
      </c>
      <c r="AB793" s="5" t="s">
        <v>111</v>
      </c>
      <c r="AC793" s="5" t="s">
        <v>50</v>
      </c>
      <c r="AD793" s="5">
        <v>4</v>
      </c>
    </row>
    <row r="794" spans="1:30">
      <c r="A794" s="5" t="s">
        <v>1922</v>
      </c>
      <c r="B794" s="1" t="s">
        <v>750</v>
      </c>
      <c r="C794" s="5" t="s">
        <v>729</v>
      </c>
      <c r="D794" s="5" t="s">
        <v>717</v>
      </c>
      <c r="E794" s="5" t="s">
        <v>35</v>
      </c>
      <c r="F794" s="5" t="s">
        <v>131</v>
      </c>
      <c r="G794" s="5" t="s">
        <v>132</v>
      </c>
      <c r="H794" s="5" t="s">
        <v>94</v>
      </c>
      <c r="I794" s="5" t="s">
        <v>84</v>
      </c>
      <c r="J794" s="5" t="s">
        <v>229</v>
      </c>
      <c r="K794" s="5">
        <v>1</v>
      </c>
      <c r="L794" s="5">
        <v>500</v>
      </c>
      <c r="M794" s="5">
        <v>0.2</v>
      </c>
      <c r="N794" s="5">
        <v>400</v>
      </c>
      <c r="O794" s="5">
        <v>285.51</v>
      </c>
      <c r="P794" s="5">
        <v>114.49</v>
      </c>
      <c r="Q794" s="5">
        <v>28.62</v>
      </c>
      <c r="R794" s="5" t="s">
        <v>73</v>
      </c>
      <c r="S794" s="5" t="s">
        <v>62</v>
      </c>
      <c r="T794" s="5" t="s">
        <v>86</v>
      </c>
      <c r="U794" s="5" t="s">
        <v>108</v>
      </c>
      <c r="V794" s="5">
        <v>2025</v>
      </c>
      <c r="W794" s="5" t="s">
        <v>126</v>
      </c>
      <c r="X794" s="5">
        <v>7</v>
      </c>
      <c r="Y794" s="1" t="s">
        <v>1923</v>
      </c>
      <c r="Z794" s="5" t="s">
        <v>110</v>
      </c>
      <c r="AA794" s="5" t="s">
        <v>90</v>
      </c>
      <c r="AB794" s="5" t="s">
        <v>78</v>
      </c>
      <c r="AC794" s="5" t="s">
        <v>50</v>
      </c>
      <c r="AD794" s="5">
        <v>4</v>
      </c>
    </row>
    <row r="795" spans="1:30">
      <c r="A795" s="5" t="s">
        <v>1924</v>
      </c>
      <c r="B795" s="1" t="s">
        <v>419</v>
      </c>
      <c r="C795" s="5" t="s">
        <v>1200</v>
      </c>
      <c r="D795" s="5" t="s">
        <v>1342</v>
      </c>
      <c r="E795" s="5" t="s">
        <v>35</v>
      </c>
      <c r="F795" s="5" t="s">
        <v>116</v>
      </c>
      <c r="G795" s="5" t="s">
        <v>37</v>
      </c>
      <c r="H795" s="5" t="s">
        <v>94</v>
      </c>
      <c r="I795" s="5" t="s">
        <v>95</v>
      </c>
      <c r="J795" s="5" t="s">
        <v>184</v>
      </c>
      <c r="K795" s="5">
        <v>4</v>
      </c>
      <c r="L795" s="5">
        <v>9000</v>
      </c>
      <c r="M795" s="5">
        <v>0.2</v>
      </c>
      <c r="N795" s="5">
        <v>28800</v>
      </c>
      <c r="O795" s="5">
        <v>17737.91</v>
      </c>
      <c r="P795" s="5">
        <v>11062.09</v>
      </c>
      <c r="Q795" s="5">
        <v>38.409999999999997</v>
      </c>
      <c r="R795" s="5" t="s">
        <v>41</v>
      </c>
      <c r="S795" s="5" t="s">
        <v>62</v>
      </c>
      <c r="T795" s="5" t="s">
        <v>97</v>
      </c>
      <c r="U795" s="5" t="s">
        <v>44</v>
      </c>
      <c r="V795" s="5">
        <v>2025</v>
      </c>
      <c r="W795" s="5" t="s">
        <v>194</v>
      </c>
      <c r="X795" s="5">
        <v>1</v>
      </c>
      <c r="Y795" s="1" t="s">
        <v>714</v>
      </c>
      <c r="Z795" s="5" t="s">
        <v>89</v>
      </c>
      <c r="AA795" s="5" t="s">
        <v>67</v>
      </c>
      <c r="AB795" s="5" t="s">
        <v>49</v>
      </c>
      <c r="AC795" s="5" t="s">
        <v>50</v>
      </c>
      <c r="AD795" s="5">
        <v>4</v>
      </c>
    </row>
    <row r="796" spans="1:30">
      <c r="A796" s="5" t="s">
        <v>1925</v>
      </c>
      <c r="B796" s="1" t="s">
        <v>1125</v>
      </c>
      <c r="C796" s="5" t="s">
        <v>1134</v>
      </c>
      <c r="D796" s="5" t="s">
        <v>542</v>
      </c>
      <c r="E796" s="5" t="s">
        <v>35</v>
      </c>
      <c r="F796" s="5" t="s">
        <v>56</v>
      </c>
      <c r="G796" s="5" t="s">
        <v>57</v>
      </c>
      <c r="H796" s="5" t="s">
        <v>38</v>
      </c>
      <c r="I796" s="5" t="s">
        <v>71</v>
      </c>
      <c r="J796" s="5" t="s">
        <v>72</v>
      </c>
      <c r="K796" s="5">
        <v>7</v>
      </c>
      <c r="L796" s="5">
        <v>1800</v>
      </c>
      <c r="M796" s="5">
        <v>0.1</v>
      </c>
      <c r="N796" s="5">
        <v>11340</v>
      </c>
      <c r="O796" s="5">
        <v>9028.1299999999992</v>
      </c>
      <c r="P796" s="5">
        <v>2311.87</v>
      </c>
      <c r="Q796" s="5">
        <v>20.39</v>
      </c>
      <c r="R796" s="5" t="s">
        <v>41</v>
      </c>
      <c r="S796" s="5" t="s">
        <v>42</v>
      </c>
      <c r="T796" s="5" t="s">
        <v>107</v>
      </c>
      <c r="U796" s="5" t="s">
        <v>218</v>
      </c>
      <c r="V796" s="5">
        <v>2024</v>
      </c>
      <c r="W796" s="5" t="s">
        <v>139</v>
      </c>
      <c r="X796" s="5">
        <v>5</v>
      </c>
      <c r="Y796" s="1" t="s">
        <v>1687</v>
      </c>
      <c r="Z796" s="5" t="s">
        <v>47</v>
      </c>
      <c r="AA796" s="5" t="s">
        <v>48</v>
      </c>
      <c r="AB796" s="5" t="s">
        <v>111</v>
      </c>
      <c r="AC796" s="5" t="s">
        <v>121</v>
      </c>
      <c r="AD796" s="5">
        <v>1</v>
      </c>
    </row>
    <row r="797" spans="1:30">
      <c r="A797" s="5" t="s">
        <v>1926</v>
      </c>
      <c r="B797" s="1">
        <v>45386</v>
      </c>
      <c r="C797" s="5" t="s">
        <v>124</v>
      </c>
      <c r="D797" s="5" t="s">
        <v>900</v>
      </c>
      <c r="E797" s="5" t="s">
        <v>55</v>
      </c>
      <c r="F797" s="5" t="s">
        <v>156</v>
      </c>
      <c r="G797" s="5" t="s">
        <v>157</v>
      </c>
      <c r="H797" s="5" t="s">
        <v>94</v>
      </c>
      <c r="I797" s="5" t="s">
        <v>84</v>
      </c>
      <c r="J797" s="5" t="s">
        <v>390</v>
      </c>
      <c r="K797" s="5">
        <v>4</v>
      </c>
      <c r="L797" s="5">
        <v>100</v>
      </c>
      <c r="M797" s="5">
        <v>0.05</v>
      </c>
      <c r="N797" s="5">
        <v>380</v>
      </c>
      <c r="O797" s="5">
        <v>214.14</v>
      </c>
      <c r="P797" s="5">
        <v>165.86</v>
      </c>
      <c r="Q797" s="5">
        <v>43.65</v>
      </c>
      <c r="R797" s="5" t="s">
        <v>73</v>
      </c>
      <c r="S797" s="5" t="s">
        <v>62</v>
      </c>
      <c r="T797" s="5" t="s">
        <v>118</v>
      </c>
      <c r="U797" s="5" t="s">
        <v>44</v>
      </c>
      <c r="V797" s="5">
        <v>2024</v>
      </c>
      <c r="W797" s="5" t="s">
        <v>139</v>
      </c>
      <c r="X797" s="5">
        <v>10</v>
      </c>
      <c r="Y797" s="1" t="s">
        <v>32</v>
      </c>
      <c r="Z797" s="5" t="s">
        <v>89</v>
      </c>
      <c r="AA797" s="5" t="s">
        <v>67</v>
      </c>
      <c r="AB797" s="5" t="s">
        <v>78</v>
      </c>
      <c r="AC797" s="5" t="s">
        <v>121</v>
      </c>
      <c r="AD797" s="5">
        <v>2</v>
      </c>
    </row>
    <row r="798" spans="1:30">
      <c r="A798" s="5" t="s">
        <v>1927</v>
      </c>
      <c r="B798" s="1">
        <v>45386</v>
      </c>
      <c r="C798" s="5" t="s">
        <v>192</v>
      </c>
      <c r="D798" s="5" t="s">
        <v>205</v>
      </c>
      <c r="E798" s="5" t="s">
        <v>55</v>
      </c>
      <c r="F798" s="5" t="s">
        <v>156</v>
      </c>
      <c r="G798" s="5" t="s">
        <v>157</v>
      </c>
      <c r="H798" s="5" t="s">
        <v>94</v>
      </c>
      <c r="I798" s="5" t="s">
        <v>84</v>
      </c>
      <c r="J798" s="5" t="s">
        <v>85</v>
      </c>
      <c r="K798" s="5">
        <v>9</v>
      </c>
      <c r="L798" s="5">
        <v>100</v>
      </c>
      <c r="M798" s="5">
        <v>0.05</v>
      </c>
      <c r="N798" s="5">
        <v>855</v>
      </c>
      <c r="O798" s="5">
        <v>602.44000000000005</v>
      </c>
      <c r="P798" s="5">
        <v>252.56</v>
      </c>
      <c r="Q798" s="5">
        <v>29.54</v>
      </c>
      <c r="R798" s="5" t="s">
        <v>73</v>
      </c>
      <c r="S798" s="5" t="s">
        <v>74</v>
      </c>
      <c r="T798" s="5" t="s">
        <v>43</v>
      </c>
      <c r="U798" s="5" t="s">
        <v>44</v>
      </c>
      <c r="V798" s="5">
        <v>2024</v>
      </c>
      <c r="W798" s="5" t="s">
        <v>139</v>
      </c>
      <c r="X798" s="5">
        <v>10</v>
      </c>
      <c r="Y798" s="1" t="s">
        <v>32</v>
      </c>
      <c r="Z798" s="5" t="s">
        <v>47</v>
      </c>
      <c r="AA798" s="5" t="s">
        <v>90</v>
      </c>
      <c r="AB798" s="5" t="s">
        <v>111</v>
      </c>
      <c r="AC798" s="5" t="s">
        <v>121</v>
      </c>
      <c r="AD798" s="5">
        <v>1</v>
      </c>
    </row>
    <row r="799" spans="1:30">
      <c r="A799" s="5" t="s">
        <v>1928</v>
      </c>
      <c r="B799" s="1" t="s">
        <v>1024</v>
      </c>
      <c r="C799" s="5" t="s">
        <v>163</v>
      </c>
      <c r="D799" s="5" t="s">
        <v>70</v>
      </c>
      <c r="E799" s="5" t="s">
        <v>35</v>
      </c>
      <c r="F799" s="5" t="s">
        <v>36</v>
      </c>
      <c r="G799" s="5" t="s">
        <v>37</v>
      </c>
      <c r="H799" s="5" t="s">
        <v>171</v>
      </c>
      <c r="I799" s="5" t="s">
        <v>84</v>
      </c>
      <c r="J799" s="5" t="s">
        <v>85</v>
      </c>
      <c r="K799" s="5">
        <v>9</v>
      </c>
      <c r="L799" s="5">
        <v>100</v>
      </c>
      <c r="M799" s="5">
        <v>0.15</v>
      </c>
      <c r="N799" s="5">
        <v>765</v>
      </c>
      <c r="O799" s="5">
        <v>452.29</v>
      </c>
      <c r="P799" s="5">
        <v>312.70999999999998</v>
      </c>
      <c r="Q799" s="5">
        <v>40.880000000000003</v>
      </c>
      <c r="R799" s="5" t="s">
        <v>73</v>
      </c>
      <c r="S799" s="5" t="s">
        <v>62</v>
      </c>
      <c r="T799" s="5" t="s">
        <v>107</v>
      </c>
      <c r="U799" s="5" t="s">
        <v>151</v>
      </c>
      <c r="V799" s="5">
        <v>2025</v>
      </c>
      <c r="W799" s="5" t="s">
        <v>45</v>
      </c>
      <c r="X799" s="5">
        <v>6</v>
      </c>
      <c r="Y799" s="1" t="s">
        <v>1034</v>
      </c>
      <c r="Z799" s="5" t="s">
        <v>47</v>
      </c>
      <c r="AA799" s="5" t="s">
        <v>90</v>
      </c>
      <c r="AB799" s="5" t="s">
        <v>111</v>
      </c>
      <c r="AC799" s="5" t="s">
        <v>121</v>
      </c>
      <c r="AD799" s="5">
        <v>4</v>
      </c>
    </row>
    <row r="800" spans="1:30">
      <c r="A800" s="5" t="s">
        <v>1929</v>
      </c>
      <c r="B800" s="1">
        <v>45391</v>
      </c>
      <c r="C800" s="5" t="s">
        <v>386</v>
      </c>
      <c r="D800" s="5" t="s">
        <v>1930</v>
      </c>
      <c r="E800" s="5" t="s">
        <v>55</v>
      </c>
      <c r="F800" s="5" t="s">
        <v>245</v>
      </c>
      <c r="G800" s="5" t="s">
        <v>246</v>
      </c>
      <c r="H800" s="5" t="s">
        <v>38</v>
      </c>
      <c r="I800" s="5" t="s">
        <v>95</v>
      </c>
      <c r="J800" s="5" t="s">
        <v>344</v>
      </c>
      <c r="K800" s="5">
        <v>8</v>
      </c>
      <c r="L800" s="5">
        <v>4000</v>
      </c>
      <c r="M800" s="5">
        <v>0.05</v>
      </c>
      <c r="N800" s="5">
        <v>30400</v>
      </c>
      <c r="O800" s="5">
        <v>21430.28</v>
      </c>
      <c r="P800" s="5">
        <v>8969.7199999999993</v>
      </c>
      <c r="Q800" s="5">
        <v>29.51</v>
      </c>
      <c r="R800" s="5" t="s">
        <v>106</v>
      </c>
      <c r="S800" s="5" t="s">
        <v>42</v>
      </c>
      <c r="T800" s="5" t="s">
        <v>86</v>
      </c>
      <c r="U800" s="5" t="s">
        <v>108</v>
      </c>
      <c r="V800" s="5">
        <v>2024</v>
      </c>
      <c r="W800" s="5" t="s">
        <v>134</v>
      </c>
      <c r="X800" s="5">
        <v>10</v>
      </c>
      <c r="Y800" s="1" t="s">
        <v>1761</v>
      </c>
      <c r="Z800" s="5" t="s">
        <v>47</v>
      </c>
      <c r="AA800" s="5" t="s">
        <v>90</v>
      </c>
      <c r="AB800" s="5" t="s">
        <v>111</v>
      </c>
      <c r="AC800" s="5" t="s">
        <v>121</v>
      </c>
      <c r="AD800" s="5">
        <v>1</v>
      </c>
    </row>
    <row r="801" spans="1:30">
      <c r="A801" s="5" t="s">
        <v>1931</v>
      </c>
      <c r="B801" s="1" t="s">
        <v>1673</v>
      </c>
      <c r="C801" s="5" t="s">
        <v>301</v>
      </c>
      <c r="D801" s="5" t="s">
        <v>770</v>
      </c>
      <c r="E801" s="5" t="s">
        <v>103</v>
      </c>
      <c r="F801" s="5" t="s">
        <v>156</v>
      </c>
      <c r="G801" s="5" t="s">
        <v>157</v>
      </c>
      <c r="H801" s="5" t="s">
        <v>171</v>
      </c>
      <c r="I801" s="5" t="s">
        <v>95</v>
      </c>
      <c r="J801" s="5" t="s">
        <v>344</v>
      </c>
      <c r="K801" s="5">
        <v>5</v>
      </c>
      <c r="L801" s="5">
        <v>9000</v>
      </c>
      <c r="M801" s="5">
        <v>0.2</v>
      </c>
      <c r="N801" s="5">
        <v>36000</v>
      </c>
      <c r="O801" s="5">
        <v>25063.08</v>
      </c>
      <c r="P801" s="5">
        <v>10936.92</v>
      </c>
      <c r="Q801" s="5">
        <v>30.38</v>
      </c>
      <c r="R801" s="5" t="s">
        <v>41</v>
      </c>
      <c r="S801" s="5" t="s">
        <v>42</v>
      </c>
      <c r="T801" s="5" t="s">
        <v>75</v>
      </c>
      <c r="U801" s="5" t="s">
        <v>119</v>
      </c>
      <c r="V801" s="5">
        <v>2025</v>
      </c>
      <c r="W801" s="5" t="s">
        <v>194</v>
      </c>
      <c r="X801" s="5">
        <v>7</v>
      </c>
      <c r="Y801" s="1" t="s">
        <v>1674</v>
      </c>
      <c r="Z801" s="5" t="s">
        <v>89</v>
      </c>
      <c r="AA801" s="5" t="s">
        <v>67</v>
      </c>
      <c r="AB801" s="5" t="s">
        <v>111</v>
      </c>
      <c r="AC801" s="5" t="s">
        <v>50</v>
      </c>
      <c r="AD801" s="5">
        <v>2</v>
      </c>
    </row>
    <row r="802" spans="1:30">
      <c r="A802" s="5" t="s">
        <v>1932</v>
      </c>
      <c r="B802" s="1">
        <v>45817</v>
      </c>
      <c r="C802" s="5" t="s">
        <v>619</v>
      </c>
      <c r="D802" s="5" t="s">
        <v>1465</v>
      </c>
      <c r="E802" s="5" t="s">
        <v>55</v>
      </c>
      <c r="F802" s="5" t="s">
        <v>131</v>
      </c>
      <c r="G802" s="5" t="s">
        <v>132</v>
      </c>
      <c r="H802" s="5" t="s">
        <v>171</v>
      </c>
      <c r="I802" s="5" t="s">
        <v>71</v>
      </c>
      <c r="J802" s="5" t="s">
        <v>117</v>
      </c>
      <c r="K802" s="5">
        <v>1</v>
      </c>
      <c r="L802" s="5">
        <v>1200</v>
      </c>
      <c r="M802" s="5">
        <v>0</v>
      </c>
      <c r="N802" s="5">
        <v>1200</v>
      </c>
      <c r="O802" s="5">
        <v>697.43</v>
      </c>
      <c r="P802" s="5">
        <v>502.57</v>
      </c>
      <c r="Q802" s="5">
        <v>41.88</v>
      </c>
      <c r="R802" s="5" t="s">
        <v>106</v>
      </c>
      <c r="S802" s="5" t="s">
        <v>62</v>
      </c>
      <c r="T802" s="5" t="s">
        <v>138</v>
      </c>
      <c r="U802" s="5" t="s">
        <v>108</v>
      </c>
      <c r="V802" s="5">
        <v>2025</v>
      </c>
      <c r="W802" s="5" t="s">
        <v>65</v>
      </c>
      <c r="X802" s="5">
        <v>6</v>
      </c>
      <c r="Y802" s="1">
        <v>46000</v>
      </c>
      <c r="Z802" s="5" t="s">
        <v>47</v>
      </c>
      <c r="AA802" s="5" t="s">
        <v>90</v>
      </c>
      <c r="AB802" s="5" t="s">
        <v>49</v>
      </c>
      <c r="AC802" s="5" t="s">
        <v>121</v>
      </c>
      <c r="AD802" s="5">
        <v>4</v>
      </c>
    </row>
    <row r="803" spans="1:30">
      <c r="A803" s="5" t="s">
        <v>1933</v>
      </c>
      <c r="B803" s="1">
        <v>45482</v>
      </c>
      <c r="C803" s="5" t="s">
        <v>176</v>
      </c>
      <c r="D803" s="5" t="s">
        <v>1127</v>
      </c>
      <c r="E803" s="5" t="s">
        <v>55</v>
      </c>
      <c r="F803" s="5" t="s">
        <v>245</v>
      </c>
      <c r="G803" s="5" t="s">
        <v>246</v>
      </c>
      <c r="H803" s="5" t="s">
        <v>94</v>
      </c>
      <c r="I803" s="5" t="s">
        <v>71</v>
      </c>
      <c r="J803" s="5" t="s">
        <v>172</v>
      </c>
      <c r="K803" s="5">
        <v>3</v>
      </c>
      <c r="L803" s="5">
        <v>1800</v>
      </c>
      <c r="M803" s="5">
        <v>0.15</v>
      </c>
      <c r="N803" s="5">
        <v>4590</v>
      </c>
      <c r="O803" s="5">
        <v>3640.49</v>
      </c>
      <c r="P803" s="5">
        <v>949.51</v>
      </c>
      <c r="Q803" s="5">
        <v>20.69</v>
      </c>
      <c r="R803" s="5" t="s">
        <v>166</v>
      </c>
      <c r="S803" s="5" t="s">
        <v>62</v>
      </c>
      <c r="T803" s="5" t="s">
        <v>86</v>
      </c>
      <c r="U803" s="5" t="s">
        <v>108</v>
      </c>
      <c r="V803" s="5">
        <v>2024</v>
      </c>
      <c r="W803" s="5" t="s">
        <v>65</v>
      </c>
      <c r="X803" s="5">
        <v>3</v>
      </c>
      <c r="Y803" s="1">
        <v>45574</v>
      </c>
      <c r="Z803" s="5" t="s">
        <v>47</v>
      </c>
      <c r="AA803" s="5" t="s">
        <v>67</v>
      </c>
      <c r="AB803" s="5" t="s">
        <v>49</v>
      </c>
      <c r="AC803" s="5" t="s">
        <v>50</v>
      </c>
      <c r="AD803" s="5">
        <v>1</v>
      </c>
    </row>
    <row r="804" spans="1:30">
      <c r="A804" s="5" t="s">
        <v>1934</v>
      </c>
      <c r="B804" s="1" t="s">
        <v>385</v>
      </c>
      <c r="C804" s="5" t="s">
        <v>1245</v>
      </c>
      <c r="D804" s="5" t="s">
        <v>164</v>
      </c>
      <c r="E804" s="5" t="s">
        <v>55</v>
      </c>
      <c r="F804" s="5" t="s">
        <v>149</v>
      </c>
      <c r="G804" s="5" t="s">
        <v>150</v>
      </c>
      <c r="H804" s="5" t="s">
        <v>171</v>
      </c>
      <c r="I804" s="5" t="s">
        <v>95</v>
      </c>
      <c r="J804" s="5" t="s">
        <v>344</v>
      </c>
      <c r="K804" s="5">
        <v>5</v>
      </c>
      <c r="L804" s="5">
        <v>6000</v>
      </c>
      <c r="M804" s="5">
        <v>0</v>
      </c>
      <c r="N804" s="5">
        <v>30000</v>
      </c>
      <c r="O804" s="5">
        <v>23685.08</v>
      </c>
      <c r="P804" s="5">
        <v>6314.92</v>
      </c>
      <c r="Q804" s="5">
        <v>21.05</v>
      </c>
      <c r="R804" s="5" t="s">
        <v>41</v>
      </c>
      <c r="S804" s="5" t="s">
        <v>42</v>
      </c>
      <c r="T804" s="5" t="s">
        <v>138</v>
      </c>
      <c r="U804" s="5" t="s">
        <v>64</v>
      </c>
      <c r="V804" s="5">
        <v>2024</v>
      </c>
      <c r="W804" s="5" t="s">
        <v>109</v>
      </c>
      <c r="X804" s="5">
        <v>8</v>
      </c>
      <c r="Y804" s="1">
        <v>45658</v>
      </c>
      <c r="Z804" s="5" t="s">
        <v>110</v>
      </c>
      <c r="AA804" s="5" t="s">
        <v>90</v>
      </c>
      <c r="AB804" s="5" t="s">
        <v>78</v>
      </c>
      <c r="AC804" s="5" t="s">
        <v>121</v>
      </c>
      <c r="AD804" s="5">
        <v>3</v>
      </c>
    </row>
    <row r="805" spans="1:30">
      <c r="A805" s="5" t="s">
        <v>1935</v>
      </c>
      <c r="B805" s="1" t="s">
        <v>357</v>
      </c>
      <c r="C805" s="5" t="s">
        <v>1936</v>
      </c>
      <c r="D805" s="5" t="s">
        <v>1476</v>
      </c>
      <c r="E805" s="5" t="s">
        <v>103</v>
      </c>
      <c r="F805" s="5" t="s">
        <v>82</v>
      </c>
      <c r="G805" s="5" t="s">
        <v>83</v>
      </c>
      <c r="H805" s="5" t="s">
        <v>171</v>
      </c>
      <c r="I805" s="5" t="s">
        <v>95</v>
      </c>
      <c r="J805" s="5" t="s">
        <v>184</v>
      </c>
      <c r="K805" s="5">
        <v>9</v>
      </c>
      <c r="L805" s="5">
        <v>4000</v>
      </c>
      <c r="M805" s="5">
        <v>0</v>
      </c>
      <c r="N805" s="5">
        <v>36000</v>
      </c>
      <c r="O805" s="5">
        <v>22420.6</v>
      </c>
      <c r="P805" s="5">
        <v>13579.4</v>
      </c>
      <c r="Q805" s="5">
        <v>37.72</v>
      </c>
      <c r="R805" s="5" t="s">
        <v>106</v>
      </c>
      <c r="S805" s="5" t="s">
        <v>62</v>
      </c>
      <c r="T805" s="5" t="s">
        <v>75</v>
      </c>
      <c r="U805" s="5" t="s">
        <v>44</v>
      </c>
      <c r="V805" s="5">
        <v>2024</v>
      </c>
      <c r="W805" s="5" t="s">
        <v>65</v>
      </c>
      <c r="X805" s="5">
        <v>3</v>
      </c>
      <c r="Y805" s="1" t="s">
        <v>1937</v>
      </c>
      <c r="Z805" s="5" t="s">
        <v>89</v>
      </c>
      <c r="AA805" s="5" t="s">
        <v>67</v>
      </c>
      <c r="AB805" s="5" t="s">
        <v>111</v>
      </c>
      <c r="AC805" s="5" t="s">
        <v>50</v>
      </c>
      <c r="AD805" s="5">
        <v>3</v>
      </c>
    </row>
    <row r="806" spans="1:30">
      <c r="A806" s="5" t="s">
        <v>1938</v>
      </c>
      <c r="B806" s="1" t="s">
        <v>1939</v>
      </c>
      <c r="C806" s="5" t="s">
        <v>1245</v>
      </c>
      <c r="D806" s="5" t="s">
        <v>434</v>
      </c>
      <c r="E806" s="5" t="s">
        <v>103</v>
      </c>
      <c r="F806" s="5" t="s">
        <v>144</v>
      </c>
      <c r="G806" s="5" t="s">
        <v>145</v>
      </c>
      <c r="H806" s="5" t="s">
        <v>58</v>
      </c>
      <c r="I806" s="5" t="s">
        <v>84</v>
      </c>
      <c r="J806" s="5" t="s">
        <v>229</v>
      </c>
      <c r="K806" s="5">
        <v>6</v>
      </c>
      <c r="L806" s="5">
        <v>100</v>
      </c>
      <c r="M806" s="5">
        <v>0.2</v>
      </c>
      <c r="N806" s="5">
        <v>480</v>
      </c>
      <c r="O806" s="5">
        <v>362.3</v>
      </c>
      <c r="P806" s="5">
        <v>117.7</v>
      </c>
      <c r="Q806" s="5">
        <v>24.52</v>
      </c>
      <c r="R806" s="5" t="s">
        <v>73</v>
      </c>
      <c r="S806" s="5" t="s">
        <v>62</v>
      </c>
      <c r="T806" s="5" t="s">
        <v>97</v>
      </c>
      <c r="U806" s="5" t="s">
        <v>218</v>
      </c>
      <c r="V806" s="5">
        <v>2025</v>
      </c>
      <c r="W806" s="5" t="s">
        <v>194</v>
      </c>
      <c r="X806" s="5">
        <v>2</v>
      </c>
      <c r="Y806" s="1" t="s">
        <v>414</v>
      </c>
      <c r="Z806" s="5" t="s">
        <v>110</v>
      </c>
      <c r="AA806" s="5" t="s">
        <v>48</v>
      </c>
      <c r="AB806" s="5" t="s">
        <v>111</v>
      </c>
      <c r="AC806" s="5" t="s">
        <v>50</v>
      </c>
      <c r="AD806" s="5">
        <v>3</v>
      </c>
    </row>
    <row r="807" spans="1:30">
      <c r="A807" s="5" t="s">
        <v>1940</v>
      </c>
      <c r="B807" s="1">
        <v>45545</v>
      </c>
      <c r="C807" s="5" t="s">
        <v>777</v>
      </c>
      <c r="D807" s="5" t="s">
        <v>1941</v>
      </c>
      <c r="E807" s="5" t="s">
        <v>35</v>
      </c>
      <c r="F807" s="5" t="s">
        <v>245</v>
      </c>
      <c r="G807" s="5" t="s">
        <v>246</v>
      </c>
      <c r="H807" s="5" t="s">
        <v>94</v>
      </c>
      <c r="I807" s="5" t="s">
        <v>95</v>
      </c>
      <c r="J807" s="5" t="s">
        <v>319</v>
      </c>
      <c r="K807" s="5">
        <v>2</v>
      </c>
      <c r="L807" s="5">
        <v>15000</v>
      </c>
      <c r="M807" s="5">
        <v>0.15</v>
      </c>
      <c r="N807" s="5">
        <v>25500</v>
      </c>
      <c r="O807" s="5">
        <v>14313.42</v>
      </c>
      <c r="P807" s="5">
        <v>11186.58</v>
      </c>
      <c r="Q807" s="5">
        <v>43.87</v>
      </c>
      <c r="R807" s="5" t="s">
        <v>41</v>
      </c>
      <c r="S807" s="5" t="s">
        <v>74</v>
      </c>
      <c r="T807" s="5" t="s">
        <v>75</v>
      </c>
      <c r="U807" s="5" t="s">
        <v>87</v>
      </c>
      <c r="V807" s="5">
        <v>2024</v>
      </c>
      <c r="W807" s="5" t="s">
        <v>134</v>
      </c>
      <c r="X807" s="5">
        <v>7</v>
      </c>
      <c r="Y807" s="1" t="s">
        <v>271</v>
      </c>
      <c r="Z807" s="5" t="s">
        <v>47</v>
      </c>
      <c r="AA807" s="5" t="s">
        <v>90</v>
      </c>
      <c r="AB807" s="5" t="s">
        <v>78</v>
      </c>
      <c r="AC807" s="5" t="s">
        <v>50</v>
      </c>
      <c r="AD807" s="5">
        <v>2</v>
      </c>
    </row>
    <row r="808" spans="1:30">
      <c r="A808" s="5" t="s">
        <v>1942</v>
      </c>
      <c r="B808" s="1">
        <v>45507</v>
      </c>
      <c r="C808" s="5" t="s">
        <v>557</v>
      </c>
      <c r="D808" s="5" t="s">
        <v>278</v>
      </c>
      <c r="E808" s="5" t="s">
        <v>35</v>
      </c>
      <c r="F808" s="5" t="s">
        <v>104</v>
      </c>
      <c r="G808" s="5" t="s">
        <v>104</v>
      </c>
      <c r="H808" s="5" t="s">
        <v>94</v>
      </c>
      <c r="I808" s="5" t="s">
        <v>39</v>
      </c>
      <c r="J808" s="5" t="s">
        <v>105</v>
      </c>
      <c r="K808" s="5">
        <v>1</v>
      </c>
      <c r="L808" s="5">
        <v>15000</v>
      </c>
      <c r="M808" s="5">
        <v>0.15</v>
      </c>
      <c r="N808" s="5">
        <v>12750</v>
      </c>
      <c r="O808" s="5">
        <v>10162.85</v>
      </c>
      <c r="P808" s="5">
        <v>2587.15</v>
      </c>
      <c r="Q808" s="5">
        <v>20.29</v>
      </c>
      <c r="R808" s="5" t="s">
        <v>61</v>
      </c>
      <c r="S808" s="5" t="s">
        <v>42</v>
      </c>
      <c r="T808" s="5" t="s">
        <v>97</v>
      </c>
      <c r="U808" s="5" t="s">
        <v>178</v>
      </c>
      <c r="V808" s="5">
        <v>2024</v>
      </c>
      <c r="W808" s="5" t="s">
        <v>194</v>
      </c>
      <c r="X808" s="5">
        <v>4</v>
      </c>
      <c r="Y808" s="1">
        <v>45629</v>
      </c>
      <c r="Z808" s="5" t="s">
        <v>110</v>
      </c>
      <c r="AA808" s="5" t="s">
        <v>67</v>
      </c>
      <c r="AB808" s="5" t="s">
        <v>78</v>
      </c>
      <c r="AC808" s="5" t="s">
        <v>50</v>
      </c>
      <c r="AD808" s="5">
        <v>3</v>
      </c>
    </row>
    <row r="809" spans="1:30">
      <c r="A809" s="5" t="s">
        <v>1943</v>
      </c>
      <c r="B809" s="1">
        <v>45513</v>
      </c>
      <c r="C809" s="5" t="s">
        <v>392</v>
      </c>
      <c r="D809" s="5" t="s">
        <v>1698</v>
      </c>
      <c r="E809" s="5" t="s">
        <v>55</v>
      </c>
      <c r="F809" s="5" t="s">
        <v>131</v>
      </c>
      <c r="G809" s="5" t="s">
        <v>132</v>
      </c>
      <c r="H809" s="5" t="s">
        <v>94</v>
      </c>
      <c r="I809" s="5" t="s">
        <v>95</v>
      </c>
      <c r="J809" s="5" t="s">
        <v>96</v>
      </c>
      <c r="K809" s="5">
        <v>9</v>
      </c>
      <c r="L809" s="5">
        <v>6000</v>
      </c>
      <c r="M809" s="5">
        <v>0.2</v>
      </c>
      <c r="N809" s="5">
        <v>43200</v>
      </c>
      <c r="O809" s="5">
        <v>28820.7</v>
      </c>
      <c r="P809" s="5">
        <v>14379.3</v>
      </c>
      <c r="Q809" s="5">
        <v>33.29</v>
      </c>
      <c r="R809" s="5" t="s">
        <v>166</v>
      </c>
      <c r="S809" s="5" t="s">
        <v>74</v>
      </c>
      <c r="T809" s="5" t="s">
        <v>63</v>
      </c>
      <c r="U809" s="5" t="s">
        <v>108</v>
      </c>
      <c r="V809" s="5">
        <v>2024</v>
      </c>
      <c r="W809" s="5" t="s">
        <v>45</v>
      </c>
      <c r="X809" s="5">
        <v>4</v>
      </c>
      <c r="Y809" s="1">
        <v>45635</v>
      </c>
      <c r="Z809" s="5" t="s">
        <v>47</v>
      </c>
      <c r="AA809" s="5" t="s">
        <v>67</v>
      </c>
      <c r="AB809" s="5" t="s">
        <v>78</v>
      </c>
      <c r="AC809" s="5" t="s">
        <v>121</v>
      </c>
      <c r="AD809" s="5">
        <v>2</v>
      </c>
    </row>
    <row r="810" spans="1:30">
      <c r="A810" s="5" t="s">
        <v>1944</v>
      </c>
      <c r="B810" s="1">
        <v>45569</v>
      </c>
      <c r="C810" s="5" t="s">
        <v>1716</v>
      </c>
      <c r="D810" s="5" t="s">
        <v>202</v>
      </c>
      <c r="E810" s="5" t="s">
        <v>55</v>
      </c>
      <c r="F810" s="5" t="s">
        <v>131</v>
      </c>
      <c r="G810" s="5" t="s">
        <v>132</v>
      </c>
      <c r="H810" s="5" t="s">
        <v>171</v>
      </c>
      <c r="I810" s="5" t="s">
        <v>95</v>
      </c>
      <c r="J810" s="5" t="s">
        <v>319</v>
      </c>
      <c r="K810" s="5">
        <v>4</v>
      </c>
      <c r="L810" s="5">
        <v>9000</v>
      </c>
      <c r="M810" s="5">
        <v>0.05</v>
      </c>
      <c r="N810" s="5">
        <v>34200</v>
      </c>
      <c r="O810" s="5">
        <v>22161.88</v>
      </c>
      <c r="P810" s="5">
        <v>12038.12</v>
      </c>
      <c r="Q810" s="5">
        <v>35.200000000000003</v>
      </c>
      <c r="R810" s="5" t="s">
        <v>106</v>
      </c>
      <c r="S810" s="5" t="s">
        <v>74</v>
      </c>
      <c r="T810" s="5" t="s">
        <v>118</v>
      </c>
      <c r="U810" s="5" t="s">
        <v>44</v>
      </c>
      <c r="V810" s="5">
        <v>2024</v>
      </c>
      <c r="W810" s="5" t="s">
        <v>134</v>
      </c>
      <c r="X810" s="5">
        <v>9</v>
      </c>
      <c r="Y810" s="1" t="s">
        <v>1054</v>
      </c>
      <c r="Z810" s="5" t="s">
        <v>89</v>
      </c>
      <c r="AA810" s="5" t="s">
        <v>48</v>
      </c>
      <c r="AB810" s="5" t="s">
        <v>78</v>
      </c>
      <c r="AC810" s="5" t="s">
        <v>121</v>
      </c>
      <c r="AD810" s="5">
        <v>3</v>
      </c>
    </row>
    <row r="811" spans="1:30">
      <c r="A811" s="5" t="s">
        <v>1945</v>
      </c>
      <c r="B811" s="1" t="s">
        <v>1733</v>
      </c>
      <c r="C811" s="5" t="s">
        <v>514</v>
      </c>
      <c r="D811" s="5" t="s">
        <v>859</v>
      </c>
      <c r="E811" s="5" t="s">
        <v>55</v>
      </c>
      <c r="F811" s="5" t="s">
        <v>104</v>
      </c>
      <c r="G811" s="5" t="s">
        <v>104</v>
      </c>
      <c r="H811" s="5" t="s">
        <v>94</v>
      </c>
      <c r="I811" s="5" t="s">
        <v>71</v>
      </c>
      <c r="J811" s="5" t="s">
        <v>158</v>
      </c>
      <c r="K811" s="5">
        <v>7</v>
      </c>
      <c r="L811" s="5">
        <v>1200</v>
      </c>
      <c r="M811" s="5">
        <v>0.15</v>
      </c>
      <c r="N811" s="5">
        <v>7140</v>
      </c>
      <c r="O811" s="5">
        <v>5734.49</v>
      </c>
      <c r="P811" s="5">
        <v>1405.51</v>
      </c>
      <c r="Q811" s="5">
        <v>19.690000000000001</v>
      </c>
      <c r="R811" s="5" t="s">
        <v>166</v>
      </c>
      <c r="S811" s="5" t="s">
        <v>42</v>
      </c>
      <c r="T811" s="5" t="s">
        <v>86</v>
      </c>
      <c r="U811" s="5" t="s">
        <v>44</v>
      </c>
      <c r="V811" s="5">
        <v>2025</v>
      </c>
      <c r="W811" s="5" t="s">
        <v>109</v>
      </c>
      <c r="X811" s="5">
        <v>1</v>
      </c>
      <c r="Y811" s="1" t="s">
        <v>518</v>
      </c>
      <c r="Z811" s="5" t="s">
        <v>47</v>
      </c>
      <c r="AA811" s="5" t="s">
        <v>67</v>
      </c>
      <c r="AB811" s="5" t="s">
        <v>78</v>
      </c>
      <c r="AC811" s="5" t="s">
        <v>121</v>
      </c>
      <c r="AD811" s="5">
        <v>3</v>
      </c>
    </row>
    <row r="812" spans="1:30">
      <c r="A812" s="5" t="s">
        <v>1946</v>
      </c>
      <c r="B812" s="1" t="s">
        <v>1947</v>
      </c>
      <c r="C812" s="5" t="s">
        <v>326</v>
      </c>
      <c r="D812" s="5" t="s">
        <v>641</v>
      </c>
      <c r="E812" s="5" t="s">
        <v>103</v>
      </c>
      <c r="F812" s="5" t="s">
        <v>149</v>
      </c>
      <c r="G812" s="5" t="s">
        <v>150</v>
      </c>
      <c r="H812" s="5" t="s">
        <v>58</v>
      </c>
      <c r="I812" s="5" t="s">
        <v>59</v>
      </c>
      <c r="J812" s="5" t="s">
        <v>206</v>
      </c>
      <c r="K812" s="5">
        <v>6</v>
      </c>
      <c r="L812" s="5">
        <v>800</v>
      </c>
      <c r="M812" s="5">
        <v>0.2</v>
      </c>
      <c r="N812" s="5">
        <v>3840</v>
      </c>
      <c r="O812" s="5">
        <v>2996.6</v>
      </c>
      <c r="P812" s="5">
        <v>843.4</v>
      </c>
      <c r="Q812" s="5">
        <v>21.96</v>
      </c>
      <c r="R812" s="5" t="s">
        <v>73</v>
      </c>
      <c r="S812" s="5" t="s">
        <v>42</v>
      </c>
      <c r="T812" s="5" t="s">
        <v>75</v>
      </c>
      <c r="U812" s="5" t="s">
        <v>198</v>
      </c>
      <c r="V812" s="5">
        <v>2024</v>
      </c>
      <c r="W812" s="5" t="s">
        <v>65</v>
      </c>
      <c r="X812" s="5">
        <v>10</v>
      </c>
      <c r="Y812" s="1">
        <v>45577</v>
      </c>
      <c r="Z812" s="5" t="s">
        <v>110</v>
      </c>
      <c r="AA812" s="5" t="s">
        <v>67</v>
      </c>
      <c r="AB812" s="5" t="s">
        <v>49</v>
      </c>
      <c r="AC812" s="5" t="s">
        <v>121</v>
      </c>
      <c r="AD812" s="5">
        <v>1</v>
      </c>
    </row>
    <row r="813" spans="1:30">
      <c r="A813" s="5" t="s">
        <v>1948</v>
      </c>
      <c r="B813" s="1">
        <v>45931</v>
      </c>
      <c r="C813" s="5" t="s">
        <v>557</v>
      </c>
      <c r="D813" s="5" t="s">
        <v>343</v>
      </c>
      <c r="E813" s="5" t="s">
        <v>35</v>
      </c>
      <c r="F813" s="5" t="s">
        <v>104</v>
      </c>
      <c r="G813" s="5" t="s">
        <v>104</v>
      </c>
      <c r="H813" s="5" t="s">
        <v>58</v>
      </c>
      <c r="I813" s="5" t="s">
        <v>71</v>
      </c>
      <c r="J813" s="5" t="s">
        <v>117</v>
      </c>
      <c r="K813" s="5">
        <v>1</v>
      </c>
      <c r="L813" s="5">
        <v>1200</v>
      </c>
      <c r="M813" s="5">
        <v>0.1</v>
      </c>
      <c r="N813" s="5">
        <v>1080</v>
      </c>
      <c r="O813" s="5">
        <v>619.52</v>
      </c>
      <c r="P813" s="5">
        <v>460.48</v>
      </c>
      <c r="Q813" s="5">
        <v>42.64</v>
      </c>
      <c r="R813" s="5" t="s">
        <v>41</v>
      </c>
      <c r="S813" s="5" t="s">
        <v>74</v>
      </c>
      <c r="T813" s="5" t="s">
        <v>43</v>
      </c>
      <c r="U813" s="5" t="s">
        <v>76</v>
      </c>
      <c r="V813" s="5">
        <v>2025</v>
      </c>
      <c r="W813" s="5" t="s">
        <v>194</v>
      </c>
      <c r="X813" s="5">
        <v>6</v>
      </c>
      <c r="Y813" s="1" t="s">
        <v>776</v>
      </c>
      <c r="Z813" s="5" t="s">
        <v>89</v>
      </c>
      <c r="AA813" s="5" t="s">
        <v>48</v>
      </c>
      <c r="AB813" s="5" t="s">
        <v>49</v>
      </c>
      <c r="AC813" s="5" t="s">
        <v>121</v>
      </c>
      <c r="AD813" s="5">
        <v>2</v>
      </c>
    </row>
    <row r="814" spans="1:30">
      <c r="A814" s="5" t="s">
        <v>1949</v>
      </c>
      <c r="B814" s="1" t="s">
        <v>750</v>
      </c>
      <c r="C814" s="5" t="s">
        <v>1285</v>
      </c>
      <c r="D814" s="5" t="s">
        <v>515</v>
      </c>
      <c r="E814" s="5" t="s">
        <v>55</v>
      </c>
      <c r="F814" s="5" t="s">
        <v>156</v>
      </c>
      <c r="G814" s="5" t="s">
        <v>157</v>
      </c>
      <c r="H814" s="5" t="s">
        <v>171</v>
      </c>
      <c r="I814" s="5" t="s">
        <v>71</v>
      </c>
      <c r="J814" s="5" t="s">
        <v>72</v>
      </c>
      <c r="K814" s="5">
        <v>5</v>
      </c>
      <c r="L814" s="5">
        <v>3500</v>
      </c>
      <c r="M814" s="5">
        <v>0.1</v>
      </c>
      <c r="N814" s="5">
        <v>15750</v>
      </c>
      <c r="O814" s="5">
        <v>12199.74</v>
      </c>
      <c r="P814" s="5">
        <v>3550.26</v>
      </c>
      <c r="Q814" s="5">
        <v>22.54</v>
      </c>
      <c r="R814" s="5" t="s">
        <v>73</v>
      </c>
      <c r="S814" s="5" t="s">
        <v>42</v>
      </c>
      <c r="T814" s="5" t="s">
        <v>107</v>
      </c>
      <c r="U814" s="5" t="s">
        <v>108</v>
      </c>
      <c r="V814" s="5">
        <v>2025</v>
      </c>
      <c r="W814" s="5" t="s">
        <v>126</v>
      </c>
      <c r="X814" s="5">
        <v>9</v>
      </c>
      <c r="Y814" s="1">
        <v>45667</v>
      </c>
      <c r="Z814" s="5" t="s">
        <v>47</v>
      </c>
      <c r="AA814" s="5" t="s">
        <v>90</v>
      </c>
      <c r="AB814" s="5" t="s">
        <v>78</v>
      </c>
      <c r="AC814" s="5" t="s">
        <v>121</v>
      </c>
      <c r="AD814" s="5">
        <v>3</v>
      </c>
    </row>
    <row r="815" spans="1:30">
      <c r="A815" s="5" t="s">
        <v>1950</v>
      </c>
      <c r="B815" s="1">
        <v>45689</v>
      </c>
      <c r="C815" s="5" t="s">
        <v>709</v>
      </c>
      <c r="D815" s="5" t="s">
        <v>1951</v>
      </c>
      <c r="E815" s="5" t="s">
        <v>35</v>
      </c>
      <c r="F815" s="5" t="s">
        <v>104</v>
      </c>
      <c r="G815" s="5" t="s">
        <v>104</v>
      </c>
      <c r="H815" s="5" t="s">
        <v>171</v>
      </c>
      <c r="I815" s="5" t="s">
        <v>71</v>
      </c>
      <c r="J815" s="5" t="s">
        <v>240</v>
      </c>
      <c r="K815" s="5">
        <v>3</v>
      </c>
      <c r="L815" s="5">
        <v>2500</v>
      </c>
      <c r="M815" s="5">
        <v>0.15</v>
      </c>
      <c r="N815" s="5">
        <v>6375</v>
      </c>
      <c r="O815" s="5">
        <v>4011.7</v>
      </c>
      <c r="P815" s="5">
        <v>2363.3000000000002</v>
      </c>
      <c r="Q815" s="5">
        <v>37.07</v>
      </c>
      <c r="R815" s="5" t="s">
        <v>61</v>
      </c>
      <c r="S815" s="5" t="s">
        <v>74</v>
      </c>
      <c r="T815" s="5" t="s">
        <v>86</v>
      </c>
      <c r="U815" s="5" t="s">
        <v>76</v>
      </c>
      <c r="V815" s="5">
        <v>2025</v>
      </c>
      <c r="W815" s="5" t="s">
        <v>139</v>
      </c>
      <c r="X815" s="5">
        <v>9</v>
      </c>
      <c r="Y815" s="1">
        <v>45962</v>
      </c>
      <c r="Z815" s="5" t="s">
        <v>47</v>
      </c>
      <c r="AA815" s="5" t="s">
        <v>67</v>
      </c>
      <c r="AB815" s="5" t="s">
        <v>49</v>
      </c>
      <c r="AC815" s="5" t="s">
        <v>121</v>
      </c>
      <c r="AD815" s="5">
        <v>1</v>
      </c>
    </row>
    <row r="816" spans="1:30">
      <c r="A816" s="5" t="s">
        <v>1952</v>
      </c>
      <c r="B816" s="1">
        <v>45751</v>
      </c>
      <c r="C816" s="5" t="s">
        <v>1271</v>
      </c>
      <c r="D816" s="5" t="s">
        <v>1832</v>
      </c>
      <c r="E816" s="5" t="s">
        <v>55</v>
      </c>
      <c r="F816" s="5" t="s">
        <v>36</v>
      </c>
      <c r="G816" s="5" t="s">
        <v>37</v>
      </c>
      <c r="H816" s="5" t="s">
        <v>38</v>
      </c>
      <c r="I816" s="5" t="s">
        <v>39</v>
      </c>
      <c r="J816" s="5" t="s">
        <v>165</v>
      </c>
      <c r="K816" s="5">
        <v>2</v>
      </c>
      <c r="L816" s="5">
        <v>12000</v>
      </c>
      <c r="M816" s="5">
        <v>0</v>
      </c>
      <c r="N816" s="5">
        <v>24000</v>
      </c>
      <c r="O816" s="5">
        <v>17883.55</v>
      </c>
      <c r="P816" s="5">
        <v>6116.45</v>
      </c>
      <c r="Q816" s="5">
        <v>25.49</v>
      </c>
      <c r="R816" s="5" t="s">
        <v>166</v>
      </c>
      <c r="S816" s="5" t="s">
        <v>62</v>
      </c>
      <c r="T816" s="5" t="s">
        <v>75</v>
      </c>
      <c r="U816" s="5" t="s">
        <v>44</v>
      </c>
      <c r="V816" s="5">
        <v>2025</v>
      </c>
      <c r="W816" s="5" t="s">
        <v>194</v>
      </c>
      <c r="X816" s="5">
        <v>3</v>
      </c>
      <c r="Y816" s="1">
        <v>45842</v>
      </c>
      <c r="Z816" s="5" t="s">
        <v>47</v>
      </c>
      <c r="AA816" s="5" t="s">
        <v>90</v>
      </c>
      <c r="AB816" s="5" t="s">
        <v>111</v>
      </c>
      <c r="AC816" s="5" t="s">
        <v>50</v>
      </c>
      <c r="AD816" s="5">
        <v>2</v>
      </c>
    </row>
    <row r="817" spans="1:30">
      <c r="A817" s="5" t="s">
        <v>1953</v>
      </c>
      <c r="B817" s="1" t="s">
        <v>66</v>
      </c>
      <c r="C817" s="5" t="s">
        <v>277</v>
      </c>
      <c r="D817" s="5" t="s">
        <v>1424</v>
      </c>
      <c r="E817" s="5" t="s">
        <v>55</v>
      </c>
      <c r="F817" s="5" t="s">
        <v>56</v>
      </c>
      <c r="G817" s="5" t="s">
        <v>57</v>
      </c>
      <c r="H817" s="5" t="s">
        <v>94</v>
      </c>
      <c r="I817" s="5" t="s">
        <v>39</v>
      </c>
      <c r="J817" s="5" t="s">
        <v>40</v>
      </c>
      <c r="K817" s="5">
        <v>3</v>
      </c>
      <c r="L817" s="5">
        <v>22000</v>
      </c>
      <c r="M817" s="5">
        <v>0.05</v>
      </c>
      <c r="N817" s="5">
        <v>62700</v>
      </c>
      <c r="O817" s="5">
        <v>35016.22</v>
      </c>
      <c r="P817" s="5">
        <v>27683.78</v>
      </c>
      <c r="Q817" s="5">
        <v>44.15</v>
      </c>
      <c r="R817" s="5" t="s">
        <v>166</v>
      </c>
      <c r="S817" s="5" t="s">
        <v>42</v>
      </c>
      <c r="T817" s="5" t="s">
        <v>97</v>
      </c>
      <c r="U817" s="5" t="s">
        <v>64</v>
      </c>
      <c r="V817" s="5">
        <v>2024</v>
      </c>
      <c r="W817" s="5" t="s">
        <v>139</v>
      </c>
      <c r="X817" s="5">
        <v>2</v>
      </c>
      <c r="Y817" s="1" t="s">
        <v>185</v>
      </c>
      <c r="Z817" s="5" t="s">
        <v>47</v>
      </c>
      <c r="AA817" s="5" t="s">
        <v>67</v>
      </c>
      <c r="AB817" s="5" t="s">
        <v>49</v>
      </c>
      <c r="AC817" s="5" t="s">
        <v>50</v>
      </c>
      <c r="AD817" s="5">
        <v>4</v>
      </c>
    </row>
    <row r="818" spans="1:30">
      <c r="A818" s="5" t="s">
        <v>1954</v>
      </c>
      <c r="B818" s="1">
        <v>45660</v>
      </c>
      <c r="C818" s="5" t="s">
        <v>1372</v>
      </c>
      <c r="D818" s="5" t="s">
        <v>1955</v>
      </c>
      <c r="E818" s="5" t="s">
        <v>35</v>
      </c>
      <c r="F818" s="5" t="s">
        <v>82</v>
      </c>
      <c r="G818" s="5" t="s">
        <v>83</v>
      </c>
      <c r="H818" s="5" t="s">
        <v>38</v>
      </c>
      <c r="I818" s="5" t="s">
        <v>59</v>
      </c>
      <c r="J818" s="5" t="s">
        <v>206</v>
      </c>
      <c r="K818" s="5">
        <v>1</v>
      </c>
      <c r="L818" s="5">
        <v>800</v>
      </c>
      <c r="M818" s="5">
        <v>0.1</v>
      </c>
      <c r="N818" s="5">
        <v>720</v>
      </c>
      <c r="O818" s="5">
        <v>566.20000000000005</v>
      </c>
      <c r="P818" s="5">
        <v>153.80000000000001</v>
      </c>
      <c r="Q818" s="5">
        <v>21.36</v>
      </c>
      <c r="R818" s="5" t="s">
        <v>41</v>
      </c>
      <c r="S818" s="5" t="s">
        <v>42</v>
      </c>
      <c r="T818" s="5" t="s">
        <v>138</v>
      </c>
      <c r="U818" s="5" t="s">
        <v>178</v>
      </c>
      <c r="V818" s="5">
        <v>2025</v>
      </c>
      <c r="W818" s="5" t="s">
        <v>65</v>
      </c>
      <c r="X818" s="5">
        <v>2</v>
      </c>
      <c r="Y818" s="1">
        <v>45719</v>
      </c>
      <c r="Z818" s="5" t="s">
        <v>110</v>
      </c>
      <c r="AA818" s="5" t="s">
        <v>67</v>
      </c>
      <c r="AB818" s="5" t="s">
        <v>49</v>
      </c>
      <c r="AC818" s="5" t="s">
        <v>121</v>
      </c>
      <c r="AD818" s="5">
        <v>4</v>
      </c>
    </row>
    <row r="819" spans="1:30">
      <c r="A819" s="5" t="s">
        <v>1956</v>
      </c>
      <c r="B819" s="1">
        <v>45608</v>
      </c>
      <c r="C819" s="5" t="s">
        <v>1543</v>
      </c>
      <c r="D819" s="5" t="s">
        <v>1057</v>
      </c>
      <c r="E819" s="5" t="s">
        <v>35</v>
      </c>
      <c r="F819" s="5" t="s">
        <v>104</v>
      </c>
      <c r="G819" s="5" t="s">
        <v>104</v>
      </c>
      <c r="H819" s="5" t="s">
        <v>171</v>
      </c>
      <c r="I819" s="5" t="s">
        <v>39</v>
      </c>
      <c r="J819" s="5" t="s">
        <v>40</v>
      </c>
      <c r="K819" s="5">
        <v>6</v>
      </c>
      <c r="L819" s="5">
        <v>35000</v>
      </c>
      <c r="M819" s="5">
        <v>0.1</v>
      </c>
      <c r="N819" s="5">
        <v>189000</v>
      </c>
      <c r="O819" s="5">
        <v>128587.2</v>
      </c>
      <c r="P819" s="5">
        <v>60412.800000000003</v>
      </c>
      <c r="Q819" s="5">
        <v>31.96</v>
      </c>
      <c r="R819" s="5" t="s">
        <v>41</v>
      </c>
      <c r="S819" s="5" t="s">
        <v>62</v>
      </c>
      <c r="T819" s="5" t="s">
        <v>107</v>
      </c>
      <c r="U819" s="5" t="s">
        <v>64</v>
      </c>
      <c r="V819" s="5">
        <v>2024</v>
      </c>
      <c r="W819" s="5" t="s">
        <v>134</v>
      </c>
      <c r="X819" s="5">
        <v>1</v>
      </c>
      <c r="Y819" s="1">
        <v>45638</v>
      </c>
      <c r="Z819" s="5" t="s">
        <v>47</v>
      </c>
      <c r="AA819" s="5" t="s">
        <v>67</v>
      </c>
      <c r="AB819" s="5" t="s">
        <v>111</v>
      </c>
      <c r="AC819" s="5" t="s">
        <v>121</v>
      </c>
      <c r="AD819" s="5">
        <v>4</v>
      </c>
    </row>
    <row r="820" spans="1:30">
      <c r="A820" s="5" t="s">
        <v>1957</v>
      </c>
      <c r="B820" s="1">
        <v>45995</v>
      </c>
      <c r="C820" s="5" t="s">
        <v>724</v>
      </c>
      <c r="D820" s="5" t="s">
        <v>821</v>
      </c>
      <c r="E820" s="5" t="s">
        <v>35</v>
      </c>
      <c r="F820" s="5" t="s">
        <v>104</v>
      </c>
      <c r="G820" s="5" t="s">
        <v>104</v>
      </c>
      <c r="H820" s="5" t="s">
        <v>94</v>
      </c>
      <c r="I820" s="5" t="s">
        <v>71</v>
      </c>
      <c r="J820" s="5" t="s">
        <v>172</v>
      </c>
      <c r="K820" s="5">
        <v>9</v>
      </c>
      <c r="L820" s="5">
        <v>1800</v>
      </c>
      <c r="M820" s="5">
        <v>0.2</v>
      </c>
      <c r="N820" s="5">
        <v>12960</v>
      </c>
      <c r="O820" s="5">
        <v>8291.85</v>
      </c>
      <c r="P820" s="5">
        <v>4668.1499999999996</v>
      </c>
      <c r="Q820" s="5">
        <v>36.020000000000003</v>
      </c>
      <c r="R820" s="5" t="s">
        <v>166</v>
      </c>
      <c r="S820" s="5" t="s">
        <v>62</v>
      </c>
      <c r="T820" s="5" t="s">
        <v>63</v>
      </c>
      <c r="U820" s="5" t="s">
        <v>44</v>
      </c>
      <c r="V820" s="5">
        <v>2025</v>
      </c>
      <c r="W820" s="5" t="s">
        <v>65</v>
      </c>
      <c r="X820" s="5">
        <v>1</v>
      </c>
      <c r="Y820" s="1" t="s">
        <v>1059</v>
      </c>
      <c r="Z820" s="5" t="s">
        <v>47</v>
      </c>
      <c r="AA820" s="5" t="s">
        <v>48</v>
      </c>
      <c r="AB820" s="5" t="s">
        <v>49</v>
      </c>
      <c r="AC820" s="5" t="s">
        <v>50</v>
      </c>
      <c r="AD820" s="5">
        <v>5</v>
      </c>
    </row>
    <row r="821" spans="1:30">
      <c r="A821" s="5" t="s">
        <v>1958</v>
      </c>
      <c r="B821" s="1" t="s">
        <v>256</v>
      </c>
      <c r="C821" s="5" t="s">
        <v>1426</v>
      </c>
      <c r="D821" s="5" t="s">
        <v>1476</v>
      </c>
      <c r="E821" s="5" t="s">
        <v>35</v>
      </c>
      <c r="F821" s="5" t="s">
        <v>149</v>
      </c>
      <c r="G821" s="5" t="s">
        <v>150</v>
      </c>
      <c r="H821" s="5" t="s">
        <v>38</v>
      </c>
      <c r="I821" s="5" t="s">
        <v>71</v>
      </c>
      <c r="J821" s="5" t="s">
        <v>240</v>
      </c>
      <c r="K821" s="5">
        <v>5</v>
      </c>
      <c r="L821" s="5">
        <v>700</v>
      </c>
      <c r="M821" s="5">
        <v>0.05</v>
      </c>
      <c r="N821" s="5">
        <v>3325</v>
      </c>
      <c r="O821" s="5">
        <v>2183.19</v>
      </c>
      <c r="P821" s="5">
        <v>1141.81</v>
      </c>
      <c r="Q821" s="5">
        <v>34.340000000000003</v>
      </c>
      <c r="R821" s="5" t="s">
        <v>166</v>
      </c>
      <c r="S821" s="5" t="s">
        <v>74</v>
      </c>
      <c r="T821" s="5" t="s">
        <v>75</v>
      </c>
      <c r="U821" s="5" t="s">
        <v>198</v>
      </c>
      <c r="V821" s="5">
        <v>2025</v>
      </c>
      <c r="W821" s="5" t="s">
        <v>65</v>
      </c>
      <c r="X821" s="5">
        <v>10</v>
      </c>
      <c r="Y821" s="1" t="s">
        <v>476</v>
      </c>
      <c r="Z821" s="5" t="s">
        <v>47</v>
      </c>
      <c r="AA821" s="5" t="s">
        <v>90</v>
      </c>
      <c r="AB821" s="5" t="s">
        <v>78</v>
      </c>
      <c r="AC821" s="5" t="s">
        <v>121</v>
      </c>
      <c r="AD821" s="5">
        <v>1</v>
      </c>
    </row>
    <row r="822" spans="1:30">
      <c r="A822" s="5" t="s">
        <v>1959</v>
      </c>
      <c r="B822" s="1" t="s">
        <v>1960</v>
      </c>
      <c r="C822" s="5" t="s">
        <v>749</v>
      </c>
      <c r="D822" s="5" t="s">
        <v>387</v>
      </c>
      <c r="E822" s="5" t="s">
        <v>103</v>
      </c>
      <c r="F822" s="5" t="s">
        <v>116</v>
      </c>
      <c r="G822" s="5" t="s">
        <v>37</v>
      </c>
      <c r="H822" s="5" t="s">
        <v>171</v>
      </c>
      <c r="I822" s="5" t="s">
        <v>59</v>
      </c>
      <c r="J822" s="5" t="s">
        <v>372</v>
      </c>
      <c r="K822" s="5">
        <v>7</v>
      </c>
      <c r="L822" s="5">
        <v>500</v>
      </c>
      <c r="M822" s="5">
        <v>0.2</v>
      </c>
      <c r="N822" s="5">
        <v>2800</v>
      </c>
      <c r="O822" s="5">
        <v>2041.47</v>
      </c>
      <c r="P822" s="5">
        <v>758.53</v>
      </c>
      <c r="Q822" s="5">
        <v>27.09</v>
      </c>
      <c r="R822" s="5" t="s">
        <v>106</v>
      </c>
      <c r="S822" s="5" t="s">
        <v>74</v>
      </c>
      <c r="T822" s="5" t="s">
        <v>75</v>
      </c>
      <c r="U822" s="5" t="s">
        <v>87</v>
      </c>
      <c r="V822" s="5">
        <v>2025</v>
      </c>
      <c r="W822" s="5" t="s">
        <v>194</v>
      </c>
      <c r="X822" s="5">
        <v>5</v>
      </c>
      <c r="Y822" s="1" t="s">
        <v>1004</v>
      </c>
      <c r="Z822" s="5" t="s">
        <v>89</v>
      </c>
      <c r="AA822" s="5" t="s">
        <v>48</v>
      </c>
      <c r="AB822" s="5" t="s">
        <v>111</v>
      </c>
      <c r="AC822" s="5" t="s">
        <v>50</v>
      </c>
      <c r="AD822" s="5">
        <v>2</v>
      </c>
    </row>
    <row r="823" spans="1:30">
      <c r="A823" s="5" t="s">
        <v>1961</v>
      </c>
      <c r="B823" s="1" t="s">
        <v>734</v>
      </c>
      <c r="C823" s="5" t="s">
        <v>1392</v>
      </c>
      <c r="D823" s="5" t="s">
        <v>1162</v>
      </c>
      <c r="E823" s="5" t="s">
        <v>103</v>
      </c>
      <c r="F823" s="5" t="s">
        <v>131</v>
      </c>
      <c r="G823" s="5" t="s">
        <v>132</v>
      </c>
      <c r="H823" s="5" t="s">
        <v>171</v>
      </c>
      <c r="I823" s="5" t="s">
        <v>95</v>
      </c>
      <c r="J823" s="5" t="s">
        <v>344</v>
      </c>
      <c r="K823" s="5">
        <v>7</v>
      </c>
      <c r="L823" s="5">
        <v>2500</v>
      </c>
      <c r="M823" s="5">
        <v>0.1</v>
      </c>
      <c r="N823" s="5">
        <v>15750</v>
      </c>
      <c r="O823" s="5">
        <v>8750.49</v>
      </c>
      <c r="P823" s="5">
        <v>6999.51</v>
      </c>
      <c r="Q823" s="5">
        <v>44.44</v>
      </c>
      <c r="R823" s="5" t="s">
        <v>61</v>
      </c>
      <c r="S823" s="5" t="s">
        <v>62</v>
      </c>
      <c r="T823" s="5" t="s">
        <v>118</v>
      </c>
      <c r="U823" s="5" t="s">
        <v>87</v>
      </c>
      <c r="V823" s="5">
        <v>2025</v>
      </c>
      <c r="W823" s="5" t="s">
        <v>194</v>
      </c>
      <c r="X823" s="5">
        <v>4</v>
      </c>
      <c r="Y823" s="1" t="s">
        <v>1006</v>
      </c>
      <c r="Z823" s="5" t="s">
        <v>110</v>
      </c>
      <c r="AA823" s="5" t="s">
        <v>67</v>
      </c>
      <c r="AB823" s="5" t="s">
        <v>49</v>
      </c>
      <c r="AC823" s="5" t="s">
        <v>121</v>
      </c>
      <c r="AD823" s="5">
        <v>3</v>
      </c>
    </row>
    <row r="824" spans="1:30">
      <c r="A824" s="5" t="s">
        <v>1962</v>
      </c>
      <c r="B824" s="1" t="s">
        <v>460</v>
      </c>
      <c r="C824" s="5" t="s">
        <v>1963</v>
      </c>
      <c r="D824" s="5" t="s">
        <v>1887</v>
      </c>
      <c r="E824" s="5" t="s">
        <v>55</v>
      </c>
      <c r="F824" s="5" t="s">
        <v>36</v>
      </c>
      <c r="G824" s="5" t="s">
        <v>37</v>
      </c>
      <c r="H824" s="5" t="s">
        <v>38</v>
      </c>
      <c r="I824" s="5" t="s">
        <v>84</v>
      </c>
      <c r="J824" s="5" t="s">
        <v>229</v>
      </c>
      <c r="K824" s="5">
        <v>9</v>
      </c>
      <c r="L824" s="5">
        <v>800</v>
      </c>
      <c r="M824" s="5">
        <v>0</v>
      </c>
      <c r="N824" s="5">
        <v>7200</v>
      </c>
      <c r="O824" s="5">
        <v>5618.29</v>
      </c>
      <c r="P824" s="5">
        <v>1581.71</v>
      </c>
      <c r="Q824" s="5">
        <v>21.97</v>
      </c>
      <c r="R824" s="5" t="s">
        <v>106</v>
      </c>
      <c r="S824" s="5" t="s">
        <v>62</v>
      </c>
      <c r="T824" s="5" t="s">
        <v>97</v>
      </c>
      <c r="U824" s="5" t="s">
        <v>178</v>
      </c>
      <c r="V824" s="5">
        <v>2024</v>
      </c>
      <c r="W824" s="5" t="s">
        <v>109</v>
      </c>
      <c r="X824" s="5">
        <v>3</v>
      </c>
      <c r="Y824" s="1" t="s">
        <v>1817</v>
      </c>
      <c r="Z824" s="5" t="s">
        <v>47</v>
      </c>
      <c r="AA824" s="5" t="s">
        <v>90</v>
      </c>
      <c r="AB824" s="5" t="s">
        <v>111</v>
      </c>
      <c r="AC824" s="5" t="s">
        <v>50</v>
      </c>
      <c r="AD824" s="5">
        <v>5</v>
      </c>
    </row>
    <row r="825" spans="1:30">
      <c r="A825" s="5" t="s">
        <v>1964</v>
      </c>
      <c r="B825" s="1">
        <v>45386</v>
      </c>
      <c r="C825" s="5" t="s">
        <v>1558</v>
      </c>
      <c r="D825" s="5" t="s">
        <v>961</v>
      </c>
      <c r="E825" s="5" t="s">
        <v>103</v>
      </c>
      <c r="F825" s="5" t="s">
        <v>36</v>
      </c>
      <c r="G825" s="5" t="s">
        <v>37</v>
      </c>
      <c r="H825" s="5" t="s">
        <v>58</v>
      </c>
      <c r="I825" s="5" t="s">
        <v>71</v>
      </c>
      <c r="J825" s="5" t="s">
        <v>172</v>
      </c>
      <c r="K825" s="5">
        <v>5</v>
      </c>
      <c r="L825" s="5">
        <v>700</v>
      </c>
      <c r="M825" s="5">
        <v>0.1</v>
      </c>
      <c r="N825" s="5">
        <v>3150</v>
      </c>
      <c r="O825" s="5">
        <v>2062.39</v>
      </c>
      <c r="P825" s="5">
        <v>1087.6099999999999</v>
      </c>
      <c r="Q825" s="5">
        <v>34.53</v>
      </c>
      <c r="R825" s="5" t="s">
        <v>41</v>
      </c>
      <c r="S825" s="5" t="s">
        <v>74</v>
      </c>
      <c r="T825" s="5" t="s">
        <v>173</v>
      </c>
      <c r="U825" s="5" t="s">
        <v>44</v>
      </c>
      <c r="V825" s="5">
        <v>2024</v>
      </c>
      <c r="W825" s="5" t="s">
        <v>139</v>
      </c>
      <c r="X825" s="5">
        <v>6</v>
      </c>
      <c r="Y825" s="1">
        <v>45569</v>
      </c>
      <c r="Z825" s="5" t="s">
        <v>47</v>
      </c>
      <c r="AA825" s="5" t="s">
        <v>90</v>
      </c>
      <c r="AB825" s="5" t="s">
        <v>49</v>
      </c>
      <c r="AC825" s="5" t="s">
        <v>50</v>
      </c>
      <c r="AD825" s="5">
        <v>2</v>
      </c>
    </row>
    <row r="826" spans="1:30">
      <c r="A826" s="5" t="s">
        <v>1965</v>
      </c>
      <c r="B826" s="1" t="s">
        <v>52</v>
      </c>
      <c r="C826" s="5" t="s">
        <v>1219</v>
      </c>
      <c r="D826" s="5" t="s">
        <v>1431</v>
      </c>
      <c r="E826" s="5" t="s">
        <v>35</v>
      </c>
      <c r="F826" s="5" t="s">
        <v>131</v>
      </c>
      <c r="G826" s="5" t="s">
        <v>132</v>
      </c>
      <c r="H826" s="5" t="s">
        <v>38</v>
      </c>
      <c r="I826" s="5" t="s">
        <v>59</v>
      </c>
      <c r="J826" s="5" t="s">
        <v>206</v>
      </c>
      <c r="K826" s="5">
        <v>8</v>
      </c>
      <c r="L826" s="5">
        <v>1200</v>
      </c>
      <c r="M826" s="5">
        <v>0</v>
      </c>
      <c r="N826" s="5">
        <v>9600</v>
      </c>
      <c r="O826" s="5">
        <v>5548.45</v>
      </c>
      <c r="P826" s="5">
        <v>4051.55</v>
      </c>
      <c r="Q826" s="5">
        <v>42.2</v>
      </c>
      <c r="R826" s="5" t="s">
        <v>41</v>
      </c>
      <c r="S826" s="5" t="s">
        <v>42</v>
      </c>
      <c r="T826" s="5" t="s">
        <v>138</v>
      </c>
      <c r="U826" s="5" t="s">
        <v>64</v>
      </c>
      <c r="V826" s="5">
        <v>2024</v>
      </c>
      <c r="W826" s="5" t="s">
        <v>65</v>
      </c>
      <c r="X826" s="5">
        <v>7</v>
      </c>
      <c r="Y826" s="1" t="s">
        <v>185</v>
      </c>
      <c r="Z826" s="5" t="s">
        <v>110</v>
      </c>
      <c r="AA826" s="5" t="s">
        <v>48</v>
      </c>
      <c r="AB826" s="5" t="s">
        <v>111</v>
      </c>
      <c r="AC826" s="5" t="s">
        <v>121</v>
      </c>
      <c r="AD826" s="5">
        <v>2</v>
      </c>
    </row>
    <row r="827" spans="1:30">
      <c r="A827" s="5" t="s">
        <v>1966</v>
      </c>
      <c r="B827" s="1" t="s">
        <v>996</v>
      </c>
      <c r="C827" s="5" t="s">
        <v>1963</v>
      </c>
      <c r="D827" s="5" t="s">
        <v>927</v>
      </c>
      <c r="E827" s="5" t="s">
        <v>35</v>
      </c>
      <c r="F827" s="5" t="s">
        <v>56</v>
      </c>
      <c r="G827" s="5" t="s">
        <v>57</v>
      </c>
      <c r="H827" s="5" t="s">
        <v>171</v>
      </c>
      <c r="I827" s="5" t="s">
        <v>59</v>
      </c>
      <c r="J827" s="5" t="s">
        <v>133</v>
      </c>
      <c r="K827" s="5">
        <v>7</v>
      </c>
      <c r="L827" s="5">
        <v>1200</v>
      </c>
      <c r="M827" s="5">
        <v>0.1</v>
      </c>
      <c r="N827" s="5">
        <v>7560</v>
      </c>
      <c r="O827" s="5">
        <v>5082.4799999999996</v>
      </c>
      <c r="P827" s="5">
        <v>2477.52</v>
      </c>
      <c r="Q827" s="5">
        <v>32.770000000000003</v>
      </c>
      <c r="R827" s="5" t="s">
        <v>61</v>
      </c>
      <c r="S827" s="5" t="s">
        <v>62</v>
      </c>
      <c r="T827" s="5" t="s">
        <v>43</v>
      </c>
      <c r="U827" s="5" t="s">
        <v>151</v>
      </c>
      <c r="V827" s="5">
        <v>2024</v>
      </c>
      <c r="W827" s="5" t="s">
        <v>126</v>
      </c>
      <c r="X827" s="5">
        <v>1</v>
      </c>
      <c r="Y827" s="1" t="s">
        <v>443</v>
      </c>
      <c r="Z827" s="5" t="s">
        <v>47</v>
      </c>
      <c r="AA827" s="5" t="s">
        <v>67</v>
      </c>
      <c r="AB827" s="5" t="s">
        <v>78</v>
      </c>
      <c r="AC827" s="5" t="s">
        <v>121</v>
      </c>
      <c r="AD827" s="5">
        <v>2</v>
      </c>
    </row>
    <row r="828" spans="1:30">
      <c r="A828" s="5" t="s">
        <v>1967</v>
      </c>
      <c r="B828" s="1" t="s">
        <v>504</v>
      </c>
      <c r="C828" s="5" t="s">
        <v>284</v>
      </c>
      <c r="D828" s="5" t="s">
        <v>137</v>
      </c>
      <c r="E828" s="5" t="s">
        <v>103</v>
      </c>
      <c r="F828" s="5" t="s">
        <v>36</v>
      </c>
      <c r="G828" s="5" t="s">
        <v>37</v>
      </c>
      <c r="H828" s="5" t="s">
        <v>58</v>
      </c>
      <c r="I828" s="5" t="s">
        <v>59</v>
      </c>
      <c r="J828" s="5" t="s">
        <v>372</v>
      </c>
      <c r="K828" s="5">
        <v>9</v>
      </c>
      <c r="L828" s="5">
        <v>500</v>
      </c>
      <c r="M828" s="5">
        <v>0.2</v>
      </c>
      <c r="N828" s="5">
        <v>3600</v>
      </c>
      <c r="O828" s="5">
        <v>2518.08</v>
      </c>
      <c r="P828" s="5">
        <v>1081.92</v>
      </c>
      <c r="Q828" s="5">
        <v>30.05</v>
      </c>
      <c r="R828" s="5" t="s">
        <v>61</v>
      </c>
      <c r="S828" s="5" t="s">
        <v>74</v>
      </c>
      <c r="T828" s="5" t="s">
        <v>159</v>
      </c>
      <c r="U828" s="5" t="s">
        <v>119</v>
      </c>
      <c r="V828" s="5">
        <v>2024</v>
      </c>
      <c r="W828" s="5" t="s">
        <v>45</v>
      </c>
      <c r="X828" s="5">
        <v>8</v>
      </c>
      <c r="Y828" s="1" t="s">
        <v>1798</v>
      </c>
      <c r="Z828" s="5" t="s">
        <v>110</v>
      </c>
      <c r="AA828" s="5" t="s">
        <v>48</v>
      </c>
      <c r="AB828" s="5" t="s">
        <v>78</v>
      </c>
      <c r="AC828" s="5" t="s">
        <v>50</v>
      </c>
      <c r="AD828" s="5">
        <v>1</v>
      </c>
    </row>
    <row r="829" spans="1:30">
      <c r="A829" s="5" t="s">
        <v>1968</v>
      </c>
      <c r="B829" s="1" t="s">
        <v>928</v>
      </c>
      <c r="C829" s="5" t="s">
        <v>142</v>
      </c>
      <c r="D829" s="5" t="s">
        <v>422</v>
      </c>
      <c r="E829" s="5" t="s">
        <v>55</v>
      </c>
      <c r="F829" s="5" t="s">
        <v>36</v>
      </c>
      <c r="G829" s="5" t="s">
        <v>37</v>
      </c>
      <c r="H829" s="5" t="s">
        <v>58</v>
      </c>
      <c r="I829" s="5" t="s">
        <v>39</v>
      </c>
      <c r="J829" s="5" t="s">
        <v>40</v>
      </c>
      <c r="K829" s="5">
        <v>3</v>
      </c>
      <c r="L829" s="5">
        <v>50000</v>
      </c>
      <c r="M829" s="5">
        <v>0.1</v>
      </c>
      <c r="N829" s="5">
        <v>135000</v>
      </c>
      <c r="O829" s="5">
        <v>86640.86</v>
      </c>
      <c r="P829" s="5">
        <v>48359.14</v>
      </c>
      <c r="Q829" s="5">
        <v>35.82</v>
      </c>
      <c r="R829" s="5" t="s">
        <v>166</v>
      </c>
      <c r="S829" s="5" t="s">
        <v>62</v>
      </c>
      <c r="T829" s="5" t="s">
        <v>159</v>
      </c>
      <c r="U829" s="5" t="s">
        <v>76</v>
      </c>
      <c r="V829" s="5">
        <v>2025</v>
      </c>
      <c r="W829" s="5" t="s">
        <v>139</v>
      </c>
      <c r="X829" s="5">
        <v>3</v>
      </c>
      <c r="Y829" s="1" t="s">
        <v>431</v>
      </c>
      <c r="Z829" s="5" t="s">
        <v>47</v>
      </c>
      <c r="AA829" s="5" t="s">
        <v>67</v>
      </c>
      <c r="AB829" s="5" t="s">
        <v>49</v>
      </c>
      <c r="AC829" s="5" t="s">
        <v>121</v>
      </c>
      <c r="AD829" s="5">
        <v>3</v>
      </c>
    </row>
    <row r="830" spans="1:30">
      <c r="A830" s="5" t="s">
        <v>1969</v>
      </c>
      <c r="B830" s="1">
        <v>45786</v>
      </c>
      <c r="C830" s="5" t="s">
        <v>154</v>
      </c>
      <c r="D830" s="5" t="s">
        <v>870</v>
      </c>
      <c r="E830" s="5" t="s">
        <v>35</v>
      </c>
      <c r="F830" s="5" t="s">
        <v>82</v>
      </c>
      <c r="G830" s="5" t="s">
        <v>83</v>
      </c>
      <c r="H830" s="5" t="s">
        <v>38</v>
      </c>
      <c r="I830" s="5" t="s">
        <v>95</v>
      </c>
      <c r="J830" s="5" t="s">
        <v>344</v>
      </c>
      <c r="K830" s="5">
        <v>3</v>
      </c>
      <c r="L830" s="5">
        <v>15000</v>
      </c>
      <c r="M830" s="5">
        <v>0.2</v>
      </c>
      <c r="N830" s="5">
        <v>36000</v>
      </c>
      <c r="O830" s="5">
        <v>20902</v>
      </c>
      <c r="P830" s="5">
        <v>15098</v>
      </c>
      <c r="Q830" s="5">
        <v>41.94</v>
      </c>
      <c r="R830" s="5" t="s">
        <v>41</v>
      </c>
      <c r="S830" s="5" t="s">
        <v>74</v>
      </c>
      <c r="T830" s="5" t="s">
        <v>63</v>
      </c>
      <c r="U830" s="5" t="s">
        <v>108</v>
      </c>
      <c r="V830" s="5">
        <v>2025</v>
      </c>
      <c r="W830" s="5" t="s">
        <v>194</v>
      </c>
      <c r="X830" s="5">
        <v>2</v>
      </c>
      <c r="Y830" s="1">
        <v>45847</v>
      </c>
      <c r="Z830" s="5" t="s">
        <v>47</v>
      </c>
      <c r="AA830" s="5" t="s">
        <v>90</v>
      </c>
      <c r="AB830" s="5" t="s">
        <v>49</v>
      </c>
      <c r="AC830" s="5" t="s">
        <v>121</v>
      </c>
      <c r="AD830" s="5">
        <v>3</v>
      </c>
    </row>
    <row r="831" spans="1:30">
      <c r="A831" s="5" t="s">
        <v>1970</v>
      </c>
      <c r="B831" s="1">
        <v>45881</v>
      </c>
      <c r="C831" s="5" t="s">
        <v>1490</v>
      </c>
      <c r="D831" s="5" t="s">
        <v>1411</v>
      </c>
      <c r="E831" s="5" t="s">
        <v>55</v>
      </c>
      <c r="F831" s="5" t="s">
        <v>116</v>
      </c>
      <c r="G831" s="5" t="s">
        <v>37</v>
      </c>
      <c r="H831" s="5" t="s">
        <v>58</v>
      </c>
      <c r="I831" s="5" t="s">
        <v>59</v>
      </c>
      <c r="J831" s="5" t="s">
        <v>372</v>
      </c>
      <c r="K831" s="5">
        <v>2</v>
      </c>
      <c r="L831" s="5">
        <v>3000</v>
      </c>
      <c r="M831" s="5">
        <v>0.2</v>
      </c>
      <c r="N831" s="5">
        <v>4800</v>
      </c>
      <c r="O831" s="5">
        <v>3814.59</v>
      </c>
      <c r="P831" s="5">
        <v>985.41</v>
      </c>
      <c r="Q831" s="5">
        <v>20.53</v>
      </c>
      <c r="R831" s="5" t="s">
        <v>61</v>
      </c>
      <c r="S831" s="5" t="s">
        <v>62</v>
      </c>
      <c r="T831" s="5" t="s">
        <v>173</v>
      </c>
      <c r="U831" s="5" t="s">
        <v>64</v>
      </c>
      <c r="V831" s="5">
        <v>2025</v>
      </c>
      <c r="W831" s="5" t="s">
        <v>126</v>
      </c>
      <c r="X831" s="5">
        <v>9</v>
      </c>
      <c r="Y831" s="1" t="s">
        <v>242</v>
      </c>
      <c r="Z831" s="5" t="s">
        <v>47</v>
      </c>
      <c r="AA831" s="5" t="s">
        <v>48</v>
      </c>
      <c r="AB831" s="5" t="s">
        <v>78</v>
      </c>
      <c r="AC831" s="5" t="s">
        <v>50</v>
      </c>
      <c r="AD831" s="5">
        <v>1</v>
      </c>
    </row>
    <row r="832" spans="1:30">
      <c r="A832" s="5" t="s">
        <v>1971</v>
      </c>
      <c r="B832" s="1">
        <v>45721</v>
      </c>
      <c r="C832" s="5" t="s">
        <v>498</v>
      </c>
      <c r="D832" s="5" t="s">
        <v>1043</v>
      </c>
      <c r="E832" s="5" t="s">
        <v>55</v>
      </c>
      <c r="F832" s="5" t="s">
        <v>245</v>
      </c>
      <c r="G832" s="5" t="s">
        <v>246</v>
      </c>
      <c r="H832" s="5" t="s">
        <v>38</v>
      </c>
      <c r="I832" s="5" t="s">
        <v>39</v>
      </c>
      <c r="J832" s="5" t="s">
        <v>356</v>
      </c>
      <c r="K832" s="5">
        <v>10</v>
      </c>
      <c r="L832" s="5">
        <v>8000</v>
      </c>
      <c r="M832" s="5">
        <v>0</v>
      </c>
      <c r="N832" s="5">
        <v>80000</v>
      </c>
      <c r="O832" s="5">
        <v>61485.21</v>
      </c>
      <c r="P832" s="5">
        <v>18514.79</v>
      </c>
      <c r="Q832" s="5">
        <v>23.14</v>
      </c>
      <c r="R832" s="5" t="s">
        <v>41</v>
      </c>
      <c r="S832" s="5" t="s">
        <v>42</v>
      </c>
      <c r="T832" s="5" t="s">
        <v>86</v>
      </c>
      <c r="U832" s="5" t="s">
        <v>119</v>
      </c>
      <c r="V832" s="5">
        <v>2025</v>
      </c>
      <c r="W832" s="5" t="s">
        <v>65</v>
      </c>
      <c r="X832" s="5">
        <v>1</v>
      </c>
      <c r="Y832" s="1">
        <v>45752</v>
      </c>
      <c r="Z832" s="5" t="s">
        <v>110</v>
      </c>
      <c r="AA832" s="5" t="s">
        <v>90</v>
      </c>
      <c r="AB832" s="5" t="s">
        <v>78</v>
      </c>
      <c r="AC832" s="5" t="s">
        <v>121</v>
      </c>
      <c r="AD832" s="5">
        <v>2</v>
      </c>
    </row>
    <row r="833" spans="1:30">
      <c r="A833" s="5" t="s">
        <v>1972</v>
      </c>
      <c r="B833" s="1" t="s">
        <v>937</v>
      </c>
      <c r="C833" s="5" t="s">
        <v>1426</v>
      </c>
      <c r="D833" s="5" t="s">
        <v>900</v>
      </c>
      <c r="E833" s="5" t="s">
        <v>55</v>
      </c>
      <c r="F833" s="5" t="s">
        <v>144</v>
      </c>
      <c r="G833" s="5" t="s">
        <v>145</v>
      </c>
      <c r="H833" s="5" t="s">
        <v>38</v>
      </c>
      <c r="I833" s="5" t="s">
        <v>39</v>
      </c>
      <c r="J833" s="5" t="s">
        <v>356</v>
      </c>
      <c r="K833" s="5">
        <v>8</v>
      </c>
      <c r="L833" s="5">
        <v>12000</v>
      </c>
      <c r="M833" s="5">
        <v>0.05</v>
      </c>
      <c r="N833" s="5">
        <v>91200</v>
      </c>
      <c r="O833" s="5">
        <v>74529.06</v>
      </c>
      <c r="P833" s="5">
        <v>16670.939999999999</v>
      </c>
      <c r="Q833" s="5">
        <v>18.28</v>
      </c>
      <c r="R833" s="5" t="s">
        <v>166</v>
      </c>
      <c r="S833" s="5" t="s">
        <v>42</v>
      </c>
      <c r="T833" s="5" t="s">
        <v>86</v>
      </c>
      <c r="U833" s="5" t="s">
        <v>160</v>
      </c>
      <c r="V833" s="5">
        <v>2024</v>
      </c>
      <c r="W833" s="5" t="s">
        <v>65</v>
      </c>
      <c r="X833" s="5">
        <v>9</v>
      </c>
      <c r="Y833" s="1">
        <v>45298</v>
      </c>
      <c r="Z833" s="5" t="s">
        <v>47</v>
      </c>
      <c r="AA833" s="5" t="s">
        <v>90</v>
      </c>
      <c r="AB833" s="5" t="s">
        <v>78</v>
      </c>
      <c r="AC833" s="5" t="s">
        <v>121</v>
      </c>
      <c r="AD833" s="5">
        <v>5</v>
      </c>
    </row>
    <row r="834" spans="1:30">
      <c r="A834" s="5" t="s">
        <v>1973</v>
      </c>
      <c r="B834" s="1" t="s">
        <v>1974</v>
      </c>
      <c r="C834" s="5" t="s">
        <v>1975</v>
      </c>
      <c r="D834" s="5" t="s">
        <v>1375</v>
      </c>
      <c r="E834" s="5" t="s">
        <v>103</v>
      </c>
      <c r="F834" s="5" t="s">
        <v>156</v>
      </c>
      <c r="G834" s="5" t="s">
        <v>157</v>
      </c>
      <c r="H834" s="5" t="s">
        <v>58</v>
      </c>
      <c r="I834" s="5" t="s">
        <v>95</v>
      </c>
      <c r="J834" s="5" t="s">
        <v>96</v>
      </c>
      <c r="K834" s="5">
        <v>5</v>
      </c>
      <c r="L834" s="5">
        <v>6000</v>
      </c>
      <c r="M834" s="5">
        <v>0.05</v>
      </c>
      <c r="N834" s="5">
        <v>28500</v>
      </c>
      <c r="O834" s="5">
        <v>22683.19</v>
      </c>
      <c r="P834" s="5">
        <v>5816.81</v>
      </c>
      <c r="Q834" s="5">
        <v>20.41</v>
      </c>
      <c r="R834" s="5" t="s">
        <v>166</v>
      </c>
      <c r="S834" s="5" t="s">
        <v>62</v>
      </c>
      <c r="T834" s="5" t="s">
        <v>63</v>
      </c>
      <c r="U834" s="5" t="s">
        <v>98</v>
      </c>
      <c r="V834" s="5">
        <v>2025</v>
      </c>
      <c r="W834" s="5" t="s">
        <v>109</v>
      </c>
      <c r="X834" s="5">
        <v>10</v>
      </c>
      <c r="Y834" s="1" t="s">
        <v>783</v>
      </c>
      <c r="Z834" s="5" t="s">
        <v>110</v>
      </c>
      <c r="AA834" s="5" t="s">
        <v>67</v>
      </c>
      <c r="AB834" s="5" t="s">
        <v>49</v>
      </c>
      <c r="AC834" s="5" t="s">
        <v>121</v>
      </c>
      <c r="AD834" s="5">
        <v>4</v>
      </c>
    </row>
    <row r="835" spans="1:30">
      <c r="A835" s="5" t="s">
        <v>1976</v>
      </c>
      <c r="B835" s="1" t="s">
        <v>1729</v>
      </c>
      <c r="C835" s="5" t="s">
        <v>1262</v>
      </c>
      <c r="D835" s="5" t="s">
        <v>717</v>
      </c>
      <c r="E835" s="5" t="s">
        <v>35</v>
      </c>
      <c r="F835" s="5" t="s">
        <v>144</v>
      </c>
      <c r="G835" s="5" t="s">
        <v>145</v>
      </c>
      <c r="H835" s="5" t="s">
        <v>38</v>
      </c>
      <c r="I835" s="5" t="s">
        <v>95</v>
      </c>
      <c r="J835" s="5" t="s">
        <v>184</v>
      </c>
      <c r="K835" s="5">
        <v>3</v>
      </c>
      <c r="L835" s="5">
        <v>15000</v>
      </c>
      <c r="M835" s="5">
        <v>0.05</v>
      </c>
      <c r="N835" s="5">
        <v>42750</v>
      </c>
      <c r="O835" s="5">
        <v>34676.11</v>
      </c>
      <c r="P835" s="5">
        <v>8073.89</v>
      </c>
      <c r="Q835" s="5">
        <v>18.89</v>
      </c>
      <c r="R835" s="5" t="s">
        <v>73</v>
      </c>
      <c r="S835" s="5" t="s">
        <v>42</v>
      </c>
      <c r="T835" s="5" t="s">
        <v>43</v>
      </c>
      <c r="U835" s="5" t="s">
        <v>87</v>
      </c>
      <c r="V835" s="5">
        <v>2025</v>
      </c>
      <c r="W835" s="5" t="s">
        <v>65</v>
      </c>
      <c r="X835" s="5">
        <v>10</v>
      </c>
      <c r="Y835" s="1" t="s">
        <v>1006</v>
      </c>
      <c r="Z835" s="5" t="s">
        <v>47</v>
      </c>
      <c r="AA835" s="5" t="s">
        <v>48</v>
      </c>
      <c r="AB835" s="5" t="s">
        <v>49</v>
      </c>
      <c r="AC835" s="5" t="s">
        <v>50</v>
      </c>
      <c r="AD835" s="5">
        <v>2</v>
      </c>
    </row>
    <row r="836" spans="1:30">
      <c r="A836" s="5" t="s">
        <v>1977</v>
      </c>
      <c r="B836" s="1" t="s">
        <v>46</v>
      </c>
      <c r="C836" s="5" t="s">
        <v>757</v>
      </c>
      <c r="D836" s="5" t="s">
        <v>327</v>
      </c>
      <c r="E836" s="5" t="s">
        <v>35</v>
      </c>
      <c r="F836" s="5" t="s">
        <v>149</v>
      </c>
      <c r="G836" s="5" t="s">
        <v>150</v>
      </c>
      <c r="H836" s="5" t="s">
        <v>58</v>
      </c>
      <c r="I836" s="5" t="s">
        <v>84</v>
      </c>
      <c r="J836" s="5" t="s">
        <v>390</v>
      </c>
      <c r="K836" s="5">
        <v>10</v>
      </c>
      <c r="L836" s="5">
        <v>100</v>
      </c>
      <c r="M836" s="5">
        <v>0.05</v>
      </c>
      <c r="N836" s="5">
        <v>950</v>
      </c>
      <c r="O836" s="5">
        <v>549.92999999999995</v>
      </c>
      <c r="P836" s="5">
        <v>400.07</v>
      </c>
      <c r="Q836" s="5">
        <v>42.11</v>
      </c>
      <c r="R836" s="5" t="s">
        <v>61</v>
      </c>
      <c r="S836" s="5" t="s">
        <v>62</v>
      </c>
      <c r="T836" s="5" t="s">
        <v>75</v>
      </c>
      <c r="U836" s="5" t="s">
        <v>44</v>
      </c>
      <c r="V836" s="5">
        <v>2024</v>
      </c>
      <c r="W836" s="5" t="s">
        <v>109</v>
      </c>
      <c r="X836" s="5">
        <v>1</v>
      </c>
      <c r="Y836" s="1" t="s">
        <v>1252</v>
      </c>
      <c r="Z836" s="5" t="s">
        <v>110</v>
      </c>
      <c r="AA836" s="5" t="s">
        <v>67</v>
      </c>
      <c r="AB836" s="5" t="s">
        <v>111</v>
      </c>
      <c r="AC836" s="5" t="s">
        <v>50</v>
      </c>
      <c r="AD836" s="5">
        <v>4</v>
      </c>
    </row>
    <row r="837" spans="1:30">
      <c r="A837" s="5" t="s">
        <v>1978</v>
      </c>
      <c r="B837" s="1">
        <v>46002</v>
      </c>
      <c r="C837" s="5" t="s">
        <v>1646</v>
      </c>
      <c r="D837" s="5" t="s">
        <v>193</v>
      </c>
      <c r="E837" s="5" t="s">
        <v>55</v>
      </c>
      <c r="F837" s="5" t="s">
        <v>149</v>
      </c>
      <c r="G837" s="5" t="s">
        <v>150</v>
      </c>
      <c r="H837" s="5" t="s">
        <v>58</v>
      </c>
      <c r="I837" s="5" t="s">
        <v>95</v>
      </c>
      <c r="J837" s="5" t="s">
        <v>319</v>
      </c>
      <c r="K837" s="5">
        <v>7</v>
      </c>
      <c r="L837" s="5">
        <v>6000</v>
      </c>
      <c r="M837" s="5">
        <v>0.05</v>
      </c>
      <c r="N837" s="5">
        <v>39900</v>
      </c>
      <c r="O837" s="5">
        <v>27212.07</v>
      </c>
      <c r="P837" s="5">
        <v>12687.93</v>
      </c>
      <c r="Q837" s="5">
        <v>31.8</v>
      </c>
      <c r="R837" s="5" t="s">
        <v>166</v>
      </c>
      <c r="S837" s="5" t="s">
        <v>62</v>
      </c>
      <c r="T837" s="5" t="s">
        <v>118</v>
      </c>
      <c r="U837" s="5" t="s">
        <v>198</v>
      </c>
      <c r="V837" s="5">
        <v>2025</v>
      </c>
      <c r="W837" s="5" t="s">
        <v>134</v>
      </c>
      <c r="X837" s="5">
        <v>4</v>
      </c>
      <c r="Y837" s="1" t="s">
        <v>1979</v>
      </c>
      <c r="Z837" s="5" t="s">
        <v>110</v>
      </c>
      <c r="AA837" s="5" t="s">
        <v>90</v>
      </c>
      <c r="AB837" s="5" t="s">
        <v>49</v>
      </c>
      <c r="AC837" s="5" t="s">
        <v>50</v>
      </c>
      <c r="AD837" s="5">
        <v>5</v>
      </c>
    </row>
    <row r="838" spans="1:30">
      <c r="A838" s="5" t="s">
        <v>1980</v>
      </c>
      <c r="B838" s="1" t="s">
        <v>1327</v>
      </c>
      <c r="C838" s="5" t="s">
        <v>1545</v>
      </c>
      <c r="D838" s="5" t="s">
        <v>554</v>
      </c>
      <c r="E838" s="5" t="s">
        <v>103</v>
      </c>
      <c r="F838" s="5" t="s">
        <v>116</v>
      </c>
      <c r="G838" s="5" t="s">
        <v>37</v>
      </c>
      <c r="H838" s="5" t="s">
        <v>58</v>
      </c>
      <c r="I838" s="5" t="s">
        <v>95</v>
      </c>
      <c r="J838" s="5" t="s">
        <v>440</v>
      </c>
      <c r="K838" s="5">
        <v>2</v>
      </c>
      <c r="L838" s="5">
        <v>6000</v>
      </c>
      <c r="M838" s="5">
        <v>0.05</v>
      </c>
      <c r="N838" s="5">
        <v>11400</v>
      </c>
      <c r="O838" s="5">
        <v>7581.7</v>
      </c>
      <c r="P838" s="5">
        <v>3818.3</v>
      </c>
      <c r="Q838" s="5">
        <v>33.49</v>
      </c>
      <c r="R838" s="5" t="s">
        <v>41</v>
      </c>
      <c r="S838" s="5" t="s">
        <v>62</v>
      </c>
      <c r="T838" s="5" t="s">
        <v>97</v>
      </c>
      <c r="U838" s="5" t="s">
        <v>87</v>
      </c>
      <c r="V838" s="5">
        <v>2024</v>
      </c>
      <c r="W838" s="5" t="s">
        <v>139</v>
      </c>
      <c r="X838" s="5">
        <v>5</v>
      </c>
      <c r="Y838" s="1" t="s">
        <v>1040</v>
      </c>
      <c r="Z838" s="5" t="s">
        <v>47</v>
      </c>
      <c r="AA838" s="5" t="s">
        <v>67</v>
      </c>
      <c r="AB838" s="5" t="s">
        <v>111</v>
      </c>
      <c r="AC838" s="5" t="s">
        <v>121</v>
      </c>
      <c r="AD838" s="5">
        <v>4</v>
      </c>
    </row>
    <row r="839" spans="1:30">
      <c r="A839" s="5" t="s">
        <v>1981</v>
      </c>
      <c r="B839" s="1">
        <v>45813</v>
      </c>
      <c r="C839" s="5" t="s">
        <v>368</v>
      </c>
      <c r="D839" s="5" t="s">
        <v>289</v>
      </c>
      <c r="E839" s="5" t="s">
        <v>55</v>
      </c>
      <c r="F839" s="5" t="s">
        <v>149</v>
      </c>
      <c r="G839" s="5" t="s">
        <v>150</v>
      </c>
      <c r="H839" s="5" t="s">
        <v>94</v>
      </c>
      <c r="I839" s="5" t="s">
        <v>84</v>
      </c>
      <c r="J839" s="5" t="s">
        <v>290</v>
      </c>
      <c r="K839" s="5">
        <v>7</v>
      </c>
      <c r="L839" s="5">
        <v>350</v>
      </c>
      <c r="M839" s="5">
        <v>0.05</v>
      </c>
      <c r="N839" s="5">
        <v>2327.5</v>
      </c>
      <c r="O839" s="5">
        <v>1848.73</v>
      </c>
      <c r="P839" s="5">
        <v>478.77</v>
      </c>
      <c r="Q839" s="5">
        <v>20.57</v>
      </c>
      <c r="R839" s="5" t="s">
        <v>73</v>
      </c>
      <c r="S839" s="5" t="s">
        <v>42</v>
      </c>
      <c r="T839" s="5" t="s">
        <v>107</v>
      </c>
      <c r="U839" s="5" t="s">
        <v>119</v>
      </c>
      <c r="V839" s="5">
        <v>2025</v>
      </c>
      <c r="W839" s="5" t="s">
        <v>109</v>
      </c>
      <c r="X839" s="5">
        <v>4</v>
      </c>
      <c r="Y839" s="1">
        <v>45935</v>
      </c>
      <c r="Z839" s="5" t="s">
        <v>110</v>
      </c>
      <c r="AA839" s="5" t="s">
        <v>48</v>
      </c>
      <c r="AB839" s="5" t="s">
        <v>49</v>
      </c>
      <c r="AC839" s="5" t="s">
        <v>121</v>
      </c>
      <c r="AD839" s="5">
        <v>3</v>
      </c>
    </row>
    <row r="840" spans="1:30">
      <c r="A840" s="5" t="s">
        <v>1982</v>
      </c>
      <c r="B840" s="1" t="s">
        <v>467</v>
      </c>
      <c r="C840" s="5" t="s">
        <v>1159</v>
      </c>
      <c r="D840" s="5" t="s">
        <v>1071</v>
      </c>
      <c r="E840" s="5" t="s">
        <v>55</v>
      </c>
      <c r="F840" s="5" t="s">
        <v>82</v>
      </c>
      <c r="G840" s="5" t="s">
        <v>83</v>
      </c>
      <c r="H840" s="5" t="s">
        <v>171</v>
      </c>
      <c r="I840" s="5" t="s">
        <v>59</v>
      </c>
      <c r="J840" s="5" t="s">
        <v>60</v>
      </c>
      <c r="K840" s="5">
        <v>2</v>
      </c>
      <c r="L840" s="5">
        <v>1200</v>
      </c>
      <c r="M840" s="5">
        <v>0.2</v>
      </c>
      <c r="N840" s="5">
        <v>1920</v>
      </c>
      <c r="O840" s="5">
        <v>1088.6400000000001</v>
      </c>
      <c r="P840" s="5">
        <v>831.36</v>
      </c>
      <c r="Q840" s="5">
        <v>43.3</v>
      </c>
      <c r="R840" s="5" t="s">
        <v>73</v>
      </c>
      <c r="S840" s="5" t="s">
        <v>42</v>
      </c>
      <c r="T840" s="5" t="s">
        <v>107</v>
      </c>
      <c r="U840" s="5" t="s">
        <v>198</v>
      </c>
      <c r="V840" s="5">
        <v>2024</v>
      </c>
      <c r="W840" s="5" t="s">
        <v>134</v>
      </c>
      <c r="X840" s="5">
        <v>7</v>
      </c>
      <c r="Y840" s="1" t="s">
        <v>509</v>
      </c>
      <c r="Z840" s="5" t="s">
        <v>47</v>
      </c>
      <c r="AA840" s="5" t="s">
        <v>48</v>
      </c>
      <c r="AB840" s="5" t="s">
        <v>111</v>
      </c>
      <c r="AC840" s="5" t="s">
        <v>121</v>
      </c>
      <c r="AD840" s="5">
        <v>4</v>
      </c>
    </row>
    <row r="841" spans="1:30">
      <c r="A841" s="5" t="s">
        <v>1983</v>
      </c>
      <c r="B841" s="1">
        <v>45780</v>
      </c>
      <c r="C841" s="5" t="s">
        <v>1703</v>
      </c>
      <c r="D841" s="5" t="s">
        <v>939</v>
      </c>
      <c r="E841" s="5" t="s">
        <v>103</v>
      </c>
      <c r="F841" s="5" t="s">
        <v>131</v>
      </c>
      <c r="G841" s="5" t="s">
        <v>132</v>
      </c>
      <c r="H841" s="5" t="s">
        <v>171</v>
      </c>
      <c r="I841" s="5" t="s">
        <v>39</v>
      </c>
      <c r="J841" s="5" t="s">
        <v>105</v>
      </c>
      <c r="K841" s="5">
        <v>1</v>
      </c>
      <c r="L841" s="5">
        <v>15000</v>
      </c>
      <c r="M841" s="5">
        <v>0.2</v>
      </c>
      <c r="N841" s="5">
        <v>12000</v>
      </c>
      <c r="O841" s="5">
        <v>6604.73</v>
      </c>
      <c r="P841" s="5">
        <v>5395.27</v>
      </c>
      <c r="Q841" s="5">
        <v>44.96</v>
      </c>
      <c r="R841" s="5" t="s">
        <v>166</v>
      </c>
      <c r="S841" s="5" t="s">
        <v>62</v>
      </c>
      <c r="T841" s="5" t="s">
        <v>159</v>
      </c>
      <c r="U841" s="5" t="s">
        <v>178</v>
      </c>
      <c r="V841" s="5">
        <v>2025</v>
      </c>
      <c r="W841" s="5" t="s">
        <v>134</v>
      </c>
      <c r="X841" s="5">
        <v>10</v>
      </c>
      <c r="Y841" s="1" t="s">
        <v>222</v>
      </c>
      <c r="Z841" s="5" t="s">
        <v>47</v>
      </c>
      <c r="AA841" s="5" t="s">
        <v>48</v>
      </c>
      <c r="AB841" s="5" t="s">
        <v>49</v>
      </c>
      <c r="AC841" s="5" t="s">
        <v>50</v>
      </c>
      <c r="AD841" s="5">
        <v>5</v>
      </c>
    </row>
    <row r="842" spans="1:30">
      <c r="A842" s="5" t="s">
        <v>1984</v>
      </c>
      <c r="B842" s="1">
        <v>45667</v>
      </c>
      <c r="C842" s="5" t="s">
        <v>53</v>
      </c>
      <c r="D842" s="5" t="s">
        <v>130</v>
      </c>
      <c r="E842" s="5" t="s">
        <v>35</v>
      </c>
      <c r="F842" s="5" t="s">
        <v>144</v>
      </c>
      <c r="G842" s="5" t="s">
        <v>145</v>
      </c>
      <c r="H842" s="5" t="s">
        <v>171</v>
      </c>
      <c r="I842" s="5" t="s">
        <v>59</v>
      </c>
      <c r="J842" s="5" t="s">
        <v>60</v>
      </c>
      <c r="K842" s="5">
        <v>2</v>
      </c>
      <c r="L842" s="5">
        <v>2000</v>
      </c>
      <c r="M842" s="5">
        <v>0.15</v>
      </c>
      <c r="N842" s="5">
        <v>3400</v>
      </c>
      <c r="O842" s="5">
        <v>2168.09</v>
      </c>
      <c r="P842" s="5">
        <v>1231.9100000000001</v>
      </c>
      <c r="Q842" s="5">
        <v>36.229999999999997</v>
      </c>
      <c r="R842" s="5" t="s">
        <v>166</v>
      </c>
      <c r="S842" s="5" t="s">
        <v>74</v>
      </c>
      <c r="T842" s="5" t="s">
        <v>75</v>
      </c>
      <c r="U842" s="5" t="s">
        <v>87</v>
      </c>
      <c r="V842" s="5">
        <v>2025</v>
      </c>
      <c r="W842" s="5" t="s">
        <v>134</v>
      </c>
      <c r="X842" s="5">
        <v>4</v>
      </c>
      <c r="Y842" s="1">
        <v>45787</v>
      </c>
      <c r="Z842" s="5" t="s">
        <v>47</v>
      </c>
      <c r="AA842" s="5" t="s">
        <v>48</v>
      </c>
      <c r="AB842" s="5" t="s">
        <v>49</v>
      </c>
      <c r="AC842" s="5" t="s">
        <v>121</v>
      </c>
      <c r="AD842" s="5">
        <v>1</v>
      </c>
    </row>
    <row r="843" spans="1:30">
      <c r="A843" s="5" t="s">
        <v>1985</v>
      </c>
      <c r="B843" s="1" t="s">
        <v>1397</v>
      </c>
      <c r="C843" s="5" t="s">
        <v>633</v>
      </c>
      <c r="D843" s="5" t="s">
        <v>643</v>
      </c>
      <c r="E843" s="5" t="s">
        <v>103</v>
      </c>
      <c r="F843" s="5" t="s">
        <v>144</v>
      </c>
      <c r="G843" s="5" t="s">
        <v>145</v>
      </c>
      <c r="H843" s="5" t="s">
        <v>94</v>
      </c>
      <c r="I843" s="5" t="s">
        <v>95</v>
      </c>
      <c r="J843" s="5" t="s">
        <v>319</v>
      </c>
      <c r="K843" s="5">
        <v>7</v>
      </c>
      <c r="L843" s="5">
        <v>2500</v>
      </c>
      <c r="M843" s="5">
        <v>0.05</v>
      </c>
      <c r="N843" s="5">
        <v>16625</v>
      </c>
      <c r="O843" s="5">
        <v>13614.35</v>
      </c>
      <c r="P843" s="5">
        <v>3010.65</v>
      </c>
      <c r="Q843" s="5">
        <v>18.11</v>
      </c>
      <c r="R843" s="5" t="s">
        <v>73</v>
      </c>
      <c r="S843" s="5" t="s">
        <v>74</v>
      </c>
      <c r="T843" s="5" t="s">
        <v>86</v>
      </c>
      <c r="U843" s="5" t="s">
        <v>44</v>
      </c>
      <c r="V843" s="5">
        <v>2025</v>
      </c>
      <c r="W843" s="5" t="s">
        <v>134</v>
      </c>
      <c r="X843" s="5">
        <v>7</v>
      </c>
      <c r="Y843" s="1" t="s">
        <v>518</v>
      </c>
      <c r="Z843" s="5" t="s">
        <v>89</v>
      </c>
      <c r="AA843" s="5" t="s">
        <v>90</v>
      </c>
      <c r="AB843" s="5" t="s">
        <v>78</v>
      </c>
      <c r="AC843" s="5" t="s">
        <v>121</v>
      </c>
      <c r="AD843" s="5">
        <v>1</v>
      </c>
    </row>
    <row r="844" spans="1:30">
      <c r="A844" s="5" t="s">
        <v>1986</v>
      </c>
      <c r="B844" s="1" t="s">
        <v>1987</v>
      </c>
      <c r="C844" s="5" t="s">
        <v>1570</v>
      </c>
      <c r="D844" s="5" t="s">
        <v>351</v>
      </c>
      <c r="E844" s="5" t="s">
        <v>35</v>
      </c>
      <c r="F844" s="5" t="s">
        <v>116</v>
      </c>
      <c r="G844" s="5" t="s">
        <v>37</v>
      </c>
      <c r="H844" s="5" t="s">
        <v>58</v>
      </c>
      <c r="I844" s="5" t="s">
        <v>39</v>
      </c>
      <c r="J844" s="5" t="s">
        <v>165</v>
      </c>
      <c r="K844" s="5">
        <v>7</v>
      </c>
      <c r="L844" s="5">
        <v>8000</v>
      </c>
      <c r="M844" s="5">
        <v>0.1</v>
      </c>
      <c r="N844" s="5">
        <v>50400</v>
      </c>
      <c r="O844" s="5">
        <v>39873.339999999997</v>
      </c>
      <c r="P844" s="5">
        <v>10526.66</v>
      </c>
      <c r="Q844" s="5">
        <v>20.89</v>
      </c>
      <c r="R844" s="5" t="s">
        <v>106</v>
      </c>
      <c r="S844" s="5" t="s">
        <v>62</v>
      </c>
      <c r="T844" s="5" t="s">
        <v>63</v>
      </c>
      <c r="U844" s="5" t="s">
        <v>87</v>
      </c>
      <c r="V844" s="5">
        <v>2025</v>
      </c>
      <c r="W844" s="5" t="s">
        <v>126</v>
      </c>
      <c r="X844" s="5">
        <v>10</v>
      </c>
      <c r="Y844" s="1" t="s">
        <v>685</v>
      </c>
      <c r="Z844" s="5" t="s">
        <v>110</v>
      </c>
      <c r="AA844" s="5" t="s">
        <v>48</v>
      </c>
      <c r="AB844" s="5" t="s">
        <v>111</v>
      </c>
      <c r="AC844" s="5" t="s">
        <v>121</v>
      </c>
      <c r="AD844" s="5">
        <v>1</v>
      </c>
    </row>
    <row r="845" spans="1:30">
      <c r="A845" s="5" t="s">
        <v>1988</v>
      </c>
      <c r="B845" s="1">
        <v>45543</v>
      </c>
      <c r="C845" s="5" t="s">
        <v>447</v>
      </c>
      <c r="D845" s="5" t="s">
        <v>387</v>
      </c>
      <c r="E845" s="5" t="s">
        <v>103</v>
      </c>
      <c r="F845" s="5" t="s">
        <v>56</v>
      </c>
      <c r="G845" s="5" t="s">
        <v>57</v>
      </c>
      <c r="H845" s="5" t="s">
        <v>171</v>
      </c>
      <c r="I845" s="5" t="s">
        <v>84</v>
      </c>
      <c r="J845" s="5" t="s">
        <v>217</v>
      </c>
      <c r="K845" s="5">
        <v>3</v>
      </c>
      <c r="L845" s="5">
        <v>100</v>
      </c>
      <c r="M845" s="5">
        <v>0.15</v>
      </c>
      <c r="N845" s="5">
        <v>255</v>
      </c>
      <c r="O845" s="5">
        <v>147.13999999999999</v>
      </c>
      <c r="P845" s="5">
        <v>107.86</v>
      </c>
      <c r="Q845" s="5">
        <v>42.3</v>
      </c>
      <c r="R845" s="5" t="s">
        <v>106</v>
      </c>
      <c r="S845" s="5" t="s">
        <v>62</v>
      </c>
      <c r="T845" s="5" t="s">
        <v>97</v>
      </c>
      <c r="U845" s="5" t="s">
        <v>218</v>
      </c>
      <c r="V845" s="5">
        <v>2024</v>
      </c>
      <c r="W845" s="5" t="s">
        <v>194</v>
      </c>
      <c r="X845" s="5">
        <v>7</v>
      </c>
      <c r="Y845" s="1" t="s">
        <v>564</v>
      </c>
      <c r="Z845" s="5" t="s">
        <v>47</v>
      </c>
      <c r="AA845" s="5" t="s">
        <v>67</v>
      </c>
      <c r="AB845" s="5" t="s">
        <v>78</v>
      </c>
      <c r="AC845" s="5" t="s">
        <v>121</v>
      </c>
      <c r="AD845" s="5">
        <v>1</v>
      </c>
    </row>
    <row r="846" spans="1:30">
      <c r="A846" s="5" t="s">
        <v>1989</v>
      </c>
      <c r="B846" s="1">
        <v>45541</v>
      </c>
      <c r="C846" s="5" t="s">
        <v>712</v>
      </c>
      <c r="D846" s="5" t="s">
        <v>1057</v>
      </c>
      <c r="E846" s="5" t="s">
        <v>35</v>
      </c>
      <c r="F846" s="5" t="s">
        <v>36</v>
      </c>
      <c r="G846" s="5" t="s">
        <v>37</v>
      </c>
      <c r="H846" s="5" t="s">
        <v>171</v>
      </c>
      <c r="I846" s="5" t="s">
        <v>59</v>
      </c>
      <c r="J846" s="5" t="s">
        <v>328</v>
      </c>
      <c r="K846" s="5">
        <v>5</v>
      </c>
      <c r="L846" s="5">
        <v>800</v>
      </c>
      <c r="M846" s="5">
        <v>0.05</v>
      </c>
      <c r="N846" s="5">
        <v>3800</v>
      </c>
      <c r="O846" s="5">
        <v>2841.48</v>
      </c>
      <c r="P846" s="5">
        <v>958.52</v>
      </c>
      <c r="Q846" s="5">
        <v>25.22</v>
      </c>
      <c r="R846" s="5" t="s">
        <v>166</v>
      </c>
      <c r="S846" s="5" t="s">
        <v>74</v>
      </c>
      <c r="T846" s="5" t="s">
        <v>138</v>
      </c>
      <c r="U846" s="5" t="s">
        <v>160</v>
      </c>
      <c r="V846" s="5">
        <v>2024</v>
      </c>
      <c r="W846" s="5" t="s">
        <v>45</v>
      </c>
      <c r="X846" s="5">
        <v>4</v>
      </c>
      <c r="Y846" s="1" t="s">
        <v>857</v>
      </c>
      <c r="Z846" s="5" t="s">
        <v>47</v>
      </c>
      <c r="AA846" s="5" t="s">
        <v>90</v>
      </c>
      <c r="AB846" s="5" t="s">
        <v>111</v>
      </c>
      <c r="AC846" s="5" t="s">
        <v>121</v>
      </c>
      <c r="AD846" s="5">
        <v>1</v>
      </c>
    </row>
    <row r="847" spans="1:30">
      <c r="A847" s="5" t="s">
        <v>1990</v>
      </c>
      <c r="B847" s="1">
        <v>45789</v>
      </c>
      <c r="C847" s="5" t="s">
        <v>980</v>
      </c>
      <c r="D847" s="5" t="s">
        <v>810</v>
      </c>
      <c r="E847" s="5" t="s">
        <v>35</v>
      </c>
      <c r="F847" s="5" t="s">
        <v>36</v>
      </c>
      <c r="G847" s="5" t="s">
        <v>37</v>
      </c>
      <c r="H847" s="5" t="s">
        <v>38</v>
      </c>
      <c r="I847" s="5" t="s">
        <v>95</v>
      </c>
      <c r="J847" s="5" t="s">
        <v>184</v>
      </c>
      <c r="K847" s="5">
        <v>5</v>
      </c>
      <c r="L847" s="5">
        <v>9000</v>
      </c>
      <c r="M847" s="5">
        <v>0.05</v>
      </c>
      <c r="N847" s="5">
        <v>42750</v>
      </c>
      <c r="O847" s="5">
        <v>28980.53</v>
      </c>
      <c r="P847" s="5">
        <v>13769.47</v>
      </c>
      <c r="Q847" s="5">
        <v>32.21</v>
      </c>
      <c r="R847" s="5" t="s">
        <v>166</v>
      </c>
      <c r="S847" s="5" t="s">
        <v>74</v>
      </c>
      <c r="T847" s="5" t="s">
        <v>173</v>
      </c>
      <c r="U847" s="5" t="s">
        <v>64</v>
      </c>
      <c r="V847" s="5">
        <v>2025</v>
      </c>
      <c r="W847" s="5" t="s">
        <v>194</v>
      </c>
      <c r="X847" s="5">
        <v>2</v>
      </c>
      <c r="Y847" s="1">
        <v>45850</v>
      </c>
      <c r="Z847" s="5" t="s">
        <v>47</v>
      </c>
      <c r="AA847" s="5" t="s">
        <v>90</v>
      </c>
      <c r="AB847" s="5" t="s">
        <v>49</v>
      </c>
      <c r="AC847" s="5" t="s">
        <v>121</v>
      </c>
      <c r="AD847" s="5">
        <v>2</v>
      </c>
    </row>
    <row r="848" spans="1:30">
      <c r="A848" s="5" t="s">
        <v>1991</v>
      </c>
      <c r="B848" s="1" t="s">
        <v>286</v>
      </c>
      <c r="C848" s="5" t="s">
        <v>1738</v>
      </c>
      <c r="D848" s="5" t="s">
        <v>1166</v>
      </c>
      <c r="E848" s="5" t="s">
        <v>103</v>
      </c>
      <c r="F848" s="5" t="s">
        <v>156</v>
      </c>
      <c r="G848" s="5" t="s">
        <v>157</v>
      </c>
      <c r="H848" s="5" t="s">
        <v>171</v>
      </c>
      <c r="I848" s="5" t="s">
        <v>39</v>
      </c>
      <c r="J848" s="5" t="s">
        <v>253</v>
      </c>
      <c r="K848" s="5">
        <v>4</v>
      </c>
      <c r="L848" s="5">
        <v>50000</v>
      </c>
      <c r="M848" s="5">
        <v>0.05</v>
      </c>
      <c r="N848" s="5">
        <v>190000</v>
      </c>
      <c r="O848" s="5">
        <v>149840.41</v>
      </c>
      <c r="P848" s="5">
        <v>40159.589999999997</v>
      </c>
      <c r="Q848" s="5">
        <v>21.14</v>
      </c>
      <c r="R848" s="5" t="s">
        <v>166</v>
      </c>
      <c r="S848" s="5" t="s">
        <v>74</v>
      </c>
      <c r="T848" s="5" t="s">
        <v>63</v>
      </c>
      <c r="U848" s="5" t="s">
        <v>108</v>
      </c>
      <c r="V848" s="5">
        <v>2024</v>
      </c>
      <c r="W848" s="5" t="s">
        <v>45</v>
      </c>
      <c r="X848" s="5">
        <v>9</v>
      </c>
      <c r="Y848" s="1">
        <v>45514</v>
      </c>
      <c r="Z848" s="5" t="s">
        <v>89</v>
      </c>
      <c r="AA848" s="5" t="s">
        <v>48</v>
      </c>
      <c r="AB848" s="5" t="s">
        <v>111</v>
      </c>
      <c r="AC848" s="5" t="s">
        <v>121</v>
      </c>
      <c r="AD848" s="5">
        <v>4</v>
      </c>
    </row>
    <row r="849" spans="1:30">
      <c r="A849" s="5" t="s">
        <v>1992</v>
      </c>
      <c r="B849" s="1" t="s">
        <v>789</v>
      </c>
      <c r="C849" s="5" t="s">
        <v>1005</v>
      </c>
      <c r="D849" s="5" t="s">
        <v>758</v>
      </c>
      <c r="E849" s="5" t="s">
        <v>55</v>
      </c>
      <c r="F849" s="5" t="s">
        <v>156</v>
      </c>
      <c r="G849" s="5" t="s">
        <v>157</v>
      </c>
      <c r="H849" s="5" t="s">
        <v>94</v>
      </c>
      <c r="I849" s="5" t="s">
        <v>95</v>
      </c>
      <c r="J849" s="5" t="s">
        <v>96</v>
      </c>
      <c r="K849" s="5">
        <v>8</v>
      </c>
      <c r="L849" s="5">
        <v>6000</v>
      </c>
      <c r="M849" s="5">
        <v>0.1</v>
      </c>
      <c r="N849" s="5">
        <v>43200</v>
      </c>
      <c r="O849" s="5">
        <v>34563.35</v>
      </c>
      <c r="P849" s="5">
        <v>8636.65</v>
      </c>
      <c r="Q849" s="5">
        <v>19.989999999999998</v>
      </c>
      <c r="R849" s="5" t="s">
        <v>41</v>
      </c>
      <c r="S849" s="5" t="s">
        <v>62</v>
      </c>
      <c r="T849" s="5" t="s">
        <v>173</v>
      </c>
      <c r="U849" s="5" t="s">
        <v>108</v>
      </c>
      <c r="V849" s="5">
        <v>2024</v>
      </c>
      <c r="W849" s="5" t="s">
        <v>126</v>
      </c>
      <c r="X849" s="5">
        <v>10</v>
      </c>
      <c r="Y849" s="1">
        <v>45361</v>
      </c>
      <c r="Z849" s="5" t="s">
        <v>47</v>
      </c>
      <c r="AA849" s="5" t="s">
        <v>48</v>
      </c>
      <c r="AB849" s="5" t="s">
        <v>49</v>
      </c>
      <c r="AC849" s="5" t="s">
        <v>121</v>
      </c>
      <c r="AD849" s="5">
        <v>1</v>
      </c>
    </row>
    <row r="850" spans="1:30">
      <c r="A850" s="5" t="s">
        <v>1993</v>
      </c>
      <c r="B850" s="1" t="s">
        <v>480</v>
      </c>
      <c r="C850" s="5" t="s">
        <v>1994</v>
      </c>
      <c r="D850" s="5" t="s">
        <v>532</v>
      </c>
      <c r="E850" s="5" t="s">
        <v>35</v>
      </c>
      <c r="F850" s="5" t="s">
        <v>149</v>
      </c>
      <c r="G850" s="5" t="s">
        <v>150</v>
      </c>
      <c r="H850" s="5" t="s">
        <v>38</v>
      </c>
      <c r="I850" s="5" t="s">
        <v>59</v>
      </c>
      <c r="J850" s="5" t="s">
        <v>328</v>
      </c>
      <c r="K850" s="5">
        <v>9</v>
      </c>
      <c r="L850" s="5">
        <v>2000</v>
      </c>
      <c r="M850" s="5">
        <v>0.15</v>
      </c>
      <c r="N850" s="5">
        <v>15300</v>
      </c>
      <c r="O850" s="5">
        <v>8633.25</v>
      </c>
      <c r="P850" s="5">
        <v>6666.75</v>
      </c>
      <c r="Q850" s="5">
        <v>43.57</v>
      </c>
      <c r="R850" s="5" t="s">
        <v>73</v>
      </c>
      <c r="S850" s="5" t="s">
        <v>74</v>
      </c>
      <c r="T850" s="5" t="s">
        <v>107</v>
      </c>
      <c r="U850" s="5" t="s">
        <v>87</v>
      </c>
      <c r="V850" s="5">
        <v>2025</v>
      </c>
      <c r="W850" s="5" t="s">
        <v>126</v>
      </c>
      <c r="X850" s="5">
        <v>10</v>
      </c>
      <c r="Y850" s="1">
        <v>45819</v>
      </c>
      <c r="Z850" s="5" t="s">
        <v>47</v>
      </c>
      <c r="AA850" s="5" t="s">
        <v>48</v>
      </c>
      <c r="AB850" s="5" t="s">
        <v>111</v>
      </c>
      <c r="AC850" s="5" t="s">
        <v>121</v>
      </c>
      <c r="AD850" s="5">
        <v>2</v>
      </c>
    </row>
    <row r="851" spans="1:30">
      <c r="A851" s="5" t="s">
        <v>1995</v>
      </c>
      <c r="B851" s="1">
        <v>45416</v>
      </c>
      <c r="C851" s="5" t="s">
        <v>562</v>
      </c>
      <c r="D851" s="5" t="s">
        <v>737</v>
      </c>
      <c r="E851" s="5" t="s">
        <v>55</v>
      </c>
      <c r="F851" s="5" t="s">
        <v>131</v>
      </c>
      <c r="G851" s="5" t="s">
        <v>132</v>
      </c>
      <c r="H851" s="5" t="s">
        <v>94</v>
      </c>
      <c r="I851" s="5" t="s">
        <v>59</v>
      </c>
      <c r="J851" s="5" t="s">
        <v>328</v>
      </c>
      <c r="K851" s="5">
        <v>6</v>
      </c>
      <c r="L851" s="5">
        <v>3000</v>
      </c>
      <c r="M851" s="5">
        <v>0.2</v>
      </c>
      <c r="N851" s="5">
        <v>14400</v>
      </c>
      <c r="O851" s="5">
        <v>9211.11</v>
      </c>
      <c r="P851" s="5">
        <v>5188.8900000000003</v>
      </c>
      <c r="Q851" s="5">
        <v>36.03</v>
      </c>
      <c r="R851" s="5" t="s">
        <v>73</v>
      </c>
      <c r="S851" s="5" t="s">
        <v>74</v>
      </c>
      <c r="T851" s="5" t="s">
        <v>86</v>
      </c>
      <c r="U851" s="5" t="s">
        <v>44</v>
      </c>
      <c r="V851" s="5">
        <v>2024</v>
      </c>
      <c r="W851" s="5" t="s">
        <v>194</v>
      </c>
      <c r="X851" s="5">
        <v>5</v>
      </c>
      <c r="Y851" s="1">
        <v>45569</v>
      </c>
      <c r="Z851" s="5" t="s">
        <v>47</v>
      </c>
      <c r="AA851" s="5" t="s">
        <v>48</v>
      </c>
      <c r="AB851" s="5" t="s">
        <v>111</v>
      </c>
      <c r="AC851" s="5" t="s">
        <v>121</v>
      </c>
      <c r="AD851" s="5">
        <v>5</v>
      </c>
    </row>
    <row r="852" spans="1:30">
      <c r="A852" s="5" t="s">
        <v>1996</v>
      </c>
      <c r="B852" s="1" t="s">
        <v>1165</v>
      </c>
      <c r="C852" s="5" t="s">
        <v>769</v>
      </c>
      <c r="D852" s="5" t="s">
        <v>1556</v>
      </c>
      <c r="E852" s="5" t="s">
        <v>35</v>
      </c>
      <c r="F852" s="5" t="s">
        <v>245</v>
      </c>
      <c r="G852" s="5" t="s">
        <v>246</v>
      </c>
      <c r="H852" s="5" t="s">
        <v>58</v>
      </c>
      <c r="I852" s="5" t="s">
        <v>59</v>
      </c>
      <c r="J852" s="5" t="s">
        <v>133</v>
      </c>
      <c r="K852" s="5">
        <v>2</v>
      </c>
      <c r="L852" s="5">
        <v>2000</v>
      </c>
      <c r="M852" s="5">
        <v>0.2</v>
      </c>
      <c r="N852" s="5">
        <v>3200</v>
      </c>
      <c r="O852" s="5">
        <v>1902.24</v>
      </c>
      <c r="P852" s="5">
        <v>1297.76</v>
      </c>
      <c r="Q852" s="5">
        <v>40.549999999999997</v>
      </c>
      <c r="R852" s="5" t="s">
        <v>106</v>
      </c>
      <c r="S852" s="5" t="s">
        <v>42</v>
      </c>
      <c r="T852" s="5" t="s">
        <v>43</v>
      </c>
      <c r="U852" s="5" t="s">
        <v>178</v>
      </c>
      <c r="V852" s="5">
        <v>2024</v>
      </c>
      <c r="W852" s="5" t="s">
        <v>65</v>
      </c>
      <c r="X852" s="5">
        <v>6</v>
      </c>
      <c r="Y852" s="1" t="s">
        <v>956</v>
      </c>
      <c r="Z852" s="5" t="s">
        <v>110</v>
      </c>
      <c r="AA852" s="5" t="s">
        <v>48</v>
      </c>
      <c r="AB852" s="5" t="s">
        <v>49</v>
      </c>
      <c r="AC852" s="5" t="s">
        <v>121</v>
      </c>
      <c r="AD852" s="5">
        <v>3</v>
      </c>
    </row>
    <row r="853" spans="1:30">
      <c r="A853" s="5" t="s">
        <v>1997</v>
      </c>
      <c r="B853" s="1">
        <v>45569</v>
      </c>
      <c r="C853" s="5" t="s">
        <v>1413</v>
      </c>
      <c r="D853" s="5" t="s">
        <v>1998</v>
      </c>
      <c r="E853" s="5" t="s">
        <v>103</v>
      </c>
      <c r="F853" s="5" t="s">
        <v>245</v>
      </c>
      <c r="G853" s="5" t="s">
        <v>246</v>
      </c>
      <c r="H853" s="5" t="s">
        <v>38</v>
      </c>
      <c r="I853" s="5" t="s">
        <v>59</v>
      </c>
      <c r="J853" s="5" t="s">
        <v>328</v>
      </c>
      <c r="K853" s="5">
        <v>2</v>
      </c>
      <c r="L853" s="5">
        <v>800</v>
      </c>
      <c r="M853" s="5">
        <v>0.15</v>
      </c>
      <c r="N853" s="5">
        <v>1360</v>
      </c>
      <c r="O853" s="5">
        <v>985.78</v>
      </c>
      <c r="P853" s="5">
        <v>374.22</v>
      </c>
      <c r="Q853" s="5">
        <v>27.52</v>
      </c>
      <c r="R853" s="5" t="s">
        <v>61</v>
      </c>
      <c r="S853" s="5" t="s">
        <v>62</v>
      </c>
      <c r="T853" s="5" t="s">
        <v>75</v>
      </c>
      <c r="U853" s="5" t="s">
        <v>44</v>
      </c>
      <c r="V853" s="5">
        <v>2024</v>
      </c>
      <c r="W853" s="5" t="s">
        <v>134</v>
      </c>
      <c r="X853" s="5">
        <v>8</v>
      </c>
      <c r="Y853" s="1" t="s">
        <v>723</v>
      </c>
      <c r="Z853" s="5" t="s">
        <v>89</v>
      </c>
      <c r="AA853" s="5" t="s">
        <v>48</v>
      </c>
      <c r="AB853" s="5" t="s">
        <v>49</v>
      </c>
      <c r="AC853" s="5" t="s">
        <v>50</v>
      </c>
      <c r="AD853" s="5">
        <v>3</v>
      </c>
    </row>
    <row r="854" spans="1:30">
      <c r="A854" s="5" t="s">
        <v>1999</v>
      </c>
      <c r="B854" s="1" t="s">
        <v>256</v>
      </c>
      <c r="C854" s="5" t="s">
        <v>296</v>
      </c>
      <c r="D854" s="5" t="s">
        <v>900</v>
      </c>
      <c r="E854" s="5" t="s">
        <v>35</v>
      </c>
      <c r="F854" s="5" t="s">
        <v>116</v>
      </c>
      <c r="G854" s="5" t="s">
        <v>37</v>
      </c>
      <c r="H854" s="5" t="s">
        <v>38</v>
      </c>
      <c r="I854" s="5" t="s">
        <v>95</v>
      </c>
      <c r="J854" s="5" t="s">
        <v>344</v>
      </c>
      <c r="K854" s="5">
        <v>9</v>
      </c>
      <c r="L854" s="5">
        <v>4000</v>
      </c>
      <c r="M854" s="5">
        <v>0.2</v>
      </c>
      <c r="N854" s="5">
        <v>28800</v>
      </c>
      <c r="O854" s="5">
        <v>19547.43</v>
      </c>
      <c r="P854" s="5">
        <v>9252.57</v>
      </c>
      <c r="Q854" s="5">
        <v>32.130000000000003</v>
      </c>
      <c r="R854" s="5" t="s">
        <v>73</v>
      </c>
      <c r="S854" s="5" t="s">
        <v>62</v>
      </c>
      <c r="T854" s="5" t="s">
        <v>107</v>
      </c>
      <c r="U854" s="5" t="s">
        <v>198</v>
      </c>
      <c r="V854" s="5">
        <v>2025</v>
      </c>
      <c r="W854" s="5" t="s">
        <v>65</v>
      </c>
      <c r="X854" s="5">
        <v>10</v>
      </c>
      <c r="Y854" s="1" t="s">
        <v>476</v>
      </c>
      <c r="Z854" s="5" t="s">
        <v>89</v>
      </c>
      <c r="AA854" s="5" t="s">
        <v>48</v>
      </c>
      <c r="AB854" s="5" t="s">
        <v>49</v>
      </c>
      <c r="AC854" s="5" t="s">
        <v>50</v>
      </c>
      <c r="AD854" s="5">
        <v>4</v>
      </c>
    </row>
    <row r="855" spans="1:30">
      <c r="A855" s="5" t="s">
        <v>2000</v>
      </c>
      <c r="B855" s="1" t="s">
        <v>1605</v>
      </c>
      <c r="C855" s="5" t="s">
        <v>1134</v>
      </c>
      <c r="D855" s="5" t="s">
        <v>678</v>
      </c>
      <c r="E855" s="5" t="s">
        <v>55</v>
      </c>
      <c r="F855" s="5" t="s">
        <v>56</v>
      </c>
      <c r="G855" s="5" t="s">
        <v>57</v>
      </c>
      <c r="H855" s="5" t="s">
        <v>171</v>
      </c>
      <c r="I855" s="5" t="s">
        <v>39</v>
      </c>
      <c r="J855" s="5" t="s">
        <v>165</v>
      </c>
      <c r="K855" s="5">
        <v>7</v>
      </c>
      <c r="L855" s="5">
        <v>22000</v>
      </c>
      <c r="M855" s="5">
        <v>0</v>
      </c>
      <c r="N855" s="5">
        <v>154000</v>
      </c>
      <c r="O855" s="5">
        <v>84816.24</v>
      </c>
      <c r="P855" s="5">
        <v>69183.759999999995</v>
      </c>
      <c r="Q855" s="5">
        <v>44.92</v>
      </c>
      <c r="R855" s="5" t="s">
        <v>106</v>
      </c>
      <c r="S855" s="5" t="s">
        <v>62</v>
      </c>
      <c r="T855" s="5" t="s">
        <v>107</v>
      </c>
      <c r="U855" s="5" t="s">
        <v>98</v>
      </c>
      <c r="V855" s="5">
        <v>2024</v>
      </c>
      <c r="W855" s="5" t="s">
        <v>139</v>
      </c>
      <c r="X855" s="5">
        <v>10</v>
      </c>
      <c r="Y855" s="1" t="s">
        <v>958</v>
      </c>
      <c r="Z855" s="5" t="s">
        <v>47</v>
      </c>
      <c r="AA855" s="5" t="s">
        <v>67</v>
      </c>
      <c r="AB855" s="5" t="s">
        <v>111</v>
      </c>
      <c r="AC855" s="5" t="s">
        <v>121</v>
      </c>
      <c r="AD855" s="5">
        <v>4</v>
      </c>
    </row>
    <row r="856" spans="1:30">
      <c r="A856" s="5" t="s">
        <v>2001</v>
      </c>
      <c r="B856" s="1">
        <v>45332</v>
      </c>
      <c r="C856" s="5" t="s">
        <v>188</v>
      </c>
      <c r="D856" s="5" t="s">
        <v>239</v>
      </c>
      <c r="E856" s="5" t="s">
        <v>55</v>
      </c>
      <c r="F856" s="5" t="s">
        <v>156</v>
      </c>
      <c r="G856" s="5" t="s">
        <v>157</v>
      </c>
      <c r="H856" s="5" t="s">
        <v>38</v>
      </c>
      <c r="I856" s="5" t="s">
        <v>59</v>
      </c>
      <c r="J856" s="5" t="s">
        <v>328</v>
      </c>
      <c r="K856" s="5">
        <v>4</v>
      </c>
      <c r="L856" s="5">
        <v>2000</v>
      </c>
      <c r="M856" s="5">
        <v>0.05</v>
      </c>
      <c r="N856" s="5">
        <v>7600</v>
      </c>
      <c r="O856" s="5">
        <v>6212.85</v>
      </c>
      <c r="P856" s="5">
        <v>1387.15</v>
      </c>
      <c r="Q856" s="5">
        <v>18.25</v>
      </c>
      <c r="R856" s="5" t="s">
        <v>41</v>
      </c>
      <c r="S856" s="5" t="s">
        <v>62</v>
      </c>
      <c r="T856" s="5" t="s">
        <v>43</v>
      </c>
      <c r="U856" s="5" t="s">
        <v>87</v>
      </c>
      <c r="V856" s="5">
        <v>2024</v>
      </c>
      <c r="W856" s="5" t="s">
        <v>134</v>
      </c>
      <c r="X856" s="5">
        <v>9</v>
      </c>
      <c r="Y856" s="1">
        <v>45606</v>
      </c>
      <c r="Z856" s="5" t="s">
        <v>47</v>
      </c>
      <c r="AA856" s="5" t="s">
        <v>48</v>
      </c>
      <c r="AB856" s="5" t="s">
        <v>111</v>
      </c>
      <c r="AC856" s="5" t="s">
        <v>121</v>
      </c>
      <c r="AD856" s="5">
        <v>4</v>
      </c>
    </row>
    <row r="857" spans="1:30">
      <c r="A857" s="5" t="s">
        <v>2002</v>
      </c>
      <c r="B857" s="1" t="s">
        <v>795</v>
      </c>
      <c r="C857" s="5" t="s">
        <v>368</v>
      </c>
      <c r="D857" s="5" t="s">
        <v>307</v>
      </c>
      <c r="E857" s="5" t="s">
        <v>103</v>
      </c>
      <c r="F857" s="5" t="s">
        <v>104</v>
      </c>
      <c r="G857" s="5" t="s">
        <v>104</v>
      </c>
      <c r="H857" s="5" t="s">
        <v>38</v>
      </c>
      <c r="I857" s="5" t="s">
        <v>71</v>
      </c>
      <c r="J857" s="5" t="s">
        <v>117</v>
      </c>
      <c r="K857" s="5">
        <v>4</v>
      </c>
      <c r="L857" s="5">
        <v>2500</v>
      </c>
      <c r="M857" s="5">
        <v>0.2</v>
      </c>
      <c r="N857" s="5">
        <v>8000</v>
      </c>
      <c r="O857" s="5">
        <v>5735.08</v>
      </c>
      <c r="P857" s="5">
        <v>2264.92</v>
      </c>
      <c r="Q857" s="5">
        <v>28.31</v>
      </c>
      <c r="R857" s="5" t="s">
        <v>73</v>
      </c>
      <c r="S857" s="5" t="s">
        <v>74</v>
      </c>
      <c r="T857" s="5" t="s">
        <v>43</v>
      </c>
      <c r="U857" s="5" t="s">
        <v>108</v>
      </c>
      <c r="V857" s="5">
        <v>2025</v>
      </c>
      <c r="W857" s="5" t="s">
        <v>65</v>
      </c>
      <c r="X857" s="5">
        <v>9</v>
      </c>
      <c r="Y857" s="1" t="s">
        <v>1923</v>
      </c>
      <c r="Z857" s="5" t="s">
        <v>110</v>
      </c>
      <c r="AA857" s="5" t="s">
        <v>67</v>
      </c>
      <c r="AB857" s="5" t="s">
        <v>49</v>
      </c>
      <c r="AC857" s="5" t="s">
        <v>121</v>
      </c>
      <c r="AD857" s="5">
        <v>4</v>
      </c>
    </row>
    <row r="858" spans="1:30">
      <c r="A858" s="5" t="s">
        <v>2003</v>
      </c>
      <c r="B858" s="1" t="s">
        <v>168</v>
      </c>
      <c r="C858" s="5" t="s">
        <v>773</v>
      </c>
      <c r="D858" s="5" t="s">
        <v>850</v>
      </c>
      <c r="E858" s="5" t="s">
        <v>35</v>
      </c>
      <c r="F858" s="5" t="s">
        <v>116</v>
      </c>
      <c r="G858" s="5" t="s">
        <v>37</v>
      </c>
      <c r="H858" s="5" t="s">
        <v>38</v>
      </c>
      <c r="I858" s="5" t="s">
        <v>59</v>
      </c>
      <c r="J858" s="5" t="s">
        <v>328</v>
      </c>
      <c r="K858" s="5">
        <v>9</v>
      </c>
      <c r="L858" s="5">
        <v>3000</v>
      </c>
      <c r="M858" s="5">
        <v>0</v>
      </c>
      <c r="N858" s="5">
        <v>27000</v>
      </c>
      <c r="O858" s="5">
        <v>18841.11</v>
      </c>
      <c r="P858" s="5">
        <v>8158.89</v>
      </c>
      <c r="Q858" s="5">
        <v>30.22</v>
      </c>
      <c r="R858" s="5" t="s">
        <v>166</v>
      </c>
      <c r="S858" s="5" t="s">
        <v>42</v>
      </c>
      <c r="T858" s="5" t="s">
        <v>86</v>
      </c>
      <c r="U858" s="5" t="s">
        <v>108</v>
      </c>
      <c r="V858" s="5">
        <v>2024</v>
      </c>
      <c r="W858" s="5" t="s">
        <v>109</v>
      </c>
      <c r="X858" s="5">
        <v>5</v>
      </c>
      <c r="Y858" s="1" t="s">
        <v>286</v>
      </c>
      <c r="Z858" s="5" t="s">
        <v>47</v>
      </c>
      <c r="AA858" s="5" t="s">
        <v>48</v>
      </c>
      <c r="AB858" s="5" t="s">
        <v>111</v>
      </c>
      <c r="AC858" s="5" t="s">
        <v>121</v>
      </c>
      <c r="AD858" s="5">
        <v>4</v>
      </c>
    </row>
    <row r="859" spans="1:30">
      <c r="A859" s="5" t="s">
        <v>2004</v>
      </c>
      <c r="B859" s="1" t="s">
        <v>1366</v>
      </c>
      <c r="C859" s="5" t="s">
        <v>262</v>
      </c>
      <c r="D859" s="5" t="s">
        <v>1077</v>
      </c>
      <c r="E859" s="5" t="s">
        <v>55</v>
      </c>
      <c r="F859" s="5" t="s">
        <v>116</v>
      </c>
      <c r="G859" s="5" t="s">
        <v>37</v>
      </c>
      <c r="H859" s="5" t="s">
        <v>38</v>
      </c>
      <c r="I859" s="5" t="s">
        <v>95</v>
      </c>
      <c r="J859" s="5" t="s">
        <v>319</v>
      </c>
      <c r="K859" s="5">
        <v>2</v>
      </c>
      <c r="L859" s="5">
        <v>4000</v>
      </c>
      <c r="M859" s="5">
        <v>0.15</v>
      </c>
      <c r="N859" s="5">
        <v>6800</v>
      </c>
      <c r="O859" s="5">
        <v>4697.88</v>
      </c>
      <c r="P859" s="5">
        <v>2102.12</v>
      </c>
      <c r="Q859" s="5">
        <v>30.91</v>
      </c>
      <c r="R859" s="5" t="s">
        <v>106</v>
      </c>
      <c r="S859" s="5" t="s">
        <v>74</v>
      </c>
      <c r="T859" s="5" t="s">
        <v>75</v>
      </c>
      <c r="U859" s="5" t="s">
        <v>108</v>
      </c>
      <c r="V859" s="5">
        <v>2025</v>
      </c>
      <c r="W859" s="5" t="s">
        <v>139</v>
      </c>
      <c r="X859" s="5">
        <v>5</v>
      </c>
      <c r="Y859" s="1" t="s">
        <v>1615</v>
      </c>
      <c r="Z859" s="5" t="s">
        <v>47</v>
      </c>
      <c r="AA859" s="5" t="s">
        <v>48</v>
      </c>
      <c r="AB859" s="5" t="s">
        <v>49</v>
      </c>
      <c r="AC859" s="5" t="s">
        <v>50</v>
      </c>
      <c r="AD859" s="5">
        <v>5</v>
      </c>
    </row>
    <row r="860" spans="1:30">
      <c r="A860" s="5" t="s">
        <v>2005</v>
      </c>
      <c r="B860" s="1" t="s">
        <v>2006</v>
      </c>
      <c r="C860" s="5" t="s">
        <v>809</v>
      </c>
      <c r="D860" s="5" t="s">
        <v>1424</v>
      </c>
      <c r="E860" s="5" t="s">
        <v>55</v>
      </c>
      <c r="F860" s="5" t="s">
        <v>156</v>
      </c>
      <c r="G860" s="5" t="s">
        <v>157</v>
      </c>
      <c r="H860" s="5" t="s">
        <v>171</v>
      </c>
      <c r="I860" s="5" t="s">
        <v>95</v>
      </c>
      <c r="J860" s="5" t="s">
        <v>344</v>
      </c>
      <c r="K860" s="5">
        <v>5</v>
      </c>
      <c r="L860" s="5">
        <v>6000</v>
      </c>
      <c r="M860" s="5">
        <v>0</v>
      </c>
      <c r="N860" s="5">
        <v>30000</v>
      </c>
      <c r="O860" s="5">
        <v>18862.169999999998</v>
      </c>
      <c r="P860" s="5">
        <v>11137.83</v>
      </c>
      <c r="Q860" s="5">
        <v>37.130000000000003</v>
      </c>
      <c r="R860" s="5" t="s">
        <v>61</v>
      </c>
      <c r="S860" s="5" t="s">
        <v>74</v>
      </c>
      <c r="T860" s="5" t="s">
        <v>118</v>
      </c>
      <c r="U860" s="5" t="s">
        <v>44</v>
      </c>
      <c r="V860" s="5">
        <v>2025</v>
      </c>
      <c r="W860" s="5" t="s">
        <v>194</v>
      </c>
      <c r="X860" s="5">
        <v>1</v>
      </c>
      <c r="Y860" s="1" t="s">
        <v>1744</v>
      </c>
      <c r="Z860" s="5" t="s">
        <v>110</v>
      </c>
      <c r="AA860" s="5" t="s">
        <v>67</v>
      </c>
      <c r="AB860" s="5" t="s">
        <v>49</v>
      </c>
      <c r="AC860" s="5" t="s">
        <v>50</v>
      </c>
      <c r="AD860" s="5">
        <v>3</v>
      </c>
    </row>
    <row r="861" spans="1:30">
      <c r="A861" s="5" t="s">
        <v>2007</v>
      </c>
      <c r="B861" s="1" t="s">
        <v>714</v>
      </c>
      <c r="C861" s="5" t="s">
        <v>1395</v>
      </c>
      <c r="D861" s="5" t="s">
        <v>205</v>
      </c>
      <c r="E861" s="5" t="s">
        <v>103</v>
      </c>
      <c r="F861" s="5" t="s">
        <v>131</v>
      </c>
      <c r="G861" s="5" t="s">
        <v>132</v>
      </c>
      <c r="H861" s="5" t="s">
        <v>58</v>
      </c>
      <c r="I861" s="5" t="s">
        <v>95</v>
      </c>
      <c r="J861" s="5" t="s">
        <v>184</v>
      </c>
      <c r="K861" s="5">
        <v>4</v>
      </c>
      <c r="L861" s="5">
        <v>2500</v>
      </c>
      <c r="M861" s="5">
        <v>0</v>
      </c>
      <c r="N861" s="5">
        <v>10000</v>
      </c>
      <c r="O861" s="5">
        <v>6610.22</v>
      </c>
      <c r="P861" s="5">
        <v>3389.78</v>
      </c>
      <c r="Q861" s="5">
        <v>33.9</v>
      </c>
      <c r="R861" s="5" t="s">
        <v>73</v>
      </c>
      <c r="S861" s="5" t="s">
        <v>42</v>
      </c>
      <c r="T861" s="5" t="s">
        <v>173</v>
      </c>
      <c r="U861" s="5" t="s">
        <v>44</v>
      </c>
      <c r="V861" s="5">
        <v>2025</v>
      </c>
      <c r="W861" s="5" t="s">
        <v>65</v>
      </c>
      <c r="X861" s="5">
        <v>7</v>
      </c>
      <c r="Y861" s="1">
        <v>45721</v>
      </c>
      <c r="Z861" s="5" t="s">
        <v>47</v>
      </c>
      <c r="AA861" s="5" t="s">
        <v>67</v>
      </c>
      <c r="AB861" s="5" t="s">
        <v>49</v>
      </c>
      <c r="AC861" s="5" t="s">
        <v>121</v>
      </c>
      <c r="AD861" s="5">
        <v>3</v>
      </c>
    </row>
    <row r="862" spans="1:30">
      <c r="A862" s="5" t="s">
        <v>2008</v>
      </c>
      <c r="B862" s="1">
        <v>45506</v>
      </c>
      <c r="C862" s="5" t="s">
        <v>2009</v>
      </c>
      <c r="D862" s="5" t="s">
        <v>1305</v>
      </c>
      <c r="E862" s="5" t="s">
        <v>35</v>
      </c>
      <c r="F862" s="5" t="s">
        <v>82</v>
      </c>
      <c r="G862" s="5" t="s">
        <v>83</v>
      </c>
      <c r="H862" s="5" t="s">
        <v>38</v>
      </c>
      <c r="I862" s="5" t="s">
        <v>95</v>
      </c>
      <c r="J862" s="5" t="s">
        <v>440</v>
      </c>
      <c r="K862" s="5">
        <v>10</v>
      </c>
      <c r="L862" s="5">
        <v>2500</v>
      </c>
      <c r="M862" s="5">
        <v>0.1</v>
      </c>
      <c r="N862" s="5">
        <v>22500</v>
      </c>
      <c r="O862" s="5">
        <v>18408.240000000002</v>
      </c>
      <c r="P862" s="5">
        <v>4091.76</v>
      </c>
      <c r="Q862" s="5">
        <v>18.190000000000001</v>
      </c>
      <c r="R862" s="5" t="s">
        <v>61</v>
      </c>
      <c r="S862" s="5" t="s">
        <v>74</v>
      </c>
      <c r="T862" s="5" t="s">
        <v>107</v>
      </c>
      <c r="U862" s="5" t="s">
        <v>98</v>
      </c>
      <c r="V862" s="5">
        <v>2024</v>
      </c>
      <c r="W862" s="5" t="s">
        <v>139</v>
      </c>
      <c r="X862" s="5">
        <v>5</v>
      </c>
      <c r="Y862" s="1" t="s">
        <v>1356</v>
      </c>
      <c r="Z862" s="5" t="s">
        <v>47</v>
      </c>
      <c r="AA862" s="5" t="s">
        <v>67</v>
      </c>
      <c r="AB862" s="5" t="s">
        <v>111</v>
      </c>
      <c r="AC862" s="5" t="s">
        <v>50</v>
      </c>
      <c r="AD862" s="5">
        <v>1</v>
      </c>
    </row>
    <row r="863" spans="1:30">
      <c r="A863" s="5" t="s">
        <v>2010</v>
      </c>
      <c r="B863" s="1" t="s">
        <v>1108</v>
      </c>
      <c r="C863" s="5" t="s">
        <v>204</v>
      </c>
      <c r="D863" s="5" t="s">
        <v>459</v>
      </c>
      <c r="E863" s="5" t="s">
        <v>103</v>
      </c>
      <c r="F863" s="5" t="s">
        <v>156</v>
      </c>
      <c r="G863" s="5" t="s">
        <v>157</v>
      </c>
      <c r="H863" s="5" t="s">
        <v>38</v>
      </c>
      <c r="I863" s="5" t="s">
        <v>95</v>
      </c>
      <c r="J863" s="5" t="s">
        <v>319</v>
      </c>
      <c r="K863" s="5">
        <v>2</v>
      </c>
      <c r="L863" s="5">
        <v>2500</v>
      </c>
      <c r="M863" s="5">
        <v>0</v>
      </c>
      <c r="N863" s="5">
        <v>5000</v>
      </c>
      <c r="O863" s="5">
        <v>3460.39</v>
      </c>
      <c r="P863" s="5">
        <v>1539.61</v>
      </c>
      <c r="Q863" s="5">
        <v>30.79</v>
      </c>
      <c r="R863" s="5" t="s">
        <v>73</v>
      </c>
      <c r="S863" s="5" t="s">
        <v>42</v>
      </c>
      <c r="T863" s="5" t="s">
        <v>173</v>
      </c>
      <c r="U863" s="5" t="s">
        <v>64</v>
      </c>
      <c r="V863" s="5">
        <v>2025</v>
      </c>
      <c r="W863" s="5" t="s">
        <v>126</v>
      </c>
      <c r="X863" s="5">
        <v>10</v>
      </c>
      <c r="Y863" s="1">
        <v>46235</v>
      </c>
      <c r="Z863" s="5" t="s">
        <v>110</v>
      </c>
      <c r="AA863" s="5" t="s">
        <v>48</v>
      </c>
      <c r="AB863" s="5" t="s">
        <v>111</v>
      </c>
      <c r="AC863" s="5" t="s">
        <v>121</v>
      </c>
      <c r="AD863" s="5">
        <v>4</v>
      </c>
    </row>
    <row r="864" spans="1:30">
      <c r="A864" s="5" t="s">
        <v>2011</v>
      </c>
      <c r="B864" s="1" t="s">
        <v>780</v>
      </c>
      <c r="C864" s="5" t="s">
        <v>830</v>
      </c>
      <c r="D864" s="5" t="s">
        <v>770</v>
      </c>
      <c r="E864" s="5" t="s">
        <v>55</v>
      </c>
      <c r="F864" s="5" t="s">
        <v>149</v>
      </c>
      <c r="G864" s="5" t="s">
        <v>150</v>
      </c>
      <c r="H864" s="5" t="s">
        <v>94</v>
      </c>
      <c r="I864" s="5" t="s">
        <v>95</v>
      </c>
      <c r="J864" s="5" t="s">
        <v>440</v>
      </c>
      <c r="K864" s="5">
        <v>6</v>
      </c>
      <c r="L864" s="5">
        <v>4000</v>
      </c>
      <c r="M864" s="5">
        <v>0</v>
      </c>
      <c r="N864" s="5">
        <v>24000</v>
      </c>
      <c r="O864" s="5">
        <v>19396.240000000002</v>
      </c>
      <c r="P864" s="5">
        <v>4603.76</v>
      </c>
      <c r="Q864" s="5">
        <v>19.18</v>
      </c>
      <c r="R864" s="5" t="s">
        <v>106</v>
      </c>
      <c r="S864" s="5" t="s">
        <v>62</v>
      </c>
      <c r="T864" s="5" t="s">
        <v>107</v>
      </c>
      <c r="U864" s="5" t="s">
        <v>98</v>
      </c>
      <c r="V864" s="5">
        <v>2025</v>
      </c>
      <c r="W864" s="5" t="s">
        <v>139</v>
      </c>
      <c r="X864" s="5">
        <v>1</v>
      </c>
      <c r="Y864" s="1" t="s">
        <v>1225</v>
      </c>
      <c r="Z864" s="5" t="s">
        <v>47</v>
      </c>
      <c r="AA864" s="5" t="s">
        <v>67</v>
      </c>
      <c r="AB864" s="5" t="s">
        <v>111</v>
      </c>
      <c r="AC864" s="5" t="s">
        <v>121</v>
      </c>
      <c r="AD864" s="5">
        <v>1</v>
      </c>
    </row>
    <row r="865" spans="1:30">
      <c r="A865" s="5" t="s">
        <v>2012</v>
      </c>
      <c r="B865" s="1">
        <v>45516</v>
      </c>
      <c r="C865" s="5" t="s">
        <v>665</v>
      </c>
      <c r="D865" s="5" t="s">
        <v>900</v>
      </c>
      <c r="E865" s="5" t="s">
        <v>35</v>
      </c>
      <c r="F865" s="5" t="s">
        <v>245</v>
      </c>
      <c r="G865" s="5" t="s">
        <v>246</v>
      </c>
      <c r="H865" s="5" t="s">
        <v>38</v>
      </c>
      <c r="I865" s="5" t="s">
        <v>95</v>
      </c>
      <c r="J865" s="5" t="s">
        <v>344</v>
      </c>
      <c r="K865" s="5">
        <v>1</v>
      </c>
      <c r="L865" s="5">
        <v>15000</v>
      </c>
      <c r="M865" s="5">
        <v>0</v>
      </c>
      <c r="N865" s="5">
        <v>15000</v>
      </c>
      <c r="O865" s="5">
        <v>10476.450000000001</v>
      </c>
      <c r="P865" s="5">
        <v>4523.55</v>
      </c>
      <c r="Q865" s="5">
        <v>30.16</v>
      </c>
      <c r="R865" s="5" t="s">
        <v>166</v>
      </c>
      <c r="S865" s="5" t="s">
        <v>62</v>
      </c>
      <c r="T865" s="5" t="s">
        <v>138</v>
      </c>
      <c r="U865" s="5" t="s">
        <v>64</v>
      </c>
      <c r="V865" s="5">
        <v>2024</v>
      </c>
      <c r="W865" s="5" t="s">
        <v>45</v>
      </c>
      <c r="X865" s="5">
        <v>7</v>
      </c>
      <c r="Y865" s="1" t="s">
        <v>1791</v>
      </c>
      <c r="Z865" s="5" t="s">
        <v>47</v>
      </c>
      <c r="AA865" s="5" t="s">
        <v>48</v>
      </c>
      <c r="AB865" s="5" t="s">
        <v>111</v>
      </c>
      <c r="AC865" s="5" t="s">
        <v>50</v>
      </c>
      <c r="AD865" s="5">
        <v>3</v>
      </c>
    </row>
    <row r="866" spans="1:30">
      <c r="A866" s="5" t="s">
        <v>2013</v>
      </c>
      <c r="B866" s="1" t="s">
        <v>441</v>
      </c>
      <c r="C866" s="5" t="s">
        <v>698</v>
      </c>
      <c r="D866" s="5" t="s">
        <v>684</v>
      </c>
      <c r="E866" s="5" t="s">
        <v>35</v>
      </c>
      <c r="F866" s="5" t="s">
        <v>116</v>
      </c>
      <c r="G866" s="5" t="s">
        <v>37</v>
      </c>
      <c r="H866" s="5" t="s">
        <v>58</v>
      </c>
      <c r="I866" s="5" t="s">
        <v>59</v>
      </c>
      <c r="J866" s="5" t="s">
        <v>328</v>
      </c>
      <c r="K866" s="5">
        <v>7</v>
      </c>
      <c r="L866" s="5">
        <v>500</v>
      </c>
      <c r="M866" s="5">
        <v>0.2</v>
      </c>
      <c r="N866" s="5">
        <v>2800</v>
      </c>
      <c r="O866" s="5">
        <v>1818.14</v>
      </c>
      <c r="P866" s="5">
        <v>981.86</v>
      </c>
      <c r="Q866" s="5">
        <v>35.07</v>
      </c>
      <c r="R866" s="5" t="s">
        <v>61</v>
      </c>
      <c r="S866" s="5" t="s">
        <v>42</v>
      </c>
      <c r="T866" s="5" t="s">
        <v>173</v>
      </c>
      <c r="U866" s="5" t="s">
        <v>198</v>
      </c>
      <c r="V866" s="5">
        <v>2025</v>
      </c>
      <c r="W866" s="5" t="s">
        <v>139</v>
      </c>
      <c r="X866" s="5">
        <v>4</v>
      </c>
      <c r="Y866" s="1">
        <v>45669</v>
      </c>
      <c r="Z866" s="5" t="s">
        <v>110</v>
      </c>
      <c r="AA866" s="5" t="s">
        <v>90</v>
      </c>
      <c r="AB866" s="5" t="s">
        <v>111</v>
      </c>
      <c r="AC866" s="5" t="s">
        <v>50</v>
      </c>
      <c r="AD866" s="5">
        <v>1</v>
      </c>
    </row>
    <row r="867" spans="1:30">
      <c r="A867" s="5" t="s">
        <v>2014</v>
      </c>
      <c r="B867" s="1">
        <v>45721</v>
      </c>
      <c r="C867" s="5" t="s">
        <v>724</v>
      </c>
      <c r="D867" s="5" t="s">
        <v>2015</v>
      </c>
      <c r="E867" s="5" t="s">
        <v>103</v>
      </c>
      <c r="F867" s="5" t="s">
        <v>131</v>
      </c>
      <c r="G867" s="5" t="s">
        <v>132</v>
      </c>
      <c r="H867" s="5" t="s">
        <v>38</v>
      </c>
      <c r="I867" s="5" t="s">
        <v>84</v>
      </c>
      <c r="J867" s="5" t="s">
        <v>85</v>
      </c>
      <c r="K867" s="5">
        <v>4</v>
      </c>
      <c r="L867" s="5">
        <v>500</v>
      </c>
      <c r="M867" s="5">
        <v>0.2</v>
      </c>
      <c r="N867" s="5">
        <v>1600</v>
      </c>
      <c r="O867" s="5">
        <v>1133.3900000000001</v>
      </c>
      <c r="P867" s="5">
        <v>466.61</v>
      </c>
      <c r="Q867" s="5">
        <v>29.16</v>
      </c>
      <c r="R867" s="5" t="s">
        <v>73</v>
      </c>
      <c r="S867" s="5" t="s">
        <v>42</v>
      </c>
      <c r="T867" s="5" t="s">
        <v>63</v>
      </c>
      <c r="U867" s="5" t="s">
        <v>119</v>
      </c>
      <c r="V867" s="5">
        <v>2025</v>
      </c>
      <c r="W867" s="5" t="s">
        <v>65</v>
      </c>
      <c r="X867" s="5">
        <v>6</v>
      </c>
      <c r="Y867" s="1">
        <v>45905</v>
      </c>
      <c r="Z867" s="5" t="s">
        <v>47</v>
      </c>
      <c r="AA867" s="5" t="s">
        <v>48</v>
      </c>
      <c r="AB867" s="5" t="s">
        <v>49</v>
      </c>
      <c r="AC867" s="5" t="s">
        <v>121</v>
      </c>
      <c r="AD867" s="5">
        <v>2</v>
      </c>
    </row>
    <row r="868" spans="1:30">
      <c r="A868" s="5" t="s">
        <v>2016</v>
      </c>
      <c r="B868" s="1">
        <v>45386</v>
      </c>
      <c r="C868" s="5" t="s">
        <v>2017</v>
      </c>
      <c r="D868" s="5" t="s">
        <v>1758</v>
      </c>
      <c r="E868" s="5" t="s">
        <v>103</v>
      </c>
      <c r="F868" s="5" t="s">
        <v>56</v>
      </c>
      <c r="G868" s="5" t="s">
        <v>57</v>
      </c>
      <c r="H868" s="5" t="s">
        <v>94</v>
      </c>
      <c r="I868" s="5" t="s">
        <v>84</v>
      </c>
      <c r="J868" s="5" t="s">
        <v>229</v>
      </c>
      <c r="K868" s="5">
        <v>6</v>
      </c>
      <c r="L868" s="5">
        <v>500</v>
      </c>
      <c r="M868" s="5">
        <v>0</v>
      </c>
      <c r="N868" s="5">
        <v>3000</v>
      </c>
      <c r="O868" s="5">
        <v>2213.29</v>
      </c>
      <c r="P868" s="5">
        <v>786.71</v>
      </c>
      <c r="Q868" s="5">
        <v>26.22</v>
      </c>
      <c r="R868" s="5" t="s">
        <v>106</v>
      </c>
      <c r="S868" s="5" t="s">
        <v>62</v>
      </c>
      <c r="T868" s="5" t="s">
        <v>43</v>
      </c>
      <c r="U868" s="5" t="s">
        <v>44</v>
      </c>
      <c r="V868" s="5">
        <v>2024</v>
      </c>
      <c r="W868" s="5" t="s">
        <v>139</v>
      </c>
      <c r="X868" s="5">
        <v>5</v>
      </c>
      <c r="Y868" s="1">
        <v>45539</v>
      </c>
      <c r="Z868" s="5" t="s">
        <v>47</v>
      </c>
      <c r="AA868" s="5" t="s">
        <v>67</v>
      </c>
      <c r="AB868" s="5" t="s">
        <v>49</v>
      </c>
      <c r="AC868" s="5" t="s">
        <v>50</v>
      </c>
      <c r="AD868" s="5">
        <v>4</v>
      </c>
    </row>
    <row r="869" spans="1:30">
      <c r="A869" s="5" t="s">
        <v>2018</v>
      </c>
      <c r="B869" s="1">
        <v>45601</v>
      </c>
      <c r="C869" s="5" t="s">
        <v>196</v>
      </c>
      <c r="D869" s="5" t="s">
        <v>707</v>
      </c>
      <c r="E869" s="5" t="s">
        <v>35</v>
      </c>
      <c r="F869" s="5" t="s">
        <v>156</v>
      </c>
      <c r="G869" s="5" t="s">
        <v>157</v>
      </c>
      <c r="H869" s="5" t="s">
        <v>171</v>
      </c>
      <c r="I869" s="5" t="s">
        <v>71</v>
      </c>
      <c r="J869" s="5" t="s">
        <v>72</v>
      </c>
      <c r="K869" s="5">
        <v>9</v>
      </c>
      <c r="L869" s="5">
        <v>700</v>
      </c>
      <c r="M869" s="5">
        <v>0</v>
      </c>
      <c r="N869" s="5">
        <v>6300</v>
      </c>
      <c r="O869" s="5">
        <v>5061.9799999999996</v>
      </c>
      <c r="P869" s="5">
        <v>1238.02</v>
      </c>
      <c r="Q869" s="5">
        <v>19.649999999999999</v>
      </c>
      <c r="R869" s="5" t="s">
        <v>166</v>
      </c>
      <c r="S869" s="5" t="s">
        <v>62</v>
      </c>
      <c r="T869" s="5" t="s">
        <v>63</v>
      </c>
      <c r="U869" s="5" t="s">
        <v>119</v>
      </c>
      <c r="V869" s="5">
        <v>2024</v>
      </c>
      <c r="W869" s="5" t="s">
        <v>65</v>
      </c>
      <c r="X869" s="5">
        <v>7</v>
      </c>
      <c r="Y869" s="1" t="s">
        <v>365</v>
      </c>
      <c r="Z869" s="5" t="s">
        <v>47</v>
      </c>
      <c r="AA869" s="5" t="s">
        <v>90</v>
      </c>
      <c r="AB869" s="5" t="s">
        <v>49</v>
      </c>
      <c r="AC869" s="5" t="s">
        <v>50</v>
      </c>
      <c r="AD869" s="5">
        <v>2</v>
      </c>
    </row>
    <row r="870" spans="1:30">
      <c r="A870" s="5" t="s">
        <v>2019</v>
      </c>
      <c r="B870" s="1">
        <v>45604</v>
      </c>
      <c r="C870" s="5" t="s">
        <v>210</v>
      </c>
      <c r="D870" s="5" t="s">
        <v>699</v>
      </c>
      <c r="E870" s="5" t="s">
        <v>35</v>
      </c>
      <c r="F870" s="5" t="s">
        <v>56</v>
      </c>
      <c r="G870" s="5" t="s">
        <v>57</v>
      </c>
      <c r="H870" s="5" t="s">
        <v>94</v>
      </c>
      <c r="I870" s="5" t="s">
        <v>39</v>
      </c>
      <c r="J870" s="5" t="s">
        <v>40</v>
      </c>
      <c r="K870" s="5">
        <v>4</v>
      </c>
      <c r="L870" s="5">
        <v>8000</v>
      </c>
      <c r="M870" s="5">
        <v>0.05</v>
      </c>
      <c r="N870" s="5">
        <v>30400</v>
      </c>
      <c r="O870" s="5">
        <v>19640.37</v>
      </c>
      <c r="P870" s="5">
        <v>10759.63</v>
      </c>
      <c r="Q870" s="5">
        <v>35.39</v>
      </c>
      <c r="R870" s="5" t="s">
        <v>41</v>
      </c>
      <c r="S870" s="5" t="s">
        <v>74</v>
      </c>
      <c r="T870" s="5" t="s">
        <v>138</v>
      </c>
      <c r="U870" s="5" t="s">
        <v>218</v>
      </c>
      <c r="V870" s="5">
        <v>2024</v>
      </c>
      <c r="W870" s="5" t="s">
        <v>45</v>
      </c>
      <c r="X870" s="5">
        <v>5</v>
      </c>
      <c r="Y870" s="1" t="s">
        <v>564</v>
      </c>
      <c r="Z870" s="5" t="s">
        <v>47</v>
      </c>
      <c r="AA870" s="5" t="s">
        <v>48</v>
      </c>
      <c r="AB870" s="5" t="s">
        <v>78</v>
      </c>
      <c r="AC870" s="5" t="s">
        <v>50</v>
      </c>
      <c r="AD870" s="5">
        <v>5</v>
      </c>
    </row>
    <row r="871" spans="1:30">
      <c r="A871" s="5" t="s">
        <v>2020</v>
      </c>
      <c r="B871" s="1">
        <v>45598</v>
      </c>
      <c r="C871" s="5" t="s">
        <v>363</v>
      </c>
      <c r="D871" s="5" t="s">
        <v>931</v>
      </c>
      <c r="E871" s="5" t="s">
        <v>103</v>
      </c>
      <c r="F871" s="5" t="s">
        <v>245</v>
      </c>
      <c r="G871" s="5" t="s">
        <v>246</v>
      </c>
      <c r="H871" s="5" t="s">
        <v>94</v>
      </c>
      <c r="I871" s="5" t="s">
        <v>59</v>
      </c>
      <c r="J871" s="5" t="s">
        <v>206</v>
      </c>
      <c r="K871" s="5">
        <v>9</v>
      </c>
      <c r="L871" s="5">
        <v>1200</v>
      </c>
      <c r="M871" s="5">
        <v>0.1</v>
      </c>
      <c r="N871" s="5">
        <v>9720</v>
      </c>
      <c r="O871" s="5">
        <v>6143.83</v>
      </c>
      <c r="P871" s="5">
        <v>3576.17</v>
      </c>
      <c r="Q871" s="5">
        <v>36.79</v>
      </c>
      <c r="R871" s="5" t="s">
        <v>73</v>
      </c>
      <c r="S871" s="5" t="s">
        <v>62</v>
      </c>
      <c r="T871" s="5" t="s">
        <v>159</v>
      </c>
      <c r="U871" s="5" t="s">
        <v>98</v>
      </c>
      <c r="V871" s="5">
        <v>2024</v>
      </c>
      <c r="W871" s="5" t="s">
        <v>45</v>
      </c>
      <c r="X871" s="5">
        <v>2</v>
      </c>
      <c r="Y871" s="1" t="s">
        <v>1356</v>
      </c>
      <c r="Z871" s="5" t="s">
        <v>47</v>
      </c>
      <c r="AA871" s="5" t="s">
        <v>90</v>
      </c>
      <c r="AB871" s="5" t="s">
        <v>78</v>
      </c>
      <c r="AC871" s="5" t="s">
        <v>121</v>
      </c>
      <c r="AD871" s="5">
        <v>4</v>
      </c>
    </row>
    <row r="872" spans="1:30">
      <c r="A872" s="5" t="s">
        <v>2021</v>
      </c>
      <c r="B872" s="1" t="s">
        <v>1280</v>
      </c>
      <c r="C872" s="5" t="s">
        <v>2022</v>
      </c>
      <c r="D872" s="5" t="s">
        <v>2023</v>
      </c>
      <c r="E872" s="5" t="s">
        <v>35</v>
      </c>
      <c r="F872" s="5" t="s">
        <v>104</v>
      </c>
      <c r="G872" s="5" t="s">
        <v>104</v>
      </c>
      <c r="H872" s="5" t="s">
        <v>171</v>
      </c>
      <c r="I872" s="5" t="s">
        <v>95</v>
      </c>
      <c r="J872" s="5" t="s">
        <v>319</v>
      </c>
      <c r="K872" s="5">
        <v>6</v>
      </c>
      <c r="L872" s="5">
        <v>15000</v>
      </c>
      <c r="M872" s="5">
        <v>0</v>
      </c>
      <c r="N872" s="5">
        <v>90000</v>
      </c>
      <c r="O872" s="5">
        <v>60472.27</v>
      </c>
      <c r="P872" s="5">
        <v>29527.73</v>
      </c>
      <c r="Q872" s="5">
        <v>32.81</v>
      </c>
      <c r="R872" s="5" t="s">
        <v>41</v>
      </c>
      <c r="S872" s="5" t="s">
        <v>42</v>
      </c>
      <c r="T872" s="5" t="s">
        <v>173</v>
      </c>
      <c r="U872" s="5" t="s">
        <v>98</v>
      </c>
      <c r="V872" s="5">
        <v>2024</v>
      </c>
      <c r="W872" s="5" t="s">
        <v>65</v>
      </c>
      <c r="X872" s="5">
        <v>2</v>
      </c>
      <c r="Y872" s="1" t="s">
        <v>1163</v>
      </c>
      <c r="Z872" s="5" t="s">
        <v>47</v>
      </c>
      <c r="AA872" s="5" t="s">
        <v>67</v>
      </c>
      <c r="AB872" s="5" t="s">
        <v>78</v>
      </c>
      <c r="AC872" s="5" t="s">
        <v>121</v>
      </c>
      <c r="AD872" s="5">
        <v>1</v>
      </c>
    </row>
    <row r="873" spans="1:30">
      <c r="A873" s="5" t="s">
        <v>2024</v>
      </c>
      <c r="B873" s="1" t="s">
        <v>2025</v>
      </c>
      <c r="C873" s="5" t="s">
        <v>1259</v>
      </c>
      <c r="D873" s="5" t="s">
        <v>2026</v>
      </c>
      <c r="E873" s="5" t="s">
        <v>55</v>
      </c>
      <c r="F873" s="5" t="s">
        <v>56</v>
      </c>
      <c r="G873" s="5" t="s">
        <v>57</v>
      </c>
      <c r="H873" s="5" t="s">
        <v>171</v>
      </c>
      <c r="I873" s="5" t="s">
        <v>84</v>
      </c>
      <c r="J873" s="5" t="s">
        <v>217</v>
      </c>
      <c r="K873" s="5">
        <v>3</v>
      </c>
      <c r="L873" s="5">
        <v>500</v>
      </c>
      <c r="M873" s="5">
        <v>0.2</v>
      </c>
      <c r="N873" s="5">
        <v>1200</v>
      </c>
      <c r="O873" s="5">
        <v>965.4</v>
      </c>
      <c r="P873" s="5">
        <v>234.6</v>
      </c>
      <c r="Q873" s="5">
        <v>19.55</v>
      </c>
      <c r="R873" s="5" t="s">
        <v>41</v>
      </c>
      <c r="S873" s="5" t="s">
        <v>42</v>
      </c>
      <c r="T873" s="5" t="s">
        <v>63</v>
      </c>
      <c r="U873" s="5" t="s">
        <v>64</v>
      </c>
      <c r="V873" s="5">
        <v>2025</v>
      </c>
      <c r="W873" s="5" t="s">
        <v>134</v>
      </c>
      <c r="X873" s="5">
        <v>10</v>
      </c>
      <c r="Y873" s="1">
        <v>46082</v>
      </c>
      <c r="Z873" s="5" t="s">
        <v>89</v>
      </c>
      <c r="AA873" s="5" t="s">
        <v>48</v>
      </c>
      <c r="AB873" s="5" t="s">
        <v>111</v>
      </c>
      <c r="AC873" s="5" t="s">
        <v>50</v>
      </c>
      <c r="AD873" s="5">
        <v>1</v>
      </c>
    </row>
    <row r="874" spans="1:30">
      <c r="A874" s="5" t="s">
        <v>2027</v>
      </c>
      <c r="B874" s="1" t="s">
        <v>1827</v>
      </c>
      <c r="C874" s="5" t="s">
        <v>249</v>
      </c>
      <c r="D874" s="5" t="s">
        <v>1551</v>
      </c>
      <c r="E874" s="5" t="s">
        <v>35</v>
      </c>
      <c r="F874" s="5" t="s">
        <v>131</v>
      </c>
      <c r="G874" s="5" t="s">
        <v>132</v>
      </c>
      <c r="H874" s="5" t="s">
        <v>171</v>
      </c>
      <c r="I874" s="5" t="s">
        <v>84</v>
      </c>
      <c r="J874" s="5" t="s">
        <v>85</v>
      </c>
      <c r="K874" s="5">
        <v>9</v>
      </c>
      <c r="L874" s="5">
        <v>350</v>
      </c>
      <c r="M874" s="5">
        <v>0.2</v>
      </c>
      <c r="N874" s="5">
        <v>2520</v>
      </c>
      <c r="O874" s="5">
        <v>1485.97</v>
      </c>
      <c r="P874" s="5">
        <v>1034.03</v>
      </c>
      <c r="Q874" s="5">
        <v>41.03</v>
      </c>
      <c r="R874" s="5" t="s">
        <v>41</v>
      </c>
      <c r="S874" s="5" t="s">
        <v>42</v>
      </c>
      <c r="T874" s="5" t="s">
        <v>86</v>
      </c>
      <c r="U874" s="5" t="s">
        <v>76</v>
      </c>
      <c r="V874" s="5">
        <v>2025</v>
      </c>
      <c r="W874" s="5" t="s">
        <v>109</v>
      </c>
      <c r="X874" s="5">
        <v>10</v>
      </c>
      <c r="Y874" s="1">
        <v>45840</v>
      </c>
      <c r="Z874" s="5" t="s">
        <v>47</v>
      </c>
      <c r="AA874" s="5" t="s">
        <v>90</v>
      </c>
      <c r="AB874" s="5" t="s">
        <v>49</v>
      </c>
      <c r="AC874" s="5" t="s">
        <v>121</v>
      </c>
      <c r="AD874" s="5">
        <v>2</v>
      </c>
    </row>
    <row r="875" spans="1:30">
      <c r="A875" s="5" t="s">
        <v>2028</v>
      </c>
      <c r="B875" s="1" t="s">
        <v>967</v>
      </c>
      <c r="C875" s="5" t="s">
        <v>989</v>
      </c>
      <c r="D875" s="5" t="s">
        <v>893</v>
      </c>
      <c r="E875" s="5" t="s">
        <v>35</v>
      </c>
      <c r="F875" s="5" t="s">
        <v>149</v>
      </c>
      <c r="G875" s="5" t="s">
        <v>150</v>
      </c>
      <c r="H875" s="5" t="s">
        <v>94</v>
      </c>
      <c r="I875" s="5" t="s">
        <v>84</v>
      </c>
      <c r="J875" s="5" t="s">
        <v>85</v>
      </c>
      <c r="K875" s="5">
        <v>7</v>
      </c>
      <c r="L875" s="5">
        <v>500</v>
      </c>
      <c r="M875" s="5">
        <v>0.2</v>
      </c>
      <c r="N875" s="5">
        <v>2800</v>
      </c>
      <c r="O875" s="5">
        <v>2010.4</v>
      </c>
      <c r="P875" s="5">
        <v>789.6</v>
      </c>
      <c r="Q875" s="5">
        <v>28.2</v>
      </c>
      <c r="R875" s="5" t="s">
        <v>106</v>
      </c>
      <c r="S875" s="5" t="s">
        <v>62</v>
      </c>
      <c r="T875" s="5" t="s">
        <v>75</v>
      </c>
      <c r="U875" s="5" t="s">
        <v>151</v>
      </c>
      <c r="V875" s="5">
        <v>2025</v>
      </c>
      <c r="W875" s="5" t="s">
        <v>45</v>
      </c>
      <c r="X875" s="5">
        <v>1</v>
      </c>
      <c r="Y875" s="1" t="s">
        <v>530</v>
      </c>
      <c r="Z875" s="5" t="s">
        <v>110</v>
      </c>
      <c r="AA875" s="5" t="s">
        <v>90</v>
      </c>
      <c r="AB875" s="5" t="s">
        <v>111</v>
      </c>
      <c r="AC875" s="5" t="s">
        <v>50</v>
      </c>
      <c r="AD875" s="5">
        <v>2</v>
      </c>
    </row>
    <row r="876" spans="1:30">
      <c r="A876" s="5" t="s">
        <v>2029</v>
      </c>
      <c r="B876" s="1" t="s">
        <v>658</v>
      </c>
      <c r="C876" s="5" t="s">
        <v>129</v>
      </c>
      <c r="D876" s="5" t="s">
        <v>1071</v>
      </c>
      <c r="E876" s="5" t="s">
        <v>103</v>
      </c>
      <c r="F876" s="5" t="s">
        <v>149</v>
      </c>
      <c r="G876" s="5" t="s">
        <v>150</v>
      </c>
      <c r="H876" s="5" t="s">
        <v>38</v>
      </c>
      <c r="I876" s="5" t="s">
        <v>84</v>
      </c>
      <c r="J876" s="5" t="s">
        <v>217</v>
      </c>
      <c r="K876" s="5">
        <v>4</v>
      </c>
      <c r="L876" s="5">
        <v>800</v>
      </c>
      <c r="M876" s="5">
        <v>0.2</v>
      </c>
      <c r="N876" s="5">
        <v>2560</v>
      </c>
      <c r="O876" s="5">
        <v>2035.51</v>
      </c>
      <c r="P876" s="5">
        <v>524.49</v>
      </c>
      <c r="Q876" s="5">
        <v>20.49</v>
      </c>
      <c r="R876" s="5" t="s">
        <v>41</v>
      </c>
      <c r="S876" s="5" t="s">
        <v>74</v>
      </c>
      <c r="T876" s="5" t="s">
        <v>159</v>
      </c>
      <c r="U876" s="5" t="s">
        <v>218</v>
      </c>
      <c r="V876" s="5">
        <v>2024</v>
      </c>
      <c r="W876" s="5" t="s">
        <v>109</v>
      </c>
      <c r="X876" s="5">
        <v>6</v>
      </c>
      <c r="Y876" s="1" t="s">
        <v>1123</v>
      </c>
      <c r="Z876" s="5" t="s">
        <v>89</v>
      </c>
      <c r="AA876" s="5" t="s">
        <v>90</v>
      </c>
      <c r="AB876" s="5" t="s">
        <v>78</v>
      </c>
      <c r="AC876" s="5" t="s">
        <v>50</v>
      </c>
      <c r="AD876" s="5">
        <v>1</v>
      </c>
    </row>
    <row r="877" spans="1:30">
      <c r="A877" s="5" t="s">
        <v>2030</v>
      </c>
      <c r="B877" s="1" t="s">
        <v>212</v>
      </c>
      <c r="C877" s="5" t="s">
        <v>1383</v>
      </c>
      <c r="D877" s="5" t="s">
        <v>1517</v>
      </c>
      <c r="E877" s="5" t="s">
        <v>35</v>
      </c>
      <c r="F877" s="5" t="s">
        <v>245</v>
      </c>
      <c r="G877" s="5" t="s">
        <v>246</v>
      </c>
      <c r="H877" s="5" t="s">
        <v>94</v>
      </c>
      <c r="I877" s="5" t="s">
        <v>59</v>
      </c>
      <c r="J877" s="5" t="s">
        <v>372</v>
      </c>
      <c r="K877" s="5">
        <v>7</v>
      </c>
      <c r="L877" s="5">
        <v>1200</v>
      </c>
      <c r="M877" s="5">
        <v>0</v>
      </c>
      <c r="N877" s="5">
        <v>8400</v>
      </c>
      <c r="O877" s="5">
        <v>5959.28</v>
      </c>
      <c r="P877" s="5">
        <v>2440.7199999999998</v>
      </c>
      <c r="Q877" s="5">
        <v>29.06</v>
      </c>
      <c r="R877" s="5" t="s">
        <v>61</v>
      </c>
      <c r="S877" s="5" t="s">
        <v>74</v>
      </c>
      <c r="T877" s="5" t="s">
        <v>107</v>
      </c>
      <c r="U877" s="5" t="s">
        <v>151</v>
      </c>
      <c r="V877" s="5">
        <v>2025</v>
      </c>
      <c r="W877" s="5" t="s">
        <v>134</v>
      </c>
      <c r="X877" s="5">
        <v>3</v>
      </c>
      <c r="Y877" s="1" t="s">
        <v>2031</v>
      </c>
      <c r="Z877" s="5" t="s">
        <v>110</v>
      </c>
      <c r="AA877" s="5" t="s">
        <v>67</v>
      </c>
      <c r="AB877" s="5" t="s">
        <v>111</v>
      </c>
      <c r="AC877" s="5" t="s">
        <v>50</v>
      </c>
      <c r="AD877" s="5">
        <v>3</v>
      </c>
    </row>
    <row r="878" spans="1:30">
      <c r="A878" s="5" t="s">
        <v>2032</v>
      </c>
      <c r="B878" s="1">
        <v>45994</v>
      </c>
      <c r="C878" s="5" t="s">
        <v>2033</v>
      </c>
      <c r="D878" s="5" t="s">
        <v>323</v>
      </c>
      <c r="E878" s="5" t="s">
        <v>55</v>
      </c>
      <c r="F878" s="5" t="s">
        <v>156</v>
      </c>
      <c r="G878" s="5" t="s">
        <v>157</v>
      </c>
      <c r="H878" s="5" t="s">
        <v>58</v>
      </c>
      <c r="I878" s="5" t="s">
        <v>39</v>
      </c>
      <c r="J878" s="5" t="s">
        <v>105</v>
      </c>
      <c r="K878" s="5">
        <v>1</v>
      </c>
      <c r="L878" s="5">
        <v>35000</v>
      </c>
      <c r="M878" s="5">
        <v>0.15</v>
      </c>
      <c r="N878" s="5">
        <v>29750</v>
      </c>
      <c r="O878" s="5">
        <v>22519.34</v>
      </c>
      <c r="P878" s="5">
        <v>7230.66</v>
      </c>
      <c r="Q878" s="5">
        <v>24.3</v>
      </c>
      <c r="R878" s="5" t="s">
        <v>61</v>
      </c>
      <c r="S878" s="5" t="s">
        <v>74</v>
      </c>
      <c r="T878" s="5" t="s">
        <v>159</v>
      </c>
      <c r="U878" s="5" t="s">
        <v>178</v>
      </c>
      <c r="V878" s="5">
        <v>2025</v>
      </c>
      <c r="W878" s="5" t="s">
        <v>134</v>
      </c>
      <c r="X878" s="5">
        <v>2</v>
      </c>
      <c r="Y878" s="1" t="s">
        <v>1443</v>
      </c>
      <c r="Z878" s="5" t="s">
        <v>47</v>
      </c>
      <c r="AA878" s="5" t="s">
        <v>67</v>
      </c>
      <c r="AB878" s="5" t="s">
        <v>111</v>
      </c>
      <c r="AC878" s="5" t="s">
        <v>121</v>
      </c>
      <c r="AD878" s="5">
        <v>2</v>
      </c>
    </row>
    <row r="879" spans="1:30">
      <c r="A879" s="5" t="s">
        <v>2034</v>
      </c>
      <c r="B879" s="1" t="s">
        <v>153</v>
      </c>
      <c r="C879" s="5" t="s">
        <v>1618</v>
      </c>
      <c r="D879" s="5" t="s">
        <v>653</v>
      </c>
      <c r="E879" s="5" t="s">
        <v>103</v>
      </c>
      <c r="F879" s="5" t="s">
        <v>144</v>
      </c>
      <c r="G879" s="5" t="s">
        <v>145</v>
      </c>
      <c r="H879" s="5" t="s">
        <v>94</v>
      </c>
      <c r="I879" s="5" t="s">
        <v>84</v>
      </c>
      <c r="J879" s="5" t="s">
        <v>217</v>
      </c>
      <c r="K879" s="5">
        <v>5</v>
      </c>
      <c r="L879" s="5">
        <v>100</v>
      </c>
      <c r="M879" s="5">
        <v>0</v>
      </c>
      <c r="N879" s="5">
        <v>500</v>
      </c>
      <c r="O879" s="5">
        <v>275.13</v>
      </c>
      <c r="P879" s="5">
        <v>224.87</v>
      </c>
      <c r="Q879" s="5">
        <v>44.97</v>
      </c>
      <c r="R879" s="5" t="s">
        <v>166</v>
      </c>
      <c r="S879" s="5" t="s">
        <v>74</v>
      </c>
      <c r="T879" s="5" t="s">
        <v>43</v>
      </c>
      <c r="U879" s="5" t="s">
        <v>160</v>
      </c>
      <c r="V879" s="5">
        <v>2024</v>
      </c>
      <c r="W879" s="5" t="s">
        <v>126</v>
      </c>
      <c r="X879" s="5">
        <v>8</v>
      </c>
      <c r="Y879" s="1" t="s">
        <v>2035</v>
      </c>
      <c r="Z879" s="5" t="s">
        <v>47</v>
      </c>
      <c r="AA879" s="5" t="s">
        <v>90</v>
      </c>
      <c r="AB879" s="5" t="s">
        <v>78</v>
      </c>
      <c r="AC879" s="5" t="s">
        <v>121</v>
      </c>
      <c r="AD879" s="5">
        <v>1</v>
      </c>
    </row>
    <row r="880" spans="1:30">
      <c r="A880" s="5" t="s">
        <v>2036</v>
      </c>
      <c r="B880" s="1">
        <v>45507</v>
      </c>
      <c r="C880" s="5" t="s">
        <v>2037</v>
      </c>
      <c r="D880" s="5" t="s">
        <v>1462</v>
      </c>
      <c r="E880" s="5" t="s">
        <v>55</v>
      </c>
      <c r="F880" s="5" t="s">
        <v>36</v>
      </c>
      <c r="G880" s="5" t="s">
        <v>37</v>
      </c>
      <c r="H880" s="5" t="s">
        <v>58</v>
      </c>
      <c r="I880" s="5" t="s">
        <v>95</v>
      </c>
      <c r="J880" s="5" t="s">
        <v>96</v>
      </c>
      <c r="K880" s="5">
        <v>6</v>
      </c>
      <c r="L880" s="5">
        <v>2500</v>
      </c>
      <c r="M880" s="5">
        <v>0</v>
      </c>
      <c r="N880" s="5">
        <v>15000</v>
      </c>
      <c r="O880" s="5">
        <v>8476.74</v>
      </c>
      <c r="P880" s="5">
        <v>6523.26</v>
      </c>
      <c r="Q880" s="5">
        <v>43.49</v>
      </c>
      <c r="R880" s="5" t="s">
        <v>61</v>
      </c>
      <c r="S880" s="5" t="s">
        <v>74</v>
      </c>
      <c r="T880" s="5" t="s">
        <v>138</v>
      </c>
      <c r="U880" s="5" t="s">
        <v>178</v>
      </c>
      <c r="V880" s="5">
        <v>2024</v>
      </c>
      <c r="W880" s="5" t="s">
        <v>194</v>
      </c>
      <c r="X880" s="5">
        <v>7</v>
      </c>
      <c r="Y880" s="1" t="s">
        <v>179</v>
      </c>
      <c r="Z880" s="5" t="s">
        <v>89</v>
      </c>
      <c r="AA880" s="5" t="s">
        <v>67</v>
      </c>
      <c r="AB880" s="5" t="s">
        <v>49</v>
      </c>
      <c r="AC880" s="5" t="s">
        <v>121</v>
      </c>
      <c r="AD880" s="5">
        <v>5</v>
      </c>
    </row>
    <row r="881" spans="1:30">
      <c r="A881" s="5" t="s">
        <v>2038</v>
      </c>
      <c r="B881" s="1" t="s">
        <v>949</v>
      </c>
      <c r="C881" s="5" t="s">
        <v>1574</v>
      </c>
      <c r="D881" s="5" t="s">
        <v>508</v>
      </c>
      <c r="E881" s="5" t="s">
        <v>103</v>
      </c>
      <c r="F881" s="5" t="s">
        <v>56</v>
      </c>
      <c r="G881" s="5" t="s">
        <v>57</v>
      </c>
      <c r="H881" s="5" t="s">
        <v>171</v>
      </c>
      <c r="I881" s="5" t="s">
        <v>71</v>
      </c>
      <c r="J881" s="5" t="s">
        <v>117</v>
      </c>
      <c r="K881" s="5">
        <v>1</v>
      </c>
      <c r="L881" s="5">
        <v>1800</v>
      </c>
      <c r="M881" s="5">
        <v>0.05</v>
      </c>
      <c r="N881" s="5">
        <v>1710</v>
      </c>
      <c r="O881" s="5">
        <v>948.26</v>
      </c>
      <c r="P881" s="5">
        <v>761.74</v>
      </c>
      <c r="Q881" s="5">
        <v>44.55</v>
      </c>
      <c r="R881" s="5" t="s">
        <v>166</v>
      </c>
      <c r="S881" s="5" t="s">
        <v>74</v>
      </c>
      <c r="T881" s="5" t="s">
        <v>43</v>
      </c>
      <c r="U881" s="5" t="s">
        <v>87</v>
      </c>
      <c r="V881" s="5">
        <v>2025</v>
      </c>
      <c r="W881" s="5" t="s">
        <v>109</v>
      </c>
      <c r="X881" s="5">
        <v>5</v>
      </c>
      <c r="Y881" s="1" t="s">
        <v>2039</v>
      </c>
      <c r="Z881" s="5" t="s">
        <v>47</v>
      </c>
      <c r="AA881" s="5" t="s">
        <v>48</v>
      </c>
      <c r="AB881" s="5" t="s">
        <v>78</v>
      </c>
      <c r="AC881" s="5" t="s">
        <v>121</v>
      </c>
      <c r="AD881" s="5">
        <v>4</v>
      </c>
    </row>
    <row r="882" spans="1:30">
      <c r="A882" s="5" t="s">
        <v>2040</v>
      </c>
      <c r="B882" s="1" t="s">
        <v>516</v>
      </c>
      <c r="C882" s="5" t="s">
        <v>773</v>
      </c>
      <c r="D882" s="5" t="s">
        <v>1846</v>
      </c>
      <c r="E882" s="5" t="s">
        <v>35</v>
      </c>
      <c r="F882" s="5" t="s">
        <v>156</v>
      </c>
      <c r="G882" s="5" t="s">
        <v>157</v>
      </c>
      <c r="H882" s="5" t="s">
        <v>38</v>
      </c>
      <c r="I882" s="5" t="s">
        <v>95</v>
      </c>
      <c r="J882" s="5" t="s">
        <v>96</v>
      </c>
      <c r="K882" s="5">
        <v>3</v>
      </c>
      <c r="L882" s="5">
        <v>6000</v>
      </c>
      <c r="M882" s="5">
        <v>0</v>
      </c>
      <c r="N882" s="5">
        <v>18000</v>
      </c>
      <c r="O882" s="5">
        <v>13423.44</v>
      </c>
      <c r="P882" s="5">
        <v>4576.5600000000004</v>
      </c>
      <c r="Q882" s="5">
        <v>25.43</v>
      </c>
      <c r="R882" s="5" t="s">
        <v>41</v>
      </c>
      <c r="S882" s="5" t="s">
        <v>42</v>
      </c>
      <c r="T882" s="5" t="s">
        <v>63</v>
      </c>
      <c r="U882" s="5" t="s">
        <v>151</v>
      </c>
      <c r="V882" s="5">
        <v>2025</v>
      </c>
      <c r="W882" s="5" t="s">
        <v>109</v>
      </c>
      <c r="X882" s="5">
        <v>2</v>
      </c>
      <c r="Y882" s="1" t="s">
        <v>1021</v>
      </c>
      <c r="Z882" s="5" t="s">
        <v>110</v>
      </c>
      <c r="AA882" s="5" t="s">
        <v>90</v>
      </c>
      <c r="AB882" s="5" t="s">
        <v>78</v>
      </c>
      <c r="AC882" s="5" t="s">
        <v>121</v>
      </c>
      <c r="AD882" s="5">
        <v>4</v>
      </c>
    </row>
    <row r="883" spans="1:30">
      <c r="A883" s="5" t="s">
        <v>2041</v>
      </c>
      <c r="B883" s="1" t="s">
        <v>1173</v>
      </c>
      <c r="C883" s="5" t="s">
        <v>912</v>
      </c>
      <c r="D883" s="5" t="s">
        <v>870</v>
      </c>
      <c r="E883" s="5" t="s">
        <v>103</v>
      </c>
      <c r="F883" s="5" t="s">
        <v>131</v>
      </c>
      <c r="G883" s="5" t="s">
        <v>132</v>
      </c>
      <c r="H883" s="5" t="s">
        <v>38</v>
      </c>
      <c r="I883" s="5" t="s">
        <v>59</v>
      </c>
      <c r="J883" s="5" t="s">
        <v>60</v>
      </c>
      <c r="K883" s="5">
        <v>2</v>
      </c>
      <c r="L883" s="5">
        <v>800</v>
      </c>
      <c r="M883" s="5">
        <v>0.05</v>
      </c>
      <c r="N883" s="5">
        <v>1520</v>
      </c>
      <c r="O883" s="5">
        <v>872.6</v>
      </c>
      <c r="P883" s="5">
        <v>647.4</v>
      </c>
      <c r="Q883" s="5">
        <v>42.59</v>
      </c>
      <c r="R883" s="5" t="s">
        <v>73</v>
      </c>
      <c r="S883" s="5" t="s">
        <v>62</v>
      </c>
      <c r="T883" s="5" t="s">
        <v>75</v>
      </c>
      <c r="U883" s="5" t="s">
        <v>151</v>
      </c>
      <c r="V883" s="5">
        <v>2024</v>
      </c>
      <c r="W883" s="5" t="s">
        <v>194</v>
      </c>
      <c r="X883" s="5">
        <v>8</v>
      </c>
      <c r="Y883" s="1">
        <v>45359</v>
      </c>
      <c r="Z883" s="5" t="s">
        <v>47</v>
      </c>
      <c r="AA883" s="5" t="s">
        <v>90</v>
      </c>
      <c r="AB883" s="5" t="s">
        <v>78</v>
      </c>
      <c r="AC883" s="5" t="s">
        <v>121</v>
      </c>
      <c r="AD883" s="5">
        <v>4</v>
      </c>
    </row>
    <row r="884" spans="1:30">
      <c r="A884" s="5" t="s">
        <v>2042</v>
      </c>
      <c r="B884" s="1" t="s">
        <v>1519</v>
      </c>
      <c r="C884" s="5" t="s">
        <v>1292</v>
      </c>
      <c r="D884" s="5" t="s">
        <v>963</v>
      </c>
      <c r="E884" s="5" t="s">
        <v>103</v>
      </c>
      <c r="F884" s="5" t="s">
        <v>104</v>
      </c>
      <c r="G884" s="5" t="s">
        <v>104</v>
      </c>
      <c r="H884" s="5" t="s">
        <v>171</v>
      </c>
      <c r="I884" s="5" t="s">
        <v>95</v>
      </c>
      <c r="J884" s="5" t="s">
        <v>319</v>
      </c>
      <c r="K884" s="5">
        <v>2</v>
      </c>
      <c r="L884" s="5">
        <v>2500</v>
      </c>
      <c r="M884" s="5">
        <v>0.2</v>
      </c>
      <c r="N884" s="5">
        <v>4000</v>
      </c>
      <c r="O884" s="5">
        <v>2321.63</v>
      </c>
      <c r="P884" s="5">
        <v>1678.37</v>
      </c>
      <c r="Q884" s="5">
        <v>41.96</v>
      </c>
      <c r="R884" s="5" t="s">
        <v>73</v>
      </c>
      <c r="S884" s="5" t="s">
        <v>62</v>
      </c>
      <c r="T884" s="5" t="s">
        <v>138</v>
      </c>
      <c r="U884" s="5" t="s">
        <v>160</v>
      </c>
      <c r="V884" s="5">
        <v>2024</v>
      </c>
      <c r="W884" s="5" t="s">
        <v>45</v>
      </c>
      <c r="X884" s="5">
        <v>1</v>
      </c>
      <c r="Y884" s="1" t="s">
        <v>153</v>
      </c>
      <c r="Z884" s="5" t="s">
        <v>110</v>
      </c>
      <c r="AA884" s="5" t="s">
        <v>48</v>
      </c>
      <c r="AB884" s="5" t="s">
        <v>111</v>
      </c>
      <c r="AC884" s="5" t="s">
        <v>50</v>
      </c>
      <c r="AD884" s="5">
        <v>4</v>
      </c>
    </row>
    <row r="885" spans="1:30">
      <c r="A885" s="5" t="s">
        <v>2043</v>
      </c>
      <c r="B885" s="1" t="s">
        <v>2044</v>
      </c>
      <c r="C885" s="5" t="s">
        <v>1037</v>
      </c>
      <c r="D885" s="5" t="s">
        <v>927</v>
      </c>
      <c r="E885" s="5" t="s">
        <v>35</v>
      </c>
      <c r="F885" s="5" t="s">
        <v>36</v>
      </c>
      <c r="G885" s="5" t="s">
        <v>37</v>
      </c>
      <c r="H885" s="5" t="s">
        <v>38</v>
      </c>
      <c r="I885" s="5" t="s">
        <v>95</v>
      </c>
      <c r="J885" s="5" t="s">
        <v>319</v>
      </c>
      <c r="K885" s="5">
        <v>8</v>
      </c>
      <c r="L885" s="5">
        <v>2500</v>
      </c>
      <c r="M885" s="5">
        <v>0.2</v>
      </c>
      <c r="N885" s="5">
        <v>16000</v>
      </c>
      <c r="O885" s="5">
        <v>11359.84</v>
      </c>
      <c r="P885" s="5">
        <v>4640.16</v>
      </c>
      <c r="Q885" s="5">
        <v>29</v>
      </c>
      <c r="R885" s="5" t="s">
        <v>166</v>
      </c>
      <c r="S885" s="5" t="s">
        <v>62</v>
      </c>
      <c r="T885" s="5" t="s">
        <v>107</v>
      </c>
      <c r="U885" s="5" t="s">
        <v>87</v>
      </c>
      <c r="V885" s="5">
        <v>2024</v>
      </c>
      <c r="W885" s="5" t="s">
        <v>134</v>
      </c>
      <c r="X885" s="5">
        <v>5</v>
      </c>
      <c r="Y885" s="1">
        <v>45393</v>
      </c>
      <c r="Z885" s="5" t="s">
        <v>47</v>
      </c>
      <c r="AA885" s="5" t="s">
        <v>90</v>
      </c>
      <c r="AB885" s="5" t="s">
        <v>49</v>
      </c>
      <c r="AC885" s="5" t="s">
        <v>50</v>
      </c>
      <c r="AD885" s="5">
        <v>3</v>
      </c>
    </row>
    <row r="886" spans="1:30">
      <c r="A886" s="5" t="s">
        <v>2045</v>
      </c>
      <c r="B886" s="1" t="s">
        <v>32</v>
      </c>
      <c r="C886" s="5" t="s">
        <v>652</v>
      </c>
      <c r="D886" s="5" t="s">
        <v>1342</v>
      </c>
      <c r="E886" s="5" t="s">
        <v>55</v>
      </c>
      <c r="F886" s="5" t="s">
        <v>116</v>
      </c>
      <c r="G886" s="5" t="s">
        <v>37</v>
      </c>
      <c r="H886" s="5" t="s">
        <v>38</v>
      </c>
      <c r="I886" s="5" t="s">
        <v>39</v>
      </c>
      <c r="J886" s="5" t="s">
        <v>105</v>
      </c>
      <c r="K886" s="5">
        <v>8</v>
      </c>
      <c r="L886" s="5">
        <v>12000</v>
      </c>
      <c r="M886" s="5">
        <v>0.1</v>
      </c>
      <c r="N886" s="5">
        <v>86400</v>
      </c>
      <c r="O886" s="5">
        <v>59981.39</v>
      </c>
      <c r="P886" s="5">
        <v>26418.61</v>
      </c>
      <c r="Q886" s="5">
        <v>30.58</v>
      </c>
      <c r="R886" s="5" t="s">
        <v>73</v>
      </c>
      <c r="S886" s="5" t="s">
        <v>74</v>
      </c>
      <c r="T886" s="5" t="s">
        <v>43</v>
      </c>
      <c r="U886" s="5" t="s">
        <v>44</v>
      </c>
      <c r="V886" s="5">
        <v>2024</v>
      </c>
      <c r="W886" s="5" t="s">
        <v>45</v>
      </c>
      <c r="X886" s="5">
        <v>7</v>
      </c>
      <c r="Y886" s="1" t="s">
        <v>200</v>
      </c>
      <c r="Z886" s="5" t="s">
        <v>110</v>
      </c>
      <c r="AA886" s="5" t="s">
        <v>90</v>
      </c>
      <c r="AB886" s="5" t="s">
        <v>111</v>
      </c>
      <c r="AC886" s="5" t="s">
        <v>121</v>
      </c>
      <c r="AD886" s="5">
        <v>4</v>
      </c>
    </row>
    <row r="887" spans="1:30">
      <c r="A887" s="5" t="s">
        <v>2046</v>
      </c>
      <c r="B887" s="1" t="s">
        <v>2047</v>
      </c>
      <c r="C887" s="5" t="s">
        <v>1736</v>
      </c>
      <c r="D887" s="5" t="s">
        <v>554</v>
      </c>
      <c r="E887" s="5" t="s">
        <v>103</v>
      </c>
      <c r="F887" s="5" t="s">
        <v>144</v>
      </c>
      <c r="G887" s="5" t="s">
        <v>145</v>
      </c>
      <c r="H887" s="5" t="s">
        <v>94</v>
      </c>
      <c r="I887" s="5" t="s">
        <v>59</v>
      </c>
      <c r="J887" s="5" t="s">
        <v>206</v>
      </c>
      <c r="K887" s="5">
        <v>2</v>
      </c>
      <c r="L887" s="5">
        <v>800</v>
      </c>
      <c r="M887" s="5">
        <v>0.1</v>
      </c>
      <c r="N887" s="5">
        <v>1440</v>
      </c>
      <c r="O887" s="5">
        <v>1014.6</v>
      </c>
      <c r="P887" s="5">
        <v>425.4</v>
      </c>
      <c r="Q887" s="5">
        <v>29.54</v>
      </c>
      <c r="R887" s="5" t="s">
        <v>73</v>
      </c>
      <c r="S887" s="5" t="s">
        <v>62</v>
      </c>
      <c r="T887" s="5" t="s">
        <v>86</v>
      </c>
      <c r="U887" s="5" t="s">
        <v>160</v>
      </c>
      <c r="V887" s="5">
        <v>2025</v>
      </c>
      <c r="W887" s="5" t="s">
        <v>45</v>
      </c>
      <c r="X887" s="5">
        <v>7</v>
      </c>
      <c r="Y887" s="1" t="s">
        <v>2048</v>
      </c>
      <c r="Z887" s="5" t="s">
        <v>47</v>
      </c>
      <c r="AA887" s="5" t="s">
        <v>48</v>
      </c>
      <c r="AB887" s="5" t="s">
        <v>49</v>
      </c>
      <c r="AC887" s="5" t="s">
        <v>121</v>
      </c>
      <c r="AD887" s="5">
        <v>5</v>
      </c>
    </row>
    <row r="888" spans="1:30">
      <c r="A888" s="5" t="s">
        <v>2049</v>
      </c>
      <c r="B888" s="1" t="s">
        <v>1125</v>
      </c>
      <c r="C888" s="5" t="s">
        <v>989</v>
      </c>
      <c r="D888" s="5" t="s">
        <v>554</v>
      </c>
      <c r="E888" s="5" t="s">
        <v>103</v>
      </c>
      <c r="F888" s="5" t="s">
        <v>245</v>
      </c>
      <c r="G888" s="5" t="s">
        <v>246</v>
      </c>
      <c r="H888" s="5" t="s">
        <v>94</v>
      </c>
      <c r="I888" s="5" t="s">
        <v>59</v>
      </c>
      <c r="J888" s="5" t="s">
        <v>60</v>
      </c>
      <c r="K888" s="5">
        <v>7</v>
      </c>
      <c r="L888" s="5">
        <v>500</v>
      </c>
      <c r="M888" s="5">
        <v>0.1</v>
      </c>
      <c r="N888" s="5">
        <v>3150</v>
      </c>
      <c r="O888" s="5">
        <v>2548.7800000000002</v>
      </c>
      <c r="P888" s="5">
        <v>601.22</v>
      </c>
      <c r="Q888" s="5">
        <v>19.09</v>
      </c>
      <c r="R888" s="5" t="s">
        <v>166</v>
      </c>
      <c r="S888" s="5" t="s">
        <v>42</v>
      </c>
      <c r="T888" s="5" t="s">
        <v>173</v>
      </c>
      <c r="U888" s="5" t="s">
        <v>218</v>
      </c>
      <c r="V888" s="5">
        <v>2024</v>
      </c>
      <c r="W888" s="5" t="s">
        <v>139</v>
      </c>
      <c r="X888" s="5">
        <v>10</v>
      </c>
      <c r="Y888" s="1">
        <v>45300</v>
      </c>
      <c r="Z888" s="5" t="s">
        <v>110</v>
      </c>
      <c r="AA888" s="5" t="s">
        <v>67</v>
      </c>
      <c r="AB888" s="5" t="s">
        <v>78</v>
      </c>
      <c r="AC888" s="5" t="s">
        <v>121</v>
      </c>
      <c r="AD888" s="5">
        <v>4</v>
      </c>
    </row>
    <row r="889" spans="1:30">
      <c r="A889" s="5" t="s">
        <v>2050</v>
      </c>
      <c r="B889" s="1">
        <v>45870</v>
      </c>
      <c r="C889" s="5" t="s">
        <v>2051</v>
      </c>
      <c r="D889" s="5" t="s">
        <v>548</v>
      </c>
      <c r="E889" s="5" t="s">
        <v>35</v>
      </c>
      <c r="F889" s="5" t="s">
        <v>56</v>
      </c>
      <c r="G889" s="5" t="s">
        <v>57</v>
      </c>
      <c r="H889" s="5" t="s">
        <v>171</v>
      </c>
      <c r="I889" s="5" t="s">
        <v>95</v>
      </c>
      <c r="J889" s="5" t="s">
        <v>440</v>
      </c>
      <c r="K889" s="5">
        <v>9</v>
      </c>
      <c r="L889" s="5">
        <v>4000</v>
      </c>
      <c r="M889" s="5">
        <v>0</v>
      </c>
      <c r="N889" s="5">
        <v>36000</v>
      </c>
      <c r="O889" s="5">
        <v>25054.83</v>
      </c>
      <c r="P889" s="5">
        <v>10945.17</v>
      </c>
      <c r="Q889" s="5">
        <v>30.4</v>
      </c>
      <c r="R889" s="5" t="s">
        <v>61</v>
      </c>
      <c r="S889" s="5" t="s">
        <v>42</v>
      </c>
      <c r="T889" s="5" t="s">
        <v>118</v>
      </c>
      <c r="U889" s="5" t="s">
        <v>76</v>
      </c>
      <c r="V889" s="5">
        <v>2025</v>
      </c>
      <c r="W889" s="5" t="s">
        <v>134</v>
      </c>
      <c r="X889" s="5">
        <v>1</v>
      </c>
      <c r="Y889" s="1">
        <v>45901</v>
      </c>
      <c r="Z889" s="5" t="s">
        <v>110</v>
      </c>
      <c r="AA889" s="5" t="s">
        <v>90</v>
      </c>
      <c r="AB889" s="5" t="s">
        <v>78</v>
      </c>
      <c r="AC889" s="5" t="s">
        <v>50</v>
      </c>
      <c r="AD889" s="5">
        <v>1</v>
      </c>
    </row>
    <row r="890" spans="1:30">
      <c r="A890" s="5" t="s">
        <v>2052</v>
      </c>
      <c r="B890" s="1">
        <v>45816</v>
      </c>
      <c r="C890" s="5" t="s">
        <v>889</v>
      </c>
      <c r="D890" s="5" t="s">
        <v>164</v>
      </c>
      <c r="E890" s="5" t="s">
        <v>35</v>
      </c>
      <c r="F890" s="5" t="s">
        <v>82</v>
      </c>
      <c r="G890" s="5" t="s">
        <v>83</v>
      </c>
      <c r="H890" s="5" t="s">
        <v>171</v>
      </c>
      <c r="I890" s="5" t="s">
        <v>59</v>
      </c>
      <c r="J890" s="5" t="s">
        <v>133</v>
      </c>
      <c r="K890" s="5">
        <v>2</v>
      </c>
      <c r="L890" s="5">
        <v>1200</v>
      </c>
      <c r="M890" s="5">
        <v>0.15</v>
      </c>
      <c r="N890" s="5">
        <v>2040</v>
      </c>
      <c r="O890" s="5">
        <v>1409.98</v>
      </c>
      <c r="P890" s="5">
        <v>630.02</v>
      </c>
      <c r="Q890" s="5">
        <v>30.88</v>
      </c>
      <c r="R890" s="5" t="s">
        <v>41</v>
      </c>
      <c r="S890" s="5" t="s">
        <v>62</v>
      </c>
      <c r="T890" s="5" t="s">
        <v>138</v>
      </c>
      <c r="U890" s="5" t="s">
        <v>218</v>
      </c>
      <c r="V890" s="5">
        <v>2025</v>
      </c>
      <c r="W890" s="5" t="s">
        <v>134</v>
      </c>
      <c r="X890" s="5">
        <v>3</v>
      </c>
      <c r="Y890" s="1">
        <v>45908</v>
      </c>
      <c r="Z890" s="5" t="s">
        <v>47</v>
      </c>
      <c r="AA890" s="5" t="s">
        <v>48</v>
      </c>
      <c r="AB890" s="5" t="s">
        <v>49</v>
      </c>
      <c r="AC890" s="5" t="s">
        <v>50</v>
      </c>
      <c r="AD890" s="5">
        <v>2</v>
      </c>
    </row>
    <row r="891" spans="1:30">
      <c r="A891" s="5" t="s">
        <v>2053</v>
      </c>
      <c r="B891" s="1" t="s">
        <v>592</v>
      </c>
      <c r="C891" s="5" t="s">
        <v>1626</v>
      </c>
      <c r="D891" s="5" t="s">
        <v>1665</v>
      </c>
      <c r="E891" s="5" t="s">
        <v>35</v>
      </c>
      <c r="F891" s="5" t="s">
        <v>156</v>
      </c>
      <c r="G891" s="5" t="s">
        <v>157</v>
      </c>
      <c r="H891" s="5" t="s">
        <v>38</v>
      </c>
      <c r="I891" s="5" t="s">
        <v>59</v>
      </c>
      <c r="J891" s="5" t="s">
        <v>372</v>
      </c>
      <c r="K891" s="5">
        <v>9</v>
      </c>
      <c r="L891" s="5">
        <v>1200</v>
      </c>
      <c r="M891" s="5">
        <v>0.2</v>
      </c>
      <c r="N891" s="5">
        <v>8640</v>
      </c>
      <c r="O891" s="5">
        <v>6833.27</v>
      </c>
      <c r="P891" s="5">
        <v>1806.73</v>
      </c>
      <c r="Q891" s="5">
        <v>20.91</v>
      </c>
      <c r="R891" s="5" t="s">
        <v>41</v>
      </c>
      <c r="S891" s="5" t="s">
        <v>62</v>
      </c>
      <c r="T891" s="5" t="s">
        <v>63</v>
      </c>
      <c r="U891" s="5" t="s">
        <v>76</v>
      </c>
      <c r="V891" s="5">
        <v>2024</v>
      </c>
      <c r="W891" s="5" t="s">
        <v>134</v>
      </c>
      <c r="X891" s="5">
        <v>3</v>
      </c>
      <c r="Y891" s="1" t="s">
        <v>988</v>
      </c>
      <c r="Z891" s="5" t="s">
        <v>47</v>
      </c>
      <c r="AA891" s="5" t="s">
        <v>48</v>
      </c>
      <c r="AB891" s="5" t="s">
        <v>111</v>
      </c>
      <c r="AC891" s="5" t="s">
        <v>50</v>
      </c>
      <c r="AD891" s="5">
        <v>5</v>
      </c>
    </row>
    <row r="892" spans="1:30">
      <c r="A892" s="5" t="s">
        <v>2054</v>
      </c>
      <c r="B892" s="1">
        <v>45875</v>
      </c>
      <c r="C892" s="5" t="s">
        <v>1285</v>
      </c>
      <c r="D892" s="5" t="s">
        <v>130</v>
      </c>
      <c r="E892" s="5" t="s">
        <v>103</v>
      </c>
      <c r="F892" s="5" t="s">
        <v>116</v>
      </c>
      <c r="G892" s="5" t="s">
        <v>37</v>
      </c>
      <c r="H892" s="5" t="s">
        <v>94</v>
      </c>
      <c r="I892" s="5" t="s">
        <v>95</v>
      </c>
      <c r="J892" s="5" t="s">
        <v>184</v>
      </c>
      <c r="K892" s="5">
        <v>10</v>
      </c>
      <c r="L892" s="5">
        <v>6000</v>
      </c>
      <c r="M892" s="5">
        <v>0.2</v>
      </c>
      <c r="N892" s="5">
        <v>48000</v>
      </c>
      <c r="O892" s="5">
        <v>34788.629999999997</v>
      </c>
      <c r="P892" s="5">
        <v>13211.37</v>
      </c>
      <c r="Q892" s="5">
        <v>27.52</v>
      </c>
      <c r="R892" s="5" t="s">
        <v>106</v>
      </c>
      <c r="S892" s="5" t="s">
        <v>42</v>
      </c>
      <c r="T892" s="5" t="s">
        <v>138</v>
      </c>
      <c r="U892" s="5" t="s">
        <v>160</v>
      </c>
      <c r="V892" s="5">
        <v>2025</v>
      </c>
      <c r="W892" s="5" t="s">
        <v>45</v>
      </c>
      <c r="X892" s="5">
        <v>9</v>
      </c>
      <c r="Y892" s="1" t="s">
        <v>549</v>
      </c>
      <c r="Z892" s="5" t="s">
        <v>47</v>
      </c>
      <c r="AA892" s="5" t="s">
        <v>90</v>
      </c>
      <c r="AB892" s="5" t="s">
        <v>78</v>
      </c>
      <c r="AC892" s="5" t="s">
        <v>121</v>
      </c>
      <c r="AD892" s="5">
        <v>2</v>
      </c>
    </row>
    <row r="893" spans="1:30">
      <c r="A893" s="5" t="s">
        <v>2055</v>
      </c>
      <c r="B893" s="1">
        <v>45815</v>
      </c>
      <c r="C893" s="5" t="s">
        <v>1410</v>
      </c>
      <c r="D893" s="5" t="s">
        <v>791</v>
      </c>
      <c r="E893" s="5" t="s">
        <v>35</v>
      </c>
      <c r="F893" s="5" t="s">
        <v>131</v>
      </c>
      <c r="G893" s="5" t="s">
        <v>132</v>
      </c>
      <c r="H893" s="5" t="s">
        <v>58</v>
      </c>
      <c r="I893" s="5" t="s">
        <v>71</v>
      </c>
      <c r="J893" s="5" t="s">
        <v>158</v>
      </c>
      <c r="K893" s="5">
        <v>7</v>
      </c>
      <c r="L893" s="5">
        <v>2500</v>
      </c>
      <c r="M893" s="5">
        <v>0.05</v>
      </c>
      <c r="N893" s="5">
        <v>16625</v>
      </c>
      <c r="O893" s="5">
        <v>13335.81</v>
      </c>
      <c r="P893" s="5">
        <v>3289.19</v>
      </c>
      <c r="Q893" s="5">
        <v>19.78</v>
      </c>
      <c r="R893" s="5" t="s">
        <v>166</v>
      </c>
      <c r="S893" s="5" t="s">
        <v>62</v>
      </c>
      <c r="T893" s="5" t="s">
        <v>63</v>
      </c>
      <c r="U893" s="5" t="s">
        <v>151</v>
      </c>
      <c r="V893" s="5">
        <v>2025</v>
      </c>
      <c r="W893" s="5" t="s">
        <v>45</v>
      </c>
      <c r="X893" s="5">
        <v>3</v>
      </c>
      <c r="Y893" s="1">
        <v>45907</v>
      </c>
      <c r="Z893" s="5" t="s">
        <v>47</v>
      </c>
      <c r="AA893" s="5" t="s">
        <v>48</v>
      </c>
      <c r="AB893" s="5" t="s">
        <v>78</v>
      </c>
      <c r="AC893" s="5" t="s">
        <v>50</v>
      </c>
      <c r="AD893" s="5">
        <v>5</v>
      </c>
    </row>
    <row r="894" spans="1:30">
      <c r="A894" s="5" t="s">
        <v>2056</v>
      </c>
      <c r="B894" s="1">
        <v>45449</v>
      </c>
      <c r="C894" s="5" t="s">
        <v>712</v>
      </c>
      <c r="D894" s="5" t="s">
        <v>817</v>
      </c>
      <c r="E894" s="5" t="s">
        <v>35</v>
      </c>
      <c r="F894" s="5" t="s">
        <v>245</v>
      </c>
      <c r="G894" s="5" t="s">
        <v>246</v>
      </c>
      <c r="H894" s="5" t="s">
        <v>171</v>
      </c>
      <c r="I894" s="5" t="s">
        <v>59</v>
      </c>
      <c r="J894" s="5" t="s">
        <v>372</v>
      </c>
      <c r="K894" s="5">
        <v>7</v>
      </c>
      <c r="L894" s="5">
        <v>3000</v>
      </c>
      <c r="M894" s="5">
        <v>0.15</v>
      </c>
      <c r="N894" s="5">
        <v>17850</v>
      </c>
      <c r="O894" s="5">
        <v>12304.93</v>
      </c>
      <c r="P894" s="5">
        <v>5545.07</v>
      </c>
      <c r="Q894" s="5">
        <v>31.06</v>
      </c>
      <c r="R894" s="5" t="s">
        <v>41</v>
      </c>
      <c r="S894" s="5" t="s">
        <v>74</v>
      </c>
      <c r="T894" s="5" t="s">
        <v>75</v>
      </c>
      <c r="U894" s="5" t="s">
        <v>160</v>
      </c>
      <c r="V894" s="5">
        <v>2024</v>
      </c>
      <c r="W894" s="5" t="s">
        <v>139</v>
      </c>
      <c r="X894" s="5">
        <v>3</v>
      </c>
      <c r="Y894" s="1">
        <v>45541</v>
      </c>
      <c r="Z894" s="5" t="s">
        <v>47</v>
      </c>
      <c r="AA894" s="5" t="s">
        <v>48</v>
      </c>
      <c r="AB894" s="5" t="s">
        <v>49</v>
      </c>
      <c r="AC894" s="5" t="s">
        <v>121</v>
      </c>
      <c r="AD894" s="5">
        <v>3</v>
      </c>
    </row>
    <row r="895" spans="1:30">
      <c r="A895" s="5" t="s">
        <v>2057</v>
      </c>
      <c r="B895" s="1" t="s">
        <v>841</v>
      </c>
      <c r="C895" s="5" t="s">
        <v>1085</v>
      </c>
      <c r="D895" s="5" t="s">
        <v>1187</v>
      </c>
      <c r="E895" s="5" t="s">
        <v>55</v>
      </c>
      <c r="F895" s="5" t="s">
        <v>104</v>
      </c>
      <c r="G895" s="5" t="s">
        <v>104</v>
      </c>
      <c r="H895" s="5" t="s">
        <v>38</v>
      </c>
      <c r="I895" s="5" t="s">
        <v>84</v>
      </c>
      <c r="J895" s="5" t="s">
        <v>390</v>
      </c>
      <c r="K895" s="5">
        <v>6</v>
      </c>
      <c r="L895" s="5">
        <v>500</v>
      </c>
      <c r="M895" s="5">
        <v>0.15</v>
      </c>
      <c r="N895" s="5">
        <v>2550</v>
      </c>
      <c r="O895" s="5">
        <v>1794.39</v>
      </c>
      <c r="P895" s="5">
        <v>755.61</v>
      </c>
      <c r="Q895" s="5">
        <v>29.63</v>
      </c>
      <c r="R895" s="5" t="s">
        <v>61</v>
      </c>
      <c r="S895" s="5" t="s">
        <v>62</v>
      </c>
      <c r="T895" s="5" t="s">
        <v>159</v>
      </c>
      <c r="U895" s="5" t="s">
        <v>108</v>
      </c>
      <c r="V895" s="5">
        <v>2025</v>
      </c>
      <c r="W895" s="5" t="s">
        <v>194</v>
      </c>
      <c r="X895" s="5">
        <v>6</v>
      </c>
      <c r="Y895" s="1">
        <v>45698</v>
      </c>
      <c r="Z895" s="5" t="s">
        <v>110</v>
      </c>
      <c r="AA895" s="5" t="s">
        <v>67</v>
      </c>
      <c r="AB895" s="5" t="s">
        <v>49</v>
      </c>
      <c r="AC895" s="5" t="s">
        <v>50</v>
      </c>
      <c r="AD895" s="5">
        <v>4</v>
      </c>
    </row>
    <row r="896" spans="1:30">
      <c r="A896" s="5" t="s">
        <v>2058</v>
      </c>
      <c r="B896" s="1" t="s">
        <v>500</v>
      </c>
      <c r="C896" s="5" t="s">
        <v>1360</v>
      </c>
      <c r="D896" s="5" t="s">
        <v>177</v>
      </c>
      <c r="E896" s="5" t="s">
        <v>103</v>
      </c>
      <c r="F896" s="5" t="s">
        <v>144</v>
      </c>
      <c r="G896" s="5" t="s">
        <v>145</v>
      </c>
      <c r="H896" s="5" t="s">
        <v>171</v>
      </c>
      <c r="I896" s="5" t="s">
        <v>71</v>
      </c>
      <c r="J896" s="5" t="s">
        <v>117</v>
      </c>
      <c r="K896" s="5">
        <v>3</v>
      </c>
      <c r="L896" s="5">
        <v>1800</v>
      </c>
      <c r="M896" s="5">
        <v>0.2</v>
      </c>
      <c r="N896" s="5">
        <v>4320</v>
      </c>
      <c r="O896" s="5">
        <v>3115.44</v>
      </c>
      <c r="P896" s="5">
        <v>1204.56</v>
      </c>
      <c r="Q896" s="5">
        <v>27.88</v>
      </c>
      <c r="R896" s="5" t="s">
        <v>166</v>
      </c>
      <c r="S896" s="5" t="s">
        <v>74</v>
      </c>
      <c r="T896" s="5" t="s">
        <v>86</v>
      </c>
      <c r="U896" s="5" t="s">
        <v>87</v>
      </c>
      <c r="V896" s="5">
        <v>2024</v>
      </c>
      <c r="W896" s="5" t="s">
        <v>126</v>
      </c>
      <c r="X896" s="5">
        <v>3</v>
      </c>
      <c r="Y896" s="1" t="s">
        <v>2059</v>
      </c>
      <c r="Z896" s="5" t="s">
        <v>47</v>
      </c>
      <c r="AA896" s="5" t="s">
        <v>48</v>
      </c>
      <c r="AB896" s="5" t="s">
        <v>111</v>
      </c>
      <c r="AC896" s="5" t="s">
        <v>121</v>
      </c>
      <c r="AD896" s="5">
        <v>3</v>
      </c>
    </row>
    <row r="897" spans="1:30">
      <c r="A897" s="5" t="s">
        <v>2060</v>
      </c>
      <c r="B897" s="1" t="s">
        <v>583</v>
      </c>
      <c r="C897" s="5" t="s">
        <v>421</v>
      </c>
      <c r="D897" s="5" t="s">
        <v>1424</v>
      </c>
      <c r="E897" s="5" t="s">
        <v>103</v>
      </c>
      <c r="F897" s="5" t="s">
        <v>156</v>
      </c>
      <c r="G897" s="5" t="s">
        <v>157</v>
      </c>
      <c r="H897" s="5" t="s">
        <v>38</v>
      </c>
      <c r="I897" s="5" t="s">
        <v>95</v>
      </c>
      <c r="J897" s="5" t="s">
        <v>184</v>
      </c>
      <c r="K897" s="5">
        <v>2</v>
      </c>
      <c r="L897" s="5">
        <v>6000</v>
      </c>
      <c r="M897" s="5">
        <v>0.05</v>
      </c>
      <c r="N897" s="5">
        <v>11400</v>
      </c>
      <c r="O897" s="5">
        <v>6817.57</v>
      </c>
      <c r="P897" s="5">
        <v>4582.43</v>
      </c>
      <c r="Q897" s="5">
        <v>40.200000000000003</v>
      </c>
      <c r="R897" s="5" t="s">
        <v>166</v>
      </c>
      <c r="S897" s="5" t="s">
        <v>42</v>
      </c>
      <c r="T897" s="5" t="s">
        <v>86</v>
      </c>
      <c r="U897" s="5" t="s">
        <v>160</v>
      </c>
      <c r="V897" s="5">
        <v>2025</v>
      </c>
      <c r="W897" s="5" t="s">
        <v>45</v>
      </c>
      <c r="X897" s="5">
        <v>6</v>
      </c>
      <c r="Y897" s="1">
        <v>45784</v>
      </c>
      <c r="Z897" s="5" t="s">
        <v>110</v>
      </c>
      <c r="AA897" s="5" t="s">
        <v>48</v>
      </c>
      <c r="AB897" s="5" t="s">
        <v>49</v>
      </c>
      <c r="AC897" s="5" t="s">
        <v>50</v>
      </c>
      <c r="AD897" s="5">
        <v>5</v>
      </c>
    </row>
    <row r="898" spans="1:30">
      <c r="A898" s="5" t="s">
        <v>2061</v>
      </c>
      <c r="B898" s="1" t="s">
        <v>967</v>
      </c>
      <c r="C898" s="5" t="s">
        <v>262</v>
      </c>
      <c r="D898" s="5" t="s">
        <v>1205</v>
      </c>
      <c r="E898" s="5" t="s">
        <v>55</v>
      </c>
      <c r="F898" s="5" t="s">
        <v>144</v>
      </c>
      <c r="G898" s="5" t="s">
        <v>145</v>
      </c>
      <c r="H898" s="5" t="s">
        <v>94</v>
      </c>
      <c r="I898" s="5" t="s">
        <v>84</v>
      </c>
      <c r="J898" s="5" t="s">
        <v>390</v>
      </c>
      <c r="K898" s="5">
        <v>4</v>
      </c>
      <c r="L898" s="5">
        <v>800</v>
      </c>
      <c r="M898" s="5">
        <v>0</v>
      </c>
      <c r="N898" s="5">
        <v>3200</v>
      </c>
      <c r="O898" s="5">
        <v>2076.0500000000002</v>
      </c>
      <c r="P898" s="5">
        <v>1123.95</v>
      </c>
      <c r="Q898" s="5">
        <v>35.119999999999997</v>
      </c>
      <c r="R898" s="5" t="s">
        <v>41</v>
      </c>
      <c r="S898" s="5" t="s">
        <v>62</v>
      </c>
      <c r="T898" s="5" t="s">
        <v>43</v>
      </c>
      <c r="U898" s="5" t="s">
        <v>151</v>
      </c>
      <c r="V898" s="5">
        <v>2025</v>
      </c>
      <c r="W898" s="5" t="s">
        <v>45</v>
      </c>
      <c r="X898" s="5">
        <v>7</v>
      </c>
      <c r="Y898" s="1">
        <v>45724</v>
      </c>
      <c r="Z898" s="5" t="s">
        <v>47</v>
      </c>
      <c r="AA898" s="5" t="s">
        <v>48</v>
      </c>
      <c r="AB898" s="5" t="s">
        <v>78</v>
      </c>
      <c r="AC898" s="5" t="s">
        <v>50</v>
      </c>
      <c r="AD898" s="5">
        <v>3</v>
      </c>
    </row>
    <row r="899" spans="1:30">
      <c r="A899" s="5" t="s">
        <v>2062</v>
      </c>
      <c r="B899" s="1">
        <v>45327</v>
      </c>
      <c r="C899" s="5" t="s">
        <v>545</v>
      </c>
      <c r="D899" s="5" t="s">
        <v>855</v>
      </c>
      <c r="E899" s="5" t="s">
        <v>55</v>
      </c>
      <c r="F899" s="5" t="s">
        <v>116</v>
      </c>
      <c r="G899" s="5" t="s">
        <v>37</v>
      </c>
      <c r="H899" s="5" t="s">
        <v>38</v>
      </c>
      <c r="I899" s="5" t="s">
        <v>95</v>
      </c>
      <c r="J899" s="5" t="s">
        <v>344</v>
      </c>
      <c r="K899" s="5">
        <v>4</v>
      </c>
      <c r="L899" s="5">
        <v>6000</v>
      </c>
      <c r="M899" s="5">
        <v>0.2</v>
      </c>
      <c r="N899" s="5">
        <v>19200</v>
      </c>
      <c r="O899" s="5">
        <v>10946.26</v>
      </c>
      <c r="P899" s="5">
        <v>8253.74</v>
      </c>
      <c r="Q899" s="5">
        <v>42.99</v>
      </c>
      <c r="R899" s="5" t="s">
        <v>106</v>
      </c>
      <c r="S899" s="5" t="s">
        <v>74</v>
      </c>
      <c r="T899" s="5" t="s">
        <v>107</v>
      </c>
      <c r="U899" s="5" t="s">
        <v>119</v>
      </c>
      <c r="V899" s="5">
        <v>2024</v>
      </c>
      <c r="W899" s="5" t="s">
        <v>139</v>
      </c>
      <c r="X899" s="5">
        <v>9</v>
      </c>
      <c r="Y899" s="1">
        <v>45601</v>
      </c>
      <c r="Z899" s="5" t="s">
        <v>89</v>
      </c>
      <c r="AA899" s="5" t="s">
        <v>48</v>
      </c>
      <c r="AB899" s="5" t="s">
        <v>78</v>
      </c>
      <c r="AC899" s="5" t="s">
        <v>121</v>
      </c>
      <c r="AD899" s="5">
        <v>3</v>
      </c>
    </row>
    <row r="900" spans="1:30">
      <c r="A900" s="5" t="s">
        <v>2063</v>
      </c>
      <c r="B900" s="1" t="s">
        <v>2064</v>
      </c>
      <c r="C900" s="5" t="s">
        <v>1770</v>
      </c>
      <c r="D900" s="5" t="s">
        <v>574</v>
      </c>
      <c r="E900" s="5" t="s">
        <v>35</v>
      </c>
      <c r="F900" s="5" t="s">
        <v>104</v>
      </c>
      <c r="G900" s="5" t="s">
        <v>104</v>
      </c>
      <c r="H900" s="5" t="s">
        <v>38</v>
      </c>
      <c r="I900" s="5" t="s">
        <v>39</v>
      </c>
      <c r="J900" s="5" t="s">
        <v>40</v>
      </c>
      <c r="K900" s="5">
        <v>4</v>
      </c>
      <c r="L900" s="5">
        <v>22000</v>
      </c>
      <c r="M900" s="5">
        <v>0.1</v>
      </c>
      <c r="N900" s="5">
        <v>79200</v>
      </c>
      <c r="O900" s="5">
        <v>53261.42</v>
      </c>
      <c r="P900" s="5">
        <v>25938.58</v>
      </c>
      <c r="Q900" s="5">
        <v>32.75</v>
      </c>
      <c r="R900" s="5" t="s">
        <v>73</v>
      </c>
      <c r="S900" s="5" t="s">
        <v>62</v>
      </c>
      <c r="T900" s="5" t="s">
        <v>63</v>
      </c>
      <c r="U900" s="5" t="s">
        <v>178</v>
      </c>
      <c r="V900" s="5">
        <v>2024</v>
      </c>
      <c r="W900" s="5" t="s">
        <v>45</v>
      </c>
      <c r="X900" s="5">
        <v>6</v>
      </c>
      <c r="Y900" s="1">
        <v>45447</v>
      </c>
      <c r="Z900" s="5" t="s">
        <v>47</v>
      </c>
      <c r="AA900" s="5" t="s">
        <v>90</v>
      </c>
      <c r="AB900" s="5" t="s">
        <v>78</v>
      </c>
      <c r="AC900" s="5" t="s">
        <v>50</v>
      </c>
      <c r="AD900" s="5">
        <v>5</v>
      </c>
    </row>
    <row r="901" spans="1:30">
      <c r="A901" s="5" t="s">
        <v>2065</v>
      </c>
      <c r="B901" s="1" t="s">
        <v>592</v>
      </c>
      <c r="C901" s="5" t="s">
        <v>1149</v>
      </c>
      <c r="D901" s="5" t="s">
        <v>1551</v>
      </c>
      <c r="E901" s="5" t="s">
        <v>35</v>
      </c>
      <c r="F901" s="5" t="s">
        <v>36</v>
      </c>
      <c r="G901" s="5" t="s">
        <v>37</v>
      </c>
      <c r="H901" s="5" t="s">
        <v>58</v>
      </c>
      <c r="I901" s="5" t="s">
        <v>95</v>
      </c>
      <c r="J901" s="5" t="s">
        <v>440</v>
      </c>
      <c r="K901" s="5">
        <v>8</v>
      </c>
      <c r="L901" s="5">
        <v>6000</v>
      </c>
      <c r="M901" s="5">
        <v>0</v>
      </c>
      <c r="N901" s="5">
        <v>48000</v>
      </c>
      <c r="O901" s="5">
        <v>38747.39</v>
      </c>
      <c r="P901" s="5">
        <v>9252.61</v>
      </c>
      <c r="Q901" s="5">
        <v>19.28</v>
      </c>
      <c r="R901" s="5" t="s">
        <v>61</v>
      </c>
      <c r="S901" s="5" t="s">
        <v>74</v>
      </c>
      <c r="T901" s="5" t="s">
        <v>138</v>
      </c>
      <c r="U901" s="5" t="s">
        <v>76</v>
      </c>
      <c r="V901" s="5">
        <v>2024</v>
      </c>
      <c r="W901" s="5" t="s">
        <v>134</v>
      </c>
      <c r="X901" s="5">
        <v>10</v>
      </c>
      <c r="Y901" s="1" t="s">
        <v>1784</v>
      </c>
      <c r="Z901" s="5" t="s">
        <v>47</v>
      </c>
      <c r="AA901" s="5" t="s">
        <v>67</v>
      </c>
      <c r="AB901" s="5" t="s">
        <v>111</v>
      </c>
      <c r="AC901" s="5" t="s">
        <v>121</v>
      </c>
      <c r="AD901" s="5">
        <v>5</v>
      </c>
    </row>
    <row r="902" spans="1:30">
      <c r="A902" s="5" t="s">
        <v>2066</v>
      </c>
      <c r="B902" s="1">
        <v>45752</v>
      </c>
      <c r="C902" s="5" t="s">
        <v>477</v>
      </c>
      <c r="D902" s="5" t="s">
        <v>699</v>
      </c>
      <c r="E902" s="5" t="s">
        <v>103</v>
      </c>
      <c r="F902" s="5" t="s">
        <v>131</v>
      </c>
      <c r="G902" s="5" t="s">
        <v>132</v>
      </c>
      <c r="H902" s="5" t="s">
        <v>171</v>
      </c>
      <c r="I902" s="5" t="s">
        <v>71</v>
      </c>
      <c r="J902" s="5" t="s">
        <v>172</v>
      </c>
      <c r="K902" s="5">
        <v>1</v>
      </c>
      <c r="L902" s="5">
        <v>3500</v>
      </c>
      <c r="M902" s="5">
        <v>0.05</v>
      </c>
      <c r="N902" s="5">
        <v>3325</v>
      </c>
      <c r="O902" s="5">
        <v>2152.83</v>
      </c>
      <c r="P902" s="5">
        <v>1172.17</v>
      </c>
      <c r="Q902" s="5">
        <v>35.25</v>
      </c>
      <c r="R902" s="5" t="s">
        <v>166</v>
      </c>
      <c r="S902" s="5" t="s">
        <v>74</v>
      </c>
      <c r="T902" s="5" t="s">
        <v>118</v>
      </c>
      <c r="U902" s="5" t="s">
        <v>119</v>
      </c>
      <c r="V902" s="5">
        <v>2025</v>
      </c>
      <c r="W902" s="5" t="s">
        <v>45</v>
      </c>
      <c r="X902" s="5">
        <v>1</v>
      </c>
      <c r="Y902" s="1">
        <v>45782</v>
      </c>
      <c r="Z902" s="5" t="s">
        <v>47</v>
      </c>
      <c r="AA902" s="5" t="s">
        <v>67</v>
      </c>
      <c r="AB902" s="5" t="s">
        <v>111</v>
      </c>
      <c r="AC902" s="5" t="s">
        <v>50</v>
      </c>
      <c r="AD902" s="5">
        <v>4</v>
      </c>
    </row>
    <row r="903" spans="1:30">
      <c r="A903" s="5" t="s">
        <v>2067</v>
      </c>
      <c r="B903" s="1">
        <v>45784</v>
      </c>
      <c r="C903" s="5" t="s">
        <v>766</v>
      </c>
      <c r="D903" s="5" t="s">
        <v>1112</v>
      </c>
      <c r="E903" s="5" t="s">
        <v>103</v>
      </c>
      <c r="F903" s="5" t="s">
        <v>104</v>
      </c>
      <c r="G903" s="5" t="s">
        <v>104</v>
      </c>
      <c r="H903" s="5" t="s">
        <v>171</v>
      </c>
      <c r="I903" s="5" t="s">
        <v>84</v>
      </c>
      <c r="J903" s="5" t="s">
        <v>217</v>
      </c>
      <c r="K903" s="5">
        <v>9</v>
      </c>
      <c r="L903" s="5">
        <v>500</v>
      </c>
      <c r="M903" s="5">
        <v>0.15</v>
      </c>
      <c r="N903" s="5">
        <v>3825</v>
      </c>
      <c r="O903" s="5">
        <v>2412.1799999999998</v>
      </c>
      <c r="P903" s="5">
        <v>1412.82</v>
      </c>
      <c r="Q903" s="5">
        <v>36.94</v>
      </c>
      <c r="R903" s="5" t="s">
        <v>41</v>
      </c>
      <c r="S903" s="5" t="s">
        <v>62</v>
      </c>
      <c r="T903" s="5" t="s">
        <v>159</v>
      </c>
      <c r="U903" s="5" t="s">
        <v>151</v>
      </c>
      <c r="V903" s="5">
        <v>2025</v>
      </c>
      <c r="W903" s="5" t="s">
        <v>65</v>
      </c>
      <c r="X903" s="5">
        <v>8</v>
      </c>
      <c r="Y903" s="1" t="s">
        <v>1630</v>
      </c>
      <c r="Z903" s="5" t="s">
        <v>47</v>
      </c>
      <c r="AA903" s="5" t="s">
        <v>48</v>
      </c>
      <c r="AB903" s="5" t="s">
        <v>111</v>
      </c>
      <c r="AC903" s="5" t="s">
        <v>50</v>
      </c>
      <c r="AD903" s="5">
        <v>5</v>
      </c>
    </row>
    <row r="904" spans="1:30">
      <c r="A904" s="5" t="s">
        <v>2068</v>
      </c>
      <c r="B904" s="1" t="s">
        <v>896</v>
      </c>
      <c r="C904" s="5" t="s">
        <v>514</v>
      </c>
      <c r="D904" s="5" t="s">
        <v>485</v>
      </c>
      <c r="E904" s="5" t="s">
        <v>103</v>
      </c>
      <c r="F904" s="5" t="s">
        <v>156</v>
      </c>
      <c r="G904" s="5" t="s">
        <v>157</v>
      </c>
      <c r="H904" s="5" t="s">
        <v>94</v>
      </c>
      <c r="I904" s="5" t="s">
        <v>84</v>
      </c>
      <c r="J904" s="5" t="s">
        <v>229</v>
      </c>
      <c r="K904" s="5">
        <v>10</v>
      </c>
      <c r="L904" s="5">
        <v>350</v>
      </c>
      <c r="M904" s="5">
        <v>0.05</v>
      </c>
      <c r="N904" s="5">
        <v>3325</v>
      </c>
      <c r="O904" s="5">
        <v>2688.8</v>
      </c>
      <c r="P904" s="5">
        <v>636.20000000000005</v>
      </c>
      <c r="Q904" s="5">
        <v>19.13</v>
      </c>
      <c r="R904" s="5" t="s">
        <v>61</v>
      </c>
      <c r="S904" s="5" t="s">
        <v>74</v>
      </c>
      <c r="T904" s="5" t="s">
        <v>118</v>
      </c>
      <c r="U904" s="5" t="s">
        <v>119</v>
      </c>
      <c r="V904" s="5">
        <v>2025</v>
      </c>
      <c r="W904" s="5" t="s">
        <v>139</v>
      </c>
      <c r="X904" s="5">
        <v>3</v>
      </c>
      <c r="Y904" s="1">
        <v>45663</v>
      </c>
      <c r="Z904" s="5" t="s">
        <v>47</v>
      </c>
      <c r="AA904" s="5" t="s">
        <v>90</v>
      </c>
      <c r="AB904" s="5" t="s">
        <v>49</v>
      </c>
      <c r="AC904" s="5" t="s">
        <v>121</v>
      </c>
      <c r="AD904" s="5">
        <v>2</v>
      </c>
    </row>
    <row r="905" spans="1:30">
      <c r="A905" s="5" t="s">
        <v>2069</v>
      </c>
      <c r="B905" s="1" t="s">
        <v>1031</v>
      </c>
      <c r="C905" s="5" t="s">
        <v>1051</v>
      </c>
      <c r="D905" s="5" t="s">
        <v>876</v>
      </c>
      <c r="E905" s="5" t="s">
        <v>35</v>
      </c>
      <c r="F905" s="5" t="s">
        <v>116</v>
      </c>
      <c r="G905" s="5" t="s">
        <v>37</v>
      </c>
      <c r="H905" s="5" t="s">
        <v>171</v>
      </c>
      <c r="I905" s="5" t="s">
        <v>84</v>
      </c>
      <c r="J905" s="5" t="s">
        <v>85</v>
      </c>
      <c r="K905" s="5">
        <v>10</v>
      </c>
      <c r="L905" s="5">
        <v>200</v>
      </c>
      <c r="M905" s="5">
        <v>0</v>
      </c>
      <c r="N905" s="5">
        <v>2000</v>
      </c>
      <c r="O905" s="5">
        <v>1531.63</v>
      </c>
      <c r="P905" s="5">
        <v>468.37</v>
      </c>
      <c r="Q905" s="5">
        <v>23.42</v>
      </c>
      <c r="R905" s="5" t="s">
        <v>61</v>
      </c>
      <c r="S905" s="5" t="s">
        <v>62</v>
      </c>
      <c r="T905" s="5" t="s">
        <v>43</v>
      </c>
      <c r="U905" s="5" t="s">
        <v>218</v>
      </c>
      <c r="V905" s="5">
        <v>2024</v>
      </c>
      <c r="W905" s="5" t="s">
        <v>194</v>
      </c>
      <c r="X905" s="5">
        <v>3</v>
      </c>
      <c r="Y905" s="1">
        <v>45331</v>
      </c>
      <c r="Z905" s="5" t="s">
        <v>47</v>
      </c>
      <c r="AA905" s="5" t="s">
        <v>48</v>
      </c>
      <c r="AB905" s="5" t="s">
        <v>49</v>
      </c>
      <c r="AC905" s="5" t="s">
        <v>50</v>
      </c>
      <c r="AD905" s="5">
        <v>5</v>
      </c>
    </row>
    <row r="906" spans="1:30">
      <c r="A906" s="5" t="s">
        <v>2070</v>
      </c>
      <c r="B906" s="1" t="s">
        <v>1726</v>
      </c>
      <c r="C906" s="5" t="s">
        <v>805</v>
      </c>
      <c r="D906" s="5" t="s">
        <v>542</v>
      </c>
      <c r="E906" s="5" t="s">
        <v>55</v>
      </c>
      <c r="F906" s="5" t="s">
        <v>245</v>
      </c>
      <c r="G906" s="5" t="s">
        <v>246</v>
      </c>
      <c r="H906" s="5" t="s">
        <v>38</v>
      </c>
      <c r="I906" s="5" t="s">
        <v>39</v>
      </c>
      <c r="J906" s="5" t="s">
        <v>40</v>
      </c>
      <c r="K906" s="5">
        <v>5</v>
      </c>
      <c r="L906" s="5">
        <v>15000</v>
      </c>
      <c r="M906" s="5">
        <v>0.2</v>
      </c>
      <c r="N906" s="5">
        <v>60000</v>
      </c>
      <c r="O906" s="5">
        <v>39250.379999999997</v>
      </c>
      <c r="P906" s="5">
        <v>20749.62</v>
      </c>
      <c r="Q906" s="5">
        <v>34.58</v>
      </c>
      <c r="R906" s="5" t="s">
        <v>166</v>
      </c>
      <c r="S906" s="5" t="s">
        <v>62</v>
      </c>
      <c r="T906" s="5" t="s">
        <v>138</v>
      </c>
      <c r="U906" s="5" t="s">
        <v>160</v>
      </c>
      <c r="V906" s="5">
        <v>2025</v>
      </c>
      <c r="W906" s="5" t="s">
        <v>65</v>
      </c>
      <c r="X906" s="5">
        <v>10</v>
      </c>
      <c r="Y906" s="1">
        <v>45664</v>
      </c>
      <c r="Z906" s="5" t="s">
        <v>110</v>
      </c>
      <c r="AA906" s="5" t="s">
        <v>48</v>
      </c>
      <c r="AB906" s="5" t="s">
        <v>78</v>
      </c>
      <c r="AC906" s="5" t="s">
        <v>50</v>
      </c>
      <c r="AD906" s="5">
        <v>2</v>
      </c>
    </row>
    <row r="907" spans="1:30">
      <c r="A907" s="5" t="s">
        <v>2071</v>
      </c>
      <c r="B907" s="1" t="s">
        <v>314</v>
      </c>
      <c r="C907" s="5" t="s">
        <v>1028</v>
      </c>
      <c r="D907" s="5" t="s">
        <v>713</v>
      </c>
      <c r="E907" s="5" t="s">
        <v>35</v>
      </c>
      <c r="F907" s="5" t="s">
        <v>104</v>
      </c>
      <c r="G907" s="5" t="s">
        <v>104</v>
      </c>
      <c r="H907" s="5" t="s">
        <v>38</v>
      </c>
      <c r="I907" s="5" t="s">
        <v>95</v>
      </c>
      <c r="J907" s="5" t="s">
        <v>184</v>
      </c>
      <c r="K907" s="5">
        <v>9</v>
      </c>
      <c r="L907" s="5">
        <v>4000</v>
      </c>
      <c r="M907" s="5">
        <v>0.1</v>
      </c>
      <c r="N907" s="5">
        <v>32400</v>
      </c>
      <c r="O907" s="5">
        <v>22419.94</v>
      </c>
      <c r="P907" s="5">
        <v>9980.06</v>
      </c>
      <c r="Q907" s="5">
        <v>30.8</v>
      </c>
      <c r="R907" s="5" t="s">
        <v>73</v>
      </c>
      <c r="S907" s="5" t="s">
        <v>74</v>
      </c>
      <c r="T907" s="5" t="s">
        <v>118</v>
      </c>
      <c r="U907" s="5" t="s">
        <v>87</v>
      </c>
      <c r="V907" s="5">
        <v>2024</v>
      </c>
      <c r="W907" s="5" t="s">
        <v>126</v>
      </c>
      <c r="X907" s="5">
        <v>4</v>
      </c>
      <c r="Y907" s="1" t="s">
        <v>1619</v>
      </c>
      <c r="Z907" s="5" t="s">
        <v>47</v>
      </c>
      <c r="AA907" s="5" t="s">
        <v>90</v>
      </c>
      <c r="AB907" s="5" t="s">
        <v>111</v>
      </c>
      <c r="AC907" s="5" t="s">
        <v>121</v>
      </c>
      <c r="AD907" s="5">
        <v>1</v>
      </c>
    </row>
    <row r="908" spans="1:30">
      <c r="A908" s="5" t="s">
        <v>2072</v>
      </c>
      <c r="B908" s="1">
        <v>45326</v>
      </c>
      <c r="C908" s="5" t="s">
        <v>596</v>
      </c>
      <c r="D908" s="5" t="s">
        <v>1554</v>
      </c>
      <c r="E908" s="5" t="s">
        <v>103</v>
      </c>
      <c r="F908" s="5" t="s">
        <v>116</v>
      </c>
      <c r="G908" s="5" t="s">
        <v>37</v>
      </c>
      <c r="H908" s="5" t="s">
        <v>94</v>
      </c>
      <c r="I908" s="5" t="s">
        <v>59</v>
      </c>
      <c r="J908" s="5" t="s">
        <v>328</v>
      </c>
      <c r="K908" s="5">
        <v>1</v>
      </c>
      <c r="L908" s="5">
        <v>2000</v>
      </c>
      <c r="M908" s="5">
        <v>0</v>
      </c>
      <c r="N908" s="5">
        <v>2000</v>
      </c>
      <c r="O908" s="5">
        <v>1324.3</v>
      </c>
      <c r="P908" s="5">
        <v>675.7</v>
      </c>
      <c r="Q908" s="5">
        <v>33.79</v>
      </c>
      <c r="R908" s="5" t="s">
        <v>61</v>
      </c>
      <c r="S908" s="5" t="s">
        <v>74</v>
      </c>
      <c r="T908" s="5" t="s">
        <v>107</v>
      </c>
      <c r="U908" s="5" t="s">
        <v>44</v>
      </c>
      <c r="V908" s="5">
        <v>2024</v>
      </c>
      <c r="W908" s="5" t="s">
        <v>109</v>
      </c>
      <c r="X908" s="5">
        <v>9</v>
      </c>
      <c r="Y908" s="1">
        <v>45600</v>
      </c>
      <c r="Z908" s="5" t="s">
        <v>47</v>
      </c>
      <c r="AA908" s="5" t="s">
        <v>90</v>
      </c>
      <c r="AB908" s="5" t="s">
        <v>78</v>
      </c>
      <c r="AC908" s="5" t="s">
        <v>50</v>
      </c>
      <c r="AD908" s="5">
        <v>5</v>
      </c>
    </row>
    <row r="909" spans="1:30">
      <c r="A909" s="5" t="s">
        <v>2073</v>
      </c>
      <c r="B909" s="1" t="s">
        <v>555</v>
      </c>
      <c r="C909" s="5" t="s">
        <v>406</v>
      </c>
      <c r="D909" s="5" t="s">
        <v>1517</v>
      </c>
      <c r="E909" s="5" t="s">
        <v>55</v>
      </c>
      <c r="F909" s="5" t="s">
        <v>36</v>
      </c>
      <c r="G909" s="5" t="s">
        <v>37</v>
      </c>
      <c r="H909" s="5" t="s">
        <v>94</v>
      </c>
      <c r="I909" s="5" t="s">
        <v>71</v>
      </c>
      <c r="J909" s="5" t="s">
        <v>117</v>
      </c>
      <c r="K909" s="5">
        <v>3</v>
      </c>
      <c r="L909" s="5">
        <v>1800</v>
      </c>
      <c r="M909" s="5">
        <v>0.15</v>
      </c>
      <c r="N909" s="5">
        <v>4590</v>
      </c>
      <c r="O909" s="5">
        <v>3450.04</v>
      </c>
      <c r="P909" s="5">
        <v>1139.96</v>
      </c>
      <c r="Q909" s="5">
        <v>24.84</v>
      </c>
      <c r="R909" s="5" t="s">
        <v>73</v>
      </c>
      <c r="S909" s="5" t="s">
        <v>62</v>
      </c>
      <c r="T909" s="5" t="s">
        <v>118</v>
      </c>
      <c r="U909" s="5" t="s">
        <v>44</v>
      </c>
      <c r="V909" s="5">
        <v>2025</v>
      </c>
      <c r="W909" s="5" t="s">
        <v>45</v>
      </c>
      <c r="X909" s="5">
        <v>6</v>
      </c>
      <c r="Y909" s="1" t="s">
        <v>714</v>
      </c>
      <c r="Z909" s="5" t="s">
        <v>47</v>
      </c>
      <c r="AA909" s="5" t="s">
        <v>48</v>
      </c>
      <c r="AB909" s="5" t="s">
        <v>49</v>
      </c>
      <c r="AC909" s="5" t="s">
        <v>50</v>
      </c>
      <c r="AD909" s="5">
        <v>2</v>
      </c>
    </row>
    <row r="910" spans="1:30">
      <c r="A910" s="5" t="s">
        <v>2074</v>
      </c>
      <c r="B910" s="1">
        <v>45360</v>
      </c>
      <c r="C910" s="5" t="s">
        <v>1281</v>
      </c>
      <c r="D910" s="5" t="s">
        <v>843</v>
      </c>
      <c r="E910" s="5" t="s">
        <v>103</v>
      </c>
      <c r="F910" s="5" t="s">
        <v>144</v>
      </c>
      <c r="G910" s="5" t="s">
        <v>145</v>
      </c>
      <c r="H910" s="5" t="s">
        <v>94</v>
      </c>
      <c r="I910" s="5" t="s">
        <v>39</v>
      </c>
      <c r="J910" s="5" t="s">
        <v>165</v>
      </c>
      <c r="K910" s="5">
        <v>8</v>
      </c>
      <c r="L910" s="5">
        <v>22000</v>
      </c>
      <c r="M910" s="5">
        <v>0.2</v>
      </c>
      <c r="N910" s="5">
        <v>140800</v>
      </c>
      <c r="O910" s="5">
        <v>79458.52</v>
      </c>
      <c r="P910" s="5">
        <v>61341.48</v>
      </c>
      <c r="Q910" s="5">
        <v>43.57</v>
      </c>
      <c r="R910" s="5" t="s">
        <v>73</v>
      </c>
      <c r="S910" s="5" t="s">
        <v>74</v>
      </c>
      <c r="T910" s="5" t="s">
        <v>138</v>
      </c>
      <c r="U910" s="5" t="s">
        <v>108</v>
      </c>
      <c r="V910" s="5">
        <v>2024</v>
      </c>
      <c r="W910" s="5" t="s">
        <v>109</v>
      </c>
      <c r="X910" s="5">
        <v>2</v>
      </c>
      <c r="Y910" s="1">
        <v>45421</v>
      </c>
      <c r="Z910" s="5" t="s">
        <v>110</v>
      </c>
      <c r="AA910" s="5" t="s">
        <v>48</v>
      </c>
      <c r="AB910" s="5" t="s">
        <v>49</v>
      </c>
      <c r="AC910" s="5" t="s">
        <v>121</v>
      </c>
      <c r="AD910" s="5">
        <v>4</v>
      </c>
    </row>
    <row r="911" spans="1:30">
      <c r="A911" s="5" t="s">
        <v>2075</v>
      </c>
      <c r="B911" s="1">
        <v>45419</v>
      </c>
      <c r="C911" s="5" t="s">
        <v>1815</v>
      </c>
      <c r="D911" s="5" t="s">
        <v>1249</v>
      </c>
      <c r="E911" s="5" t="s">
        <v>103</v>
      </c>
      <c r="F911" s="5" t="s">
        <v>149</v>
      </c>
      <c r="G911" s="5" t="s">
        <v>150</v>
      </c>
      <c r="H911" s="5" t="s">
        <v>94</v>
      </c>
      <c r="I911" s="5" t="s">
        <v>59</v>
      </c>
      <c r="J911" s="5" t="s">
        <v>372</v>
      </c>
      <c r="K911" s="5">
        <v>3</v>
      </c>
      <c r="L911" s="5">
        <v>500</v>
      </c>
      <c r="M911" s="5">
        <v>0.1</v>
      </c>
      <c r="N911" s="5">
        <v>1350</v>
      </c>
      <c r="O911" s="5">
        <v>952.69</v>
      </c>
      <c r="P911" s="5">
        <v>397.31</v>
      </c>
      <c r="Q911" s="5">
        <v>29.43</v>
      </c>
      <c r="R911" s="5" t="s">
        <v>73</v>
      </c>
      <c r="S911" s="5" t="s">
        <v>74</v>
      </c>
      <c r="T911" s="5" t="s">
        <v>75</v>
      </c>
      <c r="U911" s="5" t="s">
        <v>151</v>
      </c>
      <c r="V911" s="5">
        <v>2024</v>
      </c>
      <c r="W911" s="5" t="s">
        <v>194</v>
      </c>
      <c r="X911" s="5">
        <v>3</v>
      </c>
      <c r="Y911" s="1">
        <v>45511</v>
      </c>
      <c r="Z911" s="5" t="s">
        <v>47</v>
      </c>
      <c r="AA911" s="5" t="s">
        <v>67</v>
      </c>
      <c r="AB911" s="5" t="s">
        <v>111</v>
      </c>
      <c r="AC911" s="5" t="s">
        <v>121</v>
      </c>
      <c r="AD911" s="5">
        <v>3</v>
      </c>
    </row>
    <row r="912" spans="1:30">
      <c r="A912" s="5" t="s">
        <v>2076</v>
      </c>
      <c r="B912" s="1" t="s">
        <v>405</v>
      </c>
      <c r="C912" s="5" t="s">
        <v>238</v>
      </c>
      <c r="D912" s="5" t="s">
        <v>2077</v>
      </c>
      <c r="E912" s="5" t="s">
        <v>103</v>
      </c>
      <c r="F912" s="5" t="s">
        <v>149</v>
      </c>
      <c r="G912" s="5" t="s">
        <v>150</v>
      </c>
      <c r="H912" s="5" t="s">
        <v>171</v>
      </c>
      <c r="I912" s="5" t="s">
        <v>59</v>
      </c>
      <c r="J912" s="5" t="s">
        <v>372</v>
      </c>
      <c r="K912" s="5">
        <v>3</v>
      </c>
      <c r="L912" s="5">
        <v>800</v>
      </c>
      <c r="M912" s="5">
        <v>0.05</v>
      </c>
      <c r="N912" s="5">
        <v>2280</v>
      </c>
      <c r="O912" s="5">
        <v>1739.92</v>
      </c>
      <c r="P912" s="5">
        <v>540.08000000000004</v>
      </c>
      <c r="Q912" s="5">
        <v>23.69</v>
      </c>
      <c r="R912" s="5" t="s">
        <v>61</v>
      </c>
      <c r="S912" s="5" t="s">
        <v>62</v>
      </c>
      <c r="T912" s="5" t="s">
        <v>173</v>
      </c>
      <c r="U912" s="5" t="s">
        <v>198</v>
      </c>
      <c r="V912" s="5">
        <v>2024</v>
      </c>
      <c r="W912" s="5" t="s">
        <v>139</v>
      </c>
      <c r="X912" s="5">
        <v>6</v>
      </c>
      <c r="Y912" s="1">
        <v>45394</v>
      </c>
      <c r="Z912" s="5" t="s">
        <v>47</v>
      </c>
      <c r="AA912" s="5" t="s">
        <v>67</v>
      </c>
      <c r="AB912" s="5" t="s">
        <v>111</v>
      </c>
      <c r="AC912" s="5" t="s">
        <v>50</v>
      </c>
      <c r="AD912" s="5">
        <v>4</v>
      </c>
    </row>
    <row r="913" spans="1:30">
      <c r="A913" s="5" t="s">
        <v>2078</v>
      </c>
      <c r="B913" s="1">
        <v>45846</v>
      </c>
      <c r="C913" s="5" t="s">
        <v>1124</v>
      </c>
      <c r="D913" s="5" t="s">
        <v>855</v>
      </c>
      <c r="E913" s="5" t="s">
        <v>103</v>
      </c>
      <c r="F913" s="5" t="s">
        <v>149</v>
      </c>
      <c r="G913" s="5" t="s">
        <v>150</v>
      </c>
      <c r="H913" s="5" t="s">
        <v>58</v>
      </c>
      <c r="I913" s="5" t="s">
        <v>95</v>
      </c>
      <c r="J913" s="5" t="s">
        <v>440</v>
      </c>
      <c r="K913" s="5">
        <v>5</v>
      </c>
      <c r="L913" s="5">
        <v>4000</v>
      </c>
      <c r="M913" s="5">
        <v>0</v>
      </c>
      <c r="N913" s="5">
        <v>20000</v>
      </c>
      <c r="O913" s="5">
        <v>15673.34</v>
      </c>
      <c r="P913" s="5">
        <v>4326.66</v>
      </c>
      <c r="Q913" s="5">
        <v>21.63</v>
      </c>
      <c r="R913" s="5" t="s">
        <v>73</v>
      </c>
      <c r="S913" s="5" t="s">
        <v>62</v>
      </c>
      <c r="T913" s="5" t="s">
        <v>63</v>
      </c>
      <c r="U913" s="5" t="s">
        <v>218</v>
      </c>
      <c r="V913" s="5">
        <v>2025</v>
      </c>
      <c r="W913" s="5" t="s">
        <v>139</v>
      </c>
      <c r="X913" s="5">
        <v>6</v>
      </c>
      <c r="Y913" s="1" t="s">
        <v>1344</v>
      </c>
      <c r="Z913" s="5" t="s">
        <v>47</v>
      </c>
      <c r="AA913" s="5" t="s">
        <v>48</v>
      </c>
      <c r="AB913" s="5" t="s">
        <v>78</v>
      </c>
      <c r="AC913" s="5" t="s">
        <v>121</v>
      </c>
      <c r="AD913" s="5">
        <v>2</v>
      </c>
    </row>
    <row r="914" spans="1:30">
      <c r="A914" s="5" t="s">
        <v>2079</v>
      </c>
      <c r="B914" s="1">
        <v>45424</v>
      </c>
      <c r="C914" s="5" t="s">
        <v>430</v>
      </c>
      <c r="D914" s="5" t="s">
        <v>817</v>
      </c>
      <c r="E914" s="5" t="s">
        <v>35</v>
      </c>
      <c r="F914" s="5" t="s">
        <v>144</v>
      </c>
      <c r="G914" s="5" t="s">
        <v>145</v>
      </c>
      <c r="H914" s="5" t="s">
        <v>38</v>
      </c>
      <c r="I914" s="5" t="s">
        <v>95</v>
      </c>
      <c r="J914" s="5" t="s">
        <v>440</v>
      </c>
      <c r="K914" s="5">
        <v>2</v>
      </c>
      <c r="L914" s="5">
        <v>4000</v>
      </c>
      <c r="M914" s="5">
        <v>0</v>
      </c>
      <c r="N914" s="5">
        <v>8000</v>
      </c>
      <c r="O914" s="5">
        <v>5411.98</v>
      </c>
      <c r="P914" s="5">
        <v>2588.02</v>
      </c>
      <c r="Q914" s="5">
        <v>32.35</v>
      </c>
      <c r="R914" s="5" t="s">
        <v>166</v>
      </c>
      <c r="S914" s="5" t="s">
        <v>42</v>
      </c>
      <c r="T914" s="5" t="s">
        <v>97</v>
      </c>
      <c r="U914" s="5" t="s">
        <v>64</v>
      </c>
      <c r="V914" s="5">
        <v>2024</v>
      </c>
      <c r="W914" s="5" t="s">
        <v>139</v>
      </c>
      <c r="X914" s="5">
        <v>4</v>
      </c>
      <c r="Y914" s="1">
        <v>45547</v>
      </c>
      <c r="Z914" s="5" t="s">
        <v>89</v>
      </c>
      <c r="AA914" s="5" t="s">
        <v>90</v>
      </c>
      <c r="AB914" s="5" t="s">
        <v>111</v>
      </c>
      <c r="AC914" s="5" t="s">
        <v>121</v>
      </c>
      <c r="AD914" s="5">
        <v>2</v>
      </c>
    </row>
    <row r="915" spans="1:30">
      <c r="A915" s="5" t="s">
        <v>2080</v>
      </c>
      <c r="B915" s="1" t="s">
        <v>958</v>
      </c>
      <c r="C915" s="5" t="s">
        <v>1428</v>
      </c>
      <c r="D915" s="5" t="s">
        <v>225</v>
      </c>
      <c r="E915" s="5" t="s">
        <v>103</v>
      </c>
      <c r="F915" s="5" t="s">
        <v>245</v>
      </c>
      <c r="G915" s="5" t="s">
        <v>246</v>
      </c>
      <c r="H915" s="5" t="s">
        <v>94</v>
      </c>
      <c r="I915" s="5" t="s">
        <v>39</v>
      </c>
      <c r="J915" s="5" t="s">
        <v>356</v>
      </c>
      <c r="K915" s="5">
        <v>3</v>
      </c>
      <c r="L915" s="5">
        <v>15000</v>
      </c>
      <c r="M915" s="5">
        <v>0.15</v>
      </c>
      <c r="N915" s="5">
        <v>38250</v>
      </c>
      <c r="O915" s="5">
        <v>22826.91</v>
      </c>
      <c r="P915" s="5">
        <v>15423.09</v>
      </c>
      <c r="Q915" s="5">
        <v>40.32</v>
      </c>
      <c r="R915" s="5" t="s">
        <v>41</v>
      </c>
      <c r="S915" s="5" t="s">
        <v>42</v>
      </c>
      <c r="T915" s="5" t="s">
        <v>138</v>
      </c>
      <c r="U915" s="5" t="s">
        <v>98</v>
      </c>
      <c r="V915" s="5">
        <v>2024</v>
      </c>
      <c r="W915" s="5" t="s">
        <v>45</v>
      </c>
      <c r="X915" s="5">
        <v>9</v>
      </c>
      <c r="Y915" s="1">
        <v>45415</v>
      </c>
      <c r="Z915" s="5" t="s">
        <v>47</v>
      </c>
      <c r="AA915" s="5" t="s">
        <v>48</v>
      </c>
      <c r="AB915" s="5" t="s">
        <v>111</v>
      </c>
      <c r="AC915" s="5" t="s">
        <v>50</v>
      </c>
      <c r="AD915" s="5">
        <v>3</v>
      </c>
    </row>
    <row r="916" spans="1:30">
      <c r="A916" s="5" t="s">
        <v>2081</v>
      </c>
      <c r="B916" s="1" t="s">
        <v>949</v>
      </c>
      <c r="C916" s="5" t="s">
        <v>292</v>
      </c>
      <c r="D916" s="5" t="s">
        <v>528</v>
      </c>
      <c r="E916" s="5" t="s">
        <v>55</v>
      </c>
      <c r="F916" s="5" t="s">
        <v>149</v>
      </c>
      <c r="G916" s="5" t="s">
        <v>150</v>
      </c>
      <c r="H916" s="5" t="s">
        <v>171</v>
      </c>
      <c r="I916" s="5" t="s">
        <v>84</v>
      </c>
      <c r="J916" s="5" t="s">
        <v>217</v>
      </c>
      <c r="K916" s="5">
        <v>6</v>
      </c>
      <c r="L916" s="5">
        <v>200</v>
      </c>
      <c r="M916" s="5">
        <v>0.05</v>
      </c>
      <c r="N916" s="5">
        <v>1140</v>
      </c>
      <c r="O916" s="5">
        <v>911.5</v>
      </c>
      <c r="P916" s="5">
        <v>228.5</v>
      </c>
      <c r="Q916" s="5">
        <v>20.04</v>
      </c>
      <c r="R916" s="5" t="s">
        <v>73</v>
      </c>
      <c r="S916" s="5" t="s">
        <v>62</v>
      </c>
      <c r="T916" s="5" t="s">
        <v>173</v>
      </c>
      <c r="U916" s="5" t="s">
        <v>87</v>
      </c>
      <c r="V916" s="5">
        <v>2025</v>
      </c>
      <c r="W916" s="5" t="s">
        <v>109</v>
      </c>
      <c r="X916" s="5">
        <v>9</v>
      </c>
      <c r="Y916" s="1" t="s">
        <v>1876</v>
      </c>
      <c r="Z916" s="5" t="s">
        <v>110</v>
      </c>
      <c r="AA916" s="5" t="s">
        <v>48</v>
      </c>
      <c r="AB916" s="5" t="s">
        <v>111</v>
      </c>
      <c r="AC916" s="5" t="s">
        <v>50</v>
      </c>
      <c r="AD916" s="5">
        <v>1</v>
      </c>
    </row>
    <row r="917" spans="1:30">
      <c r="A917" s="5" t="s">
        <v>2082</v>
      </c>
      <c r="B917" s="1">
        <v>45416</v>
      </c>
      <c r="C917" s="5" t="s">
        <v>766</v>
      </c>
      <c r="D917" s="5" t="s">
        <v>799</v>
      </c>
      <c r="E917" s="5" t="s">
        <v>55</v>
      </c>
      <c r="F917" s="5" t="s">
        <v>56</v>
      </c>
      <c r="G917" s="5" t="s">
        <v>57</v>
      </c>
      <c r="H917" s="5" t="s">
        <v>58</v>
      </c>
      <c r="I917" s="5" t="s">
        <v>39</v>
      </c>
      <c r="J917" s="5" t="s">
        <v>40</v>
      </c>
      <c r="K917" s="5">
        <v>3</v>
      </c>
      <c r="L917" s="5">
        <v>12000</v>
      </c>
      <c r="M917" s="5">
        <v>0.2</v>
      </c>
      <c r="N917" s="5">
        <v>28800</v>
      </c>
      <c r="O917" s="5">
        <v>20839.28</v>
      </c>
      <c r="P917" s="5">
        <v>7960.72</v>
      </c>
      <c r="Q917" s="5">
        <v>27.64</v>
      </c>
      <c r="R917" s="5" t="s">
        <v>106</v>
      </c>
      <c r="S917" s="5" t="s">
        <v>62</v>
      </c>
      <c r="T917" s="5" t="s">
        <v>86</v>
      </c>
      <c r="U917" s="5" t="s">
        <v>44</v>
      </c>
      <c r="V917" s="5">
        <v>2024</v>
      </c>
      <c r="W917" s="5" t="s">
        <v>194</v>
      </c>
      <c r="X917" s="5">
        <v>1</v>
      </c>
      <c r="Y917" s="1">
        <v>45447</v>
      </c>
      <c r="Z917" s="5" t="s">
        <v>47</v>
      </c>
      <c r="AA917" s="5" t="s">
        <v>67</v>
      </c>
      <c r="AB917" s="5" t="s">
        <v>78</v>
      </c>
      <c r="AC917" s="5" t="s">
        <v>121</v>
      </c>
      <c r="AD917" s="5">
        <v>1</v>
      </c>
    </row>
    <row r="918" spans="1:30">
      <c r="A918" s="5" t="s">
        <v>2083</v>
      </c>
      <c r="B918" s="1" t="s">
        <v>435</v>
      </c>
      <c r="C918" s="5" t="s">
        <v>687</v>
      </c>
      <c r="D918" s="5" t="s">
        <v>1187</v>
      </c>
      <c r="E918" s="5" t="s">
        <v>55</v>
      </c>
      <c r="F918" s="5" t="s">
        <v>144</v>
      </c>
      <c r="G918" s="5" t="s">
        <v>145</v>
      </c>
      <c r="H918" s="5" t="s">
        <v>58</v>
      </c>
      <c r="I918" s="5" t="s">
        <v>95</v>
      </c>
      <c r="J918" s="5" t="s">
        <v>344</v>
      </c>
      <c r="K918" s="5">
        <v>10</v>
      </c>
      <c r="L918" s="5">
        <v>9000</v>
      </c>
      <c r="M918" s="5">
        <v>0.15</v>
      </c>
      <c r="N918" s="5">
        <v>76500</v>
      </c>
      <c r="O918" s="5">
        <v>52399.72</v>
      </c>
      <c r="P918" s="5">
        <v>24100.28</v>
      </c>
      <c r="Q918" s="5">
        <v>31.5</v>
      </c>
      <c r="R918" s="5" t="s">
        <v>73</v>
      </c>
      <c r="S918" s="5" t="s">
        <v>42</v>
      </c>
      <c r="T918" s="5" t="s">
        <v>118</v>
      </c>
      <c r="U918" s="5" t="s">
        <v>178</v>
      </c>
      <c r="V918" s="5">
        <v>2024</v>
      </c>
      <c r="W918" s="5" t="s">
        <v>126</v>
      </c>
      <c r="X918" s="5">
        <v>4</v>
      </c>
      <c r="Y918" s="1" t="s">
        <v>956</v>
      </c>
      <c r="Z918" s="5" t="s">
        <v>89</v>
      </c>
      <c r="AA918" s="5" t="s">
        <v>90</v>
      </c>
      <c r="AB918" s="5" t="s">
        <v>49</v>
      </c>
      <c r="AC918" s="5" t="s">
        <v>121</v>
      </c>
      <c r="AD918" s="5">
        <v>1</v>
      </c>
    </row>
    <row r="919" spans="1:30">
      <c r="A919" s="5" t="s">
        <v>2084</v>
      </c>
      <c r="B919" s="1">
        <v>46000</v>
      </c>
      <c r="C919" s="5" t="s">
        <v>301</v>
      </c>
      <c r="D919" s="5" t="s">
        <v>1187</v>
      </c>
      <c r="E919" s="5" t="s">
        <v>35</v>
      </c>
      <c r="F919" s="5" t="s">
        <v>56</v>
      </c>
      <c r="G919" s="5" t="s">
        <v>57</v>
      </c>
      <c r="H919" s="5" t="s">
        <v>58</v>
      </c>
      <c r="I919" s="5" t="s">
        <v>71</v>
      </c>
      <c r="J919" s="5" t="s">
        <v>158</v>
      </c>
      <c r="K919" s="5">
        <v>3</v>
      </c>
      <c r="L919" s="5">
        <v>700</v>
      </c>
      <c r="M919" s="5">
        <v>0</v>
      </c>
      <c r="N919" s="5">
        <v>2100</v>
      </c>
      <c r="O919" s="5">
        <v>1218.9100000000001</v>
      </c>
      <c r="P919" s="5">
        <v>881.09</v>
      </c>
      <c r="Q919" s="5">
        <v>41.96</v>
      </c>
      <c r="R919" s="5" t="s">
        <v>106</v>
      </c>
      <c r="S919" s="5" t="s">
        <v>42</v>
      </c>
      <c r="T919" s="5" t="s">
        <v>43</v>
      </c>
      <c r="U919" s="5" t="s">
        <v>108</v>
      </c>
      <c r="V919" s="5">
        <v>2025</v>
      </c>
      <c r="W919" s="5" t="s">
        <v>194</v>
      </c>
      <c r="X919" s="5">
        <v>2</v>
      </c>
      <c r="Y919" s="1" t="s">
        <v>1073</v>
      </c>
      <c r="Z919" s="5" t="s">
        <v>47</v>
      </c>
      <c r="AA919" s="5" t="s">
        <v>67</v>
      </c>
      <c r="AB919" s="5" t="s">
        <v>49</v>
      </c>
      <c r="AC919" s="5" t="s">
        <v>50</v>
      </c>
      <c r="AD919" s="5">
        <v>5</v>
      </c>
    </row>
    <row r="920" spans="1:30">
      <c r="A920" s="5" t="s">
        <v>2085</v>
      </c>
      <c r="B920" s="1" t="s">
        <v>1577</v>
      </c>
      <c r="C920" s="5" t="s">
        <v>53</v>
      </c>
      <c r="D920" s="5" t="s">
        <v>1035</v>
      </c>
      <c r="E920" s="5" t="s">
        <v>35</v>
      </c>
      <c r="F920" s="5" t="s">
        <v>56</v>
      </c>
      <c r="G920" s="5" t="s">
        <v>57</v>
      </c>
      <c r="H920" s="5" t="s">
        <v>38</v>
      </c>
      <c r="I920" s="5" t="s">
        <v>95</v>
      </c>
      <c r="J920" s="5" t="s">
        <v>319</v>
      </c>
      <c r="K920" s="5">
        <v>10</v>
      </c>
      <c r="L920" s="5">
        <v>4000</v>
      </c>
      <c r="M920" s="5">
        <v>0</v>
      </c>
      <c r="N920" s="5">
        <v>40000</v>
      </c>
      <c r="O920" s="5">
        <v>26659.64</v>
      </c>
      <c r="P920" s="5">
        <v>13340.36</v>
      </c>
      <c r="Q920" s="5">
        <v>33.35</v>
      </c>
      <c r="R920" s="5" t="s">
        <v>166</v>
      </c>
      <c r="S920" s="5" t="s">
        <v>42</v>
      </c>
      <c r="T920" s="5" t="s">
        <v>159</v>
      </c>
      <c r="U920" s="5" t="s">
        <v>87</v>
      </c>
      <c r="V920" s="5">
        <v>2024</v>
      </c>
      <c r="W920" s="5" t="s">
        <v>45</v>
      </c>
      <c r="X920" s="5">
        <v>10</v>
      </c>
      <c r="Y920" s="1">
        <v>45454</v>
      </c>
      <c r="Z920" s="5" t="s">
        <v>47</v>
      </c>
      <c r="AA920" s="5" t="s">
        <v>48</v>
      </c>
      <c r="AB920" s="5" t="s">
        <v>49</v>
      </c>
      <c r="AC920" s="5" t="s">
        <v>121</v>
      </c>
      <c r="AD920" s="5">
        <v>3</v>
      </c>
    </row>
    <row r="921" spans="1:30">
      <c r="A921" s="5" t="s">
        <v>2086</v>
      </c>
      <c r="B921" s="1" t="s">
        <v>2087</v>
      </c>
      <c r="C921" s="5" t="s">
        <v>53</v>
      </c>
      <c r="D921" s="5" t="s">
        <v>1094</v>
      </c>
      <c r="E921" s="5" t="s">
        <v>103</v>
      </c>
      <c r="F921" s="5" t="s">
        <v>245</v>
      </c>
      <c r="G921" s="5" t="s">
        <v>246</v>
      </c>
      <c r="H921" s="5" t="s">
        <v>171</v>
      </c>
      <c r="I921" s="5" t="s">
        <v>39</v>
      </c>
      <c r="J921" s="5" t="s">
        <v>356</v>
      </c>
      <c r="K921" s="5">
        <v>5</v>
      </c>
      <c r="L921" s="5">
        <v>8000</v>
      </c>
      <c r="M921" s="5">
        <v>0.2</v>
      </c>
      <c r="N921" s="5">
        <v>32000</v>
      </c>
      <c r="O921" s="5">
        <v>18814.88</v>
      </c>
      <c r="P921" s="5">
        <v>13185.12</v>
      </c>
      <c r="Q921" s="5">
        <v>41.2</v>
      </c>
      <c r="R921" s="5" t="s">
        <v>73</v>
      </c>
      <c r="S921" s="5" t="s">
        <v>74</v>
      </c>
      <c r="T921" s="5" t="s">
        <v>63</v>
      </c>
      <c r="U921" s="5" t="s">
        <v>198</v>
      </c>
      <c r="V921" s="5">
        <v>2025</v>
      </c>
      <c r="W921" s="5" t="s">
        <v>45</v>
      </c>
      <c r="X921" s="5">
        <v>7</v>
      </c>
      <c r="Y921" s="1">
        <v>45850</v>
      </c>
      <c r="Z921" s="5" t="s">
        <v>89</v>
      </c>
      <c r="AA921" s="5" t="s">
        <v>67</v>
      </c>
      <c r="AB921" s="5" t="s">
        <v>78</v>
      </c>
      <c r="AC921" s="5" t="s">
        <v>121</v>
      </c>
      <c r="AD921" s="5">
        <v>1</v>
      </c>
    </row>
    <row r="922" spans="1:30">
      <c r="A922" s="5" t="s">
        <v>2088</v>
      </c>
      <c r="B922" s="1">
        <v>45668</v>
      </c>
      <c r="C922" s="5" t="s">
        <v>1174</v>
      </c>
      <c r="D922" s="5" t="s">
        <v>1362</v>
      </c>
      <c r="E922" s="5" t="s">
        <v>35</v>
      </c>
      <c r="F922" s="5" t="s">
        <v>144</v>
      </c>
      <c r="G922" s="5" t="s">
        <v>145</v>
      </c>
      <c r="H922" s="5" t="s">
        <v>94</v>
      </c>
      <c r="I922" s="5" t="s">
        <v>95</v>
      </c>
      <c r="J922" s="5" t="s">
        <v>184</v>
      </c>
      <c r="K922" s="5">
        <v>6</v>
      </c>
      <c r="L922" s="5">
        <v>9000</v>
      </c>
      <c r="M922" s="5">
        <v>0</v>
      </c>
      <c r="N922" s="5">
        <v>54000</v>
      </c>
      <c r="O922" s="5">
        <v>40134.519999999997</v>
      </c>
      <c r="P922" s="5">
        <v>13865.48</v>
      </c>
      <c r="Q922" s="5">
        <v>25.68</v>
      </c>
      <c r="R922" s="5" t="s">
        <v>106</v>
      </c>
      <c r="S922" s="5" t="s">
        <v>74</v>
      </c>
      <c r="T922" s="5" t="s">
        <v>86</v>
      </c>
      <c r="U922" s="5" t="s">
        <v>198</v>
      </c>
      <c r="V922" s="5">
        <v>2025</v>
      </c>
      <c r="W922" s="5" t="s">
        <v>65</v>
      </c>
      <c r="X922" s="5">
        <v>1</v>
      </c>
      <c r="Y922" s="1">
        <v>45699</v>
      </c>
      <c r="Z922" s="5" t="s">
        <v>47</v>
      </c>
      <c r="AA922" s="5" t="s">
        <v>67</v>
      </c>
      <c r="AB922" s="5" t="s">
        <v>49</v>
      </c>
      <c r="AC922" s="5" t="s">
        <v>121</v>
      </c>
      <c r="AD922" s="5">
        <v>3</v>
      </c>
    </row>
    <row r="923" spans="1:30">
      <c r="A923" s="5" t="s">
        <v>2089</v>
      </c>
      <c r="B923" s="1">
        <v>45931</v>
      </c>
      <c r="C923" s="5" t="s">
        <v>1392</v>
      </c>
      <c r="D923" s="5" t="s">
        <v>535</v>
      </c>
      <c r="E923" s="5" t="s">
        <v>35</v>
      </c>
      <c r="F923" s="5" t="s">
        <v>149</v>
      </c>
      <c r="G923" s="5" t="s">
        <v>150</v>
      </c>
      <c r="H923" s="5" t="s">
        <v>171</v>
      </c>
      <c r="I923" s="5" t="s">
        <v>71</v>
      </c>
      <c r="J923" s="5" t="s">
        <v>240</v>
      </c>
      <c r="K923" s="5">
        <v>9</v>
      </c>
      <c r="L923" s="5">
        <v>1800</v>
      </c>
      <c r="M923" s="5">
        <v>0.2</v>
      </c>
      <c r="N923" s="5">
        <v>12960</v>
      </c>
      <c r="O923" s="5">
        <v>9796.39</v>
      </c>
      <c r="P923" s="5">
        <v>3163.61</v>
      </c>
      <c r="Q923" s="5">
        <v>24.41</v>
      </c>
      <c r="R923" s="5" t="s">
        <v>106</v>
      </c>
      <c r="S923" s="5" t="s">
        <v>42</v>
      </c>
      <c r="T923" s="5" t="s">
        <v>118</v>
      </c>
      <c r="U923" s="5" t="s">
        <v>76</v>
      </c>
      <c r="V923" s="5">
        <v>2025</v>
      </c>
      <c r="W923" s="5" t="s">
        <v>194</v>
      </c>
      <c r="X923" s="5">
        <v>7</v>
      </c>
      <c r="Y923" s="1" t="s">
        <v>778</v>
      </c>
      <c r="Z923" s="5" t="s">
        <v>47</v>
      </c>
      <c r="AA923" s="5" t="s">
        <v>90</v>
      </c>
      <c r="AB923" s="5" t="s">
        <v>49</v>
      </c>
      <c r="AC923" s="5" t="s">
        <v>50</v>
      </c>
      <c r="AD923" s="5">
        <v>1</v>
      </c>
    </row>
    <row r="924" spans="1:30">
      <c r="A924" s="5" t="s">
        <v>2090</v>
      </c>
      <c r="B924" s="1" t="s">
        <v>373</v>
      </c>
      <c r="C924" s="5" t="s">
        <v>766</v>
      </c>
      <c r="D924" s="5" t="s">
        <v>2026</v>
      </c>
      <c r="E924" s="5" t="s">
        <v>35</v>
      </c>
      <c r="F924" s="5" t="s">
        <v>156</v>
      </c>
      <c r="G924" s="5" t="s">
        <v>157</v>
      </c>
      <c r="H924" s="5" t="s">
        <v>94</v>
      </c>
      <c r="I924" s="5" t="s">
        <v>39</v>
      </c>
      <c r="J924" s="5" t="s">
        <v>40</v>
      </c>
      <c r="K924" s="5">
        <v>10</v>
      </c>
      <c r="L924" s="5">
        <v>12000</v>
      </c>
      <c r="M924" s="5">
        <v>0.15</v>
      </c>
      <c r="N924" s="5">
        <v>102000</v>
      </c>
      <c r="O924" s="5">
        <v>63754.21</v>
      </c>
      <c r="P924" s="5">
        <v>38245.79</v>
      </c>
      <c r="Q924" s="5">
        <v>37.5</v>
      </c>
      <c r="R924" s="5" t="s">
        <v>106</v>
      </c>
      <c r="S924" s="5" t="s">
        <v>62</v>
      </c>
      <c r="T924" s="5" t="s">
        <v>75</v>
      </c>
      <c r="U924" s="5" t="s">
        <v>218</v>
      </c>
      <c r="V924" s="5">
        <v>2024</v>
      </c>
      <c r="W924" s="5" t="s">
        <v>65</v>
      </c>
      <c r="X924" s="5">
        <v>9</v>
      </c>
      <c r="Y924" s="1">
        <v>45331</v>
      </c>
      <c r="Z924" s="5" t="s">
        <v>110</v>
      </c>
      <c r="AA924" s="5" t="s">
        <v>48</v>
      </c>
      <c r="AB924" s="5" t="s">
        <v>49</v>
      </c>
      <c r="AC924" s="5" t="s">
        <v>50</v>
      </c>
      <c r="AD924" s="5">
        <v>2</v>
      </c>
    </row>
    <row r="925" spans="1:30">
      <c r="A925" s="5" t="s">
        <v>2091</v>
      </c>
      <c r="B925" s="1" t="s">
        <v>303</v>
      </c>
      <c r="C925" s="5" t="s">
        <v>809</v>
      </c>
      <c r="D925" s="5" t="s">
        <v>1721</v>
      </c>
      <c r="E925" s="5" t="s">
        <v>103</v>
      </c>
      <c r="F925" s="5" t="s">
        <v>245</v>
      </c>
      <c r="G925" s="5" t="s">
        <v>246</v>
      </c>
      <c r="H925" s="5" t="s">
        <v>171</v>
      </c>
      <c r="I925" s="5" t="s">
        <v>95</v>
      </c>
      <c r="J925" s="5" t="s">
        <v>184</v>
      </c>
      <c r="K925" s="5">
        <v>9</v>
      </c>
      <c r="L925" s="5">
        <v>2500</v>
      </c>
      <c r="M925" s="5">
        <v>0.1</v>
      </c>
      <c r="N925" s="5">
        <v>20250</v>
      </c>
      <c r="O925" s="5">
        <v>15663.32</v>
      </c>
      <c r="P925" s="5">
        <v>4586.68</v>
      </c>
      <c r="Q925" s="5">
        <v>22.65</v>
      </c>
      <c r="R925" s="5" t="s">
        <v>106</v>
      </c>
      <c r="S925" s="5" t="s">
        <v>74</v>
      </c>
      <c r="T925" s="5" t="s">
        <v>43</v>
      </c>
      <c r="U925" s="5" t="s">
        <v>198</v>
      </c>
      <c r="V925" s="5">
        <v>2024</v>
      </c>
      <c r="W925" s="5" t="s">
        <v>65</v>
      </c>
      <c r="X925" s="5">
        <v>5</v>
      </c>
      <c r="Y925" s="1" t="s">
        <v>405</v>
      </c>
      <c r="Z925" s="5" t="s">
        <v>47</v>
      </c>
      <c r="AA925" s="5" t="s">
        <v>90</v>
      </c>
      <c r="AB925" s="5" t="s">
        <v>49</v>
      </c>
      <c r="AC925" s="5" t="s">
        <v>50</v>
      </c>
      <c r="AD925" s="5">
        <v>4</v>
      </c>
    </row>
    <row r="926" spans="1:30">
      <c r="A926" s="5" t="s">
        <v>2092</v>
      </c>
      <c r="B926" s="1" t="s">
        <v>1923</v>
      </c>
      <c r="C926" s="5" t="s">
        <v>668</v>
      </c>
      <c r="D926" s="5" t="s">
        <v>478</v>
      </c>
      <c r="E926" s="5" t="s">
        <v>55</v>
      </c>
      <c r="F926" s="5" t="s">
        <v>56</v>
      </c>
      <c r="G926" s="5" t="s">
        <v>57</v>
      </c>
      <c r="H926" s="5" t="s">
        <v>94</v>
      </c>
      <c r="I926" s="5" t="s">
        <v>59</v>
      </c>
      <c r="J926" s="5" t="s">
        <v>133</v>
      </c>
      <c r="K926" s="5">
        <v>6</v>
      </c>
      <c r="L926" s="5">
        <v>2000</v>
      </c>
      <c r="M926" s="5">
        <v>0.1</v>
      </c>
      <c r="N926" s="5">
        <v>10800</v>
      </c>
      <c r="O926" s="5">
        <v>7231.24</v>
      </c>
      <c r="P926" s="5">
        <v>3568.76</v>
      </c>
      <c r="Q926" s="5">
        <v>33.04</v>
      </c>
      <c r="R926" s="5" t="s">
        <v>73</v>
      </c>
      <c r="S926" s="5" t="s">
        <v>74</v>
      </c>
      <c r="T926" s="5" t="s">
        <v>159</v>
      </c>
      <c r="U926" s="5" t="s">
        <v>108</v>
      </c>
      <c r="V926" s="5">
        <v>2025</v>
      </c>
      <c r="W926" s="5" t="s">
        <v>126</v>
      </c>
      <c r="X926" s="5">
        <v>2</v>
      </c>
      <c r="Y926" s="1">
        <v>45667</v>
      </c>
      <c r="Z926" s="5" t="s">
        <v>47</v>
      </c>
      <c r="AA926" s="5" t="s">
        <v>67</v>
      </c>
      <c r="AB926" s="5" t="s">
        <v>49</v>
      </c>
      <c r="AC926" s="5" t="s">
        <v>121</v>
      </c>
      <c r="AD926" s="5">
        <v>3</v>
      </c>
    </row>
    <row r="927" spans="1:30">
      <c r="A927" s="5" t="s">
        <v>2093</v>
      </c>
      <c r="B927" s="1">
        <v>45294</v>
      </c>
      <c r="C927" s="5" t="s">
        <v>1671</v>
      </c>
      <c r="D927" s="5" t="s">
        <v>931</v>
      </c>
      <c r="E927" s="5" t="s">
        <v>103</v>
      </c>
      <c r="F927" s="5" t="s">
        <v>56</v>
      </c>
      <c r="G927" s="5" t="s">
        <v>57</v>
      </c>
      <c r="H927" s="5" t="s">
        <v>94</v>
      </c>
      <c r="I927" s="5" t="s">
        <v>71</v>
      </c>
      <c r="J927" s="5" t="s">
        <v>72</v>
      </c>
      <c r="K927" s="5">
        <v>2</v>
      </c>
      <c r="L927" s="5">
        <v>700</v>
      </c>
      <c r="M927" s="5">
        <v>0.2</v>
      </c>
      <c r="N927" s="5">
        <v>1120</v>
      </c>
      <c r="O927" s="5">
        <v>653.09</v>
      </c>
      <c r="P927" s="5">
        <v>466.91</v>
      </c>
      <c r="Q927" s="5">
        <v>41.69</v>
      </c>
      <c r="R927" s="5" t="s">
        <v>41</v>
      </c>
      <c r="S927" s="5" t="s">
        <v>74</v>
      </c>
      <c r="T927" s="5" t="s">
        <v>173</v>
      </c>
      <c r="U927" s="5" t="s">
        <v>178</v>
      </c>
      <c r="V927" s="5">
        <v>2024</v>
      </c>
      <c r="W927" s="5" t="s">
        <v>194</v>
      </c>
      <c r="X927" s="5">
        <v>2</v>
      </c>
      <c r="Y927" s="1">
        <v>45354</v>
      </c>
      <c r="Z927" s="5" t="s">
        <v>89</v>
      </c>
      <c r="AA927" s="5" t="s">
        <v>67</v>
      </c>
      <c r="AB927" s="5" t="s">
        <v>78</v>
      </c>
      <c r="AC927" s="5" t="s">
        <v>50</v>
      </c>
      <c r="AD927" s="5">
        <v>1</v>
      </c>
    </row>
    <row r="928" spans="1:30">
      <c r="A928" s="5" t="s">
        <v>2094</v>
      </c>
      <c r="B928" s="1" t="s">
        <v>1301</v>
      </c>
      <c r="C928" s="5" t="s">
        <v>1341</v>
      </c>
      <c r="D928" s="5" t="s">
        <v>130</v>
      </c>
      <c r="E928" s="5" t="s">
        <v>35</v>
      </c>
      <c r="F928" s="5" t="s">
        <v>56</v>
      </c>
      <c r="G928" s="5" t="s">
        <v>57</v>
      </c>
      <c r="H928" s="5" t="s">
        <v>38</v>
      </c>
      <c r="I928" s="5" t="s">
        <v>95</v>
      </c>
      <c r="J928" s="5" t="s">
        <v>440</v>
      </c>
      <c r="K928" s="5">
        <v>9</v>
      </c>
      <c r="L928" s="5">
        <v>2500</v>
      </c>
      <c r="M928" s="5">
        <v>0.2</v>
      </c>
      <c r="N928" s="5">
        <v>18000</v>
      </c>
      <c r="O928" s="5">
        <v>13847.95</v>
      </c>
      <c r="P928" s="5">
        <v>4152.05</v>
      </c>
      <c r="Q928" s="5">
        <v>23.07</v>
      </c>
      <c r="R928" s="5" t="s">
        <v>41</v>
      </c>
      <c r="S928" s="5" t="s">
        <v>74</v>
      </c>
      <c r="T928" s="5" t="s">
        <v>173</v>
      </c>
      <c r="U928" s="5" t="s">
        <v>76</v>
      </c>
      <c r="V928" s="5">
        <v>2024</v>
      </c>
      <c r="W928" s="5" t="s">
        <v>45</v>
      </c>
      <c r="X928" s="5">
        <v>9</v>
      </c>
      <c r="Y928" s="1" t="s">
        <v>337</v>
      </c>
      <c r="Z928" s="5" t="s">
        <v>47</v>
      </c>
      <c r="AA928" s="5" t="s">
        <v>67</v>
      </c>
      <c r="AB928" s="5" t="s">
        <v>111</v>
      </c>
      <c r="AC928" s="5" t="s">
        <v>121</v>
      </c>
      <c r="AD928" s="5">
        <v>4</v>
      </c>
    </row>
    <row r="929" spans="1:30">
      <c r="A929" s="5" t="s">
        <v>2095</v>
      </c>
      <c r="B929" s="1" t="s">
        <v>32</v>
      </c>
      <c r="C929" s="5" t="s">
        <v>681</v>
      </c>
      <c r="D929" s="5" t="s">
        <v>137</v>
      </c>
      <c r="E929" s="5" t="s">
        <v>35</v>
      </c>
      <c r="F929" s="5" t="s">
        <v>36</v>
      </c>
      <c r="G929" s="5" t="s">
        <v>37</v>
      </c>
      <c r="H929" s="5" t="s">
        <v>171</v>
      </c>
      <c r="I929" s="5" t="s">
        <v>95</v>
      </c>
      <c r="J929" s="5" t="s">
        <v>96</v>
      </c>
      <c r="K929" s="5">
        <v>1</v>
      </c>
      <c r="L929" s="5">
        <v>9000</v>
      </c>
      <c r="M929" s="5">
        <v>0.15</v>
      </c>
      <c r="N929" s="5">
        <v>7650</v>
      </c>
      <c r="O929" s="5">
        <v>5161.6499999999996</v>
      </c>
      <c r="P929" s="5">
        <v>2488.35</v>
      </c>
      <c r="Q929" s="5">
        <v>32.53</v>
      </c>
      <c r="R929" s="5" t="s">
        <v>61</v>
      </c>
      <c r="S929" s="5" t="s">
        <v>42</v>
      </c>
      <c r="T929" s="5" t="s">
        <v>159</v>
      </c>
      <c r="U929" s="5" t="s">
        <v>44</v>
      </c>
      <c r="V929" s="5">
        <v>2024</v>
      </c>
      <c r="W929" s="5" t="s">
        <v>45</v>
      </c>
      <c r="X929" s="5">
        <v>4</v>
      </c>
      <c r="Y929" s="1" t="s">
        <v>723</v>
      </c>
      <c r="Z929" s="5" t="s">
        <v>47</v>
      </c>
      <c r="AA929" s="5" t="s">
        <v>67</v>
      </c>
      <c r="AB929" s="5" t="s">
        <v>78</v>
      </c>
      <c r="AC929" s="5" t="s">
        <v>121</v>
      </c>
      <c r="AD929" s="5">
        <v>4</v>
      </c>
    </row>
    <row r="930" spans="1:30">
      <c r="A930" s="5" t="s">
        <v>2096</v>
      </c>
      <c r="B930" s="1" t="s">
        <v>982</v>
      </c>
      <c r="C930" s="5" t="s">
        <v>2033</v>
      </c>
      <c r="D930" s="5" t="s">
        <v>130</v>
      </c>
      <c r="E930" s="5" t="s">
        <v>55</v>
      </c>
      <c r="F930" s="5" t="s">
        <v>245</v>
      </c>
      <c r="G930" s="5" t="s">
        <v>246</v>
      </c>
      <c r="H930" s="5" t="s">
        <v>94</v>
      </c>
      <c r="I930" s="5" t="s">
        <v>39</v>
      </c>
      <c r="J930" s="5" t="s">
        <v>105</v>
      </c>
      <c r="K930" s="5">
        <v>1</v>
      </c>
      <c r="L930" s="5">
        <v>8000</v>
      </c>
      <c r="M930" s="5">
        <v>0.2</v>
      </c>
      <c r="N930" s="5">
        <v>6400</v>
      </c>
      <c r="O930" s="5">
        <v>4438.76</v>
      </c>
      <c r="P930" s="5">
        <v>1961.24</v>
      </c>
      <c r="Q930" s="5">
        <v>30.64</v>
      </c>
      <c r="R930" s="5" t="s">
        <v>41</v>
      </c>
      <c r="S930" s="5" t="s">
        <v>62</v>
      </c>
      <c r="T930" s="5" t="s">
        <v>138</v>
      </c>
      <c r="U930" s="5" t="s">
        <v>178</v>
      </c>
      <c r="V930" s="5">
        <v>2025</v>
      </c>
      <c r="W930" s="5" t="s">
        <v>194</v>
      </c>
      <c r="X930" s="5">
        <v>3</v>
      </c>
      <c r="Y930" s="1" t="s">
        <v>305</v>
      </c>
      <c r="Z930" s="5" t="s">
        <v>47</v>
      </c>
      <c r="AA930" s="5" t="s">
        <v>90</v>
      </c>
      <c r="AB930" s="5" t="s">
        <v>49</v>
      </c>
      <c r="AC930" s="5" t="s">
        <v>121</v>
      </c>
      <c r="AD930" s="5">
        <v>5</v>
      </c>
    </row>
    <row r="931" spans="1:30">
      <c r="A931" s="5" t="s">
        <v>2097</v>
      </c>
      <c r="B931" s="1">
        <v>45541</v>
      </c>
      <c r="C931" s="5" t="s">
        <v>846</v>
      </c>
      <c r="D931" s="5" t="s">
        <v>1370</v>
      </c>
      <c r="E931" s="5" t="s">
        <v>35</v>
      </c>
      <c r="F931" s="5" t="s">
        <v>104</v>
      </c>
      <c r="G931" s="5" t="s">
        <v>104</v>
      </c>
      <c r="H931" s="5" t="s">
        <v>58</v>
      </c>
      <c r="I931" s="5" t="s">
        <v>84</v>
      </c>
      <c r="J931" s="5" t="s">
        <v>85</v>
      </c>
      <c r="K931" s="5">
        <v>4</v>
      </c>
      <c r="L931" s="5">
        <v>800</v>
      </c>
      <c r="M931" s="5">
        <v>0.15</v>
      </c>
      <c r="N931" s="5">
        <v>2720</v>
      </c>
      <c r="O931" s="5">
        <v>2111.67</v>
      </c>
      <c r="P931" s="5">
        <v>608.33000000000004</v>
      </c>
      <c r="Q931" s="5">
        <v>22.37</v>
      </c>
      <c r="R931" s="5" t="s">
        <v>61</v>
      </c>
      <c r="S931" s="5" t="s">
        <v>42</v>
      </c>
      <c r="T931" s="5" t="s">
        <v>173</v>
      </c>
      <c r="U931" s="5" t="s">
        <v>160</v>
      </c>
      <c r="V931" s="5">
        <v>2024</v>
      </c>
      <c r="W931" s="5" t="s">
        <v>45</v>
      </c>
      <c r="X931" s="5">
        <v>8</v>
      </c>
      <c r="Y931" s="1" t="s">
        <v>153</v>
      </c>
      <c r="Z931" s="5" t="s">
        <v>47</v>
      </c>
      <c r="AA931" s="5" t="s">
        <v>48</v>
      </c>
      <c r="AB931" s="5" t="s">
        <v>49</v>
      </c>
      <c r="AC931" s="5" t="s">
        <v>121</v>
      </c>
      <c r="AD931" s="5">
        <v>4</v>
      </c>
    </row>
    <row r="932" spans="1:30">
      <c r="A932" s="5" t="s">
        <v>2098</v>
      </c>
      <c r="B932" s="1">
        <v>45964</v>
      </c>
      <c r="C932" s="5" t="s">
        <v>114</v>
      </c>
      <c r="D932" s="5" t="s">
        <v>1220</v>
      </c>
      <c r="E932" s="5" t="s">
        <v>35</v>
      </c>
      <c r="F932" s="5" t="s">
        <v>104</v>
      </c>
      <c r="G932" s="5" t="s">
        <v>104</v>
      </c>
      <c r="H932" s="5" t="s">
        <v>58</v>
      </c>
      <c r="I932" s="5" t="s">
        <v>39</v>
      </c>
      <c r="J932" s="5" t="s">
        <v>356</v>
      </c>
      <c r="K932" s="5">
        <v>5</v>
      </c>
      <c r="L932" s="5">
        <v>22000</v>
      </c>
      <c r="M932" s="5">
        <v>0.15</v>
      </c>
      <c r="N932" s="5">
        <v>93500</v>
      </c>
      <c r="O932" s="5">
        <v>75788.47</v>
      </c>
      <c r="P932" s="5">
        <v>17711.53</v>
      </c>
      <c r="Q932" s="5">
        <v>18.940000000000001</v>
      </c>
      <c r="R932" s="5" t="s">
        <v>106</v>
      </c>
      <c r="S932" s="5" t="s">
        <v>62</v>
      </c>
      <c r="T932" s="5" t="s">
        <v>63</v>
      </c>
      <c r="U932" s="5" t="s">
        <v>178</v>
      </c>
      <c r="V932" s="5">
        <v>2025</v>
      </c>
      <c r="W932" s="5" t="s">
        <v>109</v>
      </c>
      <c r="X932" s="5">
        <v>2</v>
      </c>
      <c r="Y932" s="1" t="s">
        <v>663</v>
      </c>
      <c r="Z932" s="5" t="s">
        <v>47</v>
      </c>
      <c r="AA932" s="5" t="s">
        <v>67</v>
      </c>
      <c r="AB932" s="5" t="s">
        <v>111</v>
      </c>
      <c r="AC932" s="5" t="s">
        <v>50</v>
      </c>
      <c r="AD932" s="5">
        <v>1</v>
      </c>
    </row>
    <row r="933" spans="1:30">
      <c r="A933" s="5" t="s">
        <v>2099</v>
      </c>
      <c r="B933" s="1">
        <v>45937</v>
      </c>
      <c r="C933" s="5" t="s">
        <v>629</v>
      </c>
      <c r="D933" s="5" t="s">
        <v>252</v>
      </c>
      <c r="E933" s="5" t="s">
        <v>35</v>
      </c>
      <c r="F933" s="5" t="s">
        <v>116</v>
      </c>
      <c r="G933" s="5" t="s">
        <v>37</v>
      </c>
      <c r="H933" s="5" t="s">
        <v>171</v>
      </c>
      <c r="I933" s="5" t="s">
        <v>39</v>
      </c>
      <c r="J933" s="5" t="s">
        <v>356</v>
      </c>
      <c r="K933" s="5">
        <v>5</v>
      </c>
      <c r="L933" s="5">
        <v>35000</v>
      </c>
      <c r="M933" s="5">
        <v>0.05</v>
      </c>
      <c r="N933" s="5">
        <v>166250</v>
      </c>
      <c r="O933" s="5">
        <v>128269.82</v>
      </c>
      <c r="P933" s="5">
        <v>37980.18</v>
      </c>
      <c r="Q933" s="5">
        <v>22.85</v>
      </c>
      <c r="R933" s="5" t="s">
        <v>73</v>
      </c>
      <c r="S933" s="5" t="s">
        <v>42</v>
      </c>
      <c r="T933" s="5" t="s">
        <v>173</v>
      </c>
      <c r="U933" s="5" t="s">
        <v>151</v>
      </c>
      <c r="V933" s="5">
        <v>2025</v>
      </c>
      <c r="W933" s="5" t="s">
        <v>139</v>
      </c>
      <c r="X933" s="5">
        <v>9</v>
      </c>
      <c r="Y933" s="1" t="s">
        <v>2031</v>
      </c>
      <c r="Z933" s="5" t="s">
        <v>47</v>
      </c>
      <c r="AA933" s="5" t="s">
        <v>67</v>
      </c>
      <c r="AB933" s="5" t="s">
        <v>49</v>
      </c>
      <c r="AC933" s="5" t="s">
        <v>121</v>
      </c>
      <c r="AD933" s="5">
        <v>3</v>
      </c>
    </row>
    <row r="934" spans="1:30">
      <c r="A934" s="5" t="s">
        <v>2100</v>
      </c>
      <c r="B934" s="1" t="s">
        <v>734</v>
      </c>
      <c r="C934" s="5" t="s">
        <v>169</v>
      </c>
      <c r="D934" s="5" t="s">
        <v>455</v>
      </c>
      <c r="E934" s="5" t="s">
        <v>55</v>
      </c>
      <c r="F934" s="5" t="s">
        <v>144</v>
      </c>
      <c r="G934" s="5" t="s">
        <v>145</v>
      </c>
      <c r="H934" s="5" t="s">
        <v>38</v>
      </c>
      <c r="I934" s="5" t="s">
        <v>59</v>
      </c>
      <c r="J934" s="5" t="s">
        <v>372</v>
      </c>
      <c r="K934" s="5">
        <v>1</v>
      </c>
      <c r="L934" s="5">
        <v>3000</v>
      </c>
      <c r="M934" s="5">
        <v>0.1</v>
      </c>
      <c r="N934" s="5">
        <v>2700</v>
      </c>
      <c r="O934" s="5">
        <v>2162.4299999999998</v>
      </c>
      <c r="P934" s="5">
        <v>537.57000000000005</v>
      </c>
      <c r="Q934" s="5">
        <v>19.91</v>
      </c>
      <c r="R934" s="5" t="s">
        <v>106</v>
      </c>
      <c r="S934" s="5" t="s">
        <v>74</v>
      </c>
      <c r="T934" s="5" t="s">
        <v>138</v>
      </c>
      <c r="U934" s="5" t="s">
        <v>87</v>
      </c>
      <c r="V934" s="5">
        <v>2025</v>
      </c>
      <c r="W934" s="5" t="s">
        <v>194</v>
      </c>
      <c r="X934" s="5">
        <v>10</v>
      </c>
      <c r="Y934" s="1">
        <v>45727</v>
      </c>
      <c r="Z934" s="5" t="s">
        <v>110</v>
      </c>
      <c r="AA934" s="5" t="s">
        <v>48</v>
      </c>
      <c r="AB934" s="5" t="s">
        <v>78</v>
      </c>
      <c r="AC934" s="5" t="s">
        <v>121</v>
      </c>
      <c r="AD934" s="5">
        <v>4</v>
      </c>
    </row>
    <row r="935" spans="1:30">
      <c r="A935" s="5" t="s">
        <v>2101</v>
      </c>
      <c r="B935" s="1" t="s">
        <v>431</v>
      </c>
      <c r="C935" s="5" t="s">
        <v>417</v>
      </c>
      <c r="D935" s="5" t="s">
        <v>1282</v>
      </c>
      <c r="E935" s="5" t="s">
        <v>55</v>
      </c>
      <c r="F935" s="5" t="s">
        <v>156</v>
      </c>
      <c r="G935" s="5" t="s">
        <v>157</v>
      </c>
      <c r="H935" s="5" t="s">
        <v>171</v>
      </c>
      <c r="I935" s="5" t="s">
        <v>59</v>
      </c>
      <c r="J935" s="5" t="s">
        <v>372</v>
      </c>
      <c r="K935" s="5">
        <v>5</v>
      </c>
      <c r="L935" s="5">
        <v>500</v>
      </c>
      <c r="M935" s="5">
        <v>0.15</v>
      </c>
      <c r="N935" s="5">
        <v>2125</v>
      </c>
      <c r="O935" s="5">
        <v>1292.8399999999999</v>
      </c>
      <c r="P935" s="5">
        <v>832.16</v>
      </c>
      <c r="Q935" s="5">
        <v>39.159999999999997</v>
      </c>
      <c r="R935" s="5" t="s">
        <v>73</v>
      </c>
      <c r="S935" s="5" t="s">
        <v>74</v>
      </c>
      <c r="T935" s="5" t="s">
        <v>118</v>
      </c>
      <c r="U935" s="5" t="s">
        <v>76</v>
      </c>
      <c r="V935" s="5">
        <v>2025</v>
      </c>
      <c r="W935" s="5" t="s">
        <v>45</v>
      </c>
      <c r="X935" s="5">
        <v>2</v>
      </c>
      <c r="Y935" s="1" t="s">
        <v>1827</v>
      </c>
      <c r="Z935" s="5" t="s">
        <v>47</v>
      </c>
      <c r="AA935" s="5" t="s">
        <v>67</v>
      </c>
      <c r="AB935" s="5" t="s">
        <v>78</v>
      </c>
      <c r="AC935" s="5" t="s">
        <v>121</v>
      </c>
      <c r="AD935" s="5">
        <v>2</v>
      </c>
    </row>
    <row r="936" spans="1:30">
      <c r="A936" s="5" t="s">
        <v>2102</v>
      </c>
      <c r="B936" s="1" t="s">
        <v>1066</v>
      </c>
      <c r="C936" s="5" t="s">
        <v>1183</v>
      </c>
      <c r="D936" s="5" t="s">
        <v>1162</v>
      </c>
      <c r="E936" s="5" t="s">
        <v>55</v>
      </c>
      <c r="F936" s="5" t="s">
        <v>131</v>
      </c>
      <c r="G936" s="5" t="s">
        <v>132</v>
      </c>
      <c r="H936" s="5" t="s">
        <v>38</v>
      </c>
      <c r="I936" s="5" t="s">
        <v>59</v>
      </c>
      <c r="J936" s="5" t="s">
        <v>372</v>
      </c>
      <c r="K936" s="5">
        <v>5</v>
      </c>
      <c r="L936" s="5">
        <v>3000</v>
      </c>
      <c r="M936" s="5">
        <v>0.2</v>
      </c>
      <c r="N936" s="5">
        <v>12000</v>
      </c>
      <c r="O936" s="5">
        <v>9214.7199999999993</v>
      </c>
      <c r="P936" s="5">
        <v>2785.28</v>
      </c>
      <c r="Q936" s="5">
        <v>23.21</v>
      </c>
      <c r="R936" s="5" t="s">
        <v>106</v>
      </c>
      <c r="S936" s="5" t="s">
        <v>74</v>
      </c>
      <c r="T936" s="5" t="s">
        <v>138</v>
      </c>
      <c r="U936" s="5" t="s">
        <v>44</v>
      </c>
      <c r="V936" s="5">
        <v>2024</v>
      </c>
      <c r="W936" s="5" t="s">
        <v>194</v>
      </c>
      <c r="X936" s="5">
        <v>10</v>
      </c>
      <c r="Y936" s="1">
        <v>45448</v>
      </c>
      <c r="Z936" s="5" t="s">
        <v>110</v>
      </c>
      <c r="AA936" s="5" t="s">
        <v>90</v>
      </c>
      <c r="AB936" s="5" t="s">
        <v>111</v>
      </c>
      <c r="AC936" s="5" t="s">
        <v>50</v>
      </c>
      <c r="AD936" s="5">
        <v>5</v>
      </c>
    </row>
    <row r="937" spans="1:30">
      <c r="A937" s="5" t="s">
        <v>2103</v>
      </c>
      <c r="B937" s="1">
        <v>45849</v>
      </c>
      <c r="C937" s="5" t="s">
        <v>880</v>
      </c>
      <c r="D937" s="5" t="s">
        <v>876</v>
      </c>
      <c r="E937" s="5" t="s">
        <v>55</v>
      </c>
      <c r="F937" s="5" t="s">
        <v>245</v>
      </c>
      <c r="G937" s="5" t="s">
        <v>246</v>
      </c>
      <c r="H937" s="5" t="s">
        <v>94</v>
      </c>
      <c r="I937" s="5" t="s">
        <v>39</v>
      </c>
      <c r="J937" s="5" t="s">
        <v>356</v>
      </c>
      <c r="K937" s="5">
        <v>7</v>
      </c>
      <c r="L937" s="5">
        <v>8000</v>
      </c>
      <c r="M937" s="5">
        <v>0.05</v>
      </c>
      <c r="N937" s="5">
        <v>53200</v>
      </c>
      <c r="O937" s="5">
        <v>30625.7</v>
      </c>
      <c r="P937" s="5">
        <v>22574.3</v>
      </c>
      <c r="Q937" s="5">
        <v>42.43</v>
      </c>
      <c r="R937" s="5" t="s">
        <v>73</v>
      </c>
      <c r="S937" s="5" t="s">
        <v>74</v>
      </c>
      <c r="T937" s="5" t="s">
        <v>173</v>
      </c>
      <c r="U937" s="5" t="s">
        <v>198</v>
      </c>
      <c r="V937" s="5">
        <v>2025</v>
      </c>
      <c r="W937" s="5" t="s">
        <v>194</v>
      </c>
      <c r="X937" s="5">
        <v>1</v>
      </c>
      <c r="Y937" s="1">
        <v>45880</v>
      </c>
      <c r="Z937" s="5" t="s">
        <v>47</v>
      </c>
      <c r="AA937" s="5" t="s">
        <v>67</v>
      </c>
      <c r="AB937" s="5" t="s">
        <v>49</v>
      </c>
      <c r="AC937" s="5" t="s">
        <v>50</v>
      </c>
      <c r="AD937" s="5">
        <v>5</v>
      </c>
    </row>
    <row r="938" spans="1:30">
      <c r="A938" s="5" t="s">
        <v>2104</v>
      </c>
      <c r="B938" s="1">
        <v>45664</v>
      </c>
      <c r="C938" s="5" t="s">
        <v>1410</v>
      </c>
      <c r="D938" s="5" t="s">
        <v>361</v>
      </c>
      <c r="E938" s="5" t="s">
        <v>103</v>
      </c>
      <c r="F938" s="5" t="s">
        <v>104</v>
      </c>
      <c r="G938" s="5" t="s">
        <v>104</v>
      </c>
      <c r="H938" s="5" t="s">
        <v>38</v>
      </c>
      <c r="I938" s="5" t="s">
        <v>39</v>
      </c>
      <c r="J938" s="5" t="s">
        <v>165</v>
      </c>
      <c r="K938" s="5">
        <v>7</v>
      </c>
      <c r="L938" s="5">
        <v>15000</v>
      </c>
      <c r="M938" s="5">
        <v>0.1</v>
      </c>
      <c r="N938" s="5">
        <v>94500</v>
      </c>
      <c r="O938" s="5">
        <v>71311.100000000006</v>
      </c>
      <c r="P938" s="5">
        <v>23188.9</v>
      </c>
      <c r="Q938" s="5">
        <v>24.54</v>
      </c>
      <c r="R938" s="5" t="s">
        <v>41</v>
      </c>
      <c r="S938" s="5" t="s">
        <v>62</v>
      </c>
      <c r="T938" s="5" t="s">
        <v>107</v>
      </c>
      <c r="U938" s="5" t="s">
        <v>151</v>
      </c>
      <c r="V938" s="5">
        <v>2025</v>
      </c>
      <c r="W938" s="5" t="s">
        <v>109</v>
      </c>
      <c r="X938" s="5">
        <v>3</v>
      </c>
      <c r="Y938" s="1">
        <v>45754</v>
      </c>
      <c r="Z938" s="5" t="s">
        <v>47</v>
      </c>
      <c r="AA938" s="5" t="s">
        <v>67</v>
      </c>
      <c r="AB938" s="5" t="s">
        <v>78</v>
      </c>
      <c r="AC938" s="5" t="s">
        <v>121</v>
      </c>
      <c r="AD938" s="5">
        <v>5</v>
      </c>
    </row>
    <row r="939" spans="1:30">
      <c r="A939" s="5" t="s">
        <v>2105</v>
      </c>
      <c r="B939" s="1">
        <v>45750</v>
      </c>
      <c r="C939" s="5" t="s">
        <v>1570</v>
      </c>
      <c r="D939" s="5" t="s">
        <v>464</v>
      </c>
      <c r="E939" s="5" t="s">
        <v>35</v>
      </c>
      <c r="F939" s="5" t="s">
        <v>245</v>
      </c>
      <c r="G939" s="5" t="s">
        <v>246</v>
      </c>
      <c r="H939" s="5" t="s">
        <v>94</v>
      </c>
      <c r="I939" s="5" t="s">
        <v>39</v>
      </c>
      <c r="J939" s="5" t="s">
        <v>356</v>
      </c>
      <c r="K939" s="5">
        <v>5</v>
      </c>
      <c r="L939" s="5">
        <v>35000</v>
      </c>
      <c r="M939" s="5">
        <v>0</v>
      </c>
      <c r="N939" s="5">
        <v>175000</v>
      </c>
      <c r="O939" s="5">
        <v>118612.26</v>
      </c>
      <c r="P939" s="5">
        <v>56387.74</v>
      </c>
      <c r="Q939" s="5">
        <v>32.22</v>
      </c>
      <c r="R939" s="5" t="s">
        <v>41</v>
      </c>
      <c r="S939" s="5" t="s">
        <v>74</v>
      </c>
      <c r="T939" s="5" t="s">
        <v>159</v>
      </c>
      <c r="U939" s="5" t="s">
        <v>178</v>
      </c>
      <c r="V939" s="5">
        <v>2025</v>
      </c>
      <c r="W939" s="5" t="s">
        <v>109</v>
      </c>
      <c r="X939" s="5">
        <v>8</v>
      </c>
      <c r="Y939" s="1">
        <v>45994</v>
      </c>
      <c r="Z939" s="5" t="s">
        <v>47</v>
      </c>
      <c r="AA939" s="5" t="s">
        <v>48</v>
      </c>
      <c r="AB939" s="5" t="s">
        <v>78</v>
      </c>
      <c r="AC939" s="5" t="s">
        <v>121</v>
      </c>
      <c r="AD939" s="5">
        <v>1</v>
      </c>
    </row>
    <row r="940" spans="1:30">
      <c r="A940" s="5" t="s">
        <v>2106</v>
      </c>
      <c r="B940" s="1">
        <v>45817</v>
      </c>
      <c r="C940" s="5" t="s">
        <v>1849</v>
      </c>
      <c r="D940" s="5" t="s">
        <v>1342</v>
      </c>
      <c r="E940" s="5" t="s">
        <v>55</v>
      </c>
      <c r="F940" s="5" t="s">
        <v>245</v>
      </c>
      <c r="G940" s="5" t="s">
        <v>246</v>
      </c>
      <c r="H940" s="5" t="s">
        <v>94</v>
      </c>
      <c r="I940" s="5" t="s">
        <v>59</v>
      </c>
      <c r="J940" s="5" t="s">
        <v>133</v>
      </c>
      <c r="K940" s="5">
        <v>10</v>
      </c>
      <c r="L940" s="5">
        <v>1200</v>
      </c>
      <c r="M940" s="5">
        <v>0.05</v>
      </c>
      <c r="N940" s="5">
        <v>11400</v>
      </c>
      <c r="O940" s="5">
        <v>9051.93</v>
      </c>
      <c r="P940" s="5">
        <v>2348.0700000000002</v>
      </c>
      <c r="Q940" s="5">
        <v>20.6</v>
      </c>
      <c r="R940" s="5" t="s">
        <v>106</v>
      </c>
      <c r="S940" s="5" t="s">
        <v>62</v>
      </c>
      <c r="T940" s="5" t="s">
        <v>43</v>
      </c>
      <c r="U940" s="5" t="s">
        <v>108</v>
      </c>
      <c r="V940" s="5">
        <v>2025</v>
      </c>
      <c r="W940" s="5" t="s">
        <v>65</v>
      </c>
      <c r="X940" s="5">
        <v>7</v>
      </c>
      <c r="Y940" s="1" t="s">
        <v>1423</v>
      </c>
      <c r="Z940" s="5" t="s">
        <v>89</v>
      </c>
      <c r="AA940" s="5" t="s">
        <v>48</v>
      </c>
      <c r="AB940" s="5" t="s">
        <v>78</v>
      </c>
      <c r="AC940" s="5" t="s">
        <v>121</v>
      </c>
      <c r="AD940" s="5">
        <v>1</v>
      </c>
    </row>
    <row r="941" spans="1:30">
      <c r="A941" s="5" t="s">
        <v>2107</v>
      </c>
      <c r="B941" s="1" t="s">
        <v>663</v>
      </c>
      <c r="C941" s="5" t="s">
        <v>1441</v>
      </c>
      <c r="D941" s="5" t="s">
        <v>1002</v>
      </c>
      <c r="E941" s="5" t="s">
        <v>55</v>
      </c>
      <c r="F941" s="5" t="s">
        <v>116</v>
      </c>
      <c r="G941" s="5" t="s">
        <v>37</v>
      </c>
      <c r="H941" s="5" t="s">
        <v>171</v>
      </c>
      <c r="I941" s="5" t="s">
        <v>39</v>
      </c>
      <c r="J941" s="5" t="s">
        <v>165</v>
      </c>
      <c r="K941" s="5">
        <v>7</v>
      </c>
      <c r="L941" s="5">
        <v>8000</v>
      </c>
      <c r="M941" s="5">
        <v>0.1</v>
      </c>
      <c r="N941" s="5">
        <v>50400</v>
      </c>
      <c r="O941" s="5">
        <v>39961.58</v>
      </c>
      <c r="P941" s="5">
        <v>10438.42</v>
      </c>
      <c r="Q941" s="5">
        <v>20.71</v>
      </c>
      <c r="R941" s="5" t="s">
        <v>41</v>
      </c>
      <c r="S941" s="5" t="s">
        <v>42</v>
      </c>
      <c r="T941" s="5" t="s">
        <v>86</v>
      </c>
      <c r="U941" s="5" t="s">
        <v>178</v>
      </c>
      <c r="V941" s="5">
        <v>2025</v>
      </c>
      <c r="W941" s="5" t="s">
        <v>139</v>
      </c>
      <c r="X941" s="5">
        <v>1</v>
      </c>
      <c r="Y941" s="1" t="s">
        <v>1443</v>
      </c>
      <c r="Z941" s="5" t="s">
        <v>110</v>
      </c>
      <c r="AA941" s="5" t="s">
        <v>67</v>
      </c>
      <c r="AB941" s="5" t="s">
        <v>111</v>
      </c>
      <c r="AC941" s="5" t="s">
        <v>50</v>
      </c>
      <c r="AD941" s="5">
        <v>3</v>
      </c>
    </row>
    <row r="942" spans="1:30">
      <c r="A942" s="5" t="s">
        <v>2108</v>
      </c>
      <c r="B942" s="1" t="s">
        <v>1960</v>
      </c>
      <c r="C942" s="5" t="s">
        <v>971</v>
      </c>
      <c r="D942" s="5" t="s">
        <v>115</v>
      </c>
      <c r="E942" s="5" t="s">
        <v>103</v>
      </c>
      <c r="F942" s="5" t="s">
        <v>36</v>
      </c>
      <c r="G942" s="5" t="s">
        <v>37</v>
      </c>
      <c r="H942" s="5" t="s">
        <v>94</v>
      </c>
      <c r="I942" s="5" t="s">
        <v>71</v>
      </c>
      <c r="J942" s="5" t="s">
        <v>172</v>
      </c>
      <c r="K942" s="5">
        <v>7</v>
      </c>
      <c r="L942" s="5">
        <v>1200</v>
      </c>
      <c r="M942" s="5">
        <v>0.1</v>
      </c>
      <c r="N942" s="5">
        <v>7560</v>
      </c>
      <c r="O942" s="5">
        <v>6048.61</v>
      </c>
      <c r="P942" s="5">
        <v>1511.39</v>
      </c>
      <c r="Q942" s="5">
        <v>19.989999999999998</v>
      </c>
      <c r="R942" s="5" t="s">
        <v>166</v>
      </c>
      <c r="S942" s="5" t="s">
        <v>42</v>
      </c>
      <c r="T942" s="5" t="s">
        <v>86</v>
      </c>
      <c r="U942" s="5" t="s">
        <v>87</v>
      </c>
      <c r="V942" s="5">
        <v>2025</v>
      </c>
      <c r="W942" s="5" t="s">
        <v>194</v>
      </c>
      <c r="X942" s="5">
        <v>1</v>
      </c>
      <c r="Y942" s="1" t="s">
        <v>1729</v>
      </c>
      <c r="Z942" s="5" t="s">
        <v>89</v>
      </c>
      <c r="AA942" s="5" t="s">
        <v>48</v>
      </c>
      <c r="AB942" s="5" t="s">
        <v>78</v>
      </c>
      <c r="AC942" s="5" t="s">
        <v>50</v>
      </c>
      <c r="AD942" s="5">
        <v>1</v>
      </c>
    </row>
    <row r="943" spans="1:30">
      <c r="A943" s="5" t="s">
        <v>2109</v>
      </c>
      <c r="B943" s="1" t="s">
        <v>359</v>
      </c>
      <c r="C943" s="5" t="s">
        <v>2110</v>
      </c>
      <c r="D943" s="5" t="s">
        <v>1424</v>
      </c>
      <c r="E943" s="5" t="s">
        <v>35</v>
      </c>
      <c r="F943" s="5" t="s">
        <v>116</v>
      </c>
      <c r="G943" s="5" t="s">
        <v>37</v>
      </c>
      <c r="H943" s="5" t="s">
        <v>171</v>
      </c>
      <c r="I943" s="5" t="s">
        <v>71</v>
      </c>
      <c r="J943" s="5" t="s">
        <v>172</v>
      </c>
      <c r="K943" s="5">
        <v>5</v>
      </c>
      <c r="L943" s="5">
        <v>1200</v>
      </c>
      <c r="M943" s="5">
        <v>0</v>
      </c>
      <c r="N943" s="5">
        <v>6000</v>
      </c>
      <c r="O943" s="5">
        <v>4208.55</v>
      </c>
      <c r="P943" s="5">
        <v>1791.45</v>
      </c>
      <c r="Q943" s="5">
        <v>29.86</v>
      </c>
      <c r="R943" s="5" t="s">
        <v>41</v>
      </c>
      <c r="S943" s="5" t="s">
        <v>74</v>
      </c>
      <c r="T943" s="5" t="s">
        <v>75</v>
      </c>
      <c r="U943" s="5" t="s">
        <v>178</v>
      </c>
      <c r="V943" s="5">
        <v>2025</v>
      </c>
      <c r="W943" s="5" t="s">
        <v>45</v>
      </c>
      <c r="X943" s="5">
        <v>1</v>
      </c>
      <c r="Y943" s="1" t="s">
        <v>1190</v>
      </c>
      <c r="Z943" s="5" t="s">
        <v>47</v>
      </c>
      <c r="AA943" s="5" t="s">
        <v>67</v>
      </c>
      <c r="AB943" s="5" t="s">
        <v>111</v>
      </c>
      <c r="AC943" s="5" t="s">
        <v>121</v>
      </c>
      <c r="AD943" s="5">
        <v>1</v>
      </c>
    </row>
    <row r="944" spans="1:30">
      <c r="A944" s="5" t="s">
        <v>2111</v>
      </c>
      <c r="B944" s="1" t="s">
        <v>583</v>
      </c>
      <c r="C944" s="5" t="s">
        <v>1295</v>
      </c>
      <c r="D944" s="5" t="s">
        <v>1353</v>
      </c>
      <c r="E944" s="5" t="s">
        <v>55</v>
      </c>
      <c r="F944" s="5" t="s">
        <v>131</v>
      </c>
      <c r="G944" s="5" t="s">
        <v>132</v>
      </c>
      <c r="H944" s="5" t="s">
        <v>94</v>
      </c>
      <c r="I944" s="5" t="s">
        <v>59</v>
      </c>
      <c r="J944" s="5" t="s">
        <v>206</v>
      </c>
      <c r="K944" s="5">
        <v>5</v>
      </c>
      <c r="L944" s="5">
        <v>3000</v>
      </c>
      <c r="M944" s="5">
        <v>0.15</v>
      </c>
      <c r="N944" s="5">
        <v>12750</v>
      </c>
      <c r="O944" s="5">
        <v>9126.4699999999993</v>
      </c>
      <c r="P944" s="5">
        <v>3623.53</v>
      </c>
      <c r="Q944" s="5">
        <v>28.42</v>
      </c>
      <c r="R944" s="5" t="s">
        <v>73</v>
      </c>
      <c r="S944" s="5" t="s">
        <v>42</v>
      </c>
      <c r="T944" s="5" t="s">
        <v>138</v>
      </c>
      <c r="U944" s="5" t="s">
        <v>160</v>
      </c>
      <c r="V944" s="5">
        <v>2025</v>
      </c>
      <c r="W944" s="5" t="s">
        <v>45</v>
      </c>
      <c r="X944" s="5">
        <v>9</v>
      </c>
      <c r="Y944" s="1">
        <v>45876</v>
      </c>
      <c r="Z944" s="5" t="s">
        <v>47</v>
      </c>
      <c r="AA944" s="5" t="s">
        <v>48</v>
      </c>
      <c r="AB944" s="5" t="s">
        <v>111</v>
      </c>
      <c r="AC944" s="5" t="s">
        <v>121</v>
      </c>
      <c r="AD944" s="5">
        <v>4</v>
      </c>
    </row>
    <row r="945" spans="1:30">
      <c r="A945" s="5" t="s">
        <v>2112</v>
      </c>
      <c r="B945" s="1">
        <v>45481</v>
      </c>
      <c r="C945" s="5" t="s">
        <v>1262</v>
      </c>
      <c r="D945" s="5" t="s">
        <v>355</v>
      </c>
      <c r="E945" s="5" t="s">
        <v>103</v>
      </c>
      <c r="F945" s="5" t="s">
        <v>104</v>
      </c>
      <c r="G945" s="5" t="s">
        <v>104</v>
      </c>
      <c r="H945" s="5" t="s">
        <v>38</v>
      </c>
      <c r="I945" s="5" t="s">
        <v>59</v>
      </c>
      <c r="J945" s="5" t="s">
        <v>328</v>
      </c>
      <c r="K945" s="5">
        <v>2</v>
      </c>
      <c r="L945" s="5">
        <v>1200</v>
      </c>
      <c r="M945" s="5">
        <v>0</v>
      </c>
      <c r="N945" s="5">
        <v>2400</v>
      </c>
      <c r="O945" s="5">
        <v>1900.65</v>
      </c>
      <c r="P945" s="5">
        <v>499.35</v>
      </c>
      <c r="Q945" s="5">
        <v>20.81</v>
      </c>
      <c r="R945" s="5" t="s">
        <v>73</v>
      </c>
      <c r="S945" s="5" t="s">
        <v>42</v>
      </c>
      <c r="T945" s="5" t="s">
        <v>75</v>
      </c>
      <c r="U945" s="5" t="s">
        <v>218</v>
      </c>
      <c r="V945" s="5">
        <v>2024</v>
      </c>
      <c r="W945" s="5" t="s">
        <v>134</v>
      </c>
      <c r="X945" s="5">
        <v>2</v>
      </c>
      <c r="Y945" s="1">
        <v>45543</v>
      </c>
      <c r="Z945" s="5" t="s">
        <v>89</v>
      </c>
      <c r="AA945" s="5" t="s">
        <v>90</v>
      </c>
      <c r="AB945" s="5" t="s">
        <v>49</v>
      </c>
      <c r="AC945" s="5" t="s">
        <v>121</v>
      </c>
      <c r="AD945" s="5">
        <v>4</v>
      </c>
    </row>
    <row r="946" spans="1:30">
      <c r="A946" s="5" t="s">
        <v>2113</v>
      </c>
      <c r="B946" s="1" t="s">
        <v>845</v>
      </c>
      <c r="C946" s="5" t="s">
        <v>709</v>
      </c>
      <c r="D946" s="5" t="s">
        <v>1665</v>
      </c>
      <c r="E946" s="5" t="s">
        <v>103</v>
      </c>
      <c r="F946" s="5" t="s">
        <v>156</v>
      </c>
      <c r="G946" s="5" t="s">
        <v>157</v>
      </c>
      <c r="H946" s="5" t="s">
        <v>58</v>
      </c>
      <c r="I946" s="5" t="s">
        <v>39</v>
      </c>
      <c r="J946" s="5" t="s">
        <v>40</v>
      </c>
      <c r="K946" s="5">
        <v>3</v>
      </c>
      <c r="L946" s="5">
        <v>12000</v>
      </c>
      <c r="M946" s="5">
        <v>0</v>
      </c>
      <c r="N946" s="5">
        <v>36000</v>
      </c>
      <c r="O946" s="5">
        <v>24767.34</v>
      </c>
      <c r="P946" s="5">
        <v>11232.66</v>
      </c>
      <c r="Q946" s="5">
        <v>31.2</v>
      </c>
      <c r="R946" s="5" t="s">
        <v>73</v>
      </c>
      <c r="S946" s="5" t="s">
        <v>62</v>
      </c>
      <c r="T946" s="5" t="s">
        <v>159</v>
      </c>
      <c r="U946" s="5" t="s">
        <v>108</v>
      </c>
      <c r="V946" s="5">
        <v>2024</v>
      </c>
      <c r="W946" s="5" t="s">
        <v>109</v>
      </c>
      <c r="X946" s="5">
        <v>6</v>
      </c>
      <c r="Y946" s="1" t="s">
        <v>789</v>
      </c>
      <c r="Z946" s="5" t="s">
        <v>89</v>
      </c>
      <c r="AA946" s="5" t="s">
        <v>67</v>
      </c>
      <c r="AB946" s="5" t="s">
        <v>78</v>
      </c>
      <c r="AC946" s="5" t="s">
        <v>121</v>
      </c>
      <c r="AD946" s="5">
        <v>3</v>
      </c>
    </row>
    <row r="947" spans="1:30">
      <c r="A947" s="5" t="s">
        <v>2114</v>
      </c>
      <c r="B947" s="1" t="s">
        <v>1565</v>
      </c>
      <c r="C947" s="5" t="s">
        <v>1815</v>
      </c>
      <c r="D947" s="5" t="s">
        <v>1560</v>
      </c>
      <c r="E947" s="5" t="s">
        <v>35</v>
      </c>
      <c r="F947" s="5" t="s">
        <v>36</v>
      </c>
      <c r="G947" s="5" t="s">
        <v>37</v>
      </c>
      <c r="H947" s="5" t="s">
        <v>94</v>
      </c>
      <c r="I947" s="5" t="s">
        <v>59</v>
      </c>
      <c r="J947" s="5" t="s">
        <v>328</v>
      </c>
      <c r="K947" s="5">
        <v>7</v>
      </c>
      <c r="L947" s="5">
        <v>1200</v>
      </c>
      <c r="M947" s="5">
        <v>0</v>
      </c>
      <c r="N947" s="5">
        <v>8400</v>
      </c>
      <c r="O947" s="5">
        <v>4684.08</v>
      </c>
      <c r="P947" s="5">
        <v>3715.92</v>
      </c>
      <c r="Q947" s="5">
        <v>44.24</v>
      </c>
      <c r="R947" s="5" t="s">
        <v>166</v>
      </c>
      <c r="S947" s="5" t="s">
        <v>42</v>
      </c>
      <c r="T947" s="5" t="s">
        <v>173</v>
      </c>
      <c r="U947" s="5" t="s">
        <v>151</v>
      </c>
      <c r="V947" s="5">
        <v>2024</v>
      </c>
      <c r="W947" s="5" t="s">
        <v>109</v>
      </c>
      <c r="X947" s="5">
        <v>5</v>
      </c>
      <c r="Y947" s="1" t="s">
        <v>1451</v>
      </c>
      <c r="Z947" s="5" t="s">
        <v>47</v>
      </c>
      <c r="AA947" s="5" t="s">
        <v>48</v>
      </c>
      <c r="AB947" s="5" t="s">
        <v>49</v>
      </c>
      <c r="AC947" s="5" t="s">
        <v>50</v>
      </c>
      <c r="AD947" s="5">
        <v>5</v>
      </c>
    </row>
    <row r="948" spans="1:30">
      <c r="A948" s="5" t="s">
        <v>2115</v>
      </c>
      <c r="B948" s="1">
        <v>45352</v>
      </c>
      <c r="C948" s="5" t="s">
        <v>2116</v>
      </c>
      <c r="D948" s="5" t="s">
        <v>1551</v>
      </c>
      <c r="E948" s="5" t="s">
        <v>35</v>
      </c>
      <c r="F948" s="5" t="s">
        <v>131</v>
      </c>
      <c r="G948" s="5" t="s">
        <v>132</v>
      </c>
      <c r="H948" s="5" t="s">
        <v>94</v>
      </c>
      <c r="I948" s="5" t="s">
        <v>59</v>
      </c>
      <c r="J948" s="5" t="s">
        <v>372</v>
      </c>
      <c r="K948" s="5">
        <v>1</v>
      </c>
      <c r="L948" s="5">
        <v>3000</v>
      </c>
      <c r="M948" s="5">
        <v>0.2</v>
      </c>
      <c r="N948" s="5">
        <v>2400</v>
      </c>
      <c r="O948" s="5">
        <v>1860</v>
      </c>
      <c r="P948" s="5">
        <v>540</v>
      </c>
      <c r="Q948" s="5">
        <v>22.5</v>
      </c>
      <c r="R948" s="5" t="s">
        <v>61</v>
      </c>
      <c r="S948" s="5" t="s">
        <v>62</v>
      </c>
      <c r="T948" s="5" t="s">
        <v>107</v>
      </c>
      <c r="U948" s="5" t="s">
        <v>76</v>
      </c>
      <c r="V948" s="5">
        <v>2024</v>
      </c>
      <c r="W948" s="5" t="s">
        <v>134</v>
      </c>
      <c r="X948" s="5">
        <v>7</v>
      </c>
      <c r="Y948" s="1">
        <v>45566</v>
      </c>
      <c r="Z948" s="5" t="s">
        <v>110</v>
      </c>
      <c r="AA948" s="5" t="s">
        <v>90</v>
      </c>
      <c r="AB948" s="5" t="s">
        <v>49</v>
      </c>
      <c r="AC948" s="5" t="s">
        <v>50</v>
      </c>
      <c r="AD948" s="5">
        <v>5</v>
      </c>
    </row>
    <row r="949" spans="1:30">
      <c r="A949" s="5" t="s">
        <v>2117</v>
      </c>
      <c r="B949" s="1" t="s">
        <v>1679</v>
      </c>
      <c r="C949" s="5" t="s">
        <v>1262</v>
      </c>
      <c r="D949" s="5" t="s">
        <v>1243</v>
      </c>
      <c r="E949" s="5" t="s">
        <v>103</v>
      </c>
      <c r="F949" s="5" t="s">
        <v>245</v>
      </c>
      <c r="G949" s="5" t="s">
        <v>246</v>
      </c>
      <c r="H949" s="5" t="s">
        <v>94</v>
      </c>
      <c r="I949" s="5" t="s">
        <v>71</v>
      </c>
      <c r="J949" s="5" t="s">
        <v>158</v>
      </c>
      <c r="K949" s="5">
        <v>5</v>
      </c>
      <c r="L949" s="5">
        <v>3500</v>
      </c>
      <c r="M949" s="5">
        <v>0.15</v>
      </c>
      <c r="N949" s="5">
        <v>14875</v>
      </c>
      <c r="O949" s="5">
        <v>11413.39</v>
      </c>
      <c r="P949" s="5">
        <v>3461.61</v>
      </c>
      <c r="Q949" s="5">
        <v>23.27</v>
      </c>
      <c r="R949" s="5" t="s">
        <v>61</v>
      </c>
      <c r="S949" s="5" t="s">
        <v>42</v>
      </c>
      <c r="T949" s="5" t="s">
        <v>75</v>
      </c>
      <c r="U949" s="5" t="s">
        <v>108</v>
      </c>
      <c r="V949" s="5">
        <v>2025</v>
      </c>
      <c r="W949" s="5" t="s">
        <v>109</v>
      </c>
      <c r="X949" s="5">
        <v>9</v>
      </c>
      <c r="Y949" s="1">
        <v>45698</v>
      </c>
      <c r="Z949" s="5" t="s">
        <v>89</v>
      </c>
      <c r="AA949" s="5" t="s">
        <v>48</v>
      </c>
      <c r="AB949" s="5" t="s">
        <v>78</v>
      </c>
      <c r="AC949" s="5" t="s">
        <v>121</v>
      </c>
      <c r="AD949" s="5">
        <v>3</v>
      </c>
    </row>
    <row r="950" spans="1:30">
      <c r="A950" s="5" t="s">
        <v>2118</v>
      </c>
      <c r="B950" s="1">
        <v>45478</v>
      </c>
      <c r="C950" s="5" t="s">
        <v>916</v>
      </c>
      <c r="D950" s="5" t="s">
        <v>737</v>
      </c>
      <c r="E950" s="5" t="s">
        <v>103</v>
      </c>
      <c r="F950" s="5" t="s">
        <v>82</v>
      </c>
      <c r="G950" s="5" t="s">
        <v>83</v>
      </c>
      <c r="H950" s="5" t="s">
        <v>94</v>
      </c>
      <c r="I950" s="5" t="s">
        <v>59</v>
      </c>
      <c r="J950" s="5" t="s">
        <v>60</v>
      </c>
      <c r="K950" s="5">
        <v>6</v>
      </c>
      <c r="L950" s="5">
        <v>500</v>
      </c>
      <c r="M950" s="5">
        <v>0</v>
      </c>
      <c r="N950" s="5">
        <v>3000</v>
      </c>
      <c r="O950" s="5">
        <v>2235.13</v>
      </c>
      <c r="P950" s="5">
        <v>764.87</v>
      </c>
      <c r="Q950" s="5">
        <v>25.5</v>
      </c>
      <c r="R950" s="5" t="s">
        <v>61</v>
      </c>
      <c r="S950" s="5" t="s">
        <v>74</v>
      </c>
      <c r="T950" s="5" t="s">
        <v>75</v>
      </c>
      <c r="U950" s="5" t="s">
        <v>119</v>
      </c>
      <c r="V950" s="5">
        <v>2024</v>
      </c>
      <c r="W950" s="5" t="s">
        <v>109</v>
      </c>
      <c r="X950" s="5">
        <v>10</v>
      </c>
      <c r="Y950" s="1" t="s">
        <v>465</v>
      </c>
      <c r="Z950" s="5" t="s">
        <v>47</v>
      </c>
      <c r="AA950" s="5" t="s">
        <v>48</v>
      </c>
      <c r="AB950" s="5" t="s">
        <v>49</v>
      </c>
      <c r="AC950" s="5" t="s">
        <v>50</v>
      </c>
      <c r="AD950" s="5">
        <v>1</v>
      </c>
    </row>
    <row r="951" spans="1:30">
      <c r="A951" s="5" t="s">
        <v>2119</v>
      </c>
      <c r="B951" s="1">
        <v>45697</v>
      </c>
      <c r="C951" s="5" t="s">
        <v>1671</v>
      </c>
      <c r="D951" s="5" t="s">
        <v>383</v>
      </c>
      <c r="E951" s="5" t="s">
        <v>35</v>
      </c>
      <c r="F951" s="5" t="s">
        <v>36</v>
      </c>
      <c r="G951" s="5" t="s">
        <v>37</v>
      </c>
      <c r="H951" s="5" t="s">
        <v>94</v>
      </c>
      <c r="I951" s="5" t="s">
        <v>71</v>
      </c>
      <c r="J951" s="5" t="s">
        <v>72</v>
      </c>
      <c r="K951" s="5">
        <v>7</v>
      </c>
      <c r="L951" s="5">
        <v>700</v>
      </c>
      <c r="M951" s="5">
        <v>0.05</v>
      </c>
      <c r="N951" s="5">
        <v>4655</v>
      </c>
      <c r="O951" s="5">
        <v>3575.16</v>
      </c>
      <c r="P951" s="5">
        <v>1079.8399999999999</v>
      </c>
      <c r="Q951" s="5">
        <v>23.2</v>
      </c>
      <c r="R951" s="5" t="s">
        <v>73</v>
      </c>
      <c r="S951" s="5" t="s">
        <v>74</v>
      </c>
      <c r="T951" s="5" t="s">
        <v>107</v>
      </c>
      <c r="U951" s="5" t="s">
        <v>108</v>
      </c>
      <c r="V951" s="5">
        <v>2025</v>
      </c>
      <c r="W951" s="5" t="s">
        <v>109</v>
      </c>
      <c r="X951" s="5">
        <v>9</v>
      </c>
      <c r="Y951" s="1">
        <v>45970</v>
      </c>
      <c r="Z951" s="5" t="s">
        <v>89</v>
      </c>
      <c r="AA951" s="5" t="s">
        <v>48</v>
      </c>
      <c r="AB951" s="5" t="s">
        <v>78</v>
      </c>
      <c r="AC951" s="5" t="s">
        <v>50</v>
      </c>
      <c r="AD951" s="5">
        <v>3</v>
      </c>
    </row>
    <row r="952" spans="1:30">
      <c r="A952" s="5" t="s">
        <v>2120</v>
      </c>
      <c r="B952" s="1" t="s">
        <v>1097</v>
      </c>
      <c r="C952" s="5" t="s">
        <v>562</v>
      </c>
      <c r="D952" s="5" t="s">
        <v>205</v>
      </c>
      <c r="E952" s="5" t="s">
        <v>103</v>
      </c>
      <c r="F952" s="5" t="s">
        <v>144</v>
      </c>
      <c r="G952" s="5" t="s">
        <v>145</v>
      </c>
      <c r="H952" s="5" t="s">
        <v>171</v>
      </c>
      <c r="I952" s="5" t="s">
        <v>39</v>
      </c>
      <c r="J952" s="5" t="s">
        <v>253</v>
      </c>
      <c r="K952" s="5">
        <v>8</v>
      </c>
      <c r="L952" s="5">
        <v>8000</v>
      </c>
      <c r="M952" s="5">
        <v>0</v>
      </c>
      <c r="N952" s="5">
        <v>64000</v>
      </c>
      <c r="O952" s="5">
        <v>40403.57</v>
      </c>
      <c r="P952" s="5">
        <v>23596.43</v>
      </c>
      <c r="Q952" s="5">
        <v>36.869999999999997</v>
      </c>
      <c r="R952" s="5" t="s">
        <v>73</v>
      </c>
      <c r="S952" s="5" t="s">
        <v>74</v>
      </c>
      <c r="T952" s="5" t="s">
        <v>159</v>
      </c>
      <c r="U952" s="5" t="s">
        <v>76</v>
      </c>
      <c r="V952" s="5">
        <v>2024</v>
      </c>
      <c r="W952" s="5" t="s">
        <v>194</v>
      </c>
      <c r="X952" s="5">
        <v>10</v>
      </c>
      <c r="Y952" s="1">
        <v>45414</v>
      </c>
      <c r="Z952" s="5" t="s">
        <v>89</v>
      </c>
      <c r="AA952" s="5" t="s">
        <v>67</v>
      </c>
      <c r="AB952" s="5" t="s">
        <v>78</v>
      </c>
      <c r="AC952" s="5" t="s">
        <v>50</v>
      </c>
      <c r="AD952" s="5">
        <v>5</v>
      </c>
    </row>
    <row r="953" spans="1:30">
      <c r="A953" s="5" t="s">
        <v>2121</v>
      </c>
      <c r="B953" s="1" t="s">
        <v>1947</v>
      </c>
      <c r="C953" s="5" t="s">
        <v>1093</v>
      </c>
      <c r="D953" s="5" t="s">
        <v>379</v>
      </c>
      <c r="E953" s="5" t="s">
        <v>55</v>
      </c>
      <c r="F953" s="5" t="s">
        <v>144</v>
      </c>
      <c r="G953" s="5" t="s">
        <v>145</v>
      </c>
      <c r="H953" s="5" t="s">
        <v>94</v>
      </c>
      <c r="I953" s="5" t="s">
        <v>71</v>
      </c>
      <c r="J953" s="5" t="s">
        <v>158</v>
      </c>
      <c r="K953" s="5">
        <v>8</v>
      </c>
      <c r="L953" s="5">
        <v>2500</v>
      </c>
      <c r="M953" s="5">
        <v>0</v>
      </c>
      <c r="N953" s="5">
        <v>20000</v>
      </c>
      <c r="O953" s="5">
        <v>11873.88</v>
      </c>
      <c r="P953" s="5">
        <v>8126.12</v>
      </c>
      <c r="Q953" s="5">
        <v>40.630000000000003</v>
      </c>
      <c r="R953" s="5" t="s">
        <v>166</v>
      </c>
      <c r="S953" s="5" t="s">
        <v>62</v>
      </c>
      <c r="T953" s="5" t="s">
        <v>107</v>
      </c>
      <c r="U953" s="5" t="s">
        <v>198</v>
      </c>
      <c r="V953" s="5">
        <v>2024</v>
      </c>
      <c r="W953" s="5" t="s">
        <v>65</v>
      </c>
      <c r="X953" s="5">
        <v>7</v>
      </c>
      <c r="Y953" s="1">
        <v>45485</v>
      </c>
      <c r="Z953" s="5" t="s">
        <v>47</v>
      </c>
      <c r="AA953" s="5" t="s">
        <v>90</v>
      </c>
      <c r="AB953" s="5" t="s">
        <v>111</v>
      </c>
      <c r="AC953" s="5" t="s">
        <v>50</v>
      </c>
      <c r="AD953" s="5">
        <v>3</v>
      </c>
    </row>
    <row r="954" spans="1:30">
      <c r="A954" s="5" t="s">
        <v>2122</v>
      </c>
      <c r="B954" s="1">
        <v>45964</v>
      </c>
      <c r="C954" s="5" t="s">
        <v>188</v>
      </c>
      <c r="D954" s="5" t="s">
        <v>225</v>
      </c>
      <c r="E954" s="5" t="s">
        <v>55</v>
      </c>
      <c r="F954" s="5" t="s">
        <v>82</v>
      </c>
      <c r="G954" s="5" t="s">
        <v>83</v>
      </c>
      <c r="H954" s="5" t="s">
        <v>94</v>
      </c>
      <c r="I954" s="5" t="s">
        <v>95</v>
      </c>
      <c r="J954" s="5" t="s">
        <v>319</v>
      </c>
      <c r="K954" s="5">
        <v>9</v>
      </c>
      <c r="L954" s="5">
        <v>15000</v>
      </c>
      <c r="M954" s="5">
        <v>0</v>
      </c>
      <c r="N954" s="5">
        <v>135000</v>
      </c>
      <c r="O954" s="5">
        <v>105489.01</v>
      </c>
      <c r="P954" s="5">
        <v>29510.99</v>
      </c>
      <c r="Q954" s="5">
        <v>21.86</v>
      </c>
      <c r="R954" s="5" t="s">
        <v>73</v>
      </c>
      <c r="S954" s="5" t="s">
        <v>42</v>
      </c>
      <c r="T954" s="5" t="s">
        <v>118</v>
      </c>
      <c r="U954" s="5" t="s">
        <v>178</v>
      </c>
      <c r="V954" s="5">
        <v>2025</v>
      </c>
      <c r="W954" s="5" t="s">
        <v>109</v>
      </c>
      <c r="X954" s="5">
        <v>3</v>
      </c>
      <c r="Y954" s="1" t="s">
        <v>1443</v>
      </c>
      <c r="Z954" s="5" t="s">
        <v>47</v>
      </c>
      <c r="AA954" s="5" t="s">
        <v>67</v>
      </c>
      <c r="AB954" s="5" t="s">
        <v>78</v>
      </c>
      <c r="AC954" s="5" t="s">
        <v>50</v>
      </c>
      <c r="AD954" s="5">
        <v>1</v>
      </c>
    </row>
    <row r="955" spans="1:30">
      <c r="A955" s="5" t="s">
        <v>2123</v>
      </c>
      <c r="B955" s="1" t="s">
        <v>1125</v>
      </c>
      <c r="C955" s="5" t="s">
        <v>347</v>
      </c>
      <c r="D955" s="5" t="s">
        <v>512</v>
      </c>
      <c r="E955" s="5" t="s">
        <v>35</v>
      </c>
      <c r="F955" s="5" t="s">
        <v>36</v>
      </c>
      <c r="G955" s="5" t="s">
        <v>37</v>
      </c>
      <c r="H955" s="5" t="s">
        <v>58</v>
      </c>
      <c r="I955" s="5" t="s">
        <v>71</v>
      </c>
      <c r="J955" s="5" t="s">
        <v>240</v>
      </c>
      <c r="K955" s="5">
        <v>10</v>
      </c>
      <c r="L955" s="5">
        <v>3500</v>
      </c>
      <c r="M955" s="5">
        <v>0.1</v>
      </c>
      <c r="N955" s="5">
        <v>31500</v>
      </c>
      <c r="O955" s="5">
        <v>23234.21</v>
      </c>
      <c r="P955" s="5">
        <v>8265.7900000000009</v>
      </c>
      <c r="Q955" s="5">
        <v>26.24</v>
      </c>
      <c r="R955" s="5" t="s">
        <v>73</v>
      </c>
      <c r="S955" s="5" t="s">
        <v>74</v>
      </c>
      <c r="T955" s="5" t="s">
        <v>159</v>
      </c>
      <c r="U955" s="5" t="s">
        <v>218</v>
      </c>
      <c r="V955" s="5">
        <v>2024</v>
      </c>
      <c r="W955" s="5" t="s">
        <v>139</v>
      </c>
      <c r="X955" s="5">
        <v>1</v>
      </c>
      <c r="Y955" s="1" t="s">
        <v>835</v>
      </c>
      <c r="Z955" s="5" t="s">
        <v>47</v>
      </c>
      <c r="AA955" s="5" t="s">
        <v>90</v>
      </c>
      <c r="AB955" s="5" t="s">
        <v>78</v>
      </c>
      <c r="AC955" s="5" t="s">
        <v>50</v>
      </c>
      <c r="AD955" s="5">
        <v>4</v>
      </c>
    </row>
    <row r="956" spans="1:30">
      <c r="A956" s="5" t="s">
        <v>2124</v>
      </c>
      <c r="B956" s="1">
        <v>45538</v>
      </c>
      <c r="C956" s="5" t="s">
        <v>192</v>
      </c>
      <c r="D956" s="5" t="s">
        <v>947</v>
      </c>
      <c r="E956" s="5" t="s">
        <v>35</v>
      </c>
      <c r="F956" s="5" t="s">
        <v>56</v>
      </c>
      <c r="G956" s="5" t="s">
        <v>57</v>
      </c>
      <c r="H956" s="5" t="s">
        <v>58</v>
      </c>
      <c r="I956" s="5" t="s">
        <v>84</v>
      </c>
      <c r="J956" s="5" t="s">
        <v>290</v>
      </c>
      <c r="K956" s="5">
        <v>3</v>
      </c>
      <c r="L956" s="5">
        <v>350</v>
      </c>
      <c r="M956" s="5">
        <v>0.2</v>
      </c>
      <c r="N956" s="5">
        <v>840</v>
      </c>
      <c r="O956" s="5">
        <v>485.51</v>
      </c>
      <c r="P956" s="5">
        <v>354.49</v>
      </c>
      <c r="Q956" s="5">
        <v>42.2</v>
      </c>
      <c r="R956" s="5" t="s">
        <v>61</v>
      </c>
      <c r="S956" s="5" t="s">
        <v>42</v>
      </c>
      <c r="T956" s="5" t="s">
        <v>159</v>
      </c>
      <c r="U956" s="5" t="s">
        <v>178</v>
      </c>
      <c r="V956" s="5">
        <v>2024</v>
      </c>
      <c r="W956" s="5" t="s">
        <v>65</v>
      </c>
      <c r="X956" s="5">
        <v>7</v>
      </c>
      <c r="Y956" s="1" t="s">
        <v>483</v>
      </c>
      <c r="Z956" s="5" t="s">
        <v>47</v>
      </c>
      <c r="AA956" s="5" t="s">
        <v>48</v>
      </c>
      <c r="AB956" s="5" t="s">
        <v>111</v>
      </c>
      <c r="AC956" s="5" t="s">
        <v>50</v>
      </c>
      <c r="AD956" s="5">
        <v>1</v>
      </c>
    </row>
    <row r="957" spans="1:30">
      <c r="A957" s="5" t="s">
        <v>2125</v>
      </c>
      <c r="B957" s="1">
        <v>45997</v>
      </c>
      <c r="C957" s="5" t="s">
        <v>801</v>
      </c>
      <c r="D957" s="5" t="s">
        <v>720</v>
      </c>
      <c r="E957" s="5" t="s">
        <v>35</v>
      </c>
      <c r="F957" s="5" t="s">
        <v>104</v>
      </c>
      <c r="G957" s="5" t="s">
        <v>104</v>
      </c>
      <c r="H957" s="5" t="s">
        <v>38</v>
      </c>
      <c r="I957" s="5" t="s">
        <v>59</v>
      </c>
      <c r="J957" s="5" t="s">
        <v>328</v>
      </c>
      <c r="K957" s="5">
        <v>2</v>
      </c>
      <c r="L957" s="5">
        <v>2000</v>
      </c>
      <c r="M957" s="5">
        <v>0.2</v>
      </c>
      <c r="N957" s="5">
        <v>3200</v>
      </c>
      <c r="O957" s="5">
        <v>2374.2800000000002</v>
      </c>
      <c r="P957" s="5">
        <v>825.72</v>
      </c>
      <c r="Q957" s="5">
        <v>25.8</v>
      </c>
      <c r="R957" s="5" t="s">
        <v>41</v>
      </c>
      <c r="S957" s="5" t="s">
        <v>42</v>
      </c>
      <c r="T957" s="5" t="s">
        <v>97</v>
      </c>
      <c r="U957" s="5" t="s">
        <v>160</v>
      </c>
      <c r="V957" s="5">
        <v>2025</v>
      </c>
      <c r="W957" s="5" t="s">
        <v>139</v>
      </c>
      <c r="X957" s="5">
        <v>7</v>
      </c>
      <c r="Y957" s="1" t="s">
        <v>1214</v>
      </c>
      <c r="Z957" s="5" t="s">
        <v>110</v>
      </c>
      <c r="AA957" s="5" t="s">
        <v>67</v>
      </c>
      <c r="AB957" s="5" t="s">
        <v>49</v>
      </c>
      <c r="AC957" s="5" t="s">
        <v>50</v>
      </c>
      <c r="AD957" s="5">
        <v>4</v>
      </c>
    </row>
    <row r="958" spans="1:30">
      <c r="A958" s="5" t="s">
        <v>2126</v>
      </c>
      <c r="B958" s="1" t="s">
        <v>1278</v>
      </c>
      <c r="C958" s="5" t="s">
        <v>2033</v>
      </c>
      <c r="D958" s="5" t="s">
        <v>1375</v>
      </c>
      <c r="E958" s="5" t="s">
        <v>103</v>
      </c>
      <c r="F958" s="5" t="s">
        <v>245</v>
      </c>
      <c r="G958" s="5" t="s">
        <v>246</v>
      </c>
      <c r="H958" s="5" t="s">
        <v>94</v>
      </c>
      <c r="I958" s="5" t="s">
        <v>71</v>
      </c>
      <c r="J958" s="5" t="s">
        <v>240</v>
      </c>
      <c r="K958" s="5">
        <v>3</v>
      </c>
      <c r="L958" s="5">
        <v>2500</v>
      </c>
      <c r="M958" s="5">
        <v>0</v>
      </c>
      <c r="N958" s="5">
        <v>7500</v>
      </c>
      <c r="O958" s="5">
        <v>4233.28</v>
      </c>
      <c r="P958" s="5">
        <v>3266.72</v>
      </c>
      <c r="Q958" s="5">
        <v>43.56</v>
      </c>
      <c r="R958" s="5" t="s">
        <v>61</v>
      </c>
      <c r="S958" s="5" t="s">
        <v>74</v>
      </c>
      <c r="T958" s="5" t="s">
        <v>75</v>
      </c>
      <c r="U958" s="5" t="s">
        <v>119</v>
      </c>
      <c r="V958" s="5">
        <v>2024</v>
      </c>
      <c r="W958" s="5" t="s">
        <v>139</v>
      </c>
      <c r="X958" s="5">
        <v>2</v>
      </c>
      <c r="Y958" s="1">
        <v>45297</v>
      </c>
      <c r="Z958" s="5" t="s">
        <v>47</v>
      </c>
      <c r="AA958" s="5" t="s">
        <v>67</v>
      </c>
      <c r="AB958" s="5" t="s">
        <v>111</v>
      </c>
      <c r="AC958" s="5" t="s">
        <v>50</v>
      </c>
      <c r="AD958" s="5">
        <v>5</v>
      </c>
    </row>
    <row r="959" spans="1:30">
      <c r="A959" s="5" t="s">
        <v>2127</v>
      </c>
      <c r="B959" s="1" t="s">
        <v>174</v>
      </c>
      <c r="C959" s="5" t="s">
        <v>204</v>
      </c>
      <c r="D959" s="5" t="s">
        <v>177</v>
      </c>
      <c r="E959" s="5" t="s">
        <v>35</v>
      </c>
      <c r="F959" s="5" t="s">
        <v>104</v>
      </c>
      <c r="G959" s="5" t="s">
        <v>104</v>
      </c>
      <c r="H959" s="5" t="s">
        <v>171</v>
      </c>
      <c r="I959" s="5" t="s">
        <v>71</v>
      </c>
      <c r="J959" s="5" t="s">
        <v>172</v>
      </c>
      <c r="K959" s="5">
        <v>6</v>
      </c>
      <c r="L959" s="5">
        <v>1200</v>
      </c>
      <c r="M959" s="5">
        <v>0.1</v>
      </c>
      <c r="N959" s="5">
        <v>6480</v>
      </c>
      <c r="O959" s="5">
        <v>4105.96</v>
      </c>
      <c r="P959" s="5">
        <v>2374.04</v>
      </c>
      <c r="Q959" s="5">
        <v>36.64</v>
      </c>
      <c r="R959" s="5" t="s">
        <v>61</v>
      </c>
      <c r="S959" s="5" t="s">
        <v>62</v>
      </c>
      <c r="T959" s="5" t="s">
        <v>159</v>
      </c>
      <c r="U959" s="5" t="s">
        <v>108</v>
      </c>
      <c r="V959" s="5">
        <v>2024</v>
      </c>
      <c r="W959" s="5" t="s">
        <v>65</v>
      </c>
      <c r="X959" s="5">
        <v>9</v>
      </c>
      <c r="Y959" s="1">
        <v>45483</v>
      </c>
      <c r="Z959" s="5" t="s">
        <v>47</v>
      </c>
      <c r="AA959" s="5" t="s">
        <v>90</v>
      </c>
      <c r="AB959" s="5" t="s">
        <v>49</v>
      </c>
      <c r="AC959" s="5" t="s">
        <v>50</v>
      </c>
      <c r="AD959" s="5">
        <v>3</v>
      </c>
    </row>
    <row r="960" spans="1:30">
      <c r="A960" s="5" t="s">
        <v>2128</v>
      </c>
      <c r="B960" s="1" t="s">
        <v>1218</v>
      </c>
      <c r="C960" s="5" t="s">
        <v>1703</v>
      </c>
      <c r="D960" s="5" t="s">
        <v>684</v>
      </c>
      <c r="E960" s="5" t="s">
        <v>103</v>
      </c>
      <c r="F960" s="5" t="s">
        <v>116</v>
      </c>
      <c r="G960" s="5" t="s">
        <v>37</v>
      </c>
      <c r="H960" s="5" t="s">
        <v>94</v>
      </c>
      <c r="I960" s="5" t="s">
        <v>84</v>
      </c>
      <c r="J960" s="5" t="s">
        <v>229</v>
      </c>
      <c r="K960" s="5">
        <v>8</v>
      </c>
      <c r="L960" s="5">
        <v>350</v>
      </c>
      <c r="M960" s="5">
        <v>0.05</v>
      </c>
      <c r="N960" s="5">
        <v>2660</v>
      </c>
      <c r="O960" s="5">
        <v>1563.51</v>
      </c>
      <c r="P960" s="5">
        <v>1096.49</v>
      </c>
      <c r="Q960" s="5">
        <v>41.22</v>
      </c>
      <c r="R960" s="5" t="s">
        <v>61</v>
      </c>
      <c r="S960" s="5" t="s">
        <v>42</v>
      </c>
      <c r="T960" s="5" t="s">
        <v>63</v>
      </c>
      <c r="U960" s="5" t="s">
        <v>151</v>
      </c>
      <c r="V960" s="5">
        <v>2024</v>
      </c>
      <c r="W960" s="5" t="s">
        <v>65</v>
      </c>
      <c r="X960" s="5">
        <v>2</v>
      </c>
      <c r="Y960" s="1" t="s">
        <v>996</v>
      </c>
      <c r="Z960" s="5" t="s">
        <v>47</v>
      </c>
      <c r="AA960" s="5" t="s">
        <v>48</v>
      </c>
      <c r="AB960" s="5" t="s">
        <v>111</v>
      </c>
      <c r="AC960" s="5" t="s">
        <v>50</v>
      </c>
      <c r="AD960" s="5">
        <v>5</v>
      </c>
    </row>
    <row r="961" spans="1:30">
      <c r="A961" s="5" t="s">
        <v>2129</v>
      </c>
      <c r="B961" s="1">
        <v>45972</v>
      </c>
      <c r="C961" s="5" t="s">
        <v>1085</v>
      </c>
      <c r="D961" s="5" t="s">
        <v>535</v>
      </c>
      <c r="E961" s="5" t="s">
        <v>103</v>
      </c>
      <c r="F961" s="5" t="s">
        <v>36</v>
      </c>
      <c r="G961" s="5" t="s">
        <v>37</v>
      </c>
      <c r="H961" s="5" t="s">
        <v>94</v>
      </c>
      <c r="I961" s="5" t="s">
        <v>71</v>
      </c>
      <c r="J961" s="5" t="s">
        <v>158</v>
      </c>
      <c r="K961" s="5">
        <v>7</v>
      </c>
      <c r="L961" s="5">
        <v>1200</v>
      </c>
      <c r="M961" s="5">
        <v>0.05</v>
      </c>
      <c r="N961" s="5">
        <v>7980</v>
      </c>
      <c r="O961" s="5">
        <v>5443.21</v>
      </c>
      <c r="P961" s="5">
        <v>2536.79</v>
      </c>
      <c r="Q961" s="5">
        <v>31.79</v>
      </c>
      <c r="R961" s="5" t="s">
        <v>73</v>
      </c>
      <c r="S961" s="5" t="s">
        <v>74</v>
      </c>
      <c r="T961" s="5" t="s">
        <v>138</v>
      </c>
      <c r="U961" s="5" t="s">
        <v>198</v>
      </c>
      <c r="V961" s="5">
        <v>2025</v>
      </c>
      <c r="W961" s="5" t="s">
        <v>109</v>
      </c>
      <c r="X961" s="5">
        <v>5</v>
      </c>
      <c r="Y961" s="1" t="s">
        <v>1979</v>
      </c>
      <c r="Z961" s="5" t="s">
        <v>47</v>
      </c>
      <c r="AA961" s="5" t="s">
        <v>67</v>
      </c>
      <c r="AB961" s="5" t="s">
        <v>111</v>
      </c>
      <c r="AC961" s="5" t="s">
        <v>121</v>
      </c>
      <c r="AD961" s="5">
        <v>5</v>
      </c>
    </row>
    <row r="962" spans="1:30">
      <c r="A962" s="5" t="s">
        <v>2130</v>
      </c>
      <c r="B962" s="1" t="s">
        <v>635</v>
      </c>
      <c r="C962" s="5" t="s">
        <v>687</v>
      </c>
      <c r="D962" s="5" t="s">
        <v>1652</v>
      </c>
      <c r="E962" s="5" t="s">
        <v>103</v>
      </c>
      <c r="F962" s="5" t="s">
        <v>104</v>
      </c>
      <c r="G962" s="5" t="s">
        <v>104</v>
      </c>
      <c r="H962" s="5" t="s">
        <v>38</v>
      </c>
      <c r="I962" s="5" t="s">
        <v>39</v>
      </c>
      <c r="J962" s="5" t="s">
        <v>165</v>
      </c>
      <c r="K962" s="5">
        <v>7</v>
      </c>
      <c r="L962" s="5">
        <v>12000</v>
      </c>
      <c r="M962" s="5">
        <v>0</v>
      </c>
      <c r="N962" s="5">
        <v>84000</v>
      </c>
      <c r="O962" s="5">
        <v>46952.98</v>
      </c>
      <c r="P962" s="5">
        <v>37047.019999999997</v>
      </c>
      <c r="Q962" s="5">
        <v>44.1</v>
      </c>
      <c r="R962" s="5" t="s">
        <v>61</v>
      </c>
      <c r="S962" s="5" t="s">
        <v>42</v>
      </c>
      <c r="T962" s="5" t="s">
        <v>86</v>
      </c>
      <c r="U962" s="5" t="s">
        <v>108</v>
      </c>
      <c r="V962" s="5">
        <v>2024</v>
      </c>
      <c r="W962" s="5" t="s">
        <v>134</v>
      </c>
      <c r="X962" s="5">
        <v>6</v>
      </c>
      <c r="Y962" s="1" t="s">
        <v>168</v>
      </c>
      <c r="Z962" s="5" t="s">
        <v>47</v>
      </c>
      <c r="AA962" s="5" t="s">
        <v>67</v>
      </c>
      <c r="AB962" s="5" t="s">
        <v>49</v>
      </c>
      <c r="AC962" s="5" t="s">
        <v>50</v>
      </c>
      <c r="AD962" s="5">
        <v>1</v>
      </c>
    </row>
    <row r="963" spans="1:30">
      <c r="A963" s="5" t="s">
        <v>2131</v>
      </c>
      <c r="B963" s="1" t="s">
        <v>276</v>
      </c>
      <c r="C963" s="5" t="s">
        <v>1183</v>
      </c>
      <c r="D963" s="5" t="s">
        <v>383</v>
      </c>
      <c r="E963" s="5" t="s">
        <v>35</v>
      </c>
      <c r="F963" s="5" t="s">
        <v>104</v>
      </c>
      <c r="G963" s="5" t="s">
        <v>104</v>
      </c>
      <c r="H963" s="5" t="s">
        <v>171</v>
      </c>
      <c r="I963" s="5" t="s">
        <v>39</v>
      </c>
      <c r="J963" s="5" t="s">
        <v>165</v>
      </c>
      <c r="K963" s="5">
        <v>2</v>
      </c>
      <c r="L963" s="5">
        <v>50000</v>
      </c>
      <c r="M963" s="5">
        <v>0.15</v>
      </c>
      <c r="N963" s="5">
        <v>85000</v>
      </c>
      <c r="O963" s="5">
        <v>53327.6</v>
      </c>
      <c r="P963" s="5">
        <v>31672.400000000001</v>
      </c>
      <c r="Q963" s="5">
        <v>37.26</v>
      </c>
      <c r="R963" s="5" t="s">
        <v>61</v>
      </c>
      <c r="S963" s="5" t="s">
        <v>62</v>
      </c>
      <c r="T963" s="5" t="s">
        <v>97</v>
      </c>
      <c r="U963" s="5" t="s">
        <v>178</v>
      </c>
      <c r="V963" s="5">
        <v>2025</v>
      </c>
      <c r="W963" s="5" t="s">
        <v>139</v>
      </c>
      <c r="X963" s="5">
        <v>8</v>
      </c>
      <c r="Y963" s="1">
        <v>45751</v>
      </c>
      <c r="Z963" s="5" t="s">
        <v>89</v>
      </c>
      <c r="AA963" s="5" t="s">
        <v>67</v>
      </c>
      <c r="AB963" s="5" t="s">
        <v>78</v>
      </c>
      <c r="AC963" s="5" t="s">
        <v>50</v>
      </c>
      <c r="AD963" s="5">
        <v>1</v>
      </c>
    </row>
    <row r="964" spans="1:30">
      <c r="A964" s="5" t="s">
        <v>2132</v>
      </c>
      <c r="B964" s="1">
        <v>45909</v>
      </c>
      <c r="C964" s="5" t="s">
        <v>284</v>
      </c>
      <c r="D964" s="5" t="s">
        <v>913</v>
      </c>
      <c r="E964" s="5" t="s">
        <v>103</v>
      </c>
      <c r="F964" s="5" t="s">
        <v>131</v>
      </c>
      <c r="G964" s="5" t="s">
        <v>132</v>
      </c>
      <c r="H964" s="5" t="s">
        <v>171</v>
      </c>
      <c r="I964" s="5" t="s">
        <v>95</v>
      </c>
      <c r="J964" s="5" t="s">
        <v>96</v>
      </c>
      <c r="K964" s="5">
        <v>6</v>
      </c>
      <c r="L964" s="5">
        <v>2500</v>
      </c>
      <c r="M964" s="5">
        <v>0.15</v>
      </c>
      <c r="N964" s="5">
        <v>12750</v>
      </c>
      <c r="O964" s="5">
        <v>8562.7800000000007</v>
      </c>
      <c r="P964" s="5">
        <v>4187.22</v>
      </c>
      <c r="Q964" s="5">
        <v>32.840000000000003</v>
      </c>
      <c r="R964" s="5" t="s">
        <v>73</v>
      </c>
      <c r="S964" s="5" t="s">
        <v>42</v>
      </c>
      <c r="T964" s="5" t="s">
        <v>63</v>
      </c>
      <c r="U964" s="5" t="s">
        <v>108</v>
      </c>
      <c r="V964" s="5">
        <v>2025</v>
      </c>
      <c r="W964" s="5" t="s">
        <v>109</v>
      </c>
      <c r="X964" s="5">
        <v>10</v>
      </c>
      <c r="Y964" s="1" t="s">
        <v>984</v>
      </c>
      <c r="Z964" s="5" t="s">
        <v>47</v>
      </c>
      <c r="AA964" s="5" t="s">
        <v>90</v>
      </c>
      <c r="AB964" s="5" t="s">
        <v>49</v>
      </c>
      <c r="AC964" s="5" t="s">
        <v>50</v>
      </c>
      <c r="AD964" s="5">
        <v>5</v>
      </c>
    </row>
    <row r="965" spans="1:30">
      <c r="A965" s="5" t="s">
        <v>2133</v>
      </c>
      <c r="B965" s="1" t="s">
        <v>411</v>
      </c>
      <c r="C965" s="5" t="s">
        <v>923</v>
      </c>
      <c r="D965" s="5" t="s">
        <v>1998</v>
      </c>
      <c r="E965" s="5" t="s">
        <v>55</v>
      </c>
      <c r="F965" s="5" t="s">
        <v>131</v>
      </c>
      <c r="G965" s="5" t="s">
        <v>132</v>
      </c>
      <c r="H965" s="5" t="s">
        <v>171</v>
      </c>
      <c r="I965" s="5" t="s">
        <v>84</v>
      </c>
      <c r="J965" s="5" t="s">
        <v>217</v>
      </c>
      <c r="K965" s="5">
        <v>7</v>
      </c>
      <c r="L965" s="5">
        <v>800</v>
      </c>
      <c r="M965" s="5">
        <v>0.2</v>
      </c>
      <c r="N965" s="5">
        <v>4480</v>
      </c>
      <c r="O965" s="5">
        <v>3102.3</v>
      </c>
      <c r="P965" s="5">
        <v>1377.7</v>
      </c>
      <c r="Q965" s="5">
        <v>30.75</v>
      </c>
      <c r="R965" s="5" t="s">
        <v>166</v>
      </c>
      <c r="S965" s="5" t="s">
        <v>42</v>
      </c>
      <c r="T965" s="5" t="s">
        <v>118</v>
      </c>
      <c r="U965" s="5" t="s">
        <v>218</v>
      </c>
      <c r="V965" s="5">
        <v>2025</v>
      </c>
      <c r="W965" s="5" t="s">
        <v>65</v>
      </c>
      <c r="X965" s="5">
        <v>7</v>
      </c>
      <c r="Y965" s="1" t="s">
        <v>381</v>
      </c>
      <c r="Z965" s="5" t="s">
        <v>89</v>
      </c>
      <c r="AA965" s="5" t="s">
        <v>67</v>
      </c>
      <c r="AB965" s="5" t="s">
        <v>49</v>
      </c>
      <c r="AC965" s="5" t="s">
        <v>50</v>
      </c>
      <c r="AD965" s="5">
        <v>4</v>
      </c>
    </row>
    <row r="966" spans="1:30">
      <c r="A966" s="5" t="s">
        <v>2134</v>
      </c>
      <c r="B966" s="1">
        <v>45756</v>
      </c>
      <c r="C966" s="5" t="s">
        <v>889</v>
      </c>
      <c r="D966" s="5" t="s">
        <v>1162</v>
      </c>
      <c r="E966" s="5" t="s">
        <v>35</v>
      </c>
      <c r="F966" s="5" t="s">
        <v>245</v>
      </c>
      <c r="G966" s="5" t="s">
        <v>246</v>
      </c>
      <c r="H966" s="5" t="s">
        <v>38</v>
      </c>
      <c r="I966" s="5" t="s">
        <v>84</v>
      </c>
      <c r="J966" s="5" t="s">
        <v>290</v>
      </c>
      <c r="K966" s="5">
        <v>4</v>
      </c>
      <c r="L966" s="5">
        <v>100</v>
      </c>
      <c r="M966" s="5">
        <v>0</v>
      </c>
      <c r="N966" s="5">
        <v>400</v>
      </c>
      <c r="O966" s="5">
        <v>296.73</v>
      </c>
      <c r="P966" s="5">
        <v>103.27</v>
      </c>
      <c r="Q966" s="5">
        <v>25.82</v>
      </c>
      <c r="R966" s="5" t="s">
        <v>41</v>
      </c>
      <c r="S966" s="5" t="s">
        <v>62</v>
      </c>
      <c r="T966" s="5" t="s">
        <v>118</v>
      </c>
      <c r="U966" s="5" t="s">
        <v>108</v>
      </c>
      <c r="V966" s="5">
        <v>2025</v>
      </c>
      <c r="W966" s="5" t="s">
        <v>139</v>
      </c>
      <c r="X966" s="5">
        <v>9</v>
      </c>
      <c r="Y966" s="1" t="s">
        <v>1423</v>
      </c>
      <c r="Z966" s="5" t="s">
        <v>110</v>
      </c>
      <c r="AA966" s="5" t="s">
        <v>48</v>
      </c>
      <c r="AB966" s="5" t="s">
        <v>49</v>
      </c>
      <c r="AC966" s="5" t="s">
        <v>121</v>
      </c>
      <c r="AD966" s="5">
        <v>5</v>
      </c>
    </row>
    <row r="967" spans="1:30">
      <c r="A967" s="5" t="s">
        <v>2135</v>
      </c>
      <c r="B967" s="1">
        <v>45779</v>
      </c>
      <c r="C967" s="5" t="s">
        <v>1028</v>
      </c>
      <c r="D967" s="5" t="s">
        <v>302</v>
      </c>
      <c r="E967" s="5" t="s">
        <v>103</v>
      </c>
      <c r="F967" s="5" t="s">
        <v>36</v>
      </c>
      <c r="G967" s="5" t="s">
        <v>37</v>
      </c>
      <c r="H967" s="5" t="s">
        <v>58</v>
      </c>
      <c r="I967" s="5" t="s">
        <v>95</v>
      </c>
      <c r="J967" s="5" t="s">
        <v>344</v>
      </c>
      <c r="K967" s="5">
        <v>9</v>
      </c>
      <c r="L967" s="5">
        <v>9000</v>
      </c>
      <c r="M967" s="5">
        <v>0</v>
      </c>
      <c r="N967" s="5">
        <v>81000</v>
      </c>
      <c r="O967" s="5">
        <v>49144.67</v>
      </c>
      <c r="P967" s="5">
        <v>31855.33</v>
      </c>
      <c r="Q967" s="5">
        <v>39.33</v>
      </c>
      <c r="R967" s="5" t="s">
        <v>41</v>
      </c>
      <c r="S967" s="5" t="s">
        <v>42</v>
      </c>
      <c r="T967" s="5" t="s">
        <v>86</v>
      </c>
      <c r="U967" s="5" t="s">
        <v>98</v>
      </c>
      <c r="V967" s="5">
        <v>2025</v>
      </c>
      <c r="W967" s="5" t="s">
        <v>134</v>
      </c>
      <c r="X967" s="5">
        <v>3</v>
      </c>
      <c r="Y967" s="1">
        <v>45871</v>
      </c>
      <c r="Z967" s="5" t="s">
        <v>89</v>
      </c>
      <c r="AA967" s="5" t="s">
        <v>90</v>
      </c>
      <c r="AB967" s="5" t="s">
        <v>49</v>
      </c>
      <c r="AC967" s="5" t="s">
        <v>121</v>
      </c>
      <c r="AD967" s="5">
        <v>1</v>
      </c>
    </row>
    <row r="968" spans="1:30">
      <c r="A968" s="5" t="s">
        <v>2136</v>
      </c>
      <c r="B968" s="1" t="s">
        <v>592</v>
      </c>
      <c r="C968" s="5" t="s">
        <v>1117</v>
      </c>
      <c r="D968" s="5" t="s">
        <v>682</v>
      </c>
      <c r="E968" s="5" t="s">
        <v>35</v>
      </c>
      <c r="F968" s="5" t="s">
        <v>36</v>
      </c>
      <c r="G968" s="5" t="s">
        <v>37</v>
      </c>
      <c r="H968" s="5" t="s">
        <v>58</v>
      </c>
      <c r="I968" s="5" t="s">
        <v>39</v>
      </c>
      <c r="J968" s="5" t="s">
        <v>105</v>
      </c>
      <c r="K968" s="5">
        <v>4</v>
      </c>
      <c r="L968" s="5">
        <v>12000</v>
      </c>
      <c r="M968" s="5">
        <v>0</v>
      </c>
      <c r="N968" s="5">
        <v>48000</v>
      </c>
      <c r="O968" s="5">
        <v>31401.78</v>
      </c>
      <c r="P968" s="5">
        <v>16598.22</v>
      </c>
      <c r="Q968" s="5">
        <v>34.58</v>
      </c>
      <c r="R968" s="5" t="s">
        <v>41</v>
      </c>
      <c r="S968" s="5" t="s">
        <v>42</v>
      </c>
      <c r="T968" s="5" t="s">
        <v>63</v>
      </c>
      <c r="U968" s="5" t="s">
        <v>76</v>
      </c>
      <c r="V968" s="5">
        <v>2024</v>
      </c>
      <c r="W968" s="5" t="s">
        <v>134</v>
      </c>
      <c r="X968" s="5">
        <v>2</v>
      </c>
      <c r="Y968" s="1" t="s">
        <v>1045</v>
      </c>
      <c r="Z968" s="5" t="s">
        <v>89</v>
      </c>
      <c r="AA968" s="5" t="s">
        <v>48</v>
      </c>
      <c r="AB968" s="5" t="s">
        <v>111</v>
      </c>
      <c r="AC968" s="5" t="s">
        <v>50</v>
      </c>
      <c r="AD968" s="5">
        <v>4</v>
      </c>
    </row>
    <row r="969" spans="1:30">
      <c r="A969" s="5" t="s">
        <v>2137</v>
      </c>
      <c r="B969" s="1" t="s">
        <v>776</v>
      </c>
      <c r="C969" s="5" t="s">
        <v>477</v>
      </c>
      <c r="D969" s="5" t="s">
        <v>961</v>
      </c>
      <c r="E969" s="5" t="s">
        <v>55</v>
      </c>
      <c r="F969" s="5" t="s">
        <v>36</v>
      </c>
      <c r="G969" s="5" t="s">
        <v>37</v>
      </c>
      <c r="H969" s="5" t="s">
        <v>38</v>
      </c>
      <c r="I969" s="5" t="s">
        <v>39</v>
      </c>
      <c r="J969" s="5" t="s">
        <v>165</v>
      </c>
      <c r="K969" s="5">
        <v>2</v>
      </c>
      <c r="L969" s="5">
        <v>15000</v>
      </c>
      <c r="M969" s="5">
        <v>0.05</v>
      </c>
      <c r="N969" s="5">
        <v>28500</v>
      </c>
      <c r="O969" s="5">
        <v>17897.04</v>
      </c>
      <c r="P969" s="5">
        <v>10602.96</v>
      </c>
      <c r="Q969" s="5">
        <v>37.200000000000003</v>
      </c>
      <c r="R969" s="5" t="s">
        <v>106</v>
      </c>
      <c r="S969" s="5" t="s">
        <v>42</v>
      </c>
      <c r="T969" s="5" t="s">
        <v>107</v>
      </c>
      <c r="U969" s="5" t="s">
        <v>76</v>
      </c>
      <c r="V969" s="5">
        <v>2025</v>
      </c>
      <c r="W969" s="5" t="s">
        <v>139</v>
      </c>
      <c r="X969" s="5">
        <v>7</v>
      </c>
      <c r="Y969" s="1" t="s">
        <v>928</v>
      </c>
      <c r="Z969" s="5" t="s">
        <v>47</v>
      </c>
      <c r="AA969" s="5" t="s">
        <v>90</v>
      </c>
      <c r="AB969" s="5" t="s">
        <v>78</v>
      </c>
      <c r="AC969" s="5" t="s">
        <v>50</v>
      </c>
      <c r="AD969" s="5">
        <v>4</v>
      </c>
    </row>
    <row r="970" spans="1:30">
      <c r="A970" s="5" t="s">
        <v>2138</v>
      </c>
      <c r="B970" s="1" t="s">
        <v>943</v>
      </c>
      <c r="C970" s="5" t="s">
        <v>885</v>
      </c>
      <c r="D970" s="5" t="s">
        <v>1405</v>
      </c>
      <c r="E970" s="5" t="s">
        <v>55</v>
      </c>
      <c r="F970" s="5" t="s">
        <v>131</v>
      </c>
      <c r="G970" s="5" t="s">
        <v>132</v>
      </c>
      <c r="H970" s="5" t="s">
        <v>38</v>
      </c>
      <c r="I970" s="5" t="s">
        <v>95</v>
      </c>
      <c r="J970" s="5" t="s">
        <v>319</v>
      </c>
      <c r="K970" s="5">
        <v>6</v>
      </c>
      <c r="L970" s="5">
        <v>6000</v>
      </c>
      <c r="M970" s="5">
        <v>0.15</v>
      </c>
      <c r="N970" s="5">
        <v>30600</v>
      </c>
      <c r="O970" s="5">
        <v>17118.09</v>
      </c>
      <c r="P970" s="5">
        <v>13481.91</v>
      </c>
      <c r="Q970" s="5">
        <v>44.06</v>
      </c>
      <c r="R970" s="5" t="s">
        <v>106</v>
      </c>
      <c r="S970" s="5" t="s">
        <v>62</v>
      </c>
      <c r="T970" s="5" t="s">
        <v>159</v>
      </c>
      <c r="U970" s="5" t="s">
        <v>218</v>
      </c>
      <c r="V970" s="5">
        <v>2025</v>
      </c>
      <c r="W970" s="5" t="s">
        <v>126</v>
      </c>
      <c r="X970" s="5">
        <v>6</v>
      </c>
      <c r="Y970" s="1" t="s">
        <v>894</v>
      </c>
      <c r="Z970" s="5" t="s">
        <v>47</v>
      </c>
      <c r="AA970" s="5" t="s">
        <v>67</v>
      </c>
      <c r="AB970" s="5" t="s">
        <v>111</v>
      </c>
      <c r="AC970" s="5" t="s">
        <v>50</v>
      </c>
      <c r="AD970" s="5">
        <v>4</v>
      </c>
    </row>
    <row r="971" spans="1:30">
      <c r="A971" s="5" t="s">
        <v>2139</v>
      </c>
      <c r="B971" s="1" t="s">
        <v>256</v>
      </c>
      <c r="C971" s="5" t="s">
        <v>633</v>
      </c>
      <c r="D971" s="5" t="s">
        <v>1150</v>
      </c>
      <c r="E971" s="5" t="s">
        <v>103</v>
      </c>
      <c r="F971" s="5" t="s">
        <v>36</v>
      </c>
      <c r="G971" s="5" t="s">
        <v>37</v>
      </c>
      <c r="H971" s="5" t="s">
        <v>94</v>
      </c>
      <c r="I971" s="5" t="s">
        <v>84</v>
      </c>
      <c r="J971" s="5" t="s">
        <v>390</v>
      </c>
      <c r="K971" s="5">
        <v>1</v>
      </c>
      <c r="L971" s="5">
        <v>500</v>
      </c>
      <c r="M971" s="5">
        <v>0.15</v>
      </c>
      <c r="N971" s="5">
        <v>425</v>
      </c>
      <c r="O971" s="5">
        <v>264.58</v>
      </c>
      <c r="P971" s="5">
        <v>160.41999999999999</v>
      </c>
      <c r="Q971" s="5">
        <v>37.75</v>
      </c>
      <c r="R971" s="5" t="s">
        <v>61</v>
      </c>
      <c r="S971" s="5" t="s">
        <v>62</v>
      </c>
      <c r="T971" s="5" t="s">
        <v>173</v>
      </c>
      <c r="U971" s="5" t="s">
        <v>198</v>
      </c>
      <c r="V971" s="5">
        <v>2025</v>
      </c>
      <c r="W971" s="5" t="s">
        <v>65</v>
      </c>
      <c r="X971" s="5">
        <v>7</v>
      </c>
      <c r="Y971" s="1" t="s">
        <v>259</v>
      </c>
      <c r="Z971" s="5" t="s">
        <v>110</v>
      </c>
      <c r="AA971" s="5" t="s">
        <v>48</v>
      </c>
      <c r="AB971" s="5" t="s">
        <v>49</v>
      </c>
      <c r="AC971" s="5" t="s">
        <v>121</v>
      </c>
      <c r="AD971" s="5">
        <v>3</v>
      </c>
    </row>
    <row r="972" spans="1:30">
      <c r="A972" s="5" t="s">
        <v>2140</v>
      </c>
      <c r="B972" s="1" t="s">
        <v>795</v>
      </c>
      <c r="C972" s="5" t="s">
        <v>1129</v>
      </c>
      <c r="D972" s="5" t="s">
        <v>707</v>
      </c>
      <c r="E972" s="5" t="s">
        <v>103</v>
      </c>
      <c r="F972" s="5" t="s">
        <v>104</v>
      </c>
      <c r="G972" s="5" t="s">
        <v>104</v>
      </c>
      <c r="H972" s="5" t="s">
        <v>58</v>
      </c>
      <c r="I972" s="5" t="s">
        <v>71</v>
      </c>
      <c r="J972" s="5" t="s">
        <v>172</v>
      </c>
      <c r="K972" s="5">
        <v>6</v>
      </c>
      <c r="L972" s="5">
        <v>700</v>
      </c>
      <c r="M972" s="5">
        <v>0.15</v>
      </c>
      <c r="N972" s="5">
        <v>3570</v>
      </c>
      <c r="O972" s="5">
        <v>2708.04</v>
      </c>
      <c r="P972" s="5">
        <v>861.96</v>
      </c>
      <c r="Q972" s="5">
        <v>24.14</v>
      </c>
      <c r="R972" s="5" t="s">
        <v>61</v>
      </c>
      <c r="S972" s="5" t="s">
        <v>42</v>
      </c>
      <c r="T972" s="5" t="s">
        <v>86</v>
      </c>
      <c r="U972" s="5" t="s">
        <v>108</v>
      </c>
      <c r="V972" s="5">
        <v>2025</v>
      </c>
      <c r="W972" s="5" t="s">
        <v>65</v>
      </c>
      <c r="X972" s="5">
        <v>10</v>
      </c>
      <c r="Y972" s="1" t="s">
        <v>1615</v>
      </c>
      <c r="Z972" s="5" t="s">
        <v>47</v>
      </c>
      <c r="AA972" s="5" t="s">
        <v>67</v>
      </c>
      <c r="AB972" s="5" t="s">
        <v>78</v>
      </c>
      <c r="AC972" s="5" t="s">
        <v>121</v>
      </c>
      <c r="AD972" s="5">
        <v>3</v>
      </c>
    </row>
    <row r="973" spans="1:30">
      <c r="A973" s="5" t="s">
        <v>2141</v>
      </c>
      <c r="B973" s="1" t="s">
        <v>1313</v>
      </c>
      <c r="C973" s="5" t="s">
        <v>675</v>
      </c>
      <c r="D973" s="5" t="s">
        <v>539</v>
      </c>
      <c r="E973" s="5" t="s">
        <v>35</v>
      </c>
      <c r="F973" s="5" t="s">
        <v>131</v>
      </c>
      <c r="G973" s="5" t="s">
        <v>132</v>
      </c>
      <c r="H973" s="5" t="s">
        <v>94</v>
      </c>
      <c r="I973" s="5" t="s">
        <v>95</v>
      </c>
      <c r="J973" s="5" t="s">
        <v>440</v>
      </c>
      <c r="K973" s="5">
        <v>9</v>
      </c>
      <c r="L973" s="5">
        <v>15000</v>
      </c>
      <c r="M973" s="5">
        <v>0.2</v>
      </c>
      <c r="N973" s="5">
        <v>108000</v>
      </c>
      <c r="O973" s="5">
        <v>70726.16</v>
      </c>
      <c r="P973" s="5">
        <v>37273.839999999997</v>
      </c>
      <c r="Q973" s="5">
        <v>34.51</v>
      </c>
      <c r="R973" s="5" t="s">
        <v>41</v>
      </c>
      <c r="S973" s="5" t="s">
        <v>42</v>
      </c>
      <c r="T973" s="5" t="s">
        <v>107</v>
      </c>
      <c r="U973" s="5" t="s">
        <v>108</v>
      </c>
      <c r="V973" s="5">
        <v>2025</v>
      </c>
      <c r="W973" s="5" t="s">
        <v>45</v>
      </c>
      <c r="X973" s="5">
        <v>7</v>
      </c>
      <c r="Y973" s="1">
        <v>45787</v>
      </c>
      <c r="Z973" s="5" t="s">
        <v>47</v>
      </c>
      <c r="AA973" s="5" t="s">
        <v>48</v>
      </c>
      <c r="AB973" s="5" t="s">
        <v>111</v>
      </c>
      <c r="AC973" s="5" t="s">
        <v>121</v>
      </c>
      <c r="AD973" s="5">
        <v>4</v>
      </c>
    </row>
    <row r="974" spans="1:30">
      <c r="A974" s="5" t="s">
        <v>2142</v>
      </c>
      <c r="B974" s="1" t="s">
        <v>926</v>
      </c>
      <c r="C974" s="5" t="s">
        <v>354</v>
      </c>
      <c r="D974" s="5" t="s">
        <v>164</v>
      </c>
      <c r="E974" s="5" t="s">
        <v>55</v>
      </c>
      <c r="F974" s="5" t="s">
        <v>131</v>
      </c>
      <c r="G974" s="5" t="s">
        <v>132</v>
      </c>
      <c r="H974" s="5" t="s">
        <v>94</v>
      </c>
      <c r="I974" s="5" t="s">
        <v>71</v>
      </c>
      <c r="J974" s="5" t="s">
        <v>172</v>
      </c>
      <c r="K974" s="5">
        <v>2</v>
      </c>
      <c r="L974" s="5">
        <v>1800</v>
      </c>
      <c r="M974" s="5">
        <v>0</v>
      </c>
      <c r="N974" s="5">
        <v>3600</v>
      </c>
      <c r="O974" s="5">
        <v>2155.5500000000002</v>
      </c>
      <c r="P974" s="5">
        <v>1444.45</v>
      </c>
      <c r="Q974" s="5">
        <v>40.119999999999997</v>
      </c>
      <c r="R974" s="5" t="s">
        <v>106</v>
      </c>
      <c r="S974" s="5" t="s">
        <v>42</v>
      </c>
      <c r="T974" s="5" t="s">
        <v>63</v>
      </c>
      <c r="U974" s="5" t="s">
        <v>76</v>
      </c>
      <c r="V974" s="5">
        <v>2025</v>
      </c>
      <c r="W974" s="5" t="s">
        <v>109</v>
      </c>
      <c r="X974" s="5">
        <v>10</v>
      </c>
      <c r="Y974" s="1" t="s">
        <v>588</v>
      </c>
      <c r="Z974" s="5" t="s">
        <v>110</v>
      </c>
      <c r="AA974" s="5" t="s">
        <v>90</v>
      </c>
      <c r="AB974" s="5" t="s">
        <v>49</v>
      </c>
      <c r="AC974" s="5" t="s">
        <v>121</v>
      </c>
      <c r="AD974" s="5">
        <v>1</v>
      </c>
    </row>
    <row r="975" spans="1:30">
      <c r="A975" s="5" t="s">
        <v>2143</v>
      </c>
      <c r="B975" s="1" t="s">
        <v>1034</v>
      </c>
      <c r="C975" s="5" t="s">
        <v>124</v>
      </c>
      <c r="D975" s="5" t="s">
        <v>1011</v>
      </c>
      <c r="E975" s="5" t="s">
        <v>35</v>
      </c>
      <c r="F975" s="5" t="s">
        <v>245</v>
      </c>
      <c r="G975" s="5" t="s">
        <v>246</v>
      </c>
      <c r="H975" s="5" t="s">
        <v>171</v>
      </c>
      <c r="I975" s="5" t="s">
        <v>71</v>
      </c>
      <c r="J975" s="5" t="s">
        <v>240</v>
      </c>
      <c r="K975" s="5">
        <v>8</v>
      </c>
      <c r="L975" s="5">
        <v>3500</v>
      </c>
      <c r="M975" s="5">
        <v>0.2</v>
      </c>
      <c r="N975" s="5">
        <v>22400</v>
      </c>
      <c r="O975" s="5">
        <v>12408.86</v>
      </c>
      <c r="P975" s="5">
        <v>9991.14</v>
      </c>
      <c r="Q975" s="5">
        <v>44.6</v>
      </c>
      <c r="R975" s="5" t="s">
        <v>73</v>
      </c>
      <c r="S975" s="5" t="s">
        <v>74</v>
      </c>
      <c r="T975" s="5" t="s">
        <v>138</v>
      </c>
      <c r="U975" s="5" t="s">
        <v>151</v>
      </c>
      <c r="V975" s="5">
        <v>2025</v>
      </c>
      <c r="W975" s="5" t="s">
        <v>65</v>
      </c>
      <c r="X975" s="5">
        <v>3</v>
      </c>
      <c r="Y975" s="1" t="s">
        <v>1026</v>
      </c>
      <c r="Z975" s="5" t="s">
        <v>110</v>
      </c>
      <c r="AA975" s="5" t="s">
        <v>67</v>
      </c>
      <c r="AB975" s="5" t="s">
        <v>78</v>
      </c>
      <c r="AC975" s="5" t="s">
        <v>50</v>
      </c>
      <c r="AD975" s="5">
        <v>1</v>
      </c>
    </row>
    <row r="976" spans="1:30">
      <c r="A976" s="5" t="s">
        <v>2144</v>
      </c>
      <c r="B976" s="1" t="s">
        <v>1307</v>
      </c>
      <c r="C976" s="5" t="s">
        <v>147</v>
      </c>
      <c r="D976" s="5" t="s">
        <v>725</v>
      </c>
      <c r="E976" s="5" t="s">
        <v>103</v>
      </c>
      <c r="F976" s="5" t="s">
        <v>56</v>
      </c>
      <c r="G976" s="5" t="s">
        <v>57</v>
      </c>
      <c r="H976" s="5" t="s">
        <v>38</v>
      </c>
      <c r="I976" s="5" t="s">
        <v>71</v>
      </c>
      <c r="J976" s="5" t="s">
        <v>158</v>
      </c>
      <c r="K976" s="5">
        <v>5</v>
      </c>
      <c r="L976" s="5">
        <v>700</v>
      </c>
      <c r="M976" s="5">
        <v>0.05</v>
      </c>
      <c r="N976" s="5">
        <v>3325</v>
      </c>
      <c r="O976" s="5">
        <v>2369.31</v>
      </c>
      <c r="P976" s="5">
        <v>955.69</v>
      </c>
      <c r="Q976" s="5">
        <v>28.74</v>
      </c>
      <c r="R976" s="5" t="s">
        <v>61</v>
      </c>
      <c r="S976" s="5" t="s">
        <v>74</v>
      </c>
      <c r="T976" s="5" t="s">
        <v>63</v>
      </c>
      <c r="U976" s="5" t="s">
        <v>119</v>
      </c>
      <c r="V976" s="5">
        <v>2025</v>
      </c>
      <c r="W976" s="5" t="s">
        <v>134</v>
      </c>
      <c r="X976" s="5">
        <v>5</v>
      </c>
      <c r="Y976" s="1" t="s">
        <v>1091</v>
      </c>
      <c r="Z976" s="5" t="s">
        <v>110</v>
      </c>
      <c r="AA976" s="5" t="s">
        <v>48</v>
      </c>
      <c r="AB976" s="5" t="s">
        <v>111</v>
      </c>
      <c r="AC976" s="5" t="s">
        <v>50</v>
      </c>
      <c r="AD976" s="5">
        <v>2</v>
      </c>
    </row>
    <row r="977" spans="1:30">
      <c r="A977" s="5" t="s">
        <v>2145</v>
      </c>
      <c r="B977" s="1">
        <v>45721</v>
      </c>
      <c r="C977" s="5" t="s">
        <v>491</v>
      </c>
      <c r="D977" s="5" t="s">
        <v>935</v>
      </c>
      <c r="E977" s="5" t="s">
        <v>103</v>
      </c>
      <c r="F977" s="5" t="s">
        <v>156</v>
      </c>
      <c r="G977" s="5" t="s">
        <v>157</v>
      </c>
      <c r="H977" s="5" t="s">
        <v>171</v>
      </c>
      <c r="I977" s="5" t="s">
        <v>84</v>
      </c>
      <c r="J977" s="5" t="s">
        <v>85</v>
      </c>
      <c r="K977" s="5">
        <v>3</v>
      </c>
      <c r="L977" s="5">
        <v>200</v>
      </c>
      <c r="M977" s="5">
        <v>0.2</v>
      </c>
      <c r="N977" s="5">
        <v>480</v>
      </c>
      <c r="O977" s="5">
        <v>340.16</v>
      </c>
      <c r="P977" s="5">
        <v>139.84</v>
      </c>
      <c r="Q977" s="5">
        <v>29.13</v>
      </c>
      <c r="R977" s="5" t="s">
        <v>61</v>
      </c>
      <c r="S977" s="5" t="s">
        <v>62</v>
      </c>
      <c r="T977" s="5" t="s">
        <v>118</v>
      </c>
      <c r="U977" s="5" t="s">
        <v>119</v>
      </c>
      <c r="V977" s="5">
        <v>2025</v>
      </c>
      <c r="W977" s="5" t="s">
        <v>65</v>
      </c>
      <c r="X977" s="5">
        <v>6</v>
      </c>
      <c r="Y977" s="1">
        <v>45905</v>
      </c>
      <c r="Z977" s="5" t="s">
        <v>89</v>
      </c>
      <c r="AA977" s="5" t="s">
        <v>90</v>
      </c>
      <c r="AB977" s="5" t="s">
        <v>111</v>
      </c>
      <c r="AC977" s="5" t="s">
        <v>50</v>
      </c>
      <c r="AD977" s="5">
        <v>3</v>
      </c>
    </row>
    <row r="978" spans="1:30">
      <c r="A978" s="5" t="s">
        <v>2146</v>
      </c>
      <c r="B978" s="1">
        <v>45540</v>
      </c>
      <c r="C978" s="5" t="s">
        <v>977</v>
      </c>
      <c r="D978" s="5" t="s">
        <v>313</v>
      </c>
      <c r="E978" s="5" t="s">
        <v>35</v>
      </c>
      <c r="F978" s="5" t="s">
        <v>82</v>
      </c>
      <c r="G978" s="5" t="s">
        <v>83</v>
      </c>
      <c r="H978" s="5" t="s">
        <v>58</v>
      </c>
      <c r="I978" s="5" t="s">
        <v>71</v>
      </c>
      <c r="J978" s="5" t="s">
        <v>72</v>
      </c>
      <c r="K978" s="5">
        <v>6</v>
      </c>
      <c r="L978" s="5">
        <v>2500</v>
      </c>
      <c r="M978" s="5">
        <v>0.2</v>
      </c>
      <c r="N978" s="5">
        <v>12000</v>
      </c>
      <c r="O978" s="5">
        <v>7058.58</v>
      </c>
      <c r="P978" s="5">
        <v>4941.42</v>
      </c>
      <c r="Q978" s="5">
        <v>41.18</v>
      </c>
      <c r="R978" s="5" t="s">
        <v>106</v>
      </c>
      <c r="S978" s="5" t="s">
        <v>74</v>
      </c>
      <c r="T978" s="5" t="s">
        <v>75</v>
      </c>
      <c r="U978" s="5" t="s">
        <v>119</v>
      </c>
      <c r="V978" s="5">
        <v>2024</v>
      </c>
      <c r="W978" s="5" t="s">
        <v>139</v>
      </c>
      <c r="X978" s="5">
        <v>1</v>
      </c>
      <c r="Y978" s="1">
        <v>45570</v>
      </c>
      <c r="Z978" s="5" t="s">
        <v>89</v>
      </c>
      <c r="AA978" s="5" t="s">
        <v>90</v>
      </c>
      <c r="AB978" s="5" t="s">
        <v>111</v>
      </c>
      <c r="AC978" s="5" t="s">
        <v>50</v>
      </c>
      <c r="AD978" s="5">
        <v>4</v>
      </c>
    </row>
    <row r="979" spans="1:30">
      <c r="A979" s="5" t="s">
        <v>2147</v>
      </c>
      <c r="B979" s="1">
        <v>45636</v>
      </c>
      <c r="C979" s="5" t="s">
        <v>801</v>
      </c>
      <c r="D979" s="5" t="s">
        <v>1362</v>
      </c>
      <c r="E979" s="5" t="s">
        <v>103</v>
      </c>
      <c r="F979" s="5" t="s">
        <v>116</v>
      </c>
      <c r="G979" s="5" t="s">
        <v>37</v>
      </c>
      <c r="H979" s="5" t="s">
        <v>171</v>
      </c>
      <c r="I979" s="5" t="s">
        <v>39</v>
      </c>
      <c r="J979" s="5" t="s">
        <v>253</v>
      </c>
      <c r="K979" s="5">
        <v>3</v>
      </c>
      <c r="L979" s="5">
        <v>12000</v>
      </c>
      <c r="M979" s="5">
        <v>0.05</v>
      </c>
      <c r="N979" s="5">
        <v>34200</v>
      </c>
      <c r="O979" s="5">
        <v>23455.61</v>
      </c>
      <c r="P979" s="5">
        <v>10744.39</v>
      </c>
      <c r="Q979" s="5">
        <v>31.42</v>
      </c>
      <c r="R979" s="5" t="s">
        <v>106</v>
      </c>
      <c r="S979" s="5" t="s">
        <v>74</v>
      </c>
      <c r="T979" s="5" t="s">
        <v>173</v>
      </c>
      <c r="U979" s="5" t="s">
        <v>87</v>
      </c>
      <c r="V979" s="5">
        <v>2024</v>
      </c>
      <c r="W979" s="5" t="s">
        <v>65</v>
      </c>
      <c r="X979" s="5">
        <v>8</v>
      </c>
      <c r="Y979" s="1" t="s">
        <v>970</v>
      </c>
      <c r="Z979" s="5" t="s">
        <v>47</v>
      </c>
      <c r="AA979" s="5" t="s">
        <v>67</v>
      </c>
      <c r="AB979" s="5" t="s">
        <v>111</v>
      </c>
      <c r="AC979" s="5" t="s">
        <v>121</v>
      </c>
      <c r="AD979" s="5">
        <v>2</v>
      </c>
    </row>
    <row r="980" spans="1:30">
      <c r="A980" s="5" t="s">
        <v>2148</v>
      </c>
      <c r="B980" s="1" t="s">
        <v>179</v>
      </c>
      <c r="C980" s="5" t="s">
        <v>1399</v>
      </c>
      <c r="D980" s="5" t="s">
        <v>1405</v>
      </c>
      <c r="E980" s="5" t="s">
        <v>35</v>
      </c>
      <c r="F980" s="5" t="s">
        <v>116</v>
      </c>
      <c r="G980" s="5" t="s">
        <v>37</v>
      </c>
      <c r="H980" s="5" t="s">
        <v>58</v>
      </c>
      <c r="I980" s="5" t="s">
        <v>71</v>
      </c>
      <c r="J980" s="5" t="s">
        <v>117</v>
      </c>
      <c r="K980" s="5">
        <v>2</v>
      </c>
      <c r="L980" s="5">
        <v>1200</v>
      </c>
      <c r="M980" s="5">
        <v>0.15</v>
      </c>
      <c r="N980" s="5">
        <v>2040</v>
      </c>
      <c r="O980" s="5">
        <v>1631.05</v>
      </c>
      <c r="P980" s="5">
        <v>408.95</v>
      </c>
      <c r="Q980" s="5">
        <v>20.05</v>
      </c>
      <c r="R980" s="5" t="s">
        <v>61</v>
      </c>
      <c r="S980" s="5" t="s">
        <v>42</v>
      </c>
      <c r="T980" s="5" t="s">
        <v>43</v>
      </c>
      <c r="U980" s="5" t="s">
        <v>178</v>
      </c>
      <c r="V980" s="5">
        <v>2024</v>
      </c>
      <c r="W980" s="5" t="s">
        <v>194</v>
      </c>
      <c r="X980" s="5">
        <v>7</v>
      </c>
      <c r="Y980" s="1" t="s">
        <v>1817</v>
      </c>
      <c r="Z980" s="5" t="s">
        <v>89</v>
      </c>
      <c r="AA980" s="5" t="s">
        <v>90</v>
      </c>
      <c r="AB980" s="5" t="s">
        <v>49</v>
      </c>
      <c r="AC980" s="5" t="s">
        <v>50</v>
      </c>
      <c r="AD980" s="5">
        <v>1</v>
      </c>
    </row>
    <row r="981" spans="1:30">
      <c r="A981" s="5" t="s">
        <v>2149</v>
      </c>
      <c r="B981" s="1">
        <v>45542</v>
      </c>
      <c r="C981" s="5" t="s">
        <v>1428</v>
      </c>
      <c r="D981" s="5" t="s">
        <v>448</v>
      </c>
      <c r="E981" s="5" t="s">
        <v>55</v>
      </c>
      <c r="F981" s="5" t="s">
        <v>144</v>
      </c>
      <c r="G981" s="5" t="s">
        <v>145</v>
      </c>
      <c r="H981" s="5" t="s">
        <v>58</v>
      </c>
      <c r="I981" s="5" t="s">
        <v>95</v>
      </c>
      <c r="J981" s="5" t="s">
        <v>440</v>
      </c>
      <c r="K981" s="5">
        <v>2</v>
      </c>
      <c r="L981" s="5">
        <v>2500</v>
      </c>
      <c r="M981" s="5">
        <v>0.1</v>
      </c>
      <c r="N981" s="5">
        <v>4500</v>
      </c>
      <c r="O981" s="5">
        <v>3383.25</v>
      </c>
      <c r="P981" s="5">
        <v>1116.75</v>
      </c>
      <c r="Q981" s="5">
        <v>24.82</v>
      </c>
      <c r="R981" s="5" t="s">
        <v>41</v>
      </c>
      <c r="S981" s="5" t="s">
        <v>74</v>
      </c>
      <c r="T981" s="5" t="s">
        <v>86</v>
      </c>
      <c r="U981" s="5" t="s">
        <v>151</v>
      </c>
      <c r="V981" s="5">
        <v>2024</v>
      </c>
      <c r="W981" s="5" t="s">
        <v>109</v>
      </c>
      <c r="X981" s="5">
        <v>7</v>
      </c>
      <c r="Y981" s="1" t="s">
        <v>1565</v>
      </c>
      <c r="Z981" s="5" t="s">
        <v>47</v>
      </c>
      <c r="AA981" s="5" t="s">
        <v>90</v>
      </c>
      <c r="AB981" s="5" t="s">
        <v>49</v>
      </c>
      <c r="AC981" s="5" t="s">
        <v>50</v>
      </c>
      <c r="AD981" s="5">
        <v>1</v>
      </c>
    </row>
    <row r="982" spans="1:30">
      <c r="A982" s="5" t="s">
        <v>2150</v>
      </c>
      <c r="B982" s="1" t="s">
        <v>2151</v>
      </c>
      <c r="C982" s="5" t="s">
        <v>1093</v>
      </c>
      <c r="D982" s="5" t="s">
        <v>177</v>
      </c>
      <c r="E982" s="5" t="s">
        <v>55</v>
      </c>
      <c r="F982" s="5" t="s">
        <v>156</v>
      </c>
      <c r="G982" s="5" t="s">
        <v>157</v>
      </c>
      <c r="H982" s="5" t="s">
        <v>171</v>
      </c>
      <c r="I982" s="5" t="s">
        <v>59</v>
      </c>
      <c r="J982" s="5" t="s">
        <v>60</v>
      </c>
      <c r="K982" s="5">
        <v>1</v>
      </c>
      <c r="L982" s="5">
        <v>500</v>
      </c>
      <c r="M982" s="5">
        <v>0.15</v>
      </c>
      <c r="N982" s="5">
        <v>425</v>
      </c>
      <c r="O982" s="5">
        <v>299.62</v>
      </c>
      <c r="P982" s="5">
        <v>125.38</v>
      </c>
      <c r="Q982" s="5">
        <v>29.5</v>
      </c>
      <c r="R982" s="5" t="s">
        <v>73</v>
      </c>
      <c r="S982" s="5" t="s">
        <v>42</v>
      </c>
      <c r="T982" s="5" t="s">
        <v>118</v>
      </c>
      <c r="U982" s="5" t="s">
        <v>108</v>
      </c>
      <c r="V982" s="5">
        <v>2024</v>
      </c>
      <c r="W982" s="5" t="s">
        <v>139</v>
      </c>
      <c r="X982" s="5">
        <v>2</v>
      </c>
      <c r="Y982" s="1" t="s">
        <v>788</v>
      </c>
      <c r="Z982" s="5" t="s">
        <v>89</v>
      </c>
      <c r="AA982" s="5" t="s">
        <v>48</v>
      </c>
      <c r="AB982" s="5" t="s">
        <v>111</v>
      </c>
      <c r="AC982" s="5" t="s">
        <v>50</v>
      </c>
      <c r="AD982" s="5">
        <v>4</v>
      </c>
    </row>
    <row r="983" spans="1:30">
      <c r="A983" s="5" t="s">
        <v>2152</v>
      </c>
      <c r="B983" s="1" t="s">
        <v>1099</v>
      </c>
      <c r="C983" s="5" t="s">
        <v>309</v>
      </c>
      <c r="D983" s="5" t="s">
        <v>834</v>
      </c>
      <c r="E983" s="5" t="s">
        <v>103</v>
      </c>
      <c r="F983" s="5" t="s">
        <v>144</v>
      </c>
      <c r="G983" s="5" t="s">
        <v>145</v>
      </c>
      <c r="H983" s="5" t="s">
        <v>58</v>
      </c>
      <c r="I983" s="5" t="s">
        <v>59</v>
      </c>
      <c r="J983" s="5" t="s">
        <v>372</v>
      </c>
      <c r="K983" s="5">
        <v>4</v>
      </c>
      <c r="L983" s="5">
        <v>2000</v>
      </c>
      <c r="M983" s="5">
        <v>0.1</v>
      </c>
      <c r="N983" s="5">
        <v>7200</v>
      </c>
      <c r="O983" s="5">
        <v>4502.43</v>
      </c>
      <c r="P983" s="5">
        <v>2697.57</v>
      </c>
      <c r="Q983" s="5">
        <v>37.47</v>
      </c>
      <c r="R983" s="5" t="s">
        <v>41</v>
      </c>
      <c r="S983" s="5" t="s">
        <v>42</v>
      </c>
      <c r="T983" s="5" t="s">
        <v>107</v>
      </c>
      <c r="U983" s="5" t="s">
        <v>119</v>
      </c>
      <c r="V983" s="5">
        <v>2024</v>
      </c>
      <c r="W983" s="5" t="s">
        <v>109</v>
      </c>
      <c r="X983" s="5">
        <v>10</v>
      </c>
      <c r="Y983" s="1" t="s">
        <v>1586</v>
      </c>
      <c r="Z983" s="5" t="s">
        <v>47</v>
      </c>
      <c r="AA983" s="5" t="s">
        <v>90</v>
      </c>
      <c r="AB983" s="5" t="s">
        <v>78</v>
      </c>
      <c r="AC983" s="5" t="s">
        <v>121</v>
      </c>
      <c r="AD983" s="5">
        <v>3</v>
      </c>
    </row>
    <row r="984" spans="1:30">
      <c r="A984" s="5" t="s">
        <v>2153</v>
      </c>
      <c r="B984" s="1">
        <v>45455</v>
      </c>
      <c r="C984" s="5" t="s">
        <v>350</v>
      </c>
      <c r="D984" s="5" t="s">
        <v>1146</v>
      </c>
      <c r="E984" s="5" t="s">
        <v>35</v>
      </c>
      <c r="F984" s="5" t="s">
        <v>131</v>
      </c>
      <c r="G984" s="5" t="s">
        <v>132</v>
      </c>
      <c r="H984" s="5" t="s">
        <v>38</v>
      </c>
      <c r="I984" s="5" t="s">
        <v>39</v>
      </c>
      <c r="J984" s="5" t="s">
        <v>105</v>
      </c>
      <c r="K984" s="5">
        <v>2</v>
      </c>
      <c r="L984" s="5">
        <v>8000</v>
      </c>
      <c r="M984" s="5">
        <v>0.1</v>
      </c>
      <c r="N984" s="5">
        <v>14400</v>
      </c>
      <c r="O984" s="5">
        <v>9287.7800000000007</v>
      </c>
      <c r="P984" s="5">
        <v>5112.22</v>
      </c>
      <c r="Q984" s="5">
        <v>35.5</v>
      </c>
      <c r="R984" s="5" t="s">
        <v>106</v>
      </c>
      <c r="S984" s="5" t="s">
        <v>62</v>
      </c>
      <c r="T984" s="5" t="s">
        <v>159</v>
      </c>
      <c r="U984" s="5" t="s">
        <v>64</v>
      </c>
      <c r="V984" s="5">
        <v>2024</v>
      </c>
      <c r="W984" s="5" t="s">
        <v>194</v>
      </c>
      <c r="X984" s="5">
        <v>1</v>
      </c>
      <c r="Y984" s="1">
        <v>45485</v>
      </c>
      <c r="Z984" s="5" t="s">
        <v>47</v>
      </c>
      <c r="AA984" s="5" t="s">
        <v>90</v>
      </c>
      <c r="AB984" s="5" t="s">
        <v>111</v>
      </c>
      <c r="AC984" s="5" t="s">
        <v>50</v>
      </c>
      <c r="AD984" s="5">
        <v>4</v>
      </c>
    </row>
    <row r="985" spans="1:30">
      <c r="A985" s="5" t="s">
        <v>2154</v>
      </c>
      <c r="B985" s="1" t="s">
        <v>580</v>
      </c>
      <c r="C985" s="5" t="s">
        <v>880</v>
      </c>
      <c r="D985" s="5" t="s">
        <v>193</v>
      </c>
      <c r="E985" s="5" t="s">
        <v>103</v>
      </c>
      <c r="F985" s="5" t="s">
        <v>116</v>
      </c>
      <c r="G985" s="5" t="s">
        <v>37</v>
      </c>
      <c r="H985" s="5" t="s">
        <v>94</v>
      </c>
      <c r="I985" s="5" t="s">
        <v>59</v>
      </c>
      <c r="J985" s="5" t="s">
        <v>206</v>
      </c>
      <c r="K985" s="5">
        <v>6</v>
      </c>
      <c r="L985" s="5">
        <v>800</v>
      </c>
      <c r="M985" s="5">
        <v>0.15</v>
      </c>
      <c r="N985" s="5">
        <v>4080</v>
      </c>
      <c r="O985" s="5">
        <v>3193.63</v>
      </c>
      <c r="P985" s="5">
        <v>886.37</v>
      </c>
      <c r="Q985" s="5">
        <v>21.72</v>
      </c>
      <c r="R985" s="5" t="s">
        <v>166</v>
      </c>
      <c r="S985" s="5" t="s">
        <v>74</v>
      </c>
      <c r="T985" s="5" t="s">
        <v>63</v>
      </c>
      <c r="U985" s="5" t="s">
        <v>160</v>
      </c>
      <c r="V985" s="5">
        <v>2025</v>
      </c>
      <c r="W985" s="5" t="s">
        <v>139</v>
      </c>
      <c r="X985" s="5">
        <v>1</v>
      </c>
      <c r="Y985" s="1" t="s">
        <v>849</v>
      </c>
      <c r="Z985" s="5" t="s">
        <v>110</v>
      </c>
      <c r="AA985" s="5" t="s">
        <v>48</v>
      </c>
      <c r="AB985" s="5" t="s">
        <v>49</v>
      </c>
      <c r="AC985" s="5" t="s">
        <v>50</v>
      </c>
      <c r="AD985" s="5">
        <v>3</v>
      </c>
    </row>
    <row r="986" spans="1:30">
      <c r="A986" s="5" t="s">
        <v>2155</v>
      </c>
      <c r="B986" s="1" t="s">
        <v>1581</v>
      </c>
      <c r="C986" s="5" t="s">
        <v>306</v>
      </c>
      <c r="D986" s="5" t="s">
        <v>1077</v>
      </c>
      <c r="E986" s="5" t="s">
        <v>35</v>
      </c>
      <c r="F986" s="5" t="s">
        <v>131</v>
      </c>
      <c r="G986" s="5" t="s">
        <v>132</v>
      </c>
      <c r="H986" s="5" t="s">
        <v>58</v>
      </c>
      <c r="I986" s="5" t="s">
        <v>59</v>
      </c>
      <c r="J986" s="5" t="s">
        <v>206</v>
      </c>
      <c r="K986" s="5">
        <v>9</v>
      </c>
      <c r="L986" s="5">
        <v>1200</v>
      </c>
      <c r="M986" s="5">
        <v>0.05</v>
      </c>
      <c r="N986" s="5">
        <v>10260</v>
      </c>
      <c r="O986" s="5">
        <v>8194.73</v>
      </c>
      <c r="P986" s="5">
        <v>2065.27</v>
      </c>
      <c r="Q986" s="5">
        <v>20.13</v>
      </c>
      <c r="R986" s="5" t="s">
        <v>61</v>
      </c>
      <c r="S986" s="5" t="s">
        <v>62</v>
      </c>
      <c r="T986" s="5" t="s">
        <v>43</v>
      </c>
      <c r="U986" s="5" t="s">
        <v>198</v>
      </c>
      <c r="V986" s="5">
        <v>2024</v>
      </c>
      <c r="W986" s="5" t="s">
        <v>139</v>
      </c>
      <c r="X986" s="5">
        <v>4</v>
      </c>
      <c r="Y986" s="1" t="s">
        <v>1236</v>
      </c>
      <c r="Z986" s="5" t="s">
        <v>110</v>
      </c>
      <c r="AA986" s="5" t="s">
        <v>67</v>
      </c>
      <c r="AB986" s="5" t="s">
        <v>78</v>
      </c>
      <c r="AC986" s="5" t="s">
        <v>50</v>
      </c>
      <c r="AD986" s="5">
        <v>1</v>
      </c>
    </row>
    <row r="987" spans="1:30">
      <c r="A987" s="5" t="s">
        <v>2156</v>
      </c>
      <c r="B987" s="1" t="s">
        <v>1817</v>
      </c>
      <c r="C987" s="5" t="s">
        <v>249</v>
      </c>
      <c r="D987" s="5" t="s">
        <v>1731</v>
      </c>
      <c r="E987" s="5" t="s">
        <v>35</v>
      </c>
      <c r="F987" s="5" t="s">
        <v>156</v>
      </c>
      <c r="G987" s="5" t="s">
        <v>157</v>
      </c>
      <c r="H987" s="5" t="s">
        <v>58</v>
      </c>
      <c r="I987" s="5" t="s">
        <v>84</v>
      </c>
      <c r="J987" s="5" t="s">
        <v>290</v>
      </c>
      <c r="K987" s="5">
        <v>10</v>
      </c>
      <c r="L987" s="5">
        <v>350</v>
      </c>
      <c r="M987" s="5">
        <v>0.1</v>
      </c>
      <c r="N987" s="5">
        <v>3150</v>
      </c>
      <c r="O987" s="5">
        <v>1868.12</v>
      </c>
      <c r="P987" s="5">
        <v>1281.8800000000001</v>
      </c>
      <c r="Q987" s="5">
        <v>40.69</v>
      </c>
      <c r="R987" s="5" t="s">
        <v>41</v>
      </c>
      <c r="S987" s="5" t="s">
        <v>62</v>
      </c>
      <c r="T987" s="5" t="s">
        <v>97</v>
      </c>
      <c r="U987" s="5" t="s">
        <v>178</v>
      </c>
      <c r="V987" s="5">
        <v>2024</v>
      </c>
      <c r="W987" s="5" t="s">
        <v>194</v>
      </c>
      <c r="X987" s="5">
        <v>6</v>
      </c>
      <c r="Y987" s="1" t="s">
        <v>882</v>
      </c>
      <c r="Z987" s="5" t="s">
        <v>110</v>
      </c>
      <c r="AA987" s="5" t="s">
        <v>90</v>
      </c>
      <c r="AB987" s="5" t="s">
        <v>49</v>
      </c>
      <c r="AC987" s="5" t="s">
        <v>50</v>
      </c>
      <c r="AD987" s="5">
        <v>3</v>
      </c>
    </row>
    <row r="988" spans="1:30">
      <c r="A988" s="5" t="s">
        <v>2157</v>
      </c>
      <c r="B988" s="1">
        <v>45630</v>
      </c>
      <c r="C988" s="5" t="s">
        <v>378</v>
      </c>
      <c r="D988" s="5" t="s">
        <v>571</v>
      </c>
      <c r="E988" s="5" t="s">
        <v>35</v>
      </c>
      <c r="F988" s="5" t="s">
        <v>104</v>
      </c>
      <c r="G988" s="5" t="s">
        <v>104</v>
      </c>
      <c r="H988" s="5" t="s">
        <v>38</v>
      </c>
      <c r="I988" s="5" t="s">
        <v>59</v>
      </c>
      <c r="J988" s="5" t="s">
        <v>328</v>
      </c>
      <c r="K988" s="5">
        <v>4</v>
      </c>
      <c r="L988" s="5">
        <v>500</v>
      </c>
      <c r="M988" s="5">
        <v>0</v>
      </c>
      <c r="N988" s="5">
        <v>2000</v>
      </c>
      <c r="O988" s="5">
        <v>1608.36</v>
      </c>
      <c r="P988" s="5">
        <v>391.64</v>
      </c>
      <c r="Q988" s="5">
        <v>19.579999999999998</v>
      </c>
      <c r="R988" s="5" t="s">
        <v>61</v>
      </c>
      <c r="S988" s="5" t="s">
        <v>62</v>
      </c>
      <c r="T988" s="5" t="s">
        <v>138</v>
      </c>
      <c r="U988" s="5" t="s">
        <v>44</v>
      </c>
      <c r="V988" s="5">
        <v>2024</v>
      </c>
      <c r="W988" s="5" t="s">
        <v>194</v>
      </c>
      <c r="X988" s="5">
        <v>8</v>
      </c>
      <c r="Y988" s="1" t="s">
        <v>1297</v>
      </c>
      <c r="Z988" s="5" t="s">
        <v>89</v>
      </c>
      <c r="AA988" s="5" t="s">
        <v>48</v>
      </c>
      <c r="AB988" s="5" t="s">
        <v>78</v>
      </c>
      <c r="AC988" s="5" t="s">
        <v>121</v>
      </c>
      <c r="AD988" s="5">
        <v>2</v>
      </c>
    </row>
    <row r="989" spans="1:30">
      <c r="A989" s="5" t="s">
        <v>2158</v>
      </c>
      <c r="B989" s="1" t="s">
        <v>300</v>
      </c>
      <c r="C989" s="5" t="s">
        <v>938</v>
      </c>
      <c r="D989" s="5" t="s">
        <v>418</v>
      </c>
      <c r="E989" s="5" t="s">
        <v>35</v>
      </c>
      <c r="F989" s="5" t="s">
        <v>245</v>
      </c>
      <c r="G989" s="5" t="s">
        <v>246</v>
      </c>
      <c r="H989" s="5" t="s">
        <v>38</v>
      </c>
      <c r="I989" s="5" t="s">
        <v>39</v>
      </c>
      <c r="J989" s="5" t="s">
        <v>253</v>
      </c>
      <c r="K989" s="5">
        <v>10</v>
      </c>
      <c r="L989" s="5">
        <v>15000</v>
      </c>
      <c r="M989" s="5">
        <v>0.05</v>
      </c>
      <c r="N989" s="5">
        <v>142500</v>
      </c>
      <c r="O989" s="5">
        <v>104637.57</v>
      </c>
      <c r="P989" s="5">
        <v>37862.43</v>
      </c>
      <c r="Q989" s="5">
        <v>26.57</v>
      </c>
      <c r="R989" s="5" t="s">
        <v>166</v>
      </c>
      <c r="S989" s="5" t="s">
        <v>62</v>
      </c>
      <c r="T989" s="5" t="s">
        <v>63</v>
      </c>
      <c r="U989" s="5" t="s">
        <v>198</v>
      </c>
      <c r="V989" s="5">
        <v>2024</v>
      </c>
      <c r="W989" s="5" t="s">
        <v>126</v>
      </c>
      <c r="X989" s="5">
        <v>5</v>
      </c>
      <c r="Y989" s="1" t="s">
        <v>303</v>
      </c>
      <c r="Z989" s="5" t="s">
        <v>47</v>
      </c>
      <c r="AA989" s="5" t="s">
        <v>67</v>
      </c>
      <c r="AB989" s="5" t="s">
        <v>49</v>
      </c>
      <c r="AC989" s="5" t="s">
        <v>121</v>
      </c>
      <c r="AD989" s="5">
        <v>2</v>
      </c>
    </row>
    <row r="990" spans="1:30">
      <c r="A990" s="5" t="s">
        <v>2159</v>
      </c>
      <c r="B990" s="1">
        <v>45481</v>
      </c>
      <c r="C990" s="5" t="s">
        <v>1509</v>
      </c>
      <c r="D990" s="5" t="s">
        <v>523</v>
      </c>
      <c r="E990" s="5" t="s">
        <v>55</v>
      </c>
      <c r="F990" s="5" t="s">
        <v>156</v>
      </c>
      <c r="G990" s="5" t="s">
        <v>157</v>
      </c>
      <c r="H990" s="5" t="s">
        <v>171</v>
      </c>
      <c r="I990" s="5" t="s">
        <v>39</v>
      </c>
      <c r="J990" s="5" t="s">
        <v>356</v>
      </c>
      <c r="K990" s="5">
        <v>6</v>
      </c>
      <c r="L990" s="5">
        <v>8000</v>
      </c>
      <c r="M990" s="5">
        <v>0.1</v>
      </c>
      <c r="N990" s="5">
        <v>43200</v>
      </c>
      <c r="O990" s="5">
        <v>35034.57</v>
      </c>
      <c r="P990" s="5">
        <v>8165.43</v>
      </c>
      <c r="Q990" s="5">
        <v>18.899999999999999</v>
      </c>
      <c r="R990" s="5" t="s">
        <v>106</v>
      </c>
      <c r="S990" s="5" t="s">
        <v>62</v>
      </c>
      <c r="T990" s="5" t="s">
        <v>159</v>
      </c>
      <c r="U990" s="5" t="s">
        <v>218</v>
      </c>
      <c r="V990" s="5">
        <v>2024</v>
      </c>
      <c r="W990" s="5" t="s">
        <v>134</v>
      </c>
      <c r="X990" s="5">
        <v>3</v>
      </c>
      <c r="Y990" s="1">
        <v>45573</v>
      </c>
      <c r="Z990" s="5" t="s">
        <v>47</v>
      </c>
      <c r="AA990" s="5" t="s">
        <v>90</v>
      </c>
      <c r="AB990" s="5" t="s">
        <v>78</v>
      </c>
      <c r="AC990" s="5" t="s">
        <v>121</v>
      </c>
      <c r="AD990" s="5">
        <v>4</v>
      </c>
    </row>
    <row r="991" spans="1:30">
      <c r="A991" s="5" t="s">
        <v>2160</v>
      </c>
      <c r="B991" s="1" t="s">
        <v>536</v>
      </c>
      <c r="C991" s="5" t="s">
        <v>2161</v>
      </c>
      <c r="D991" s="5" t="s">
        <v>1532</v>
      </c>
      <c r="E991" s="5" t="s">
        <v>35</v>
      </c>
      <c r="F991" s="5" t="s">
        <v>149</v>
      </c>
      <c r="G991" s="5" t="s">
        <v>150</v>
      </c>
      <c r="H991" s="5" t="s">
        <v>94</v>
      </c>
      <c r="I991" s="5" t="s">
        <v>95</v>
      </c>
      <c r="J991" s="5" t="s">
        <v>440</v>
      </c>
      <c r="K991" s="5">
        <v>10</v>
      </c>
      <c r="L991" s="5">
        <v>15000</v>
      </c>
      <c r="M991" s="5">
        <v>0</v>
      </c>
      <c r="N991" s="5">
        <v>150000</v>
      </c>
      <c r="O991" s="5">
        <v>108578.49</v>
      </c>
      <c r="P991" s="5">
        <v>41421.51</v>
      </c>
      <c r="Q991" s="5">
        <v>27.61</v>
      </c>
      <c r="R991" s="5" t="s">
        <v>61</v>
      </c>
      <c r="S991" s="5" t="s">
        <v>42</v>
      </c>
      <c r="T991" s="5" t="s">
        <v>63</v>
      </c>
      <c r="U991" s="5" t="s">
        <v>64</v>
      </c>
      <c r="V991" s="5">
        <v>2024</v>
      </c>
      <c r="W991" s="5" t="s">
        <v>65</v>
      </c>
      <c r="X991" s="5">
        <v>10</v>
      </c>
      <c r="Y991" s="1">
        <v>45839</v>
      </c>
      <c r="Z991" s="5" t="s">
        <v>47</v>
      </c>
      <c r="AA991" s="5" t="s">
        <v>90</v>
      </c>
      <c r="AB991" s="5" t="s">
        <v>78</v>
      </c>
      <c r="AC991" s="5" t="s">
        <v>121</v>
      </c>
      <c r="AD991" s="5">
        <v>2</v>
      </c>
    </row>
    <row r="992" spans="1:30">
      <c r="A992" s="5" t="s">
        <v>2162</v>
      </c>
      <c r="B992" s="1">
        <v>45324</v>
      </c>
      <c r="C992" s="5" t="s">
        <v>830</v>
      </c>
      <c r="D992" s="5" t="s">
        <v>1411</v>
      </c>
      <c r="E992" s="5" t="s">
        <v>35</v>
      </c>
      <c r="F992" s="5" t="s">
        <v>144</v>
      </c>
      <c r="G992" s="5" t="s">
        <v>145</v>
      </c>
      <c r="H992" s="5" t="s">
        <v>171</v>
      </c>
      <c r="I992" s="5" t="s">
        <v>39</v>
      </c>
      <c r="J992" s="5" t="s">
        <v>356</v>
      </c>
      <c r="K992" s="5">
        <v>5</v>
      </c>
      <c r="L992" s="5">
        <v>15000</v>
      </c>
      <c r="M992" s="5">
        <v>0.05</v>
      </c>
      <c r="N992" s="5">
        <v>71250</v>
      </c>
      <c r="O992" s="5">
        <v>40064.870000000003</v>
      </c>
      <c r="P992" s="5">
        <v>31185.13</v>
      </c>
      <c r="Q992" s="5">
        <v>43.77</v>
      </c>
      <c r="R992" s="5" t="s">
        <v>41</v>
      </c>
      <c r="S992" s="5" t="s">
        <v>74</v>
      </c>
      <c r="T992" s="5" t="s">
        <v>86</v>
      </c>
      <c r="U992" s="5" t="s">
        <v>98</v>
      </c>
      <c r="V992" s="5">
        <v>2024</v>
      </c>
      <c r="W992" s="5" t="s">
        <v>194</v>
      </c>
      <c r="X992" s="5">
        <v>4</v>
      </c>
      <c r="Y992" s="1">
        <v>45445</v>
      </c>
      <c r="Z992" s="5" t="s">
        <v>110</v>
      </c>
      <c r="AA992" s="5" t="s">
        <v>48</v>
      </c>
      <c r="AB992" s="5" t="s">
        <v>78</v>
      </c>
      <c r="AC992" s="5" t="s">
        <v>121</v>
      </c>
      <c r="AD992" s="5">
        <v>5</v>
      </c>
    </row>
    <row r="993" spans="1:30">
      <c r="A993" s="5" t="s">
        <v>2163</v>
      </c>
      <c r="B993" s="1" t="s">
        <v>1278</v>
      </c>
      <c r="C993" s="5" t="s">
        <v>1142</v>
      </c>
      <c r="D993" s="5" t="s">
        <v>2164</v>
      </c>
      <c r="E993" s="5" t="s">
        <v>55</v>
      </c>
      <c r="F993" s="5" t="s">
        <v>82</v>
      </c>
      <c r="G993" s="5" t="s">
        <v>83</v>
      </c>
      <c r="H993" s="5" t="s">
        <v>58</v>
      </c>
      <c r="I993" s="5" t="s">
        <v>84</v>
      </c>
      <c r="J993" s="5" t="s">
        <v>85</v>
      </c>
      <c r="K993" s="5">
        <v>6</v>
      </c>
      <c r="L993" s="5">
        <v>800</v>
      </c>
      <c r="M993" s="5">
        <v>0.1</v>
      </c>
      <c r="N993" s="5">
        <v>4320</v>
      </c>
      <c r="O993" s="5">
        <v>2828.47</v>
      </c>
      <c r="P993" s="5">
        <v>1491.53</v>
      </c>
      <c r="Q993" s="5">
        <v>34.53</v>
      </c>
      <c r="R993" s="5" t="s">
        <v>106</v>
      </c>
      <c r="S993" s="5" t="s">
        <v>62</v>
      </c>
      <c r="T993" s="5" t="s">
        <v>63</v>
      </c>
      <c r="U993" s="5" t="s">
        <v>119</v>
      </c>
      <c r="V993" s="5">
        <v>2024</v>
      </c>
      <c r="W993" s="5" t="s">
        <v>139</v>
      </c>
      <c r="X993" s="5">
        <v>1</v>
      </c>
      <c r="Y993" s="1" t="s">
        <v>526</v>
      </c>
      <c r="Z993" s="5" t="s">
        <v>47</v>
      </c>
      <c r="AA993" s="5" t="s">
        <v>67</v>
      </c>
      <c r="AB993" s="5" t="s">
        <v>111</v>
      </c>
      <c r="AC993" s="5" t="s">
        <v>121</v>
      </c>
      <c r="AD993" s="5">
        <v>1</v>
      </c>
    </row>
    <row r="994" spans="1:30">
      <c r="A994" s="5" t="s">
        <v>2165</v>
      </c>
      <c r="B994" s="1" t="s">
        <v>2166</v>
      </c>
      <c r="C994" s="5" t="s">
        <v>1288</v>
      </c>
      <c r="D994" s="5" t="s">
        <v>717</v>
      </c>
      <c r="E994" s="5" t="s">
        <v>35</v>
      </c>
      <c r="F994" s="5" t="s">
        <v>131</v>
      </c>
      <c r="G994" s="5" t="s">
        <v>132</v>
      </c>
      <c r="H994" s="5" t="s">
        <v>38</v>
      </c>
      <c r="I994" s="5" t="s">
        <v>71</v>
      </c>
      <c r="J994" s="5" t="s">
        <v>158</v>
      </c>
      <c r="K994" s="5">
        <v>8</v>
      </c>
      <c r="L994" s="5">
        <v>1800</v>
      </c>
      <c r="M994" s="5">
        <v>0</v>
      </c>
      <c r="N994" s="5">
        <v>14400</v>
      </c>
      <c r="O994" s="5">
        <v>9867.7099999999991</v>
      </c>
      <c r="P994" s="5">
        <v>4532.29</v>
      </c>
      <c r="Q994" s="5">
        <v>31.47</v>
      </c>
      <c r="R994" s="5" t="s">
        <v>41</v>
      </c>
      <c r="S994" s="5" t="s">
        <v>62</v>
      </c>
      <c r="T994" s="5" t="s">
        <v>159</v>
      </c>
      <c r="U994" s="5" t="s">
        <v>64</v>
      </c>
      <c r="V994" s="5">
        <v>2025</v>
      </c>
      <c r="W994" s="5" t="s">
        <v>65</v>
      </c>
      <c r="X994" s="5">
        <v>4</v>
      </c>
      <c r="Y994" s="1" t="s">
        <v>242</v>
      </c>
      <c r="Z994" s="5" t="s">
        <v>110</v>
      </c>
      <c r="AA994" s="5" t="s">
        <v>48</v>
      </c>
      <c r="AB994" s="5" t="s">
        <v>111</v>
      </c>
      <c r="AC994" s="5" t="s">
        <v>50</v>
      </c>
      <c r="AD994" s="5">
        <v>2</v>
      </c>
    </row>
    <row r="995" spans="1:30">
      <c r="A995" s="5" t="s">
        <v>2167</v>
      </c>
      <c r="B995" s="1">
        <v>45541</v>
      </c>
      <c r="C995" s="5" t="s">
        <v>1628</v>
      </c>
      <c r="D995" s="5" t="s">
        <v>672</v>
      </c>
      <c r="E995" s="5" t="s">
        <v>35</v>
      </c>
      <c r="F995" s="5" t="s">
        <v>104</v>
      </c>
      <c r="G995" s="5" t="s">
        <v>104</v>
      </c>
      <c r="H995" s="5" t="s">
        <v>58</v>
      </c>
      <c r="I995" s="5" t="s">
        <v>39</v>
      </c>
      <c r="J995" s="5" t="s">
        <v>253</v>
      </c>
      <c r="K995" s="5">
        <v>8</v>
      </c>
      <c r="L995" s="5">
        <v>22000</v>
      </c>
      <c r="M995" s="5">
        <v>0.15</v>
      </c>
      <c r="N995" s="5">
        <v>149600</v>
      </c>
      <c r="O995" s="5">
        <v>82605.149999999994</v>
      </c>
      <c r="P995" s="5">
        <v>66994.850000000006</v>
      </c>
      <c r="Q995" s="5">
        <v>44.78</v>
      </c>
      <c r="R995" s="5" t="s">
        <v>166</v>
      </c>
      <c r="S995" s="5" t="s">
        <v>74</v>
      </c>
      <c r="T995" s="5" t="s">
        <v>75</v>
      </c>
      <c r="U995" s="5" t="s">
        <v>160</v>
      </c>
      <c r="V995" s="5">
        <v>2024</v>
      </c>
      <c r="W995" s="5" t="s">
        <v>45</v>
      </c>
      <c r="X995" s="5">
        <v>6</v>
      </c>
      <c r="Y995" s="1" t="s">
        <v>1211</v>
      </c>
      <c r="Z995" s="5" t="s">
        <v>47</v>
      </c>
      <c r="AA995" s="5" t="s">
        <v>67</v>
      </c>
      <c r="AB995" s="5" t="s">
        <v>78</v>
      </c>
      <c r="AC995" s="5" t="s">
        <v>121</v>
      </c>
      <c r="AD995" s="5">
        <v>4</v>
      </c>
    </row>
    <row r="996" spans="1:30">
      <c r="A996" s="5" t="s">
        <v>2168</v>
      </c>
      <c r="B996" s="1">
        <v>45480</v>
      </c>
      <c r="C996" s="5" t="s">
        <v>1111</v>
      </c>
      <c r="D996" s="5" t="s">
        <v>799</v>
      </c>
      <c r="E996" s="5" t="s">
        <v>35</v>
      </c>
      <c r="F996" s="5" t="s">
        <v>245</v>
      </c>
      <c r="G996" s="5" t="s">
        <v>246</v>
      </c>
      <c r="H996" s="5" t="s">
        <v>38</v>
      </c>
      <c r="I996" s="5" t="s">
        <v>84</v>
      </c>
      <c r="J996" s="5" t="s">
        <v>390</v>
      </c>
      <c r="K996" s="5">
        <v>8</v>
      </c>
      <c r="L996" s="5">
        <v>800</v>
      </c>
      <c r="M996" s="5">
        <v>0.1</v>
      </c>
      <c r="N996" s="5">
        <v>5760</v>
      </c>
      <c r="O996" s="5">
        <v>4144.26</v>
      </c>
      <c r="P996" s="5">
        <v>1615.74</v>
      </c>
      <c r="Q996" s="5">
        <v>28.05</v>
      </c>
      <c r="R996" s="5" t="s">
        <v>73</v>
      </c>
      <c r="S996" s="5" t="s">
        <v>62</v>
      </c>
      <c r="T996" s="5" t="s">
        <v>97</v>
      </c>
      <c r="U996" s="5" t="s">
        <v>151</v>
      </c>
      <c r="V996" s="5">
        <v>2024</v>
      </c>
      <c r="W996" s="5" t="s">
        <v>45</v>
      </c>
      <c r="X996" s="5">
        <v>10</v>
      </c>
      <c r="Y996" s="1" t="s">
        <v>1368</v>
      </c>
      <c r="Z996" s="5" t="s">
        <v>47</v>
      </c>
      <c r="AA996" s="5" t="s">
        <v>90</v>
      </c>
      <c r="AB996" s="5" t="s">
        <v>49</v>
      </c>
      <c r="AC996" s="5" t="s">
        <v>121</v>
      </c>
      <c r="AD996" s="5">
        <v>1</v>
      </c>
    </row>
    <row r="997" spans="1:30">
      <c r="A997" s="5" t="s">
        <v>2169</v>
      </c>
      <c r="B997" s="1">
        <v>45444</v>
      </c>
      <c r="C997" s="5" t="s">
        <v>702</v>
      </c>
      <c r="D997" s="5" t="s">
        <v>1375</v>
      </c>
      <c r="E997" s="5" t="s">
        <v>35</v>
      </c>
      <c r="F997" s="5" t="s">
        <v>144</v>
      </c>
      <c r="G997" s="5" t="s">
        <v>145</v>
      </c>
      <c r="H997" s="5" t="s">
        <v>38</v>
      </c>
      <c r="I997" s="5" t="s">
        <v>39</v>
      </c>
      <c r="J997" s="5" t="s">
        <v>253</v>
      </c>
      <c r="K997" s="5">
        <v>1</v>
      </c>
      <c r="L997" s="5">
        <v>15000</v>
      </c>
      <c r="M997" s="5">
        <v>0.05</v>
      </c>
      <c r="N997" s="5">
        <v>14250</v>
      </c>
      <c r="O997" s="5">
        <v>11352.29</v>
      </c>
      <c r="P997" s="5">
        <v>2897.71</v>
      </c>
      <c r="Q997" s="5">
        <v>20.329999999999998</v>
      </c>
      <c r="R997" s="5" t="s">
        <v>106</v>
      </c>
      <c r="S997" s="5" t="s">
        <v>74</v>
      </c>
      <c r="T997" s="5" t="s">
        <v>75</v>
      </c>
      <c r="U997" s="5" t="s">
        <v>76</v>
      </c>
      <c r="V997" s="5">
        <v>2024</v>
      </c>
      <c r="W997" s="5" t="s">
        <v>65</v>
      </c>
      <c r="X997" s="5">
        <v>9</v>
      </c>
      <c r="Y997" s="1" t="s">
        <v>1890</v>
      </c>
      <c r="Z997" s="5" t="s">
        <v>89</v>
      </c>
      <c r="AA997" s="5" t="s">
        <v>67</v>
      </c>
      <c r="AB997" s="5" t="s">
        <v>78</v>
      </c>
      <c r="AC997" s="5" t="s">
        <v>121</v>
      </c>
      <c r="AD997" s="5">
        <v>2</v>
      </c>
    </row>
    <row r="998" spans="1:30">
      <c r="A998" s="5" t="s">
        <v>2170</v>
      </c>
      <c r="B998" s="1" t="s">
        <v>771</v>
      </c>
      <c r="C998" s="5" t="s">
        <v>249</v>
      </c>
      <c r="D998" s="5" t="s">
        <v>939</v>
      </c>
      <c r="E998" s="5" t="s">
        <v>35</v>
      </c>
      <c r="F998" s="5" t="s">
        <v>144</v>
      </c>
      <c r="G998" s="5" t="s">
        <v>145</v>
      </c>
      <c r="H998" s="5" t="s">
        <v>94</v>
      </c>
      <c r="I998" s="5" t="s">
        <v>39</v>
      </c>
      <c r="J998" s="5" t="s">
        <v>40</v>
      </c>
      <c r="K998" s="5">
        <v>6</v>
      </c>
      <c r="L998" s="5">
        <v>22000</v>
      </c>
      <c r="M998" s="5">
        <v>0.1</v>
      </c>
      <c r="N998" s="5">
        <v>118800</v>
      </c>
      <c r="O998" s="5">
        <v>79811.009999999995</v>
      </c>
      <c r="P998" s="5">
        <v>38988.99</v>
      </c>
      <c r="Q998" s="5">
        <v>32.82</v>
      </c>
      <c r="R998" s="5" t="s">
        <v>61</v>
      </c>
      <c r="S998" s="5" t="s">
        <v>74</v>
      </c>
      <c r="T998" s="5" t="s">
        <v>75</v>
      </c>
      <c r="U998" s="5" t="s">
        <v>151</v>
      </c>
      <c r="V998" s="5">
        <v>2025</v>
      </c>
      <c r="W998" s="5" t="s">
        <v>134</v>
      </c>
      <c r="X998" s="5">
        <v>9</v>
      </c>
      <c r="Y998" s="1">
        <v>45877</v>
      </c>
      <c r="Z998" s="5" t="s">
        <v>89</v>
      </c>
      <c r="AA998" s="5" t="s">
        <v>90</v>
      </c>
      <c r="AB998" s="5" t="s">
        <v>49</v>
      </c>
      <c r="AC998" s="5" t="s">
        <v>121</v>
      </c>
      <c r="AD998" s="5">
        <v>4</v>
      </c>
    </row>
    <row r="999" spans="1:30">
      <c r="A999" s="5" t="s">
        <v>2171</v>
      </c>
      <c r="B999" s="1" t="s">
        <v>549</v>
      </c>
      <c r="C999" s="5" t="s">
        <v>565</v>
      </c>
      <c r="D999" s="5" t="s">
        <v>864</v>
      </c>
      <c r="E999" s="5" t="s">
        <v>103</v>
      </c>
      <c r="F999" s="5" t="s">
        <v>245</v>
      </c>
      <c r="G999" s="5" t="s">
        <v>246</v>
      </c>
      <c r="H999" s="5" t="s">
        <v>38</v>
      </c>
      <c r="I999" s="5" t="s">
        <v>39</v>
      </c>
      <c r="J999" s="5" t="s">
        <v>105</v>
      </c>
      <c r="K999" s="5">
        <v>8</v>
      </c>
      <c r="L999" s="5">
        <v>15000</v>
      </c>
      <c r="M999" s="5">
        <v>0.1</v>
      </c>
      <c r="N999" s="5">
        <v>108000</v>
      </c>
      <c r="O999" s="5">
        <v>66860.13</v>
      </c>
      <c r="P999" s="5">
        <v>41139.870000000003</v>
      </c>
      <c r="Q999" s="5">
        <v>38.090000000000003</v>
      </c>
      <c r="R999" s="5" t="s">
        <v>106</v>
      </c>
      <c r="S999" s="5" t="s">
        <v>62</v>
      </c>
      <c r="T999" s="5" t="s">
        <v>173</v>
      </c>
      <c r="U999" s="5" t="s">
        <v>160</v>
      </c>
      <c r="V999" s="5">
        <v>2025</v>
      </c>
      <c r="W999" s="5" t="s">
        <v>109</v>
      </c>
      <c r="X999" s="5">
        <v>3</v>
      </c>
      <c r="Y999" s="1" t="s">
        <v>2172</v>
      </c>
      <c r="Z999" s="5" t="s">
        <v>47</v>
      </c>
      <c r="AA999" s="5" t="s">
        <v>90</v>
      </c>
      <c r="AB999" s="5" t="s">
        <v>78</v>
      </c>
      <c r="AC999" s="5" t="s">
        <v>121</v>
      </c>
      <c r="AD999" s="5">
        <v>2</v>
      </c>
    </row>
    <row r="1000" spans="1:30">
      <c r="A1000" s="5" t="s">
        <v>2173</v>
      </c>
      <c r="B1000" s="1">
        <v>45600</v>
      </c>
      <c r="C1000" s="5" t="s">
        <v>974</v>
      </c>
      <c r="D1000" s="5" t="s">
        <v>725</v>
      </c>
      <c r="E1000" s="5" t="s">
        <v>103</v>
      </c>
      <c r="F1000" s="5" t="s">
        <v>131</v>
      </c>
      <c r="G1000" s="5" t="s">
        <v>132</v>
      </c>
      <c r="H1000" s="5" t="s">
        <v>94</v>
      </c>
      <c r="I1000" s="5" t="s">
        <v>39</v>
      </c>
      <c r="J1000" s="5" t="s">
        <v>105</v>
      </c>
      <c r="K1000" s="5">
        <v>4</v>
      </c>
      <c r="L1000" s="5">
        <v>22000</v>
      </c>
      <c r="M1000" s="5">
        <v>0.05</v>
      </c>
      <c r="N1000" s="5">
        <v>83600</v>
      </c>
      <c r="O1000" s="5">
        <v>47504.18</v>
      </c>
      <c r="P1000" s="5">
        <v>36095.82</v>
      </c>
      <c r="Q1000" s="5">
        <v>43.18</v>
      </c>
      <c r="R1000" s="5" t="s">
        <v>106</v>
      </c>
      <c r="S1000" s="5" t="s">
        <v>42</v>
      </c>
      <c r="T1000" s="5" t="s">
        <v>97</v>
      </c>
      <c r="U1000" s="5" t="s">
        <v>44</v>
      </c>
      <c r="V1000" s="5">
        <v>2024</v>
      </c>
      <c r="W1000" s="5" t="s">
        <v>139</v>
      </c>
      <c r="X1000" s="5">
        <v>10</v>
      </c>
      <c r="Y1000" s="1" t="s">
        <v>200</v>
      </c>
      <c r="Z1000" s="5" t="s">
        <v>47</v>
      </c>
      <c r="AA1000" s="5" t="s">
        <v>48</v>
      </c>
      <c r="AB1000" s="5" t="s">
        <v>49</v>
      </c>
      <c r="AC1000" s="5" t="s">
        <v>50</v>
      </c>
      <c r="AD1000" s="5">
        <v>1</v>
      </c>
    </row>
    <row r="1001" spans="1:30">
      <c r="A1001" s="5" t="s">
        <v>2174</v>
      </c>
      <c r="B1001" s="1">
        <v>45455</v>
      </c>
      <c r="C1001" s="5" t="s">
        <v>2175</v>
      </c>
      <c r="D1001" s="5" t="s">
        <v>323</v>
      </c>
      <c r="E1001" s="5" t="s">
        <v>103</v>
      </c>
      <c r="F1001" s="5" t="s">
        <v>36</v>
      </c>
      <c r="G1001" s="5" t="s">
        <v>37</v>
      </c>
      <c r="H1001" s="5" t="s">
        <v>94</v>
      </c>
      <c r="I1001" s="5" t="s">
        <v>59</v>
      </c>
      <c r="J1001" s="5" t="s">
        <v>133</v>
      </c>
      <c r="K1001" s="5">
        <v>4</v>
      </c>
      <c r="L1001" s="5">
        <v>3000</v>
      </c>
      <c r="M1001" s="5">
        <v>0.1</v>
      </c>
      <c r="N1001" s="5">
        <v>10800</v>
      </c>
      <c r="O1001" s="5">
        <v>6177.81</v>
      </c>
      <c r="P1001" s="5">
        <v>4622.1899999999996</v>
      </c>
      <c r="Q1001" s="5">
        <v>42.8</v>
      </c>
      <c r="R1001" s="5" t="s">
        <v>166</v>
      </c>
      <c r="S1001" s="5" t="s">
        <v>74</v>
      </c>
      <c r="T1001" s="5" t="s">
        <v>173</v>
      </c>
      <c r="U1001" s="5" t="s">
        <v>64</v>
      </c>
      <c r="V1001" s="5">
        <v>2024</v>
      </c>
      <c r="W1001" s="5" t="s">
        <v>194</v>
      </c>
      <c r="X1001" s="5">
        <v>9</v>
      </c>
      <c r="Y1001" s="1" t="s">
        <v>1791</v>
      </c>
      <c r="Z1001" s="5" t="s">
        <v>89</v>
      </c>
      <c r="AA1001" s="5" t="s">
        <v>67</v>
      </c>
      <c r="AB1001" s="5" t="s">
        <v>111</v>
      </c>
      <c r="AC1001" s="5" t="s">
        <v>121</v>
      </c>
      <c r="AD1001" s="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8D80-A833-4920-9DC2-9A44F7C972CE}">
  <dimension ref="A3:B8"/>
  <sheetViews>
    <sheetView workbookViewId="0">
      <selection activeCell="D1" sqref="D1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56" t="s">
        <v>7</v>
      </c>
      <c r="B3" t="s">
        <v>2176</v>
      </c>
    </row>
    <row r="4" spans="1:2">
      <c r="A4" t="s">
        <v>171</v>
      </c>
      <c r="B4" s="27">
        <v>7518642.5</v>
      </c>
    </row>
    <row r="5" spans="1:2">
      <c r="A5" t="s">
        <v>58</v>
      </c>
      <c r="B5" s="27">
        <v>5965332.5</v>
      </c>
    </row>
    <row r="6" spans="1:2">
      <c r="A6" t="s">
        <v>38</v>
      </c>
      <c r="B6" s="27">
        <v>8560317.5</v>
      </c>
    </row>
    <row r="7" spans="1:2">
      <c r="A7" t="s">
        <v>94</v>
      </c>
      <c r="B7" s="27">
        <v>8266957.5</v>
      </c>
    </row>
    <row r="8" spans="1:2">
      <c r="A8" t="s">
        <v>2177</v>
      </c>
      <c r="B8" s="27">
        <v>30311250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E62B-A67F-45CC-A784-7D04F2603169}">
  <dimension ref="A3:B9"/>
  <sheetViews>
    <sheetView topLeftCell="A9" workbookViewId="0">
      <selection activeCell="F2" sqref="F2:N24"/>
    </sheetView>
  </sheetViews>
  <sheetFormatPr defaultRowHeight="15"/>
  <cols>
    <col min="1" max="1" width="14.140625" bestFit="1" customWidth="1"/>
    <col min="2" max="2" width="12.42578125" bestFit="1" customWidth="1"/>
  </cols>
  <sheetData>
    <row r="3" spans="1:2">
      <c r="A3" s="56" t="s">
        <v>8</v>
      </c>
      <c r="B3" t="s">
        <v>2176</v>
      </c>
    </row>
    <row r="4" spans="1:2">
      <c r="A4" t="s">
        <v>59</v>
      </c>
      <c r="B4" s="27">
        <v>1466745</v>
      </c>
    </row>
    <row r="5" spans="1:2">
      <c r="A5" t="s">
        <v>71</v>
      </c>
      <c r="B5" s="27">
        <v>1886370</v>
      </c>
    </row>
    <row r="6" spans="1:2">
      <c r="A6" t="s">
        <v>39</v>
      </c>
      <c r="B6" s="27">
        <v>19767000</v>
      </c>
    </row>
    <row r="7" spans="1:2">
      <c r="A7" t="s">
        <v>95</v>
      </c>
      <c r="B7" s="27">
        <v>6779800</v>
      </c>
    </row>
    <row r="8" spans="1:2">
      <c r="A8" t="s">
        <v>84</v>
      </c>
      <c r="B8" s="27">
        <v>411335</v>
      </c>
    </row>
    <row r="9" spans="1:2">
      <c r="A9" t="s">
        <v>2177</v>
      </c>
      <c r="B9" s="27">
        <v>30311250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81AE-9AAA-4A64-A07A-542FBFEA2B47}">
  <dimension ref="A3:B29"/>
  <sheetViews>
    <sheetView workbookViewId="0">
      <selection activeCell="D1" sqref="D1"/>
    </sheetView>
  </sheetViews>
  <sheetFormatPr defaultRowHeight="15"/>
  <cols>
    <col min="1" max="1" width="12.7109375" bestFit="1" customWidth="1"/>
    <col min="2" max="2" width="12.42578125" bestFit="1" customWidth="1"/>
  </cols>
  <sheetData>
    <row r="3" spans="1:2">
      <c r="A3" s="56" t="s">
        <v>9</v>
      </c>
      <c r="B3" t="s">
        <v>2176</v>
      </c>
    </row>
    <row r="4" spans="1:2">
      <c r="A4" t="s">
        <v>328</v>
      </c>
      <c r="B4" s="27">
        <v>381040</v>
      </c>
    </row>
    <row r="5" spans="1:2">
      <c r="A5" t="s">
        <v>372</v>
      </c>
      <c r="B5" s="27">
        <v>331880</v>
      </c>
    </row>
    <row r="6" spans="1:2">
      <c r="A6" t="s">
        <v>184</v>
      </c>
      <c r="B6" s="27">
        <v>1141650</v>
      </c>
    </row>
    <row r="7" spans="1:2">
      <c r="A7" t="s">
        <v>319</v>
      </c>
      <c r="B7" s="27">
        <v>1791875</v>
      </c>
    </row>
    <row r="8" spans="1:2">
      <c r="A8" t="s">
        <v>290</v>
      </c>
      <c r="B8" s="27">
        <v>64612.5</v>
      </c>
    </row>
    <row r="9" spans="1:2">
      <c r="A9" t="s">
        <v>253</v>
      </c>
      <c r="B9" s="27">
        <v>2740850</v>
      </c>
    </row>
    <row r="10" spans="1:2">
      <c r="A10" t="s">
        <v>240</v>
      </c>
      <c r="B10" s="27">
        <v>420105</v>
      </c>
    </row>
    <row r="11" spans="1:2">
      <c r="A11" t="s">
        <v>117</v>
      </c>
      <c r="B11" s="27">
        <v>319065</v>
      </c>
    </row>
    <row r="12" spans="1:2">
      <c r="A12" t="s">
        <v>356</v>
      </c>
      <c r="B12" s="27">
        <v>3513350</v>
      </c>
    </row>
    <row r="13" spans="1:2">
      <c r="A13" t="s">
        <v>165</v>
      </c>
      <c r="B13" s="27">
        <v>4066900</v>
      </c>
    </row>
    <row r="14" spans="1:2">
      <c r="A14" t="s">
        <v>390</v>
      </c>
      <c r="B14" s="27">
        <v>84285</v>
      </c>
    </row>
    <row r="15" spans="1:2">
      <c r="A15" t="s">
        <v>344</v>
      </c>
      <c r="B15" s="27">
        <v>1289950</v>
      </c>
    </row>
    <row r="16" spans="1:2">
      <c r="A16" t="s">
        <v>229</v>
      </c>
      <c r="B16" s="27">
        <v>96982.5</v>
      </c>
    </row>
    <row r="17" spans="1:2">
      <c r="A17" t="s">
        <v>85</v>
      </c>
      <c r="B17" s="27">
        <v>82737.5</v>
      </c>
    </row>
    <row r="18" spans="1:2">
      <c r="A18" t="s">
        <v>72</v>
      </c>
      <c r="B18" s="27">
        <v>318170</v>
      </c>
    </row>
    <row r="19" spans="1:2">
      <c r="A19" t="s">
        <v>158</v>
      </c>
      <c r="B19" s="27">
        <v>388250</v>
      </c>
    </row>
    <row r="20" spans="1:2">
      <c r="A20" t="s">
        <v>105</v>
      </c>
      <c r="B20" s="27">
        <v>4899550</v>
      </c>
    </row>
    <row r="21" spans="1:2">
      <c r="A21" t="s">
        <v>440</v>
      </c>
      <c r="B21" s="27">
        <v>1204050</v>
      </c>
    </row>
    <row r="22" spans="1:2">
      <c r="A22" t="s">
        <v>217</v>
      </c>
      <c r="B22" s="27">
        <v>82717.5</v>
      </c>
    </row>
    <row r="23" spans="1:2">
      <c r="A23" t="s">
        <v>133</v>
      </c>
      <c r="B23" s="27">
        <v>281960</v>
      </c>
    </row>
    <row r="24" spans="1:2">
      <c r="A24" t="s">
        <v>96</v>
      </c>
      <c r="B24" s="27">
        <v>1352275</v>
      </c>
    </row>
    <row r="25" spans="1:2">
      <c r="A25" t="s">
        <v>40</v>
      </c>
      <c r="B25" s="27">
        <v>4546350</v>
      </c>
    </row>
    <row r="26" spans="1:2">
      <c r="A26" t="s">
        <v>172</v>
      </c>
      <c r="B26" s="27">
        <v>440780</v>
      </c>
    </row>
    <row r="27" spans="1:2">
      <c r="A27" t="s">
        <v>60</v>
      </c>
      <c r="B27" s="27">
        <v>150115</v>
      </c>
    </row>
    <row r="28" spans="1:2">
      <c r="A28" t="s">
        <v>206</v>
      </c>
      <c r="B28" s="27">
        <v>321750</v>
      </c>
    </row>
    <row r="29" spans="1:2">
      <c r="A29" t="s">
        <v>2177</v>
      </c>
      <c r="B29" s="27">
        <v>30311250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F402-8C16-45A3-8CBB-601D5563ADF4}">
  <dimension ref="A3:B16"/>
  <sheetViews>
    <sheetView workbookViewId="0">
      <selection activeCell="L1" sqref="L1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56" t="s">
        <v>20</v>
      </c>
      <c r="B3" t="s">
        <v>2176</v>
      </c>
    </row>
    <row r="4" spans="1:2">
      <c r="A4" t="s">
        <v>76</v>
      </c>
      <c r="B4" s="27">
        <v>1889497.5</v>
      </c>
    </row>
    <row r="5" spans="1:2">
      <c r="A5" t="s">
        <v>98</v>
      </c>
      <c r="B5" s="27">
        <v>2361560</v>
      </c>
    </row>
    <row r="6" spans="1:2">
      <c r="A6" t="s">
        <v>178</v>
      </c>
      <c r="B6" s="27">
        <v>2618520</v>
      </c>
    </row>
    <row r="7" spans="1:2">
      <c r="A7" t="s">
        <v>44</v>
      </c>
      <c r="B7" s="27">
        <v>1803637.5</v>
      </c>
    </row>
    <row r="8" spans="1:2">
      <c r="A8" t="s">
        <v>119</v>
      </c>
      <c r="B8" s="27">
        <v>1121067.5</v>
      </c>
    </row>
    <row r="9" spans="1:2">
      <c r="A9" t="s">
        <v>160</v>
      </c>
      <c r="B9" s="27">
        <v>2765790</v>
      </c>
    </row>
    <row r="10" spans="1:2">
      <c r="A10" t="s">
        <v>151</v>
      </c>
      <c r="B10" s="27">
        <v>3495020</v>
      </c>
    </row>
    <row r="11" spans="1:2">
      <c r="A11" t="s">
        <v>218</v>
      </c>
      <c r="B11" s="27">
        <v>2480745</v>
      </c>
    </row>
    <row r="12" spans="1:2">
      <c r="A12" t="s">
        <v>108</v>
      </c>
      <c r="B12" s="27">
        <v>3190750</v>
      </c>
    </row>
    <row r="13" spans="1:2">
      <c r="A13" t="s">
        <v>87</v>
      </c>
      <c r="B13" s="27">
        <v>3112707.5</v>
      </c>
    </row>
    <row r="14" spans="1:2">
      <c r="A14" t="s">
        <v>198</v>
      </c>
      <c r="B14" s="27">
        <v>2076795</v>
      </c>
    </row>
    <row r="15" spans="1:2">
      <c r="A15" t="s">
        <v>64</v>
      </c>
      <c r="B15" s="27">
        <v>3395160</v>
      </c>
    </row>
    <row r="16" spans="1:2">
      <c r="A16" t="s">
        <v>2177</v>
      </c>
      <c r="B16" s="27">
        <v>30311250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C811-A5D2-4AE8-B77C-1EA0CDC75F67}">
  <dimension ref="A3:B14"/>
  <sheetViews>
    <sheetView workbookViewId="0">
      <selection activeCell="E1" sqref="E1"/>
    </sheetView>
  </sheetViews>
  <sheetFormatPr defaultRowHeight="15"/>
  <cols>
    <col min="1" max="1" width="15" bestFit="1" customWidth="1"/>
    <col min="2" max="2" width="12.42578125" bestFit="1" customWidth="1"/>
  </cols>
  <sheetData>
    <row r="3" spans="1:2">
      <c r="A3" s="56" t="s">
        <v>19</v>
      </c>
      <c r="B3" t="s">
        <v>2176</v>
      </c>
    </row>
    <row r="4" spans="1:2">
      <c r="A4" t="s">
        <v>43</v>
      </c>
      <c r="B4" s="27">
        <v>3295187.5</v>
      </c>
    </row>
    <row r="5" spans="1:2">
      <c r="A5" t="s">
        <v>107</v>
      </c>
      <c r="B5" s="27">
        <v>2952162.5</v>
      </c>
    </row>
    <row r="6" spans="1:2">
      <c r="A6" t="s">
        <v>75</v>
      </c>
      <c r="B6" s="27">
        <v>3337090</v>
      </c>
    </row>
    <row r="7" spans="1:2">
      <c r="A7" t="s">
        <v>63</v>
      </c>
      <c r="B7" s="27">
        <v>3934230</v>
      </c>
    </row>
    <row r="8" spans="1:2">
      <c r="A8" t="s">
        <v>173</v>
      </c>
      <c r="B8" s="27">
        <v>2937487.5</v>
      </c>
    </row>
    <row r="9" spans="1:2">
      <c r="A9" t="s">
        <v>118</v>
      </c>
      <c r="B9" s="27">
        <v>2963150</v>
      </c>
    </row>
    <row r="10" spans="1:2">
      <c r="A10" t="s">
        <v>86</v>
      </c>
      <c r="B10" s="27">
        <v>2934365</v>
      </c>
    </row>
    <row r="11" spans="1:2">
      <c r="A11" t="s">
        <v>138</v>
      </c>
      <c r="B11" s="27">
        <v>3031592.5</v>
      </c>
    </row>
    <row r="12" spans="1:2">
      <c r="A12" t="s">
        <v>159</v>
      </c>
      <c r="B12" s="27">
        <v>2992322.5</v>
      </c>
    </row>
    <row r="13" spans="1:2">
      <c r="A13" t="s">
        <v>97</v>
      </c>
      <c r="B13" s="27">
        <v>1933662.5</v>
      </c>
    </row>
    <row r="14" spans="1:2">
      <c r="A14" t="s">
        <v>2177</v>
      </c>
      <c r="B14" s="27">
        <v>30311250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9F88-DD3E-48C1-BF2C-A33F13EB8412}">
  <dimension ref="A3:B7"/>
  <sheetViews>
    <sheetView workbookViewId="0">
      <selection activeCell="G17" sqref="G17"/>
    </sheetView>
  </sheetViews>
  <sheetFormatPr defaultRowHeight="15"/>
  <cols>
    <col min="1" max="1" width="22.140625" bestFit="1" customWidth="1"/>
    <col min="2" max="2" width="12.42578125" bestFit="1" customWidth="1"/>
  </cols>
  <sheetData>
    <row r="3" spans="1:2">
      <c r="A3" s="56" t="s">
        <v>4</v>
      </c>
      <c r="B3" t="s">
        <v>2176</v>
      </c>
    </row>
    <row r="4" spans="1:2">
      <c r="A4" t="s">
        <v>35</v>
      </c>
      <c r="B4" s="27">
        <v>10446645</v>
      </c>
    </row>
    <row r="5" spans="1:2">
      <c r="A5" t="s">
        <v>55</v>
      </c>
      <c r="B5" s="27">
        <v>10315895</v>
      </c>
    </row>
    <row r="6" spans="1:2">
      <c r="A6" t="s">
        <v>103</v>
      </c>
      <c r="B6" s="27">
        <v>9548710</v>
      </c>
    </row>
    <row r="7" spans="1:2">
      <c r="A7" t="s">
        <v>2177</v>
      </c>
      <c r="B7" s="27">
        <v>30311250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1D2F-B491-421D-A15E-87E28B8F96C5}">
  <dimension ref="A3:B9"/>
  <sheetViews>
    <sheetView workbookViewId="0">
      <selection activeCell="O15" sqref="O15"/>
    </sheetView>
  </sheetViews>
  <sheetFormatPr defaultRowHeight="15"/>
  <cols>
    <col min="1" max="1" width="20.7109375" bestFit="1" customWidth="1"/>
    <col min="2" max="2" width="12.42578125" bestFit="1" customWidth="1"/>
  </cols>
  <sheetData>
    <row r="3" spans="1:2">
      <c r="A3" s="56" t="s">
        <v>17</v>
      </c>
      <c r="B3" t="s">
        <v>2176</v>
      </c>
    </row>
    <row r="4" spans="1:2">
      <c r="A4" t="s">
        <v>166</v>
      </c>
      <c r="B4" s="27">
        <v>7422207.5</v>
      </c>
    </row>
    <row r="5" spans="1:2">
      <c r="A5" t="s">
        <v>106</v>
      </c>
      <c r="B5" s="27">
        <v>5132640</v>
      </c>
    </row>
    <row r="6" spans="1:2">
      <c r="A6" t="s">
        <v>73</v>
      </c>
      <c r="B6" s="27">
        <v>5321137.5</v>
      </c>
    </row>
    <row r="7" spans="1:2">
      <c r="A7" t="s">
        <v>41</v>
      </c>
      <c r="B7" s="27">
        <v>7103552.5</v>
      </c>
    </row>
    <row r="8" spans="1:2">
      <c r="A8" t="s">
        <v>61</v>
      </c>
      <c r="B8" s="27">
        <v>5331712.5</v>
      </c>
    </row>
    <row r="9" spans="1:2">
      <c r="A9" t="s">
        <v>2177</v>
      </c>
      <c r="B9" s="27">
        <v>30311250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1F0B-9E34-4271-929A-75177A7999DA}">
  <dimension ref="A3:B7"/>
  <sheetViews>
    <sheetView workbookViewId="0">
      <selection activeCell="A2" sqref="A2"/>
    </sheetView>
  </sheetViews>
  <sheetFormatPr defaultRowHeight="15"/>
  <cols>
    <col min="1" max="1" width="16.140625" bestFit="1" customWidth="1"/>
    <col min="2" max="2" width="12.42578125" bestFit="1" customWidth="1"/>
  </cols>
  <sheetData>
    <row r="3" spans="1:2">
      <c r="A3" s="56" t="s">
        <v>25</v>
      </c>
      <c r="B3" t="s">
        <v>2176</v>
      </c>
    </row>
    <row r="4" spans="1:2">
      <c r="A4" t="s">
        <v>89</v>
      </c>
      <c r="B4" s="27">
        <v>5967697.5</v>
      </c>
    </row>
    <row r="5" spans="1:2">
      <c r="A5" t="s">
        <v>47</v>
      </c>
      <c r="B5" s="27">
        <v>17792045</v>
      </c>
    </row>
    <row r="6" spans="1:2">
      <c r="A6" t="s">
        <v>110</v>
      </c>
      <c r="B6" s="27">
        <v>6551507.5</v>
      </c>
    </row>
    <row r="7" spans="1:2">
      <c r="A7" t="s">
        <v>2177</v>
      </c>
      <c r="B7" s="27">
        <v>30311250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1CA8-9C60-4C6A-98AA-93BFAF925551}">
  <dimension ref="A3:C9"/>
  <sheetViews>
    <sheetView workbookViewId="0">
      <selection activeCell="B5" sqref="B5"/>
    </sheetView>
  </sheetViews>
  <sheetFormatPr defaultRowHeight="15"/>
  <cols>
    <col min="1" max="2" width="14.140625" bestFit="1" customWidth="1"/>
    <col min="3" max="3" width="12.85546875" bestFit="1" customWidth="1"/>
  </cols>
  <sheetData>
    <row r="3" spans="1:3">
      <c r="A3" s="56" t="s">
        <v>8</v>
      </c>
      <c r="B3" t="s">
        <v>2178</v>
      </c>
      <c r="C3" t="s">
        <v>2179</v>
      </c>
    </row>
    <row r="4" spans="1:3">
      <c r="A4" t="s">
        <v>39</v>
      </c>
      <c r="B4" s="27">
        <v>1065908.1200000001</v>
      </c>
      <c r="C4" s="27">
        <v>1065908.1200000001</v>
      </c>
    </row>
    <row r="5" spans="1:3">
      <c r="A5" t="s">
        <v>95</v>
      </c>
      <c r="B5" s="27">
        <v>481396.73999999993</v>
      </c>
      <c r="C5" s="27">
        <v>481396.73999999993</v>
      </c>
    </row>
    <row r="6" spans="1:3">
      <c r="A6" t="s">
        <v>71</v>
      </c>
      <c r="B6" s="27">
        <v>153730.63</v>
      </c>
      <c r="C6" s="27">
        <v>153730.63</v>
      </c>
    </row>
    <row r="7" spans="1:3">
      <c r="A7" t="s">
        <v>59</v>
      </c>
      <c r="B7" s="27">
        <v>104830.37999999998</v>
      </c>
      <c r="C7" s="27">
        <v>104830.37999999998</v>
      </c>
    </row>
    <row r="8" spans="1:3">
      <c r="A8" t="s">
        <v>84</v>
      </c>
      <c r="B8" s="27">
        <v>38664.94</v>
      </c>
      <c r="C8" s="27">
        <v>38664.94</v>
      </c>
    </row>
    <row r="9" spans="1:3">
      <c r="A9" t="s">
        <v>2177</v>
      </c>
      <c r="B9" s="27">
        <v>1844530.81</v>
      </c>
      <c r="C9" s="27">
        <v>1844530.81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D1E4-C7DB-4F98-A3F6-73ED7C079F27}">
  <dimension ref="A1:BF50"/>
  <sheetViews>
    <sheetView workbookViewId="0"/>
  </sheetViews>
  <sheetFormatPr defaultRowHeight="15"/>
  <cols>
    <col min="1" max="1" width="11.5703125" bestFit="1" customWidth="1"/>
    <col min="2" max="2" width="13.85546875" bestFit="1" customWidth="1"/>
    <col min="3" max="3" width="15" bestFit="1" customWidth="1"/>
    <col min="4" max="4" width="18.5703125" bestFit="1" customWidth="1"/>
    <col min="5" max="5" width="21.28515625" bestFit="1" customWidth="1"/>
    <col min="6" max="6" width="11.7109375" bestFit="1" customWidth="1"/>
    <col min="7" max="7" width="13.42578125" bestFit="1" customWidth="1"/>
    <col min="8" max="8" width="9.5703125" bestFit="1" customWidth="1"/>
    <col min="9" max="9" width="11.42578125" bestFit="1" customWidth="1"/>
    <col min="10" max="10" width="10.42578125" bestFit="1" customWidth="1"/>
    <col min="11" max="11" width="11.28515625" bestFit="1" customWidth="1"/>
    <col min="12" max="12" width="12.7109375" bestFit="1" customWidth="1"/>
    <col min="13" max="13" width="11.28515625" bestFit="1" customWidth="1"/>
    <col min="15" max="16" width="9.28515625" bestFit="1" customWidth="1"/>
    <col min="17" max="17" width="18.7109375" bestFit="1" customWidth="1"/>
    <col min="18" max="18" width="19.85546875" bestFit="1" customWidth="1"/>
    <col min="19" max="19" width="16.42578125" bestFit="1" customWidth="1"/>
    <col min="20" max="20" width="14.140625" bestFit="1" customWidth="1"/>
    <col min="21" max="21" width="10.7109375" bestFit="1" customWidth="1"/>
    <col min="23" max="23" width="13.140625" bestFit="1" customWidth="1"/>
    <col min="24" max="25" width="16.28515625" bestFit="1" customWidth="1"/>
    <col min="26" max="26" width="15.28515625" bestFit="1" customWidth="1"/>
    <col min="27" max="27" width="17.5703125" bestFit="1" customWidth="1"/>
    <col min="28" max="28" width="10" bestFit="1" customWidth="1"/>
    <col min="29" max="29" width="20.42578125" bestFit="1" customWidth="1"/>
    <col min="31" max="31" width="13.42578125" bestFit="1" customWidth="1"/>
    <col min="32" max="32" width="13.28515625" bestFit="1" customWidth="1"/>
    <col min="34" max="34" width="10.7109375" bestFit="1" customWidth="1"/>
    <col min="36" max="36" width="9.85546875" bestFit="1" customWidth="1"/>
    <col min="39" max="39" width="19.28515625" bestFit="1" customWidth="1"/>
    <col min="43" max="43" width="11.140625" bestFit="1" customWidth="1"/>
    <col min="44" max="44" width="10.28515625" bestFit="1" customWidth="1"/>
    <col min="45" max="45" width="12.42578125" bestFit="1" customWidth="1"/>
    <col min="46" max="46" width="14.5703125" bestFit="1" customWidth="1"/>
    <col min="47" max="47" width="19.42578125" bestFit="1" customWidth="1"/>
    <col min="48" max="48" width="21.42578125" bestFit="1" customWidth="1"/>
    <col min="49" max="49" width="13" bestFit="1" customWidth="1"/>
    <col min="50" max="50" width="24.28515625" bestFit="1" customWidth="1"/>
    <col min="51" max="51" width="16.140625" bestFit="1" customWidth="1"/>
    <col min="52" max="52" width="17.28515625" bestFit="1" customWidth="1"/>
    <col min="53" max="53" width="16.28515625" bestFit="1" customWidth="1"/>
    <col min="54" max="54" width="23.28515625" bestFit="1" customWidth="1"/>
    <col min="55" max="55" width="19.140625" bestFit="1" customWidth="1"/>
    <col min="56" max="56" width="21" bestFit="1" customWidth="1"/>
    <col min="57" max="57" width="20.85546875" bestFit="1" customWidth="1"/>
    <col min="58" max="58" width="14" bestFit="1" customWidth="1"/>
  </cols>
  <sheetData>
    <row r="1" spans="1:58">
      <c r="A1" s="74" t="s">
        <v>2180</v>
      </c>
    </row>
    <row r="3" spans="1:5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2181</v>
      </c>
      <c r="AF3" t="s">
        <v>2182</v>
      </c>
      <c r="AG3" t="s">
        <v>2183</v>
      </c>
      <c r="AH3" t="s">
        <v>2184</v>
      </c>
      <c r="AI3" t="s">
        <v>2185</v>
      </c>
      <c r="AJ3" t="s">
        <v>2186</v>
      </c>
      <c r="AK3" t="s">
        <v>2187</v>
      </c>
      <c r="AL3" t="s">
        <v>2188</v>
      </c>
      <c r="AM3" t="s">
        <v>2189</v>
      </c>
      <c r="AN3" t="s">
        <v>2190</v>
      </c>
      <c r="AO3" t="s">
        <v>2191</v>
      </c>
      <c r="AP3" t="s">
        <v>2192</v>
      </c>
      <c r="AQ3" t="s">
        <v>2193</v>
      </c>
      <c r="AR3" t="s">
        <v>2194</v>
      </c>
      <c r="AS3" t="s">
        <v>2195</v>
      </c>
      <c r="AT3" t="s">
        <v>2196</v>
      </c>
      <c r="AU3" t="s">
        <v>2197</v>
      </c>
      <c r="AV3" t="s">
        <v>2198</v>
      </c>
      <c r="AW3" t="s">
        <v>2199</v>
      </c>
      <c r="AX3" t="s">
        <v>2200</v>
      </c>
      <c r="AY3" t="s">
        <v>2201</v>
      </c>
      <c r="AZ3" t="s">
        <v>2202</v>
      </c>
      <c r="BA3" t="s">
        <v>2203</v>
      </c>
      <c r="BB3" t="s">
        <v>2204</v>
      </c>
      <c r="BC3" t="s">
        <v>2205</v>
      </c>
      <c r="BD3" t="s">
        <v>2206</v>
      </c>
      <c r="BE3" t="s">
        <v>2207</v>
      </c>
      <c r="BF3" t="s">
        <v>2208</v>
      </c>
    </row>
    <row r="4" spans="1:58">
      <c r="A4" t="s">
        <v>1540</v>
      </c>
      <c r="B4" t="s">
        <v>1086</v>
      </c>
      <c r="C4" t="s">
        <v>447</v>
      </c>
      <c r="D4" t="s">
        <v>725</v>
      </c>
      <c r="E4" t="s">
        <v>35</v>
      </c>
      <c r="F4" t="s">
        <v>116</v>
      </c>
      <c r="G4" t="s">
        <v>37</v>
      </c>
      <c r="H4" t="s">
        <v>58</v>
      </c>
      <c r="I4" t="s">
        <v>71</v>
      </c>
      <c r="J4" t="s">
        <v>172</v>
      </c>
      <c r="K4">
        <v>4</v>
      </c>
      <c r="L4">
        <v>1800</v>
      </c>
      <c r="M4">
        <v>0.15</v>
      </c>
      <c r="N4">
        <v>6120</v>
      </c>
      <c r="O4">
        <v>3913.47</v>
      </c>
      <c r="P4">
        <v>2206.5300000000002</v>
      </c>
      <c r="Q4">
        <v>36.049999999999997</v>
      </c>
      <c r="R4" t="s">
        <v>41</v>
      </c>
      <c r="S4" t="s">
        <v>62</v>
      </c>
      <c r="T4" t="s">
        <v>138</v>
      </c>
      <c r="U4" t="s">
        <v>64</v>
      </c>
      <c r="V4">
        <v>2024</v>
      </c>
      <c r="W4" t="s">
        <v>126</v>
      </c>
      <c r="X4">
        <v>3</v>
      </c>
      <c r="Y4" s="73">
        <v>45689</v>
      </c>
      <c r="Z4" t="s">
        <v>47</v>
      </c>
      <c r="AA4" t="s">
        <v>48</v>
      </c>
      <c r="AB4" t="s">
        <v>49</v>
      </c>
      <c r="AC4" t="s">
        <v>50</v>
      </c>
      <c r="AD4">
        <v>2</v>
      </c>
      <c r="AE4" t="s">
        <v>2209</v>
      </c>
      <c r="AF4" t="s">
        <v>2210</v>
      </c>
      <c r="AM4" t="s">
        <v>2211</v>
      </c>
      <c r="AN4" t="s">
        <v>49</v>
      </c>
      <c r="AO4" t="s">
        <v>50</v>
      </c>
      <c r="AP4" t="s">
        <v>50</v>
      </c>
      <c r="AQ4">
        <v>0.36054411764705885</v>
      </c>
    </row>
    <row r="5" spans="1:58">
      <c r="A5" t="s">
        <v>1474</v>
      </c>
      <c r="B5" t="s">
        <v>480</v>
      </c>
      <c r="C5" t="s">
        <v>1149</v>
      </c>
      <c r="D5" t="s">
        <v>1431</v>
      </c>
      <c r="E5" t="s">
        <v>35</v>
      </c>
      <c r="F5" t="s">
        <v>82</v>
      </c>
      <c r="G5" t="s">
        <v>83</v>
      </c>
      <c r="H5" t="s">
        <v>58</v>
      </c>
      <c r="I5" t="s">
        <v>71</v>
      </c>
      <c r="J5" t="s">
        <v>117</v>
      </c>
      <c r="K5">
        <v>1</v>
      </c>
      <c r="L5">
        <v>700</v>
      </c>
      <c r="M5">
        <v>0.2</v>
      </c>
      <c r="N5">
        <v>560</v>
      </c>
      <c r="O5">
        <v>373.59</v>
      </c>
      <c r="P5">
        <v>186.41</v>
      </c>
      <c r="Q5">
        <v>33.29</v>
      </c>
      <c r="R5" t="s">
        <v>73</v>
      </c>
      <c r="S5" t="s">
        <v>62</v>
      </c>
      <c r="T5" t="s">
        <v>138</v>
      </c>
      <c r="U5" t="s">
        <v>87</v>
      </c>
      <c r="V5">
        <v>2025</v>
      </c>
      <c r="W5" t="s">
        <v>126</v>
      </c>
      <c r="X5">
        <v>6</v>
      </c>
      <c r="Y5" s="73">
        <v>45699</v>
      </c>
      <c r="Z5" t="s">
        <v>89</v>
      </c>
      <c r="AA5" t="s">
        <v>67</v>
      </c>
      <c r="AB5" t="s">
        <v>111</v>
      </c>
      <c r="AC5" t="s">
        <v>121</v>
      </c>
      <c r="AD5">
        <v>4</v>
      </c>
      <c r="AE5" t="s">
        <v>118</v>
      </c>
      <c r="AF5" t="s">
        <v>2212</v>
      </c>
      <c r="AM5" t="s">
        <v>2211</v>
      </c>
      <c r="AN5" t="s">
        <v>49</v>
      </c>
      <c r="AO5" t="s">
        <v>50</v>
      </c>
      <c r="AP5" t="s">
        <v>50</v>
      </c>
      <c r="AQ5">
        <v>0.33287499999999998</v>
      </c>
    </row>
    <row r="6" spans="1:58">
      <c r="A6" t="s">
        <v>1467</v>
      </c>
      <c r="B6" s="73">
        <v>45294</v>
      </c>
      <c r="C6" t="s">
        <v>1468</v>
      </c>
      <c r="D6" t="s">
        <v>1469</v>
      </c>
      <c r="E6" t="s">
        <v>103</v>
      </c>
      <c r="F6" t="s">
        <v>144</v>
      </c>
      <c r="G6" t="s">
        <v>145</v>
      </c>
      <c r="H6" t="s">
        <v>58</v>
      </c>
      <c r="I6" t="s">
        <v>71</v>
      </c>
      <c r="J6" t="s">
        <v>117</v>
      </c>
      <c r="K6">
        <v>8</v>
      </c>
      <c r="L6">
        <v>1800</v>
      </c>
      <c r="M6">
        <v>0.15</v>
      </c>
      <c r="N6">
        <v>12240</v>
      </c>
      <c r="O6">
        <v>9467.99</v>
      </c>
      <c r="P6">
        <v>2772.01</v>
      </c>
      <c r="Q6">
        <v>22.65</v>
      </c>
      <c r="R6" t="s">
        <v>73</v>
      </c>
      <c r="S6" t="s">
        <v>62</v>
      </c>
      <c r="T6" t="s">
        <v>75</v>
      </c>
      <c r="U6" t="s">
        <v>178</v>
      </c>
      <c r="V6">
        <v>2024</v>
      </c>
      <c r="W6" t="s">
        <v>194</v>
      </c>
      <c r="X6">
        <v>6</v>
      </c>
      <c r="Y6" s="73">
        <v>45476</v>
      </c>
      <c r="Z6" t="s">
        <v>47</v>
      </c>
      <c r="AA6" t="s">
        <v>67</v>
      </c>
      <c r="AB6" t="s">
        <v>111</v>
      </c>
      <c r="AC6" t="s">
        <v>121</v>
      </c>
      <c r="AD6">
        <v>1</v>
      </c>
      <c r="AE6" t="s">
        <v>2213</v>
      </c>
      <c r="AF6" t="s">
        <v>2214</v>
      </c>
      <c r="AM6" t="s">
        <v>2215</v>
      </c>
      <c r="AN6" t="s">
        <v>78</v>
      </c>
      <c r="AO6" t="s">
        <v>50</v>
      </c>
      <c r="AP6" t="s">
        <v>50</v>
      </c>
      <c r="AQ6">
        <v>0.22647140522875819</v>
      </c>
      <c r="AS6">
        <v>196</v>
      </c>
      <c r="AT6">
        <v>2098.6479591836733</v>
      </c>
      <c r="AU6" t="s">
        <v>171</v>
      </c>
      <c r="AV6" t="s">
        <v>84</v>
      </c>
      <c r="AW6">
        <v>411335</v>
      </c>
      <c r="BD6">
        <v>7518642.5</v>
      </c>
    </row>
    <row r="7" spans="1:58">
      <c r="A7" t="s">
        <v>1686</v>
      </c>
      <c r="B7" t="s">
        <v>1340</v>
      </c>
      <c r="C7" t="s">
        <v>1093</v>
      </c>
      <c r="D7" t="s">
        <v>413</v>
      </c>
      <c r="E7" t="s">
        <v>35</v>
      </c>
      <c r="F7" t="s">
        <v>245</v>
      </c>
      <c r="G7" t="s">
        <v>246</v>
      </c>
      <c r="H7" t="s">
        <v>58</v>
      </c>
      <c r="I7" t="s">
        <v>71</v>
      </c>
      <c r="J7" t="s">
        <v>172</v>
      </c>
      <c r="K7">
        <v>8</v>
      </c>
      <c r="L7">
        <v>3500</v>
      </c>
      <c r="M7">
        <v>0.2</v>
      </c>
      <c r="N7">
        <v>22400</v>
      </c>
      <c r="O7">
        <v>13844.24</v>
      </c>
      <c r="P7">
        <v>8555.76</v>
      </c>
      <c r="Q7">
        <v>38.200000000000003</v>
      </c>
      <c r="R7" t="s">
        <v>61</v>
      </c>
      <c r="S7" t="s">
        <v>42</v>
      </c>
      <c r="T7" t="s">
        <v>63</v>
      </c>
      <c r="U7" t="s">
        <v>218</v>
      </c>
      <c r="V7">
        <v>2024</v>
      </c>
      <c r="W7" t="s">
        <v>126</v>
      </c>
      <c r="X7">
        <v>1</v>
      </c>
      <c r="Y7" t="s">
        <v>1687</v>
      </c>
      <c r="Z7" t="s">
        <v>110</v>
      </c>
      <c r="AA7" t="s">
        <v>48</v>
      </c>
      <c r="AB7" t="s">
        <v>78</v>
      </c>
      <c r="AC7" t="s">
        <v>121</v>
      </c>
      <c r="AD7">
        <v>3</v>
      </c>
      <c r="AE7" t="s">
        <v>2216</v>
      </c>
      <c r="AF7" t="s">
        <v>2217</v>
      </c>
      <c r="AM7" t="s">
        <v>2211</v>
      </c>
      <c r="AN7" t="s">
        <v>78</v>
      </c>
      <c r="AO7" t="s">
        <v>50</v>
      </c>
      <c r="AP7" t="s">
        <v>121</v>
      </c>
      <c r="AQ7">
        <v>0.38195357142857145</v>
      </c>
    </row>
    <row r="8" spans="1:58">
      <c r="A8" t="s">
        <v>496</v>
      </c>
      <c r="B8" t="s">
        <v>497</v>
      </c>
      <c r="C8" t="s">
        <v>498</v>
      </c>
      <c r="D8" t="s">
        <v>499</v>
      </c>
      <c r="E8" t="s">
        <v>35</v>
      </c>
      <c r="F8" t="s">
        <v>144</v>
      </c>
      <c r="G8" t="s">
        <v>145</v>
      </c>
      <c r="H8" t="s">
        <v>58</v>
      </c>
      <c r="I8" t="s">
        <v>71</v>
      </c>
      <c r="J8" t="s">
        <v>172</v>
      </c>
      <c r="K8">
        <v>1</v>
      </c>
      <c r="L8">
        <v>2500</v>
      </c>
      <c r="M8">
        <v>0.2</v>
      </c>
      <c r="N8">
        <v>2000</v>
      </c>
      <c r="O8">
        <v>1232.23</v>
      </c>
      <c r="P8">
        <v>767.77</v>
      </c>
      <c r="Q8">
        <v>38.39</v>
      </c>
      <c r="R8" t="s">
        <v>73</v>
      </c>
      <c r="S8" t="s">
        <v>62</v>
      </c>
      <c r="T8" t="s">
        <v>75</v>
      </c>
      <c r="U8" t="s">
        <v>87</v>
      </c>
      <c r="V8">
        <v>2024</v>
      </c>
      <c r="W8" t="s">
        <v>134</v>
      </c>
      <c r="X8">
        <v>5</v>
      </c>
      <c r="Y8" t="s">
        <v>500</v>
      </c>
      <c r="Z8" t="s">
        <v>110</v>
      </c>
      <c r="AA8" t="s">
        <v>67</v>
      </c>
      <c r="AB8" t="s">
        <v>78</v>
      </c>
      <c r="AC8" t="s">
        <v>121</v>
      </c>
      <c r="AD8">
        <v>3</v>
      </c>
      <c r="AE8" t="s">
        <v>2218</v>
      </c>
      <c r="AF8" t="s">
        <v>2219</v>
      </c>
      <c r="AM8" t="s">
        <v>2211</v>
      </c>
      <c r="AN8" t="s">
        <v>49</v>
      </c>
      <c r="AO8" t="s">
        <v>50</v>
      </c>
      <c r="AP8" t="s">
        <v>50</v>
      </c>
      <c r="AQ8">
        <v>0.38388499999999998</v>
      </c>
    </row>
    <row r="9" spans="1:58">
      <c r="A9" t="s">
        <v>442</v>
      </c>
      <c r="B9" t="s">
        <v>443</v>
      </c>
      <c r="C9" t="s">
        <v>444</v>
      </c>
      <c r="D9" t="s">
        <v>313</v>
      </c>
      <c r="E9" t="s">
        <v>55</v>
      </c>
      <c r="F9" t="s">
        <v>116</v>
      </c>
      <c r="G9" t="s">
        <v>37</v>
      </c>
      <c r="H9" t="s">
        <v>58</v>
      </c>
      <c r="I9" t="s">
        <v>71</v>
      </c>
      <c r="J9" t="s">
        <v>172</v>
      </c>
      <c r="K9">
        <v>9</v>
      </c>
      <c r="L9">
        <v>2500</v>
      </c>
      <c r="M9">
        <v>0.05</v>
      </c>
      <c r="N9">
        <v>21375</v>
      </c>
      <c r="O9">
        <v>16794.560000000001</v>
      </c>
      <c r="P9">
        <v>4580.4399999999996</v>
      </c>
      <c r="Q9">
        <v>21.43</v>
      </c>
      <c r="R9" t="s">
        <v>41</v>
      </c>
      <c r="S9" t="s">
        <v>74</v>
      </c>
      <c r="T9" t="s">
        <v>159</v>
      </c>
      <c r="U9" t="s">
        <v>151</v>
      </c>
      <c r="V9">
        <v>2024</v>
      </c>
      <c r="W9" t="s">
        <v>109</v>
      </c>
      <c r="X9">
        <v>10</v>
      </c>
      <c r="Y9" s="73">
        <v>45330</v>
      </c>
      <c r="Z9" t="s">
        <v>47</v>
      </c>
      <c r="AA9" t="s">
        <v>90</v>
      </c>
      <c r="AB9" t="s">
        <v>49</v>
      </c>
      <c r="AC9" t="s">
        <v>50</v>
      </c>
      <c r="AD9">
        <v>4</v>
      </c>
      <c r="AE9" t="s">
        <v>2220</v>
      </c>
      <c r="AF9" t="s">
        <v>2217</v>
      </c>
      <c r="AM9" t="s">
        <v>2215</v>
      </c>
      <c r="AN9" t="s">
        <v>78</v>
      </c>
      <c r="AO9" t="s">
        <v>50</v>
      </c>
      <c r="AP9" t="s">
        <v>121</v>
      </c>
      <c r="AQ9">
        <v>0.21428959064327482</v>
      </c>
    </row>
    <row r="10" spans="1:58">
      <c r="A10" t="s">
        <v>1526</v>
      </c>
      <c r="B10" s="73">
        <v>45297</v>
      </c>
      <c r="C10" t="s">
        <v>570</v>
      </c>
      <c r="D10" t="s">
        <v>313</v>
      </c>
      <c r="E10" t="s">
        <v>35</v>
      </c>
      <c r="F10" t="s">
        <v>116</v>
      </c>
      <c r="G10" t="s">
        <v>37</v>
      </c>
      <c r="H10" t="s">
        <v>58</v>
      </c>
      <c r="I10" t="s">
        <v>71</v>
      </c>
      <c r="J10" t="s">
        <v>240</v>
      </c>
      <c r="K10">
        <v>5</v>
      </c>
      <c r="L10">
        <v>700</v>
      </c>
      <c r="M10">
        <v>0</v>
      </c>
      <c r="N10">
        <v>3500</v>
      </c>
      <c r="O10">
        <v>2064.65</v>
      </c>
      <c r="P10">
        <v>1435.35</v>
      </c>
      <c r="Q10">
        <v>41.01</v>
      </c>
      <c r="R10" t="s">
        <v>41</v>
      </c>
      <c r="S10" t="s">
        <v>62</v>
      </c>
      <c r="T10" t="s">
        <v>159</v>
      </c>
      <c r="U10" t="s">
        <v>160</v>
      </c>
      <c r="V10">
        <v>2024</v>
      </c>
      <c r="W10" t="s">
        <v>65</v>
      </c>
      <c r="X10">
        <v>3</v>
      </c>
      <c r="Y10" s="73">
        <v>45388</v>
      </c>
      <c r="Z10" t="s">
        <v>47</v>
      </c>
      <c r="AA10" t="s">
        <v>90</v>
      </c>
      <c r="AB10" t="s">
        <v>49</v>
      </c>
      <c r="AC10" t="s">
        <v>50</v>
      </c>
      <c r="AD10">
        <v>2</v>
      </c>
      <c r="AE10" t="s">
        <v>2220</v>
      </c>
      <c r="AF10" t="s">
        <v>2217</v>
      </c>
      <c r="AM10" t="s">
        <v>2211</v>
      </c>
      <c r="AN10" t="s">
        <v>49</v>
      </c>
      <c r="AO10" t="s">
        <v>50</v>
      </c>
      <c r="AP10" t="s">
        <v>50</v>
      </c>
      <c r="AQ10">
        <v>0.41009999999999996</v>
      </c>
    </row>
    <row r="11" spans="1:58">
      <c r="A11" t="s">
        <v>2123</v>
      </c>
      <c r="B11" t="s">
        <v>1125</v>
      </c>
      <c r="C11" t="s">
        <v>347</v>
      </c>
      <c r="D11" t="s">
        <v>512</v>
      </c>
      <c r="E11" t="s">
        <v>35</v>
      </c>
      <c r="F11" t="s">
        <v>36</v>
      </c>
      <c r="G11" t="s">
        <v>37</v>
      </c>
      <c r="H11" t="s">
        <v>58</v>
      </c>
      <c r="I11" t="s">
        <v>71</v>
      </c>
      <c r="J11" t="s">
        <v>240</v>
      </c>
      <c r="K11">
        <v>10</v>
      </c>
      <c r="L11">
        <v>3500</v>
      </c>
      <c r="M11">
        <v>0.1</v>
      </c>
      <c r="N11">
        <v>31500</v>
      </c>
      <c r="O11">
        <v>23234.21</v>
      </c>
      <c r="P11">
        <v>8265.7900000000009</v>
      </c>
      <c r="Q11">
        <v>26.24</v>
      </c>
      <c r="R11" t="s">
        <v>73</v>
      </c>
      <c r="S11" t="s">
        <v>74</v>
      </c>
      <c r="T11" t="s">
        <v>159</v>
      </c>
      <c r="U11" t="s">
        <v>218</v>
      </c>
      <c r="V11">
        <v>2024</v>
      </c>
      <c r="W11" t="s">
        <v>139</v>
      </c>
      <c r="X11">
        <v>1</v>
      </c>
      <c r="Y11" t="s">
        <v>835</v>
      </c>
      <c r="Z11" t="s">
        <v>47</v>
      </c>
      <c r="AA11" t="s">
        <v>90</v>
      </c>
      <c r="AB11" t="s">
        <v>78</v>
      </c>
      <c r="AC11" t="s">
        <v>50</v>
      </c>
      <c r="AD11">
        <v>4</v>
      </c>
      <c r="AE11" t="s">
        <v>2221</v>
      </c>
      <c r="AF11" t="s">
        <v>2222</v>
      </c>
      <c r="AM11" t="s">
        <v>2215</v>
      </c>
      <c r="AN11" t="s">
        <v>111</v>
      </c>
      <c r="AO11" t="s">
        <v>50</v>
      </c>
      <c r="AP11" t="s">
        <v>121</v>
      </c>
      <c r="AQ11">
        <v>0.26240603174603178</v>
      </c>
    </row>
    <row r="12" spans="1:58">
      <c r="A12" t="s">
        <v>1647</v>
      </c>
      <c r="B12" t="s">
        <v>1648</v>
      </c>
      <c r="C12" t="s">
        <v>1352</v>
      </c>
      <c r="D12" t="s">
        <v>758</v>
      </c>
      <c r="E12" t="s">
        <v>35</v>
      </c>
      <c r="F12" t="s">
        <v>245</v>
      </c>
      <c r="G12" t="s">
        <v>246</v>
      </c>
      <c r="H12" t="s">
        <v>58</v>
      </c>
      <c r="I12" t="s">
        <v>71</v>
      </c>
      <c r="J12" t="s">
        <v>158</v>
      </c>
      <c r="K12">
        <v>1</v>
      </c>
      <c r="L12">
        <v>2500</v>
      </c>
      <c r="M12">
        <v>0</v>
      </c>
      <c r="N12">
        <v>2500</v>
      </c>
      <c r="O12">
        <v>1699.14</v>
      </c>
      <c r="P12">
        <v>800.86</v>
      </c>
      <c r="Q12">
        <v>32.03</v>
      </c>
      <c r="R12" t="s">
        <v>61</v>
      </c>
      <c r="S12" t="s">
        <v>42</v>
      </c>
      <c r="T12" t="s">
        <v>107</v>
      </c>
      <c r="U12" t="s">
        <v>44</v>
      </c>
      <c r="V12">
        <v>2025</v>
      </c>
      <c r="W12" t="s">
        <v>109</v>
      </c>
      <c r="X12">
        <v>1</v>
      </c>
      <c r="Y12" t="s">
        <v>1397</v>
      </c>
      <c r="Z12" t="s">
        <v>47</v>
      </c>
      <c r="AA12" t="s">
        <v>67</v>
      </c>
      <c r="AB12" t="s">
        <v>49</v>
      </c>
      <c r="AC12" t="s">
        <v>50</v>
      </c>
      <c r="AD12">
        <v>2</v>
      </c>
      <c r="AE12" t="s">
        <v>86</v>
      </c>
      <c r="AF12" t="s">
        <v>2223</v>
      </c>
      <c r="AM12" t="s">
        <v>2211</v>
      </c>
      <c r="AN12" t="s">
        <v>49</v>
      </c>
      <c r="AO12" t="s">
        <v>50</v>
      </c>
      <c r="AP12" t="s">
        <v>121</v>
      </c>
      <c r="AQ12">
        <v>0.32034400000000002</v>
      </c>
    </row>
    <row r="13" spans="1:58">
      <c r="A13" t="s">
        <v>400</v>
      </c>
      <c r="B13" t="s">
        <v>401</v>
      </c>
      <c r="C13" t="s">
        <v>402</v>
      </c>
      <c r="D13" t="s">
        <v>403</v>
      </c>
      <c r="E13" t="s">
        <v>55</v>
      </c>
      <c r="F13" t="s">
        <v>56</v>
      </c>
      <c r="G13" t="s">
        <v>57</v>
      </c>
      <c r="H13" t="s">
        <v>58</v>
      </c>
      <c r="I13" t="s">
        <v>71</v>
      </c>
      <c r="J13" t="s">
        <v>117</v>
      </c>
      <c r="K13">
        <v>3</v>
      </c>
      <c r="L13">
        <v>2500</v>
      </c>
      <c r="M13">
        <v>0.2</v>
      </c>
      <c r="N13">
        <v>6000</v>
      </c>
      <c r="O13">
        <v>4205.13</v>
      </c>
      <c r="P13">
        <v>1794.87</v>
      </c>
      <c r="Q13">
        <v>29.91</v>
      </c>
      <c r="R13" t="s">
        <v>166</v>
      </c>
      <c r="S13" t="s">
        <v>74</v>
      </c>
      <c r="T13" t="s">
        <v>138</v>
      </c>
      <c r="U13" t="s">
        <v>64</v>
      </c>
      <c r="V13">
        <v>2025</v>
      </c>
      <c r="W13" t="s">
        <v>45</v>
      </c>
      <c r="X13">
        <v>4</v>
      </c>
      <c r="Y13" t="s">
        <v>136</v>
      </c>
      <c r="Z13" t="s">
        <v>89</v>
      </c>
      <c r="AA13" t="s">
        <v>90</v>
      </c>
      <c r="AB13" t="s">
        <v>78</v>
      </c>
      <c r="AC13" t="s">
        <v>50</v>
      </c>
      <c r="AD13">
        <v>5</v>
      </c>
      <c r="AE13" t="s">
        <v>159</v>
      </c>
      <c r="AF13" t="s">
        <v>2224</v>
      </c>
      <c r="AM13" t="s">
        <v>2215</v>
      </c>
      <c r="AN13" t="s">
        <v>49</v>
      </c>
      <c r="AO13" t="s">
        <v>50</v>
      </c>
      <c r="AP13" t="s">
        <v>121</v>
      </c>
      <c r="AQ13">
        <v>0.29914499999999999</v>
      </c>
    </row>
    <row r="14" spans="1:58">
      <c r="A14" t="s">
        <v>1521</v>
      </c>
      <c r="B14" t="s">
        <v>1445</v>
      </c>
      <c r="C14" t="s">
        <v>919</v>
      </c>
      <c r="D14" t="s">
        <v>1162</v>
      </c>
      <c r="E14" t="s">
        <v>103</v>
      </c>
      <c r="F14" t="s">
        <v>36</v>
      </c>
      <c r="G14" t="s">
        <v>37</v>
      </c>
      <c r="H14" t="s">
        <v>58</v>
      </c>
      <c r="I14" t="s">
        <v>71</v>
      </c>
      <c r="J14" t="s">
        <v>158</v>
      </c>
      <c r="K14">
        <v>1</v>
      </c>
      <c r="L14">
        <v>700</v>
      </c>
      <c r="M14">
        <v>0</v>
      </c>
      <c r="N14">
        <v>700</v>
      </c>
      <c r="O14">
        <v>431.94</v>
      </c>
      <c r="P14">
        <v>268.06</v>
      </c>
      <c r="Q14">
        <v>38.29</v>
      </c>
      <c r="R14" t="s">
        <v>106</v>
      </c>
      <c r="S14" t="s">
        <v>74</v>
      </c>
      <c r="T14" t="s">
        <v>107</v>
      </c>
      <c r="U14" t="s">
        <v>87</v>
      </c>
      <c r="V14">
        <v>2025</v>
      </c>
      <c r="W14" t="s">
        <v>109</v>
      </c>
      <c r="X14">
        <v>1</v>
      </c>
      <c r="Y14" t="s">
        <v>1004</v>
      </c>
      <c r="Z14" t="s">
        <v>47</v>
      </c>
      <c r="AA14" t="s">
        <v>48</v>
      </c>
      <c r="AB14" t="s">
        <v>78</v>
      </c>
      <c r="AC14" t="s">
        <v>121</v>
      </c>
      <c r="AD14">
        <v>2</v>
      </c>
      <c r="AE14" t="s">
        <v>2225</v>
      </c>
      <c r="AF14" t="s">
        <v>2222</v>
      </c>
      <c r="AM14" t="s">
        <v>2211</v>
      </c>
      <c r="AN14" t="s">
        <v>49</v>
      </c>
      <c r="AO14" t="s">
        <v>50</v>
      </c>
      <c r="AP14" t="s">
        <v>121</v>
      </c>
      <c r="AQ14">
        <v>0.38294285714285714</v>
      </c>
    </row>
    <row r="15" spans="1:58">
      <c r="A15" t="s">
        <v>2140</v>
      </c>
      <c r="B15" t="s">
        <v>795</v>
      </c>
      <c r="C15" t="s">
        <v>1129</v>
      </c>
      <c r="D15" t="s">
        <v>707</v>
      </c>
      <c r="E15" t="s">
        <v>103</v>
      </c>
      <c r="F15" t="s">
        <v>104</v>
      </c>
      <c r="G15" t="s">
        <v>104</v>
      </c>
      <c r="H15" t="s">
        <v>58</v>
      </c>
      <c r="I15" t="s">
        <v>71</v>
      </c>
      <c r="J15" t="s">
        <v>172</v>
      </c>
      <c r="K15">
        <v>6</v>
      </c>
      <c r="L15">
        <v>700</v>
      </c>
      <c r="M15">
        <v>0.15</v>
      </c>
      <c r="N15">
        <v>3570</v>
      </c>
      <c r="O15">
        <v>2708.04</v>
      </c>
      <c r="P15">
        <v>861.96</v>
      </c>
      <c r="Q15">
        <v>24.14</v>
      </c>
      <c r="R15" t="s">
        <v>61</v>
      </c>
      <c r="S15" t="s">
        <v>42</v>
      </c>
      <c r="T15" t="s">
        <v>86</v>
      </c>
      <c r="U15" t="s">
        <v>108</v>
      </c>
      <c r="V15">
        <v>2025</v>
      </c>
      <c r="W15" t="s">
        <v>65</v>
      </c>
      <c r="X15">
        <v>10</v>
      </c>
      <c r="Y15" t="s">
        <v>1615</v>
      </c>
      <c r="Z15" t="s">
        <v>47</v>
      </c>
      <c r="AA15" t="s">
        <v>67</v>
      </c>
      <c r="AB15" t="s">
        <v>78</v>
      </c>
      <c r="AC15" t="s">
        <v>121</v>
      </c>
      <c r="AD15">
        <v>3</v>
      </c>
      <c r="AE15" t="s">
        <v>2226</v>
      </c>
      <c r="AF15" t="s">
        <v>2210</v>
      </c>
      <c r="AM15" t="s">
        <v>2215</v>
      </c>
      <c r="AN15" t="s">
        <v>49</v>
      </c>
      <c r="AO15" t="s">
        <v>50</v>
      </c>
      <c r="AP15" t="s">
        <v>121</v>
      </c>
      <c r="AQ15">
        <v>0.24144537815126052</v>
      </c>
    </row>
    <row r="16" spans="1:58">
      <c r="A16" t="s">
        <v>1683</v>
      </c>
      <c r="B16" t="s">
        <v>780</v>
      </c>
      <c r="C16" t="s">
        <v>812</v>
      </c>
      <c r="D16" t="s">
        <v>1476</v>
      </c>
      <c r="E16" t="s">
        <v>55</v>
      </c>
      <c r="F16" t="s">
        <v>56</v>
      </c>
      <c r="G16" t="s">
        <v>57</v>
      </c>
      <c r="H16" t="s">
        <v>58</v>
      </c>
      <c r="I16" t="s">
        <v>71</v>
      </c>
      <c r="J16" t="s">
        <v>240</v>
      </c>
      <c r="K16">
        <v>7</v>
      </c>
      <c r="L16">
        <v>700</v>
      </c>
      <c r="M16">
        <v>0.05</v>
      </c>
      <c r="N16">
        <v>4655</v>
      </c>
      <c r="O16">
        <v>3167.75</v>
      </c>
      <c r="P16">
        <v>1487.25</v>
      </c>
      <c r="Q16">
        <v>31.95</v>
      </c>
      <c r="R16" t="s">
        <v>166</v>
      </c>
      <c r="S16" t="s">
        <v>42</v>
      </c>
      <c r="T16" t="s">
        <v>75</v>
      </c>
      <c r="U16" t="s">
        <v>98</v>
      </c>
      <c r="V16">
        <v>2025</v>
      </c>
      <c r="W16" t="s">
        <v>139</v>
      </c>
      <c r="X16">
        <v>9</v>
      </c>
      <c r="Y16" s="73">
        <v>45660</v>
      </c>
      <c r="Z16" t="s">
        <v>47</v>
      </c>
      <c r="AA16" t="s">
        <v>67</v>
      </c>
      <c r="AB16" t="s">
        <v>111</v>
      </c>
      <c r="AC16" t="s">
        <v>121</v>
      </c>
      <c r="AD16">
        <v>4</v>
      </c>
      <c r="AE16" t="s">
        <v>2227</v>
      </c>
      <c r="AF16" t="s">
        <v>2212</v>
      </c>
      <c r="AM16" t="s">
        <v>2211</v>
      </c>
      <c r="AN16" t="s">
        <v>49</v>
      </c>
      <c r="AO16" t="s">
        <v>50</v>
      </c>
      <c r="AP16" t="s">
        <v>121</v>
      </c>
      <c r="AQ16">
        <v>0.3194951664876477</v>
      </c>
    </row>
    <row r="17" spans="1:43">
      <c r="A17" t="s">
        <v>1253</v>
      </c>
      <c r="B17" t="s">
        <v>1054</v>
      </c>
      <c r="C17" t="s">
        <v>1254</v>
      </c>
      <c r="D17" t="s">
        <v>594</v>
      </c>
      <c r="E17" t="s">
        <v>103</v>
      </c>
      <c r="F17" t="s">
        <v>144</v>
      </c>
      <c r="G17" t="s">
        <v>145</v>
      </c>
      <c r="H17" t="s">
        <v>58</v>
      </c>
      <c r="I17" t="s">
        <v>71</v>
      </c>
      <c r="J17" t="s">
        <v>117</v>
      </c>
      <c r="K17">
        <v>7</v>
      </c>
      <c r="L17">
        <v>1200</v>
      </c>
      <c r="M17">
        <v>0.05</v>
      </c>
      <c r="N17">
        <v>7980</v>
      </c>
      <c r="O17">
        <v>6478.8</v>
      </c>
      <c r="P17">
        <v>1501.2</v>
      </c>
      <c r="Q17">
        <v>18.809999999999999</v>
      </c>
      <c r="R17" t="s">
        <v>166</v>
      </c>
      <c r="S17" t="s">
        <v>42</v>
      </c>
      <c r="T17" t="s">
        <v>97</v>
      </c>
      <c r="U17" t="s">
        <v>44</v>
      </c>
      <c r="V17">
        <v>2024</v>
      </c>
      <c r="W17" t="s">
        <v>194</v>
      </c>
      <c r="X17">
        <v>3</v>
      </c>
      <c r="Y17" t="s">
        <v>839</v>
      </c>
      <c r="Z17" t="s">
        <v>47</v>
      </c>
      <c r="AA17" t="s">
        <v>48</v>
      </c>
      <c r="AB17" t="s">
        <v>49</v>
      </c>
      <c r="AC17" t="s">
        <v>50</v>
      </c>
      <c r="AD17">
        <v>5</v>
      </c>
      <c r="AE17" t="s">
        <v>2221</v>
      </c>
      <c r="AF17" t="s">
        <v>2228</v>
      </c>
      <c r="AM17" t="s">
        <v>2215</v>
      </c>
      <c r="AN17" t="s">
        <v>49</v>
      </c>
      <c r="AO17" t="s">
        <v>50</v>
      </c>
      <c r="AP17" t="s">
        <v>121</v>
      </c>
      <c r="AQ17">
        <v>0.18812030075187972</v>
      </c>
    </row>
    <row r="18" spans="1:43">
      <c r="A18" t="s">
        <v>1891</v>
      </c>
      <c r="B18" t="s">
        <v>1374</v>
      </c>
      <c r="C18" t="s">
        <v>691</v>
      </c>
      <c r="D18" t="s">
        <v>1166</v>
      </c>
      <c r="E18" t="s">
        <v>35</v>
      </c>
      <c r="F18" t="s">
        <v>36</v>
      </c>
      <c r="G18" t="s">
        <v>37</v>
      </c>
      <c r="H18" t="s">
        <v>58</v>
      </c>
      <c r="I18" t="s">
        <v>71</v>
      </c>
      <c r="J18" t="s">
        <v>158</v>
      </c>
      <c r="K18">
        <v>1</v>
      </c>
      <c r="L18">
        <v>700</v>
      </c>
      <c r="M18">
        <v>0.15</v>
      </c>
      <c r="N18">
        <v>595</v>
      </c>
      <c r="O18">
        <v>355.37</v>
      </c>
      <c r="P18">
        <v>239.63</v>
      </c>
      <c r="Q18">
        <v>40.270000000000003</v>
      </c>
      <c r="R18" t="s">
        <v>61</v>
      </c>
      <c r="S18" t="s">
        <v>42</v>
      </c>
      <c r="T18" t="s">
        <v>159</v>
      </c>
      <c r="U18" t="s">
        <v>178</v>
      </c>
      <c r="V18">
        <v>2025</v>
      </c>
      <c r="W18" t="s">
        <v>109</v>
      </c>
      <c r="X18">
        <v>8</v>
      </c>
      <c r="Y18" t="s">
        <v>1418</v>
      </c>
      <c r="Z18" t="s">
        <v>110</v>
      </c>
      <c r="AA18" t="s">
        <v>48</v>
      </c>
      <c r="AB18" t="s">
        <v>78</v>
      </c>
      <c r="AC18" t="s">
        <v>121</v>
      </c>
      <c r="AD18">
        <v>3</v>
      </c>
      <c r="AE18" t="s">
        <v>2229</v>
      </c>
      <c r="AF18" t="s">
        <v>2230</v>
      </c>
      <c r="AM18" t="s">
        <v>2211</v>
      </c>
      <c r="AN18" t="s">
        <v>49</v>
      </c>
      <c r="AO18" t="s">
        <v>50</v>
      </c>
      <c r="AP18" t="s">
        <v>121</v>
      </c>
      <c r="AQ18">
        <v>0.4027394957983193</v>
      </c>
    </row>
    <row r="19" spans="1:43">
      <c r="A19" t="s">
        <v>265</v>
      </c>
      <c r="B19" t="s">
        <v>266</v>
      </c>
      <c r="C19" t="s">
        <v>267</v>
      </c>
      <c r="D19" t="s">
        <v>268</v>
      </c>
      <c r="E19" t="s">
        <v>35</v>
      </c>
      <c r="F19" t="s">
        <v>82</v>
      </c>
      <c r="G19" t="s">
        <v>83</v>
      </c>
      <c r="H19" t="s">
        <v>58</v>
      </c>
      <c r="I19" t="s">
        <v>71</v>
      </c>
      <c r="J19" t="s">
        <v>172</v>
      </c>
      <c r="K19">
        <v>9</v>
      </c>
      <c r="L19">
        <v>1800</v>
      </c>
      <c r="M19">
        <v>0.15</v>
      </c>
      <c r="N19">
        <v>13770</v>
      </c>
      <c r="O19">
        <v>10186.64</v>
      </c>
      <c r="P19">
        <v>3583.36</v>
      </c>
      <c r="Q19">
        <v>26.02</v>
      </c>
      <c r="R19" t="s">
        <v>73</v>
      </c>
      <c r="S19" t="s">
        <v>62</v>
      </c>
      <c r="T19" t="s">
        <v>173</v>
      </c>
      <c r="U19" t="s">
        <v>151</v>
      </c>
      <c r="V19">
        <v>2025</v>
      </c>
      <c r="W19" t="s">
        <v>139</v>
      </c>
      <c r="X19">
        <v>6</v>
      </c>
      <c r="Y19" t="s">
        <v>269</v>
      </c>
      <c r="Z19" t="s">
        <v>47</v>
      </c>
      <c r="AA19" t="s">
        <v>48</v>
      </c>
      <c r="AB19" t="s">
        <v>111</v>
      </c>
      <c r="AC19" t="s">
        <v>121</v>
      </c>
      <c r="AD19">
        <v>2</v>
      </c>
      <c r="AE19" t="s">
        <v>2218</v>
      </c>
      <c r="AF19" t="s">
        <v>2228</v>
      </c>
      <c r="AM19" t="s">
        <v>2215</v>
      </c>
      <c r="AN19" t="s">
        <v>78</v>
      </c>
      <c r="AO19" t="s">
        <v>50</v>
      </c>
      <c r="AP19" t="s">
        <v>50</v>
      </c>
      <c r="AQ19">
        <v>0.26022948438634713</v>
      </c>
    </row>
    <row r="20" spans="1:43">
      <c r="A20" t="s">
        <v>1078</v>
      </c>
      <c r="B20" t="s">
        <v>474</v>
      </c>
      <c r="C20" t="s">
        <v>938</v>
      </c>
      <c r="D20" t="s">
        <v>913</v>
      </c>
      <c r="E20" t="s">
        <v>55</v>
      </c>
      <c r="F20" t="s">
        <v>144</v>
      </c>
      <c r="G20" t="s">
        <v>145</v>
      </c>
      <c r="H20" t="s">
        <v>58</v>
      </c>
      <c r="I20" t="s">
        <v>71</v>
      </c>
      <c r="J20" t="s">
        <v>172</v>
      </c>
      <c r="K20">
        <v>8</v>
      </c>
      <c r="L20">
        <v>2500</v>
      </c>
      <c r="M20">
        <v>0.05</v>
      </c>
      <c r="N20">
        <v>19000</v>
      </c>
      <c r="O20">
        <v>15473.59</v>
      </c>
      <c r="P20">
        <v>3526.41</v>
      </c>
      <c r="Q20">
        <v>18.559999999999999</v>
      </c>
      <c r="R20" t="s">
        <v>73</v>
      </c>
      <c r="S20" t="s">
        <v>42</v>
      </c>
      <c r="T20" t="s">
        <v>75</v>
      </c>
      <c r="U20" t="s">
        <v>108</v>
      </c>
      <c r="V20">
        <v>2025</v>
      </c>
      <c r="W20" t="s">
        <v>109</v>
      </c>
      <c r="X20">
        <v>4</v>
      </c>
      <c r="Y20" t="s">
        <v>795</v>
      </c>
      <c r="Z20" t="s">
        <v>47</v>
      </c>
      <c r="AA20" t="s">
        <v>67</v>
      </c>
      <c r="AB20" t="s">
        <v>49</v>
      </c>
      <c r="AC20" t="s">
        <v>50</v>
      </c>
      <c r="AD20">
        <v>3</v>
      </c>
      <c r="AE20" t="s">
        <v>2209</v>
      </c>
      <c r="AF20" t="s">
        <v>2231</v>
      </c>
      <c r="AM20" t="s">
        <v>2215</v>
      </c>
      <c r="AN20" t="s">
        <v>78</v>
      </c>
      <c r="AO20" t="s">
        <v>50</v>
      </c>
      <c r="AP20" t="s">
        <v>121</v>
      </c>
      <c r="AQ20">
        <v>0.18560052631578947</v>
      </c>
    </row>
    <row r="21" spans="1:43">
      <c r="A21" t="s">
        <v>2148</v>
      </c>
      <c r="B21" t="s">
        <v>179</v>
      </c>
      <c r="C21" t="s">
        <v>1399</v>
      </c>
      <c r="D21" t="s">
        <v>1405</v>
      </c>
      <c r="E21" t="s">
        <v>35</v>
      </c>
      <c r="F21" t="s">
        <v>116</v>
      </c>
      <c r="G21" t="s">
        <v>37</v>
      </c>
      <c r="H21" t="s">
        <v>58</v>
      </c>
      <c r="I21" t="s">
        <v>71</v>
      </c>
      <c r="J21" t="s">
        <v>117</v>
      </c>
      <c r="K21">
        <v>2</v>
      </c>
      <c r="L21">
        <v>1200</v>
      </c>
      <c r="M21">
        <v>0.15</v>
      </c>
      <c r="N21">
        <v>2040</v>
      </c>
      <c r="O21">
        <v>1631.05</v>
      </c>
      <c r="P21">
        <v>408.95</v>
      </c>
      <c r="Q21">
        <v>20.05</v>
      </c>
      <c r="R21" t="s">
        <v>61</v>
      </c>
      <c r="S21" t="s">
        <v>42</v>
      </c>
      <c r="T21" t="s">
        <v>43</v>
      </c>
      <c r="U21" t="s">
        <v>178</v>
      </c>
      <c r="V21">
        <v>2024</v>
      </c>
      <c r="W21" t="s">
        <v>194</v>
      </c>
      <c r="X21">
        <v>7</v>
      </c>
      <c r="Y21" t="s">
        <v>1817</v>
      </c>
      <c r="Z21" t="s">
        <v>89</v>
      </c>
      <c r="AA21" t="s">
        <v>90</v>
      </c>
      <c r="AB21" t="s">
        <v>49</v>
      </c>
      <c r="AC21" t="s">
        <v>50</v>
      </c>
      <c r="AD21">
        <v>1</v>
      </c>
      <c r="AE21" t="s">
        <v>2232</v>
      </c>
      <c r="AF21" t="s">
        <v>2219</v>
      </c>
      <c r="AM21" t="s">
        <v>2215</v>
      </c>
      <c r="AN21" t="s">
        <v>49</v>
      </c>
      <c r="AO21" t="s">
        <v>50</v>
      </c>
      <c r="AP21" t="s">
        <v>121</v>
      </c>
      <c r="AQ21">
        <v>0.20046568627450981</v>
      </c>
    </row>
    <row r="22" spans="1:43">
      <c r="A22" t="s">
        <v>1032</v>
      </c>
      <c r="B22" s="73">
        <v>45326</v>
      </c>
      <c r="C22" t="s">
        <v>846</v>
      </c>
      <c r="D22" t="s">
        <v>905</v>
      </c>
      <c r="E22" t="s">
        <v>55</v>
      </c>
      <c r="F22" t="s">
        <v>104</v>
      </c>
      <c r="G22" t="s">
        <v>104</v>
      </c>
      <c r="H22" t="s">
        <v>58</v>
      </c>
      <c r="I22" t="s">
        <v>71</v>
      </c>
      <c r="J22" t="s">
        <v>158</v>
      </c>
      <c r="K22">
        <v>10</v>
      </c>
      <c r="L22">
        <v>3500</v>
      </c>
      <c r="M22">
        <v>0.2</v>
      </c>
      <c r="N22">
        <v>28000</v>
      </c>
      <c r="O22">
        <v>17590.759999999998</v>
      </c>
      <c r="P22">
        <v>10409.24</v>
      </c>
      <c r="Q22">
        <v>37.18</v>
      </c>
      <c r="R22" t="s">
        <v>166</v>
      </c>
      <c r="S22" t="s">
        <v>42</v>
      </c>
      <c r="T22" t="s">
        <v>43</v>
      </c>
      <c r="U22" t="s">
        <v>44</v>
      </c>
      <c r="V22">
        <v>2024</v>
      </c>
      <c r="W22" t="s">
        <v>109</v>
      </c>
      <c r="X22">
        <v>4</v>
      </c>
      <c r="Y22" s="73">
        <v>45447</v>
      </c>
      <c r="Z22" t="s">
        <v>110</v>
      </c>
      <c r="AA22" t="s">
        <v>48</v>
      </c>
      <c r="AB22" t="s">
        <v>78</v>
      </c>
      <c r="AC22" t="s">
        <v>50</v>
      </c>
      <c r="AD22">
        <v>1</v>
      </c>
      <c r="AE22" t="s">
        <v>2233</v>
      </c>
      <c r="AF22" t="s">
        <v>2222</v>
      </c>
      <c r="AM22" t="s">
        <v>2211</v>
      </c>
      <c r="AN22" t="s">
        <v>78</v>
      </c>
      <c r="AO22" t="s">
        <v>50</v>
      </c>
      <c r="AP22" t="s">
        <v>121</v>
      </c>
      <c r="AQ22">
        <v>0.37175857142857144</v>
      </c>
    </row>
    <row r="23" spans="1:43">
      <c r="A23" t="s">
        <v>1422</v>
      </c>
      <c r="B23" t="s">
        <v>1423</v>
      </c>
      <c r="C23" t="s">
        <v>812</v>
      </c>
      <c r="D23" t="s">
        <v>1424</v>
      </c>
      <c r="E23" t="s">
        <v>35</v>
      </c>
      <c r="F23" t="s">
        <v>245</v>
      </c>
      <c r="G23" t="s">
        <v>246</v>
      </c>
      <c r="H23" t="s">
        <v>58</v>
      </c>
      <c r="I23" t="s">
        <v>71</v>
      </c>
      <c r="J23" t="s">
        <v>240</v>
      </c>
      <c r="K23">
        <v>3</v>
      </c>
      <c r="L23">
        <v>1200</v>
      </c>
      <c r="M23">
        <v>0</v>
      </c>
      <c r="N23">
        <v>3600</v>
      </c>
      <c r="O23">
        <v>2265.91</v>
      </c>
      <c r="P23">
        <v>1334.09</v>
      </c>
      <c r="Q23">
        <v>37.06</v>
      </c>
      <c r="R23" t="s">
        <v>61</v>
      </c>
      <c r="S23" t="s">
        <v>74</v>
      </c>
      <c r="T23" t="s">
        <v>138</v>
      </c>
      <c r="U23" t="s">
        <v>108</v>
      </c>
      <c r="V23">
        <v>2025</v>
      </c>
      <c r="W23" t="s">
        <v>65</v>
      </c>
      <c r="X23">
        <v>2</v>
      </c>
      <c r="Y23" t="s">
        <v>793</v>
      </c>
      <c r="Z23" t="s">
        <v>47</v>
      </c>
      <c r="AA23" t="s">
        <v>67</v>
      </c>
      <c r="AB23" t="s">
        <v>49</v>
      </c>
      <c r="AC23" t="s">
        <v>121</v>
      </c>
      <c r="AD23">
        <v>1</v>
      </c>
      <c r="AE23" t="s">
        <v>118</v>
      </c>
      <c r="AF23" t="s">
        <v>2222</v>
      </c>
      <c r="AM23" t="s">
        <v>2211</v>
      </c>
      <c r="AN23" t="s">
        <v>49</v>
      </c>
      <c r="AO23" t="s">
        <v>50</v>
      </c>
      <c r="AP23" t="s">
        <v>121</v>
      </c>
      <c r="AQ23">
        <v>0.37058055555555552</v>
      </c>
    </row>
    <row r="24" spans="1:43">
      <c r="A24" t="s">
        <v>1743</v>
      </c>
      <c r="B24" t="s">
        <v>1059</v>
      </c>
      <c r="C24" t="s">
        <v>1145</v>
      </c>
      <c r="D24" t="s">
        <v>546</v>
      </c>
      <c r="E24" t="s">
        <v>55</v>
      </c>
      <c r="F24" t="s">
        <v>144</v>
      </c>
      <c r="G24" t="s">
        <v>145</v>
      </c>
      <c r="H24" t="s">
        <v>58</v>
      </c>
      <c r="I24" t="s">
        <v>71</v>
      </c>
      <c r="J24" t="s">
        <v>172</v>
      </c>
      <c r="K24">
        <v>9</v>
      </c>
      <c r="L24">
        <v>1200</v>
      </c>
      <c r="M24">
        <v>0.05</v>
      </c>
      <c r="N24">
        <v>10260</v>
      </c>
      <c r="O24">
        <v>6128.37</v>
      </c>
      <c r="P24">
        <v>4131.63</v>
      </c>
      <c r="Q24">
        <v>40.270000000000003</v>
      </c>
      <c r="R24" t="s">
        <v>106</v>
      </c>
      <c r="S24" t="s">
        <v>74</v>
      </c>
      <c r="T24" t="s">
        <v>63</v>
      </c>
      <c r="U24" t="s">
        <v>44</v>
      </c>
      <c r="V24">
        <v>2025</v>
      </c>
      <c r="W24" t="s">
        <v>45</v>
      </c>
      <c r="X24">
        <v>6</v>
      </c>
      <c r="Y24" t="s">
        <v>1744</v>
      </c>
      <c r="Z24" t="s">
        <v>47</v>
      </c>
      <c r="AA24" t="s">
        <v>67</v>
      </c>
      <c r="AB24" t="s">
        <v>78</v>
      </c>
      <c r="AC24" t="s">
        <v>121</v>
      </c>
      <c r="AD24">
        <v>5</v>
      </c>
      <c r="AE24" t="s">
        <v>2216</v>
      </c>
      <c r="AF24" t="s">
        <v>2222</v>
      </c>
      <c r="AM24" t="s">
        <v>2211</v>
      </c>
      <c r="AN24" t="s">
        <v>78</v>
      </c>
      <c r="AO24" t="s">
        <v>50</v>
      </c>
      <c r="AP24" t="s">
        <v>121</v>
      </c>
      <c r="AQ24">
        <v>0.40269298245614038</v>
      </c>
    </row>
    <row r="25" spans="1:43">
      <c r="A25" t="s">
        <v>760</v>
      </c>
      <c r="B25" t="s">
        <v>663</v>
      </c>
      <c r="C25" t="s">
        <v>114</v>
      </c>
      <c r="D25" t="s">
        <v>761</v>
      </c>
      <c r="E25" t="s">
        <v>35</v>
      </c>
      <c r="F25" t="s">
        <v>131</v>
      </c>
      <c r="G25" t="s">
        <v>132</v>
      </c>
      <c r="H25" t="s">
        <v>58</v>
      </c>
      <c r="I25" t="s">
        <v>71</v>
      </c>
      <c r="J25" t="s">
        <v>117</v>
      </c>
      <c r="K25">
        <v>1</v>
      </c>
      <c r="L25">
        <v>1800</v>
      </c>
      <c r="M25">
        <v>0</v>
      </c>
      <c r="N25">
        <v>1800</v>
      </c>
      <c r="O25">
        <v>1390.41</v>
      </c>
      <c r="P25">
        <v>409.59</v>
      </c>
      <c r="Q25">
        <v>22.75</v>
      </c>
      <c r="R25" t="s">
        <v>106</v>
      </c>
      <c r="S25" t="s">
        <v>74</v>
      </c>
      <c r="T25" t="s">
        <v>118</v>
      </c>
      <c r="U25" t="s">
        <v>178</v>
      </c>
      <c r="V25">
        <v>2025</v>
      </c>
      <c r="W25" t="s">
        <v>139</v>
      </c>
      <c r="X25">
        <v>2</v>
      </c>
      <c r="Y25" t="s">
        <v>222</v>
      </c>
      <c r="Z25" t="s">
        <v>47</v>
      </c>
      <c r="AA25" t="s">
        <v>48</v>
      </c>
      <c r="AB25" t="s">
        <v>78</v>
      </c>
      <c r="AC25" t="s">
        <v>121</v>
      </c>
      <c r="AD25">
        <v>4</v>
      </c>
      <c r="AE25" t="s">
        <v>2234</v>
      </c>
      <c r="AF25" t="s">
        <v>2219</v>
      </c>
      <c r="AM25" t="s">
        <v>2215</v>
      </c>
      <c r="AN25" t="s">
        <v>49</v>
      </c>
      <c r="AO25" t="s">
        <v>50</v>
      </c>
      <c r="AP25" t="s">
        <v>121</v>
      </c>
      <c r="AQ25">
        <v>0.22754999999999997</v>
      </c>
    </row>
    <row r="26" spans="1:43">
      <c r="A26" t="s">
        <v>1591</v>
      </c>
      <c r="B26" t="s">
        <v>1119</v>
      </c>
      <c r="C26" t="s">
        <v>557</v>
      </c>
      <c r="D26" t="s">
        <v>115</v>
      </c>
      <c r="E26" t="s">
        <v>103</v>
      </c>
      <c r="F26" t="s">
        <v>82</v>
      </c>
      <c r="G26" t="s">
        <v>83</v>
      </c>
      <c r="H26" t="s">
        <v>58</v>
      </c>
      <c r="I26" t="s">
        <v>71</v>
      </c>
      <c r="J26" t="s">
        <v>158</v>
      </c>
      <c r="K26">
        <v>10</v>
      </c>
      <c r="L26">
        <v>3500</v>
      </c>
      <c r="M26">
        <v>0.05</v>
      </c>
      <c r="N26">
        <v>33250</v>
      </c>
      <c r="O26">
        <v>20781.79</v>
      </c>
      <c r="P26">
        <v>12468.21</v>
      </c>
      <c r="Q26">
        <v>37.5</v>
      </c>
      <c r="R26" t="s">
        <v>73</v>
      </c>
      <c r="S26" t="s">
        <v>62</v>
      </c>
      <c r="T26" t="s">
        <v>173</v>
      </c>
      <c r="U26" t="s">
        <v>98</v>
      </c>
      <c r="V26">
        <v>2025</v>
      </c>
      <c r="W26" t="s">
        <v>139</v>
      </c>
      <c r="X26">
        <v>4</v>
      </c>
      <c r="Y26" t="s">
        <v>99</v>
      </c>
      <c r="Z26" t="s">
        <v>47</v>
      </c>
      <c r="AA26" t="s">
        <v>48</v>
      </c>
      <c r="AB26" t="s">
        <v>49</v>
      </c>
      <c r="AC26" t="s">
        <v>121</v>
      </c>
      <c r="AD26">
        <v>1</v>
      </c>
      <c r="AE26" t="s">
        <v>2218</v>
      </c>
      <c r="AF26" t="s">
        <v>2217</v>
      </c>
      <c r="AM26" t="s">
        <v>2211</v>
      </c>
      <c r="AN26" t="s">
        <v>111</v>
      </c>
      <c r="AO26" t="s">
        <v>121</v>
      </c>
      <c r="AP26" t="s">
        <v>50</v>
      </c>
      <c r="AQ26">
        <v>0.37498375939849621</v>
      </c>
    </row>
    <row r="27" spans="1:43">
      <c r="A27" t="s">
        <v>1137</v>
      </c>
      <c r="B27" t="s">
        <v>697</v>
      </c>
      <c r="C27" t="s">
        <v>1138</v>
      </c>
      <c r="D27" t="s">
        <v>994</v>
      </c>
      <c r="E27" t="s">
        <v>35</v>
      </c>
      <c r="F27" t="s">
        <v>156</v>
      </c>
      <c r="G27" t="s">
        <v>157</v>
      </c>
      <c r="H27" t="s">
        <v>58</v>
      </c>
      <c r="I27" t="s">
        <v>71</v>
      </c>
      <c r="J27" t="s">
        <v>240</v>
      </c>
      <c r="K27">
        <v>3</v>
      </c>
      <c r="L27">
        <v>3500</v>
      </c>
      <c r="M27">
        <v>0.15</v>
      </c>
      <c r="N27">
        <v>8925</v>
      </c>
      <c r="O27">
        <v>5829.28</v>
      </c>
      <c r="P27">
        <v>3095.72</v>
      </c>
      <c r="Q27">
        <v>34.69</v>
      </c>
      <c r="R27" t="s">
        <v>41</v>
      </c>
      <c r="S27" t="s">
        <v>42</v>
      </c>
      <c r="T27" t="s">
        <v>97</v>
      </c>
      <c r="U27" t="s">
        <v>76</v>
      </c>
      <c r="V27">
        <v>2024</v>
      </c>
      <c r="W27" t="s">
        <v>65</v>
      </c>
      <c r="X27">
        <v>5</v>
      </c>
      <c r="Y27" t="s">
        <v>521</v>
      </c>
      <c r="Z27" t="s">
        <v>110</v>
      </c>
      <c r="AA27" t="s">
        <v>67</v>
      </c>
      <c r="AB27" t="s">
        <v>111</v>
      </c>
      <c r="AC27" t="s">
        <v>50</v>
      </c>
      <c r="AD27">
        <v>3</v>
      </c>
      <c r="AE27" t="s">
        <v>2227</v>
      </c>
      <c r="AF27" t="s">
        <v>2235</v>
      </c>
      <c r="AM27" t="s">
        <v>2211</v>
      </c>
      <c r="AN27" t="s">
        <v>49</v>
      </c>
      <c r="AO27" t="s">
        <v>50</v>
      </c>
      <c r="AP27" t="s">
        <v>121</v>
      </c>
      <c r="AQ27">
        <v>0.34685938375350139</v>
      </c>
    </row>
    <row r="28" spans="1:43">
      <c r="A28" t="s">
        <v>2084</v>
      </c>
      <c r="B28" s="73">
        <v>46000</v>
      </c>
      <c r="C28" t="s">
        <v>301</v>
      </c>
      <c r="D28" t="s">
        <v>1187</v>
      </c>
      <c r="E28" t="s">
        <v>35</v>
      </c>
      <c r="F28" t="s">
        <v>56</v>
      </c>
      <c r="G28" t="s">
        <v>57</v>
      </c>
      <c r="H28" t="s">
        <v>58</v>
      </c>
      <c r="I28" t="s">
        <v>71</v>
      </c>
      <c r="J28" t="s">
        <v>158</v>
      </c>
      <c r="K28">
        <v>3</v>
      </c>
      <c r="L28">
        <v>700</v>
      </c>
      <c r="M28">
        <v>0</v>
      </c>
      <c r="N28">
        <v>2100</v>
      </c>
      <c r="O28">
        <v>1218.9100000000001</v>
      </c>
      <c r="P28">
        <v>881.09</v>
      </c>
      <c r="Q28">
        <v>41.96</v>
      </c>
      <c r="R28" t="s">
        <v>106</v>
      </c>
      <c r="S28" t="s">
        <v>42</v>
      </c>
      <c r="T28" t="s">
        <v>43</v>
      </c>
      <c r="U28" t="s">
        <v>108</v>
      </c>
      <c r="V28">
        <v>2025</v>
      </c>
      <c r="W28" t="s">
        <v>194</v>
      </c>
      <c r="X28">
        <v>2</v>
      </c>
      <c r="Y28" t="s">
        <v>1073</v>
      </c>
      <c r="Z28" t="s">
        <v>47</v>
      </c>
      <c r="AA28" t="s">
        <v>67</v>
      </c>
      <c r="AB28" t="s">
        <v>49</v>
      </c>
      <c r="AC28" t="s">
        <v>50</v>
      </c>
      <c r="AD28">
        <v>5</v>
      </c>
      <c r="AE28" t="s">
        <v>2209</v>
      </c>
      <c r="AF28" t="s">
        <v>2222</v>
      </c>
      <c r="AM28" t="s">
        <v>2211</v>
      </c>
      <c r="AN28" t="s">
        <v>49</v>
      </c>
      <c r="AO28" t="s">
        <v>50</v>
      </c>
      <c r="AP28" t="s">
        <v>121</v>
      </c>
      <c r="AQ28">
        <v>0.4195666666666667</v>
      </c>
    </row>
    <row r="29" spans="1:43">
      <c r="A29" t="s">
        <v>887</v>
      </c>
      <c r="B29" s="73">
        <v>45973</v>
      </c>
      <c r="C29" t="s">
        <v>842</v>
      </c>
      <c r="D29" t="s">
        <v>379</v>
      </c>
      <c r="E29" t="s">
        <v>35</v>
      </c>
      <c r="F29" t="s">
        <v>82</v>
      </c>
      <c r="G29" t="s">
        <v>83</v>
      </c>
      <c r="H29" t="s">
        <v>58</v>
      </c>
      <c r="I29" t="s">
        <v>71</v>
      </c>
      <c r="J29" t="s">
        <v>158</v>
      </c>
      <c r="K29">
        <v>6</v>
      </c>
      <c r="L29">
        <v>3500</v>
      </c>
      <c r="M29">
        <v>0.1</v>
      </c>
      <c r="N29">
        <v>18900</v>
      </c>
      <c r="O29">
        <v>13281.01</v>
      </c>
      <c r="P29">
        <v>5618.99</v>
      </c>
      <c r="Q29">
        <v>29.73</v>
      </c>
      <c r="R29" t="s">
        <v>61</v>
      </c>
      <c r="S29" t="s">
        <v>74</v>
      </c>
      <c r="T29" t="s">
        <v>86</v>
      </c>
      <c r="U29" t="s">
        <v>64</v>
      </c>
      <c r="V29">
        <v>2025</v>
      </c>
      <c r="W29" t="s">
        <v>139</v>
      </c>
      <c r="X29">
        <v>10</v>
      </c>
      <c r="Y29" t="s">
        <v>401</v>
      </c>
      <c r="Z29" t="s">
        <v>47</v>
      </c>
      <c r="AA29" t="s">
        <v>48</v>
      </c>
      <c r="AB29" t="s">
        <v>111</v>
      </c>
      <c r="AC29" t="s">
        <v>50</v>
      </c>
      <c r="AD29">
        <v>3</v>
      </c>
      <c r="AE29" t="s">
        <v>2216</v>
      </c>
      <c r="AF29" t="s">
        <v>2223</v>
      </c>
      <c r="AM29" t="s">
        <v>2215</v>
      </c>
      <c r="AN29" t="s">
        <v>78</v>
      </c>
      <c r="AO29" t="s">
        <v>50</v>
      </c>
      <c r="AP29" t="s">
        <v>121</v>
      </c>
      <c r="AQ29">
        <v>0.29730105820105818</v>
      </c>
    </row>
    <row r="30" spans="1:43">
      <c r="A30" t="s">
        <v>948</v>
      </c>
      <c r="B30" s="73">
        <v>45940</v>
      </c>
      <c r="C30" t="s">
        <v>619</v>
      </c>
      <c r="D30" t="s">
        <v>361</v>
      </c>
      <c r="E30" t="s">
        <v>103</v>
      </c>
      <c r="F30" t="s">
        <v>104</v>
      </c>
      <c r="G30" t="s">
        <v>104</v>
      </c>
      <c r="H30" t="s">
        <v>58</v>
      </c>
      <c r="I30" t="s">
        <v>71</v>
      </c>
      <c r="J30" t="s">
        <v>72</v>
      </c>
      <c r="K30">
        <v>5</v>
      </c>
      <c r="L30">
        <v>700</v>
      </c>
      <c r="M30">
        <v>0.15</v>
      </c>
      <c r="N30">
        <v>2975</v>
      </c>
      <c r="O30">
        <v>2278.98</v>
      </c>
      <c r="P30">
        <v>696.02</v>
      </c>
      <c r="Q30">
        <v>23.4</v>
      </c>
      <c r="R30" t="s">
        <v>61</v>
      </c>
      <c r="S30" t="s">
        <v>74</v>
      </c>
      <c r="T30" t="s">
        <v>159</v>
      </c>
      <c r="U30" t="s">
        <v>87</v>
      </c>
      <c r="V30">
        <v>2025</v>
      </c>
      <c r="W30" t="s">
        <v>194</v>
      </c>
      <c r="X30">
        <v>4</v>
      </c>
      <c r="Y30" t="s">
        <v>949</v>
      </c>
      <c r="Z30" t="s">
        <v>47</v>
      </c>
      <c r="AA30" t="s">
        <v>90</v>
      </c>
      <c r="AB30" t="s">
        <v>78</v>
      </c>
      <c r="AC30" t="s">
        <v>50</v>
      </c>
      <c r="AD30">
        <v>1</v>
      </c>
      <c r="AE30" t="s">
        <v>159</v>
      </c>
      <c r="AF30" t="s">
        <v>2210</v>
      </c>
      <c r="AM30" t="s">
        <v>2215</v>
      </c>
      <c r="AN30" t="s">
        <v>49</v>
      </c>
      <c r="AO30" t="s">
        <v>50</v>
      </c>
      <c r="AP30" t="s">
        <v>121</v>
      </c>
      <c r="AQ30">
        <v>0.23395630252100841</v>
      </c>
    </row>
    <row r="31" spans="1:43">
      <c r="A31" t="s">
        <v>1948</v>
      </c>
      <c r="B31" s="73">
        <v>45931</v>
      </c>
      <c r="C31" t="s">
        <v>557</v>
      </c>
      <c r="D31" t="s">
        <v>343</v>
      </c>
      <c r="E31" t="s">
        <v>35</v>
      </c>
      <c r="F31" t="s">
        <v>104</v>
      </c>
      <c r="G31" t="s">
        <v>104</v>
      </c>
      <c r="H31" t="s">
        <v>58</v>
      </c>
      <c r="I31" t="s">
        <v>71</v>
      </c>
      <c r="J31" t="s">
        <v>117</v>
      </c>
      <c r="K31">
        <v>1</v>
      </c>
      <c r="L31">
        <v>1200</v>
      </c>
      <c r="M31">
        <v>0.1</v>
      </c>
      <c r="N31">
        <v>1080</v>
      </c>
      <c r="O31">
        <v>619.52</v>
      </c>
      <c r="P31">
        <v>460.48</v>
      </c>
      <c r="Q31">
        <v>42.64</v>
      </c>
      <c r="R31" t="s">
        <v>41</v>
      </c>
      <c r="S31" t="s">
        <v>74</v>
      </c>
      <c r="T31" t="s">
        <v>43</v>
      </c>
      <c r="U31" t="s">
        <v>76</v>
      </c>
      <c r="V31">
        <v>2025</v>
      </c>
      <c r="W31" t="s">
        <v>194</v>
      </c>
      <c r="X31">
        <v>6</v>
      </c>
      <c r="Y31" t="s">
        <v>776</v>
      </c>
      <c r="Z31" t="s">
        <v>89</v>
      </c>
      <c r="AA31" t="s">
        <v>48</v>
      </c>
      <c r="AB31" t="s">
        <v>49</v>
      </c>
      <c r="AC31" t="s">
        <v>121</v>
      </c>
      <c r="AD31">
        <v>2</v>
      </c>
      <c r="AE31" t="s">
        <v>2218</v>
      </c>
      <c r="AF31" t="s">
        <v>2236</v>
      </c>
      <c r="AM31" t="s">
        <v>2211</v>
      </c>
      <c r="AN31" t="s">
        <v>49</v>
      </c>
      <c r="AO31" t="s">
        <v>50</v>
      </c>
      <c r="AP31" t="s">
        <v>121</v>
      </c>
      <c r="AQ31">
        <v>0.4263703703703704</v>
      </c>
    </row>
    <row r="32" spans="1:43">
      <c r="A32" t="s">
        <v>1910</v>
      </c>
      <c r="B32" s="73">
        <v>45849</v>
      </c>
      <c r="C32" t="s">
        <v>342</v>
      </c>
      <c r="D32" t="s">
        <v>1311</v>
      </c>
      <c r="E32" t="s">
        <v>103</v>
      </c>
      <c r="F32" t="s">
        <v>56</v>
      </c>
      <c r="G32" t="s">
        <v>57</v>
      </c>
      <c r="H32" t="s">
        <v>58</v>
      </c>
      <c r="I32" t="s">
        <v>71</v>
      </c>
      <c r="J32" t="s">
        <v>172</v>
      </c>
      <c r="K32">
        <v>9</v>
      </c>
      <c r="L32">
        <v>3500</v>
      </c>
      <c r="M32">
        <v>0.2</v>
      </c>
      <c r="N32">
        <v>25200</v>
      </c>
      <c r="O32">
        <v>17053.310000000001</v>
      </c>
      <c r="P32">
        <v>8146.69</v>
      </c>
      <c r="Q32">
        <v>32.33</v>
      </c>
      <c r="R32" t="s">
        <v>61</v>
      </c>
      <c r="S32" t="s">
        <v>42</v>
      </c>
      <c r="T32" t="s">
        <v>159</v>
      </c>
      <c r="U32" t="s">
        <v>198</v>
      </c>
      <c r="V32">
        <v>2025</v>
      </c>
      <c r="W32" t="s">
        <v>194</v>
      </c>
      <c r="X32">
        <v>10</v>
      </c>
      <c r="Y32" t="s">
        <v>207</v>
      </c>
      <c r="Z32" t="s">
        <v>47</v>
      </c>
      <c r="AA32" t="s">
        <v>67</v>
      </c>
      <c r="AB32" t="s">
        <v>78</v>
      </c>
      <c r="AC32" t="s">
        <v>121</v>
      </c>
      <c r="AD32">
        <v>3</v>
      </c>
      <c r="AE32" t="s">
        <v>2220</v>
      </c>
      <c r="AF32" t="s">
        <v>2236</v>
      </c>
      <c r="AM32" t="s">
        <v>2211</v>
      </c>
      <c r="AN32" t="s">
        <v>78</v>
      </c>
      <c r="AO32" t="s">
        <v>50</v>
      </c>
      <c r="AP32" t="s">
        <v>121</v>
      </c>
      <c r="AQ32">
        <v>0.32328134920634921</v>
      </c>
    </row>
    <row r="33" spans="1:43">
      <c r="A33" t="s">
        <v>237</v>
      </c>
      <c r="B33" s="73">
        <v>45841</v>
      </c>
      <c r="C33" t="s">
        <v>238</v>
      </c>
      <c r="D33" t="s">
        <v>239</v>
      </c>
      <c r="E33" t="s">
        <v>35</v>
      </c>
      <c r="F33" t="s">
        <v>149</v>
      </c>
      <c r="G33" t="s">
        <v>150</v>
      </c>
      <c r="H33" t="s">
        <v>58</v>
      </c>
      <c r="I33" t="s">
        <v>71</v>
      </c>
      <c r="J33" t="s">
        <v>240</v>
      </c>
      <c r="K33">
        <v>6</v>
      </c>
      <c r="L33">
        <v>2500</v>
      </c>
      <c r="M33">
        <v>0.1</v>
      </c>
      <c r="N33">
        <v>13500</v>
      </c>
      <c r="O33">
        <v>9139.27</v>
      </c>
      <c r="P33">
        <v>4360.7299999999996</v>
      </c>
      <c r="Q33">
        <v>32.299999999999997</v>
      </c>
      <c r="R33" t="s">
        <v>106</v>
      </c>
      <c r="S33" t="s">
        <v>74</v>
      </c>
      <c r="T33" t="s">
        <v>86</v>
      </c>
      <c r="U33" t="s">
        <v>178</v>
      </c>
      <c r="V33">
        <v>2025</v>
      </c>
      <c r="W33" t="s">
        <v>194</v>
      </c>
      <c r="X33">
        <v>5</v>
      </c>
      <c r="Y33" s="73">
        <v>45994</v>
      </c>
      <c r="Z33" t="s">
        <v>47</v>
      </c>
      <c r="AA33" t="s">
        <v>90</v>
      </c>
      <c r="AB33" t="s">
        <v>49</v>
      </c>
      <c r="AC33" t="s">
        <v>121</v>
      </c>
      <c r="AD33">
        <v>2</v>
      </c>
      <c r="AE33" t="s">
        <v>2226</v>
      </c>
      <c r="AF33" t="s">
        <v>2236</v>
      </c>
      <c r="AM33" t="s">
        <v>2211</v>
      </c>
      <c r="AN33" t="s">
        <v>78</v>
      </c>
      <c r="AO33" t="s">
        <v>50</v>
      </c>
      <c r="AP33" t="s">
        <v>121</v>
      </c>
      <c r="AQ33">
        <v>0.32301703703703699</v>
      </c>
    </row>
    <row r="34" spans="1:43">
      <c r="A34" t="s">
        <v>123</v>
      </c>
      <c r="B34" s="73">
        <v>45331</v>
      </c>
      <c r="C34" t="s">
        <v>124</v>
      </c>
      <c r="D34" t="s">
        <v>125</v>
      </c>
      <c r="E34" t="s">
        <v>55</v>
      </c>
      <c r="F34" t="s">
        <v>82</v>
      </c>
      <c r="G34" t="s">
        <v>83</v>
      </c>
      <c r="H34" t="s">
        <v>58</v>
      </c>
      <c r="I34" t="s">
        <v>71</v>
      </c>
      <c r="J34" t="s">
        <v>72</v>
      </c>
      <c r="K34">
        <v>2</v>
      </c>
      <c r="L34">
        <v>1800</v>
      </c>
      <c r="M34">
        <v>0.1</v>
      </c>
      <c r="N34">
        <v>3240</v>
      </c>
      <c r="O34">
        <v>2550.08</v>
      </c>
      <c r="P34">
        <v>689.92</v>
      </c>
      <c r="Q34">
        <v>21.29</v>
      </c>
      <c r="R34" t="s">
        <v>41</v>
      </c>
      <c r="S34" t="s">
        <v>74</v>
      </c>
      <c r="T34" t="s">
        <v>118</v>
      </c>
      <c r="U34" t="s">
        <v>108</v>
      </c>
      <c r="V34">
        <v>2024</v>
      </c>
      <c r="W34" t="s">
        <v>126</v>
      </c>
      <c r="X34">
        <v>1</v>
      </c>
      <c r="Y34" s="73">
        <v>45360</v>
      </c>
      <c r="Z34" t="s">
        <v>47</v>
      </c>
      <c r="AA34" t="s">
        <v>48</v>
      </c>
      <c r="AB34" t="s">
        <v>78</v>
      </c>
      <c r="AC34" t="s">
        <v>121</v>
      </c>
      <c r="AD34">
        <v>3</v>
      </c>
      <c r="AE34" t="s">
        <v>2237</v>
      </c>
      <c r="AF34" t="s">
        <v>2214</v>
      </c>
      <c r="AM34" t="s">
        <v>2215</v>
      </c>
      <c r="AN34" t="s">
        <v>49</v>
      </c>
      <c r="AO34" t="s">
        <v>50</v>
      </c>
      <c r="AP34" t="s">
        <v>121</v>
      </c>
      <c r="AQ34">
        <v>0.21293827160493825</v>
      </c>
    </row>
    <row r="35" spans="1:43">
      <c r="A35" t="s">
        <v>2055</v>
      </c>
      <c r="B35" s="73">
        <v>45815</v>
      </c>
      <c r="C35" t="s">
        <v>1410</v>
      </c>
      <c r="D35" t="s">
        <v>791</v>
      </c>
      <c r="E35" t="s">
        <v>35</v>
      </c>
      <c r="F35" t="s">
        <v>131</v>
      </c>
      <c r="G35" t="s">
        <v>132</v>
      </c>
      <c r="H35" t="s">
        <v>58</v>
      </c>
      <c r="I35" t="s">
        <v>71</v>
      </c>
      <c r="J35" t="s">
        <v>158</v>
      </c>
      <c r="K35">
        <v>7</v>
      </c>
      <c r="L35">
        <v>2500</v>
      </c>
      <c r="M35">
        <v>0.05</v>
      </c>
      <c r="N35">
        <v>16625</v>
      </c>
      <c r="O35">
        <v>13335.81</v>
      </c>
      <c r="P35">
        <v>3289.19</v>
      </c>
      <c r="Q35">
        <v>19.78</v>
      </c>
      <c r="R35" t="s">
        <v>166</v>
      </c>
      <c r="S35" t="s">
        <v>62</v>
      </c>
      <c r="T35" t="s">
        <v>63</v>
      </c>
      <c r="U35" t="s">
        <v>151</v>
      </c>
      <c r="V35">
        <v>2025</v>
      </c>
      <c r="W35" t="s">
        <v>45</v>
      </c>
      <c r="X35">
        <v>3</v>
      </c>
      <c r="Y35" s="73">
        <v>45907</v>
      </c>
      <c r="Z35" t="s">
        <v>47</v>
      </c>
      <c r="AA35" t="s">
        <v>48</v>
      </c>
      <c r="AB35" t="s">
        <v>78</v>
      </c>
      <c r="AC35" t="s">
        <v>50</v>
      </c>
      <c r="AD35">
        <v>5</v>
      </c>
      <c r="AE35" t="s">
        <v>2225</v>
      </c>
      <c r="AF35" t="s">
        <v>2223</v>
      </c>
      <c r="AM35" t="s">
        <v>2215</v>
      </c>
      <c r="AN35" t="s">
        <v>78</v>
      </c>
      <c r="AO35" t="s">
        <v>50</v>
      </c>
      <c r="AP35" t="s">
        <v>50</v>
      </c>
      <c r="AQ35">
        <v>0.197846015037594</v>
      </c>
    </row>
    <row r="36" spans="1:43">
      <c r="A36" t="s">
        <v>1886</v>
      </c>
      <c r="B36" s="73">
        <v>45813</v>
      </c>
      <c r="C36" t="s">
        <v>1618</v>
      </c>
      <c r="D36" t="s">
        <v>1887</v>
      </c>
      <c r="E36" t="s">
        <v>103</v>
      </c>
      <c r="F36" t="s">
        <v>82</v>
      </c>
      <c r="G36" t="s">
        <v>83</v>
      </c>
      <c r="H36" t="s">
        <v>58</v>
      </c>
      <c r="I36" t="s">
        <v>71</v>
      </c>
      <c r="J36" t="s">
        <v>158</v>
      </c>
      <c r="K36">
        <v>10</v>
      </c>
      <c r="L36">
        <v>1200</v>
      </c>
      <c r="M36">
        <v>0.15</v>
      </c>
      <c r="N36">
        <v>10200</v>
      </c>
      <c r="O36">
        <v>6395.83</v>
      </c>
      <c r="P36">
        <v>3804.17</v>
      </c>
      <c r="Q36">
        <v>37.299999999999997</v>
      </c>
      <c r="R36" t="s">
        <v>106</v>
      </c>
      <c r="S36" t="s">
        <v>74</v>
      </c>
      <c r="T36" t="s">
        <v>63</v>
      </c>
      <c r="U36" t="s">
        <v>119</v>
      </c>
      <c r="V36">
        <v>2025</v>
      </c>
      <c r="W36" t="s">
        <v>109</v>
      </c>
      <c r="X36">
        <v>9</v>
      </c>
      <c r="Y36" t="s">
        <v>261</v>
      </c>
      <c r="Z36" t="s">
        <v>89</v>
      </c>
      <c r="AA36" t="s">
        <v>90</v>
      </c>
      <c r="AB36" t="s">
        <v>49</v>
      </c>
      <c r="AC36" t="s">
        <v>50</v>
      </c>
      <c r="AD36">
        <v>1</v>
      </c>
      <c r="AE36" t="s">
        <v>2213</v>
      </c>
      <c r="AF36" t="s">
        <v>2224</v>
      </c>
      <c r="AM36" t="s">
        <v>2211</v>
      </c>
      <c r="AN36" t="s">
        <v>78</v>
      </c>
      <c r="AO36" t="s">
        <v>50</v>
      </c>
      <c r="AP36" t="s">
        <v>121</v>
      </c>
      <c r="AQ36">
        <v>0.37295784313725489</v>
      </c>
    </row>
    <row r="37" spans="1:43">
      <c r="A37" t="s">
        <v>1401</v>
      </c>
      <c r="B37" s="73">
        <v>45812</v>
      </c>
      <c r="C37" t="s">
        <v>749</v>
      </c>
      <c r="D37" t="s">
        <v>1402</v>
      </c>
      <c r="E37" t="s">
        <v>55</v>
      </c>
      <c r="F37" t="s">
        <v>104</v>
      </c>
      <c r="G37" t="s">
        <v>104</v>
      </c>
      <c r="H37" t="s">
        <v>58</v>
      </c>
      <c r="I37" t="s">
        <v>71</v>
      </c>
      <c r="J37" t="s">
        <v>172</v>
      </c>
      <c r="K37">
        <v>10</v>
      </c>
      <c r="L37">
        <v>1800</v>
      </c>
      <c r="M37">
        <v>0.15</v>
      </c>
      <c r="N37">
        <v>15300</v>
      </c>
      <c r="O37">
        <v>10104.379999999999</v>
      </c>
      <c r="P37">
        <v>5195.62</v>
      </c>
      <c r="Q37">
        <v>33.96</v>
      </c>
      <c r="R37" t="s">
        <v>73</v>
      </c>
      <c r="S37" t="s">
        <v>62</v>
      </c>
      <c r="T37" t="s">
        <v>86</v>
      </c>
      <c r="U37" t="s">
        <v>44</v>
      </c>
      <c r="V37">
        <v>2025</v>
      </c>
      <c r="W37" t="s">
        <v>45</v>
      </c>
      <c r="X37">
        <v>8</v>
      </c>
      <c r="Y37" t="s">
        <v>615</v>
      </c>
      <c r="Z37" t="s">
        <v>110</v>
      </c>
      <c r="AA37" t="s">
        <v>67</v>
      </c>
      <c r="AB37" t="s">
        <v>111</v>
      </c>
      <c r="AC37" t="s">
        <v>121</v>
      </c>
      <c r="AD37">
        <v>3</v>
      </c>
      <c r="AE37" t="s">
        <v>2216</v>
      </c>
      <c r="AF37" t="s">
        <v>2228</v>
      </c>
      <c r="AM37" t="s">
        <v>2211</v>
      </c>
      <c r="AN37" t="s">
        <v>78</v>
      </c>
      <c r="AO37" t="s">
        <v>50</v>
      </c>
      <c r="AP37" t="s">
        <v>50</v>
      </c>
      <c r="AQ37">
        <v>0.3395830065359477</v>
      </c>
    </row>
    <row r="38" spans="1:43">
      <c r="A38" t="s">
        <v>68</v>
      </c>
      <c r="B38" s="73">
        <v>45778</v>
      </c>
      <c r="C38" t="s">
        <v>69</v>
      </c>
      <c r="D38" t="s">
        <v>70</v>
      </c>
      <c r="E38" t="s">
        <v>55</v>
      </c>
      <c r="F38" t="s">
        <v>36</v>
      </c>
      <c r="G38" t="s">
        <v>37</v>
      </c>
      <c r="H38" t="s">
        <v>58</v>
      </c>
      <c r="I38" t="s">
        <v>71</v>
      </c>
      <c r="J38" t="s">
        <v>72</v>
      </c>
      <c r="K38">
        <v>9</v>
      </c>
      <c r="L38">
        <v>1800</v>
      </c>
      <c r="M38">
        <v>0.2</v>
      </c>
      <c r="N38">
        <v>12960</v>
      </c>
      <c r="O38">
        <v>9593.44</v>
      </c>
      <c r="P38">
        <v>3366.56</v>
      </c>
      <c r="Q38">
        <v>25.98</v>
      </c>
      <c r="R38" t="s">
        <v>73</v>
      </c>
      <c r="S38" t="s">
        <v>74</v>
      </c>
      <c r="T38" t="s">
        <v>75</v>
      </c>
      <c r="U38" t="s">
        <v>76</v>
      </c>
      <c r="V38">
        <v>2025</v>
      </c>
      <c r="W38" t="s">
        <v>45</v>
      </c>
      <c r="X38">
        <v>10</v>
      </c>
      <c r="Y38" t="s">
        <v>77</v>
      </c>
      <c r="Z38" t="s">
        <v>47</v>
      </c>
      <c r="AA38" t="s">
        <v>67</v>
      </c>
      <c r="AB38" t="s">
        <v>78</v>
      </c>
      <c r="AC38" t="s">
        <v>50</v>
      </c>
      <c r="AD38">
        <v>2</v>
      </c>
      <c r="AE38" t="s">
        <v>2213</v>
      </c>
      <c r="AF38" t="s">
        <v>2238</v>
      </c>
      <c r="AM38" t="s">
        <v>2215</v>
      </c>
      <c r="AN38" t="s">
        <v>78</v>
      </c>
      <c r="AO38" t="s">
        <v>50</v>
      </c>
      <c r="AP38" t="s">
        <v>121</v>
      </c>
      <c r="AQ38">
        <v>0.2597654320987654</v>
      </c>
    </row>
    <row r="39" spans="1:43">
      <c r="A39" t="s">
        <v>1167</v>
      </c>
      <c r="B39" s="73">
        <v>45697</v>
      </c>
      <c r="C39" t="s">
        <v>1001</v>
      </c>
      <c r="D39" t="s">
        <v>343</v>
      </c>
      <c r="E39" t="s">
        <v>55</v>
      </c>
      <c r="F39" t="s">
        <v>56</v>
      </c>
      <c r="G39" t="s">
        <v>57</v>
      </c>
      <c r="H39" t="s">
        <v>58</v>
      </c>
      <c r="I39" t="s">
        <v>71</v>
      </c>
      <c r="J39" t="s">
        <v>117</v>
      </c>
      <c r="K39">
        <v>3</v>
      </c>
      <c r="L39">
        <v>3500</v>
      </c>
      <c r="M39">
        <v>0</v>
      </c>
      <c r="N39">
        <v>10500</v>
      </c>
      <c r="O39">
        <v>7510.16</v>
      </c>
      <c r="P39">
        <v>2989.84</v>
      </c>
      <c r="Q39">
        <v>28.47</v>
      </c>
      <c r="R39" t="s">
        <v>41</v>
      </c>
      <c r="S39" t="s">
        <v>74</v>
      </c>
      <c r="T39" t="s">
        <v>86</v>
      </c>
      <c r="U39" t="s">
        <v>108</v>
      </c>
      <c r="V39">
        <v>2025</v>
      </c>
      <c r="W39" t="s">
        <v>109</v>
      </c>
      <c r="X39">
        <v>3</v>
      </c>
      <c r="Y39" s="73">
        <v>45786</v>
      </c>
      <c r="Z39" t="s">
        <v>110</v>
      </c>
      <c r="AA39" t="s">
        <v>90</v>
      </c>
      <c r="AB39" t="s">
        <v>111</v>
      </c>
      <c r="AC39" t="s">
        <v>121</v>
      </c>
      <c r="AD39">
        <v>5</v>
      </c>
      <c r="AE39" t="s">
        <v>2218</v>
      </c>
      <c r="AF39" t="s">
        <v>2236</v>
      </c>
      <c r="AM39" t="s">
        <v>2215</v>
      </c>
      <c r="AN39" t="s">
        <v>78</v>
      </c>
      <c r="AO39" t="s">
        <v>50</v>
      </c>
      <c r="AP39" t="s">
        <v>121</v>
      </c>
      <c r="AQ39">
        <v>0.2847466666666667</v>
      </c>
    </row>
    <row r="40" spans="1:43">
      <c r="A40" t="s">
        <v>1409</v>
      </c>
      <c r="B40" s="73">
        <v>45662</v>
      </c>
      <c r="C40" t="s">
        <v>1410</v>
      </c>
      <c r="D40" t="s">
        <v>1411</v>
      </c>
      <c r="E40" t="s">
        <v>35</v>
      </c>
      <c r="F40" t="s">
        <v>149</v>
      </c>
      <c r="G40" t="s">
        <v>150</v>
      </c>
      <c r="H40" t="s">
        <v>58</v>
      </c>
      <c r="I40" t="s">
        <v>71</v>
      </c>
      <c r="J40" t="s">
        <v>72</v>
      </c>
      <c r="K40">
        <v>9</v>
      </c>
      <c r="L40">
        <v>2500</v>
      </c>
      <c r="M40">
        <v>0.05</v>
      </c>
      <c r="N40">
        <v>21375</v>
      </c>
      <c r="O40">
        <v>15043.06</v>
      </c>
      <c r="P40">
        <v>6331.94</v>
      </c>
      <c r="Q40">
        <v>29.62</v>
      </c>
      <c r="R40" t="s">
        <v>41</v>
      </c>
      <c r="S40" t="s">
        <v>74</v>
      </c>
      <c r="T40" t="s">
        <v>43</v>
      </c>
      <c r="U40" t="s">
        <v>119</v>
      </c>
      <c r="V40">
        <v>2025</v>
      </c>
      <c r="W40" t="s">
        <v>139</v>
      </c>
      <c r="X40">
        <v>2</v>
      </c>
      <c r="Y40" s="73">
        <v>45721</v>
      </c>
      <c r="Z40" t="s">
        <v>47</v>
      </c>
      <c r="AA40" t="s">
        <v>48</v>
      </c>
      <c r="AB40" t="s">
        <v>111</v>
      </c>
      <c r="AC40" t="s">
        <v>50</v>
      </c>
      <c r="AD40">
        <v>1</v>
      </c>
      <c r="AE40" t="s">
        <v>2218</v>
      </c>
      <c r="AF40" t="s">
        <v>2224</v>
      </c>
      <c r="AM40" t="s">
        <v>2215</v>
      </c>
      <c r="AN40" t="s">
        <v>78</v>
      </c>
      <c r="AO40" t="s">
        <v>50</v>
      </c>
      <c r="AP40" t="s">
        <v>121</v>
      </c>
      <c r="AQ40">
        <v>0.29623111111111111</v>
      </c>
    </row>
    <row r="41" spans="1:43">
      <c r="A41" t="s">
        <v>1255</v>
      </c>
      <c r="B41" s="73">
        <v>45662</v>
      </c>
      <c r="C41" t="s">
        <v>243</v>
      </c>
      <c r="D41" t="s">
        <v>955</v>
      </c>
      <c r="E41" t="s">
        <v>103</v>
      </c>
      <c r="F41" t="s">
        <v>156</v>
      </c>
      <c r="G41" t="s">
        <v>157</v>
      </c>
      <c r="H41" t="s">
        <v>58</v>
      </c>
      <c r="I41" t="s">
        <v>71</v>
      </c>
      <c r="J41" t="s">
        <v>117</v>
      </c>
      <c r="K41">
        <v>5</v>
      </c>
      <c r="L41">
        <v>1200</v>
      </c>
      <c r="M41">
        <v>0.1</v>
      </c>
      <c r="N41">
        <v>5400</v>
      </c>
      <c r="O41">
        <v>3000.73</v>
      </c>
      <c r="P41">
        <v>2399.27</v>
      </c>
      <c r="Q41">
        <v>44.43</v>
      </c>
      <c r="R41" t="s">
        <v>73</v>
      </c>
      <c r="S41" t="s">
        <v>62</v>
      </c>
      <c r="T41" t="s">
        <v>107</v>
      </c>
      <c r="U41" t="s">
        <v>119</v>
      </c>
      <c r="V41">
        <v>2025</v>
      </c>
      <c r="W41" t="s">
        <v>139</v>
      </c>
      <c r="X41">
        <v>6</v>
      </c>
      <c r="Y41" s="73">
        <v>45843</v>
      </c>
      <c r="Z41" t="s">
        <v>47</v>
      </c>
      <c r="AA41" t="s">
        <v>67</v>
      </c>
      <c r="AB41" t="s">
        <v>78</v>
      </c>
      <c r="AC41" t="s">
        <v>50</v>
      </c>
      <c r="AD41">
        <v>1</v>
      </c>
      <c r="AE41" t="s">
        <v>2226</v>
      </c>
      <c r="AF41" t="s">
        <v>2217</v>
      </c>
      <c r="AM41" t="s">
        <v>2211</v>
      </c>
      <c r="AN41" t="s">
        <v>49</v>
      </c>
      <c r="AO41" t="s">
        <v>50</v>
      </c>
      <c r="AP41" t="s">
        <v>50</v>
      </c>
      <c r="AQ41">
        <v>0.44430925925925924</v>
      </c>
    </row>
    <row r="42" spans="1:43">
      <c r="A42" t="s">
        <v>823</v>
      </c>
      <c r="B42" s="73">
        <v>45630</v>
      </c>
      <c r="C42" t="s">
        <v>272</v>
      </c>
      <c r="D42" t="s">
        <v>379</v>
      </c>
      <c r="E42" t="s">
        <v>103</v>
      </c>
      <c r="F42" t="s">
        <v>149</v>
      </c>
      <c r="G42" t="s">
        <v>150</v>
      </c>
      <c r="H42" t="s">
        <v>58</v>
      </c>
      <c r="I42" t="s">
        <v>71</v>
      </c>
      <c r="J42" t="s">
        <v>240</v>
      </c>
      <c r="K42">
        <v>5</v>
      </c>
      <c r="L42">
        <v>2500</v>
      </c>
      <c r="M42">
        <v>0</v>
      </c>
      <c r="N42">
        <v>12500</v>
      </c>
      <c r="O42">
        <v>9751.34</v>
      </c>
      <c r="P42">
        <v>2748.66</v>
      </c>
      <c r="Q42">
        <v>21.99</v>
      </c>
      <c r="R42" t="s">
        <v>106</v>
      </c>
      <c r="S42" t="s">
        <v>74</v>
      </c>
      <c r="T42" t="s">
        <v>43</v>
      </c>
      <c r="U42" t="s">
        <v>44</v>
      </c>
      <c r="V42">
        <v>2024</v>
      </c>
      <c r="W42" t="s">
        <v>194</v>
      </c>
      <c r="X42">
        <v>3</v>
      </c>
      <c r="Y42" t="s">
        <v>824</v>
      </c>
      <c r="Z42" t="s">
        <v>47</v>
      </c>
      <c r="AA42" t="s">
        <v>90</v>
      </c>
      <c r="AB42" t="s">
        <v>111</v>
      </c>
      <c r="AC42" t="s">
        <v>121</v>
      </c>
      <c r="AD42">
        <v>3</v>
      </c>
      <c r="AE42" t="s">
        <v>2216</v>
      </c>
      <c r="AF42" t="s">
        <v>2223</v>
      </c>
      <c r="AM42" t="s">
        <v>2215</v>
      </c>
      <c r="AN42" t="s">
        <v>78</v>
      </c>
      <c r="AO42" t="s">
        <v>50</v>
      </c>
      <c r="AP42" t="s">
        <v>121</v>
      </c>
      <c r="AQ42">
        <v>0.2198928</v>
      </c>
    </row>
    <row r="43" spans="1:43">
      <c r="A43" t="s">
        <v>2146</v>
      </c>
      <c r="B43" s="73">
        <v>45540</v>
      </c>
      <c r="C43" t="s">
        <v>977</v>
      </c>
      <c r="D43" t="s">
        <v>313</v>
      </c>
      <c r="E43" t="s">
        <v>35</v>
      </c>
      <c r="F43" t="s">
        <v>82</v>
      </c>
      <c r="G43" t="s">
        <v>83</v>
      </c>
      <c r="H43" t="s">
        <v>58</v>
      </c>
      <c r="I43" t="s">
        <v>71</v>
      </c>
      <c r="J43" t="s">
        <v>72</v>
      </c>
      <c r="K43">
        <v>6</v>
      </c>
      <c r="L43">
        <v>2500</v>
      </c>
      <c r="M43">
        <v>0.2</v>
      </c>
      <c r="N43">
        <v>12000</v>
      </c>
      <c r="O43">
        <v>7058.58</v>
      </c>
      <c r="P43">
        <v>4941.42</v>
      </c>
      <c r="Q43">
        <v>41.18</v>
      </c>
      <c r="R43" t="s">
        <v>106</v>
      </c>
      <c r="S43" t="s">
        <v>74</v>
      </c>
      <c r="T43" t="s">
        <v>75</v>
      </c>
      <c r="U43" t="s">
        <v>119</v>
      </c>
      <c r="V43">
        <v>2024</v>
      </c>
      <c r="W43" t="s">
        <v>139</v>
      </c>
      <c r="X43">
        <v>1</v>
      </c>
      <c r="Y43" s="73">
        <v>45570</v>
      </c>
      <c r="Z43" t="s">
        <v>89</v>
      </c>
      <c r="AA43" t="s">
        <v>90</v>
      </c>
      <c r="AB43" t="s">
        <v>111</v>
      </c>
      <c r="AC43" t="s">
        <v>50</v>
      </c>
      <c r="AD43">
        <v>4</v>
      </c>
      <c r="AE43" t="s">
        <v>2220</v>
      </c>
      <c r="AF43" t="s">
        <v>2217</v>
      </c>
      <c r="AM43" t="s">
        <v>2211</v>
      </c>
      <c r="AN43" t="s">
        <v>78</v>
      </c>
      <c r="AO43" t="s">
        <v>50</v>
      </c>
      <c r="AP43" t="s">
        <v>121</v>
      </c>
      <c r="AQ43">
        <v>0.41178500000000001</v>
      </c>
    </row>
    <row r="44" spans="1:43">
      <c r="A44" t="s">
        <v>195</v>
      </c>
      <c r="B44" s="73">
        <v>45515</v>
      </c>
      <c r="C44" t="s">
        <v>196</v>
      </c>
      <c r="D44" t="s">
        <v>197</v>
      </c>
      <c r="E44" t="s">
        <v>55</v>
      </c>
      <c r="F44" t="s">
        <v>104</v>
      </c>
      <c r="G44" t="s">
        <v>104</v>
      </c>
      <c r="H44" t="s">
        <v>58</v>
      </c>
      <c r="I44" t="s">
        <v>71</v>
      </c>
      <c r="J44" t="s">
        <v>117</v>
      </c>
      <c r="K44">
        <v>4</v>
      </c>
      <c r="L44">
        <v>2500</v>
      </c>
      <c r="M44">
        <v>0.1</v>
      </c>
      <c r="N44">
        <v>9000</v>
      </c>
      <c r="O44">
        <v>5007.5</v>
      </c>
      <c r="P44">
        <v>3992.5</v>
      </c>
      <c r="Q44">
        <v>44.36</v>
      </c>
      <c r="R44" t="s">
        <v>61</v>
      </c>
      <c r="S44" t="s">
        <v>62</v>
      </c>
      <c r="T44" t="s">
        <v>107</v>
      </c>
      <c r="U44" t="s">
        <v>198</v>
      </c>
      <c r="V44">
        <v>2024</v>
      </c>
      <c r="W44" t="s">
        <v>194</v>
      </c>
      <c r="X44">
        <v>4</v>
      </c>
      <c r="Y44" s="73">
        <v>45637</v>
      </c>
      <c r="Z44" t="s">
        <v>47</v>
      </c>
      <c r="AA44" t="s">
        <v>67</v>
      </c>
      <c r="AB44" t="s">
        <v>111</v>
      </c>
      <c r="AC44" t="s">
        <v>50</v>
      </c>
      <c r="AD44">
        <v>1</v>
      </c>
      <c r="AE44" t="s">
        <v>118</v>
      </c>
      <c r="AF44" t="s">
        <v>2236</v>
      </c>
      <c r="AM44" t="s">
        <v>2211</v>
      </c>
      <c r="AN44" t="s">
        <v>49</v>
      </c>
      <c r="AO44" t="s">
        <v>50</v>
      </c>
      <c r="AP44" t="s">
        <v>50</v>
      </c>
      <c r="AQ44">
        <v>0.44361111111111112</v>
      </c>
    </row>
    <row r="45" spans="1:43">
      <c r="A45" t="s">
        <v>141</v>
      </c>
      <c r="B45" s="73">
        <v>45447</v>
      </c>
      <c r="C45" t="s">
        <v>142</v>
      </c>
      <c r="D45" t="s">
        <v>143</v>
      </c>
      <c r="E45" t="s">
        <v>103</v>
      </c>
      <c r="F45" t="s">
        <v>144</v>
      </c>
      <c r="G45" t="s">
        <v>145</v>
      </c>
      <c r="H45" t="s">
        <v>58</v>
      </c>
      <c r="I45" t="s">
        <v>71</v>
      </c>
      <c r="J45" t="s">
        <v>117</v>
      </c>
      <c r="K45">
        <v>8</v>
      </c>
      <c r="L45">
        <v>2500</v>
      </c>
      <c r="M45">
        <v>0.05</v>
      </c>
      <c r="N45">
        <v>19000</v>
      </c>
      <c r="O45">
        <v>12267.55</v>
      </c>
      <c r="P45">
        <v>6732.45</v>
      </c>
      <c r="Q45">
        <v>35.43</v>
      </c>
      <c r="R45" t="s">
        <v>106</v>
      </c>
      <c r="S45" t="s">
        <v>74</v>
      </c>
      <c r="T45" t="s">
        <v>75</v>
      </c>
      <c r="U45" t="s">
        <v>44</v>
      </c>
      <c r="V45">
        <v>2024</v>
      </c>
      <c r="W45" t="s">
        <v>65</v>
      </c>
      <c r="X45">
        <v>2</v>
      </c>
      <c r="Y45" s="73">
        <v>45508</v>
      </c>
      <c r="Z45" t="s">
        <v>110</v>
      </c>
      <c r="AA45" t="s">
        <v>48</v>
      </c>
      <c r="AB45" t="s">
        <v>78</v>
      </c>
      <c r="AC45" t="s">
        <v>121</v>
      </c>
      <c r="AD45">
        <v>2</v>
      </c>
      <c r="AE45" t="s">
        <v>2239</v>
      </c>
      <c r="AF45" t="s">
        <v>2217</v>
      </c>
      <c r="AM45" t="s">
        <v>2211</v>
      </c>
      <c r="AN45" t="s">
        <v>78</v>
      </c>
      <c r="AO45" t="s">
        <v>50</v>
      </c>
      <c r="AP45" t="s">
        <v>121</v>
      </c>
      <c r="AQ45">
        <v>0.35433947368421054</v>
      </c>
    </row>
    <row r="46" spans="1:43">
      <c r="A46" t="s">
        <v>1522</v>
      </c>
      <c r="B46" s="73">
        <v>45424</v>
      </c>
      <c r="C46" t="s">
        <v>288</v>
      </c>
      <c r="D46" t="s">
        <v>1209</v>
      </c>
      <c r="E46" t="s">
        <v>103</v>
      </c>
      <c r="F46" t="s">
        <v>245</v>
      </c>
      <c r="G46" t="s">
        <v>246</v>
      </c>
      <c r="H46" t="s">
        <v>58</v>
      </c>
      <c r="I46" t="s">
        <v>71</v>
      </c>
      <c r="J46" t="s">
        <v>172</v>
      </c>
      <c r="K46">
        <v>8</v>
      </c>
      <c r="L46">
        <v>1200</v>
      </c>
      <c r="M46">
        <v>0.1</v>
      </c>
      <c r="N46">
        <v>8640</v>
      </c>
      <c r="O46">
        <v>5320.76</v>
      </c>
      <c r="P46">
        <v>3319.24</v>
      </c>
      <c r="Q46">
        <v>38.42</v>
      </c>
      <c r="R46" t="s">
        <v>106</v>
      </c>
      <c r="S46" t="s">
        <v>74</v>
      </c>
      <c r="T46" t="s">
        <v>173</v>
      </c>
      <c r="U46" t="s">
        <v>64</v>
      </c>
      <c r="V46">
        <v>2024</v>
      </c>
      <c r="W46" t="s">
        <v>139</v>
      </c>
      <c r="X46">
        <v>8</v>
      </c>
      <c r="Y46" t="s">
        <v>1523</v>
      </c>
      <c r="Z46" t="s">
        <v>47</v>
      </c>
      <c r="AA46" t="s">
        <v>48</v>
      </c>
      <c r="AB46" t="s">
        <v>78</v>
      </c>
      <c r="AC46" t="s">
        <v>121</v>
      </c>
      <c r="AD46">
        <v>5</v>
      </c>
      <c r="AE46" t="s">
        <v>2225</v>
      </c>
      <c r="AF46" t="s">
        <v>2235</v>
      </c>
      <c r="AM46" t="s">
        <v>2211</v>
      </c>
      <c r="AN46" t="s">
        <v>49</v>
      </c>
      <c r="AO46" t="s">
        <v>50</v>
      </c>
      <c r="AP46" t="s">
        <v>121</v>
      </c>
      <c r="AQ46">
        <v>0.38417129629629626</v>
      </c>
    </row>
    <row r="47" spans="1:43">
      <c r="A47" t="s">
        <v>878</v>
      </c>
      <c r="B47" s="73">
        <v>45415</v>
      </c>
      <c r="C47" t="s">
        <v>633</v>
      </c>
      <c r="D47" t="s">
        <v>692</v>
      </c>
      <c r="E47" t="s">
        <v>103</v>
      </c>
      <c r="F47" t="s">
        <v>104</v>
      </c>
      <c r="G47" t="s">
        <v>104</v>
      </c>
      <c r="H47" t="s">
        <v>58</v>
      </c>
      <c r="I47" t="s">
        <v>71</v>
      </c>
      <c r="J47" t="s">
        <v>72</v>
      </c>
      <c r="K47">
        <v>9</v>
      </c>
      <c r="L47">
        <v>700</v>
      </c>
      <c r="M47">
        <v>0.2</v>
      </c>
      <c r="N47">
        <v>5040</v>
      </c>
      <c r="O47">
        <v>3725.76</v>
      </c>
      <c r="P47">
        <v>1314.24</v>
      </c>
      <c r="Q47">
        <v>26.08</v>
      </c>
      <c r="R47" t="s">
        <v>61</v>
      </c>
      <c r="S47" t="s">
        <v>42</v>
      </c>
      <c r="T47" t="s">
        <v>159</v>
      </c>
      <c r="U47" t="s">
        <v>178</v>
      </c>
      <c r="V47">
        <v>2024</v>
      </c>
      <c r="W47" t="s">
        <v>109</v>
      </c>
      <c r="X47">
        <v>10</v>
      </c>
      <c r="Y47" t="s">
        <v>179</v>
      </c>
      <c r="Z47" t="s">
        <v>47</v>
      </c>
      <c r="AA47" t="s">
        <v>48</v>
      </c>
      <c r="AB47" t="s">
        <v>49</v>
      </c>
      <c r="AC47" t="s">
        <v>50</v>
      </c>
      <c r="AD47">
        <v>4</v>
      </c>
      <c r="AE47" t="s">
        <v>159</v>
      </c>
      <c r="AF47" t="s">
        <v>2230</v>
      </c>
      <c r="AM47" t="s">
        <v>2215</v>
      </c>
      <c r="AN47" t="s">
        <v>49</v>
      </c>
      <c r="AO47" t="s">
        <v>50</v>
      </c>
      <c r="AP47" t="s">
        <v>121</v>
      </c>
      <c r="AQ47">
        <v>0.26076190476190475</v>
      </c>
    </row>
    <row r="48" spans="1:43">
      <c r="A48" t="s">
        <v>815</v>
      </c>
      <c r="B48" s="73">
        <v>45390</v>
      </c>
      <c r="C48" t="s">
        <v>204</v>
      </c>
      <c r="D48" t="s">
        <v>409</v>
      </c>
      <c r="E48" t="s">
        <v>103</v>
      </c>
      <c r="F48" t="s">
        <v>245</v>
      </c>
      <c r="G48" t="s">
        <v>246</v>
      </c>
      <c r="H48" t="s">
        <v>58</v>
      </c>
      <c r="I48" t="s">
        <v>71</v>
      </c>
      <c r="J48" t="s">
        <v>72</v>
      </c>
      <c r="K48">
        <v>4</v>
      </c>
      <c r="L48">
        <v>1200</v>
      </c>
      <c r="M48">
        <v>0.05</v>
      </c>
      <c r="N48">
        <v>4560</v>
      </c>
      <c r="O48">
        <v>3129.3</v>
      </c>
      <c r="P48">
        <v>1430.7</v>
      </c>
      <c r="Q48">
        <v>31.38</v>
      </c>
      <c r="R48" t="s">
        <v>166</v>
      </c>
      <c r="S48" t="s">
        <v>42</v>
      </c>
      <c r="T48" t="s">
        <v>159</v>
      </c>
      <c r="U48" t="s">
        <v>218</v>
      </c>
      <c r="V48">
        <v>2024</v>
      </c>
      <c r="W48" t="s">
        <v>45</v>
      </c>
      <c r="X48">
        <v>1</v>
      </c>
      <c r="Y48" s="73">
        <v>45420</v>
      </c>
      <c r="Z48" t="s">
        <v>89</v>
      </c>
      <c r="AA48" t="s">
        <v>48</v>
      </c>
      <c r="AB48" t="s">
        <v>111</v>
      </c>
      <c r="AC48" t="s">
        <v>121</v>
      </c>
      <c r="AD48">
        <v>5</v>
      </c>
      <c r="AE48" t="s">
        <v>159</v>
      </c>
      <c r="AF48" t="s">
        <v>2214</v>
      </c>
      <c r="AM48" t="s">
        <v>2211</v>
      </c>
      <c r="AN48" t="s">
        <v>49</v>
      </c>
      <c r="AO48" t="s">
        <v>50</v>
      </c>
      <c r="AP48" t="s">
        <v>121</v>
      </c>
      <c r="AQ48">
        <v>0.31375000000000003</v>
      </c>
    </row>
    <row r="49" spans="1:43">
      <c r="A49" t="s">
        <v>1964</v>
      </c>
      <c r="B49" s="73">
        <v>45386</v>
      </c>
      <c r="C49" t="s">
        <v>1558</v>
      </c>
      <c r="D49" t="s">
        <v>961</v>
      </c>
      <c r="E49" t="s">
        <v>103</v>
      </c>
      <c r="F49" t="s">
        <v>36</v>
      </c>
      <c r="G49" t="s">
        <v>37</v>
      </c>
      <c r="H49" t="s">
        <v>58</v>
      </c>
      <c r="I49" t="s">
        <v>71</v>
      </c>
      <c r="J49" t="s">
        <v>172</v>
      </c>
      <c r="K49">
        <v>5</v>
      </c>
      <c r="L49">
        <v>700</v>
      </c>
      <c r="M49">
        <v>0.1</v>
      </c>
      <c r="N49">
        <v>3150</v>
      </c>
      <c r="O49">
        <v>2062.39</v>
      </c>
      <c r="P49">
        <v>1087.6099999999999</v>
      </c>
      <c r="Q49">
        <v>34.53</v>
      </c>
      <c r="R49" t="s">
        <v>41</v>
      </c>
      <c r="S49" t="s">
        <v>74</v>
      </c>
      <c r="T49" t="s">
        <v>173</v>
      </c>
      <c r="U49" t="s">
        <v>44</v>
      </c>
      <c r="V49">
        <v>2024</v>
      </c>
      <c r="W49" t="s">
        <v>139</v>
      </c>
      <c r="X49">
        <v>6</v>
      </c>
      <c r="Y49" s="73">
        <v>45569</v>
      </c>
      <c r="Z49" t="s">
        <v>47</v>
      </c>
      <c r="AA49" t="s">
        <v>90</v>
      </c>
      <c r="AB49" t="s">
        <v>49</v>
      </c>
      <c r="AC49" t="s">
        <v>50</v>
      </c>
      <c r="AD49">
        <v>2</v>
      </c>
      <c r="AE49" t="s">
        <v>2240</v>
      </c>
      <c r="AF49" t="s">
        <v>2228</v>
      </c>
      <c r="AM49" t="s">
        <v>2211</v>
      </c>
      <c r="AN49" t="s">
        <v>49</v>
      </c>
      <c r="AO49" t="s">
        <v>50</v>
      </c>
      <c r="AP49" t="s">
        <v>121</v>
      </c>
      <c r="AQ49">
        <v>0.34527301587301584</v>
      </c>
    </row>
    <row r="50" spans="1:43">
      <c r="A50" t="s">
        <v>605</v>
      </c>
      <c r="B50" s="73">
        <v>45362</v>
      </c>
      <c r="C50" t="s">
        <v>606</v>
      </c>
      <c r="D50" t="s">
        <v>607</v>
      </c>
      <c r="E50" t="s">
        <v>55</v>
      </c>
      <c r="F50" t="s">
        <v>82</v>
      </c>
      <c r="G50" t="s">
        <v>83</v>
      </c>
      <c r="H50" t="s">
        <v>58</v>
      </c>
      <c r="I50" t="s">
        <v>71</v>
      </c>
      <c r="J50" t="s">
        <v>158</v>
      </c>
      <c r="K50">
        <v>10</v>
      </c>
      <c r="L50">
        <v>1200</v>
      </c>
      <c r="M50">
        <v>0.05</v>
      </c>
      <c r="N50">
        <v>11400</v>
      </c>
      <c r="O50">
        <v>6557.79</v>
      </c>
      <c r="P50">
        <v>4842.21</v>
      </c>
      <c r="Q50">
        <v>42.48</v>
      </c>
      <c r="R50" t="s">
        <v>106</v>
      </c>
      <c r="S50" t="s">
        <v>42</v>
      </c>
      <c r="T50" t="s">
        <v>118</v>
      </c>
      <c r="U50" t="s">
        <v>198</v>
      </c>
      <c r="V50">
        <v>2024</v>
      </c>
      <c r="W50" t="s">
        <v>45</v>
      </c>
      <c r="X50">
        <v>2</v>
      </c>
      <c r="Y50" s="73">
        <v>45423</v>
      </c>
      <c r="Z50" t="s">
        <v>47</v>
      </c>
      <c r="AA50" t="s">
        <v>90</v>
      </c>
      <c r="AB50" t="s">
        <v>78</v>
      </c>
      <c r="AC50" t="s">
        <v>50</v>
      </c>
      <c r="AD50">
        <v>3</v>
      </c>
      <c r="AE50" t="s">
        <v>118</v>
      </c>
      <c r="AF50" t="s">
        <v>2210</v>
      </c>
      <c r="AM50" t="s">
        <v>2211</v>
      </c>
      <c r="AN50" t="s">
        <v>78</v>
      </c>
      <c r="AO50" t="s">
        <v>50</v>
      </c>
      <c r="AP50" t="s">
        <v>121</v>
      </c>
      <c r="AQ50">
        <v>0.42475526315789475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0BA3-EB60-40E2-BA42-EDDC09B58FC8}">
  <dimension ref="A1:AA170"/>
  <sheetViews>
    <sheetView topLeftCell="A69" workbookViewId="0">
      <selection activeCell="B74" sqref="B74"/>
    </sheetView>
  </sheetViews>
  <sheetFormatPr defaultRowHeight="15"/>
  <cols>
    <col min="1" max="1" width="14.140625" bestFit="1" customWidth="1"/>
    <col min="2" max="2" width="12.85546875" bestFit="1" customWidth="1"/>
    <col min="19" max="19" width="12" bestFit="1" customWidth="1"/>
    <col min="21" max="21" width="15.7109375" bestFit="1" customWidth="1"/>
    <col min="23" max="23" width="12" bestFit="1" customWidth="1"/>
    <col min="25" max="25" width="19.5703125" bestFit="1" customWidth="1"/>
    <col min="27" max="27" width="11.85546875" bestFit="1" customWidth="1"/>
  </cols>
  <sheetData>
    <row r="1" spans="1:27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S1" s="65" t="s">
        <v>2199</v>
      </c>
      <c r="U1" s="65" t="s">
        <v>2241</v>
      </c>
      <c r="W1" s="65" t="s">
        <v>2242</v>
      </c>
      <c r="Y1" s="65" t="s">
        <v>2243</v>
      </c>
      <c r="AA1" s="65" t="s">
        <v>2244</v>
      </c>
    </row>
    <row r="2" spans="1:27">
      <c r="A2" s="68" t="s">
        <v>7</v>
      </c>
      <c r="B2" s="40" t="s">
        <v>2176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60"/>
      <c r="S2" s="66">
        <f>SUM(Sheet1!N2:N1001)</f>
        <v>30311250</v>
      </c>
      <c r="U2" s="66">
        <f>SUM(Sheet1!P2:P1001)</f>
        <v>9519984.0999999978</v>
      </c>
      <c r="W2" s="67">
        <f>COUNTA(Sheet1!A2:A1001)</f>
        <v>1000</v>
      </c>
      <c r="Y2" s="66">
        <f>AVERAGE(Sheet1!N2:N1001)</f>
        <v>30311.25</v>
      </c>
      <c r="AA2" s="67">
        <f>SUMPRODUCT(Sheet1!K2:K1001,Sheet1!L2:L1001)</f>
        <v>33700500</v>
      </c>
    </row>
    <row r="3" spans="1:27">
      <c r="A3" s="40" t="s">
        <v>58</v>
      </c>
      <c r="B3" s="44">
        <v>5965332.5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60"/>
    </row>
    <row r="4" spans="1:27">
      <c r="A4" s="40" t="s">
        <v>2177</v>
      </c>
      <c r="B4" s="44">
        <v>5965332.5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60"/>
      <c r="S4" s="65" t="s">
        <v>2245</v>
      </c>
      <c r="U4" s="65" t="s">
        <v>2246</v>
      </c>
    </row>
    <row r="5" spans="1:27"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60"/>
      <c r="S5" s="67" t="s">
        <v>206</v>
      </c>
      <c r="U5" s="67" t="s">
        <v>97</v>
      </c>
    </row>
    <row r="6" spans="1:27"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60"/>
    </row>
    <row r="7" spans="1:27"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60"/>
    </row>
    <row r="8" spans="1:27">
      <c r="A8" s="61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60"/>
    </row>
    <row r="9" spans="1:27">
      <c r="A9" s="61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60"/>
    </row>
    <row r="10" spans="1:27">
      <c r="A10" s="61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60"/>
    </row>
    <row r="11" spans="1:27">
      <c r="A11" s="61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60"/>
    </row>
    <row r="12" spans="1:27">
      <c r="A12" s="61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60"/>
    </row>
    <row r="13" spans="1:27">
      <c r="A13" s="61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60"/>
    </row>
    <row r="14" spans="1:27">
      <c r="A14" s="61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60"/>
    </row>
    <row r="15" spans="1:27">
      <c r="A15" s="61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60"/>
    </row>
    <row r="16" spans="1:27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4"/>
    </row>
    <row r="20" spans="1:14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9"/>
    </row>
    <row r="21" spans="1:14">
      <c r="A21" s="68" t="s">
        <v>8</v>
      </c>
      <c r="B21" s="40" t="s">
        <v>2176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60"/>
    </row>
    <row r="22" spans="1:14">
      <c r="A22" s="40" t="s">
        <v>59</v>
      </c>
      <c r="B22" s="44">
        <v>348330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60"/>
    </row>
    <row r="23" spans="1:14">
      <c r="A23" s="40" t="s">
        <v>71</v>
      </c>
      <c r="B23" s="44">
        <v>490985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60"/>
    </row>
    <row r="24" spans="1:14">
      <c r="A24" s="40" t="s">
        <v>39</v>
      </c>
      <c r="B24" s="44">
        <v>3481750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60"/>
    </row>
    <row r="25" spans="1:14">
      <c r="A25" s="40" t="s">
        <v>95</v>
      </c>
      <c r="B25" s="44">
        <v>1519200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60"/>
    </row>
    <row r="26" spans="1:14">
      <c r="A26" s="40" t="s">
        <v>84</v>
      </c>
      <c r="B26" s="44">
        <v>125067.5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60"/>
    </row>
    <row r="27" spans="1:14">
      <c r="A27" s="40" t="s">
        <v>2177</v>
      </c>
      <c r="B27" s="44">
        <v>5965332.5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60"/>
    </row>
    <row r="28" spans="1:14">
      <c r="A28" s="61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60"/>
    </row>
    <row r="29" spans="1:14">
      <c r="A29" s="61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60"/>
    </row>
    <row r="30" spans="1:14">
      <c r="A30" s="61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60"/>
    </row>
    <row r="31" spans="1:14">
      <c r="A31" s="61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60"/>
    </row>
    <row r="32" spans="1:14">
      <c r="A32" s="61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60"/>
    </row>
    <row r="33" spans="1:14">
      <c r="A33" s="61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60"/>
    </row>
    <row r="34" spans="1:14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4"/>
    </row>
    <row r="39" spans="1:14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</row>
    <row r="40" spans="1:14">
      <c r="A40" s="68" t="s">
        <v>9</v>
      </c>
      <c r="B40" s="40" t="s">
        <v>2176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60"/>
    </row>
    <row r="41" spans="1:14">
      <c r="A41" s="40" t="s">
        <v>206</v>
      </c>
      <c r="B41" s="44">
        <v>60020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60"/>
    </row>
    <row r="42" spans="1:14">
      <c r="A42" s="40" t="s">
        <v>60</v>
      </c>
      <c r="B42" s="44">
        <v>43680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60"/>
    </row>
    <row r="43" spans="1:14">
      <c r="A43" s="40" t="s">
        <v>172</v>
      </c>
      <c r="B43" s="44">
        <v>150785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60"/>
    </row>
    <row r="44" spans="1:14">
      <c r="A44" s="40" t="s">
        <v>40</v>
      </c>
      <c r="B44" s="44">
        <v>580700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60"/>
    </row>
    <row r="45" spans="1:14">
      <c r="A45" s="40" t="s">
        <v>96</v>
      </c>
      <c r="B45" s="44">
        <v>383400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60"/>
    </row>
    <row r="46" spans="1:14">
      <c r="A46" s="40" t="s">
        <v>133</v>
      </c>
      <c r="B46" s="44">
        <v>81185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60"/>
    </row>
    <row r="47" spans="1:14">
      <c r="A47" s="40" t="s">
        <v>217</v>
      </c>
      <c r="B47" s="44">
        <v>6720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60"/>
    </row>
    <row r="48" spans="1:14">
      <c r="A48" s="40" t="s">
        <v>440</v>
      </c>
      <c r="B48" s="44">
        <v>311500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60"/>
    </row>
    <row r="49" spans="1:14">
      <c r="A49" s="40" t="s">
        <v>105</v>
      </c>
      <c r="B49" s="44">
        <v>501950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60"/>
    </row>
    <row r="50" spans="1:14">
      <c r="A50" s="40" t="s">
        <v>158</v>
      </c>
      <c r="B50" s="44">
        <v>124270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60"/>
    </row>
    <row r="51" spans="1:14">
      <c r="A51" s="40" t="s">
        <v>72</v>
      </c>
      <c r="B51" s="44">
        <v>62150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60"/>
    </row>
    <row r="52" spans="1:14">
      <c r="A52" s="40" t="s">
        <v>85</v>
      </c>
      <c r="B52" s="44">
        <v>38537.5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60"/>
    </row>
    <row r="53" spans="1:14">
      <c r="A53" s="40" t="s">
        <v>229</v>
      </c>
      <c r="B53" s="44">
        <v>22785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60"/>
    </row>
    <row r="54" spans="1:14">
      <c r="A54" s="40" t="s">
        <v>344</v>
      </c>
      <c r="B54" s="44">
        <v>349925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60"/>
    </row>
    <row r="55" spans="1:14">
      <c r="A55" s="40" t="s">
        <v>390</v>
      </c>
      <c r="B55" s="44">
        <v>33155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60"/>
    </row>
    <row r="56" spans="1:14">
      <c r="A56" s="40" t="s">
        <v>165</v>
      </c>
      <c r="B56" s="44">
        <v>542300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60"/>
    </row>
    <row r="57" spans="1:14">
      <c r="A57" s="40" t="s">
        <v>356</v>
      </c>
      <c r="B57" s="44">
        <v>1322000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60"/>
    </row>
    <row r="58" spans="1:14">
      <c r="A58" s="40" t="s">
        <v>117</v>
      </c>
      <c r="B58" s="44">
        <v>75600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60"/>
    </row>
    <row r="59" spans="1:14">
      <c r="A59" s="40" t="s">
        <v>240</v>
      </c>
      <c r="B59" s="44">
        <v>78180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60"/>
    </row>
    <row r="60" spans="1:14">
      <c r="A60" s="40" t="s">
        <v>253</v>
      </c>
      <c r="B60" s="44">
        <v>534800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60"/>
    </row>
    <row r="61" spans="1:14">
      <c r="A61" s="40" t="s">
        <v>290</v>
      </c>
      <c r="B61" s="44">
        <v>23870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60"/>
    </row>
    <row r="62" spans="1:14">
      <c r="A62" s="40" t="s">
        <v>319</v>
      </c>
      <c r="B62" s="44">
        <v>398150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60"/>
    </row>
    <row r="63" spans="1:14">
      <c r="A63" s="40" t="s">
        <v>184</v>
      </c>
      <c r="B63" s="44">
        <v>76225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60"/>
    </row>
    <row r="64" spans="1:14">
      <c r="A64" s="40" t="s">
        <v>372</v>
      </c>
      <c r="B64" s="44">
        <v>56345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60"/>
    </row>
    <row r="65" spans="1:14">
      <c r="A65" s="40" t="s">
        <v>328</v>
      </c>
      <c r="B65" s="44">
        <v>107100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60"/>
    </row>
    <row r="66" spans="1:14">
      <c r="A66" s="40" t="s">
        <v>2177</v>
      </c>
      <c r="B66" s="44">
        <v>5965332.5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60"/>
    </row>
    <row r="67" spans="1:14">
      <c r="A67" s="62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</row>
    <row r="69" spans="1:14">
      <c r="A69" s="57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9"/>
    </row>
    <row r="70" spans="1:14">
      <c r="A70" s="61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60"/>
    </row>
    <row r="71" spans="1:14">
      <c r="A71" s="61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60"/>
    </row>
    <row r="72" spans="1:14">
      <c r="A72" s="72" t="s">
        <v>8</v>
      </c>
      <c r="B72" s="43" t="s">
        <v>2179</v>
      </c>
      <c r="C72" s="43"/>
      <c r="D72" s="43"/>
      <c r="E72" s="43"/>
      <c r="F72" s="43"/>
      <c r="G72" s="43"/>
      <c r="H72" s="43"/>
      <c r="I72" s="43"/>
      <c r="J72" s="43"/>
      <c r="K72" s="43"/>
      <c r="L72" s="60"/>
    </row>
    <row r="73" spans="1:14">
      <c r="A73" s="61" t="s">
        <v>59</v>
      </c>
      <c r="B73" s="71">
        <v>104830.37999999998</v>
      </c>
      <c r="C73" s="43"/>
      <c r="D73" s="43"/>
      <c r="E73" s="43"/>
      <c r="F73" s="43"/>
      <c r="G73" s="43"/>
      <c r="H73" s="43"/>
      <c r="I73" s="43"/>
      <c r="J73" s="43"/>
      <c r="K73" s="43"/>
      <c r="L73" s="60"/>
    </row>
    <row r="74" spans="1:14">
      <c r="A74" s="61" t="s">
        <v>71</v>
      </c>
      <c r="B74" s="71">
        <v>153730.63</v>
      </c>
      <c r="C74" s="43"/>
      <c r="D74" s="43"/>
      <c r="E74" s="43"/>
      <c r="F74" s="43"/>
      <c r="G74" s="43"/>
      <c r="H74" s="43"/>
      <c r="I74" s="43"/>
      <c r="J74" s="43"/>
      <c r="K74" s="43"/>
      <c r="L74" s="60"/>
    </row>
    <row r="75" spans="1:14">
      <c r="A75" s="61" t="s">
        <v>39</v>
      </c>
      <c r="B75" s="71">
        <v>1065908.1200000001</v>
      </c>
      <c r="C75" s="43"/>
      <c r="D75" s="43"/>
      <c r="E75" s="43"/>
      <c r="F75" s="43"/>
      <c r="G75" s="43"/>
      <c r="H75" s="43"/>
      <c r="I75" s="43"/>
      <c r="J75" s="43"/>
      <c r="K75" s="43"/>
      <c r="L75" s="60"/>
    </row>
    <row r="76" spans="1:14">
      <c r="A76" s="61" t="s">
        <v>95</v>
      </c>
      <c r="B76" s="71">
        <v>481396.73999999993</v>
      </c>
      <c r="C76" s="43"/>
      <c r="D76" s="43"/>
      <c r="E76" s="43"/>
      <c r="F76" s="43"/>
      <c r="G76" s="43"/>
      <c r="H76" s="43"/>
      <c r="I76" s="43"/>
      <c r="J76" s="43"/>
      <c r="K76" s="43"/>
      <c r="L76" s="60"/>
    </row>
    <row r="77" spans="1:14">
      <c r="A77" s="61" t="s">
        <v>84</v>
      </c>
      <c r="B77" s="71">
        <v>38664.94</v>
      </c>
      <c r="C77" s="43"/>
      <c r="D77" s="43"/>
      <c r="E77" s="43"/>
      <c r="F77" s="43"/>
      <c r="G77" s="43"/>
      <c r="H77" s="43"/>
      <c r="I77" s="43"/>
      <c r="J77" s="43"/>
      <c r="K77" s="43"/>
      <c r="L77" s="60"/>
    </row>
    <row r="78" spans="1:14">
      <c r="A78" s="61" t="s">
        <v>2177</v>
      </c>
      <c r="B78" s="71">
        <v>1844530.81</v>
      </c>
      <c r="C78" s="43"/>
      <c r="D78" s="43"/>
      <c r="E78" s="43"/>
      <c r="F78" s="43"/>
      <c r="G78" s="43"/>
      <c r="H78" s="43"/>
      <c r="I78" s="43"/>
      <c r="J78" s="43"/>
      <c r="K78" s="43"/>
      <c r="L78" s="60"/>
    </row>
    <row r="79" spans="1:14">
      <c r="A79" s="61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60"/>
    </row>
    <row r="80" spans="1:14">
      <c r="A80" s="61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60"/>
    </row>
    <row r="81" spans="1:12">
      <c r="A81" s="61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60"/>
    </row>
    <row r="82" spans="1:12">
      <c r="A82" s="61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60"/>
    </row>
    <row r="83" spans="1:12">
      <c r="A83" s="61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60"/>
    </row>
    <row r="84" spans="1:12">
      <c r="A84" s="62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4"/>
    </row>
    <row r="85" spans="1:12" ht="28.5" customHeight="1"/>
    <row r="86" spans="1:12">
      <c r="A86" s="68" t="s">
        <v>20</v>
      </c>
      <c r="B86" s="40" t="s">
        <v>2176</v>
      </c>
      <c r="C86" s="58"/>
    </row>
    <row r="87" spans="1:12">
      <c r="A87" s="40" t="s">
        <v>76</v>
      </c>
      <c r="B87" s="44">
        <v>363005</v>
      </c>
      <c r="C87" s="43"/>
      <c r="D87" s="43"/>
      <c r="E87" s="43"/>
      <c r="F87" s="43"/>
      <c r="G87" s="43"/>
      <c r="H87" s="43"/>
      <c r="I87" s="43"/>
      <c r="J87" s="43"/>
      <c r="K87" s="60"/>
    </row>
    <row r="88" spans="1:12">
      <c r="A88" s="40" t="s">
        <v>98</v>
      </c>
      <c r="B88" s="44">
        <v>450610</v>
      </c>
      <c r="C88" s="43"/>
      <c r="D88" s="43"/>
      <c r="E88" s="43"/>
      <c r="F88" s="43"/>
      <c r="G88" s="43"/>
      <c r="H88" s="43"/>
      <c r="I88" s="43"/>
      <c r="J88" s="43"/>
      <c r="K88" s="60"/>
    </row>
    <row r="89" spans="1:12">
      <c r="A89" s="40" t="s">
        <v>178</v>
      </c>
      <c r="B89" s="44">
        <v>562725</v>
      </c>
      <c r="C89" s="43"/>
      <c r="D89" s="43"/>
      <c r="E89" s="43"/>
      <c r="F89" s="43"/>
      <c r="G89" s="43"/>
      <c r="H89" s="43"/>
      <c r="I89" s="43"/>
      <c r="J89" s="43"/>
      <c r="K89" s="60"/>
    </row>
    <row r="90" spans="1:12">
      <c r="A90" s="40" t="s">
        <v>44</v>
      </c>
      <c r="B90" s="44">
        <v>341137.5</v>
      </c>
      <c r="C90" s="43"/>
      <c r="D90" s="43"/>
      <c r="E90" s="43"/>
      <c r="F90" s="43"/>
      <c r="G90" s="43"/>
      <c r="H90" s="43"/>
      <c r="I90" s="43"/>
      <c r="J90" s="43"/>
      <c r="K90" s="60"/>
    </row>
    <row r="91" spans="1:12">
      <c r="A91" s="40" t="s">
        <v>119</v>
      </c>
      <c r="B91" s="44">
        <v>146860</v>
      </c>
      <c r="C91" s="43"/>
      <c r="D91" s="43"/>
      <c r="E91" s="43"/>
      <c r="F91" s="43"/>
      <c r="G91" s="43"/>
      <c r="H91" s="43"/>
      <c r="I91" s="43"/>
      <c r="J91" s="43"/>
      <c r="K91" s="60"/>
    </row>
    <row r="92" spans="1:12">
      <c r="A92" s="40" t="s">
        <v>160</v>
      </c>
      <c r="B92" s="44">
        <v>659850</v>
      </c>
      <c r="C92" s="43"/>
      <c r="D92" s="43"/>
      <c r="E92" s="43"/>
      <c r="F92" s="43"/>
      <c r="G92" s="43"/>
      <c r="H92" s="43"/>
      <c r="I92" s="43"/>
      <c r="J92" s="43"/>
      <c r="K92" s="60"/>
    </row>
    <row r="93" spans="1:12">
      <c r="A93" s="40" t="s">
        <v>151</v>
      </c>
      <c r="B93" s="44">
        <v>920195</v>
      </c>
      <c r="C93" s="43"/>
      <c r="D93" s="43"/>
      <c r="E93" s="43"/>
      <c r="F93" s="43"/>
      <c r="G93" s="43"/>
      <c r="H93" s="43"/>
      <c r="I93" s="43"/>
      <c r="J93" s="43"/>
      <c r="K93" s="60"/>
    </row>
    <row r="94" spans="1:12">
      <c r="A94" s="40" t="s">
        <v>218</v>
      </c>
      <c r="B94" s="44">
        <v>539760</v>
      </c>
      <c r="C94" s="43"/>
      <c r="D94" s="43"/>
      <c r="E94" s="43"/>
      <c r="F94" s="43"/>
      <c r="G94" s="43"/>
      <c r="H94" s="43"/>
      <c r="I94" s="43"/>
      <c r="J94" s="43"/>
      <c r="K94" s="60"/>
    </row>
    <row r="95" spans="1:12">
      <c r="A95" s="40" t="s">
        <v>108</v>
      </c>
      <c r="B95" s="44">
        <v>301135</v>
      </c>
      <c r="C95" s="43"/>
      <c r="D95" s="43"/>
      <c r="E95" s="43"/>
      <c r="F95" s="43"/>
      <c r="G95" s="43"/>
      <c r="H95" s="43"/>
      <c r="I95" s="43"/>
      <c r="J95" s="43"/>
      <c r="K95" s="60"/>
    </row>
    <row r="96" spans="1:12">
      <c r="A96" s="40" t="s">
        <v>87</v>
      </c>
      <c r="B96" s="44">
        <v>636760</v>
      </c>
      <c r="C96" s="43"/>
      <c r="D96" s="43"/>
      <c r="E96" s="43"/>
      <c r="F96" s="43"/>
      <c r="G96" s="43"/>
      <c r="H96" s="43"/>
      <c r="I96" s="43"/>
      <c r="J96" s="43"/>
      <c r="K96" s="60"/>
    </row>
    <row r="97" spans="1:11">
      <c r="A97" s="40" t="s">
        <v>198</v>
      </c>
      <c r="B97" s="44">
        <v>364815</v>
      </c>
      <c r="C97" s="43"/>
      <c r="D97" s="43"/>
      <c r="E97" s="43"/>
      <c r="F97" s="43"/>
      <c r="G97" s="43"/>
      <c r="H97" s="43"/>
      <c r="I97" s="43"/>
      <c r="J97" s="43"/>
      <c r="K97" s="60"/>
    </row>
    <row r="98" spans="1:11">
      <c r="A98" s="40" t="s">
        <v>64</v>
      </c>
      <c r="B98" s="44">
        <v>678480</v>
      </c>
      <c r="C98" s="43"/>
      <c r="D98" s="43"/>
      <c r="E98" s="43"/>
      <c r="F98" s="43"/>
      <c r="G98" s="43"/>
      <c r="H98" s="43"/>
      <c r="I98" s="43"/>
      <c r="J98" s="43"/>
      <c r="K98" s="60"/>
    </row>
    <row r="99" spans="1:11">
      <c r="A99" s="40" t="s">
        <v>2177</v>
      </c>
      <c r="B99" s="44">
        <v>5965332.5</v>
      </c>
      <c r="C99" s="43"/>
      <c r="D99" s="43"/>
      <c r="E99" s="43"/>
      <c r="F99" s="43"/>
      <c r="G99" s="43"/>
      <c r="H99" s="43"/>
      <c r="I99" s="43"/>
      <c r="J99" s="43"/>
      <c r="K99" s="60"/>
    </row>
    <row r="100" spans="1:11">
      <c r="A100" s="61"/>
      <c r="B100" s="43"/>
      <c r="C100" s="43"/>
      <c r="D100" s="43"/>
      <c r="E100" s="43"/>
      <c r="F100" s="43"/>
      <c r="G100" s="43"/>
      <c r="H100" s="43"/>
      <c r="I100" s="43"/>
      <c r="J100" s="43"/>
      <c r="K100" s="60"/>
    </row>
    <row r="101" spans="1:11">
      <c r="A101" s="62"/>
      <c r="B101" s="63"/>
      <c r="C101" s="63"/>
      <c r="D101" s="63"/>
      <c r="E101" s="63"/>
      <c r="F101" s="63"/>
      <c r="G101" s="63"/>
      <c r="H101" s="63"/>
      <c r="I101" s="63"/>
      <c r="J101" s="63"/>
      <c r="K101" s="64"/>
    </row>
    <row r="104" spans="1:11">
      <c r="A104" s="68" t="s">
        <v>19</v>
      </c>
      <c r="B104" s="40" t="s">
        <v>2176</v>
      </c>
      <c r="C104" s="58"/>
      <c r="D104" s="58"/>
      <c r="E104" s="58"/>
      <c r="F104" s="58"/>
      <c r="G104" s="58"/>
      <c r="H104" s="58"/>
      <c r="I104" s="58"/>
      <c r="J104" s="58"/>
      <c r="K104" s="59"/>
    </row>
    <row r="105" spans="1:11">
      <c r="A105" s="40" t="s">
        <v>97</v>
      </c>
      <c r="B105" s="44">
        <v>228485</v>
      </c>
      <c r="C105" s="43"/>
      <c r="D105" s="43"/>
      <c r="E105" s="43"/>
      <c r="F105" s="43"/>
      <c r="G105" s="43"/>
      <c r="H105" s="43"/>
      <c r="I105" s="43"/>
      <c r="J105" s="43"/>
      <c r="K105" s="60"/>
    </row>
    <row r="106" spans="1:11">
      <c r="A106" s="40" t="s">
        <v>159</v>
      </c>
      <c r="B106" s="44">
        <v>484730</v>
      </c>
      <c r="C106" s="43"/>
      <c r="D106" s="43"/>
      <c r="E106" s="43"/>
      <c r="F106" s="43"/>
      <c r="G106" s="43"/>
      <c r="H106" s="43"/>
      <c r="I106" s="43"/>
      <c r="J106" s="43"/>
      <c r="K106" s="60"/>
    </row>
    <row r="107" spans="1:11">
      <c r="A107" s="40" t="s">
        <v>138</v>
      </c>
      <c r="B107" s="44">
        <v>568825</v>
      </c>
      <c r="C107" s="43"/>
      <c r="D107" s="43"/>
      <c r="E107" s="43"/>
      <c r="F107" s="43"/>
      <c r="G107" s="43"/>
      <c r="H107" s="43"/>
      <c r="I107" s="43"/>
      <c r="J107" s="43"/>
      <c r="K107" s="60"/>
    </row>
    <row r="108" spans="1:11">
      <c r="A108" s="40" t="s">
        <v>86</v>
      </c>
      <c r="B108" s="44">
        <v>463430</v>
      </c>
      <c r="C108" s="43"/>
      <c r="D108" s="43"/>
      <c r="E108" s="43"/>
      <c r="F108" s="43"/>
      <c r="G108" s="43"/>
      <c r="H108" s="43"/>
      <c r="I108" s="43"/>
      <c r="J108" s="43"/>
      <c r="K108" s="60"/>
    </row>
    <row r="109" spans="1:11">
      <c r="A109" s="40" t="s">
        <v>118</v>
      </c>
      <c r="B109" s="44">
        <v>806355</v>
      </c>
      <c r="C109" s="43"/>
      <c r="D109" s="43"/>
      <c r="E109" s="43"/>
      <c r="F109" s="43"/>
      <c r="G109" s="43"/>
      <c r="H109" s="43"/>
      <c r="I109" s="43"/>
      <c r="J109" s="43"/>
      <c r="K109" s="60"/>
    </row>
    <row r="110" spans="1:11">
      <c r="A110" s="40" t="s">
        <v>173</v>
      </c>
      <c r="B110" s="44">
        <v>467107.5</v>
      </c>
      <c r="C110" s="43"/>
      <c r="D110" s="43"/>
      <c r="E110" s="43"/>
      <c r="F110" s="43"/>
      <c r="G110" s="43"/>
      <c r="H110" s="43"/>
      <c r="I110" s="43"/>
      <c r="J110" s="43"/>
      <c r="K110" s="60"/>
    </row>
    <row r="111" spans="1:11">
      <c r="A111" s="40" t="s">
        <v>63</v>
      </c>
      <c r="B111" s="44">
        <v>560260</v>
      </c>
      <c r="C111" s="43"/>
      <c r="D111" s="43"/>
      <c r="E111" s="43"/>
      <c r="F111" s="43"/>
      <c r="G111" s="43"/>
      <c r="H111" s="43"/>
      <c r="I111" s="43"/>
      <c r="J111" s="43"/>
      <c r="K111" s="60"/>
    </row>
    <row r="112" spans="1:11">
      <c r="A112" s="40" t="s">
        <v>75</v>
      </c>
      <c r="B112" s="44">
        <v>361525</v>
      </c>
      <c r="C112" s="43"/>
      <c r="D112" s="43"/>
      <c r="E112" s="43"/>
      <c r="F112" s="43"/>
      <c r="G112" s="43"/>
      <c r="H112" s="43"/>
      <c r="I112" s="43"/>
      <c r="J112" s="43"/>
      <c r="K112" s="60"/>
    </row>
    <row r="113" spans="1:11">
      <c r="A113" s="40" t="s">
        <v>107</v>
      </c>
      <c r="B113" s="44">
        <v>809160</v>
      </c>
      <c r="C113" s="43"/>
      <c r="D113" s="43"/>
      <c r="E113" s="43"/>
      <c r="F113" s="43"/>
      <c r="G113" s="43"/>
      <c r="H113" s="43"/>
      <c r="I113" s="43"/>
      <c r="J113" s="43"/>
      <c r="K113" s="60"/>
    </row>
    <row r="114" spans="1:11">
      <c r="A114" s="40" t="s">
        <v>43</v>
      </c>
      <c r="B114" s="44">
        <v>1215455</v>
      </c>
      <c r="C114" s="43"/>
      <c r="D114" s="43"/>
      <c r="E114" s="43"/>
      <c r="F114" s="43"/>
      <c r="G114" s="43"/>
      <c r="H114" s="43"/>
      <c r="I114" s="43"/>
      <c r="J114" s="43"/>
      <c r="K114" s="60"/>
    </row>
    <row r="115" spans="1:11">
      <c r="A115" s="40" t="s">
        <v>2177</v>
      </c>
      <c r="B115" s="44">
        <v>5965332.5</v>
      </c>
      <c r="C115" s="43"/>
      <c r="D115" s="43"/>
      <c r="E115" s="43"/>
      <c r="F115" s="43"/>
      <c r="G115" s="43"/>
      <c r="H115" s="43"/>
      <c r="I115" s="43"/>
      <c r="J115" s="43"/>
      <c r="K115" s="60"/>
    </row>
    <row r="116" spans="1:11">
      <c r="A116" s="61"/>
      <c r="B116" s="43"/>
      <c r="C116" s="43"/>
      <c r="D116" s="43"/>
      <c r="E116" s="43"/>
      <c r="F116" s="43"/>
      <c r="G116" s="43"/>
      <c r="H116" s="43"/>
      <c r="I116" s="43"/>
      <c r="J116" s="43"/>
      <c r="K116" s="60"/>
    </row>
    <row r="117" spans="1:11">
      <c r="A117" s="61"/>
      <c r="B117" s="43"/>
      <c r="C117" s="43"/>
      <c r="D117" s="43"/>
      <c r="E117" s="43"/>
      <c r="F117" s="43"/>
      <c r="G117" s="43"/>
      <c r="H117" s="43"/>
      <c r="I117" s="43"/>
      <c r="J117" s="43"/>
      <c r="K117" s="60"/>
    </row>
    <row r="118" spans="1:11">
      <c r="A118" s="61"/>
      <c r="B118" s="43"/>
      <c r="C118" s="43"/>
      <c r="D118" s="43"/>
      <c r="E118" s="43"/>
      <c r="F118" s="43"/>
      <c r="G118" s="43"/>
      <c r="H118" s="43"/>
      <c r="I118" s="43"/>
      <c r="J118" s="43"/>
      <c r="K118" s="60"/>
    </row>
    <row r="119" spans="1:11">
      <c r="A119" s="62"/>
      <c r="B119" s="63"/>
      <c r="C119" s="63"/>
      <c r="D119" s="63"/>
      <c r="E119" s="63"/>
      <c r="F119" s="63"/>
      <c r="G119" s="63"/>
      <c r="H119" s="63"/>
      <c r="I119" s="63"/>
      <c r="J119" s="63"/>
      <c r="K119" s="64"/>
    </row>
    <row r="121" spans="1:11">
      <c r="A121" s="57"/>
      <c r="B121" s="58"/>
      <c r="C121" s="58"/>
      <c r="D121" s="58"/>
      <c r="E121" s="58"/>
      <c r="F121" s="58"/>
      <c r="G121" s="58"/>
      <c r="H121" s="58"/>
      <c r="I121" s="58"/>
      <c r="J121" s="58"/>
      <c r="K121" s="59"/>
    </row>
    <row r="122" spans="1:11">
      <c r="A122" s="68" t="s">
        <v>4</v>
      </c>
      <c r="B122" s="40" t="s">
        <v>2176</v>
      </c>
      <c r="C122" s="43"/>
      <c r="D122" s="43"/>
      <c r="E122" s="43"/>
      <c r="F122" s="43"/>
      <c r="G122" s="43"/>
      <c r="H122" s="43"/>
      <c r="I122" s="43"/>
      <c r="J122" s="43"/>
      <c r="K122" s="60"/>
    </row>
    <row r="123" spans="1:11">
      <c r="A123" s="40" t="s">
        <v>35</v>
      </c>
      <c r="B123" s="44">
        <v>1348000</v>
      </c>
      <c r="C123" s="43"/>
      <c r="D123" s="43"/>
      <c r="E123" s="43"/>
      <c r="F123" s="43"/>
      <c r="G123" s="43"/>
      <c r="H123" s="43"/>
      <c r="I123" s="43"/>
      <c r="J123" s="43"/>
      <c r="K123" s="60"/>
    </row>
    <row r="124" spans="1:11">
      <c r="A124" s="40" t="s">
        <v>55</v>
      </c>
      <c r="B124" s="44">
        <v>2692430</v>
      </c>
      <c r="C124" s="43"/>
      <c r="D124" s="43"/>
      <c r="E124" s="43"/>
      <c r="F124" s="43"/>
      <c r="G124" s="43"/>
      <c r="H124" s="43"/>
      <c r="I124" s="43"/>
      <c r="J124" s="43"/>
      <c r="K124" s="60"/>
    </row>
    <row r="125" spans="1:11">
      <c r="A125" s="40" t="s">
        <v>103</v>
      </c>
      <c r="B125" s="44">
        <v>1924902.5</v>
      </c>
      <c r="C125" s="43"/>
      <c r="D125" s="43"/>
      <c r="E125" s="43"/>
      <c r="F125" s="43"/>
      <c r="G125" s="43"/>
      <c r="H125" s="43"/>
      <c r="I125" s="43"/>
      <c r="J125" s="43"/>
      <c r="K125" s="60"/>
    </row>
    <row r="126" spans="1:11">
      <c r="A126" s="40" t="s">
        <v>2177</v>
      </c>
      <c r="B126" s="44">
        <v>5965332.5</v>
      </c>
      <c r="C126" s="43"/>
      <c r="D126" s="43"/>
      <c r="E126" s="43"/>
      <c r="F126" s="43"/>
      <c r="G126" s="43"/>
      <c r="H126" s="43"/>
      <c r="I126" s="43"/>
      <c r="J126" s="43"/>
      <c r="K126" s="60"/>
    </row>
    <row r="127" spans="1:11">
      <c r="A127" s="61"/>
      <c r="B127" s="43"/>
      <c r="C127" s="43"/>
      <c r="D127" s="43"/>
      <c r="E127" s="43"/>
      <c r="F127" s="43"/>
      <c r="G127" s="43"/>
      <c r="H127" s="43"/>
      <c r="I127" s="43"/>
      <c r="J127" s="43"/>
      <c r="K127" s="60"/>
    </row>
    <row r="128" spans="1:11">
      <c r="A128" s="61"/>
      <c r="B128" s="43"/>
      <c r="C128" s="43"/>
      <c r="D128" s="43"/>
      <c r="E128" s="43"/>
      <c r="F128" s="43"/>
      <c r="G128" s="43"/>
      <c r="H128" s="43"/>
      <c r="I128" s="43"/>
      <c r="J128" s="43"/>
      <c r="K128" s="60"/>
    </row>
    <row r="129" spans="1:11">
      <c r="A129" s="61"/>
      <c r="B129" s="43"/>
      <c r="C129" s="43"/>
      <c r="D129" s="43"/>
      <c r="E129" s="43"/>
      <c r="F129" s="43"/>
      <c r="G129" s="43"/>
      <c r="H129" s="43"/>
      <c r="I129" s="43"/>
      <c r="J129" s="43"/>
      <c r="K129" s="60"/>
    </row>
    <row r="130" spans="1:11">
      <c r="A130" s="61"/>
      <c r="B130" s="43"/>
      <c r="C130" s="43"/>
      <c r="D130" s="43"/>
      <c r="E130" s="43"/>
      <c r="F130" s="43"/>
      <c r="G130" s="43"/>
      <c r="H130" s="43"/>
      <c r="I130" s="43"/>
      <c r="J130" s="43"/>
      <c r="K130" s="60"/>
    </row>
    <row r="131" spans="1:11">
      <c r="A131" s="61"/>
      <c r="B131" s="43"/>
      <c r="C131" s="43"/>
      <c r="D131" s="43"/>
      <c r="E131" s="43"/>
      <c r="F131" s="43"/>
      <c r="G131" s="43"/>
      <c r="H131" s="43"/>
      <c r="I131" s="43"/>
      <c r="J131" s="43"/>
      <c r="K131" s="60"/>
    </row>
    <row r="132" spans="1:11">
      <c r="A132" s="61"/>
      <c r="B132" s="43"/>
      <c r="C132" s="43"/>
      <c r="D132" s="43"/>
      <c r="E132" s="43"/>
      <c r="F132" s="43"/>
      <c r="G132" s="43"/>
      <c r="H132" s="43"/>
      <c r="I132" s="43"/>
      <c r="J132" s="43"/>
      <c r="K132" s="60"/>
    </row>
    <row r="133" spans="1:11">
      <c r="A133" s="61"/>
      <c r="B133" s="43"/>
      <c r="C133" s="43"/>
      <c r="D133" s="43"/>
      <c r="E133" s="43"/>
      <c r="F133" s="43"/>
      <c r="G133" s="43"/>
      <c r="H133" s="43"/>
      <c r="I133" s="43"/>
      <c r="J133" s="43"/>
      <c r="K133" s="60"/>
    </row>
    <row r="134" spans="1:11">
      <c r="A134" s="61"/>
      <c r="B134" s="43"/>
      <c r="C134" s="43"/>
      <c r="D134" s="43"/>
      <c r="E134" s="43"/>
      <c r="F134" s="43"/>
      <c r="G134" s="43"/>
      <c r="H134" s="43"/>
      <c r="I134" s="43"/>
      <c r="J134" s="43"/>
      <c r="K134" s="60"/>
    </row>
    <row r="135" spans="1:11">
      <c r="A135" s="62"/>
      <c r="B135" s="63"/>
      <c r="C135" s="63"/>
      <c r="D135" s="63"/>
      <c r="E135" s="63"/>
      <c r="F135" s="63"/>
      <c r="G135" s="63"/>
      <c r="H135" s="63"/>
      <c r="I135" s="63"/>
      <c r="J135" s="63"/>
      <c r="K135" s="64"/>
    </row>
    <row r="138" spans="1:11">
      <c r="A138" s="57"/>
      <c r="B138" s="58"/>
      <c r="C138" s="58"/>
      <c r="D138" s="58"/>
      <c r="E138" s="58"/>
      <c r="F138" s="58"/>
      <c r="G138" s="58"/>
      <c r="H138" s="58"/>
      <c r="I138" s="58"/>
      <c r="J138" s="58"/>
      <c r="K138" s="59"/>
    </row>
    <row r="139" spans="1:11">
      <c r="A139" s="68" t="s">
        <v>17</v>
      </c>
      <c r="B139" s="40" t="s">
        <v>2176</v>
      </c>
      <c r="C139" s="43"/>
      <c r="D139" s="43"/>
      <c r="E139" s="43"/>
      <c r="F139" s="43"/>
      <c r="G139" s="43"/>
      <c r="H139" s="43"/>
      <c r="I139" s="43"/>
      <c r="J139" s="43"/>
      <c r="K139" s="60"/>
    </row>
    <row r="140" spans="1:11">
      <c r="A140" s="40" t="s">
        <v>166</v>
      </c>
      <c r="B140" s="44">
        <v>1326045</v>
      </c>
      <c r="C140" s="43"/>
      <c r="D140" s="43"/>
      <c r="E140" s="43"/>
      <c r="F140" s="43"/>
      <c r="G140" s="43"/>
      <c r="H140" s="43"/>
      <c r="I140" s="43"/>
      <c r="J140" s="43"/>
      <c r="K140" s="60"/>
    </row>
    <row r="141" spans="1:11">
      <c r="A141" s="40" t="s">
        <v>106</v>
      </c>
      <c r="B141" s="44">
        <v>1475755</v>
      </c>
      <c r="C141" s="43"/>
      <c r="D141" s="43"/>
      <c r="E141" s="43"/>
      <c r="F141" s="43"/>
      <c r="G141" s="43"/>
      <c r="H141" s="43"/>
      <c r="I141" s="43"/>
      <c r="J141" s="43"/>
      <c r="K141" s="60"/>
    </row>
    <row r="142" spans="1:11">
      <c r="A142" s="40" t="s">
        <v>73</v>
      </c>
      <c r="B142" s="44">
        <v>952795</v>
      </c>
      <c r="C142" s="43"/>
      <c r="D142" s="43"/>
      <c r="E142" s="43"/>
      <c r="F142" s="43"/>
      <c r="G142" s="43"/>
      <c r="H142" s="43"/>
      <c r="I142" s="43"/>
      <c r="J142" s="43"/>
      <c r="K142" s="60"/>
    </row>
    <row r="143" spans="1:11">
      <c r="A143" s="40" t="s">
        <v>41</v>
      </c>
      <c r="B143" s="44">
        <v>1122745</v>
      </c>
      <c r="C143" s="43"/>
      <c r="D143" s="43"/>
      <c r="E143" s="43"/>
      <c r="F143" s="43"/>
      <c r="G143" s="43"/>
      <c r="H143" s="43"/>
      <c r="I143" s="43"/>
      <c r="J143" s="43"/>
      <c r="K143" s="60"/>
    </row>
    <row r="144" spans="1:11">
      <c r="A144" s="40" t="s">
        <v>61</v>
      </c>
      <c r="B144" s="44">
        <v>1087992.5</v>
      </c>
      <c r="C144" s="43"/>
      <c r="D144" s="43"/>
      <c r="E144" s="43"/>
      <c r="F144" s="43"/>
      <c r="G144" s="43"/>
      <c r="H144" s="43"/>
      <c r="I144" s="43"/>
      <c r="J144" s="43"/>
      <c r="K144" s="60"/>
    </row>
    <row r="145" spans="1:11">
      <c r="A145" s="40" t="s">
        <v>2177</v>
      </c>
      <c r="B145" s="44">
        <v>5965332.5</v>
      </c>
      <c r="C145" s="43"/>
      <c r="D145" s="43"/>
      <c r="E145" s="43"/>
      <c r="F145" s="43"/>
      <c r="G145" s="43"/>
      <c r="H145" s="43"/>
      <c r="I145" s="43"/>
      <c r="J145" s="43"/>
      <c r="K145" s="60"/>
    </row>
    <row r="146" spans="1:11">
      <c r="A146" s="61"/>
      <c r="B146" s="43"/>
      <c r="C146" s="43"/>
      <c r="D146" s="43"/>
      <c r="E146" s="43"/>
      <c r="F146" s="43"/>
      <c r="G146" s="43"/>
      <c r="H146" s="43"/>
      <c r="I146" s="43"/>
      <c r="J146" s="43"/>
      <c r="K146" s="60"/>
    </row>
    <row r="147" spans="1:11">
      <c r="A147" s="61"/>
      <c r="B147" s="43"/>
      <c r="C147" s="43"/>
      <c r="D147" s="43"/>
      <c r="E147" s="43"/>
      <c r="F147" s="43"/>
      <c r="G147" s="43"/>
      <c r="H147" s="43"/>
      <c r="I147" s="43"/>
      <c r="J147" s="43"/>
      <c r="K147" s="60"/>
    </row>
    <row r="148" spans="1:11">
      <c r="A148" s="61"/>
      <c r="B148" s="43"/>
      <c r="C148" s="43"/>
      <c r="D148" s="43"/>
      <c r="E148" s="43"/>
      <c r="F148" s="43"/>
      <c r="G148" s="43"/>
      <c r="H148" s="43"/>
      <c r="I148" s="43"/>
      <c r="J148" s="43"/>
      <c r="K148" s="60"/>
    </row>
    <row r="149" spans="1:11">
      <c r="A149" s="61"/>
      <c r="B149" s="43"/>
      <c r="C149" s="43"/>
      <c r="D149" s="43"/>
      <c r="E149" s="43"/>
      <c r="F149" s="43"/>
      <c r="G149" s="43"/>
      <c r="H149" s="43"/>
      <c r="I149" s="43"/>
      <c r="J149" s="43"/>
      <c r="K149" s="60"/>
    </row>
    <row r="150" spans="1:11">
      <c r="A150" s="61"/>
      <c r="B150" s="43"/>
      <c r="C150" s="43"/>
      <c r="D150" s="43"/>
      <c r="E150" s="43"/>
      <c r="F150" s="43"/>
      <c r="G150" s="43"/>
      <c r="H150" s="43"/>
      <c r="I150" s="43"/>
      <c r="J150" s="43"/>
      <c r="K150" s="60"/>
    </row>
    <row r="151" spans="1:11">
      <c r="A151" s="61"/>
      <c r="B151" s="43"/>
      <c r="C151" s="43"/>
      <c r="D151" s="43"/>
      <c r="E151" s="43"/>
      <c r="F151" s="43"/>
      <c r="G151" s="43"/>
      <c r="H151" s="43"/>
      <c r="I151" s="43"/>
      <c r="J151" s="43"/>
      <c r="K151" s="60"/>
    </row>
    <row r="152" spans="1:11">
      <c r="A152" s="62"/>
      <c r="B152" s="63"/>
      <c r="C152" s="63"/>
      <c r="D152" s="63"/>
      <c r="E152" s="63"/>
      <c r="F152" s="63"/>
      <c r="G152" s="63"/>
      <c r="H152" s="63"/>
      <c r="I152" s="63"/>
      <c r="J152" s="63"/>
      <c r="K152" s="64"/>
    </row>
    <row r="155" spans="1:11">
      <c r="A155" s="57"/>
      <c r="B155" s="58"/>
      <c r="C155" s="58"/>
      <c r="D155" s="58"/>
      <c r="E155" s="58"/>
      <c r="F155" s="58"/>
      <c r="G155" s="58"/>
      <c r="H155" s="58"/>
      <c r="I155" s="58"/>
      <c r="J155" s="58"/>
      <c r="K155" s="59"/>
    </row>
    <row r="156" spans="1:11">
      <c r="A156" s="68" t="s">
        <v>25</v>
      </c>
      <c r="B156" s="40" t="s">
        <v>2176</v>
      </c>
      <c r="C156" s="43"/>
      <c r="D156" s="43"/>
      <c r="E156" s="43"/>
      <c r="F156" s="43"/>
      <c r="G156" s="43"/>
      <c r="H156" s="43"/>
      <c r="I156" s="43"/>
      <c r="J156" s="43"/>
      <c r="K156" s="60"/>
    </row>
    <row r="157" spans="1:11">
      <c r="A157" s="40" t="s">
        <v>89</v>
      </c>
      <c r="B157" s="44">
        <v>1608990</v>
      </c>
      <c r="C157" s="43"/>
      <c r="D157" s="43"/>
      <c r="E157" s="43"/>
      <c r="F157" s="43"/>
      <c r="G157" s="43"/>
      <c r="H157" s="43"/>
      <c r="I157" s="43"/>
      <c r="J157" s="43"/>
      <c r="K157" s="60"/>
    </row>
    <row r="158" spans="1:11">
      <c r="A158" s="40" t="s">
        <v>47</v>
      </c>
      <c r="B158" s="44">
        <v>3327192.5</v>
      </c>
      <c r="C158" s="43"/>
      <c r="D158" s="43"/>
      <c r="E158" s="43"/>
      <c r="F158" s="43"/>
      <c r="G158" s="43"/>
      <c r="H158" s="43"/>
      <c r="I158" s="43"/>
      <c r="J158" s="43"/>
      <c r="K158" s="60"/>
    </row>
    <row r="159" spans="1:11">
      <c r="A159" s="40" t="s">
        <v>110</v>
      </c>
      <c r="B159" s="44">
        <v>1029150</v>
      </c>
      <c r="C159" s="43"/>
      <c r="D159" s="43"/>
      <c r="E159" s="43"/>
      <c r="F159" s="43"/>
      <c r="G159" s="43"/>
      <c r="H159" s="43"/>
      <c r="I159" s="43"/>
      <c r="J159" s="43"/>
      <c r="K159" s="60"/>
    </row>
    <row r="160" spans="1:11">
      <c r="A160" s="40" t="s">
        <v>2177</v>
      </c>
      <c r="B160" s="44">
        <v>5965332.5</v>
      </c>
      <c r="C160" s="43"/>
      <c r="D160" s="43"/>
      <c r="E160" s="43"/>
      <c r="F160" s="43"/>
      <c r="G160" s="43"/>
      <c r="H160" s="43"/>
      <c r="I160" s="43"/>
      <c r="J160" s="43"/>
      <c r="K160" s="60"/>
    </row>
    <row r="161" spans="1:11">
      <c r="A161" s="61"/>
      <c r="B161" s="43"/>
      <c r="C161" s="43"/>
      <c r="D161" s="43"/>
      <c r="E161" s="43"/>
      <c r="F161" s="43"/>
      <c r="G161" s="43"/>
      <c r="H161" s="43"/>
      <c r="I161" s="43"/>
      <c r="J161" s="43"/>
      <c r="K161" s="60"/>
    </row>
    <row r="162" spans="1:11">
      <c r="A162" s="61"/>
      <c r="B162" s="43"/>
      <c r="C162" s="43"/>
      <c r="D162" s="43"/>
      <c r="E162" s="43"/>
      <c r="F162" s="43"/>
      <c r="G162" s="43"/>
      <c r="H162" s="43"/>
      <c r="I162" s="43"/>
      <c r="J162" s="43"/>
      <c r="K162" s="60"/>
    </row>
    <row r="163" spans="1:11">
      <c r="A163" s="61"/>
      <c r="B163" s="43"/>
      <c r="C163" s="43"/>
      <c r="D163" s="43"/>
      <c r="E163" s="43"/>
      <c r="F163" s="43"/>
      <c r="G163" s="43"/>
      <c r="H163" s="43"/>
      <c r="I163" s="43"/>
      <c r="J163" s="43"/>
      <c r="K163" s="60"/>
    </row>
    <row r="164" spans="1:11">
      <c r="A164" s="61"/>
      <c r="B164" s="43"/>
      <c r="C164" s="43"/>
      <c r="D164" s="43"/>
      <c r="E164" s="43"/>
      <c r="F164" s="43"/>
      <c r="G164" s="43"/>
      <c r="H164" s="43"/>
      <c r="I164" s="43"/>
      <c r="J164" s="43"/>
      <c r="K164" s="60"/>
    </row>
    <row r="165" spans="1:11">
      <c r="A165" s="61"/>
      <c r="B165" s="43"/>
      <c r="C165" s="43"/>
      <c r="D165" s="43"/>
      <c r="E165" s="43"/>
      <c r="F165" s="43"/>
      <c r="G165" s="43"/>
      <c r="H165" s="43"/>
      <c r="I165" s="43"/>
      <c r="J165" s="43"/>
      <c r="K165" s="60"/>
    </row>
    <row r="166" spans="1:11">
      <c r="A166" s="61"/>
      <c r="B166" s="43"/>
      <c r="C166" s="43"/>
      <c r="D166" s="43"/>
      <c r="E166" s="43"/>
      <c r="F166" s="43"/>
      <c r="G166" s="43"/>
      <c r="H166" s="43"/>
      <c r="I166" s="43"/>
      <c r="J166" s="43"/>
      <c r="K166" s="60"/>
    </row>
    <row r="167" spans="1:11">
      <c r="A167" s="61"/>
      <c r="B167" s="43"/>
      <c r="C167" s="43"/>
      <c r="D167" s="43"/>
      <c r="E167" s="43"/>
      <c r="F167" s="43"/>
      <c r="G167" s="43"/>
      <c r="H167" s="43"/>
      <c r="I167" s="43"/>
      <c r="J167" s="43"/>
      <c r="K167" s="60"/>
    </row>
    <row r="168" spans="1:11">
      <c r="A168" s="61"/>
      <c r="B168" s="43"/>
      <c r="C168" s="43"/>
      <c r="D168" s="43"/>
      <c r="E168" s="43"/>
      <c r="F168" s="43"/>
      <c r="G168" s="43"/>
      <c r="H168" s="43"/>
      <c r="I168" s="43"/>
      <c r="J168" s="43"/>
      <c r="K168" s="60"/>
    </row>
    <row r="169" spans="1:11">
      <c r="A169" s="61"/>
      <c r="B169" s="43"/>
      <c r="C169" s="43"/>
      <c r="D169" s="43"/>
      <c r="E169" s="43"/>
      <c r="F169" s="43"/>
      <c r="G169" s="43"/>
      <c r="H169" s="43"/>
      <c r="I169" s="43"/>
      <c r="J169" s="43"/>
      <c r="K169" s="60"/>
    </row>
    <row r="170" spans="1:11">
      <c r="A170" s="62"/>
      <c r="B170" s="63"/>
      <c r="C170" s="63"/>
      <c r="D170" s="63"/>
      <c r="E170" s="63"/>
      <c r="F170" s="63"/>
      <c r="G170" s="63"/>
      <c r="H170" s="63"/>
      <c r="I170" s="63"/>
      <c r="J170" s="63"/>
      <c r="K170" s="64"/>
    </row>
  </sheetData>
  <pageMargins left="0.7" right="0.7" top="0.75" bottom="0.75" header="0.3" footer="0.3"/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7E86-35B0-4AAD-9539-291D59F3AB94}">
  <dimension ref="A1:AX1001"/>
  <sheetViews>
    <sheetView tabSelected="1" topLeftCell="B1" workbookViewId="0">
      <selection activeCell="D3" sqref="D3"/>
    </sheetView>
  </sheetViews>
  <sheetFormatPr defaultRowHeight="15"/>
  <cols>
    <col min="1" max="1" width="11.5703125" bestFit="1" customWidth="1"/>
    <col min="2" max="2" width="13.85546875" bestFit="1" customWidth="1"/>
    <col min="3" max="3" width="15" bestFit="1" customWidth="1"/>
    <col min="4" max="4" width="18.5703125" bestFit="1" customWidth="1"/>
    <col min="5" max="5" width="21.28515625" bestFit="1" customWidth="1"/>
    <col min="6" max="6" width="11.85546875" bestFit="1" customWidth="1"/>
    <col min="7" max="7" width="13.42578125" bestFit="1" customWidth="1"/>
    <col min="8" max="8" width="9.5703125" bestFit="1" customWidth="1"/>
    <col min="9" max="9" width="14.7109375" bestFit="1" customWidth="1"/>
    <col min="10" max="10" width="12.85546875" bestFit="1" customWidth="1"/>
    <col min="11" max="11" width="11.28515625" style="27" bestFit="1" customWidth="1"/>
    <col min="12" max="12" width="12.7109375" style="27" bestFit="1" customWidth="1"/>
    <col min="13" max="13" width="11.28515625" style="31" bestFit="1" customWidth="1"/>
    <col min="14" max="16" width="10.42578125" style="27" bestFit="1" customWidth="1"/>
    <col min="17" max="17" width="18.7109375" style="23" bestFit="1" customWidth="1"/>
    <col min="18" max="18" width="19.85546875" bestFit="1" customWidth="1"/>
    <col min="19" max="19" width="16.42578125" bestFit="1" customWidth="1"/>
    <col min="20" max="20" width="14.140625" bestFit="1" customWidth="1"/>
    <col min="21" max="21" width="11" bestFit="1" customWidth="1"/>
    <col min="22" max="22" width="7.42578125" bestFit="1" customWidth="1"/>
    <col min="23" max="23" width="13.140625" bestFit="1" customWidth="1"/>
    <col min="24" max="25" width="16.28515625" bestFit="1" customWidth="1"/>
    <col min="26" max="26" width="15.28515625" bestFit="1" customWidth="1"/>
    <col min="27" max="27" width="17.5703125" bestFit="1" customWidth="1"/>
    <col min="28" max="28" width="10" bestFit="1" customWidth="1"/>
    <col min="29" max="29" width="20.42578125" bestFit="1" customWidth="1"/>
    <col min="30" max="30" width="9.140625" bestFit="1" customWidth="1"/>
    <col min="31" max="31" width="19.7109375" bestFit="1" customWidth="1"/>
    <col min="32" max="32" width="13.42578125" customWidth="1"/>
    <col min="39" max="39" width="19.28515625" bestFit="1" customWidth="1"/>
    <col min="40" max="40" width="8.42578125" bestFit="1" customWidth="1"/>
    <col min="44" max="44" width="12.42578125" bestFit="1" customWidth="1"/>
    <col min="45" max="45" width="14.5703125" bestFit="1" customWidth="1"/>
    <col min="46" max="46" width="19.42578125" bestFit="1" customWidth="1"/>
    <col min="47" max="47" width="21.42578125" bestFit="1" customWidth="1"/>
    <col min="48" max="48" width="20.42578125" bestFit="1" customWidth="1"/>
    <col min="49" max="49" width="21" bestFit="1" customWidth="1"/>
    <col min="50" max="50" width="14.85546875" bestFit="1" customWidth="1"/>
  </cols>
  <sheetData>
    <row r="1" spans="1:50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4" t="s">
        <v>10</v>
      </c>
      <c r="L1" s="24" t="s">
        <v>11</v>
      </c>
      <c r="M1" s="28" t="s">
        <v>12</v>
      </c>
      <c r="N1" s="24" t="s">
        <v>13</v>
      </c>
      <c r="O1" s="24" t="s">
        <v>14</v>
      </c>
      <c r="P1" s="24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2181</v>
      </c>
      <c r="AF1" s="19" t="s">
        <v>2182</v>
      </c>
      <c r="AG1" s="19" t="s">
        <v>2183</v>
      </c>
      <c r="AH1" s="19" t="s">
        <v>2184</v>
      </c>
      <c r="AI1" s="19" t="s">
        <v>2185</v>
      </c>
      <c r="AJ1" s="19" t="s">
        <v>2186</v>
      </c>
      <c r="AK1" s="19" t="s">
        <v>2187</v>
      </c>
      <c r="AL1" s="19" t="s">
        <v>2188</v>
      </c>
      <c r="AM1" s="19" t="s">
        <v>2189</v>
      </c>
      <c r="AN1" s="19" t="s">
        <v>2190</v>
      </c>
      <c r="AO1" s="19" t="s">
        <v>2191</v>
      </c>
      <c r="AP1" s="19" t="s">
        <v>2192</v>
      </c>
      <c r="AQ1" s="19" t="s">
        <v>2193</v>
      </c>
      <c r="AR1" s="36" t="s">
        <v>2195</v>
      </c>
      <c r="AS1" s="37" t="s">
        <v>2196</v>
      </c>
      <c r="AT1" s="37" t="s">
        <v>2197</v>
      </c>
      <c r="AU1" s="37" t="s">
        <v>2198</v>
      </c>
      <c r="AV1" s="37" t="s">
        <v>2199</v>
      </c>
      <c r="AW1" s="19" t="s">
        <v>2206</v>
      </c>
      <c r="AX1" s="19" t="s">
        <v>2247</v>
      </c>
    </row>
    <row r="2" spans="1:50">
      <c r="A2" s="9" t="s">
        <v>664</v>
      </c>
      <c r="B2" s="10">
        <v>45294</v>
      </c>
      <c r="C2" s="11" t="s">
        <v>665</v>
      </c>
      <c r="D2" s="11" t="s">
        <v>666</v>
      </c>
      <c r="E2" s="11" t="s">
        <v>55</v>
      </c>
      <c r="F2" s="11" t="s">
        <v>156</v>
      </c>
      <c r="G2" s="11" t="s">
        <v>157</v>
      </c>
      <c r="H2" s="11" t="s">
        <v>171</v>
      </c>
      <c r="I2" s="11" t="s">
        <v>95</v>
      </c>
      <c r="J2" s="11" t="s">
        <v>96</v>
      </c>
      <c r="K2" s="25">
        <v>3</v>
      </c>
      <c r="L2" s="25">
        <v>4000</v>
      </c>
      <c r="M2" s="29">
        <v>0.05</v>
      </c>
      <c r="N2" s="25">
        <v>11400</v>
      </c>
      <c r="O2" s="25">
        <v>7908.36</v>
      </c>
      <c r="P2" s="25">
        <v>3491.64</v>
      </c>
      <c r="Q2" s="21">
        <v>30.63</v>
      </c>
      <c r="R2" s="11" t="s">
        <v>61</v>
      </c>
      <c r="S2" s="11" t="s">
        <v>42</v>
      </c>
      <c r="T2" s="11" t="s">
        <v>159</v>
      </c>
      <c r="U2" s="11" t="s">
        <v>178</v>
      </c>
      <c r="V2" s="11">
        <v>2024</v>
      </c>
      <c r="W2" s="11" t="s">
        <v>194</v>
      </c>
      <c r="X2" s="11">
        <v>10</v>
      </c>
      <c r="Y2" s="10">
        <v>45599</v>
      </c>
      <c r="Z2" s="11" t="s">
        <v>47</v>
      </c>
      <c r="AA2" s="11" t="s">
        <v>48</v>
      </c>
      <c r="AB2" s="11" t="s">
        <v>111</v>
      </c>
      <c r="AC2" s="11" t="s">
        <v>121</v>
      </c>
      <c r="AD2" s="11">
        <v>2</v>
      </c>
      <c r="AE2" s="12" t="s">
        <v>2240</v>
      </c>
      <c r="AF2" s="12" t="s">
        <v>2222</v>
      </c>
      <c r="AG2" s="32">
        <f>SUM(N2:N1001)</f>
        <v>30311250</v>
      </c>
      <c r="AH2" s="32">
        <f>AVERAGE(N2:N1001)</f>
        <v>30311.25</v>
      </c>
      <c r="AI2" s="12">
        <f>COUNT(N2:N1001)</f>
        <v>1000</v>
      </c>
      <c r="AJ2" s="12">
        <f>COUNTA(N2:N1001)</f>
        <v>1000</v>
      </c>
      <c r="AK2" s="32">
        <f>MIN(N2:N1001)</f>
        <v>95</v>
      </c>
      <c r="AL2" s="32">
        <f>MAX(N2:N1001)</f>
        <v>450000</v>
      </c>
      <c r="AM2" s="12" t="str">
        <f t="shared" ref="AM2:AM65" si="0">IF(Q2&gt;=30,"Good","Needs Improvement")</f>
        <v>Good</v>
      </c>
      <c r="AN2" s="12" t="str" cm="1">
        <f t="array" ref="AN2">_xlfn.IFS(N2&lt;10000,"Low",N2&lt;30000,"Medium",N2&gt;=30000,"High")</f>
        <v>Medium</v>
      </c>
      <c r="AO2" s="12" t="str">
        <f t="shared" ref="AO2:AO65" si="1">IF(AND(N2&gt;=30000,P2&gt;=10000),"Yes","No")</f>
        <v>No</v>
      </c>
      <c r="AP2" s="12" t="str">
        <f t="shared" ref="AP2:AP65" si="2">IF(OR(S2="Online",S2="Marketplace"),"Yes","No")</f>
        <v>Yes</v>
      </c>
      <c r="AQ2" s="12">
        <f t="shared" ref="AQ2:AQ65" si="3">IFERROR(P2/N2,"No Error")</f>
        <v>0.30628421052631577</v>
      </c>
      <c r="AR2" s="34">
        <f>COUNTIFS($I$2:$I$1001,AU2)</f>
        <v>188</v>
      </c>
      <c r="AS2" s="34">
        <f>AVERAGEIFS($N$2:$N$1001,$I$2:$I$1001,AU2)</f>
        <v>105143.6170212766</v>
      </c>
      <c r="AT2" s="34" t="s">
        <v>58</v>
      </c>
      <c r="AU2" s="34" t="s">
        <v>39</v>
      </c>
      <c r="AV2" s="34">
        <f>SUMIFS($N$2:$N$1001,$I$2:$I$1001,AU2)</f>
        <v>19767000</v>
      </c>
      <c r="AW2" s="34">
        <f>SUMIFS($N$2:$N$1001,$H$2:$H$1001,AT2)</f>
        <v>5965332.5</v>
      </c>
      <c r="AX2" s="34" t="str">
        <f t="shared" ref="AX2:AX65" si="4">IF(P2&gt;=20000,"Excellent",IF(P2&gt;=10000,"Good",IF(P2&gt;=5000,"Average","Low")))</f>
        <v>Low</v>
      </c>
    </row>
    <row r="3" spans="1:50">
      <c r="A3" s="9" t="s">
        <v>742</v>
      </c>
      <c r="B3" s="10">
        <v>45294</v>
      </c>
      <c r="C3" s="11" t="s">
        <v>652</v>
      </c>
      <c r="D3" s="11" t="s">
        <v>743</v>
      </c>
      <c r="E3" s="11" t="s">
        <v>103</v>
      </c>
      <c r="F3" s="11" t="s">
        <v>144</v>
      </c>
      <c r="G3" s="11" t="s">
        <v>145</v>
      </c>
      <c r="H3" s="11" t="s">
        <v>171</v>
      </c>
      <c r="I3" s="11" t="s">
        <v>95</v>
      </c>
      <c r="J3" s="11" t="s">
        <v>319</v>
      </c>
      <c r="K3" s="25">
        <v>6</v>
      </c>
      <c r="L3" s="25">
        <v>4000</v>
      </c>
      <c r="M3" s="29">
        <v>0.1</v>
      </c>
      <c r="N3" s="25">
        <v>21600</v>
      </c>
      <c r="O3" s="25">
        <v>15301.1</v>
      </c>
      <c r="P3" s="25">
        <v>6298.9</v>
      </c>
      <c r="Q3" s="21">
        <v>29.16</v>
      </c>
      <c r="R3" s="11" t="s">
        <v>106</v>
      </c>
      <c r="S3" s="11" t="s">
        <v>62</v>
      </c>
      <c r="T3" s="11" t="s">
        <v>75</v>
      </c>
      <c r="U3" s="11" t="s">
        <v>178</v>
      </c>
      <c r="V3" s="11">
        <v>2024</v>
      </c>
      <c r="W3" s="11" t="s">
        <v>194</v>
      </c>
      <c r="X3" s="11">
        <v>1</v>
      </c>
      <c r="Y3" s="10">
        <v>45325</v>
      </c>
      <c r="Z3" s="11" t="s">
        <v>47</v>
      </c>
      <c r="AA3" s="11" t="s">
        <v>48</v>
      </c>
      <c r="AB3" s="11" t="s">
        <v>49</v>
      </c>
      <c r="AC3" s="11" t="s">
        <v>50</v>
      </c>
      <c r="AD3" s="11">
        <v>3</v>
      </c>
      <c r="AE3" s="11" t="s">
        <v>2209</v>
      </c>
      <c r="AF3" s="11" t="s">
        <v>2217</v>
      </c>
      <c r="AG3" s="25"/>
      <c r="AH3" s="11"/>
      <c r="AI3" s="11"/>
      <c r="AJ3" s="11"/>
      <c r="AK3" s="11"/>
      <c r="AL3" s="11"/>
      <c r="AM3" s="11" t="str">
        <f t="shared" si="0"/>
        <v>Needs Improvement</v>
      </c>
      <c r="AN3" s="11" t="str" cm="1">
        <f t="array" ref="AN3">_xlfn.IFS(N3&lt;10000,"Low",N3&lt;30000,"Medium",N3&gt;=30000,"High")</f>
        <v>Medium</v>
      </c>
      <c r="AO3" s="11" t="str">
        <f t="shared" si="1"/>
        <v>No</v>
      </c>
      <c r="AP3" s="11" t="str">
        <f t="shared" si="2"/>
        <v>No</v>
      </c>
      <c r="AQ3" s="11">
        <f t="shared" si="3"/>
        <v>0.2916157407407407</v>
      </c>
      <c r="AR3" s="34">
        <f t="shared" ref="AR3:AR6" si="5">COUNTIFS($I$2:$I$1001,AU3)</f>
        <v>205</v>
      </c>
      <c r="AS3" s="34">
        <f t="shared" ref="AS3:AS6" si="6">AVERAGEIFS($N$2:$N$1001,$I$2:$I$1001,AU3)</f>
        <v>33072.195121951219</v>
      </c>
      <c r="AT3" s="33" t="s">
        <v>38</v>
      </c>
      <c r="AU3" s="33" t="s">
        <v>95</v>
      </c>
      <c r="AV3" s="34">
        <f t="shared" ref="AV3:AV6" si="7">SUMIFS($N$2:$N$1001,$I$2:$I$1001,AU3)</f>
        <v>6779800</v>
      </c>
      <c r="AW3" s="34">
        <f t="shared" ref="AW3:AW5" si="8">SUMIFS($N$2:$N$1001,$H$2:$H$1001,AT3)</f>
        <v>8560317.5</v>
      </c>
      <c r="AX3" s="33" t="str">
        <f t="shared" si="4"/>
        <v>Average</v>
      </c>
    </row>
    <row r="4" spans="1:50">
      <c r="A4" s="9" t="s">
        <v>1467</v>
      </c>
      <c r="B4" s="10">
        <v>45294</v>
      </c>
      <c r="C4" s="11" t="s">
        <v>1468</v>
      </c>
      <c r="D4" s="11" t="s">
        <v>1469</v>
      </c>
      <c r="E4" s="11" t="s">
        <v>103</v>
      </c>
      <c r="F4" s="11" t="s">
        <v>144</v>
      </c>
      <c r="G4" s="11" t="s">
        <v>145</v>
      </c>
      <c r="H4" s="11" t="s">
        <v>58</v>
      </c>
      <c r="I4" s="11" t="s">
        <v>71</v>
      </c>
      <c r="J4" s="11" t="s">
        <v>117</v>
      </c>
      <c r="K4" s="25">
        <v>8</v>
      </c>
      <c r="L4" s="25">
        <v>1800</v>
      </c>
      <c r="M4" s="29">
        <v>0.15</v>
      </c>
      <c r="N4" s="25">
        <v>12240</v>
      </c>
      <c r="O4" s="25">
        <v>9467.99</v>
      </c>
      <c r="P4" s="25">
        <v>2772.01</v>
      </c>
      <c r="Q4" s="21">
        <v>22.65</v>
      </c>
      <c r="R4" s="11" t="s">
        <v>73</v>
      </c>
      <c r="S4" s="11" t="s">
        <v>62</v>
      </c>
      <c r="T4" s="11" t="s">
        <v>75</v>
      </c>
      <c r="U4" s="11" t="s">
        <v>178</v>
      </c>
      <c r="V4" s="11">
        <v>2024</v>
      </c>
      <c r="W4" s="11" t="s">
        <v>194</v>
      </c>
      <c r="X4" s="11">
        <v>6</v>
      </c>
      <c r="Y4" s="10">
        <v>45476</v>
      </c>
      <c r="Z4" s="11" t="s">
        <v>47</v>
      </c>
      <c r="AA4" s="11" t="s">
        <v>67</v>
      </c>
      <c r="AB4" s="11" t="s">
        <v>111</v>
      </c>
      <c r="AC4" s="11" t="s">
        <v>121</v>
      </c>
      <c r="AD4" s="11">
        <v>1</v>
      </c>
      <c r="AE4" s="11" t="s">
        <v>2213</v>
      </c>
      <c r="AF4" s="11" t="s">
        <v>2214</v>
      </c>
      <c r="AG4" s="25"/>
      <c r="AH4" s="11"/>
      <c r="AI4" s="11"/>
      <c r="AJ4" s="11"/>
      <c r="AK4" s="11"/>
      <c r="AL4" s="11"/>
      <c r="AM4" s="11" t="str">
        <f t="shared" si="0"/>
        <v>Needs Improvement</v>
      </c>
      <c r="AN4" s="11" t="str" cm="1">
        <f t="array" ref="AN4">_xlfn.IFS(N4&lt;10000,"Low",N4&lt;30000,"Medium",N4&gt;=30000,"High")</f>
        <v>Medium</v>
      </c>
      <c r="AO4" s="11" t="str">
        <f t="shared" si="1"/>
        <v>No</v>
      </c>
      <c r="AP4" s="11" t="str">
        <f t="shared" si="2"/>
        <v>No</v>
      </c>
      <c r="AQ4" s="11">
        <f>IFERROR(P4/N4,"No Error")</f>
        <v>0.22647140522875819</v>
      </c>
      <c r="AR4" s="34">
        <f t="shared" si="5"/>
        <v>196</v>
      </c>
      <c r="AS4" s="34">
        <f t="shared" si="6"/>
        <v>2098.6479591836733</v>
      </c>
      <c r="AT4" s="33" t="s">
        <v>171</v>
      </c>
      <c r="AU4" s="33" t="s">
        <v>84</v>
      </c>
      <c r="AV4" s="34">
        <f t="shared" si="7"/>
        <v>411335</v>
      </c>
      <c r="AW4" s="34">
        <f t="shared" si="8"/>
        <v>7518642.5</v>
      </c>
      <c r="AX4" s="33" t="str">
        <f t="shared" si="4"/>
        <v>Low</v>
      </c>
    </row>
    <row r="5" spans="1:50">
      <c r="A5" s="9" t="s">
        <v>2093</v>
      </c>
      <c r="B5" s="10">
        <v>45294</v>
      </c>
      <c r="C5" s="11" t="s">
        <v>1671</v>
      </c>
      <c r="D5" s="11" t="s">
        <v>931</v>
      </c>
      <c r="E5" s="11" t="s">
        <v>103</v>
      </c>
      <c r="F5" s="11" t="s">
        <v>56</v>
      </c>
      <c r="G5" s="11" t="s">
        <v>57</v>
      </c>
      <c r="H5" s="11" t="s">
        <v>94</v>
      </c>
      <c r="I5" s="11" t="s">
        <v>71</v>
      </c>
      <c r="J5" s="11" t="s">
        <v>72</v>
      </c>
      <c r="K5" s="25">
        <v>2</v>
      </c>
      <c r="L5" s="25">
        <v>700</v>
      </c>
      <c r="M5" s="29">
        <v>0.2</v>
      </c>
      <c r="N5" s="25">
        <v>1120</v>
      </c>
      <c r="O5" s="25">
        <v>653.09</v>
      </c>
      <c r="P5" s="25">
        <v>466.91</v>
      </c>
      <c r="Q5" s="21">
        <v>41.69</v>
      </c>
      <c r="R5" s="11" t="s">
        <v>41</v>
      </c>
      <c r="S5" s="11" t="s">
        <v>74</v>
      </c>
      <c r="T5" s="11" t="s">
        <v>173</v>
      </c>
      <c r="U5" s="11" t="s">
        <v>178</v>
      </c>
      <c r="V5" s="11">
        <v>2024</v>
      </c>
      <c r="W5" s="11" t="s">
        <v>194</v>
      </c>
      <c r="X5" s="11">
        <v>2</v>
      </c>
      <c r="Y5" s="10">
        <v>45354</v>
      </c>
      <c r="Z5" s="11" t="s">
        <v>89</v>
      </c>
      <c r="AA5" s="11" t="s">
        <v>67</v>
      </c>
      <c r="AB5" s="11" t="s">
        <v>78</v>
      </c>
      <c r="AC5" s="11" t="s">
        <v>50</v>
      </c>
      <c r="AD5" s="11">
        <v>1</v>
      </c>
      <c r="AE5" s="11" t="s">
        <v>2232</v>
      </c>
      <c r="AF5" s="11" t="s">
        <v>2238</v>
      </c>
      <c r="AG5" s="25"/>
      <c r="AH5" s="11"/>
      <c r="AI5" s="11"/>
      <c r="AJ5" s="11"/>
      <c r="AK5" s="11"/>
      <c r="AL5" s="11"/>
      <c r="AM5" s="11" t="str">
        <f t="shared" si="0"/>
        <v>Good</v>
      </c>
      <c r="AN5" s="11" t="str" cm="1">
        <f t="array" ref="AN5">_xlfn.IFS(N5&lt;10000,"Low",N5&lt;30000,"Medium",N5&gt;=30000,"High")</f>
        <v>Low</v>
      </c>
      <c r="AO5" s="11" t="str">
        <f t="shared" si="1"/>
        <v>No</v>
      </c>
      <c r="AP5" s="11" t="str">
        <f t="shared" si="2"/>
        <v>Yes</v>
      </c>
      <c r="AQ5" s="11">
        <f t="shared" si="3"/>
        <v>0.41688392857142859</v>
      </c>
      <c r="AR5" s="34">
        <f t="shared" si="5"/>
        <v>195</v>
      </c>
      <c r="AS5" s="34">
        <f t="shared" si="6"/>
        <v>9673.6923076923085</v>
      </c>
      <c r="AT5" s="33" t="s">
        <v>94</v>
      </c>
      <c r="AU5" s="33" t="s">
        <v>71</v>
      </c>
      <c r="AV5" s="34">
        <f t="shared" si="7"/>
        <v>1886370</v>
      </c>
      <c r="AW5" s="34">
        <f t="shared" si="8"/>
        <v>8266957.5</v>
      </c>
      <c r="AX5" s="33" t="str">
        <f t="shared" si="4"/>
        <v>Low</v>
      </c>
    </row>
    <row r="6" spans="1:50">
      <c r="A6" s="9" t="s">
        <v>1500</v>
      </c>
      <c r="B6" s="10">
        <v>45296</v>
      </c>
      <c r="C6" s="11" t="s">
        <v>951</v>
      </c>
      <c r="D6" s="11" t="s">
        <v>519</v>
      </c>
      <c r="E6" s="11" t="s">
        <v>55</v>
      </c>
      <c r="F6" s="11" t="s">
        <v>82</v>
      </c>
      <c r="G6" s="11" t="s">
        <v>83</v>
      </c>
      <c r="H6" s="11" t="s">
        <v>94</v>
      </c>
      <c r="I6" s="11" t="s">
        <v>39</v>
      </c>
      <c r="J6" s="11" t="s">
        <v>105</v>
      </c>
      <c r="K6" s="25">
        <v>4</v>
      </c>
      <c r="L6" s="25">
        <v>22000</v>
      </c>
      <c r="M6" s="29">
        <v>0.1</v>
      </c>
      <c r="N6" s="25">
        <v>79200</v>
      </c>
      <c r="O6" s="25">
        <v>55323.839999999997</v>
      </c>
      <c r="P6" s="25">
        <v>23876.16</v>
      </c>
      <c r="Q6" s="21">
        <v>30.15</v>
      </c>
      <c r="R6" s="11" t="s">
        <v>73</v>
      </c>
      <c r="S6" s="11" t="s">
        <v>74</v>
      </c>
      <c r="T6" s="11" t="s">
        <v>173</v>
      </c>
      <c r="U6" s="11" t="s">
        <v>119</v>
      </c>
      <c r="V6" s="11">
        <v>2024</v>
      </c>
      <c r="W6" s="11" t="s">
        <v>134</v>
      </c>
      <c r="X6" s="11">
        <v>7</v>
      </c>
      <c r="Y6" s="10">
        <v>45509</v>
      </c>
      <c r="Z6" s="11" t="s">
        <v>110</v>
      </c>
      <c r="AA6" s="11" t="s">
        <v>90</v>
      </c>
      <c r="AB6" s="11" t="s">
        <v>49</v>
      </c>
      <c r="AC6" s="11" t="s">
        <v>121</v>
      </c>
      <c r="AD6" s="11">
        <v>3</v>
      </c>
      <c r="AE6" s="11" t="s">
        <v>2233</v>
      </c>
      <c r="AF6" s="11" t="s">
        <v>2236</v>
      </c>
      <c r="AG6" s="25"/>
      <c r="AH6" s="11"/>
      <c r="AI6" s="11"/>
      <c r="AJ6" s="11"/>
      <c r="AK6" s="11"/>
      <c r="AL6" s="11"/>
      <c r="AM6" s="11" t="str">
        <f t="shared" si="0"/>
        <v>Good</v>
      </c>
      <c r="AN6" s="11" t="str" cm="1">
        <f t="array" ref="AN6">_xlfn.IFS(N6&lt;10000,"Low",N6&lt;30000,"Medium",N6&gt;=30000,"High")</f>
        <v>High</v>
      </c>
      <c r="AO6" s="11" t="str">
        <f t="shared" si="1"/>
        <v>Yes</v>
      </c>
      <c r="AP6" s="11" t="str">
        <f t="shared" si="2"/>
        <v>Yes</v>
      </c>
      <c r="AQ6" s="11">
        <f t="shared" si="3"/>
        <v>0.30146666666666666</v>
      </c>
      <c r="AR6" s="34">
        <f t="shared" si="5"/>
        <v>216</v>
      </c>
      <c r="AS6" s="34">
        <f t="shared" si="6"/>
        <v>6790.4861111111113</v>
      </c>
      <c r="AT6" s="33"/>
      <c r="AU6" s="33" t="s">
        <v>59</v>
      </c>
      <c r="AV6" s="34">
        <f t="shared" si="7"/>
        <v>1466745</v>
      </c>
      <c r="AW6" s="33"/>
      <c r="AX6" s="33" t="str">
        <f t="shared" si="4"/>
        <v>Excellent</v>
      </c>
    </row>
    <row r="7" spans="1:50">
      <c r="A7" s="9" t="s">
        <v>1666</v>
      </c>
      <c r="B7" s="10">
        <v>45296</v>
      </c>
      <c r="C7" s="11" t="s">
        <v>745</v>
      </c>
      <c r="D7" s="11" t="s">
        <v>273</v>
      </c>
      <c r="E7" s="11" t="s">
        <v>55</v>
      </c>
      <c r="F7" s="11" t="s">
        <v>144</v>
      </c>
      <c r="G7" s="11" t="s">
        <v>145</v>
      </c>
      <c r="H7" s="11" t="s">
        <v>58</v>
      </c>
      <c r="I7" s="11" t="s">
        <v>84</v>
      </c>
      <c r="J7" s="11" t="s">
        <v>390</v>
      </c>
      <c r="K7" s="25">
        <v>6</v>
      </c>
      <c r="L7" s="25">
        <v>350</v>
      </c>
      <c r="M7" s="29">
        <v>0.05</v>
      </c>
      <c r="N7" s="25">
        <v>1995</v>
      </c>
      <c r="O7" s="25">
        <v>1359.38</v>
      </c>
      <c r="P7" s="25">
        <v>635.62</v>
      </c>
      <c r="Q7" s="21">
        <v>31.86</v>
      </c>
      <c r="R7" s="11" t="s">
        <v>73</v>
      </c>
      <c r="S7" s="11" t="s">
        <v>42</v>
      </c>
      <c r="T7" s="11" t="s">
        <v>159</v>
      </c>
      <c r="U7" s="11" t="s">
        <v>119</v>
      </c>
      <c r="V7" s="11">
        <v>2024</v>
      </c>
      <c r="W7" s="11" t="s">
        <v>134</v>
      </c>
      <c r="X7" s="11">
        <v>5</v>
      </c>
      <c r="Y7" s="10">
        <v>45448</v>
      </c>
      <c r="Z7" s="11" t="s">
        <v>47</v>
      </c>
      <c r="AA7" s="11" t="s">
        <v>90</v>
      </c>
      <c r="AB7" s="11" t="s">
        <v>49</v>
      </c>
      <c r="AC7" s="11" t="s">
        <v>121</v>
      </c>
      <c r="AD7" s="11">
        <v>5</v>
      </c>
      <c r="AE7" s="11" t="s">
        <v>2248</v>
      </c>
      <c r="AF7" s="11" t="s">
        <v>2228</v>
      </c>
      <c r="AG7" s="25"/>
      <c r="AH7" s="11"/>
      <c r="AI7" s="11"/>
      <c r="AJ7" s="11"/>
      <c r="AK7" s="11"/>
      <c r="AL7" s="11"/>
      <c r="AM7" s="11" t="str">
        <f t="shared" si="0"/>
        <v>Good</v>
      </c>
      <c r="AN7" s="11" t="str" cm="1">
        <f t="array" ref="AN7">_xlfn.IFS(N7&lt;10000,"Low",N7&lt;30000,"Medium",N7&gt;=30000,"High")</f>
        <v>Low</v>
      </c>
      <c r="AO7" s="11" t="str">
        <f t="shared" si="1"/>
        <v>No</v>
      </c>
      <c r="AP7" s="11" t="str">
        <f t="shared" si="2"/>
        <v>Yes</v>
      </c>
      <c r="AQ7" s="11">
        <f t="shared" si="3"/>
        <v>0.31860651629072684</v>
      </c>
      <c r="AR7" s="34"/>
      <c r="AS7" s="33"/>
      <c r="AT7" s="33"/>
      <c r="AU7" s="33"/>
      <c r="AV7" s="33"/>
      <c r="AW7" s="33"/>
      <c r="AX7" s="33" t="str">
        <f t="shared" si="4"/>
        <v>Low</v>
      </c>
    </row>
    <row r="8" spans="1:50">
      <c r="A8" s="9" t="s">
        <v>1526</v>
      </c>
      <c r="B8" s="10">
        <v>45297</v>
      </c>
      <c r="C8" s="11" t="s">
        <v>570</v>
      </c>
      <c r="D8" s="11" t="s">
        <v>313</v>
      </c>
      <c r="E8" s="11" t="s">
        <v>35</v>
      </c>
      <c r="F8" s="11" t="s">
        <v>116</v>
      </c>
      <c r="G8" s="11" t="s">
        <v>37</v>
      </c>
      <c r="H8" s="11" t="s">
        <v>58</v>
      </c>
      <c r="I8" s="11" t="s">
        <v>71</v>
      </c>
      <c r="J8" s="11" t="s">
        <v>240</v>
      </c>
      <c r="K8" s="25">
        <v>5</v>
      </c>
      <c r="L8" s="25">
        <v>700</v>
      </c>
      <c r="M8" s="29">
        <v>0</v>
      </c>
      <c r="N8" s="25">
        <v>3500</v>
      </c>
      <c r="O8" s="25">
        <v>2064.65</v>
      </c>
      <c r="P8" s="25">
        <v>1435.35</v>
      </c>
      <c r="Q8" s="21">
        <v>41.01</v>
      </c>
      <c r="R8" s="11" t="s">
        <v>41</v>
      </c>
      <c r="S8" s="11" t="s">
        <v>62</v>
      </c>
      <c r="T8" s="11" t="s">
        <v>159</v>
      </c>
      <c r="U8" s="11" t="s">
        <v>160</v>
      </c>
      <c r="V8" s="11">
        <v>2024</v>
      </c>
      <c r="W8" s="11" t="s">
        <v>65</v>
      </c>
      <c r="X8" s="11">
        <v>3</v>
      </c>
      <c r="Y8" s="10">
        <v>45388</v>
      </c>
      <c r="Z8" s="11" t="s">
        <v>47</v>
      </c>
      <c r="AA8" s="11" t="s">
        <v>90</v>
      </c>
      <c r="AB8" s="11" t="s">
        <v>49</v>
      </c>
      <c r="AC8" s="11" t="s">
        <v>50</v>
      </c>
      <c r="AD8" s="11">
        <v>2</v>
      </c>
      <c r="AE8" s="11" t="s">
        <v>2220</v>
      </c>
      <c r="AF8" s="11" t="s">
        <v>2217</v>
      </c>
      <c r="AG8" s="25"/>
      <c r="AH8" s="11"/>
      <c r="AI8" s="11"/>
      <c r="AJ8" s="11"/>
      <c r="AK8" s="11"/>
      <c r="AL8" s="11"/>
      <c r="AM8" s="11" t="str">
        <f t="shared" si="0"/>
        <v>Good</v>
      </c>
      <c r="AN8" s="11" t="str" cm="1">
        <f t="array" ref="AN8">_xlfn.IFS(N8&lt;10000,"Low",N8&lt;30000,"Medium",N8&gt;=30000,"High")</f>
        <v>Low</v>
      </c>
      <c r="AO8" s="11" t="str">
        <f t="shared" si="1"/>
        <v>No</v>
      </c>
      <c r="AP8" s="11" t="str">
        <f t="shared" si="2"/>
        <v>No</v>
      </c>
      <c r="AQ8" s="11">
        <f t="shared" si="3"/>
        <v>0.41009999999999996</v>
      </c>
      <c r="AR8" s="33"/>
      <c r="AS8" s="33"/>
      <c r="AT8" s="33"/>
      <c r="AU8" s="33"/>
      <c r="AV8" s="33"/>
      <c r="AW8" s="33"/>
      <c r="AX8" s="33" t="str">
        <f t="shared" si="4"/>
        <v>Low</v>
      </c>
    </row>
    <row r="9" spans="1:50">
      <c r="A9" s="9" t="s">
        <v>1155</v>
      </c>
      <c r="B9" s="10">
        <v>45300</v>
      </c>
      <c r="C9" s="11" t="s">
        <v>238</v>
      </c>
      <c r="D9" s="11" t="s">
        <v>499</v>
      </c>
      <c r="E9" s="11" t="s">
        <v>103</v>
      </c>
      <c r="F9" s="11" t="s">
        <v>245</v>
      </c>
      <c r="G9" s="11" t="s">
        <v>246</v>
      </c>
      <c r="H9" s="11" t="s">
        <v>94</v>
      </c>
      <c r="I9" s="11" t="s">
        <v>39</v>
      </c>
      <c r="J9" s="11" t="s">
        <v>105</v>
      </c>
      <c r="K9" s="25">
        <v>1</v>
      </c>
      <c r="L9" s="25">
        <v>50000</v>
      </c>
      <c r="M9" s="29">
        <v>0.2</v>
      </c>
      <c r="N9" s="25">
        <v>40000</v>
      </c>
      <c r="O9" s="25">
        <v>22680.32</v>
      </c>
      <c r="P9" s="25">
        <v>17319.68</v>
      </c>
      <c r="Q9" s="21">
        <v>43.3</v>
      </c>
      <c r="R9" s="11" t="s">
        <v>106</v>
      </c>
      <c r="S9" s="11" t="s">
        <v>74</v>
      </c>
      <c r="T9" s="11" t="s">
        <v>97</v>
      </c>
      <c r="U9" s="11" t="s">
        <v>108</v>
      </c>
      <c r="V9" s="11">
        <v>2024</v>
      </c>
      <c r="W9" s="11" t="s">
        <v>45</v>
      </c>
      <c r="X9" s="11">
        <v>8</v>
      </c>
      <c r="Y9" s="10">
        <v>45544</v>
      </c>
      <c r="Z9" s="11" t="s">
        <v>110</v>
      </c>
      <c r="AA9" s="11" t="s">
        <v>90</v>
      </c>
      <c r="AB9" s="11" t="s">
        <v>78</v>
      </c>
      <c r="AC9" s="11" t="s">
        <v>121</v>
      </c>
      <c r="AD9" s="11">
        <v>4</v>
      </c>
      <c r="AE9" s="11" t="s">
        <v>2218</v>
      </c>
      <c r="AF9" s="11" t="s">
        <v>2219</v>
      </c>
      <c r="AG9" s="25"/>
      <c r="AH9" s="11"/>
      <c r="AI9" s="11"/>
      <c r="AJ9" s="11"/>
      <c r="AK9" s="11"/>
      <c r="AL9" s="11"/>
      <c r="AM9" s="11" t="str">
        <f t="shared" si="0"/>
        <v>Good</v>
      </c>
      <c r="AN9" s="11" t="str" cm="1">
        <f t="array" ref="AN9">_xlfn.IFS(N9&lt;10000,"Low",N9&lt;30000,"Medium",N9&gt;=30000,"High")</f>
        <v>High</v>
      </c>
      <c r="AO9" s="11" t="str">
        <f t="shared" si="1"/>
        <v>Yes</v>
      </c>
      <c r="AP9" s="11" t="str">
        <f t="shared" si="2"/>
        <v>Yes</v>
      </c>
      <c r="AQ9" s="11">
        <f t="shared" si="3"/>
        <v>0.43299199999999999</v>
      </c>
      <c r="AR9" s="33"/>
      <c r="AS9" s="33"/>
      <c r="AT9" s="33"/>
      <c r="AU9" s="33"/>
      <c r="AV9" s="33"/>
      <c r="AW9" s="33"/>
      <c r="AX9" s="33" t="str">
        <f t="shared" si="4"/>
        <v>Good</v>
      </c>
    </row>
    <row r="10" spans="1:50">
      <c r="A10" s="9" t="s">
        <v>1594</v>
      </c>
      <c r="B10" s="10">
        <v>45300</v>
      </c>
      <c r="C10" s="11" t="s">
        <v>1595</v>
      </c>
      <c r="D10" s="11" t="s">
        <v>339</v>
      </c>
      <c r="E10" s="11" t="s">
        <v>103</v>
      </c>
      <c r="F10" s="11" t="s">
        <v>149</v>
      </c>
      <c r="G10" s="11" t="s">
        <v>150</v>
      </c>
      <c r="H10" s="11" t="s">
        <v>94</v>
      </c>
      <c r="I10" s="11" t="s">
        <v>39</v>
      </c>
      <c r="J10" s="11" t="s">
        <v>356</v>
      </c>
      <c r="K10" s="25">
        <v>1</v>
      </c>
      <c r="L10" s="25">
        <v>35000</v>
      </c>
      <c r="M10" s="29">
        <v>0.1</v>
      </c>
      <c r="N10" s="25">
        <v>31500</v>
      </c>
      <c r="O10" s="25">
        <v>18184.28</v>
      </c>
      <c r="P10" s="25">
        <v>13315.72</v>
      </c>
      <c r="Q10" s="21">
        <v>42.27</v>
      </c>
      <c r="R10" s="11" t="s">
        <v>166</v>
      </c>
      <c r="S10" s="11" t="s">
        <v>62</v>
      </c>
      <c r="T10" s="11" t="s">
        <v>173</v>
      </c>
      <c r="U10" s="11" t="s">
        <v>108</v>
      </c>
      <c r="V10" s="11">
        <v>2024</v>
      </c>
      <c r="W10" s="11" t="s">
        <v>45</v>
      </c>
      <c r="X10" s="11">
        <v>2</v>
      </c>
      <c r="Y10" s="10">
        <v>45360</v>
      </c>
      <c r="Z10" s="11" t="s">
        <v>89</v>
      </c>
      <c r="AA10" s="11" t="s">
        <v>90</v>
      </c>
      <c r="AB10" s="11" t="s">
        <v>111</v>
      </c>
      <c r="AC10" s="11" t="s">
        <v>50</v>
      </c>
      <c r="AD10" s="11">
        <v>4</v>
      </c>
      <c r="AE10" s="11" t="s">
        <v>2234</v>
      </c>
      <c r="AF10" s="11" t="s">
        <v>2214</v>
      </c>
      <c r="AG10" s="25"/>
      <c r="AH10" s="11"/>
      <c r="AI10" s="11"/>
      <c r="AJ10" s="11"/>
      <c r="AK10" s="11"/>
      <c r="AL10" s="11"/>
      <c r="AM10" s="11" t="str">
        <f t="shared" si="0"/>
        <v>Good</v>
      </c>
      <c r="AN10" s="11" t="str" cm="1">
        <f t="array" ref="AN10">_xlfn.IFS(N10&lt;10000,"Low",N10&lt;30000,"Medium",N10&gt;=30000,"High")</f>
        <v>High</v>
      </c>
      <c r="AO10" s="11" t="str">
        <f t="shared" si="1"/>
        <v>Yes</v>
      </c>
      <c r="AP10" s="11" t="str">
        <f t="shared" si="2"/>
        <v>No</v>
      </c>
      <c r="AQ10" s="11">
        <f t="shared" si="3"/>
        <v>0.42272126984126984</v>
      </c>
      <c r="AR10" s="33"/>
      <c r="AS10" s="33"/>
      <c r="AT10" s="33"/>
      <c r="AU10" s="33"/>
      <c r="AV10" s="33"/>
      <c r="AW10" s="33"/>
      <c r="AX10" s="33" t="str">
        <f t="shared" si="4"/>
        <v>Good</v>
      </c>
    </row>
    <row r="11" spans="1:50">
      <c r="A11" s="9" t="s">
        <v>1246</v>
      </c>
      <c r="B11" s="10">
        <v>45301</v>
      </c>
      <c r="C11" s="11" t="s">
        <v>1117</v>
      </c>
      <c r="D11" s="11" t="s">
        <v>799</v>
      </c>
      <c r="E11" s="11" t="s">
        <v>103</v>
      </c>
      <c r="F11" s="11" t="s">
        <v>131</v>
      </c>
      <c r="G11" s="11" t="s">
        <v>132</v>
      </c>
      <c r="H11" s="11" t="s">
        <v>58</v>
      </c>
      <c r="I11" s="11" t="s">
        <v>95</v>
      </c>
      <c r="J11" s="11" t="s">
        <v>96</v>
      </c>
      <c r="K11" s="25">
        <v>8</v>
      </c>
      <c r="L11" s="25">
        <v>4000</v>
      </c>
      <c r="M11" s="29">
        <v>0.15</v>
      </c>
      <c r="N11" s="25">
        <v>27200</v>
      </c>
      <c r="O11" s="25">
        <v>21222.78</v>
      </c>
      <c r="P11" s="25">
        <v>5977.22</v>
      </c>
      <c r="Q11" s="21">
        <v>21.98</v>
      </c>
      <c r="R11" s="11" t="s">
        <v>41</v>
      </c>
      <c r="S11" s="11" t="s">
        <v>74</v>
      </c>
      <c r="T11" s="11" t="s">
        <v>97</v>
      </c>
      <c r="U11" s="11" t="s">
        <v>87</v>
      </c>
      <c r="V11" s="11">
        <v>2024</v>
      </c>
      <c r="W11" s="11" t="s">
        <v>109</v>
      </c>
      <c r="X11" s="11">
        <v>9</v>
      </c>
      <c r="Y11" s="10">
        <v>45575</v>
      </c>
      <c r="Z11" s="11" t="s">
        <v>89</v>
      </c>
      <c r="AA11" s="11" t="s">
        <v>67</v>
      </c>
      <c r="AB11" s="11" t="s">
        <v>49</v>
      </c>
      <c r="AC11" s="11" t="s">
        <v>121</v>
      </c>
      <c r="AD11" s="11">
        <v>2</v>
      </c>
      <c r="AE11" s="11" t="s">
        <v>2229</v>
      </c>
      <c r="AF11" s="11" t="s">
        <v>2214</v>
      </c>
      <c r="AG11" s="25"/>
      <c r="AH11" s="11"/>
      <c r="AI11" s="11"/>
      <c r="AJ11" s="11"/>
      <c r="AK11" s="11"/>
      <c r="AL11" s="11"/>
      <c r="AM11" s="11" t="str">
        <f t="shared" si="0"/>
        <v>Needs Improvement</v>
      </c>
      <c r="AN11" s="11" t="str" cm="1">
        <f t="array" ref="AN11">_xlfn.IFS(N11&lt;10000,"Low",N11&lt;30000,"Medium",N11&gt;=30000,"High")</f>
        <v>Medium</v>
      </c>
      <c r="AO11" s="11" t="str">
        <f t="shared" si="1"/>
        <v>No</v>
      </c>
      <c r="AP11" s="11" t="str">
        <f t="shared" si="2"/>
        <v>Yes</v>
      </c>
      <c r="AQ11" s="11">
        <f t="shared" si="3"/>
        <v>0.21975073529411765</v>
      </c>
      <c r="AR11" s="33"/>
      <c r="AS11" s="33"/>
      <c r="AT11" s="33"/>
      <c r="AU11" s="33"/>
      <c r="AV11" s="33"/>
      <c r="AW11" s="33"/>
      <c r="AX11" s="33" t="str">
        <f t="shared" si="4"/>
        <v>Average</v>
      </c>
    </row>
    <row r="12" spans="1:50">
      <c r="A12" s="9" t="s">
        <v>1563</v>
      </c>
      <c r="B12" s="10">
        <v>45301</v>
      </c>
      <c r="C12" s="11" t="s">
        <v>640</v>
      </c>
      <c r="D12" s="11" t="s">
        <v>1434</v>
      </c>
      <c r="E12" s="11" t="s">
        <v>55</v>
      </c>
      <c r="F12" s="11" t="s">
        <v>156</v>
      </c>
      <c r="G12" s="11" t="s">
        <v>157</v>
      </c>
      <c r="H12" s="11" t="s">
        <v>58</v>
      </c>
      <c r="I12" s="11" t="s">
        <v>39</v>
      </c>
      <c r="J12" s="11" t="s">
        <v>40</v>
      </c>
      <c r="K12" s="25">
        <v>4</v>
      </c>
      <c r="L12" s="25">
        <v>35000</v>
      </c>
      <c r="M12" s="29">
        <v>0.1</v>
      </c>
      <c r="N12" s="25">
        <v>126000</v>
      </c>
      <c r="O12" s="25">
        <v>97825.23</v>
      </c>
      <c r="P12" s="25">
        <v>28174.77</v>
      </c>
      <c r="Q12" s="21">
        <v>22.36</v>
      </c>
      <c r="R12" s="11" t="s">
        <v>106</v>
      </c>
      <c r="S12" s="11" t="s">
        <v>74</v>
      </c>
      <c r="T12" s="11" t="s">
        <v>118</v>
      </c>
      <c r="U12" s="11" t="s">
        <v>87</v>
      </c>
      <c r="V12" s="11">
        <v>2024</v>
      </c>
      <c r="W12" s="11" t="s">
        <v>109</v>
      </c>
      <c r="X12" s="11">
        <v>5</v>
      </c>
      <c r="Y12" s="10">
        <v>45453</v>
      </c>
      <c r="Z12" s="11" t="s">
        <v>47</v>
      </c>
      <c r="AA12" s="11" t="s">
        <v>67</v>
      </c>
      <c r="AB12" s="11" t="s">
        <v>111</v>
      </c>
      <c r="AC12" s="11" t="s">
        <v>50</v>
      </c>
      <c r="AD12" s="11">
        <v>3</v>
      </c>
      <c r="AE12" s="11" t="s">
        <v>2213</v>
      </c>
      <c r="AF12" s="11" t="s">
        <v>2231</v>
      </c>
      <c r="AG12" s="25"/>
      <c r="AH12" s="11"/>
      <c r="AI12" s="11"/>
      <c r="AJ12" s="11"/>
      <c r="AK12" s="11"/>
      <c r="AL12" s="11"/>
      <c r="AM12" s="11" t="str">
        <f t="shared" si="0"/>
        <v>Needs Improvement</v>
      </c>
      <c r="AN12" s="11" t="str" cm="1">
        <f t="array" ref="AN12">_xlfn.IFS(N12&lt;10000,"Low",N12&lt;30000,"Medium",N12&gt;=30000,"High")</f>
        <v>High</v>
      </c>
      <c r="AO12" s="11" t="str">
        <f t="shared" si="1"/>
        <v>Yes</v>
      </c>
      <c r="AP12" s="11" t="str">
        <f t="shared" si="2"/>
        <v>Yes</v>
      </c>
      <c r="AQ12" s="11">
        <f t="shared" si="3"/>
        <v>0.2236092857142857</v>
      </c>
      <c r="AR12" s="33"/>
      <c r="AS12" s="33"/>
      <c r="AT12" s="33"/>
      <c r="AU12" s="33"/>
      <c r="AV12" s="33"/>
      <c r="AW12" s="33"/>
      <c r="AX12" s="33" t="str">
        <f t="shared" si="4"/>
        <v>Excellent</v>
      </c>
    </row>
    <row r="13" spans="1:50">
      <c r="A13" s="9" t="s">
        <v>1394</v>
      </c>
      <c r="B13" s="10">
        <v>45303</v>
      </c>
      <c r="C13" s="11" t="s">
        <v>1395</v>
      </c>
      <c r="D13" s="11" t="s">
        <v>1114</v>
      </c>
      <c r="E13" s="11" t="s">
        <v>103</v>
      </c>
      <c r="F13" s="11" t="s">
        <v>144</v>
      </c>
      <c r="G13" s="11" t="s">
        <v>145</v>
      </c>
      <c r="H13" s="11" t="s">
        <v>94</v>
      </c>
      <c r="I13" s="11" t="s">
        <v>59</v>
      </c>
      <c r="J13" s="11" t="s">
        <v>206</v>
      </c>
      <c r="K13" s="25">
        <v>9</v>
      </c>
      <c r="L13" s="25">
        <v>1200</v>
      </c>
      <c r="M13" s="29">
        <v>0.05</v>
      </c>
      <c r="N13" s="25">
        <v>10260</v>
      </c>
      <c r="O13" s="25">
        <v>7386.73</v>
      </c>
      <c r="P13" s="25">
        <v>2873.27</v>
      </c>
      <c r="Q13" s="21">
        <v>28</v>
      </c>
      <c r="R13" s="11" t="s">
        <v>73</v>
      </c>
      <c r="S13" s="11" t="s">
        <v>42</v>
      </c>
      <c r="T13" s="11" t="s">
        <v>173</v>
      </c>
      <c r="U13" s="11" t="s">
        <v>64</v>
      </c>
      <c r="V13" s="11">
        <v>2024</v>
      </c>
      <c r="W13" s="11" t="s">
        <v>45</v>
      </c>
      <c r="X13" s="11">
        <v>4</v>
      </c>
      <c r="Y13" s="10">
        <v>45424</v>
      </c>
      <c r="Z13" s="11" t="s">
        <v>47</v>
      </c>
      <c r="AA13" s="11" t="s">
        <v>67</v>
      </c>
      <c r="AB13" s="11" t="s">
        <v>111</v>
      </c>
      <c r="AC13" s="11" t="s">
        <v>121</v>
      </c>
      <c r="AD13" s="11">
        <v>2</v>
      </c>
      <c r="AE13" s="11" t="s">
        <v>2233</v>
      </c>
      <c r="AF13" s="11" t="s">
        <v>2217</v>
      </c>
      <c r="AG13" s="25"/>
      <c r="AH13" s="11"/>
      <c r="AI13" s="11"/>
      <c r="AJ13" s="11"/>
      <c r="AK13" s="11"/>
      <c r="AL13" s="11"/>
      <c r="AM13" s="11" t="str">
        <f t="shared" si="0"/>
        <v>Needs Improvement</v>
      </c>
      <c r="AN13" s="11" t="str" cm="1">
        <f t="array" ref="AN13">_xlfn.IFS(N13&lt;10000,"Low",N13&lt;30000,"Medium",N13&gt;=30000,"High")</f>
        <v>Medium</v>
      </c>
      <c r="AO13" s="11" t="str">
        <f t="shared" si="1"/>
        <v>No</v>
      </c>
      <c r="AP13" s="11" t="str">
        <f t="shared" si="2"/>
        <v>Yes</v>
      </c>
      <c r="AQ13" s="11">
        <f t="shared" si="3"/>
        <v>0.2800458089668616</v>
      </c>
      <c r="AR13" s="33"/>
      <c r="AS13" s="33"/>
      <c r="AT13" s="33"/>
      <c r="AU13" s="33"/>
      <c r="AV13" s="33"/>
      <c r="AW13" s="33"/>
      <c r="AX13" s="33" t="str">
        <f t="shared" si="4"/>
        <v>Low</v>
      </c>
    </row>
    <row r="14" spans="1:50">
      <c r="A14" s="9" t="s">
        <v>1463</v>
      </c>
      <c r="B14" s="10">
        <v>45323</v>
      </c>
      <c r="C14" s="11" t="s">
        <v>1464</v>
      </c>
      <c r="D14" s="11" t="s">
        <v>1465</v>
      </c>
      <c r="E14" s="11" t="s">
        <v>55</v>
      </c>
      <c r="F14" s="11" t="s">
        <v>144</v>
      </c>
      <c r="G14" s="11" t="s">
        <v>145</v>
      </c>
      <c r="H14" s="11" t="s">
        <v>171</v>
      </c>
      <c r="I14" s="11" t="s">
        <v>84</v>
      </c>
      <c r="J14" s="11" t="s">
        <v>85</v>
      </c>
      <c r="K14" s="25">
        <v>6</v>
      </c>
      <c r="L14" s="25">
        <v>500</v>
      </c>
      <c r="M14" s="29">
        <v>0.2</v>
      </c>
      <c r="N14" s="25">
        <v>2400</v>
      </c>
      <c r="O14" s="25">
        <v>1702.36</v>
      </c>
      <c r="P14" s="25">
        <v>697.64</v>
      </c>
      <c r="Q14" s="21">
        <v>29.07</v>
      </c>
      <c r="R14" s="11" t="s">
        <v>73</v>
      </c>
      <c r="S14" s="11" t="s">
        <v>42</v>
      </c>
      <c r="T14" s="11" t="s">
        <v>63</v>
      </c>
      <c r="U14" s="11" t="s">
        <v>76</v>
      </c>
      <c r="V14" s="11">
        <v>2024</v>
      </c>
      <c r="W14" s="11" t="s">
        <v>109</v>
      </c>
      <c r="X14" s="11">
        <v>5</v>
      </c>
      <c r="Y14" s="10">
        <v>45474</v>
      </c>
      <c r="Z14" s="11" t="s">
        <v>47</v>
      </c>
      <c r="AA14" s="11" t="s">
        <v>48</v>
      </c>
      <c r="AB14" s="11" t="s">
        <v>49</v>
      </c>
      <c r="AC14" s="11" t="s">
        <v>121</v>
      </c>
      <c r="AD14" s="11">
        <v>4</v>
      </c>
      <c r="AE14" s="11" t="s">
        <v>118</v>
      </c>
      <c r="AF14" s="11" t="s">
        <v>2223</v>
      </c>
      <c r="AG14" s="25"/>
      <c r="AH14" s="11"/>
      <c r="AI14" s="11"/>
      <c r="AJ14" s="11"/>
      <c r="AK14" s="11"/>
      <c r="AL14" s="11"/>
      <c r="AM14" s="11" t="str">
        <f t="shared" si="0"/>
        <v>Needs Improvement</v>
      </c>
      <c r="AN14" s="11" t="str" cm="1">
        <f t="array" ref="AN14">_xlfn.IFS(N14&lt;10000,"Low",N14&lt;30000,"Medium",N14&gt;=30000,"High")</f>
        <v>Low</v>
      </c>
      <c r="AO14" s="11" t="str">
        <f t="shared" si="1"/>
        <v>No</v>
      </c>
      <c r="AP14" s="11" t="str">
        <f t="shared" si="2"/>
        <v>Yes</v>
      </c>
      <c r="AQ14" s="11">
        <f t="shared" si="3"/>
        <v>0.29068333333333335</v>
      </c>
      <c r="AR14" s="33"/>
      <c r="AS14" s="33"/>
      <c r="AT14" s="33"/>
      <c r="AU14" s="33"/>
      <c r="AV14" s="33"/>
      <c r="AW14" s="33"/>
      <c r="AX14" s="33" t="str">
        <f t="shared" si="4"/>
        <v>Low</v>
      </c>
    </row>
    <row r="15" spans="1:50">
      <c r="A15" s="9" t="s">
        <v>1825</v>
      </c>
      <c r="B15" s="10">
        <v>45323</v>
      </c>
      <c r="C15" s="11" t="s">
        <v>1067</v>
      </c>
      <c r="D15" s="11" t="s">
        <v>1449</v>
      </c>
      <c r="E15" s="11" t="s">
        <v>103</v>
      </c>
      <c r="F15" s="11" t="s">
        <v>104</v>
      </c>
      <c r="G15" s="11" t="s">
        <v>104</v>
      </c>
      <c r="H15" s="11" t="s">
        <v>171</v>
      </c>
      <c r="I15" s="11" t="s">
        <v>59</v>
      </c>
      <c r="J15" s="11" t="s">
        <v>328</v>
      </c>
      <c r="K15" s="25">
        <v>6</v>
      </c>
      <c r="L15" s="25">
        <v>500</v>
      </c>
      <c r="M15" s="29">
        <v>0.05</v>
      </c>
      <c r="N15" s="25">
        <v>2850</v>
      </c>
      <c r="O15" s="25">
        <v>1571.09</v>
      </c>
      <c r="P15" s="25">
        <v>1278.9100000000001</v>
      </c>
      <c r="Q15" s="21">
        <v>44.87</v>
      </c>
      <c r="R15" s="11" t="s">
        <v>106</v>
      </c>
      <c r="S15" s="11" t="s">
        <v>74</v>
      </c>
      <c r="T15" s="11" t="s">
        <v>86</v>
      </c>
      <c r="U15" s="11" t="s">
        <v>76</v>
      </c>
      <c r="V15" s="11">
        <v>2024</v>
      </c>
      <c r="W15" s="11" t="s">
        <v>109</v>
      </c>
      <c r="X15" s="11">
        <v>9</v>
      </c>
      <c r="Y15" s="10">
        <v>45597</v>
      </c>
      <c r="Z15" s="11" t="s">
        <v>47</v>
      </c>
      <c r="AA15" s="11" t="s">
        <v>48</v>
      </c>
      <c r="AB15" s="11" t="s">
        <v>111</v>
      </c>
      <c r="AC15" s="11" t="s">
        <v>50</v>
      </c>
      <c r="AD15" s="11">
        <v>2</v>
      </c>
      <c r="AE15" s="11" t="s">
        <v>2218</v>
      </c>
      <c r="AF15" s="11" t="s">
        <v>2231</v>
      </c>
      <c r="AG15" s="25"/>
      <c r="AH15" s="11"/>
      <c r="AI15" s="11"/>
      <c r="AJ15" s="11"/>
      <c r="AK15" s="11"/>
      <c r="AL15" s="11"/>
      <c r="AM15" s="11" t="str">
        <f t="shared" si="0"/>
        <v>Good</v>
      </c>
      <c r="AN15" s="11" t="str" cm="1">
        <f t="array" ref="AN15">_xlfn.IFS(N15&lt;10000,"Low",N15&lt;30000,"Medium",N15&gt;=30000,"High")</f>
        <v>Low</v>
      </c>
      <c r="AO15" s="11" t="str">
        <f t="shared" si="1"/>
        <v>No</v>
      </c>
      <c r="AP15" s="11" t="str">
        <f t="shared" si="2"/>
        <v>Yes</v>
      </c>
      <c r="AQ15" s="11">
        <f t="shared" si="3"/>
        <v>0.44874035087719299</v>
      </c>
      <c r="AR15" s="33"/>
      <c r="AS15" s="33"/>
      <c r="AT15" s="33"/>
      <c r="AU15" s="33"/>
      <c r="AV15" s="33"/>
      <c r="AW15" s="33"/>
      <c r="AX15" s="33" t="str">
        <f t="shared" si="4"/>
        <v>Low</v>
      </c>
    </row>
    <row r="16" spans="1:50">
      <c r="A16" s="9" t="s">
        <v>561</v>
      </c>
      <c r="B16" s="10">
        <v>45324</v>
      </c>
      <c r="C16" s="11" t="s">
        <v>562</v>
      </c>
      <c r="D16" s="11" t="s">
        <v>383</v>
      </c>
      <c r="E16" s="11" t="s">
        <v>55</v>
      </c>
      <c r="F16" s="11" t="s">
        <v>82</v>
      </c>
      <c r="G16" s="11" t="s">
        <v>83</v>
      </c>
      <c r="H16" s="11" t="s">
        <v>94</v>
      </c>
      <c r="I16" s="11" t="s">
        <v>39</v>
      </c>
      <c r="J16" s="11" t="s">
        <v>165</v>
      </c>
      <c r="K16" s="25">
        <v>1</v>
      </c>
      <c r="L16" s="25">
        <v>8000</v>
      </c>
      <c r="M16" s="29">
        <v>0.15</v>
      </c>
      <c r="N16" s="25">
        <v>6800</v>
      </c>
      <c r="O16" s="25">
        <v>4070.45</v>
      </c>
      <c r="P16" s="25">
        <v>2729.55</v>
      </c>
      <c r="Q16" s="21">
        <v>40.14</v>
      </c>
      <c r="R16" s="11" t="s">
        <v>166</v>
      </c>
      <c r="S16" s="11" t="s">
        <v>62</v>
      </c>
      <c r="T16" s="11" t="s">
        <v>173</v>
      </c>
      <c r="U16" s="11" t="s">
        <v>98</v>
      </c>
      <c r="V16" s="11">
        <v>2024</v>
      </c>
      <c r="W16" s="11" t="s">
        <v>194</v>
      </c>
      <c r="X16" s="11">
        <v>5</v>
      </c>
      <c r="Y16" s="10">
        <v>45475</v>
      </c>
      <c r="Z16" s="11" t="s">
        <v>110</v>
      </c>
      <c r="AA16" s="11" t="s">
        <v>48</v>
      </c>
      <c r="AB16" s="11" t="s">
        <v>111</v>
      </c>
      <c r="AC16" s="11" t="s">
        <v>121</v>
      </c>
      <c r="AD16" s="11">
        <v>3</v>
      </c>
      <c r="AE16" s="11" t="s">
        <v>2221</v>
      </c>
      <c r="AF16" s="11" t="s">
        <v>2236</v>
      </c>
      <c r="AG16" s="25"/>
      <c r="AH16" s="11"/>
      <c r="AI16" s="11"/>
      <c r="AJ16" s="11"/>
      <c r="AK16" s="11"/>
      <c r="AL16" s="11"/>
      <c r="AM16" s="11" t="str">
        <f t="shared" si="0"/>
        <v>Good</v>
      </c>
      <c r="AN16" s="11" t="str" cm="1">
        <f t="array" ref="AN16">_xlfn.IFS(N16&lt;10000,"Low",N16&lt;30000,"Medium",N16&gt;=30000,"High")</f>
        <v>Low</v>
      </c>
      <c r="AO16" s="11" t="str">
        <f t="shared" si="1"/>
        <v>No</v>
      </c>
      <c r="AP16" s="11" t="str">
        <f t="shared" si="2"/>
        <v>No</v>
      </c>
      <c r="AQ16" s="11">
        <f t="shared" si="3"/>
        <v>0.40140441176470593</v>
      </c>
      <c r="AR16" s="33"/>
      <c r="AS16" s="33"/>
      <c r="AT16" s="33"/>
      <c r="AU16" s="33"/>
      <c r="AV16" s="33"/>
      <c r="AW16" s="33"/>
      <c r="AX16" s="33" t="str">
        <f t="shared" si="4"/>
        <v>Low</v>
      </c>
    </row>
    <row r="17" spans="1:50">
      <c r="A17" s="9" t="s">
        <v>2162</v>
      </c>
      <c r="B17" s="10">
        <v>45324</v>
      </c>
      <c r="C17" s="11" t="s">
        <v>830</v>
      </c>
      <c r="D17" s="11" t="s">
        <v>1411</v>
      </c>
      <c r="E17" s="11" t="s">
        <v>35</v>
      </c>
      <c r="F17" s="11" t="s">
        <v>144</v>
      </c>
      <c r="G17" s="11" t="s">
        <v>145</v>
      </c>
      <c r="H17" s="11" t="s">
        <v>171</v>
      </c>
      <c r="I17" s="11" t="s">
        <v>39</v>
      </c>
      <c r="J17" s="11" t="s">
        <v>356</v>
      </c>
      <c r="K17" s="25">
        <v>5</v>
      </c>
      <c r="L17" s="25">
        <v>15000</v>
      </c>
      <c r="M17" s="29">
        <v>0.05</v>
      </c>
      <c r="N17" s="25">
        <v>71250</v>
      </c>
      <c r="O17" s="25">
        <v>40064.870000000003</v>
      </c>
      <c r="P17" s="25">
        <v>31185.13</v>
      </c>
      <c r="Q17" s="21">
        <v>43.77</v>
      </c>
      <c r="R17" s="11" t="s">
        <v>41</v>
      </c>
      <c r="S17" s="11" t="s">
        <v>74</v>
      </c>
      <c r="T17" s="11" t="s">
        <v>86</v>
      </c>
      <c r="U17" s="11" t="s">
        <v>98</v>
      </c>
      <c r="V17" s="11">
        <v>2024</v>
      </c>
      <c r="W17" s="11" t="s">
        <v>194</v>
      </c>
      <c r="X17" s="11">
        <v>4</v>
      </c>
      <c r="Y17" s="10">
        <v>45445</v>
      </c>
      <c r="Z17" s="11" t="s">
        <v>110</v>
      </c>
      <c r="AA17" s="11" t="s">
        <v>48</v>
      </c>
      <c r="AB17" s="11" t="s">
        <v>78</v>
      </c>
      <c r="AC17" s="11" t="s">
        <v>121</v>
      </c>
      <c r="AD17" s="11">
        <v>5</v>
      </c>
      <c r="AE17" s="11" t="s">
        <v>2218</v>
      </c>
      <c r="AF17" s="11" t="s">
        <v>2224</v>
      </c>
      <c r="AG17" s="25"/>
      <c r="AH17" s="11"/>
      <c r="AI17" s="11"/>
      <c r="AJ17" s="11"/>
      <c r="AK17" s="11"/>
      <c r="AL17" s="11"/>
      <c r="AM17" s="11" t="str">
        <f t="shared" si="0"/>
        <v>Good</v>
      </c>
      <c r="AN17" s="11" t="str" cm="1">
        <f t="array" ref="AN17">_xlfn.IFS(N17&lt;10000,"Low",N17&lt;30000,"Medium",N17&gt;=30000,"High")</f>
        <v>High</v>
      </c>
      <c r="AO17" s="11" t="str">
        <f t="shared" si="1"/>
        <v>Yes</v>
      </c>
      <c r="AP17" s="11" t="str">
        <f t="shared" si="2"/>
        <v>Yes</v>
      </c>
      <c r="AQ17" s="11">
        <f t="shared" si="3"/>
        <v>0.43768603508771931</v>
      </c>
      <c r="AR17" s="33"/>
      <c r="AS17" s="33"/>
      <c r="AT17" s="33"/>
      <c r="AU17" s="33"/>
      <c r="AV17" s="33"/>
      <c r="AW17" s="33"/>
      <c r="AX17" s="33" t="str">
        <f t="shared" si="4"/>
        <v>Excellent</v>
      </c>
    </row>
    <row r="18" spans="1:50">
      <c r="A18" s="9" t="s">
        <v>1747</v>
      </c>
      <c r="B18" s="10">
        <v>45325</v>
      </c>
      <c r="C18" s="11" t="s">
        <v>292</v>
      </c>
      <c r="D18" s="11" t="s">
        <v>1635</v>
      </c>
      <c r="E18" s="11" t="s">
        <v>103</v>
      </c>
      <c r="F18" s="11" t="s">
        <v>36</v>
      </c>
      <c r="G18" s="11" t="s">
        <v>37</v>
      </c>
      <c r="H18" s="11" t="s">
        <v>94</v>
      </c>
      <c r="I18" s="11" t="s">
        <v>59</v>
      </c>
      <c r="J18" s="11" t="s">
        <v>372</v>
      </c>
      <c r="K18" s="25">
        <v>1</v>
      </c>
      <c r="L18" s="25">
        <v>2000</v>
      </c>
      <c r="M18" s="29">
        <v>0.15</v>
      </c>
      <c r="N18" s="25">
        <v>1700</v>
      </c>
      <c r="O18" s="25">
        <v>1315.19</v>
      </c>
      <c r="P18" s="25">
        <v>384.81</v>
      </c>
      <c r="Q18" s="21">
        <v>22.64</v>
      </c>
      <c r="R18" s="11" t="s">
        <v>166</v>
      </c>
      <c r="S18" s="11" t="s">
        <v>74</v>
      </c>
      <c r="T18" s="11" t="s">
        <v>173</v>
      </c>
      <c r="U18" s="11" t="s">
        <v>178</v>
      </c>
      <c r="V18" s="11">
        <v>2024</v>
      </c>
      <c r="W18" s="11" t="s">
        <v>65</v>
      </c>
      <c r="X18" s="11">
        <v>5</v>
      </c>
      <c r="Y18" s="10">
        <v>45476</v>
      </c>
      <c r="Z18" s="11" t="s">
        <v>110</v>
      </c>
      <c r="AA18" s="11" t="s">
        <v>90</v>
      </c>
      <c r="AB18" s="11" t="s">
        <v>78</v>
      </c>
      <c r="AC18" s="11" t="s">
        <v>121</v>
      </c>
      <c r="AD18" s="11">
        <v>2</v>
      </c>
      <c r="AE18" s="11" t="s">
        <v>159</v>
      </c>
      <c r="AF18" s="11" t="s">
        <v>2223</v>
      </c>
      <c r="AG18" s="25"/>
      <c r="AH18" s="11"/>
      <c r="AI18" s="11"/>
      <c r="AJ18" s="11"/>
      <c r="AK18" s="11"/>
      <c r="AL18" s="11"/>
      <c r="AM18" s="11" t="str">
        <f t="shared" si="0"/>
        <v>Needs Improvement</v>
      </c>
      <c r="AN18" s="11" t="str" cm="1">
        <f t="array" ref="AN18">_xlfn.IFS(N18&lt;10000,"Low",N18&lt;30000,"Medium",N18&gt;=30000,"High")</f>
        <v>Low</v>
      </c>
      <c r="AO18" s="11" t="str">
        <f t="shared" si="1"/>
        <v>No</v>
      </c>
      <c r="AP18" s="11" t="str">
        <f t="shared" si="2"/>
        <v>Yes</v>
      </c>
      <c r="AQ18" s="11">
        <f t="shared" si="3"/>
        <v>0.22635882352941178</v>
      </c>
      <c r="AR18" s="33"/>
      <c r="AS18" s="33"/>
      <c r="AT18" s="33"/>
      <c r="AU18" s="33"/>
      <c r="AV18" s="33"/>
      <c r="AW18" s="33"/>
      <c r="AX18" s="33" t="str">
        <f t="shared" si="4"/>
        <v>Low</v>
      </c>
    </row>
    <row r="19" spans="1:50">
      <c r="A19" s="9" t="s">
        <v>325</v>
      </c>
      <c r="B19" s="10">
        <v>45326</v>
      </c>
      <c r="C19" s="11" t="s">
        <v>326</v>
      </c>
      <c r="D19" s="11" t="s">
        <v>327</v>
      </c>
      <c r="E19" s="11" t="s">
        <v>103</v>
      </c>
      <c r="F19" s="11" t="s">
        <v>104</v>
      </c>
      <c r="G19" s="11" t="s">
        <v>104</v>
      </c>
      <c r="H19" s="11" t="s">
        <v>171</v>
      </c>
      <c r="I19" s="11" t="s">
        <v>59</v>
      </c>
      <c r="J19" s="11" t="s">
        <v>328</v>
      </c>
      <c r="K19" s="25">
        <v>4</v>
      </c>
      <c r="L19" s="25">
        <v>1200</v>
      </c>
      <c r="M19" s="29">
        <v>0.05</v>
      </c>
      <c r="N19" s="25">
        <v>4560</v>
      </c>
      <c r="O19" s="25">
        <v>3444.17</v>
      </c>
      <c r="P19" s="25">
        <v>1115.83</v>
      </c>
      <c r="Q19" s="21">
        <v>24.47</v>
      </c>
      <c r="R19" s="11" t="s">
        <v>106</v>
      </c>
      <c r="S19" s="11" t="s">
        <v>74</v>
      </c>
      <c r="T19" s="11" t="s">
        <v>97</v>
      </c>
      <c r="U19" s="11" t="s">
        <v>44</v>
      </c>
      <c r="V19" s="11">
        <v>2024</v>
      </c>
      <c r="W19" s="11" t="s">
        <v>109</v>
      </c>
      <c r="X19" s="11">
        <v>7</v>
      </c>
      <c r="Y19" s="10">
        <v>45539</v>
      </c>
      <c r="Z19" s="11" t="s">
        <v>47</v>
      </c>
      <c r="AA19" s="11" t="s">
        <v>90</v>
      </c>
      <c r="AB19" s="11" t="s">
        <v>78</v>
      </c>
      <c r="AC19" s="11" t="s">
        <v>50</v>
      </c>
      <c r="AD19" s="11">
        <v>3</v>
      </c>
      <c r="AE19" s="11" t="s">
        <v>2239</v>
      </c>
      <c r="AF19" s="11" t="s">
        <v>2222</v>
      </c>
      <c r="AG19" s="25"/>
      <c r="AH19" s="11"/>
      <c r="AI19" s="11"/>
      <c r="AJ19" s="11"/>
      <c r="AK19" s="11"/>
      <c r="AL19" s="11"/>
      <c r="AM19" s="11" t="str">
        <f t="shared" si="0"/>
        <v>Needs Improvement</v>
      </c>
      <c r="AN19" s="11" t="str" cm="1">
        <f t="array" ref="AN19">_xlfn.IFS(N19&lt;10000,"Low",N19&lt;30000,"Medium",N19&gt;=30000,"High")</f>
        <v>Low</v>
      </c>
      <c r="AO19" s="11" t="str">
        <f t="shared" si="1"/>
        <v>No</v>
      </c>
      <c r="AP19" s="11" t="str">
        <f t="shared" si="2"/>
        <v>Yes</v>
      </c>
      <c r="AQ19" s="11">
        <f t="shared" si="3"/>
        <v>0.24469956140350876</v>
      </c>
      <c r="AR19" s="33"/>
      <c r="AS19" s="33"/>
      <c r="AT19" s="33"/>
      <c r="AU19" s="33"/>
      <c r="AV19" s="33"/>
      <c r="AW19" s="33"/>
      <c r="AX19" s="33" t="str">
        <f t="shared" si="4"/>
        <v>Low</v>
      </c>
    </row>
    <row r="20" spans="1:50">
      <c r="A20" s="9" t="s">
        <v>1032</v>
      </c>
      <c r="B20" s="10">
        <v>45326</v>
      </c>
      <c r="C20" s="11" t="s">
        <v>846</v>
      </c>
      <c r="D20" s="11" t="s">
        <v>905</v>
      </c>
      <c r="E20" s="11" t="s">
        <v>55</v>
      </c>
      <c r="F20" s="11" t="s">
        <v>104</v>
      </c>
      <c r="G20" s="11" t="s">
        <v>104</v>
      </c>
      <c r="H20" s="11" t="s">
        <v>58</v>
      </c>
      <c r="I20" s="11" t="s">
        <v>71</v>
      </c>
      <c r="J20" s="11" t="s">
        <v>158</v>
      </c>
      <c r="K20" s="25">
        <v>10</v>
      </c>
      <c r="L20" s="25">
        <v>3500</v>
      </c>
      <c r="M20" s="29">
        <v>0.2</v>
      </c>
      <c r="N20" s="25">
        <v>28000</v>
      </c>
      <c r="O20" s="25">
        <v>17590.759999999998</v>
      </c>
      <c r="P20" s="25">
        <v>10409.24</v>
      </c>
      <c r="Q20" s="21">
        <v>37.18</v>
      </c>
      <c r="R20" s="11" t="s">
        <v>166</v>
      </c>
      <c r="S20" s="11" t="s">
        <v>42</v>
      </c>
      <c r="T20" s="11" t="s">
        <v>43</v>
      </c>
      <c r="U20" s="11" t="s">
        <v>44</v>
      </c>
      <c r="V20" s="11">
        <v>2024</v>
      </c>
      <c r="W20" s="11" t="s">
        <v>109</v>
      </c>
      <c r="X20" s="11">
        <v>4</v>
      </c>
      <c r="Y20" s="10">
        <v>45447</v>
      </c>
      <c r="Z20" s="11" t="s">
        <v>110</v>
      </c>
      <c r="AA20" s="11" t="s">
        <v>48</v>
      </c>
      <c r="AB20" s="11" t="s">
        <v>78</v>
      </c>
      <c r="AC20" s="11" t="s">
        <v>50</v>
      </c>
      <c r="AD20" s="11">
        <v>1</v>
      </c>
      <c r="AE20" s="11" t="s">
        <v>2233</v>
      </c>
      <c r="AF20" s="11" t="s">
        <v>2222</v>
      </c>
      <c r="AG20" s="25"/>
      <c r="AH20" s="11"/>
      <c r="AI20" s="11"/>
      <c r="AJ20" s="11"/>
      <c r="AK20" s="11"/>
      <c r="AL20" s="11"/>
      <c r="AM20" s="11" t="str">
        <f t="shared" si="0"/>
        <v>Good</v>
      </c>
      <c r="AN20" s="11" t="str" cm="1">
        <f t="array" ref="AN20">_xlfn.IFS(N20&lt;10000,"Low",N20&lt;30000,"Medium",N20&gt;=30000,"High")</f>
        <v>Medium</v>
      </c>
      <c r="AO20" s="11" t="str">
        <f t="shared" si="1"/>
        <v>No</v>
      </c>
      <c r="AP20" s="11" t="str">
        <f t="shared" si="2"/>
        <v>Yes</v>
      </c>
      <c r="AQ20" s="11">
        <f t="shared" si="3"/>
        <v>0.37175857142857144</v>
      </c>
      <c r="AR20" s="33"/>
      <c r="AS20" s="33"/>
      <c r="AT20" s="33"/>
      <c r="AU20" s="33"/>
      <c r="AV20" s="33"/>
      <c r="AW20" s="33"/>
      <c r="AX20" s="33" t="str">
        <f t="shared" si="4"/>
        <v>Good</v>
      </c>
    </row>
    <row r="21" spans="1:50">
      <c r="A21" s="9" t="s">
        <v>1064</v>
      </c>
      <c r="B21" s="10">
        <v>45326</v>
      </c>
      <c r="C21" s="11" t="s">
        <v>375</v>
      </c>
      <c r="D21" s="11" t="s">
        <v>666</v>
      </c>
      <c r="E21" s="11" t="s">
        <v>55</v>
      </c>
      <c r="F21" s="11" t="s">
        <v>144</v>
      </c>
      <c r="G21" s="11" t="s">
        <v>145</v>
      </c>
      <c r="H21" s="11" t="s">
        <v>94</v>
      </c>
      <c r="I21" s="11" t="s">
        <v>39</v>
      </c>
      <c r="J21" s="11" t="s">
        <v>165</v>
      </c>
      <c r="K21" s="25">
        <v>3</v>
      </c>
      <c r="L21" s="25">
        <v>22000</v>
      </c>
      <c r="M21" s="29">
        <v>0.15</v>
      </c>
      <c r="N21" s="25">
        <v>56100</v>
      </c>
      <c r="O21" s="25">
        <v>33578</v>
      </c>
      <c r="P21" s="25">
        <v>22522</v>
      </c>
      <c r="Q21" s="21">
        <v>40.15</v>
      </c>
      <c r="R21" s="11" t="s">
        <v>61</v>
      </c>
      <c r="S21" s="11" t="s">
        <v>62</v>
      </c>
      <c r="T21" s="11" t="s">
        <v>43</v>
      </c>
      <c r="U21" s="11" t="s">
        <v>44</v>
      </c>
      <c r="V21" s="11">
        <v>2024</v>
      </c>
      <c r="W21" s="11" t="s">
        <v>109</v>
      </c>
      <c r="X21" s="11">
        <v>9</v>
      </c>
      <c r="Y21" s="10">
        <v>45600</v>
      </c>
      <c r="Z21" s="11" t="s">
        <v>47</v>
      </c>
      <c r="AA21" s="11" t="s">
        <v>90</v>
      </c>
      <c r="AB21" s="11" t="s">
        <v>78</v>
      </c>
      <c r="AC21" s="11" t="s">
        <v>121</v>
      </c>
      <c r="AD21" s="11">
        <v>4</v>
      </c>
      <c r="AE21" s="11" t="s">
        <v>2240</v>
      </c>
      <c r="AF21" s="11" t="s">
        <v>2222</v>
      </c>
      <c r="AG21" s="25"/>
      <c r="AH21" s="11"/>
      <c r="AI21" s="11"/>
      <c r="AJ21" s="11"/>
      <c r="AK21" s="11"/>
      <c r="AL21" s="11"/>
      <c r="AM21" s="11" t="str">
        <f t="shared" si="0"/>
        <v>Good</v>
      </c>
      <c r="AN21" s="11" t="str" cm="1">
        <f t="array" ref="AN21">_xlfn.IFS(N21&lt;10000,"Low",N21&lt;30000,"Medium",N21&gt;=30000,"High")</f>
        <v>High</v>
      </c>
      <c r="AO21" s="11" t="str">
        <f t="shared" si="1"/>
        <v>Yes</v>
      </c>
      <c r="AP21" s="11" t="str">
        <f t="shared" si="2"/>
        <v>No</v>
      </c>
      <c r="AQ21" s="11">
        <f t="shared" si="3"/>
        <v>0.40146167557932266</v>
      </c>
      <c r="AR21" s="33"/>
      <c r="AS21" s="33"/>
      <c r="AT21" s="33"/>
      <c r="AU21" s="33"/>
      <c r="AV21" s="33"/>
      <c r="AW21" s="33"/>
      <c r="AX21" s="33" t="str">
        <f t="shared" si="4"/>
        <v>Excellent</v>
      </c>
    </row>
    <row r="22" spans="1:50">
      <c r="A22" s="9" t="s">
        <v>1823</v>
      </c>
      <c r="B22" s="10">
        <v>45326</v>
      </c>
      <c r="C22" s="11" t="s">
        <v>1824</v>
      </c>
      <c r="D22" s="11" t="s">
        <v>355</v>
      </c>
      <c r="E22" s="11" t="s">
        <v>103</v>
      </c>
      <c r="F22" s="11" t="s">
        <v>116</v>
      </c>
      <c r="G22" s="11" t="s">
        <v>37</v>
      </c>
      <c r="H22" s="11" t="s">
        <v>58</v>
      </c>
      <c r="I22" s="11" t="s">
        <v>84</v>
      </c>
      <c r="J22" s="11" t="s">
        <v>85</v>
      </c>
      <c r="K22" s="25">
        <v>7</v>
      </c>
      <c r="L22" s="25">
        <v>350</v>
      </c>
      <c r="M22" s="29">
        <v>0.15</v>
      </c>
      <c r="N22" s="25">
        <v>2082.5</v>
      </c>
      <c r="O22" s="25">
        <v>1371.09</v>
      </c>
      <c r="P22" s="25">
        <v>711.41</v>
      </c>
      <c r="Q22" s="21">
        <v>34.159999999999997</v>
      </c>
      <c r="R22" s="11" t="s">
        <v>61</v>
      </c>
      <c r="S22" s="11" t="s">
        <v>62</v>
      </c>
      <c r="T22" s="11" t="s">
        <v>173</v>
      </c>
      <c r="U22" s="11" t="s">
        <v>44</v>
      </c>
      <c r="V22" s="11">
        <v>2024</v>
      </c>
      <c r="W22" s="11" t="s">
        <v>109</v>
      </c>
      <c r="X22" s="11">
        <v>3</v>
      </c>
      <c r="Y22" s="10">
        <v>45416</v>
      </c>
      <c r="Z22" s="11" t="s">
        <v>47</v>
      </c>
      <c r="AA22" s="11" t="s">
        <v>48</v>
      </c>
      <c r="AB22" s="11" t="s">
        <v>78</v>
      </c>
      <c r="AC22" s="11" t="s">
        <v>121</v>
      </c>
      <c r="AD22" s="11">
        <v>5</v>
      </c>
      <c r="AE22" s="11" t="s">
        <v>159</v>
      </c>
      <c r="AF22" s="11" t="s">
        <v>2235</v>
      </c>
      <c r="AG22" s="25"/>
      <c r="AH22" s="11"/>
      <c r="AI22" s="11"/>
      <c r="AJ22" s="11"/>
      <c r="AK22" s="11"/>
      <c r="AL22" s="11"/>
      <c r="AM22" s="11" t="str">
        <f t="shared" si="0"/>
        <v>Good</v>
      </c>
      <c r="AN22" s="11" t="str" cm="1">
        <f t="array" ref="AN22">_xlfn.IFS(N22&lt;10000,"Low",N22&lt;30000,"Medium",N22&gt;=30000,"High")</f>
        <v>Low</v>
      </c>
      <c r="AO22" s="11" t="str">
        <f t="shared" si="1"/>
        <v>No</v>
      </c>
      <c r="AP22" s="11" t="str">
        <f t="shared" si="2"/>
        <v>No</v>
      </c>
      <c r="AQ22" s="11">
        <f t="shared" si="3"/>
        <v>0.34161344537815125</v>
      </c>
      <c r="AR22" s="33"/>
      <c r="AS22" s="33"/>
      <c r="AT22" s="33"/>
      <c r="AU22" s="33"/>
      <c r="AV22" s="33"/>
      <c r="AW22" s="33"/>
      <c r="AX22" s="33" t="str">
        <f t="shared" si="4"/>
        <v>Low</v>
      </c>
    </row>
    <row r="23" spans="1:50">
      <c r="A23" s="9" t="s">
        <v>1848</v>
      </c>
      <c r="B23" s="10">
        <v>45326</v>
      </c>
      <c r="C23" s="11" t="s">
        <v>1849</v>
      </c>
      <c r="D23" s="11" t="s">
        <v>1154</v>
      </c>
      <c r="E23" s="11" t="s">
        <v>35</v>
      </c>
      <c r="F23" s="11" t="s">
        <v>36</v>
      </c>
      <c r="G23" s="11" t="s">
        <v>37</v>
      </c>
      <c r="H23" s="11" t="s">
        <v>171</v>
      </c>
      <c r="I23" s="11" t="s">
        <v>39</v>
      </c>
      <c r="J23" s="11" t="s">
        <v>356</v>
      </c>
      <c r="K23" s="25">
        <v>1</v>
      </c>
      <c r="L23" s="25">
        <v>8000</v>
      </c>
      <c r="M23" s="29">
        <v>0.1</v>
      </c>
      <c r="N23" s="25">
        <v>7200</v>
      </c>
      <c r="O23" s="25">
        <v>4354.6499999999996</v>
      </c>
      <c r="P23" s="25">
        <v>2845.35</v>
      </c>
      <c r="Q23" s="21">
        <v>39.520000000000003</v>
      </c>
      <c r="R23" s="11" t="s">
        <v>41</v>
      </c>
      <c r="S23" s="11" t="s">
        <v>62</v>
      </c>
      <c r="T23" s="11" t="s">
        <v>63</v>
      </c>
      <c r="U23" s="11" t="s">
        <v>44</v>
      </c>
      <c r="V23" s="11">
        <v>2024</v>
      </c>
      <c r="W23" s="11" t="s">
        <v>109</v>
      </c>
      <c r="X23" s="11">
        <v>6</v>
      </c>
      <c r="Y23" s="10">
        <v>45508</v>
      </c>
      <c r="Z23" s="11" t="s">
        <v>47</v>
      </c>
      <c r="AA23" s="11" t="s">
        <v>67</v>
      </c>
      <c r="AB23" s="11" t="s">
        <v>78</v>
      </c>
      <c r="AC23" s="11" t="s">
        <v>50</v>
      </c>
      <c r="AD23" s="11">
        <v>2</v>
      </c>
      <c r="AE23" s="11" t="s">
        <v>86</v>
      </c>
      <c r="AF23" s="11" t="s">
        <v>2228</v>
      </c>
      <c r="AG23" s="25"/>
      <c r="AH23" s="11"/>
      <c r="AI23" s="11"/>
      <c r="AJ23" s="11"/>
      <c r="AK23" s="11"/>
      <c r="AL23" s="11"/>
      <c r="AM23" s="11" t="str">
        <f t="shared" si="0"/>
        <v>Good</v>
      </c>
      <c r="AN23" s="11" t="str" cm="1">
        <f t="array" ref="AN23">_xlfn.IFS(N23&lt;10000,"Low",N23&lt;30000,"Medium",N23&gt;=30000,"High")</f>
        <v>Low</v>
      </c>
      <c r="AO23" s="11" t="str">
        <f t="shared" si="1"/>
        <v>No</v>
      </c>
      <c r="AP23" s="11" t="str">
        <f t="shared" si="2"/>
        <v>No</v>
      </c>
      <c r="AQ23" s="11">
        <f t="shared" si="3"/>
        <v>0.39518749999999997</v>
      </c>
      <c r="AR23" s="33"/>
      <c r="AS23" s="33"/>
      <c r="AT23" s="33"/>
      <c r="AU23" s="33"/>
      <c r="AV23" s="33"/>
      <c r="AW23" s="33"/>
      <c r="AX23" s="33" t="str">
        <f t="shared" si="4"/>
        <v>Low</v>
      </c>
    </row>
    <row r="24" spans="1:50">
      <c r="A24" s="9" t="s">
        <v>2072</v>
      </c>
      <c r="B24" s="10">
        <v>45326</v>
      </c>
      <c r="C24" s="11" t="s">
        <v>596</v>
      </c>
      <c r="D24" s="11" t="s">
        <v>1554</v>
      </c>
      <c r="E24" s="11" t="s">
        <v>103</v>
      </c>
      <c r="F24" s="11" t="s">
        <v>116</v>
      </c>
      <c r="G24" s="11" t="s">
        <v>37</v>
      </c>
      <c r="H24" s="11" t="s">
        <v>94</v>
      </c>
      <c r="I24" s="11" t="s">
        <v>59</v>
      </c>
      <c r="J24" s="11" t="s">
        <v>328</v>
      </c>
      <c r="K24" s="25">
        <v>1</v>
      </c>
      <c r="L24" s="25">
        <v>2000</v>
      </c>
      <c r="M24" s="29">
        <v>0</v>
      </c>
      <c r="N24" s="25">
        <v>2000</v>
      </c>
      <c r="O24" s="25">
        <v>1324.3</v>
      </c>
      <c r="P24" s="25">
        <v>675.7</v>
      </c>
      <c r="Q24" s="21">
        <v>33.79</v>
      </c>
      <c r="R24" s="11" t="s">
        <v>61</v>
      </c>
      <c r="S24" s="11" t="s">
        <v>74</v>
      </c>
      <c r="T24" s="11" t="s">
        <v>107</v>
      </c>
      <c r="U24" s="11" t="s">
        <v>44</v>
      </c>
      <c r="V24" s="11">
        <v>2024</v>
      </c>
      <c r="W24" s="11" t="s">
        <v>109</v>
      </c>
      <c r="X24" s="11">
        <v>9</v>
      </c>
      <c r="Y24" s="10">
        <v>45600</v>
      </c>
      <c r="Z24" s="11" t="s">
        <v>47</v>
      </c>
      <c r="AA24" s="11" t="s">
        <v>90</v>
      </c>
      <c r="AB24" s="11" t="s">
        <v>78</v>
      </c>
      <c r="AC24" s="11" t="s">
        <v>50</v>
      </c>
      <c r="AD24" s="11">
        <v>5</v>
      </c>
      <c r="AE24" s="11" t="s">
        <v>2248</v>
      </c>
      <c r="AF24" s="11" t="s">
        <v>2212</v>
      </c>
      <c r="AG24" s="25"/>
      <c r="AH24" s="11"/>
      <c r="AI24" s="11"/>
      <c r="AJ24" s="11"/>
      <c r="AK24" s="11"/>
      <c r="AL24" s="11"/>
      <c r="AM24" s="11" t="str">
        <f t="shared" si="0"/>
        <v>Good</v>
      </c>
      <c r="AN24" s="11" t="str" cm="1">
        <f t="array" ref="AN24">_xlfn.IFS(N24&lt;10000,"Low",N24&lt;30000,"Medium",N24&gt;=30000,"High")</f>
        <v>Low</v>
      </c>
      <c r="AO24" s="11" t="str">
        <f t="shared" si="1"/>
        <v>No</v>
      </c>
      <c r="AP24" s="11" t="str">
        <f t="shared" si="2"/>
        <v>Yes</v>
      </c>
      <c r="AQ24" s="11">
        <f t="shared" si="3"/>
        <v>0.33785000000000004</v>
      </c>
      <c r="AR24" s="33"/>
      <c r="AS24" s="33"/>
      <c r="AT24" s="33"/>
      <c r="AU24" s="33"/>
      <c r="AV24" s="33"/>
      <c r="AW24" s="33"/>
      <c r="AX24" s="33" t="str">
        <f t="shared" si="4"/>
        <v>Low</v>
      </c>
    </row>
    <row r="25" spans="1:50">
      <c r="A25" s="9" t="s">
        <v>1822</v>
      </c>
      <c r="B25" s="10">
        <v>45327</v>
      </c>
      <c r="C25" s="11" t="s">
        <v>301</v>
      </c>
      <c r="D25" s="11" t="s">
        <v>799</v>
      </c>
      <c r="E25" s="11" t="s">
        <v>103</v>
      </c>
      <c r="F25" s="11" t="s">
        <v>149</v>
      </c>
      <c r="G25" s="11" t="s">
        <v>150</v>
      </c>
      <c r="H25" s="11" t="s">
        <v>94</v>
      </c>
      <c r="I25" s="11" t="s">
        <v>59</v>
      </c>
      <c r="J25" s="11" t="s">
        <v>206</v>
      </c>
      <c r="K25" s="25">
        <v>3</v>
      </c>
      <c r="L25" s="25">
        <v>500</v>
      </c>
      <c r="M25" s="29">
        <v>0.15</v>
      </c>
      <c r="N25" s="25">
        <v>1275</v>
      </c>
      <c r="O25" s="25">
        <v>733.67</v>
      </c>
      <c r="P25" s="25">
        <v>541.33000000000004</v>
      </c>
      <c r="Q25" s="21">
        <v>42.46</v>
      </c>
      <c r="R25" s="11" t="s">
        <v>166</v>
      </c>
      <c r="S25" s="11" t="s">
        <v>62</v>
      </c>
      <c r="T25" s="11" t="s">
        <v>138</v>
      </c>
      <c r="U25" s="11" t="s">
        <v>119</v>
      </c>
      <c r="V25" s="11">
        <v>2024</v>
      </c>
      <c r="W25" s="11" t="s">
        <v>139</v>
      </c>
      <c r="X25" s="11">
        <v>6</v>
      </c>
      <c r="Y25" s="10">
        <v>45509</v>
      </c>
      <c r="Z25" s="11" t="s">
        <v>47</v>
      </c>
      <c r="AA25" s="11" t="s">
        <v>90</v>
      </c>
      <c r="AB25" s="11" t="s">
        <v>78</v>
      </c>
      <c r="AC25" s="11" t="s">
        <v>121</v>
      </c>
      <c r="AD25" s="11">
        <v>1</v>
      </c>
      <c r="AE25" s="11" t="s">
        <v>2229</v>
      </c>
      <c r="AF25" s="11" t="s">
        <v>2214</v>
      </c>
      <c r="AG25" s="25"/>
      <c r="AH25" s="11"/>
      <c r="AI25" s="11"/>
      <c r="AJ25" s="11"/>
      <c r="AK25" s="11"/>
      <c r="AL25" s="11"/>
      <c r="AM25" s="11" t="str">
        <f t="shared" si="0"/>
        <v>Good</v>
      </c>
      <c r="AN25" s="11" t="str" cm="1">
        <f t="array" ref="AN25">_xlfn.IFS(N25&lt;10000,"Low",N25&lt;30000,"Medium",N25&gt;=30000,"High")</f>
        <v>Low</v>
      </c>
      <c r="AO25" s="11" t="str">
        <f t="shared" si="1"/>
        <v>No</v>
      </c>
      <c r="AP25" s="11" t="str">
        <f t="shared" si="2"/>
        <v>No</v>
      </c>
      <c r="AQ25" s="11">
        <f t="shared" si="3"/>
        <v>0.42457254901960789</v>
      </c>
      <c r="AR25" s="33"/>
      <c r="AS25" s="33"/>
      <c r="AT25" s="33"/>
      <c r="AU25" s="33"/>
      <c r="AV25" s="33"/>
      <c r="AW25" s="33"/>
      <c r="AX25" s="33" t="str">
        <f t="shared" si="4"/>
        <v>Low</v>
      </c>
    </row>
    <row r="26" spans="1:50">
      <c r="A26" s="9" t="s">
        <v>2062</v>
      </c>
      <c r="B26" s="10">
        <v>45327</v>
      </c>
      <c r="C26" s="11" t="s">
        <v>545</v>
      </c>
      <c r="D26" s="11" t="s">
        <v>855</v>
      </c>
      <c r="E26" s="11" t="s">
        <v>55</v>
      </c>
      <c r="F26" s="11" t="s">
        <v>116</v>
      </c>
      <c r="G26" s="11" t="s">
        <v>37</v>
      </c>
      <c r="H26" s="11" t="s">
        <v>38</v>
      </c>
      <c r="I26" s="11" t="s">
        <v>95</v>
      </c>
      <c r="J26" s="11" t="s">
        <v>344</v>
      </c>
      <c r="K26" s="25">
        <v>4</v>
      </c>
      <c r="L26" s="25">
        <v>6000</v>
      </c>
      <c r="M26" s="29">
        <v>0.2</v>
      </c>
      <c r="N26" s="25">
        <v>19200</v>
      </c>
      <c r="O26" s="25">
        <v>10946.26</v>
      </c>
      <c r="P26" s="25">
        <v>8253.74</v>
      </c>
      <c r="Q26" s="21">
        <v>42.99</v>
      </c>
      <c r="R26" s="11" t="s">
        <v>106</v>
      </c>
      <c r="S26" s="11" t="s">
        <v>74</v>
      </c>
      <c r="T26" s="11" t="s">
        <v>107</v>
      </c>
      <c r="U26" s="11" t="s">
        <v>119</v>
      </c>
      <c r="V26" s="11">
        <v>2024</v>
      </c>
      <c r="W26" s="11" t="s">
        <v>139</v>
      </c>
      <c r="X26" s="11">
        <v>9</v>
      </c>
      <c r="Y26" s="10">
        <v>45601</v>
      </c>
      <c r="Z26" s="11" t="s">
        <v>89</v>
      </c>
      <c r="AA26" s="11" t="s">
        <v>48</v>
      </c>
      <c r="AB26" s="11" t="s">
        <v>78</v>
      </c>
      <c r="AC26" s="11" t="s">
        <v>121</v>
      </c>
      <c r="AD26" s="11">
        <v>3</v>
      </c>
      <c r="AE26" s="11" t="s">
        <v>2220</v>
      </c>
      <c r="AF26" s="11" t="s">
        <v>2249</v>
      </c>
      <c r="AG26" s="25"/>
      <c r="AH26" s="11"/>
      <c r="AI26" s="11"/>
      <c r="AJ26" s="11"/>
      <c r="AK26" s="11"/>
      <c r="AL26" s="11"/>
      <c r="AM26" s="11" t="str">
        <f t="shared" si="0"/>
        <v>Good</v>
      </c>
      <c r="AN26" s="11" t="str" cm="1">
        <f t="array" ref="AN26">_xlfn.IFS(N26&lt;10000,"Low",N26&lt;30000,"Medium",N26&gt;=30000,"High")</f>
        <v>Medium</v>
      </c>
      <c r="AO26" s="11" t="str">
        <f t="shared" si="1"/>
        <v>No</v>
      </c>
      <c r="AP26" s="11" t="str">
        <f t="shared" si="2"/>
        <v>Yes</v>
      </c>
      <c r="AQ26" s="11">
        <f t="shared" si="3"/>
        <v>0.42988229166666664</v>
      </c>
      <c r="AR26" s="33"/>
      <c r="AS26" s="33"/>
      <c r="AT26" s="33"/>
      <c r="AU26" s="33"/>
      <c r="AV26" s="33"/>
      <c r="AW26" s="33"/>
      <c r="AX26" s="33" t="str">
        <f t="shared" si="4"/>
        <v>Average</v>
      </c>
    </row>
    <row r="27" spans="1:50">
      <c r="A27" s="9" t="s">
        <v>1692</v>
      </c>
      <c r="B27" s="10">
        <v>45328</v>
      </c>
      <c r="C27" s="11" t="s">
        <v>1426</v>
      </c>
      <c r="D27" s="11" t="s">
        <v>560</v>
      </c>
      <c r="E27" s="11" t="s">
        <v>35</v>
      </c>
      <c r="F27" s="11" t="s">
        <v>131</v>
      </c>
      <c r="G27" s="11" t="s">
        <v>132</v>
      </c>
      <c r="H27" s="11" t="s">
        <v>38</v>
      </c>
      <c r="I27" s="11" t="s">
        <v>71</v>
      </c>
      <c r="J27" s="11" t="s">
        <v>72</v>
      </c>
      <c r="K27" s="25">
        <v>6</v>
      </c>
      <c r="L27" s="25">
        <v>2500</v>
      </c>
      <c r="M27" s="29">
        <v>0.05</v>
      </c>
      <c r="N27" s="25">
        <v>14250</v>
      </c>
      <c r="O27" s="25">
        <v>11659.26</v>
      </c>
      <c r="P27" s="25">
        <v>2590.7399999999998</v>
      </c>
      <c r="Q27" s="21">
        <v>18.18</v>
      </c>
      <c r="R27" s="11" t="s">
        <v>106</v>
      </c>
      <c r="S27" s="11" t="s">
        <v>42</v>
      </c>
      <c r="T27" s="11" t="s">
        <v>138</v>
      </c>
      <c r="U27" s="11" t="s">
        <v>160</v>
      </c>
      <c r="V27" s="11">
        <v>2024</v>
      </c>
      <c r="W27" s="11" t="s">
        <v>45</v>
      </c>
      <c r="X27" s="11">
        <v>8</v>
      </c>
      <c r="Y27" s="10">
        <v>45571</v>
      </c>
      <c r="Z27" s="11" t="s">
        <v>47</v>
      </c>
      <c r="AA27" s="11" t="s">
        <v>67</v>
      </c>
      <c r="AB27" s="11" t="s">
        <v>49</v>
      </c>
      <c r="AC27" s="11" t="s">
        <v>121</v>
      </c>
      <c r="AD27" s="11">
        <v>5</v>
      </c>
      <c r="AE27" s="11" t="s">
        <v>2218</v>
      </c>
      <c r="AF27" s="11" t="s">
        <v>2214</v>
      </c>
      <c r="AG27" s="25"/>
      <c r="AH27" s="11"/>
      <c r="AI27" s="11"/>
      <c r="AJ27" s="11"/>
      <c r="AK27" s="11"/>
      <c r="AL27" s="11"/>
      <c r="AM27" s="11" t="str">
        <f t="shared" si="0"/>
        <v>Needs Improvement</v>
      </c>
      <c r="AN27" s="11" t="str" cm="1">
        <f t="array" ref="AN27">_xlfn.IFS(N27&lt;10000,"Low",N27&lt;30000,"Medium",N27&gt;=30000,"High")</f>
        <v>Medium</v>
      </c>
      <c r="AO27" s="11" t="str">
        <f t="shared" si="1"/>
        <v>No</v>
      </c>
      <c r="AP27" s="11" t="str">
        <f t="shared" si="2"/>
        <v>Yes</v>
      </c>
      <c r="AQ27" s="11">
        <f t="shared" si="3"/>
        <v>0.18180631578947368</v>
      </c>
      <c r="AR27" s="33"/>
      <c r="AS27" s="33"/>
      <c r="AT27" s="33"/>
      <c r="AU27" s="33"/>
      <c r="AV27" s="33"/>
      <c r="AW27" s="33"/>
      <c r="AX27" s="33" t="str">
        <f t="shared" si="4"/>
        <v>Low</v>
      </c>
    </row>
    <row r="28" spans="1:50">
      <c r="A28" s="9" t="s">
        <v>708</v>
      </c>
      <c r="B28" s="10">
        <v>45329</v>
      </c>
      <c r="C28" s="11" t="s">
        <v>709</v>
      </c>
      <c r="D28" s="11" t="s">
        <v>710</v>
      </c>
      <c r="E28" s="11" t="s">
        <v>55</v>
      </c>
      <c r="F28" s="11" t="s">
        <v>36</v>
      </c>
      <c r="G28" s="11" t="s">
        <v>37</v>
      </c>
      <c r="H28" s="11" t="s">
        <v>171</v>
      </c>
      <c r="I28" s="11" t="s">
        <v>59</v>
      </c>
      <c r="J28" s="11" t="s">
        <v>60</v>
      </c>
      <c r="K28" s="25">
        <v>2</v>
      </c>
      <c r="L28" s="25">
        <v>3000</v>
      </c>
      <c r="M28" s="29">
        <v>0</v>
      </c>
      <c r="N28" s="25">
        <v>6000</v>
      </c>
      <c r="O28" s="25">
        <v>4889.8900000000003</v>
      </c>
      <c r="P28" s="25">
        <v>1110.1099999999999</v>
      </c>
      <c r="Q28" s="21">
        <v>18.5</v>
      </c>
      <c r="R28" s="11" t="s">
        <v>61</v>
      </c>
      <c r="S28" s="11" t="s">
        <v>62</v>
      </c>
      <c r="T28" s="11" t="s">
        <v>173</v>
      </c>
      <c r="U28" s="11" t="s">
        <v>151</v>
      </c>
      <c r="V28" s="11">
        <v>2024</v>
      </c>
      <c r="W28" s="11" t="s">
        <v>109</v>
      </c>
      <c r="X28" s="11">
        <v>4</v>
      </c>
      <c r="Y28" s="10">
        <v>45450</v>
      </c>
      <c r="Z28" s="11" t="s">
        <v>89</v>
      </c>
      <c r="AA28" s="11" t="s">
        <v>48</v>
      </c>
      <c r="AB28" s="11" t="s">
        <v>78</v>
      </c>
      <c r="AC28" s="11" t="s">
        <v>121</v>
      </c>
      <c r="AD28" s="11">
        <v>3</v>
      </c>
      <c r="AE28" s="11" t="s">
        <v>2237</v>
      </c>
      <c r="AF28" s="11" t="s">
        <v>2230</v>
      </c>
      <c r="AG28" s="25"/>
      <c r="AH28" s="11"/>
      <c r="AI28" s="11"/>
      <c r="AJ28" s="11"/>
      <c r="AK28" s="11"/>
      <c r="AL28" s="11"/>
      <c r="AM28" s="11" t="str">
        <f t="shared" si="0"/>
        <v>Needs Improvement</v>
      </c>
      <c r="AN28" s="11" t="str" cm="1">
        <f t="array" ref="AN28">_xlfn.IFS(N28&lt;10000,"Low",N28&lt;30000,"Medium",N28&gt;=30000,"High")</f>
        <v>Low</v>
      </c>
      <c r="AO28" s="11" t="str">
        <f t="shared" si="1"/>
        <v>No</v>
      </c>
      <c r="AP28" s="11" t="str">
        <f t="shared" si="2"/>
        <v>No</v>
      </c>
      <c r="AQ28" s="11">
        <f t="shared" si="3"/>
        <v>0.18501833333333331</v>
      </c>
      <c r="AR28" s="33"/>
      <c r="AS28" s="33"/>
      <c r="AT28" s="33"/>
      <c r="AU28" s="33"/>
      <c r="AV28" s="33"/>
      <c r="AW28" s="33"/>
      <c r="AX28" s="33" t="str">
        <f t="shared" si="4"/>
        <v>Low</v>
      </c>
    </row>
    <row r="29" spans="1:50">
      <c r="A29" s="9" t="s">
        <v>1229</v>
      </c>
      <c r="B29" s="10">
        <v>45329</v>
      </c>
      <c r="C29" s="11" t="s">
        <v>1230</v>
      </c>
      <c r="D29" s="11" t="s">
        <v>920</v>
      </c>
      <c r="E29" s="11" t="s">
        <v>103</v>
      </c>
      <c r="F29" s="11" t="s">
        <v>36</v>
      </c>
      <c r="G29" s="11" t="s">
        <v>37</v>
      </c>
      <c r="H29" s="11" t="s">
        <v>58</v>
      </c>
      <c r="I29" s="11" t="s">
        <v>39</v>
      </c>
      <c r="J29" s="11" t="s">
        <v>356</v>
      </c>
      <c r="K29" s="25">
        <v>8</v>
      </c>
      <c r="L29" s="25">
        <v>50000</v>
      </c>
      <c r="M29" s="29">
        <v>0</v>
      </c>
      <c r="N29" s="25">
        <v>400000</v>
      </c>
      <c r="O29" s="25">
        <v>293354.07</v>
      </c>
      <c r="P29" s="25">
        <v>106645.93</v>
      </c>
      <c r="Q29" s="21">
        <v>26.66</v>
      </c>
      <c r="R29" s="11" t="s">
        <v>106</v>
      </c>
      <c r="S29" s="11" t="s">
        <v>42</v>
      </c>
      <c r="T29" s="11" t="s">
        <v>107</v>
      </c>
      <c r="U29" s="11" t="s">
        <v>151</v>
      </c>
      <c r="V29" s="11">
        <v>2024</v>
      </c>
      <c r="W29" s="11" t="s">
        <v>109</v>
      </c>
      <c r="X29" s="11">
        <v>7</v>
      </c>
      <c r="Y29" s="10">
        <v>45542</v>
      </c>
      <c r="Z29" s="11" t="s">
        <v>89</v>
      </c>
      <c r="AA29" s="11" t="s">
        <v>67</v>
      </c>
      <c r="AB29" s="11" t="s">
        <v>78</v>
      </c>
      <c r="AC29" s="11" t="s">
        <v>121</v>
      </c>
      <c r="AD29" s="11">
        <v>3</v>
      </c>
      <c r="AE29" s="11" t="s">
        <v>2218</v>
      </c>
      <c r="AF29" s="11" t="s">
        <v>2249</v>
      </c>
      <c r="AG29" s="25"/>
      <c r="AH29" s="11"/>
      <c r="AI29" s="11"/>
      <c r="AJ29" s="11"/>
      <c r="AK29" s="11"/>
      <c r="AL29" s="11"/>
      <c r="AM29" s="11" t="str">
        <f t="shared" si="0"/>
        <v>Needs Improvement</v>
      </c>
      <c r="AN29" s="11" t="str" cm="1">
        <f t="array" ref="AN29">_xlfn.IFS(N29&lt;10000,"Low",N29&lt;30000,"Medium",N29&gt;=30000,"High")</f>
        <v>High</v>
      </c>
      <c r="AO29" s="11" t="str">
        <f t="shared" si="1"/>
        <v>Yes</v>
      </c>
      <c r="AP29" s="11" t="str">
        <f t="shared" si="2"/>
        <v>Yes</v>
      </c>
      <c r="AQ29" s="11">
        <f t="shared" si="3"/>
        <v>0.266614825</v>
      </c>
      <c r="AR29" s="33"/>
      <c r="AS29" s="33"/>
      <c r="AT29" s="33"/>
      <c r="AU29" s="33"/>
      <c r="AV29" s="33"/>
      <c r="AW29" s="33"/>
      <c r="AX29" s="33" t="str">
        <f t="shared" si="4"/>
        <v>Excellent</v>
      </c>
    </row>
    <row r="30" spans="1:50">
      <c r="A30" s="9" t="s">
        <v>1727</v>
      </c>
      <c r="B30" s="10">
        <v>45329</v>
      </c>
      <c r="C30" s="11" t="s">
        <v>570</v>
      </c>
      <c r="D30" s="11" t="s">
        <v>1402</v>
      </c>
      <c r="E30" s="11" t="s">
        <v>103</v>
      </c>
      <c r="F30" s="11" t="s">
        <v>156</v>
      </c>
      <c r="G30" s="11" t="s">
        <v>157</v>
      </c>
      <c r="H30" s="11" t="s">
        <v>58</v>
      </c>
      <c r="I30" s="11" t="s">
        <v>84</v>
      </c>
      <c r="J30" s="11" t="s">
        <v>229</v>
      </c>
      <c r="K30" s="25">
        <v>1</v>
      </c>
      <c r="L30" s="25">
        <v>800</v>
      </c>
      <c r="M30" s="29">
        <v>0.1</v>
      </c>
      <c r="N30" s="25">
        <v>720</v>
      </c>
      <c r="O30" s="25">
        <v>477.08</v>
      </c>
      <c r="P30" s="25">
        <v>242.92</v>
      </c>
      <c r="Q30" s="21">
        <v>33.74</v>
      </c>
      <c r="R30" s="11" t="s">
        <v>41</v>
      </c>
      <c r="S30" s="11" t="s">
        <v>74</v>
      </c>
      <c r="T30" s="11" t="s">
        <v>97</v>
      </c>
      <c r="U30" s="11" t="s">
        <v>151</v>
      </c>
      <c r="V30" s="11">
        <v>2024</v>
      </c>
      <c r="W30" s="11" t="s">
        <v>109</v>
      </c>
      <c r="X30" s="11">
        <v>5</v>
      </c>
      <c r="Y30" s="10">
        <v>45480</v>
      </c>
      <c r="Z30" s="11" t="s">
        <v>47</v>
      </c>
      <c r="AA30" s="11" t="s">
        <v>48</v>
      </c>
      <c r="AB30" s="11" t="s">
        <v>49</v>
      </c>
      <c r="AC30" s="11" t="s">
        <v>50</v>
      </c>
      <c r="AD30" s="11">
        <v>2</v>
      </c>
      <c r="AE30" s="11" t="s">
        <v>2216</v>
      </c>
      <c r="AF30" s="11" t="s">
        <v>2228</v>
      </c>
      <c r="AG30" s="25"/>
      <c r="AH30" s="11"/>
      <c r="AI30" s="11"/>
      <c r="AJ30" s="11"/>
      <c r="AK30" s="11"/>
      <c r="AL30" s="11"/>
      <c r="AM30" s="11" t="str">
        <f t="shared" si="0"/>
        <v>Good</v>
      </c>
      <c r="AN30" s="11" t="str" cm="1">
        <f t="array" ref="AN30">_xlfn.IFS(N30&lt;10000,"Low",N30&lt;30000,"Medium",N30&gt;=30000,"High")</f>
        <v>Low</v>
      </c>
      <c r="AO30" s="11" t="str">
        <f t="shared" si="1"/>
        <v>No</v>
      </c>
      <c r="AP30" s="11" t="str">
        <f t="shared" si="2"/>
        <v>Yes</v>
      </c>
      <c r="AQ30" s="11">
        <f t="shared" si="3"/>
        <v>0.33738888888888885</v>
      </c>
      <c r="AR30" s="33"/>
      <c r="AS30" s="33"/>
      <c r="AT30" s="33"/>
      <c r="AU30" s="33"/>
      <c r="AV30" s="33"/>
      <c r="AW30" s="33"/>
      <c r="AX30" s="33" t="str">
        <f t="shared" si="4"/>
        <v>Low</v>
      </c>
    </row>
    <row r="31" spans="1:50">
      <c r="A31" s="9" t="s">
        <v>1897</v>
      </c>
      <c r="B31" s="10">
        <v>45330</v>
      </c>
      <c r="C31" s="11" t="s">
        <v>1464</v>
      </c>
      <c r="D31" s="11" t="s">
        <v>216</v>
      </c>
      <c r="E31" s="11" t="s">
        <v>35</v>
      </c>
      <c r="F31" s="11" t="s">
        <v>245</v>
      </c>
      <c r="G31" s="11" t="s">
        <v>246</v>
      </c>
      <c r="H31" s="11" t="s">
        <v>171</v>
      </c>
      <c r="I31" s="11" t="s">
        <v>39</v>
      </c>
      <c r="J31" s="11" t="s">
        <v>40</v>
      </c>
      <c r="K31" s="25">
        <v>4</v>
      </c>
      <c r="L31" s="25">
        <v>22000</v>
      </c>
      <c r="M31" s="29">
        <v>0.1</v>
      </c>
      <c r="N31" s="25">
        <v>79200</v>
      </c>
      <c r="O31" s="25">
        <v>63907.96</v>
      </c>
      <c r="P31" s="25">
        <v>15292.04</v>
      </c>
      <c r="Q31" s="21">
        <v>19.309999999999999</v>
      </c>
      <c r="R31" s="11" t="s">
        <v>106</v>
      </c>
      <c r="S31" s="11" t="s">
        <v>74</v>
      </c>
      <c r="T31" s="11" t="s">
        <v>118</v>
      </c>
      <c r="U31" s="11" t="s">
        <v>218</v>
      </c>
      <c r="V31" s="11">
        <v>2024</v>
      </c>
      <c r="W31" s="11" t="s">
        <v>194</v>
      </c>
      <c r="X31" s="11">
        <v>9</v>
      </c>
      <c r="Y31" s="10">
        <v>45604</v>
      </c>
      <c r="Z31" s="11" t="s">
        <v>47</v>
      </c>
      <c r="AA31" s="11" t="s">
        <v>48</v>
      </c>
      <c r="AB31" s="11" t="s">
        <v>49</v>
      </c>
      <c r="AC31" s="11" t="s">
        <v>121</v>
      </c>
      <c r="AD31" s="11">
        <v>3</v>
      </c>
      <c r="AE31" s="11" t="s">
        <v>2232</v>
      </c>
      <c r="AF31" s="11" t="s">
        <v>2231</v>
      </c>
      <c r="AG31" s="25"/>
      <c r="AH31" s="11"/>
      <c r="AI31" s="11"/>
      <c r="AJ31" s="11"/>
      <c r="AK31" s="11"/>
      <c r="AL31" s="11"/>
      <c r="AM31" s="11" t="str">
        <f t="shared" si="0"/>
        <v>Needs Improvement</v>
      </c>
      <c r="AN31" s="11" t="str" cm="1">
        <f t="array" ref="AN31">_xlfn.IFS(N31&lt;10000,"Low",N31&lt;30000,"Medium",N31&gt;=30000,"High")</f>
        <v>High</v>
      </c>
      <c r="AO31" s="11" t="str">
        <f t="shared" si="1"/>
        <v>Yes</v>
      </c>
      <c r="AP31" s="11" t="str">
        <f t="shared" si="2"/>
        <v>Yes</v>
      </c>
      <c r="AQ31" s="11">
        <f t="shared" si="3"/>
        <v>0.19308131313131313</v>
      </c>
      <c r="AR31" s="33"/>
      <c r="AS31" s="33"/>
      <c r="AT31" s="33"/>
      <c r="AU31" s="33"/>
      <c r="AV31" s="33"/>
      <c r="AW31" s="33"/>
      <c r="AX31" s="33" t="str">
        <f t="shared" si="4"/>
        <v>Good</v>
      </c>
    </row>
    <row r="32" spans="1:50">
      <c r="A32" s="9" t="s">
        <v>123</v>
      </c>
      <c r="B32" s="10">
        <v>45331</v>
      </c>
      <c r="C32" s="11" t="s">
        <v>124</v>
      </c>
      <c r="D32" s="11" t="s">
        <v>125</v>
      </c>
      <c r="E32" s="11" t="s">
        <v>55</v>
      </c>
      <c r="F32" s="11" t="s">
        <v>82</v>
      </c>
      <c r="G32" s="11" t="s">
        <v>83</v>
      </c>
      <c r="H32" s="11" t="s">
        <v>58</v>
      </c>
      <c r="I32" s="11" t="s">
        <v>71</v>
      </c>
      <c r="J32" s="11" t="s">
        <v>72</v>
      </c>
      <c r="K32" s="25">
        <v>2</v>
      </c>
      <c r="L32" s="25">
        <v>1800</v>
      </c>
      <c r="M32" s="29">
        <v>0.1</v>
      </c>
      <c r="N32" s="25">
        <v>3240</v>
      </c>
      <c r="O32" s="25">
        <v>2550.08</v>
      </c>
      <c r="P32" s="25">
        <v>689.92</v>
      </c>
      <c r="Q32" s="21">
        <v>21.29</v>
      </c>
      <c r="R32" s="11" t="s">
        <v>41</v>
      </c>
      <c r="S32" s="11" t="s">
        <v>74</v>
      </c>
      <c r="T32" s="11" t="s">
        <v>118</v>
      </c>
      <c r="U32" s="11" t="s">
        <v>108</v>
      </c>
      <c r="V32" s="11">
        <v>2024</v>
      </c>
      <c r="W32" s="11" t="s">
        <v>126</v>
      </c>
      <c r="X32" s="11">
        <v>1</v>
      </c>
      <c r="Y32" s="10">
        <v>45360</v>
      </c>
      <c r="Z32" s="11" t="s">
        <v>47</v>
      </c>
      <c r="AA32" s="11" t="s">
        <v>48</v>
      </c>
      <c r="AB32" s="11" t="s">
        <v>78</v>
      </c>
      <c r="AC32" s="11" t="s">
        <v>121</v>
      </c>
      <c r="AD32" s="11">
        <v>3</v>
      </c>
      <c r="AE32" s="11" t="s">
        <v>2237</v>
      </c>
      <c r="AF32" s="11" t="s">
        <v>2214</v>
      </c>
      <c r="AG32" s="25"/>
      <c r="AH32" s="11"/>
      <c r="AI32" s="11"/>
      <c r="AJ32" s="11"/>
      <c r="AK32" s="11"/>
      <c r="AL32" s="11"/>
      <c r="AM32" s="11" t="str">
        <f t="shared" si="0"/>
        <v>Needs Improvement</v>
      </c>
      <c r="AN32" s="11" t="str" cm="1">
        <f t="array" ref="AN32">_xlfn.IFS(N32&lt;10000,"Low",N32&lt;30000,"Medium",N32&gt;=30000,"High")</f>
        <v>Low</v>
      </c>
      <c r="AO32" s="11" t="str">
        <f t="shared" si="1"/>
        <v>No</v>
      </c>
      <c r="AP32" s="11" t="str">
        <f t="shared" si="2"/>
        <v>Yes</v>
      </c>
      <c r="AQ32" s="11">
        <f t="shared" si="3"/>
        <v>0.21293827160493825</v>
      </c>
      <c r="AR32" s="33"/>
      <c r="AS32" s="33"/>
      <c r="AT32" s="33"/>
      <c r="AU32" s="33"/>
      <c r="AV32" s="33"/>
      <c r="AW32" s="33"/>
      <c r="AX32" s="33" t="str">
        <f t="shared" si="4"/>
        <v>Low</v>
      </c>
    </row>
    <row r="33" spans="1:50">
      <c r="A33" s="9" t="s">
        <v>1710</v>
      </c>
      <c r="B33" s="10">
        <v>45332</v>
      </c>
      <c r="C33" s="11" t="s">
        <v>1711</v>
      </c>
      <c r="D33" s="11" t="s">
        <v>847</v>
      </c>
      <c r="E33" s="11" t="s">
        <v>55</v>
      </c>
      <c r="F33" s="11" t="s">
        <v>82</v>
      </c>
      <c r="G33" s="11" t="s">
        <v>83</v>
      </c>
      <c r="H33" s="11" t="s">
        <v>58</v>
      </c>
      <c r="I33" s="11" t="s">
        <v>84</v>
      </c>
      <c r="J33" s="11" t="s">
        <v>85</v>
      </c>
      <c r="K33" s="25">
        <v>6</v>
      </c>
      <c r="L33" s="25">
        <v>800</v>
      </c>
      <c r="M33" s="29">
        <v>0.2</v>
      </c>
      <c r="N33" s="25">
        <v>3840</v>
      </c>
      <c r="O33" s="25">
        <v>2913.87</v>
      </c>
      <c r="P33" s="25">
        <v>926.13</v>
      </c>
      <c r="Q33" s="21">
        <v>24.12</v>
      </c>
      <c r="R33" s="11" t="s">
        <v>106</v>
      </c>
      <c r="S33" s="11" t="s">
        <v>42</v>
      </c>
      <c r="T33" s="11" t="s">
        <v>118</v>
      </c>
      <c r="U33" s="11" t="s">
        <v>87</v>
      </c>
      <c r="V33" s="11">
        <v>2024</v>
      </c>
      <c r="W33" s="11" t="s">
        <v>134</v>
      </c>
      <c r="X33" s="11">
        <v>2</v>
      </c>
      <c r="Y33" s="10">
        <v>45392</v>
      </c>
      <c r="Z33" s="11" t="s">
        <v>89</v>
      </c>
      <c r="AA33" s="11" t="s">
        <v>67</v>
      </c>
      <c r="AB33" s="11" t="s">
        <v>49</v>
      </c>
      <c r="AC33" s="11" t="s">
        <v>50</v>
      </c>
      <c r="AD33" s="11">
        <v>5</v>
      </c>
      <c r="AE33" s="11" t="s">
        <v>86</v>
      </c>
      <c r="AF33" s="11" t="s">
        <v>2219</v>
      </c>
      <c r="AG33" s="25"/>
      <c r="AH33" s="11"/>
      <c r="AI33" s="11"/>
      <c r="AJ33" s="11"/>
      <c r="AK33" s="11"/>
      <c r="AL33" s="11"/>
      <c r="AM33" s="11" t="str">
        <f t="shared" si="0"/>
        <v>Needs Improvement</v>
      </c>
      <c r="AN33" s="11" t="str" cm="1">
        <f t="array" ref="AN33">_xlfn.IFS(N33&lt;10000,"Low",N33&lt;30000,"Medium",N33&gt;=30000,"High")</f>
        <v>Low</v>
      </c>
      <c r="AO33" s="11" t="str">
        <f t="shared" si="1"/>
        <v>No</v>
      </c>
      <c r="AP33" s="11" t="str">
        <f t="shared" si="2"/>
        <v>Yes</v>
      </c>
      <c r="AQ33" s="11">
        <f t="shared" si="3"/>
        <v>0.24117968749999999</v>
      </c>
      <c r="AR33" s="33"/>
      <c r="AS33" s="33"/>
      <c r="AT33" s="33"/>
      <c r="AU33" s="33"/>
      <c r="AV33" s="33"/>
      <c r="AW33" s="33"/>
      <c r="AX33" s="33" t="str">
        <f t="shared" si="4"/>
        <v>Low</v>
      </c>
    </row>
    <row r="34" spans="1:50">
      <c r="A34" s="9" t="s">
        <v>1717</v>
      </c>
      <c r="B34" s="10">
        <v>45332</v>
      </c>
      <c r="C34" s="11" t="s">
        <v>80</v>
      </c>
      <c r="D34" s="11" t="s">
        <v>604</v>
      </c>
      <c r="E34" s="11" t="s">
        <v>55</v>
      </c>
      <c r="F34" s="11" t="s">
        <v>104</v>
      </c>
      <c r="G34" s="11" t="s">
        <v>104</v>
      </c>
      <c r="H34" s="11" t="s">
        <v>38</v>
      </c>
      <c r="I34" s="11" t="s">
        <v>95</v>
      </c>
      <c r="J34" s="11" t="s">
        <v>96</v>
      </c>
      <c r="K34" s="25">
        <v>2</v>
      </c>
      <c r="L34" s="25">
        <v>9000</v>
      </c>
      <c r="M34" s="29">
        <v>0.15</v>
      </c>
      <c r="N34" s="25">
        <v>15300</v>
      </c>
      <c r="O34" s="25">
        <v>10865</v>
      </c>
      <c r="P34" s="25">
        <v>4435</v>
      </c>
      <c r="Q34" s="21">
        <v>28.99</v>
      </c>
      <c r="R34" s="11" t="s">
        <v>41</v>
      </c>
      <c r="S34" s="11" t="s">
        <v>74</v>
      </c>
      <c r="T34" s="11" t="s">
        <v>118</v>
      </c>
      <c r="U34" s="11" t="s">
        <v>87</v>
      </c>
      <c r="V34" s="11">
        <v>2024</v>
      </c>
      <c r="W34" s="11" t="s">
        <v>134</v>
      </c>
      <c r="X34" s="11">
        <v>10</v>
      </c>
      <c r="Y34" s="10">
        <v>45636</v>
      </c>
      <c r="Z34" s="11" t="s">
        <v>110</v>
      </c>
      <c r="AA34" s="11" t="s">
        <v>48</v>
      </c>
      <c r="AB34" s="11" t="s">
        <v>78</v>
      </c>
      <c r="AC34" s="11" t="s">
        <v>121</v>
      </c>
      <c r="AD34" s="11">
        <v>1</v>
      </c>
      <c r="AE34" s="11" t="s">
        <v>2227</v>
      </c>
      <c r="AF34" s="11" t="s">
        <v>2222</v>
      </c>
      <c r="AG34" s="25"/>
      <c r="AH34" s="11"/>
      <c r="AI34" s="11"/>
      <c r="AJ34" s="11"/>
      <c r="AK34" s="11"/>
      <c r="AL34" s="11"/>
      <c r="AM34" s="11" t="str">
        <f t="shared" si="0"/>
        <v>Needs Improvement</v>
      </c>
      <c r="AN34" s="11" t="str" cm="1">
        <f t="array" ref="AN34">_xlfn.IFS(N34&lt;10000,"Low",N34&lt;30000,"Medium",N34&gt;=30000,"High")</f>
        <v>Medium</v>
      </c>
      <c r="AO34" s="11" t="str">
        <f t="shared" si="1"/>
        <v>No</v>
      </c>
      <c r="AP34" s="11" t="str">
        <f t="shared" si="2"/>
        <v>Yes</v>
      </c>
      <c r="AQ34" s="11">
        <f t="shared" si="3"/>
        <v>0.28986928104575166</v>
      </c>
      <c r="AR34" s="33"/>
      <c r="AS34" s="33"/>
      <c r="AT34" s="33"/>
      <c r="AU34" s="33"/>
      <c r="AV34" s="33"/>
      <c r="AW34" s="33"/>
      <c r="AX34" s="33" t="str">
        <f t="shared" si="4"/>
        <v>Low</v>
      </c>
    </row>
    <row r="35" spans="1:50">
      <c r="A35" s="9" t="s">
        <v>2001</v>
      </c>
      <c r="B35" s="10">
        <v>45332</v>
      </c>
      <c r="C35" s="11" t="s">
        <v>188</v>
      </c>
      <c r="D35" s="11" t="s">
        <v>239</v>
      </c>
      <c r="E35" s="11" t="s">
        <v>55</v>
      </c>
      <c r="F35" s="11" t="s">
        <v>156</v>
      </c>
      <c r="G35" s="11" t="s">
        <v>157</v>
      </c>
      <c r="H35" s="11" t="s">
        <v>38</v>
      </c>
      <c r="I35" s="11" t="s">
        <v>59</v>
      </c>
      <c r="J35" s="11" t="s">
        <v>328</v>
      </c>
      <c r="K35" s="25">
        <v>4</v>
      </c>
      <c r="L35" s="25">
        <v>2000</v>
      </c>
      <c r="M35" s="29">
        <v>0.05</v>
      </c>
      <c r="N35" s="25">
        <v>7600</v>
      </c>
      <c r="O35" s="25">
        <v>6212.85</v>
      </c>
      <c r="P35" s="25">
        <v>1387.15</v>
      </c>
      <c r="Q35" s="21">
        <v>18.25</v>
      </c>
      <c r="R35" s="11" t="s">
        <v>41</v>
      </c>
      <c r="S35" s="11" t="s">
        <v>62</v>
      </c>
      <c r="T35" s="11" t="s">
        <v>43</v>
      </c>
      <c r="U35" s="11" t="s">
        <v>87</v>
      </c>
      <c r="V35" s="11">
        <v>2024</v>
      </c>
      <c r="W35" s="11" t="s">
        <v>134</v>
      </c>
      <c r="X35" s="11">
        <v>9</v>
      </c>
      <c r="Y35" s="10">
        <v>45606</v>
      </c>
      <c r="Z35" s="11" t="s">
        <v>47</v>
      </c>
      <c r="AA35" s="11" t="s">
        <v>48</v>
      </c>
      <c r="AB35" s="11" t="s">
        <v>111</v>
      </c>
      <c r="AC35" s="11" t="s">
        <v>121</v>
      </c>
      <c r="AD35" s="11">
        <v>4</v>
      </c>
      <c r="AE35" s="11" t="s">
        <v>2226</v>
      </c>
      <c r="AF35" s="11" t="s">
        <v>2236</v>
      </c>
      <c r="AG35" s="25"/>
      <c r="AH35" s="11"/>
      <c r="AI35" s="11"/>
      <c r="AJ35" s="11"/>
      <c r="AK35" s="11"/>
      <c r="AL35" s="11"/>
      <c r="AM35" s="11" t="str">
        <f t="shared" si="0"/>
        <v>Needs Improvement</v>
      </c>
      <c r="AN35" s="11" t="str" cm="1">
        <f t="array" ref="AN35">_xlfn.IFS(N35&lt;10000,"Low",N35&lt;30000,"Medium",N35&gt;=30000,"High")</f>
        <v>Low</v>
      </c>
      <c r="AO35" s="11" t="str">
        <f t="shared" si="1"/>
        <v>No</v>
      </c>
      <c r="AP35" s="11" t="str">
        <f t="shared" si="2"/>
        <v>No</v>
      </c>
      <c r="AQ35" s="11">
        <f t="shared" si="3"/>
        <v>0.18251973684210526</v>
      </c>
      <c r="AR35" s="33"/>
      <c r="AS35" s="33"/>
      <c r="AT35" s="33"/>
      <c r="AU35" s="33"/>
      <c r="AV35" s="33"/>
      <c r="AW35" s="33"/>
      <c r="AX35" s="33" t="str">
        <f t="shared" si="4"/>
        <v>Low</v>
      </c>
    </row>
    <row r="36" spans="1:50">
      <c r="A36" s="9" t="s">
        <v>1578</v>
      </c>
      <c r="B36" s="10">
        <v>45334</v>
      </c>
      <c r="C36" s="11" t="s">
        <v>1579</v>
      </c>
      <c r="D36" s="11" t="s">
        <v>439</v>
      </c>
      <c r="E36" s="11" t="s">
        <v>35</v>
      </c>
      <c r="F36" s="11" t="s">
        <v>245</v>
      </c>
      <c r="G36" s="11" t="s">
        <v>246</v>
      </c>
      <c r="H36" s="11" t="s">
        <v>94</v>
      </c>
      <c r="I36" s="11" t="s">
        <v>84</v>
      </c>
      <c r="J36" s="11" t="s">
        <v>390</v>
      </c>
      <c r="K36" s="25">
        <v>1</v>
      </c>
      <c r="L36" s="25">
        <v>350</v>
      </c>
      <c r="M36" s="29">
        <v>0</v>
      </c>
      <c r="N36" s="25">
        <v>350</v>
      </c>
      <c r="O36" s="25">
        <v>246.13</v>
      </c>
      <c r="P36" s="25">
        <v>103.87</v>
      </c>
      <c r="Q36" s="21">
        <v>29.68</v>
      </c>
      <c r="R36" s="11" t="s">
        <v>61</v>
      </c>
      <c r="S36" s="11" t="s">
        <v>42</v>
      </c>
      <c r="T36" s="11" t="s">
        <v>86</v>
      </c>
      <c r="U36" s="11" t="s">
        <v>64</v>
      </c>
      <c r="V36" s="11">
        <v>2024</v>
      </c>
      <c r="W36" s="11" t="s">
        <v>126</v>
      </c>
      <c r="X36" s="11">
        <v>4</v>
      </c>
      <c r="Y36" s="10">
        <v>45455</v>
      </c>
      <c r="Z36" s="11" t="s">
        <v>110</v>
      </c>
      <c r="AA36" s="11" t="s">
        <v>48</v>
      </c>
      <c r="AB36" s="11" t="s">
        <v>49</v>
      </c>
      <c r="AC36" s="11" t="s">
        <v>121</v>
      </c>
      <c r="AD36" s="11">
        <v>5</v>
      </c>
      <c r="AE36" s="11" t="s">
        <v>2213</v>
      </c>
      <c r="AF36" s="11" t="s">
        <v>2210</v>
      </c>
      <c r="AG36" s="25"/>
      <c r="AH36" s="11"/>
      <c r="AI36" s="11"/>
      <c r="AJ36" s="11"/>
      <c r="AK36" s="11"/>
      <c r="AL36" s="11"/>
      <c r="AM36" s="11" t="str">
        <f t="shared" si="0"/>
        <v>Needs Improvement</v>
      </c>
      <c r="AN36" s="11" t="str" cm="1">
        <f t="array" ref="AN36">_xlfn.IFS(N36&lt;10000,"Low",N36&lt;30000,"Medium",N36&gt;=30000,"High")</f>
        <v>Low</v>
      </c>
      <c r="AO36" s="11" t="str">
        <f t="shared" si="1"/>
        <v>No</v>
      </c>
      <c r="AP36" s="11" t="str">
        <f t="shared" si="2"/>
        <v>Yes</v>
      </c>
      <c r="AQ36" s="11">
        <f t="shared" si="3"/>
        <v>0.29677142857142857</v>
      </c>
      <c r="AR36" s="33"/>
      <c r="AS36" s="33"/>
      <c r="AT36" s="33"/>
      <c r="AU36" s="33"/>
      <c r="AV36" s="33"/>
      <c r="AW36" s="33"/>
      <c r="AX36" s="33" t="str">
        <f t="shared" si="4"/>
        <v>Low</v>
      </c>
    </row>
    <row r="37" spans="1:50">
      <c r="A37" s="9" t="s">
        <v>1369</v>
      </c>
      <c r="B37" s="10">
        <v>45352</v>
      </c>
      <c r="C37" s="11" t="s">
        <v>1080</v>
      </c>
      <c r="D37" s="11" t="s">
        <v>1370</v>
      </c>
      <c r="E37" s="11" t="s">
        <v>55</v>
      </c>
      <c r="F37" s="11" t="s">
        <v>104</v>
      </c>
      <c r="G37" s="11" t="s">
        <v>104</v>
      </c>
      <c r="H37" s="11" t="s">
        <v>171</v>
      </c>
      <c r="I37" s="11" t="s">
        <v>59</v>
      </c>
      <c r="J37" s="11" t="s">
        <v>372</v>
      </c>
      <c r="K37" s="25">
        <v>5</v>
      </c>
      <c r="L37" s="25">
        <v>3000</v>
      </c>
      <c r="M37" s="29">
        <v>0.15</v>
      </c>
      <c r="N37" s="25">
        <v>12750</v>
      </c>
      <c r="O37" s="25">
        <v>9951.91</v>
      </c>
      <c r="P37" s="25">
        <v>2798.09</v>
      </c>
      <c r="Q37" s="21">
        <v>21.95</v>
      </c>
      <c r="R37" s="11" t="s">
        <v>106</v>
      </c>
      <c r="S37" s="11" t="s">
        <v>42</v>
      </c>
      <c r="T37" s="11" t="s">
        <v>107</v>
      </c>
      <c r="U37" s="11" t="s">
        <v>76</v>
      </c>
      <c r="V37" s="11">
        <v>2024</v>
      </c>
      <c r="W37" s="11" t="s">
        <v>134</v>
      </c>
      <c r="X37" s="11">
        <v>7</v>
      </c>
      <c r="Y37" s="10">
        <v>45566</v>
      </c>
      <c r="Z37" s="11" t="s">
        <v>47</v>
      </c>
      <c r="AA37" s="11" t="s">
        <v>67</v>
      </c>
      <c r="AB37" s="11" t="s">
        <v>78</v>
      </c>
      <c r="AC37" s="11" t="s">
        <v>50</v>
      </c>
      <c r="AD37" s="11">
        <v>5</v>
      </c>
      <c r="AE37" s="11" t="s">
        <v>2221</v>
      </c>
      <c r="AF37" s="11" t="s">
        <v>2217</v>
      </c>
      <c r="AG37" s="25"/>
      <c r="AH37" s="11"/>
      <c r="AI37" s="11"/>
      <c r="AJ37" s="11"/>
      <c r="AK37" s="11"/>
      <c r="AL37" s="11"/>
      <c r="AM37" s="11" t="str">
        <f t="shared" si="0"/>
        <v>Needs Improvement</v>
      </c>
      <c r="AN37" s="11" t="str" cm="1">
        <f t="array" ref="AN37">_xlfn.IFS(N37&lt;10000,"Low",N37&lt;30000,"Medium",N37&gt;=30000,"High")</f>
        <v>Medium</v>
      </c>
      <c r="AO37" s="11" t="str">
        <f t="shared" si="1"/>
        <v>No</v>
      </c>
      <c r="AP37" s="11" t="str">
        <f t="shared" si="2"/>
        <v>Yes</v>
      </c>
      <c r="AQ37" s="11">
        <f t="shared" si="3"/>
        <v>0.2194580392156863</v>
      </c>
      <c r="AR37" s="33"/>
      <c r="AS37" s="33"/>
      <c r="AT37" s="33"/>
      <c r="AU37" s="33"/>
      <c r="AV37" s="33"/>
      <c r="AW37" s="33"/>
      <c r="AX37" s="33" t="str">
        <f t="shared" si="4"/>
        <v>Low</v>
      </c>
    </row>
    <row r="38" spans="1:50">
      <c r="A38" s="9" t="s">
        <v>2115</v>
      </c>
      <c r="B38" s="10">
        <v>45352</v>
      </c>
      <c r="C38" s="11" t="s">
        <v>2116</v>
      </c>
      <c r="D38" s="11" t="s">
        <v>1551</v>
      </c>
      <c r="E38" s="11" t="s">
        <v>35</v>
      </c>
      <c r="F38" s="11" t="s">
        <v>131</v>
      </c>
      <c r="G38" s="11" t="s">
        <v>132</v>
      </c>
      <c r="H38" s="11" t="s">
        <v>94</v>
      </c>
      <c r="I38" s="11" t="s">
        <v>59</v>
      </c>
      <c r="J38" s="11" t="s">
        <v>372</v>
      </c>
      <c r="K38" s="25">
        <v>1</v>
      </c>
      <c r="L38" s="25">
        <v>3000</v>
      </c>
      <c r="M38" s="29">
        <v>0.2</v>
      </c>
      <c r="N38" s="25">
        <v>2400</v>
      </c>
      <c r="O38" s="25">
        <v>1860</v>
      </c>
      <c r="P38" s="25">
        <v>540</v>
      </c>
      <c r="Q38" s="21">
        <v>22.5</v>
      </c>
      <c r="R38" s="11" t="s">
        <v>61</v>
      </c>
      <c r="S38" s="11" t="s">
        <v>62</v>
      </c>
      <c r="T38" s="11" t="s">
        <v>107</v>
      </c>
      <c r="U38" s="11" t="s">
        <v>76</v>
      </c>
      <c r="V38" s="11">
        <v>2024</v>
      </c>
      <c r="W38" s="11" t="s">
        <v>134</v>
      </c>
      <c r="X38" s="11">
        <v>7</v>
      </c>
      <c r="Y38" s="10">
        <v>45566</v>
      </c>
      <c r="Z38" s="11" t="s">
        <v>110</v>
      </c>
      <c r="AA38" s="11" t="s">
        <v>90</v>
      </c>
      <c r="AB38" s="11" t="s">
        <v>49</v>
      </c>
      <c r="AC38" s="11" t="s">
        <v>50</v>
      </c>
      <c r="AD38" s="11">
        <v>5</v>
      </c>
      <c r="AE38" s="11" t="s">
        <v>2209</v>
      </c>
      <c r="AF38" s="11" t="s">
        <v>2228</v>
      </c>
      <c r="AG38" s="25"/>
      <c r="AH38" s="11"/>
      <c r="AI38" s="11"/>
      <c r="AJ38" s="11"/>
      <c r="AK38" s="11"/>
      <c r="AL38" s="11"/>
      <c r="AM38" s="11" t="str">
        <f t="shared" si="0"/>
        <v>Needs Improvement</v>
      </c>
      <c r="AN38" s="11" t="str" cm="1">
        <f t="array" ref="AN38">_xlfn.IFS(N38&lt;10000,"Low",N38&lt;30000,"Medium",N38&gt;=30000,"High")</f>
        <v>Low</v>
      </c>
      <c r="AO38" s="11" t="str">
        <f t="shared" si="1"/>
        <v>No</v>
      </c>
      <c r="AP38" s="11" t="str">
        <f t="shared" si="2"/>
        <v>No</v>
      </c>
      <c r="AQ38" s="11">
        <f t="shared" si="3"/>
        <v>0.22500000000000001</v>
      </c>
      <c r="AR38" s="33"/>
      <c r="AS38" s="33"/>
      <c r="AT38" s="33"/>
      <c r="AU38" s="33"/>
      <c r="AV38" s="33"/>
      <c r="AW38" s="33"/>
      <c r="AX38" s="33" t="str">
        <f t="shared" si="4"/>
        <v>Low</v>
      </c>
    </row>
    <row r="39" spans="1:50">
      <c r="A39" s="9" t="s">
        <v>1511</v>
      </c>
      <c r="B39" s="10">
        <v>45354</v>
      </c>
      <c r="C39" s="11" t="s">
        <v>985</v>
      </c>
      <c r="D39" s="11" t="s">
        <v>1170</v>
      </c>
      <c r="E39" s="11" t="s">
        <v>35</v>
      </c>
      <c r="F39" s="11" t="s">
        <v>144</v>
      </c>
      <c r="G39" s="11" t="s">
        <v>145</v>
      </c>
      <c r="H39" s="11" t="s">
        <v>94</v>
      </c>
      <c r="I39" s="11" t="s">
        <v>84</v>
      </c>
      <c r="J39" s="11" t="s">
        <v>85</v>
      </c>
      <c r="K39" s="25">
        <v>5</v>
      </c>
      <c r="L39" s="25">
        <v>100</v>
      </c>
      <c r="M39" s="29">
        <v>0.2</v>
      </c>
      <c r="N39" s="25">
        <v>400</v>
      </c>
      <c r="O39" s="25">
        <v>273.45999999999998</v>
      </c>
      <c r="P39" s="25">
        <v>126.54</v>
      </c>
      <c r="Q39" s="21">
        <v>31.64</v>
      </c>
      <c r="R39" s="11" t="s">
        <v>41</v>
      </c>
      <c r="S39" s="11" t="s">
        <v>62</v>
      </c>
      <c r="T39" s="11" t="s">
        <v>107</v>
      </c>
      <c r="U39" s="11" t="s">
        <v>178</v>
      </c>
      <c r="V39" s="11">
        <v>2024</v>
      </c>
      <c r="W39" s="11" t="s">
        <v>45</v>
      </c>
      <c r="X39" s="11">
        <v>4</v>
      </c>
      <c r="Y39" s="10">
        <v>45476</v>
      </c>
      <c r="Z39" s="11" t="s">
        <v>110</v>
      </c>
      <c r="AA39" s="11" t="s">
        <v>67</v>
      </c>
      <c r="AB39" s="11" t="s">
        <v>78</v>
      </c>
      <c r="AC39" s="11" t="s">
        <v>50</v>
      </c>
      <c r="AD39" s="11">
        <v>2</v>
      </c>
      <c r="AE39" s="11" t="s">
        <v>2227</v>
      </c>
      <c r="AF39" s="11" t="s">
        <v>2224</v>
      </c>
      <c r="AG39" s="25"/>
      <c r="AH39" s="11"/>
      <c r="AI39" s="11"/>
      <c r="AJ39" s="11"/>
      <c r="AK39" s="11"/>
      <c r="AL39" s="11"/>
      <c r="AM39" s="11" t="str">
        <f t="shared" si="0"/>
        <v>Good</v>
      </c>
      <c r="AN39" s="11" t="str" cm="1">
        <f t="array" ref="AN39">_xlfn.IFS(N39&lt;10000,"Low",N39&lt;30000,"Medium",N39&gt;=30000,"High")</f>
        <v>Low</v>
      </c>
      <c r="AO39" s="11" t="str">
        <f t="shared" si="1"/>
        <v>No</v>
      </c>
      <c r="AP39" s="11" t="str">
        <f t="shared" si="2"/>
        <v>No</v>
      </c>
      <c r="AQ39" s="11">
        <f t="shared" si="3"/>
        <v>0.31635000000000002</v>
      </c>
      <c r="AR39" s="33"/>
      <c r="AS39" s="33"/>
      <c r="AT39" s="33"/>
      <c r="AU39" s="33"/>
      <c r="AV39" s="33"/>
      <c r="AW39" s="33"/>
      <c r="AX39" s="33" t="str">
        <f t="shared" si="4"/>
        <v>Low</v>
      </c>
    </row>
    <row r="40" spans="1:50">
      <c r="A40" s="9" t="s">
        <v>726</v>
      </c>
      <c r="B40" s="10">
        <v>45355</v>
      </c>
      <c r="C40" s="11" t="s">
        <v>338</v>
      </c>
      <c r="D40" s="11" t="s">
        <v>268</v>
      </c>
      <c r="E40" s="11" t="s">
        <v>35</v>
      </c>
      <c r="F40" s="11" t="s">
        <v>116</v>
      </c>
      <c r="G40" s="11" t="s">
        <v>37</v>
      </c>
      <c r="H40" s="11" t="s">
        <v>58</v>
      </c>
      <c r="I40" s="11" t="s">
        <v>59</v>
      </c>
      <c r="J40" s="11" t="s">
        <v>328</v>
      </c>
      <c r="K40" s="25">
        <v>4</v>
      </c>
      <c r="L40" s="25">
        <v>1200</v>
      </c>
      <c r="M40" s="29">
        <v>0.05</v>
      </c>
      <c r="N40" s="25">
        <v>4560</v>
      </c>
      <c r="O40" s="25">
        <v>2995.86</v>
      </c>
      <c r="P40" s="25">
        <v>1564.14</v>
      </c>
      <c r="Q40" s="21">
        <v>34.299999999999997</v>
      </c>
      <c r="R40" s="11" t="s">
        <v>166</v>
      </c>
      <c r="S40" s="11" t="s">
        <v>62</v>
      </c>
      <c r="T40" s="11" t="s">
        <v>107</v>
      </c>
      <c r="U40" s="11" t="s">
        <v>44</v>
      </c>
      <c r="V40" s="11">
        <v>2024</v>
      </c>
      <c r="W40" s="11" t="s">
        <v>134</v>
      </c>
      <c r="X40" s="11">
        <v>4</v>
      </c>
      <c r="Y40" s="10">
        <v>45477</v>
      </c>
      <c r="Z40" s="11" t="s">
        <v>47</v>
      </c>
      <c r="AA40" s="11" t="s">
        <v>48</v>
      </c>
      <c r="AB40" s="11" t="s">
        <v>111</v>
      </c>
      <c r="AC40" s="11" t="s">
        <v>121</v>
      </c>
      <c r="AD40" s="11">
        <v>1</v>
      </c>
      <c r="AE40" s="11" t="s">
        <v>2218</v>
      </c>
      <c r="AF40" s="11" t="s">
        <v>2228</v>
      </c>
      <c r="AG40" s="25"/>
      <c r="AH40" s="11"/>
      <c r="AI40" s="11"/>
      <c r="AJ40" s="11"/>
      <c r="AK40" s="11"/>
      <c r="AL40" s="11"/>
      <c r="AM40" s="11" t="str">
        <f t="shared" si="0"/>
        <v>Good</v>
      </c>
      <c r="AN40" s="11" t="str" cm="1">
        <f t="array" ref="AN40">_xlfn.IFS(N40&lt;10000,"Low",N40&lt;30000,"Medium",N40&gt;=30000,"High")</f>
        <v>Low</v>
      </c>
      <c r="AO40" s="11" t="str">
        <f t="shared" si="1"/>
        <v>No</v>
      </c>
      <c r="AP40" s="11" t="str">
        <f t="shared" si="2"/>
        <v>No</v>
      </c>
      <c r="AQ40" s="11">
        <f t="shared" si="3"/>
        <v>0.34301315789473685</v>
      </c>
      <c r="AR40" s="33"/>
      <c r="AS40" s="33"/>
      <c r="AT40" s="33"/>
      <c r="AU40" s="33"/>
      <c r="AV40" s="33"/>
      <c r="AW40" s="33"/>
      <c r="AX40" s="33" t="str">
        <f t="shared" si="4"/>
        <v>Low</v>
      </c>
    </row>
    <row r="41" spans="1:50">
      <c r="A41" s="9" t="s">
        <v>762</v>
      </c>
      <c r="B41" s="10">
        <v>45355</v>
      </c>
      <c r="C41" s="11" t="s">
        <v>317</v>
      </c>
      <c r="D41" s="11" t="s">
        <v>763</v>
      </c>
      <c r="E41" s="11" t="s">
        <v>55</v>
      </c>
      <c r="F41" s="11" t="s">
        <v>36</v>
      </c>
      <c r="G41" s="11" t="s">
        <v>37</v>
      </c>
      <c r="H41" s="11" t="s">
        <v>58</v>
      </c>
      <c r="I41" s="11" t="s">
        <v>84</v>
      </c>
      <c r="J41" s="11" t="s">
        <v>290</v>
      </c>
      <c r="K41" s="25">
        <v>8</v>
      </c>
      <c r="L41" s="25">
        <v>500</v>
      </c>
      <c r="M41" s="29">
        <v>0.1</v>
      </c>
      <c r="N41" s="25">
        <v>3600</v>
      </c>
      <c r="O41" s="25">
        <v>2159.6999999999998</v>
      </c>
      <c r="P41" s="25">
        <v>1440.3</v>
      </c>
      <c r="Q41" s="21">
        <v>40.01</v>
      </c>
      <c r="R41" s="11" t="s">
        <v>61</v>
      </c>
      <c r="S41" s="11" t="s">
        <v>62</v>
      </c>
      <c r="T41" s="11" t="s">
        <v>138</v>
      </c>
      <c r="U41" s="11" t="s">
        <v>44</v>
      </c>
      <c r="V41" s="11">
        <v>2024</v>
      </c>
      <c r="W41" s="11" t="s">
        <v>134</v>
      </c>
      <c r="X41" s="11">
        <v>9</v>
      </c>
      <c r="Y41" s="10">
        <v>45630</v>
      </c>
      <c r="Z41" s="11" t="s">
        <v>110</v>
      </c>
      <c r="AA41" s="11" t="s">
        <v>67</v>
      </c>
      <c r="AB41" s="11" t="s">
        <v>49</v>
      </c>
      <c r="AC41" s="11" t="s">
        <v>50</v>
      </c>
      <c r="AD41" s="11">
        <v>5</v>
      </c>
      <c r="AE41" s="11" t="s">
        <v>159</v>
      </c>
      <c r="AF41" s="11" t="s">
        <v>2222</v>
      </c>
      <c r="AG41" s="25"/>
      <c r="AH41" s="11"/>
      <c r="AI41" s="11"/>
      <c r="AJ41" s="11"/>
      <c r="AK41" s="11"/>
      <c r="AL41" s="11"/>
      <c r="AM41" s="11" t="str">
        <f t="shared" si="0"/>
        <v>Good</v>
      </c>
      <c r="AN41" s="11" t="str" cm="1">
        <f t="array" ref="AN41">_xlfn.IFS(N41&lt;10000,"Low",N41&lt;30000,"Medium",N41&gt;=30000,"High")</f>
        <v>Low</v>
      </c>
      <c r="AO41" s="11" t="str">
        <f t="shared" si="1"/>
        <v>No</v>
      </c>
      <c r="AP41" s="11" t="str">
        <f t="shared" si="2"/>
        <v>No</v>
      </c>
      <c r="AQ41" s="11">
        <f t="shared" si="3"/>
        <v>0.40008333333333335</v>
      </c>
      <c r="AR41" s="33"/>
      <c r="AS41" s="33"/>
      <c r="AT41" s="33"/>
      <c r="AU41" s="33"/>
      <c r="AV41" s="33"/>
      <c r="AW41" s="33"/>
      <c r="AX41" s="33" t="str">
        <f t="shared" si="4"/>
        <v>Low</v>
      </c>
    </row>
    <row r="42" spans="1:50">
      <c r="A42" s="9" t="s">
        <v>680</v>
      </c>
      <c r="B42" s="10">
        <v>45356</v>
      </c>
      <c r="C42" s="11" t="s">
        <v>681</v>
      </c>
      <c r="D42" s="11" t="s">
        <v>682</v>
      </c>
      <c r="E42" s="11" t="s">
        <v>103</v>
      </c>
      <c r="F42" s="11" t="s">
        <v>149</v>
      </c>
      <c r="G42" s="11" t="s">
        <v>150</v>
      </c>
      <c r="H42" s="11" t="s">
        <v>58</v>
      </c>
      <c r="I42" s="11" t="s">
        <v>59</v>
      </c>
      <c r="J42" s="11" t="s">
        <v>133</v>
      </c>
      <c r="K42" s="25">
        <v>1</v>
      </c>
      <c r="L42" s="25">
        <v>500</v>
      </c>
      <c r="M42" s="29">
        <v>0.1</v>
      </c>
      <c r="N42" s="25">
        <v>450</v>
      </c>
      <c r="O42" s="25">
        <v>305.54000000000002</v>
      </c>
      <c r="P42" s="25">
        <v>144.46</v>
      </c>
      <c r="Q42" s="21">
        <v>32.1</v>
      </c>
      <c r="R42" s="11" t="s">
        <v>106</v>
      </c>
      <c r="S42" s="11" t="s">
        <v>62</v>
      </c>
      <c r="T42" s="11" t="s">
        <v>97</v>
      </c>
      <c r="U42" s="11" t="s">
        <v>119</v>
      </c>
      <c r="V42" s="11">
        <v>2024</v>
      </c>
      <c r="W42" s="11" t="s">
        <v>194</v>
      </c>
      <c r="X42" s="11">
        <v>7</v>
      </c>
      <c r="Y42" s="10">
        <v>45570</v>
      </c>
      <c r="Z42" s="11" t="s">
        <v>47</v>
      </c>
      <c r="AA42" s="11" t="s">
        <v>67</v>
      </c>
      <c r="AB42" s="11" t="s">
        <v>49</v>
      </c>
      <c r="AC42" s="11" t="s">
        <v>50</v>
      </c>
      <c r="AD42" s="11">
        <v>2</v>
      </c>
      <c r="AE42" s="11" t="s">
        <v>118</v>
      </c>
      <c r="AF42" s="11" t="s">
        <v>2224</v>
      </c>
      <c r="AG42" s="25"/>
      <c r="AH42" s="11"/>
      <c r="AI42" s="11"/>
      <c r="AJ42" s="11"/>
      <c r="AK42" s="11"/>
      <c r="AL42" s="11"/>
      <c r="AM42" s="11" t="str">
        <f t="shared" si="0"/>
        <v>Good</v>
      </c>
      <c r="AN42" s="11" t="str" cm="1">
        <f t="array" ref="AN42">_xlfn.IFS(N42&lt;10000,"Low",N42&lt;30000,"Medium",N42&gt;=30000,"High")</f>
        <v>Low</v>
      </c>
      <c r="AO42" s="11" t="str">
        <f t="shared" si="1"/>
        <v>No</v>
      </c>
      <c r="AP42" s="11" t="str">
        <f t="shared" si="2"/>
        <v>No</v>
      </c>
      <c r="AQ42" s="11">
        <f t="shared" si="3"/>
        <v>0.32102222222222226</v>
      </c>
      <c r="AR42" s="33"/>
      <c r="AS42" s="33"/>
      <c r="AT42" s="33"/>
      <c r="AU42" s="33"/>
      <c r="AV42" s="33"/>
      <c r="AW42" s="33"/>
      <c r="AX42" s="33" t="str">
        <f t="shared" si="4"/>
        <v>Low</v>
      </c>
    </row>
    <row r="43" spans="1:50">
      <c r="A43" s="9" t="s">
        <v>765</v>
      </c>
      <c r="B43" s="10">
        <v>45356</v>
      </c>
      <c r="C43" s="11" t="s">
        <v>766</v>
      </c>
      <c r="D43" s="11" t="s">
        <v>767</v>
      </c>
      <c r="E43" s="11" t="s">
        <v>35</v>
      </c>
      <c r="F43" s="11" t="s">
        <v>131</v>
      </c>
      <c r="G43" s="11" t="s">
        <v>132</v>
      </c>
      <c r="H43" s="11" t="s">
        <v>38</v>
      </c>
      <c r="I43" s="11" t="s">
        <v>59</v>
      </c>
      <c r="J43" s="11" t="s">
        <v>372</v>
      </c>
      <c r="K43" s="25">
        <v>10</v>
      </c>
      <c r="L43" s="25">
        <v>3000</v>
      </c>
      <c r="M43" s="29">
        <v>0.05</v>
      </c>
      <c r="N43" s="25">
        <v>28500</v>
      </c>
      <c r="O43" s="25">
        <v>22978.03</v>
      </c>
      <c r="P43" s="25">
        <v>5521.97</v>
      </c>
      <c r="Q43" s="21">
        <v>19.38</v>
      </c>
      <c r="R43" s="11" t="s">
        <v>106</v>
      </c>
      <c r="S43" s="11" t="s">
        <v>62</v>
      </c>
      <c r="T43" s="11" t="s">
        <v>173</v>
      </c>
      <c r="U43" s="11" t="s">
        <v>119</v>
      </c>
      <c r="V43" s="11">
        <v>2024</v>
      </c>
      <c r="W43" s="11" t="s">
        <v>194</v>
      </c>
      <c r="X43" s="11">
        <v>8</v>
      </c>
      <c r="Y43" s="10">
        <v>45601</v>
      </c>
      <c r="Z43" s="11" t="s">
        <v>47</v>
      </c>
      <c r="AA43" s="11" t="s">
        <v>48</v>
      </c>
      <c r="AB43" s="11" t="s">
        <v>78</v>
      </c>
      <c r="AC43" s="11" t="s">
        <v>121</v>
      </c>
      <c r="AD43" s="11">
        <v>2</v>
      </c>
      <c r="AE43" s="11" t="s">
        <v>86</v>
      </c>
      <c r="AF43" s="11" t="s">
        <v>2238</v>
      </c>
      <c r="AG43" s="25"/>
      <c r="AH43" s="11"/>
      <c r="AI43" s="11"/>
      <c r="AJ43" s="11"/>
      <c r="AK43" s="11"/>
      <c r="AL43" s="11"/>
      <c r="AM43" s="11" t="str">
        <f t="shared" si="0"/>
        <v>Needs Improvement</v>
      </c>
      <c r="AN43" s="11" t="str" cm="1">
        <f t="array" ref="AN43">_xlfn.IFS(N43&lt;10000,"Low",N43&lt;30000,"Medium",N43&gt;=30000,"High")</f>
        <v>Medium</v>
      </c>
      <c r="AO43" s="11" t="str">
        <f t="shared" si="1"/>
        <v>No</v>
      </c>
      <c r="AP43" s="11" t="str">
        <f t="shared" si="2"/>
        <v>No</v>
      </c>
      <c r="AQ43" s="11">
        <f t="shared" si="3"/>
        <v>0.19375333333333333</v>
      </c>
      <c r="AR43" s="33"/>
      <c r="AS43" s="33"/>
      <c r="AT43" s="33"/>
      <c r="AU43" s="33"/>
      <c r="AV43" s="33"/>
      <c r="AW43" s="33"/>
      <c r="AX43" s="33" t="str">
        <f t="shared" si="4"/>
        <v>Average</v>
      </c>
    </row>
    <row r="44" spans="1:50">
      <c r="A44" s="9" t="s">
        <v>1508</v>
      </c>
      <c r="B44" s="10">
        <v>45356</v>
      </c>
      <c r="C44" s="11" t="s">
        <v>1509</v>
      </c>
      <c r="D44" s="11" t="s">
        <v>1057</v>
      </c>
      <c r="E44" s="11" t="s">
        <v>103</v>
      </c>
      <c r="F44" s="11" t="s">
        <v>144</v>
      </c>
      <c r="G44" s="11" t="s">
        <v>145</v>
      </c>
      <c r="H44" s="11" t="s">
        <v>94</v>
      </c>
      <c r="I44" s="11" t="s">
        <v>71</v>
      </c>
      <c r="J44" s="11" t="s">
        <v>72</v>
      </c>
      <c r="K44" s="25">
        <v>2</v>
      </c>
      <c r="L44" s="25">
        <v>1200</v>
      </c>
      <c r="M44" s="29">
        <v>0.2</v>
      </c>
      <c r="N44" s="25">
        <v>1920</v>
      </c>
      <c r="O44" s="25">
        <v>1557.98</v>
      </c>
      <c r="P44" s="25">
        <v>362.02</v>
      </c>
      <c r="Q44" s="21">
        <v>18.86</v>
      </c>
      <c r="R44" s="11" t="s">
        <v>106</v>
      </c>
      <c r="S44" s="11" t="s">
        <v>74</v>
      </c>
      <c r="T44" s="11" t="s">
        <v>107</v>
      </c>
      <c r="U44" s="11" t="s">
        <v>119</v>
      </c>
      <c r="V44" s="11">
        <v>2024</v>
      </c>
      <c r="W44" s="11" t="s">
        <v>194</v>
      </c>
      <c r="X44" s="11">
        <v>1</v>
      </c>
      <c r="Y44" s="10">
        <v>45387</v>
      </c>
      <c r="Z44" s="11" t="s">
        <v>89</v>
      </c>
      <c r="AA44" s="11" t="s">
        <v>48</v>
      </c>
      <c r="AB44" s="11" t="s">
        <v>78</v>
      </c>
      <c r="AC44" s="11" t="s">
        <v>50</v>
      </c>
      <c r="AD44" s="11">
        <v>4</v>
      </c>
      <c r="AE44" s="11" t="s">
        <v>86</v>
      </c>
      <c r="AF44" s="11" t="s">
        <v>2212</v>
      </c>
      <c r="AG44" s="25"/>
      <c r="AH44" s="11"/>
      <c r="AI44" s="11"/>
      <c r="AJ44" s="11"/>
      <c r="AK44" s="11"/>
      <c r="AL44" s="11"/>
      <c r="AM44" s="11" t="str">
        <f t="shared" si="0"/>
        <v>Needs Improvement</v>
      </c>
      <c r="AN44" s="11" t="str" cm="1">
        <f t="array" ref="AN44">_xlfn.IFS(N44&lt;10000,"Low",N44&lt;30000,"Medium",N44&gt;=30000,"High")</f>
        <v>Low</v>
      </c>
      <c r="AO44" s="11" t="str">
        <f t="shared" si="1"/>
        <v>No</v>
      </c>
      <c r="AP44" s="11" t="str">
        <f t="shared" si="2"/>
        <v>Yes</v>
      </c>
      <c r="AQ44" s="11">
        <f t="shared" si="3"/>
        <v>0.18855208333333331</v>
      </c>
      <c r="AR44" s="33"/>
      <c r="AS44" s="33"/>
      <c r="AT44" s="33"/>
      <c r="AU44" s="33"/>
      <c r="AV44" s="33"/>
      <c r="AW44" s="33"/>
      <c r="AX44" s="33" t="str">
        <f t="shared" si="4"/>
        <v>Low</v>
      </c>
    </row>
    <row r="45" spans="1:50">
      <c r="A45" s="9" t="s">
        <v>226</v>
      </c>
      <c r="B45" s="10">
        <v>45357</v>
      </c>
      <c r="C45" s="11" t="s">
        <v>227</v>
      </c>
      <c r="D45" s="11" t="s">
        <v>228</v>
      </c>
      <c r="E45" s="11" t="s">
        <v>55</v>
      </c>
      <c r="F45" s="11" t="s">
        <v>116</v>
      </c>
      <c r="G45" s="11" t="s">
        <v>37</v>
      </c>
      <c r="H45" s="11" t="s">
        <v>171</v>
      </c>
      <c r="I45" s="11" t="s">
        <v>84</v>
      </c>
      <c r="J45" s="11" t="s">
        <v>229</v>
      </c>
      <c r="K45" s="25">
        <v>9</v>
      </c>
      <c r="L45" s="25">
        <v>100</v>
      </c>
      <c r="M45" s="29">
        <v>0.05</v>
      </c>
      <c r="N45" s="25">
        <v>855</v>
      </c>
      <c r="O45" s="25">
        <v>630.45000000000005</v>
      </c>
      <c r="P45" s="25">
        <v>224.55</v>
      </c>
      <c r="Q45" s="21">
        <v>26.26</v>
      </c>
      <c r="R45" s="11" t="s">
        <v>41</v>
      </c>
      <c r="S45" s="11" t="s">
        <v>62</v>
      </c>
      <c r="T45" s="11" t="s">
        <v>75</v>
      </c>
      <c r="U45" s="11" t="s">
        <v>160</v>
      </c>
      <c r="V45" s="11">
        <v>2024</v>
      </c>
      <c r="W45" s="11" t="s">
        <v>126</v>
      </c>
      <c r="X45" s="11">
        <v>4</v>
      </c>
      <c r="Y45" s="10">
        <v>45479</v>
      </c>
      <c r="Z45" s="11" t="s">
        <v>110</v>
      </c>
      <c r="AA45" s="11" t="s">
        <v>90</v>
      </c>
      <c r="AB45" s="11" t="s">
        <v>49</v>
      </c>
      <c r="AC45" s="11" t="s">
        <v>50</v>
      </c>
      <c r="AD45" s="11">
        <v>4</v>
      </c>
      <c r="AE45" s="11" t="s">
        <v>2237</v>
      </c>
      <c r="AF45" s="11" t="s">
        <v>2223</v>
      </c>
      <c r="AG45" s="25"/>
      <c r="AH45" s="11"/>
      <c r="AI45" s="11"/>
      <c r="AJ45" s="11"/>
      <c r="AK45" s="11"/>
      <c r="AL45" s="11"/>
      <c r="AM45" s="11" t="str">
        <f t="shared" si="0"/>
        <v>Needs Improvement</v>
      </c>
      <c r="AN45" s="11" t="str" cm="1">
        <f t="array" ref="AN45">_xlfn.IFS(N45&lt;10000,"Low",N45&lt;30000,"Medium",N45&gt;=30000,"High")</f>
        <v>Low</v>
      </c>
      <c r="AO45" s="11" t="str">
        <f t="shared" si="1"/>
        <v>No</v>
      </c>
      <c r="AP45" s="11" t="str">
        <f t="shared" si="2"/>
        <v>No</v>
      </c>
      <c r="AQ45" s="11">
        <f t="shared" si="3"/>
        <v>0.26263157894736844</v>
      </c>
      <c r="AR45" s="33"/>
      <c r="AS45" s="33"/>
      <c r="AT45" s="33"/>
      <c r="AU45" s="33"/>
      <c r="AV45" s="33"/>
      <c r="AW45" s="33"/>
      <c r="AX45" s="33" t="str">
        <f t="shared" si="4"/>
        <v>Low</v>
      </c>
    </row>
    <row r="46" spans="1:50">
      <c r="A46" s="9" t="s">
        <v>1317</v>
      </c>
      <c r="B46" s="10">
        <v>45357</v>
      </c>
      <c r="C46" s="11" t="s">
        <v>338</v>
      </c>
      <c r="D46" s="11" t="s">
        <v>148</v>
      </c>
      <c r="E46" s="11" t="s">
        <v>55</v>
      </c>
      <c r="F46" s="11" t="s">
        <v>116</v>
      </c>
      <c r="G46" s="11" t="s">
        <v>37</v>
      </c>
      <c r="H46" s="11" t="s">
        <v>58</v>
      </c>
      <c r="I46" s="11" t="s">
        <v>84</v>
      </c>
      <c r="J46" s="11" t="s">
        <v>229</v>
      </c>
      <c r="K46" s="25">
        <v>1</v>
      </c>
      <c r="L46" s="25">
        <v>800</v>
      </c>
      <c r="M46" s="29">
        <v>0.1</v>
      </c>
      <c r="N46" s="25">
        <v>720</v>
      </c>
      <c r="O46" s="25">
        <v>526.15</v>
      </c>
      <c r="P46" s="25">
        <v>193.85</v>
      </c>
      <c r="Q46" s="21">
        <v>26.92</v>
      </c>
      <c r="R46" s="11" t="s">
        <v>106</v>
      </c>
      <c r="S46" s="11" t="s">
        <v>42</v>
      </c>
      <c r="T46" s="11" t="s">
        <v>63</v>
      </c>
      <c r="U46" s="11" t="s">
        <v>160</v>
      </c>
      <c r="V46" s="11">
        <v>2024</v>
      </c>
      <c r="W46" s="11" t="s">
        <v>126</v>
      </c>
      <c r="X46" s="11">
        <v>9</v>
      </c>
      <c r="Y46" s="10">
        <v>45632</v>
      </c>
      <c r="Z46" s="11" t="s">
        <v>89</v>
      </c>
      <c r="AA46" s="11" t="s">
        <v>90</v>
      </c>
      <c r="AB46" s="11" t="s">
        <v>111</v>
      </c>
      <c r="AC46" s="11" t="s">
        <v>121</v>
      </c>
      <c r="AD46" s="11">
        <v>5</v>
      </c>
      <c r="AE46" s="11" t="s">
        <v>2239</v>
      </c>
      <c r="AF46" s="11" t="s">
        <v>2238</v>
      </c>
      <c r="AG46" s="25"/>
      <c r="AH46" s="11"/>
      <c r="AI46" s="11"/>
      <c r="AJ46" s="11"/>
      <c r="AK46" s="11"/>
      <c r="AL46" s="11"/>
      <c r="AM46" s="11" t="str">
        <f t="shared" si="0"/>
        <v>Needs Improvement</v>
      </c>
      <c r="AN46" s="11" t="str" cm="1">
        <f t="array" ref="AN46">_xlfn.IFS(N46&lt;10000,"Low",N46&lt;30000,"Medium",N46&gt;=30000,"High")</f>
        <v>Low</v>
      </c>
      <c r="AO46" s="11" t="str">
        <f t="shared" si="1"/>
        <v>No</v>
      </c>
      <c r="AP46" s="11" t="str">
        <f t="shared" si="2"/>
        <v>Yes</v>
      </c>
      <c r="AQ46" s="11">
        <f t="shared" si="3"/>
        <v>0.26923611111111112</v>
      </c>
      <c r="AR46" s="33"/>
      <c r="AS46" s="33"/>
      <c r="AT46" s="33"/>
      <c r="AU46" s="33"/>
      <c r="AV46" s="33"/>
      <c r="AW46" s="33"/>
      <c r="AX46" s="33" t="str">
        <f t="shared" si="4"/>
        <v>Low</v>
      </c>
    </row>
    <row r="47" spans="1:50">
      <c r="A47" s="9" t="s">
        <v>1748</v>
      </c>
      <c r="B47" s="10">
        <v>45359</v>
      </c>
      <c r="C47" s="11" t="s">
        <v>633</v>
      </c>
      <c r="D47" s="11" t="s">
        <v>1749</v>
      </c>
      <c r="E47" s="11" t="s">
        <v>103</v>
      </c>
      <c r="F47" s="11" t="s">
        <v>82</v>
      </c>
      <c r="G47" s="11" t="s">
        <v>83</v>
      </c>
      <c r="H47" s="11" t="s">
        <v>94</v>
      </c>
      <c r="I47" s="11" t="s">
        <v>71</v>
      </c>
      <c r="J47" s="11" t="s">
        <v>240</v>
      </c>
      <c r="K47" s="25">
        <v>3</v>
      </c>
      <c r="L47" s="25">
        <v>1200</v>
      </c>
      <c r="M47" s="29">
        <v>0.15</v>
      </c>
      <c r="N47" s="25">
        <v>3060</v>
      </c>
      <c r="O47" s="25">
        <v>1955.67</v>
      </c>
      <c r="P47" s="25">
        <v>1104.33</v>
      </c>
      <c r="Q47" s="21">
        <v>36.090000000000003</v>
      </c>
      <c r="R47" s="11" t="s">
        <v>73</v>
      </c>
      <c r="S47" s="11" t="s">
        <v>62</v>
      </c>
      <c r="T47" s="11" t="s">
        <v>97</v>
      </c>
      <c r="U47" s="11" t="s">
        <v>218</v>
      </c>
      <c r="V47" s="11">
        <v>2024</v>
      </c>
      <c r="W47" s="11" t="s">
        <v>65</v>
      </c>
      <c r="X47" s="11">
        <v>5</v>
      </c>
      <c r="Y47" s="10">
        <v>45512</v>
      </c>
      <c r="Z47" s="11" t="s">
        <v>47</v>
      </c>
      <c r="AA47" s="11" t="s">
        <v>67</v>
      </c>
      <c r="AB47" s="11" t="s">
        <v>111</v>
      </c>
      <c r="AC47" s="11" t="s">
        <v>50</v>
      </c>
      <c r="AD47" s="11">
        <v>3</v>
      </c>
      <c r="AE47" s="11" t="s">
        <v>2239</v>
      </c>
      <c r="AF47" s="11" t="s">
        <v>2230</v>
      </c>
      <c r="AG47" s="25"/>
      <c r="AH47" s="11"/>
      <c r="AI47" s="11"/>
      <c r="AJ47" s="11"/>
      <c r="AK47" s="11"/>
      <c r="AL47" s="11"/>
      <c r="AM47" s="11" t="str">
        <f t="shared" si="0"/>
        <v>Good</v>
      </c>
      <c r="AN47" s="11" t="str" cm="1">
        <f t="array" ref="AN47">_xlfn.IFS(N47&lt;10000,"Low",N47&lt;30000,"Medium",N47&gt;=30000,"High")</f>
        <v>Low</v>
      </c>
      <c r="AO47" s="11" t="str">
        <f t="shared" si="1"/>
        <v>No</v>
      </c>
      <c r="AP47" s="11" t="str">
        <f t="shared" si="2"/>
        <v>No</v>
      </c>
      <c r="AQ47" s="11">
        <f t="shared" si="3"/>
        <v>0.36089215686274506</v>
      </c>
      <c r="AR47" s="33"/>
      <c r="AS47" s="33"/>
      <c r="AT47" s="33"/>
      <c r="AU47" s="33"/>
      <c r="AV47" s="33"/>
      <c r="AW47" s="33"/>
      <c r="AX47" s="33" t="str">
        <f t="shared" si="4"/>
        <v>Low</v>
      </c>
    </row>
    <row r="48" spans="1:50">
      <c r="A48" s="9" t="s">
        <v>1838</v>
      </c>
      <c r="B48" s="10">
        <v>45359</v>
      </c>
      <c r="C48" s="11" t="s">
        <v>1230</v>
      </c>
      <c r="D48" s="11" t="s">
        <v>413</v>
      </c>
      <c r="E48" s="11" t="s">
        <v>55</v>
      </c>
      <c r="F48" s="11" t="s">
        <v>245</v>
      </c>
      <c r="G48" s="11" t="s">
        <v>246</v>
      </c>
      <c r="H48" s="11" t="s">
        <v>38</v>
      </c>
      <c r="I48" s="11" t="s">
        <v>71</v>
      </c>
      <c r="J48" s="11" t="s">
        <v>172</v>
      </c>
      <c r="K48" s="25">
        <v>1</v>
      </c>
      <c r="L48" s="25">
        <v>3500</v>
      </c>
      <c r="M48" s="29">
        <v>0.05</v>
      </c>
      <c r="N48" s="25">
        <v>3325</v>
      </c>
      <c r="O48" s="25">
        <v>2339.39</v>
      </c>
      <c r="P48" s="25">
        <v>985.61</v>
      </c>
      <c r="Q48" s="21">
        <v>29.64</v>
      </c>
      <c r="R48" s="11" t="s">
        <v>61</v>
      </c>
      <c r="S48" s="11" t="s">
        <v>62</v>
      </c>
      <c r="T48" s="11" t="s">
        <v>86</v>
      </c>
      <c r="U48" s="11" t="s">
        <v>218</v>
      </c>
      <c r="V48" s="11">
        <v>2024</v>
      </c>
      <c r="W48" s="11" t="s">
        <v>65</v>
      </c>
      <c r="X48" s="11">
        <v>6</v>
      </c>
      <c r="Y48" s="10">
        <v>45543</v>
      </c>
      <c r="Z48" s="11" t="s">
        <v>47</v>
      </c>
      <c r="AA48" s="11" t="s">
        <v>48</v>
      </c>
      <c r="AB48" s="11" t="s">
        <v>49</v>
      </c>
      <c r="AC48" s="11" t="s">
        <v>50</v>
      </c>
      <c r="AD48" s="11">
        <v>4</v>
      </c>
      <c r="AE48" s="11" t="s">
        <v>2216</v>
      </c>
      <c r="AF48" s="11" t="s">
        <v>2217</v>
      </c>
      <c r="AG48" s="25"/>
      <c r="AH48" s="11"/>
      <c r="AI48" s="11"/>
      <c r="AJ48" s="11"/>
      <c r="AK48" s="11"/>
      <c r="AL48" s="11"/>
      <c r="AM48" s="11" t="str">
        <f t="shared" si="0"/>
        <v>Needs Improvement</v>
      </c>
      <c r="AN48" s="11" t="str" cm="1">
        <f t="array" ref="AN48">_xlfn.IFS(N48&lt;10000,"Low",N48&lt;30000,"Medium",N48&gt;=30000,"High")</f>
        <v>Low</v>
      </c>
      <c r="AO48" s="11" t="str">
        <f t="shared" si="1"/>
        <v>No</v>
      </c>
      <c r="AP48" s="11" t="str">
        <f t="shared" si="2"/>
        <v>No</v>
      </c>
      <c r="AQ48" s="11">
        <f t="shared" si="3"/>
        <v>0.29642406015037592</v>
      </c>
      <c r="AR48" s="33"/>
      <c r="AS48" s="33"/>
      <c r="AT48" s="33"/>
      <c r="AU48" s="33"/>
      <c r="AV48" s="33"/>
      <c r="AW48" s="33"/>
      <c r="AX48" s="33" t="str">
        <f t="shared" si="4"/>
        <v>Low</v>
      </c>
    </row>
    <row r="49" spans="1:50">
      <c r="A49" s="9" t="s">
        <v>690</v>
      </c>
      <c r="B49" s="10">
        <v>45360</v>
      </c>
      <c r="C49" s="11" t="s">
        <v>691</v>
      </c>
      <c r="D49" s="11" t="s">
        <v>692</v>
      </c>
      <c r="E49" s="11" t="s">
        <v>55</v>
      </c>
      <c r="F49" s="11" t="s">
        <v>116</v>
      </c>
      <c r="G49" s="11" t="s">
        <v>37</v>
      </c>
      <c r="H49" s="11" t="s">
        <v>38</v>
      </c>
      <c r="I49" s="11" t="s">
        <v>39</v>
      </c>
      <c r="J49" s="11" t="s">
        <v>105</v>
      </c>
      <c r="K49" s="25">
        <v>8</v>
      </c>
      <c r="L49" s="25">
        <v>22000</v>
      </c>
      <c r="M49" s="29">
        <v>0</v>
      </c>
      <c r="N49" s="25">
        <v>176000</v>
      </c>
      <c r="O49" s="25">
        <v>100174.49</v>
      </c>
      <c r="P49" s="25">
        <v>75825.509999999995</v>
      </c>
      <c r="Q49" s="21">
        <v>43.08</v>
      </c>
      <c r="R49" s="11" t="s">
        <v>166</v>
      </c>
      <c r="S49" s="11" t="s">
        <v>42</v>
      </c>
      <c r="T49" s="11" t="s">
        <v>75</v>
      </c>
      <c r="U49" s="11" t="s">
        <v>108</v>
      </c>
      <c r="V49" s="11">
        <v>2024</v>
      </c>
      <c r="W49" s="11" t="s">
        <v>109</v>
      </c>
      <c r="X49" s="11">
        <v>8</v>
      </c>
      <c r="Y49" s="10">
        <v>45605</v>
      </c>
      <c r="Z49" s="11" t="s">
        <v>89</v>
      </c>
      <c r="AA49" s="11" t="s">
        <v>67</v>
      </c>
      <c r="AB49" s="11" t="s">
        <v>111</v>
      </c>
      <c r="AC49" s="11" t="s">
        <v>121</v>
      </c>
      <c r="AD49" s="11">
        <v>4</v>
      </c>
      <c r="AE49" s="11" t="s">
        <v>159</v>
      </c>
      <c r="AF49" s="11" t="s">
        <v>2230</v>
      </c>
      <c r="AG49" s="25"/>
      <c r="AH49" s="11"/>
      <c r="AI49" s="11"/>
      <c r="AJ49" s="11"/>
      <c r="AK49" s="11"/>
      <c r="AL49" s="11"/>
      <c r="AM49" s="11" t="str">
        <f t="shared" si="0"/>
        <v>Good</v>
      </c>
      <c r="AN49" s="11" t="str" cm="1">
        <f t="array" ref="AN49">_xlfn.IFS(N49&lt;10000,"Low",N49&lt;30000,"Medium",N49&gt;=30000,"High")</f>
        <v>High</v>
      </c>
      <c r="AO49" s="11" t="str">
        <f t="shared" si="1"/>
        <v>Yes</v>
      </c>
      <c r="AP49" s="11" t="str">
        <f t="shared" si="2"/>
        <v>Yes</v>
      </c>
      <c r="AQ49" s="11">
        <f t="shared" si="3"/>
        <v>0.43082676136363635</v>
      </c>
      <c r="AR49" s="33"/>
      <c r="AS49" s="33"/>
      <c r="AT49" s="33"/>
      <c r="AU49" s="33"/>
      <c r="AV49" s="33"/>
      <c r="AW49" s="33"/>
      <c r="AX49" s="33" t="str">
        <f t="shared" si="4"/>
        <v>Excellent</v>
      </c>
    </row>
    <row r="50" spans="1:50">
      <c r="A50" s="9" t="s">
        <v>2074</v>
      </c>
      <c r="B50" s="10">
        <v>45360</v>
      </c>
      <c r="C50" s="11" t="s">
        <v>1281</v>
      </c>
      <c r="D50" s="11" t="s">
        <v>843</v>
      </c>
      <c r="E50" s="11" t="s">
        <v>103</v>
      </c>
      <c r="F50" s="11" t="s">
        <v>144</v>
      </c>
      <c r="G50" s="11" t="s">
        <v>145</v>
      </c>
      <c r="H50" s="11" t="s">
        <v>94</v>
      </c>
      <c r="I50" s="11" t="s">
        <v>39</v>
      </c>
      <c r="J50" s="11" t="s">
        <v>165</v>
      </c>
      <c r="K50" s="25">
        <v>8</v>
      </c>
      <c r="L50" s="25">
        <v>22000</v>
      </c>
      <c r="M50" s="29">
        <v>0.2</v>
      </c>
      <c r="N50" s="25">
        <v>140800</v>
      </c>
      <c r="O50" s="25">
        <v>79458.52</v>
      </c>
      <c r="P50" s="25">
        <v>61341.48</v>
      </c>
      <c r="Q50" s="21">
        <v>43.57</v>
      </c>
      <c r="R50" s="11" t="s">
        <v>73</v>
      </c>
      <c r="S50" s="11" t="s">
        <v>74</v>
      </c>
      <c r="T50" s="11" t="s">
        <v>138</v>
      </c>
      <c r="U50" s="11" t="s">
        <v>108</v>
      </c>
      <c r="V50" s="11">
        <v>2024</v>
      </c>
      <c r="W50" s="11" t="s">
        <v>109</v>
      </c>
      <c r="X50" s="11">
        <v>2</v>
      </c>
      <c r="Y50" s="10">
        <v>45421</v>
      </c>
      <c r="Z50" s="11" t="s">
        <v>110</v>
      </c>
      <c r="AA50" s="11" t="s">
        <v>48</v>
      </c>
      <c r="AB50" s="11" t="s">
        <v>49</v>
      </c>
      <c r="AC50" s="11" t="s">
        <v>121</v>
      </c>
      <c r="AD50" s="11">
        <v>4</v>
      </c>
      <c r="AE50" s="11" t="s">
        <v>2239</v>
      </c>
      <c r="AF50" s="11" t="s">
        <v>2224</v>
      </c>
      <c r="AG50" s="25"/>
      <c r="AH50" s="11"/>
      <c r="AI50" s="11"/>
      <c r="AJ50" s="11"/>
      <c r="AK50" s="11"/>
      <c r="AL50" s="11"/>
      <c r="AM50" s="11" t="str">
        <f t="shared" si="0"/>
        <v>Good</v>
      </c>
      <c r="AN50" s="11" t="str" cm="1">
        <f t="array" ref="AN50">_xlfn.IFS(N50&lt;10000,"Low",N50&lt;30000,"Medium",N50&gt;=30000,"High")</f>
        <v>High</v>
      </c>
      <c r="AO50" s="11" t="str">
        <f t="shared" si="1"/>
        <v>Yes</v>
      </c>
      <c r="AP50" s="11" t="str">
        <f t="shared" si="2"/>
        <v>Yes</v>
      </c>
      <c r="AQ50" s="11">
        <f t="shared" si="3"/>
        <v>0.43566392045454549</v>
      </c>
      <c r="AR50" s="33"/>
      <c r="AS50" s="33"/>
      <c r="AT50" s="33"/>
      <c r="AU50" s="33"/>
      <c r="AV50" s="33"/>
      <c r="AW50" s="33"/>
      <c r="AX50" s="33" t="str">
        <f t="shared" si="4"/>
        <v>Excellent</v>
      </c>
    </row>
    <row r="51" spans="1:50">
      <c r="A51" s="9" t="s">
        <v>1515</v>
      </c>
      <c r="B51" s="10">
        <v>45361</v>
      </c>
      <c r="C51" s="11" t="s">
        <v>1468</v>
      </c>
      <c r="D51" s="11" t="s">
        <v>1043</v>
      </c>
      <c r="E51" s="11" t="s">
        <v>35</v>
      </c>
      <c r="F51" s="11" t="s">
        <v>149</v>
      </c>
      <c r="G51" s="11" t="s">
        <v>150</v>
      </c>
      <c r="H51" s="11" t="s">
        <v>171</v>
      </c>
      <c r="I51" s="11" t="s">
        <v>84</v>
      </c>
      <c r="J51" s="11" t="s">
        <v>390</v>
      </c>
      <c r="K51" s="25">
        <v>3</v>
      </c>
      <c r="L51" s="25">
        <v>350</v>
      </c>
      <c r="M51" s="29">
        <v>0.05</v>
      </c>
      <c r="N51" s="25">
        <v>997.5</v>
      </c>
      <c r="O51" s="25">
        <v>815.13</v>
      </c>
      <c r="P51" s="25">
        <v>182.37</v>
      </c>
      <c r="Q51" s="21">
        <v>18.28</v>
      </c>
      <c r="R51" s="11" t="s">
        <v>41</v>
      </c>
      <c r="S51" s="11" t="s">
        <v>62</v>
      </c>
      <c r="T51" s="11" t="s">
        <v>97</v>
      </c>
      <c r="U51" s="11" t="s">
        <v>87</v>
      </c>
      <c r="V51" s="11">
        <v>2024</v>
      </c>
      <c r="W51" s="11" t="s">
        <v>139</v>
      </c>
      <c r="X51" s="11">
        <v>1</v>
      </c>
      <c r="Y51" s="10">
        <v>45392</v>
      </c>
      <c r="Z51" s="11" t="s">
        <v>47</v>
      </c>
      <c r="AA51" s="11" t="s">
        <v>90</v>
      </c>
      <c r="AB51" s="11" t="s">
        <v>111</v>
      </c>
      <c r="AC51" s="11" t="s">
        <v>50</v>
      </c>
      <c r="AD51" s="11">
        <v>2</v>
      </c>
      <c r="AE51" s="11" t="s">
        <v>2240</v>
      </c>
      <c r="AF51" s="11" t="s">
        <v>2224</v>
      </c>
      <c r="AG51" s="25"/>
      <c r="AH51" s="11"/>
      <c r="AI51" s="11"/>
      <c r="AJ51" s="11"/>
      <c r="AK51" s="11"/>
      <c r="AL51" s="11"/>
      <c r="AM51" s="11" t="str">
        <f t="shared" si="0"/>
        <v>Needs Improvement</v>
      </c>
      <c r="AN51" s="11" t="str" cm="1">
        <f t="array" ref="AN51">_xlfn.IFS(N51&lt;10000,"Low",N51&lt;30000,"Medium",N51&gt;=30000,"High")</f>
        <v>Low</v>
      </c>
      <c r="AO51" s="11" t="str">
        <f t="shared" si="1"/>
        <v>No</v>
      </c>
      <c r="AP51" s="11" t="str">
        <f t="shared" si="2"/>
        <v>No</v>
      </c>
      <c r="AQ51" s="11">
        <f t="shared" si="3"/>
        <v>0.18282706766917295</v>
      </c>
      <c r="AR51" s="33"/>
      <c r="AS51" s="33"/>
      <c r="AT51" s="33"/>
      <c r="AU51" s="33"/>
      <c r="AV51" s="33"/>
      <c r="AW51" s="33"/>
      <c r="AX51" s="33" t="str">
        <f t="shared" si="4"/>
        <v>Low</v>
      </c>
    </row>
    <row r="52" spans="1:50">
      <c r="A52" s="9" t="s">
        <v>605</v>
      </c>
      <c r="B52" s="10">
        <v>45362</v>
      </c>
      <c r="C52" s="11" t="s">
        <v>606</v>
      </c>
      <c r="D52" s="11" t="s">
        <v>607</v>
      </c>
      <c r="E52" s="11" t="s">
        <v>55</v>
      </c>
      <c r="F52" s="11" t="s">
        <v>82</v>
      </c>
      <c r="G52" s="11" t="s">
        <v>83</v>
      </c>
      <c r="H52" s="11" t="s">
        <v>58</v>
      </c>
      <c r="I52" s="11" t="s">
        <v>71</v>
      </c>
      <c r="J52" s="11" t="s">
        <v>158</v>
      </c>
      <c r="K52" s="25">
        <v>10</v>
      </c>
      <c r="L52" s="25">
        <v>1200</v>
      </c>
      <c r="M52" s="29">
        <v>0.05</v>
      </c>
      <c r="N52" s="25">
        <v>11400</v>
      </c>
      <c r="O52" s="25">
        <v>6557.79</v>
      </c>
      <c r="P52" s="25">
        <v>4842.21</v>
      </c>
      <c r="Q52" s="21">
        <v>42.48</v>
      </c>
      <c r="R52" s="11" t="s">
        <v>106</v>
      </c>
      <c r="S52" s="11" t="s">
        <v>42</v>
      </c>
      <c r="T52" s="11" t="s">
        <v>118</v>
      </c>
      <c r="U52" s="11" t="s">
        <v>198</v>
      </c>
      <c r="V52" s="11">
        <v>2024</v>
      </c>
      <c r="W52" s="11" t="s">
        <v>45</v>
      </c>
      <c r="X52" s="11">
        <v>2</v>
      </c>
      <c r="Y52" s="10">
        <v>45423</v>
      </c>
      <c r="Z52" s="11" t="s">
        <v>47</v>
      </c>
      <c r="AA52" s="11" t="s">
        <v>90</v>
      </c>
      <c r="AB52" s="11" t="s">
        <v>78</v>
      </c>
      <c r="AC52" s="11" t="s">
        <v>50</v>
      </c>
      <c r="AD52" s="11">
        <v>3</v>
      </c>
      <c r="AE52" s="11" t="s">
        <v>118</v>
      </c>
      <c r="AF52" s="11" t="s">
        <v>2210</v>
      </c>
      <c r="AG52" s="25"/>
      <c r="AH52" s="11"/>
      <c r="AI52" s="11"/>
      <c r="AJ52" s="11"/>
      <c r="AK52" s="11"/>
      <c r="AL52" s="11"/>
      <c r="AM52" s="11" t="str">
        <f t="shared" si="0"/>
        <v>Good</v>
      </c>
      <c r="AN52" s="11" t="str" cm="1">
        <f t="array" ref="AN52">_xlfn.IFS(N52&lt;10000,"Low",N52&lt;30000,"Medium",N52&gt;=30000,"High")</f>
        <v>Medium</v>
      </c>
      <c r="AO52" s="11" t="str">
        <f t="shared" si="1"/>
        <v>No</v>
      </c>
      <c r="AP52" s="11" t="str">
        <f t="shared" si="2"/>
        <v>Yes</v>
      </c>
      <c r="AQ52" s="11">
        <f t="shared" si="3"/>
        <v>0.42475526315789475</v>
      </c>
      <c r="AR52" s="33"/>
      <c r="AS52" s="33"/>
      <c r="AT52" s="33"/>
      <c r="AU52" s="33"/>
      <c r="AV52" s="33"/>
      <c r="AW52" s="33"/>
      <c r="AX52" s="33" t="str">
        <f t="shared" si="4"/>
        <v>Low</v>
      </c>
    </row>
    <row r="53" spans="1:50">
      <c r="A53" s="9" t="s">
        <v>642</v>
      </c>
      <c r="B53" s="10">
        <v>45362</v>
      </c>
      <c r="C53" s="11" t="s">
        <v>421</v>
      </c>
      <c r="D53" s="11" t="s">
        <v>643</v>
      </c>
      <c r="E53" s="11" t="s">
        <v>35</v>
      </c>
      <c r="F53" s="11" t="s">
        <v>56</v>
      </c>
      <c r="G53" s="11" t="s">
        <v>57</v>
      </c>
      <c r="H53" s="11" t="s">
        <v>38</v>
      </c>
      <c r="I53" s="11" t="s">
        <v>39</v>
      </c>
      <c r="J53" s="11" t="s">
        <v>253</v>
      </c>
      <c r="K53" s="25">
        <v>8</v>
      </c>
      <c r="L53" s="25">
        <v>15000</v>
      </c>
      <c r="M53" s="29">
        <v>0</v>
      </c>
      <c r="N53" s="25">
        <v>120000</v>
      </c>
      <c r="O53" s="25">
        <v>66731.759999999995</v>
      </c>
      <c r="P53" s="25">
        <v>53268.24</v>
      </c>
      <c r="Q53" s="21">
        <v>44.39</v>
      </c>
      <c r="R53" s="11" t="s">
        <v>41</v>
      </c>
      <c r="S53" s="11" t="s">
        <v>74</v>
      </c>
      <c r="T53" s="11" t="s">
        <v>107</v>
      </c>
      <c r="U53" s="11" t="s">
        <v>198</v>
      </c>
      <c r="V53" s="11">
        <v>2024</v>
      </c>
      <c r="W53" s="11" t="s">
        <v>45</v>
      </c>
      <c r="X53" s="11">
        <v>1</v>
      </c>
      <c r="Y53" s="10">
        <v>45393</v>
      </c>
      <c r="Z53" s="11" t="s">
        <v>47</v>
      </c>
      <c r="AA53" s="11" t="s">
        <v>90</v>
      </c>
      <c r="AB53" s="11" t="s">
        <v>78</v>
      </c>
      <c r="AC53" s="11" t="s">
        <v>50</v>
      </c>
      <c r="AD53" s="11">
        <v>4</v>
      </c>
      <c r="AE53" s="11" t="s">
        <v>2209</v>
      </c>
      <c r="AF53" s="11" t="s">
        <v>2235</v>
      </c>
      <c r="AG53" s="25"/>
      <c r="AH53" s="11"/>
      <c r="AI53" s="11"/>
      <c r="AJ53" s="11"/>
      <c r="AK53" s="11"/>
      <c r="AL53" s="11"/>
      <c r="AM53" s="11" t="str">
        <f t="shared" si="0"/>
        <v>Good</v>
      </c>
      <c r="AN53" s="11" t="str" cm="1">
        <f t="array" ref="AN53">_xlfn.IFS(N53&lt;10000,"Low",N53&lt;30000,"Medium",N53&gt;=30000,"High")</f>
        <v>High</v>
      </c>
      <c r="AO53" s="11" t="str">
        <f t="shared" si="1"/>
        <v>Yes</v>
      </c>
      <c r="AP53" s="11" t="str">
        <f t="shared" si="2"/>
        <v>Yes</v>
      </c>
      <c r="AQ53" s="11">
        <f t="shared" si="3"/>
        <v>0.44390199999999996</v>
      </c>
      <c r="AR53" s="33"/>
      <c r="AS53" s="33"/>
      <c r="AT53" s="33"/>
      <c r="AU53" s="33"/>
      <c r="AV53" s="33"/>
      <c r="AW53" s="33"/>
      <c r="AX53" s="33" t="str">
        <f t="shared" si="4"/>
        <v>Excellent</v>
      </c>
    </row>
    <row r="54" spans="1:50">
      <c r="A54" s="9" t="s">
        <v>1852</v>
      </c>
      <c r="B54" s="10">
        <v>45362</v>
      </c>
      <c r="C54" s="11" t="s">
        <v>402</v>
      </c>
      <c r="D54" s="11" t="s">
        <v>1386</v>
      </c>
      <c r="E54" s="11" t="s">
        <v>55</v>
      </c>
      <c r="F54" s="11" t="s">
        <v>36</v>
      </c>
      <c r="G54" s="11" t="s">
        <v>37</v>
      </c>
      <c r="H54" s="11" t="s">
        <v>171</v>
      </c>
      <c r="I54" s="11" t="s">
        <v>84</v>
      </c>
      <c r="J54" s="11" t="s">
        <v>390</v>
      </c>
      <c r="K54" s="25">
        <v>3</v>
      </c>
      <c r="L54" s="25">
        <v>200</v>
      </c>
      <c r="M54" s="29">
        <v>0.2</v>
      </c>
      <c r="N54" s="25">
        <v>480</v>
      </c>
      <c r="O54" s="25">
        <v>278.38</v>
      </c>
      <c r="P54" s="25">
        <v>201.62</v>
      </c>
      <c r="Q54" s="21">
        <v>42</v>
      </c>
      <c r="R54" s="11" t="s">
        <v>106</v>
      </c>
      <c r="S54" s="11" t="s">
        <v>62</v>
      </c>
      <c r="T54" s="11" t="s">
        <v>63</v>
      </c>
      <c r="U54" s="11" t="s">
        <v>198</v>
      </c>
      <c r="V54" s="11">
        <v>2024</v>
      </c>
      <c r="W54" s="11" t="s">
        <v>45</v>
      </c>
      <c r="X54" s="11">
        <v>7</v>
      </c>
      <c r="Y54" s="10">
        <v>45576</v>
      </c>
      <c r="Z54" s="11" t="s">
        <v>47</v>
      </c>
      <c r="AA54" s="11" t="s">
        <v>67</v>
      </c>
      <c r="AB54" s="11" t="s">
        <v>49</v>
      </c>
      <c r="AC54" s="11" t="s">
        <v>50</v>
      </c>
      <c r="AD54" s="11">
        <v>2</v>
      </c>
      <c r="AE54" s="11" t="s">
        <v>86</v>
      </c>
      <c r="AF54" s="11" t="s">
        <v>2235</v>
      </c>
      <c r="AG54" s="25"/>
      <c r="AH54" s="11"/>
      <c r="AI54" s="11"/>
      <c r="AJ54" s="11"/>
      <c r="AK54" s="11"/>
      <c r="AL54" s="11"/>
      <c r="AM54" s="11" t="str">
        <f t="shared" si="0"/>
        <v>Good</v>
      </c>
      <c r="AN54" s="11" t="str" cm="1">
        <f t="array" ref="AN54">_xlfn.IFS(N54&lt;10000,"Low",N54&lt;30000,"Medium",N54&gt;=30000,"High")</f>
        <v>Low</v>
      </c>
      <c r="AO54" s="11" t="str">
        <f t="shared" si="1"/>
        <v>No</v>
      </c>
      <c r="AP54" s="11" t="str">
        <f t="shared" si="2"/>
        <v>No</v>
      </c>
      <c r="AQ54" s="11">
        <f t="shared" si="3"/>
        <v>0.4200416666666667</v>
      </c>
      <c r="AR54" s="33"/>
      <c r="AS54" s="33"/>
      <c r="AT54" s="33"/>
      <c r="AU54" s="33"/>
      <c r="AV54" s="33"/>
      <c r="AW54" s="33"/>
      <c r="AX54" s="33" t="str">
        <f t="shared" si="4"/>
        <v>Low</v>
      </c>
    </row>
    <row r="55" spans="1:50">
      <c r="A55" s="9" t="s">
        <v>625</v>
      </c>
      <c r="B55" s="10">
        <v>45363</v>
      </c>
      <c r="C55" s="11" t="s">
        <v>626</v>
      </c>
      <c r="D55" s="11" t="s">
        <v>627</v>
      </c>
      <c r="E55" s="11" t="s">
        <v>55</v>
      </c>
      <c r="F55" s="11" t="s">
        <v>116</v>
      </c>
      <c r="G55" s="11" t="s">
        <v>37</v>
      </c>
      <c r="H55" s="11" t="s">
        <v>171</v>
      </c>
      <c r="I55" s="11" t="s">
        <v>39</v>
      </c>
      <c r="J55" s="11" t="s">
        <v>253</v>
      </c>
      <c r="K55" s="25">
        <v>6</v>
      </c>
      <c r="L55" s="25">
        <v>35000</v>
      </c>
      <c r="M55" s="29">
        <v>0.15</v>
      </c>
      <c r="N55" s="25">
        <v>178500</v>
      </c>
      <c r="O55" s="25">
        <v>118928.55</v>
      </c>
      <c r="P55" s="25">
        <v>59571.45</v>
      </c>
      <c r="Q55" s="21">
        <v>33.369999999999997</v>
      </c>
      <c r="R55" s="11" t="s">
        <v>41</v>
      </c>
      <c r="S55" s="11" t="s">
        <v>42</v>
      </c>
      <c r="T55" s="11" t="s">
        <v>86</v>
      </c>
      <c r="U55" s="11" t="s">
        <v>64</v>
      </c>
      <c r="V55" s="11">
        <v>2024</v>
      </c>
      <c r="W55" s="11" t="s">
        <v>109</v>
      </c>
      <c r="X55" s="11">
        <v>8</v>
      </c>
      <c r="Y55" s="10">
        <v>45608</v>
      </c>
      <c r="Z55" s="11" t="s">
        <v>47</v>
      </c>
      <c r="AA55" s="11" t="s">
        <v>67</v>
      </c>
      <c r="AB55" s="11" t="s">
        <v>78</v>
      </c>
      <c r="AC55" s="11" t="s">
        <v>121</v>
      </c>
      <c r="AD55" s="11">
        <v>4</v>
      </c>
      <c r="AE55" s="11" t="s">
        <v>2234</v>
      </c>
      <c r="AF55" s="11" t="s">
        <v>2222</v>
      </c>
      <c r="AG55" s="25"/>
      <c r="AH55" s="11"/>
      <c r="AI55" s="11"/>
      <c r="AJ55" s="11"/>
      <c r="AK55" s="11"/>
      <c r="AL55" s="11"/>
      <c r="AM55" s="11" t="str">
        <f t="shared" si="0"/>
        <v>Good</v>
      </c>
      <c r="AN55" s="11" t="str" cm="1">
        <f t="array" ref="AN55">_xlfn.IFS(N55&lt;10000,"Low",N55&lt;30000,"Medium",N55&gt;=30000,"High")</f>
        <v>High</v>
      </c>
      <c r="AO55" s="11" t="str">
        <f t="shared" si="1"/>
        <v>Yes</v>
      </c>
      <c r="AP55" s="11" t="str">
        <f t="shared" si="2"/>
        <v>Yes</v>
      </c>
      <c r="AQ55" s="11">
        <f t="shared" si="3"/>
        <v>0.33373361344537811</v>
      </c>
      <c r="AR55" s="33"/>
      <c r="AS55" s="33"/>
      <c r="AT55" s="33"/>
      <c r="AU55" s="33"/>
      <c r="AV55" s="33"/>
      <c r="AW55" s="33"/>
      <c r="AX55" s="33" t="str">
        <f t="shared" si="4"/>
        <v>Excellent</v>
      </c>
    </row>
    <row r="56" spans="1:50">
      <c r="A56" s="9" t="s">
        <v>1857</v>
      </c>
      <c r="B56" s="10">
        <v>45383</v>
      </c>
      <c r="C56" s="11" t="s">
        <v>124</v>
      </c>
      <c r="D56" s="11" t="s">
        <v>197</v>
      </c>
      <c r="E56" s="11" t="s">
        <v>103</v>
      </c>
      <c r="F56" s="11" t="s">
        <v>149</v>
      </c>
      <c r="G56" s="11" t="s">
        <v>150</v>
      </c>
      <c r="H56" s="11" t="s">
        <v>38</v>
      </c>
      <c r="I56" s="11" t="s">
        <v>39</v>
      </c>
      <c r="J56" s="11" t="s">
        <v>105</v>
      </c>
      <c r="K56" s="25">
        <v>2</v>
      </c>
      <c r="L56" s="25">
        <v>50000</v>
      </c>
      <c r="M56" s="29">
        <v>0</v>
      </c>
      <c r="N56" s="25">
        <v>100000</v>
      </c>
      <c r="O56" s="25">
        <v>60675.91</v>
      </c>
      <c r="P56" s="25">
        <v>39324.089999999997</v>
      </c>
      <c r="Q56" s="21">
        <v>39.32</v>
      </c>
      <c r="R56" s="11" t="s">
        <v>166</v>
      </c>
      <c r="S56" s="11" t="s">
        <v>74</v>
      </c>
      <c r="T56" s="11" t="s">
        <v>138</v>
      </c>
      <c r="U56" s="11" t="s">
        <v>76</v>
      </c>
      <c r="V56" s="11">
        <v>2024</v>
      </c>
      <c r="W56" s="11" t="s">
        <v>139</v>
      </c>
      <c r="X56" s="11">
        <v>7</v>
      </c>
      <c r="Y56" s="10">
        <v>45597</v>
      </c>
      <c r="Z56" s="11" t="s">
        <v>47</v>
      </c>
      <c r="AA56" s="11" t="s">
        <v>48</v>
      </c>
      <c r="AB56" s="11" t="s">
        <v>111</v>
      </c>
      <c r="AC56" s="11" t="s">
        <v>121</v>
      </c>
      <c r="AD56" s="11">
        <v>4</v>
      </c>
      <c r="AE56" s="11" t="s">
        <v>118</v>
      </c>
      <c r="AF56" s="11" t="s">
        <v>2236</v>
      </c>
      <c r="AG56" s="25"/>
      <c r="AH56" s="11"/>
      <c r="AI56" s="11"/>
      <c r="AJ56" s="11"/>
      <c r="AK56" s="11"/>
      <c r="AL56" s="11"/>
      <c r="AM56" s="11" t="str">
        <f t="shared" si="0"/>
        <v>Good</v>
      </c>
      <c r="AN56" s="11" t="str" cm="1">
        <f t="array" ref="AN56">_xlfn.IFS(N56&lt;10000,"Low",N56&lt;30000,"Medium",N56&gt;=30000,"High")</f>
        <v>High</v>
      </c>
      <c r="AO56" s="11" t="str">
        <f t="shared" si="1"/>
        <v>Yes</v>
      </c>
      <c r="AP56" s="11" t="str">
        <f t="shared" si="2"/>
        <v>Yes</v>
      </c>
      <c r="AQ56" s="11">
        <f t="shared" si="3"/>
        <v>0.39324089999999995</v>
      </c>
      <c r="AR56" s="33"/>
      <c r="AS56" s="33"/>
      <c r="AT56" s="33"/>
      <c r="AU56" s="33"/>
      <c r="AV56" s="33"/>
      <c r="AW56" s="33"/>
      <c r="AX56" s="33" t="str">
        <f t="shared" si="4"/>
        <v>Excellent</v>
      </c>
    </row>
    <row r="57" spans="1:50">
      <c r="A57" s="9" t="s">
        <v>341</v>
      </c>
      <c r="B57" s="10">
        <v>45384</v>
      </c>
      <c r="C57" s="11" t="s">
        <v>342</v>
      </c>
      <c r="D57" s="11" t="s">
        <v>343</v>
      </c>
      <c r="E57" s="11" t="s">
        <v>103</v>
      </c>
      <c r="F57" s="11" t="s">
        <v>116</v>
      </c>
      <c r="G57" s="11" t="s">
        <v>37</v>
      </c>
      <c r="H57" s="11" t="s">
        <v>94</v>
      </c>
      <c r="I57" s="11" t="s">
        <v>95</v>
      </c>
      <c r="J57" s="11" t="s">
        <v>344</v>
      </c>
      <c r="K57" s="25">
        <v>1</v>
      </c>
      <c r="L57" s="25">
        <v>6000</v>
      </c>
      <c r="M57" s="29">
        <v>0.15</v>
      </c>
      <c r="N57" s="25">
        <v>5100</v>
      </c>
      <c r="O57" s="25">
        <v>3813.46</v>
      </c>
      <c r="P57" s="25">
        <v>1286.54</v>
      </c>
      <c r="Q57" s="21">
        <v>25.23</v>
      </c>
      <c r="R57" s="11" t="s">
        <v>73</v>
      </c>
      <c r="S57" s="11" t="s">
        <v>74</v>
      </c>
      <c r="T57" s="11" t="s">
        <v>118</v>
      </c>
      <c r="U57" s="11" t="s">
        <v>98</v>
      </c>
      <c r="V57" s="11">
        <v>2024</v>
      </c>
      <c r="W57" s="11" t="s">
        <v>45</v>
      </c>
      <c r="X57" s="11">
        <v>10</v>
      </c>
      <c r="Y57" s="10" t="s">
        <v>345</v>
      </c>
      <c r="Z57" s="11" t="s">
        <v>47</v>
      </c>
      <c r="AA57" s="11" t="s">
        <v>48</v>
      </c>
      <c r="AB57" s="11" t="s">
        <v>78</v>
      </c>
      <c r="AC57" s="11" t="s">
        <v>50</v>
      </c>
      <c r="AD57" s="11">
        <v>2</v>
      </c>
      <c r="AE57" s="11" t="s">
        <v>2218</v>
      </c>
      <c r="AF57" s="11" t="s">
        <v>2236</v>
      </c>
      <c r="AG57" s="25"/>
      <c r="AH57" s="11"/>
      <c r="AI57" s="11"/>
      <c r="AJ57" s="11"/>
      <c r="AK57" s="11"/>
      <c r="AL57" s="11"/>
      <c r="AM57" s="11" t="str">
        <f t="shared" si="0"/>
        <v>Needs Improvement</v>
      </c>
      <c r="AN57" s="11" t="str" cm="1">
        <f t="array" ref="AN57">_xlfn.IFS(N57&lt;10000,"Low",N57&lt;30000,"Medium",N57&gt;=30000,"High")</f>
        <v>Low</v>
      </c>
      <c r="AO57" s="11" t="str">
        <f t="shared" si="1"/>
        <v>No</v>
      </c>
      <c r="AP57" s="11" t="str">
        <f t="shared" si="2"/>
        <v>Yes</v>
      </c>
      <c r="AQ57" s="11">
        <f t="shared" si="3"/>
        <v>0.2522627450980392</v>
      </c>
      <c r="AR57" s="33"/>
      <c r="AS57" s="33"/>
      <c r="AT57" s="33"/>
      <c r="AU57" s="33"/>
      <c r="AV57" s="33"/>
      <c r="AW57" s="33"/>
      <c r="AX57" s="33" t="str">
        <f t="shared" si="4"/>
        <v>Low</v>
      </c>
    </row>
    <row r="58" spans="1:50">
      <c r="A58" s="9" t="s">
        <v>753</v>
      </c>
      <c r="B58" s="10">
        <v>45384</v>
      </c>
      <c r="C58" s="11" t="s">
        <v>754</v>
      </c>
      <c r="D58" s="11" t="s">
        <v>623</v>
      </c>
      <c r="E58" s="11" t="s">
        <v>35</v>
      </c>
      <c r="F58" s="11" t="s">
        <v>56</v>
      </c>
      <c r="G58" s="11" t="s">
        <v>57</v>
      </c>
      <c r="H58" s="11" t="s">
        <v>94</v>
      </c>
      <c r="I58" s="11" t="s">
        <v>59</v>
      </c>
      <c r="J58" s="11" t="s">
        <v>206</v>
      </c>
      <c r="K58" s="25">
        <v>3</v>
      </c>
      <c r="L58" s="25">
        <v>2000</v>
      </c>
      <c r="M58" s="29">
        <v>0</v>
      </c>
      <c r="N58" s="25">
        <v>6000</v>
      </c>
      <c r="O58" s="25">
        <v>3816.32</v>
      </c>
      <c r="P58" s="25">
        <v>2183.6799999999998</v>
      </c>
      <c r="Q58" s="21">
        <v>36.39</v>
      </c>
      <c r="R58" s="11" t="s">
        <v>73</v>
      </c>
      <c r="S58" s="11" t="s">
        <v>42</v>
      </c>
      <c r="T58" s="11" t="s">
        <v>173</v>
      </c>
      <c r="U58" s="11" t="s">
        <v>98</v>
      </c>
      <c r="V58" s="11">
        <v>2024</v>
      </c>
      <c r="W58" s="11" t="s">
        <v>45</v>
      </c>
      <c r="X58" s="11">
        <v>5</v>
      </c>
      <c r="Y58" s="10">
        <v>45537</v>
      </c>
      <c r="Z58" s="11" t="s">
        <v>47</v>
      </c>
      <c r="AA58" s="11" t="s">
        <v>48</v>
      </c>
      <c r="AB58" s="11" t="s">
        <v>49</v>
      </c>
      <c r="AC58" s="11" t="s">
        <v>50</v>
      </c>
      <c r="AD58" s="11">
        <v>5</v>
      </c>
      <c r="AE58" s="11" t="s">
        <v>2237</v>
      </c>
      <c r="AF58" s="11" t="s">
        <v>2236</v>
      </c>
      <c r="AG58" s="25"/>
      <c r="AH58" s="11"/>
      <c r="AI58" s="11"/>
      <c r="AJ58" s="11"/>
      <c r="AK58" s="11"/>
      <c r="AL58" s="11"/>
      <c r="AM58" s="11" t="str">
        <f t="shared" si="0"/>
        <v>Good</v>
      </c>
      <c r="AN58" s="11" t="str" cm="1">
        <f t="array" ref="AN58">_xlfn.IFS(N58&lt;10000,"Low",N58&lt;30000,"Medium",N58&gt;=30000,"High")</f>
        <v>Low</v>
      </c>
      <c r="AO58" s="11" t="str">
        <f t="shared" si="1"/>
        <v>No</v>
      </c>
      <c r="AP58" s="11" t="str">
        <f t="shared" si="2"/>
        <v>Yes</v>
      </c>
      <c r="AQ58" s="11">
        <f t="shared" si="3"/>
        <v>0.36394666666666664</v>
      </c>
      <c r="AR58" s="33"/>
      <c r="AS58" s="33"/>
      <c r="AT58" s="33"/>
      <c r="AU58" s="33"/>
      <c r="AV58" s="33"/>
      <c r="AW58" s="33"/>
      <c r="AX58" s="33" t="str">
        <f t="shared" si="4"/>
        <v>Low</v>
      </c>
    </row>
    <row r="59" spans="1:50">
      <c r="A59" s="9" t="s">
        <v>1620</v>
      </c>
      <c r="B59" s="10">
        <v>45384</v>
      </c>
      <c r="C59" s="11" t="s">
        <v>1621</v>
      </c>
      <c r="D59" s="11" t="s">
        <v>1112</v>
      </c>
      <c r="E59" s="11" t="s">
        <v>103</v>
      </c>
      <c r="F59" s="11" t="s">
        <v>36</v>
      </c>
      <c r="G59" s="11" t="s">
        <v>37</v>
      </c>
      <c r="H59" s="11" t="s">
        <v>94</v>
      </c>
      <c r="I59" s="11" t="s">
        <v>59</v>
      </c>
      <c r="J59" s="11" t="s">
        <v>133</v>
      </c>
      <c r="K59" s="25">
        <v>1</v>
      </c>
      <c r="L59" s="25">
        <v>3000</v>
      </c>
      <c r="M59" s="29">
        <v>0.1</v>
      </c>
      <c r="N59" s="25">
        <v>2700</v>
      </c>
      <c r="O59" s="25">
        <v>1516.08</v>
      </c>
      <c r="P59" s="25">
        <v>1183.92</v>
      </c>
      <c r="Q59" s="21">
        <v>43.85</v>
      </c>
      <c r="R59" s="11" t="s">
        <v>61</v>
      </c>
      <c r="S59" s="11" t="s">
        <v>74</v>
      </c>
      <c r="T59" s="11" t="s">
        <v>118</v>
      </c>
      <c r="U59" s="11" t="s">
        <v>98</v>
      </c>
      <c r="V59" s="11">
        <v>2024</v>
      </c>
      <c r="W59" s="11" t="s">
        <v>45</v>
      </c>
      <c r="X59" s="11">
        <v>10</v>
      </c>
      <c r="Y59" s="10" t="s">
        <v>345</v>
      </c>
      <c r="Z59" s="11" t="s">
        <v>110</v>
      </c>
      <c r="AA59" s="11" t="s">
        <v>67</v>
      </c>
      <c r="AB59" s="11" t="s">
        <v>111</v>
      </c>
      <c r="AC59" s="11" t="s">
        <v>121</v>
      </c>
      <c r="AD59" s="11">
        <v>3</v>
      </c>
      <c r="AE59" s="11" t="s">
        <v>2233</v>
      </c>
      <c r="AF59" s="11" t="s">
        <v>2219</v>
      </c>
      <c r="AG59" s="25"/>
      <c r="AH59" s="11"/>
      <c r="AI59" s="11"/>
      <c r="AJ59" s="11"/>
      <c r="AK59" s="11"/>
      <c r="AL59" s="11"/>
      <c r="AM59" s="11" t="str">
        <f t="shared" si="0"/>
        <v>Good</v>
      </c>
      <c r="AN59" s="11" t="str" cm="1">
        <f t="array" ref="AN59">_xlfn.IFS(N59&lt;10000,"Low",N59&lt;30000,"Medium",N59&gt;=30000,"High")</f>
        <v>Low</v>
      </c>
      <c r="AO59" s="11" t="str">
        <f t="shared" si="1"/>
        <v>No</v>
      </c>
      <c r="AP59" s="11" t="str">
        <f t="shared" si="2"/>
        <v>Yes</v>
      </c>
      <c r="AQ59" s="11">
        <f t="shared" si="3"/>
        <v>0.43848888888888893</v>
      </c>
      <c r="AR59" s="33"/>
      <c r="AS59" s="33"/>
      <c r="AT59" s="33"/>
      <c r="AU59" s="33"/>
      <c r="AV59" s="33"/>
      <c r="AW59" s="33"/>
      <c r="AX59" s="33" t="str">
        <f t="shared" si="4"/>
        <v>Low</v>
      </c>
    </row>
    <row r="60" spans="1:50">
      <c r="A60" s="9" t="s">
        <v>420</v>
      </c>
      <c r="B60" s="10">
        <v>45385</v>
      </c>
      <c r="C60" s="11" t="s">
        <v>421</v>
      </c>
      <c r="D60" s="11" t="s">
        <v>422</v>
      </c>
      <c r="E60" s="11" t="s">
        <v>103</v>
      </c>
      <c r="F60" s="11" t="s">
        <v>149</v>
      </c>
      <c r="G60" s="11" t="s">
        <v>150</v>
      </c>
      <c r="H60" s="11" t="s">
        <v>38</v>
      </c>
      <c r="I60" s="11" t="s">
        <v>84</v>
      </c>
      <c r="J60" s="11" t="s">
        <v>217</v>
      </c>
      <c r="K60" s="25">
        <v>8</v>
      </c>
      <c r="L60" s="25">
        <v>800</v>
      </c>
      <c r="M60" s="29">
        <v>0.05</v>
      </c>
      <c r="N60" s="25">
        <v>6080</v>
      </c>
      <c r="O60" s="25">
        <v>4675.28</v>
      </c>
      <c r="P60" s="25">
        <v>1404.72</v>
      </c>
      <c r="Q60" s="21">
        <v>23.1</v>
      </c>
      <c r="R60" s="11" t="s">
        <v>106</v>
      </c>
      <c r="S60" s="11" t="s">
        <v>74</v>
      </c>
      <c r="T60" s="11" t="s">
        <v>138</v>
      </c>
      <c r="U60" s="11" t="s">
        <v>178</v>
      </c>
      <c r="V60" s="11">
        <v>2024</v>
      </c>
      <c r="W60" s="11" t="s">
        <v>126</v>
      </c>
      <c r="X60" s="11">
        <v>8</v>
      </c>
      <c r="Y60" s="10">
        <v>45629</v>
      </c>
      <c r="Z60" s="11" t="s">
        <v>47</v>
      </c>
      <c r="AA60" s="11" t="s">
        <v>67</v>
      </c>
      <c r="AB60" s="11" t="s">
        <v>111</v>
      </c>
      <c r="AC60" s="11" t="s">
        <v>121</v>
      </c>
      <c r="AD60" s="11">
        <v>3</v>
      </c>
      <c r="AE60" s="11" t="s">
        <v>2237</v>
      </c>
      <c r="AF60" s="11" t="s">
        <v>2210</v>
      </c>
      <c r="AG60" s="25"/>
      <c r="AH60" s="11"/>
      <c r="AI60" s="11"/>
      <c r="AJ60" s="11"/>
      <c r="AK60" s="11"/>
      <c r="AL60" s="11"/>
      <c r="AM60" s="11" t="str">
        <f t="shared" si="0"/>
        <v>Needs Improvement</v>
      </c>
      <c r="AN60" s="11" t="str" cm="1">
        <f t="array" ref="AN60">_xlfn.IFS(N60&lt;10000,"Low",N60&lt;30000,"Medium",N60&gt;=30000,"High")</f>
        <v>Low</v>
      </c>
      <c r="AO60" s="11" t="str">
        <f t="shared" si="1"/>
        <v>No</v>
      </c>
      <c r="AP60" s="11" t="str">
        <f t="shared" si="2"/>
        <v>Yes</v>
      </c>
      <c r="AQ60" s="11">
        <f t="shared" si="3"/>
        <v>0.23103947368421054</v>
      </c>
      <c r="AR60" s="33"/>
      <c r="AS60" s="33"/>
      <c r="AT60" s="33"/>
      <c r="AU60" s="33"/>
      <c r="AV60" s="33"/>
      <c r="AW60" s="33"/>
      <c r="AX60" s="33" t="str">
        <f t="shared" si="4"/>
        <v>Low</v>
      </c>
    </row>
    <row r="61" spans="1:50">
      <c r="A61" s="9" t="s">
        <v>1534</v>
      </c>
      <c r="B61" s="10">
        <v>45386</v>
      </c>
      <c r="C61" s="11" t="s">
        <v>1535</v>
      </c>
      <c r="D61" s="11" t="s">
        <v>758</v>
      </c>
      <c r="E61" s="11" t="s">
        <v>103</v>
      </c>
      <c r="F61" s="11" t="s">
        <v>131</v>
      </c>
      <c r="G61" s="11" t="s">
        <v>132</v>
      </c>
      <c r="H61" s="11" t="s">
        <v>58</v>
      </c>
      <c r="I61" s="11" t="s">
        <v>84</v>
      </c>
      <c r="J61" s="11" t="s">
        <v>85</v>
      </c>
      <c r="K61" s="25">
        <v>7</v>
      </c>
      <c r="L61" s="25">
        <v>200</v>
      </c>
      <c r="M61" s="29">
        <v>0.1</v>
      </c>
      <c r="N61" s="25">
        <v>1260</v>
      </c>
      <c r="O61" s="25">
        <v>1025.69</v>
      </c>
      <c r="P61" s="25">
        <v>234.31</v>
      </c>
      <c r="Q61" s="21">
        <v>18.600000000000001</v>
      </c>
      <c r="R61" s="11" t="s">
        <v>73</v>
      </c>
      <c r="S61" s="11" t="s">
        <v>62</v>
      </c>
      <c r="T61" s="11" t="s">
        <v>118</v>
      </c>
      <c r="U61" s="11" t="s">
        <v>44</v>
      </c>
      <c r="V61" s="11">
        <v>2024</v>
      </c>
      <c r="W61" s="11" t="s">
        <v>139</v>
      </c>
      <c r="X61" s="11">
        <v>9</v>
      </c>
      <c r="Y61" s="10" t="s">
        <v>357</v>
      </c>
      <c r="Z61" s="11" t="s">
        <v>110</v>
      </c>
      <c r="AA61" s="11" t="s">
        <v>48</v>
      </c>
      <c r="AB61" s="11" t="s">
        <v>111</v>
      </c>
      <c r="AC61" s="11" t="s">
        <v>121</v>
      </c>
      <c r="AD61" s="11">
        <v>4</v>
      </c>
      <c r="AE61" s="11" t="s">
        <v>86</v>
      </c>
      <c r="AF61" s="11" t="s">
        <v>2223</v>
      </c>
      <c r="AG61" s="25"/>
      <c r="AH61" s="11"/>
      <c r="AI61" s="11"/>
      <c r="AJ61" s="11"/>
      <c r="AK61" s="11"/>
      <c r="AL61" s="11"/>
      <c r="AM61" s="11" t="str">
        <f t="shared" si="0"/>
        <v>Needs Improvement</v>
      </c>
      <c r="AN61" s="11" t="str" cm="1">
        <f t="array" ref="AN61">_xlfn.IFS(N61&lt;10000,"Low",N61&lt;30000,"Medium",N61&gt;=30000,"High")</f>
        <v>Low</v>
      </c>
      <c r="AO61" s="11" t="str">
        <f t="shared" si="1"/>
        <v>No</v>
      </c>
      <c r="AP61" s="11" t="str">
        <f t="shared" si="2"/>
        <v>No</v>
      </c>
      <c r="AQ61" s="11">
        <f t="shared" si="3"/>
        <v>0.18596031746031746</v>
      </c>
      <c r="AR61" s="33"/>
      <c r="AS61" s="33"/>
      <c r="AT61" s="33"/>
      <c r="AU61" s="33"/>
      <c r="AV61" s="33"/>
      <c r="AW61" s="33"/>
      <c r="AX61" s="33" t="str">
        <f t="shared" si="4"/>
        <v>Low</v>
      </c>
    </row>
    <row r="62" spans="1:50">
      <c r="A62" s="9" t="s">
        <v>1926</v>
      </c>
      <c r="B62" s="10">
        <v>45386</v>
      </c>
      <c r="C62" s="11" t="s">
        <v>124</v>
      </c>
      <c r="D62" s="11" t="s">
        <v>900</v>
      </c>
      <c r="E62" s="11" t="s">
        <v>55</v>
      </c>
      <c r="F62" s="11" t="s">
        <v>156</v>
      </c>
      <c r="G62" s="11" t="s">
        <v>157</v>
      </c>
      <c r="H62" s="11" t="s">
        <v>94</v>
      </c>
      <c r="I62" s="11" t="s">
        <v>84</v>
      </c>
      <c r="J62" s="11" t="s">
        <v>390</v>
      </c>
      <c r="K62" s="25">
        <v>4</v>
      </c>
      <c r="L62" s="25">
        <v>100</v>
      </c>
      <c r="M62" s="29">
        <v>0.05</v>
      </c>
      <c r="N62" s="25">
        <v>380</v>
      </c>
      <c r="O62" s="25">
        <v>214.14</v>
      </c>
      <c r="P62" s="25">
        <v>165.86</v>
      </c>
      <c r="Q62" s="21">
        <v>43.65</v>
      </c>
      <c r="R62" s="11" t="s">
        <v>73</v>
      </c>
      <c r="S62" s="11" t="s">
        <v>62</v>
      </c>
      <c r="T62" s="11" t="s">
        <v>118</v>
      </c>
      <c r="U62" s="11" t="s">
        <v>44</v>
      </c>
      <c r="V62" s="11">
        <v>2024</v>
      </c>
      <c r="W62" s="11" t="s">
        <v>139</v>
      </c>
      <c r="X62" s="11">
        <v>10</v>
      </c>
      <c r="Y62" s="10" t="s">
        <v>32</v>
      </c>
      <c r="Z62" s="11" t="s">
        <v>89</v>
      </c>
      <c r="AA62" s="11" t="s">
        <v>67</v>
      </c>
      <c r="AB62" s="11" t="s">
        <v>78</v>
      </c>
      <c r="AC62" s="11" t="s">
        <v>121</v>
      </c>
      <c r="AD62" s="11">
        <v>2</v>
      </c>
      <c r="AE62" s="11" t="s">
        <v>2227</v>
      </c>
      <c r="AF62" s="11" t="s">
        <v>2230</v>
      </c>
      <c r="AG62" s="25"/>
      <c r="AH62" s="11"/>
      <c r="AI62" s="11"/>
      <c r="AJ62" s="11"/>
      <c r="AK62" s="11"/>
      <c r="AL62" s="11"/>
      <c r="AM62" s="11" t="str">
        <f t="shared" si="0"/>
        <v>Good</v>
      </c>
      <c r="AN62" s="11" t="str" cm="1">
        <f t="array" ref="AN62">_xlfn.IFS(N62&lt;10000,"Low",N62&lt;30000,"Medium",N62&gt;=30000,"High")</f>
        <v>Low</v>
      </c>
      <c r="AO62" s="11" t="str">
        <f t="shared" si="1"/>
        <v>No</v>
      </c>
      <c r="AP62" s="11" t="str">
        <f t="shared" si="2"/>
        <v>No</v>
      </c>
      <c r="AQ62" s="11">
        <f t="shared" si="3"/>
        <v>0.43647368421052635</v>
      </c>
      <c r="AR62" s="33"/>
      <c r="AS62" s="33"/>
      <c r="AT62" s="33"/>
      <c r="AU62" s="33"/>
      <c r="AV62" s="33"/>
      <c r="AW62" s="33"/>
      <c r="AX62" s="33" t="str">
        <f t="shared" si="4"/>
        <v>Low</v>
      </c>
    </row>
    <row r="63" spans="1:50">
      <c r="A63" s="9" t="s">
        <v>1927</v>
      </c>
      <c r="B63" s="10">
        <v>45386</v>
      </c>
      <c r="C63" s="11" t="s">
        <v>192</v>
      </c>
      <c r="D63" s="11" t="s">
        <v>205</v>
      </c>
      <c r="E63" s="11" t="s">
        <v>55</v>
      </c>
      <c r="F63" s="11" t="s">
        <v>156</v>
      </c>
      <c r="G63" s="11" t="s">
        <v>157</v>
      </c>
      <c r="H63" s="11" t="s">
        <v>94</v>
      </c>
      <c r="I63" s="11" t="s">
        <v>84</v>
      </c>
      <c r="J63" s="11" t="s">
        <v>85</v>
      </c>
      <c r="K63" s="25">
        <v>9</v>
      </c>
      <c r="L63" s="25">
        <v>100</v>
      </c>
      <c r="M63" s="29">
        <v>0.05</v>
      </c>
      <c r="N63" s="25">
        <v>855</v>
      </c>
      <c r="O63" s="25">
        <v>602.44000000000005</v>
      </c>
      <c r="P63" s="25">
        <v>252.56</v>
      </c>
      <c r="Q63" s="21">
        <v>29.54</v>
      </c>
      <c r="R63" s="11" t="s">
        <v>73</v>
      </c>
      <c r="S63" s="11" t="s">
        <v>74</v>
      </c>
      <c r="T63" s="11" t="s">
        <v>43</v>
      </c>
      <c r="U63" s="11" t="s">
        <v>44</v>
      </c>
      <c r="V63" s="11">
        <v>2024</v>
      </c>
      <c r="W63" s="11" t="s">
        <v>139</v>
      </c>
      <c r="X63" s="11">
        <v>10</v>
      </c>
      <c r="Y63" s="10" t="s">
        <v>32</v>
      </c>
      <c r="Z63" s="11" t="s">
        <v>47</v>
      </c>
      <c r="AA63" s="11" t="s">
        <v>90</v>
      </c>
      <c r="AB63" s="11" t="s">
        <v>111</v>
      </c>
      <c r="AC63" s="11" t="s">
        <v>121</v>
      </c>
      <c r="AD63" s="11">
        <v>1</v>
      </c>
      <c r="AE63" s="11" t="s">
        <v>2218</v>
      </c>
      <c r="AF63" s="11" t="s">
        <v>2210</v>
      </c>
      <c r="AG63" s="25"/>
      <c r="AH63" s="11"/>
      <c r="AI63" s="11"/>
      <c r="AJ63" s="11"/>
      <c r="AK63" s="11"/>
      <c r="AL63" s="11"/>
      <c r="AM63" s="11" t="str">
        <f t="shared" si="0"/>
        <v>Needs Improvement</v>
      </c>
      <c r="AN63" s="11" t="str" cm="1">
        <f t="array" ref="AN63">_xlfn.IFS(N63&lt;10000,"Low",N63&lt;30000,"Medium",N63&gt;=30000,"High")</f>
        <v>Low</v>
      </c>
      <c r="AO63" s="11" t="str">
        <f t="shared" si="1"/>
        <v>No</v>
      </c>
      <c r="AP63" s="11" t="str">
        <f t="shared" si="2"/>
        <v>Yes</v>
      </c>
      <c r="AQ63" s="11">
        <f t="shared" si="3"/>
        <v>0.29539181286549709</v>
      </c>
      <c r="AR63" s="33"/>
      <c r="AS63" s="33"/>
      <c r="AT63" s="33"/>
      <c r="AU63" s="33"/>
      <c r="AV63" s="33"/>
      <c r="AW63" s="33"/>
      <c r="AX63" s="33" t="str">
        <f t="shared" si="4"/>
        <v>Low</v>
      </c>
    </row>
    <row r="64" spans="1:50">
      <c r="A64" s="9" t="s">
        <v>1964</v>
      </c>
      <c r="B64" s="10">
        <v>45386</v>
      </c>
      <c r="C64" s="11" t="s">
        <v>1558</v>
      </c>
      <c r="D64" s="11" t="s">
        <v>961</v>
      </c>
      <c r="E64" s="11" t="s">
        <v>103</v>
      </c>
      <c r="F64" s="11" t="s">
        <v>36</v>
      </c>
      <c r="G64" s="11" t="s">
        <v>37</v>
      </c>
      <c r="H64" s="11" t="s">
        <v>58</v>
      </c>
      <c r="I64" s="11" t="s">
        <v>71</v>
      </c>
      <c r="J64" s="11" t="s">
        <v>172</v>
      </c>
      <c r="K64" s="25">
        <v>5</v>
      </c>
      <c r="L64" s="25">
        <v>700</v>
      </c>
      <c r="M64" s="29">
        <v>0.1</v>
      </c>
      <c r="N64" s="25">
        <v>3150</v>
      </c>
      <c r="O64" s="25">
        <v>2062.39</v>
      </c>
      <c r="P64" s="25">
        <v>1087.6099999999999</v>
      </c>
      <c r="Q64" s="21">
        <v>34.53</v>
      </c>
      <c r="R64" s="11" t="s">
        <v>41</v>
      </c>
      <c r="S64" s="11" t="s">
        <v>74</v>
      </c>
      <c r="T64" s="11" t="s">
        <v>173</v>
      </c>
      <c r="U64" s="11" t="s">
        <v>44</v>
      </c>
      <c r="V64" s="11">
        <v>2024</v>
      </c>
      <c r="W64" s="11" t="s">
        <v>139</v>
      </c>
      <c r="X64" s="11">
        <v>6</v>
      </c>
      <c r="Y64" s="10">
        <v>45569</v>
      </c>
      <c r="Z64" s="11" t="s">
        <v>47</v>
      </c>
      <c r="AA64" s="11" t="s">
        <v>90</v>
      </c>
      <c r="AB64" s="11" t="s">
        <v>49</v>
      </c>
      <c r="AC64" s="11" t="s">
        <v>50</v>
      </c>
      <c r="AD64" s="11">
        <v>2</v>
      </c>
      <c r="AE64" s="11" t="s">
        <v>2240</v>
      </c>
      <c r="AF64" s="11" t="s">
        <v>2228</v>
      </c>
      <c r="AG64" s="25"/>
      <c r="AH64" s="11"/>
      <c r="AI64" s="11"/>
      <c r="AJ64" s="11"/>
      <c r="AK64" s="11"/>
      <c r="AL64" s="11"/>
      <c r="AM64" s="11" t="str">
        <f t="shared" si="0"/>
        <v>Good</v>
      </c>
      <c r="AN64" s="11" t="str" cm="1">
        <f t="array" ref="AN64">_xlfn.IFS(N64&lt;10000,"Low",N64&lt;30000,"Medium",N64&gt;=30000,"High")</f>
        <v>Low</v>
      </c>
      <c r="AO64" s="11" t="str">
        <f t="shared" si="1"/>
        <v>No</v>
      </c>
      <c r="AP64" s="11" t="str">
        <f t="shared" si="2"/>
        <v>Yes</v>
      </c>
      <c r="AQ64" s="11">
        <f t="shared" si="3"/>
        <v>0.34527301587301584</v>
      </c>
      <c r="AR64" s="33"/>
      <c r="AS64" s="33"/>
      <c r="AT64" s="33"/>
      <c r="AU64" s="33"/>
      <c r="AV64" s="33"/>
      <c r="AW64" s="33"/>
      <c r="AX64" s="33" t="str">
        <f t="shared" si="4"/>
        <v>Low</v>
      </c>
    </row>
    <row r="65" spans="1:50">
      <c r="A65" s="9" t="s">
        <v>2016</v>
      </c>
      <c r="B65" s="10">
        <v>45386</v>
      </c>
      <c r="C65" s="11" t="s">
        <v>2017</v>
      </c>
      <c r="D65" s="11" t="s">
        <v>1758</v>
      </c>
      <c r="E65" s="11" t="s">
        <v>103</v>
      </c>
      <c r="F65" s="11" t="s">
        <v>56</v>
      </c>
      <c r="G65" s="11" t="s">
        <v>57</v>
      </c>
      <c r="H65" s="11" t="s">
        <v>94</v>
      </c>
      <c r="I65" s="11" t="s">
        <v>84</v>
      </c>
      <c r="J65" s="11" t="s">
        <v>229</v>
      </c>
      <c r="K65" s="25">
        <v>6</v>
      </c>
      <c r="L65" s="25">
        <v>500</v>
      </c>
      <c r="M65" s="29">
        <v>0</v>
      </c>
      <c r="N65" s="25">
        <v>3000</v>
      </c>
      <c r="O65" s="25">
        <v>2213.29</v>
      </c>
      <c r="P65" s="25">
        <v>786.71</v>
      </c>
      <c r="Q65" s="21">
        <v>26.22</v>
      </c>
      <c r="R65" s="11" t="s">
        <v>106</v>
      </c>
      <c r="S65" s="11" t="s">
        <v>62</v>
      </c>
      <c r="T65" s="11" t="s">
        <v>43</v>
      </c>
      <c r="U65" s="11" t="s">
        <v>44</v>
      </c>
      <c r="V65" s="11">
        <v>2024</v>
      </c>
      <c r="W65" s="11" t="s">
        <v>139</v>
      </c>
      <c r="X65" s="11">
        <v>5</v>
      </c>
      <c r="Y65" s="10">
        <v>45539</v>
      </c>
      <c r="Z65" s="11" t="s">
        <v>47</v>
      </c>
      <c r="AA65" s="11" t="s">
        <v>67</v>
      </c>
      <c r="AB65" s="11" t="s">
        <v>49</v>
      </c>
      <c r="AC65" s="11" t="s">
        <v>50</v>
      </c>
      <c r="AD65" s="11">
        <v>4</v>
      </c>
      <c r="AE65" s="11" t="s">
        <v>2233</v>
      </c>
      <c r="AF65" s="11" t="s">
        <v>2210</v>
      </c>
      <c r="AG65" s="25"/>
      <c r="AH65" s="11"/>
      <c r="AI65" s="11"/>
      <c r="AJ65" s="11"/>
      <c r="AK65" s="11"/>
      <c r="AL65" s="11"/>
      <c r="AM65" s="11" t="str">
        <f t="shared" si="0"/>
        <v>Needs Improvement</v>
      </c>
      <c r="AN65" s="11" t="str" cm="1">
        <f t="array" ref="AN65">_xlfn.IFS(N65&lt;10000,"Low",N65&lt;30000,"Medium",N65&gt;=30000,"High")</f>
        <v>Low</v>
      </c>
      <c r="AO65" s="11" t="str">
        <f t="shared" si="1"/>
        <v>No</v>
      </c>
      <c r="AP65" s="11" t="str">
        <f t="shared" si="2"/>
        <v>No</v>
      </c>
      <c r="AQ65" s="11">
        <f t="shared" si="3"/>
        <v>0.26223666666666667</v>
      </c>
      <c r="AR65" s="33"/>
      <c r="AS65" s="33"/>
      <c r="AT65" s="33"/>
      <c r="AU65" s="33"/>
      <c r="AV65" s="33"/>
      <c r="AW65" s="33"/>
      <c r="AX65" s="33" t="str">
        <f t="shared" si="4"/>
        <v>Low</v>
      </c>
    </row>
    <row r="66" spans="1:50">
      <c r="A66" s="9" t="s">
        <v>829</v>
      </c>
      <c r="B66" s="10">
        <v>45389</v>
      </c>
      <c r="C66" s="11" t="s">
        <v>830</v>
      </c>
      <c r="D66" s="11" t="s">
        <v>831</v>
      </c>
      <c r="E66" s="11" t="s">
        <v>103</v>
      </c>
      <c r="F66" s="11" t="s">
        <v>36</v>
      </c>
      <c r="G66" s="11" t="s">
        <v>37</v>
      </c>
      <c r="H66" s="11" t="s">
        <v>38</v>
      </c>
      <c r="I66" s="11" t="s">
        <v>71</v>
      </c>
      <c r="J66" s="11" t="s">
        <v>172</v>
      </c>
      <c r="K66" s="25">
        <v>8</v>
      </c>
      <c r="L66" s="25">
        <v>3500</v>
      </c>
      <c r="M66" s="29">
        <v>0.15</v>
      </c>
      <c r="N66" s="25">
        <v>23800</v>
      </c>
      <c r="O66" s="25">
        <v>18096.91</v>
      </c>
      <c r="P66" s="25">
        <v>5703.09</v>
      </c>
      <c r="Q66" s="21">
        <v>23.96</v>
      </c>
      <c r="R66" s="11" t="s">
        <v>166</v>
      </c>
      <c r="S66" s="11" t="s">
        <v>62</v>
      </c>
      <c r="T66" s="11" t="s">
        <v>173</v>
      </c>
      <c r="U66" s="11" t="s">
        <v>151</v>
      </c>
      <c r="V66" s="11">
        <v>2024</v>
      </c>
      <c r="W66" s="11" t="s">
        <v>139</v>
      </c>
      <c r="X66" s="11">
        <v>10</v>
      </c>
      <c r="Y66" s="10" t="s">
        <v>832</v>
      </c>
      <c r="Z66" s="11" t="s">
        <v>110</v>
      </c>
      <c r="AA66" s="11" t="s">
        <v>67</v>
      </c>
      <c r="AB66" s="11" t="s">
        <v>78</v>
      </c>
      <c r="AC66" s="11" t="s">
        <v>121</v>
      </c>
      <c r="AD66" s="11">
        <v>1</v>
      </c>
      <c r="AE66" s="11" t="s">
        <v>2232</v>
      </c>
      <c r="AF66" s="11" t="s">
        <v>2217</v>
      </c>
      <c r="AG66" s="25"/>
      <c r="AH66" s="11"/>
      <c r="AI66" s="11"/>
      <c r="AJ66" s="11"/>
      <c r="AK66" s="11"/>
      <c r="AL66" s="11"/>
      <c r="AM66" s="11" t="str">
        <f t="shared" ref="AM66:AM129" si="9">IF(Q66&gt;=30,"Good","Needs Improvement")</f>
        <v>Needs Improvement</v>
      </c>
      <c r="AN66" s="11" t="str" cm="1">
        <f t="array" ref="AN66">_xlfn.IFS(N66&lt;10000,"Low",N66&lt;30000,"Medium",N66&gt;=30000,"High")</f>
        <v>Medium</v>
      </c>
      <c r="AO66" s="11" t="str">
        <f t="shared" ref="AO66:AO129" si="10">IF(AND(N66&gt;=30000,P66&gt;=10000),"Yes","No")</f>
        <v>No</v>
      </c>
      <c r="AP66" s="11" t="str">
        <f t="shared" ref="AP66:AP129" si="11">IF(OR(S66="Online",S66="Marketplace"),"Yes","No")</f>
        <v>No</v>
      </c>
      <c r="AQ66" s="11">
        <f t="shared" ref="AQ66:AQ129" si="12">IFERROR(P66/N66,"No Error")</f>
        <v>0.23962563025210085</v>
      </c>
      <c r="AR66" s="33"/>
      <c r="AS66" s="33"/>
      <c r="AT66" s="33"/>
      <c r="AU66" s="33"/>
      <c r="AV66" s="33"/>
      <c r="AW66" s="33"/>
      <c r="AX66" s="33" t="str">
        <f t="shared" ref="AX66:AX129" si="13">IF(P66&gt;=20000,"Excellent",IF(P66&gt;=10000,"Good",IF(P66&gt;=5000,"Average","Low")))</f>
        <v>Average</v>
      </c>
    </row>
    <row r="67" spans="1:50">
      <c r="A67" s="9" t="s">
        <v>815</v>
      </c>
      <c r="B67" s="10">
        <v>45390</v>
      </c>
      <c r="C67" s="11" t="s">
        <v>204</v>
      </c>
      <c r="D67" s="11" t="s">
        <v>409</v>
      </c>
      <c r="E67" s="11" t="s">
        <v>103</v>
      </c>
      <c r="F67" s="11" t="s">
        <v>245</v>
      </c>
      <c r="G67" s="11" t="s">
        <v>246</v>
      </c>
      <c r="H67" s="11" t="s">
        <v>58</v>
      </c>
      <c r="I67" s="11" t="s">
        <v>71</v>
      </c>
      <c r="J67" s="11" t="s">
        <v>72</v>
      </c>
      <c r="K67" s="25">
        <v>4</v>
      </c>
      <c r="L67" s="25">
        <v>1200</v>
      </c>
      <c r="M67" s="29">
        <v>0.05</v>
      </c>
      <c r="N67" s="25">
        <v>4560</v>
      </c>
      <c r="O67" s="25">
        <v>3129.3</v>
      </c>
      <c r="P67" s="25">
        <v>1430.7</v>
      </c>
      <c r="Q67" s="21">
        <v>31.38</v>
      </c>
      <c r="R67" s="11" t="s">
        <v>166</v>
      </c>
      <c r="S67" s="11" t="s">
        <v>42</v>
      </c>
      <c r="T67" s="11" t="s">
        <v>159</v>
      </c>
      <c r="U67" s="11" t="s">
        <v>218</v>
      </c>
      <c r="V67" s="11">
        <v>2024</v>
      </c>
      <c r="W67" s="11" t="s">
        <v>45</v>
      </c>
      <c r="X67" s="11">
        <v>1</v>
      </c>
      <c r="Y67" s="10">
        <v>45420</v>
      </c>
      <c r="Z67" s="11" t="s">
        <v>89</v>
      </c>
      <c r="AA67" s="11" t="s">
        <v>48</v>
      </c>
      <c r="AB67" s="11" t="s">
        <v>111</v>
      </c>
      <c r="AC67" s="11" t="s">
        <v>121</v>
      </c>
      <c r="AD67" s="11">
        <v>5</v>
      </c>
      <c r="AE67" s="11" t="s">
        <v>159</v>
      </c>
      <c r="AF67" s="11" t="s">
        <v>2214</v>
      </c>
      <c r="AG67" s="25"/>
      <c r="AH67" s="11"/>
      <c r="AI67" s="11"/>
      <c r="AJ67" s="11"/>
      <c r="AK67" s="11"/>
      <c r="AL67" s="11"/>
      <c r="AM67" s="11" t="str">
        <f t="shared" si="9"/>
        <v>Good</v>
      </c>
      <c r="AN67" s="11" t="str" cm="1">
        <f t="array" ref="AN67">_xlfn.IFS(N67&lt;10000,"Low",N67&lt;30000,"Medium",N67&gt;=30000,"High")</f>
        <v>Low</v>
      </c>
      <c r="AO67" s="11" t="str">
        <f t="shared" si="10"/>
        <v>No</v>
      </c>
      <c r="AP67" s="11" t="str">
        <f t="shared" si="11"/>
        <v>Yes</v>
      </c>
      <c r="AQ67" s="11">
        <f t="shared" si="12"/>
        <v>0.31375000000000003</v>
      </c>
      <c r="AR67" s="33"/>
      <c r="AS67" s="33"/>
      <c r="AT67" s="33"/>
      <c r="AU67" s="33"/>
      <c r="AV67" s="33"/>
      <c r="AW67" s="33"/>
      <c r="AX67" s="33" t="str">
        <f t="shared" si="13"/>
        <v>Low</v>
      </c>
    </row>
    <row r="68" spans="1:50">
      <c r="A68" s="9" t="s">
        <v>1655</v>
      </c>
      <c r="B68" s="10">
        <v>45390</v>
      </c>
      <c r="C68" s="11" t="s">
        <v>1656</v>
      </c>
      <c r="D68" s="11" t="s">
        <v>799</v>
      </c>
      <c r="E68" s="11" t="s">
        <v>55</v>
      </c>
      <c r="F68" s="11" t="s">
        <v>116</v>
      </c>
      <c r="G68" s="11" t="s">
        <v>37</v>
      </c>
      <c r="H68" s="11" t="s">
        <v>38</v>
      </c>
      <c r="I68" s="11" t="s">
        <v>95</v>
      </c>
      <c r="J68" s="11" t="s">
        <v>96</v>
      </c>
      <c r="K68" s="25">
        <v>1</v>
      </c>
      <c r="L68" s="25">
        <v>2500</v>
      </c>
      <c r="M68" s="29">
        <v>0.2</v>
      </c>
      <c r="N68" s="25">
        <v>2000</v>
      </c>
      <c r="O68" s="25">
        <v>1486.51</v>
      </c>
      <c r="P68" s="25">
        <v>513.49</v>
      </c>
      <c r="Q68" s="21">
        <v>25.67</v>
      </c>
      <c r="R68" s="11" t="s">
        <v>166</v>
      </c>
      <c r="S68" s="11" t="s">
        <v>42</v>
      </c>
      <c r="T68" s="11" t="s">
        <v>43</v>
      </c>
      <c r="U68" s="11" t="s">
        <v>218</v>
      </c>
      <c r="V68" s="11">
        <v>2024</v>
      </c>
      <c r="W68" s="11" t="s">
        <v>45</v>
      </c>
      <c r="X68" s="11">
        <v>6</v>
      </c>
      <c r="Y68" s="10">
        <v>45573</v>
      </c>
      <c r="Z68" s="11" t="s">
        <v>89</v>
      </c>
      <c r="AA68" s="11" t="s">
        <v>48</v>
      </c>
      <c r="AB68" s="11" t="s">
        <v>111</v>
      </c>
      <c r="AC68" s="11" t="s">
        <v>121</v>
      </c>
      <c r="AD68" s="11">
        <v>4</v>
      </c>
      <c r="AE68" s="11" t="s">
        <v>2229</v>
      </c>
      <c r="AF68" s="11" t="s">
        <v>2214</v>
      </c>
      <c r="AG68" s="25"/>
      <c r="AH68" s="11"/>
      <c r="AI68" s="11"/>
      <c r="AJ68" s="11"/>
      <c r="AK68" s="11"/>
      <c r="AL68" s="11"/>
      <c r="AM68" s="11" t="str">
        <f t="shared" si="9"/>
        <v>Needs Improvement</v>
      </c>
      <c r="AN68" s="11" t="str" cm="1">
        <f t="array" ref="AN68">_xlfn.IFS(N68&lt;10000,"Low",N68&lt;30000,"Medium",N68&gt;=30000,"High")</f>
        <v>Low</v>
      </c>
      <c r="AO68" s="11" t="str">
        <f t="shared" si="10"/>
        <v>No</v>
      </c>
      <c r="AP68" s="11" t="str">
        <f t="shared" si="11"/>
        <v>Yes</v>
      </c>
      <c r="AQ68" s="11">
        <f t="shared" si="12"/>
        <v>0.256745</v>
      </c>
      <c r="AR68" s="33"/>
      <c r="AS68" s="33"/>
      <c r="AT68" s="33"/>
      <c r="AU68" s="33"/>
      <c r="AV68" s="33"/>
      <c r="AW68" s="33"/>
      <c r="AX68" s="33" t="str">
        <f t="shared" si="13"/>
        <v>Low</v>
      </c>
    </row>
    <row r="69" spans="1:50">
      <c r="A69" s="9" t="s">
        <v>1929</v>
      </c>
      <c r="B69" s="10">
        <v>45391</v>
      </c>
      <c r="C69" s="11" t="s">
        <v>386</v>
      </c>
      <c r="D69" s="11" t="s">
        <v>1930</v>
      </c>
      <c r="E69" s="11" t="s">
        <v>55</v>
      </c>
      <c r="F69" s="11" t="s">
        <v>245</v>
      </c>
      <c r="G69" s="11" t="s">
        <v>246</v>
      </c>
      <c r="H69" s="11" t="s">
        <v>38</v>
      </c>
      <c r="I69" s="11" t="s">
        <v>95</v>
      </c>
      <c r="J69" s="11" t="s">
        <v>344</v>
      </c>
      <c r="K69" s="25">
        <v>8</v>
      </c>
      <c r="L69" s="25">
        <v>4000</v>
      </c>
      <c r="M69" s="29">
        <v>0.05</v>
      </c>
      <c r="N69" s="25">
        <v>30400</v>
      </c>
      <c r="O69" s="25">
        <v>21430.28</v>
      </c>
      <c r="P69" s="25">
        <v>8969.7199999999993</v>
      </c>
      <c r="Q69" s="21">
        <v>29.51</v>
      </c>
      <c r="R69" s="11" t="s">
        <v>106</v>
      </c>
      <c r="S69" s="11" t="s">
        <v>42</v>
      </c>
      <c r="T69" s="11" t="s">
        <v>86</v>
      </c>
      <c r="U69" s="11" t="s">
        <v>108</v>
      </c>
      <c r="V69" s="11">
        <v>2024</v>
      </c>
      <c r="W69" s="11" t="s">
        <v>134</v>
      </c>
      <c r="X69" s="11">
        <v>10</v>
      </c>
      <c r="Y69" s="10" t="s">
        <v>1761</v>
      </c>
      <c r="Z69" s="11" t="s">
        <v>47</v>
      </c>
      <c r="AA69" s="11" t="s">
        <v>90</v>
      </c>
      <c r="AB69" s="11" t="s">
        <v>111</v>
      </c>
      <c r="AC69" s="11" t="s">
        <v>121</v>
      </c>
      <c r="AD69" s="11">
        <v>1</v>
      </c>
      <c r="AE69" s="11" t="s">
        <v>2239</v>
      </c>
      <c r="AF69" s="11" t="s">
        <v>2212</v>
      </c>
      <c r="AG69" s="25"/>
      <c r="AH69" s="11"/>
      <c r="AI69" s="11"/>
      <c r="AJ69" s="11"/>
      <c r="AK69" s="11"/>
      <c r="AL69" s="11"/>
      <c r="AM69" s="11" t="str">
        <f t="shared" si="9"/>
        <v>Needs Improvement</v>
      </c>
      <c r="AN69" s="11" t="str" cm="1">
        <f t="array" ref="AN69">_xlfn.IFS(N69&lt;10000,"Low",N69&lt;30000,"Medium",N69&gt;=30000,"High")</f>
        <v>High</v>
      </c>
      <c r="AO69" s="11" t="str">
        <f t="shared" si="10"/>
        <v>No</v>
      </c>
      <c r="AP69" s="11" t="str">
        <f t="shared" si="11"/>
        <v>Yes</v>
      </c>
      <c r="AQ69" s="11">
        <f t="shared" si="12"/>
        <v>0.29505657894736842</v>
      </c>
      <c r="AR69" s="33"/>
      <c r="AS69" s="33"/>
      <c r="AT69" s="33"/>
      <c r="AU69" s="33"/>
      <c r="AV69" s="33"/>
      <c r="AW69" s="33"/>
      <c r="AX69" s="33" t="str">
        <f t="shared" si="13"/>
        <v>Average</v>
      </c>
    </row>
    <row r="70" spans="1:50">
      <c r="A70" s="9" t="s">
        <v>975</v>
      </c>
      <c r="B70" s="10">
        <v>45414</v>
      </c>
      <c r="C70" s="11" t="s">
        <v>101</v>
      </c>
      <c r="D70" s="11" t="s">
        <v>532</v>
      </c>
      <c r="E70" s="11" t="s">
        <v>55</v>
      </c>
      <c r="F70" s="11" t="s">
        <v>56</v>
      </c>
      <c r="G70" s="11" t="s">
        <v>57</v>
      </c>
      <c r="H70" s="11" t="s">
        <v>94</v>
      </c>
      <c r="I70" s="11" t="s">
        <v>95</v>
      </c>
      <c r="J70" s="11" t="s">
        <v>319</v>
      </c>
      <c r="K70" s="25">
        <v>9</v>
      </c>
      <c r="L70" s="25">
        <v>4000</v>
      </c>
      <c r="M70" s="29">
        <v>0</v>
      </c>
      <c r="N70" s="25">
        <v>36000</v>
      </c>
      <c r="O70" s="25">
        <v>28200.42</v>
      </c>
      <c r="P70" s="25">
        <v>7799.58</v>
      </c>
      <c r="Q70" s="21">
        <v>21.67</v>
      </c>
      <c r="R70" s="11" t="s">
        <v>73</v>
      </c>
      <c r="S70" s="11" t="s">
        <v>42</v>
      </c>
      <c r="T70" s="11" t="s">
        <v>107</v>
      </c>
      <c r="U70" s="11" t="s">
        <v>98</v>
      </c>
      <c r="V70" s="11">
        <v>2024</v>
      </c>
      <c r="W70" s="11" t="s">
        <v>126</v>
      </c>
      <c r="X70" s="11">
        <v>6</v>
      </c>
      <c r="Y70" s="10">
        <v>45598</v>
      </c>
      <c r="Z70" s="11" t="s">
        <v>47</v>
      </c>
      <c r="AA70" s="11" t="s">
        <v>90</v>
      </c>
      <c r="AB70" s="11" t="s">
        <v>111</v>
      </c>
      <c r="AC70" s="11" t="s">
        <v>50</v>
      </c>
      <c r="AD70" s="11">
        <v>5</v>
      </c>
      <c r="AE70" s="11" t="s">
        <v>2240</v>
      </c>
      <c r="AF70" s="11" t="s">
        <v>2230</v>
      </c>
      <c r="AG70" s="25"/>
      <c r="AH70" s="11"/>
      <c r="AI70" s="11"/>
      <c r="AJ70" s="11"/>
      <c r="AK70" s="11"/>
      <c r="AL70" s="11"/>
      <c r="AM70" s="11" t="str">
        <f t="shared" si="9"/>
        <v>Needs Improvement</v>
      </c>
      <c r="AN70" s="11" t="str" cm="1">
        <f t="array" ref="AN70">_xlfn.IFS(N70&lt;10000,"Low",N70&lt;30000,"Medium",N70&gt;=30000,"High")</f>
        <v>High</v>
      </c>
      <c r="AO70" s="11" t="str">
        <f t="shared" si="10"/>
        <v>No</v>
      </c>
      <c r="AP70" s="11" t="str">
        <f t="shared" si="11"/>
        <v>Yes</v>
      </c>
      <c r="AQ70" s="11">
        <f t="shared" si="12"/>
        <v>0.21665499999999999</v>
      </c>
      <c r="AR70" s="33"/>
      <c r="AS70" s="33"/>
      <c r="AT70" s="33"/>
      <c r="AU70" s="33"/>
      <c r="AV70" s="33"/>
      <c r="AW70" s="33"/>
      <c r="AX70" s="33" t="str">
        <f t="shared" si="13"/>
        <v>Average</v>
      </c>
    </row>
    <row r="71" spans="1:50">
      <c r="A71" s="9" t="s">
        <v>878</v>
      </c>
      <c r="B71" s="10">
        <v>45415</v>
      </c>
      <c r="C71" s="11" t="s">
        <v>633</v>
      </c>
      <c r="D71" s="11" t="s">
        <v>692</v>
      </c>
      <c r="E71" s="11" t="s">
        <v>103</v>
      </c>
      <c r="F71" s="11" t="s">
        <v>104</v>
      </c>
      <c r="G71" s="11" t="s">
        <v>104</v>
      </c>
      <c r="H71" s="11" t="s">
        <v>58</v>
      </c>
      <c r="I71" s="11" t="s">
        <v>71</v>
      </c>
      <c r="J71" s="11" t="s">
        <v>72</v>
      </c>
      <c r="K71" s="25">
        <v>9</v>
      </c>
      <c r="L71" s="25">
        <v>700</v>
      </c>
      <c r="M71" s="29">
        <v>0.2</v>
      </c>
      <c r="N71" s="25">
        <v>5040</v>
      </c>
      <c r="O71" s="25">
        <v>3725.76</v>
      </c>
      <c r="P71" s="25">
        <v>1314.24</v>
      </c>
      <c r="Q71" s="21">
        <v>26.08</v>
      </c>
      <c r="R71" s="11" t="s">
        <v>61</v>
      </c>
      <c r="S71" s="11" t="s">
        <v>42</v>
      </c>
      <c r="T71" s="11" t="s">
        <v>159</v>
      </c>
      <c r="U71" s="11" t="s">
        <v>178</v>
      </c>
      <c r="V71" s="11">
        <v>2024</v>
      </c>
      <c r="W71" s="11" t="s">
        <v>109</v>
      </c>
      <c r="X71" s="11">
        <v>10</v>
      </c>
      <c r="Y71" s="10" t="s">
        <v>179</v>
      </c>
      <c r="Z71" s="11" t="s">
        <v>47</v>
      </c>
      <c r="AA71" s="11" t="s">
        <v>48</v>
      </c>
      <c r="AB71" s="11" t="s">
        <v>49</v>
      </c>
      <c r="AC71" s="11" t="s">
        <v>50</v>
      </c>
      <c r="AD71" s="11">
        <v>4</v>
      </c>
      <c r="AE71" s="11" t="s">
        <v>159</v>
      </c>
      <c r="AF71" s="11" t="s">
        <v>2230</v>
      </c>
      <c r="AG71" s="25"/>
      <c r="AH71" s="11"/>
      <c r="AI71" s="11"/>
      <c r="AJ71" s="11"/>
      <c r="AK71" s="11"/>
      <c r="AL71" s="11"/>
      <c r="AM71" s="11" t="str">
        <f t="shared" si="9"/>
        <v>Needs Improvement</v>
      </c>
      <c r="AN71" s="11" t="str" cm="1">
        <f t="array" ref="AN71">_xlfn.IFS(N71&lt;10000,"Low",N71&lt;30000,"Medium",N71&gt;=30000,"High")</f>
        <v>Low</v>
      </c>
      <c r="AO71" s="11" t="str">
        <f t="shared" si="10"/>
        <v>No</v>
      </c>
      <c r="AP71" s="11" t="str">
        <f t="shared" si="11"/>
        <v>Yes</v>
      </c>
      <c r="AQ71" s="11">
        <f t="shared" si="12"/>
        <v>0.26076190476190475</v>
      </c>
      <c r="AR71" s="33"/>
      <c r="AS71" s="33"/>
      <c r="AT71" s="33"/>
      <c r="AU71" s="33"/>
      <c r="AV71" s="33"/>
      <c r="AW71" s="33"/>
      <c r="AX71" s="33" t="str">
        <f t="shared" si="13"/>
        <v>Low</v>
      </c>
    </row>
    <row r="72" spans="1:50">
      <c r="A72" s="9" t="s">
        <v>1778</v>
      </c>
      <c r="B72" s="10">
        <v>45416</v>
      </c>
      <c r="C72" s="11" t="s">
        <v>1062</v>
      </c>
      <c r="D72" s="11" t="s">
        <v>1187</v>
      </c>
      <c r="E72" s="11" t="s">
        <v>35</v>
      </c>
      <c r="F72" s="11" t="s">
        <v>156</v>
      </c>
      <c r="G72" s="11" t="s">
        <v>157</v>
      </c>
      <c r="H72" s="11" t="s">
        <v>58</v>
      </c>
      <c r="I72" s="11" t="s">
        <v>95</v>
      </c>
      <c r="J72" s="11" t="s">
        <v>319</v>
      </c>
      <c r="K72" s="25">
        <v>7</v>
      </c>
      <c r="L72" s="25">
        <v>15000</v>
      </c>
      <c r="M72" s="29">
        <v>0</v>
      </c>
      <c r="N72" s="25">
        <v>105000</v>
      </c>
      <c r="O72" s="25">
        <v>83641.58</v>
      </c>
      <c r="P72" s="25">
        <v>21358.42</v>
      </c>
      <c r="Q72" s="21">
        <v>20.34</v>
      </c>
      <c r="R72" s="11" t="s">
        <v>166</v>
      </c>
      <c r="S72" s="11" t="s">
        <v>42</v>
      </c>
      <c r="T72" s="11" t="s">
        <v>63</v>
      </c>
      <c r="U72" s="11" t="s">
        <v>44</v>
      </c>
      <c r="V72" s="11">
        <v>2024</v>
      </c>
      <c r="W72" s="11" t="s">
        <v>194</v>
      </c>
      <c r="X72" s="11">
        <v>3</v>
      </c>
      <c r="Y72" s="10">
        <v>45508</v>
      </c>
      <c r="Z72" s="11" t="s">
        <v>89</v>
      </c>
      <c r="AA72" s="11" t="s">
        <v>67</v>
      </c>
      <c r="AB72" s="11" t="s">
        <v>111</v>
      </c>
      <c r="AC72" s="11" t="s">
        <v>50</v>
      </c>
      <c r="AD72" s="11">
        <v>4</v>
      </c>
      <c r="AE72" s="11" t="s">
        <v>2209</v>
      </c>
      <c r="AF72" s="11" t="s">
        <v>2222</v>
      </c>
      <c r="AG72" s="25"/>
      <c r="AH72" s="11"/>
      <c r="AI72" s="11"/>
      <c r="AJ72" s="11"/>
      <c r="AK72" s="11"/>
      <c r="AL72" s="11"/>
      <c r="AM72" s="11" t="str">
        <f t="shared" si="9"/>
        <v>Needs Improvement</v>
      </c>
      <c r="AN72" s="11" t="str" cm="1">
        <f t="array" ref="AN72">_xlfn.IFS(N72&lt;10000,"Low",N72&lt;30000,"Medium",N72&gt;=30000,"High")</f>
        <v>High</v>
      </c>
      <c r="AO72" s="11" t="str">
        <f t="shared" si="10"/>
        <v>Yes</v>
      </c>
      <c r="AP72" s="11" t="str">
        <f t="shared" si="11"/>
        <v>Yes</v>
      </c>
      <c r="AQ72" s="11">
        <f t="shared" si="12"/>
        <v>0.20341352380952379</v>
      </c>
      <c r="AR72" s="33"/>
      <c r="AS72" s="33"/>
      <c r="AT72" s="33"/>
      <c r="AU72" s="33"/>
      <c r="AV72" s="33"/>
      <c r="AW72" s="33"/>
      <c r="AX72" s="33" t="str">
        <f t="shared" si="13"/>
        <v>Excellent</v>
      </c>
    </row>
    <row r="73" spans="1:50">
      <c r="A73" s="9" t="s">
        <v>1995</v>
      </c>
      <c r="B73" s="10">
        <v>45416</v>
      </c>
      <c r="C73" s="11" t="s">
        <v>562</v>
      </c>
      <c r="D73" s="11" t="s">
        <v>737</v>
      </c>
      <c r="E73" s="11" t="s">
        <v>55</v>
      </c>
      <c r="F73" s="11" t="s">
        <v>131</v>
      </c>
      <c r="G73" s="11" t="s">
        <v>132</v>
      </c>
      <c r="H73" s="11" t="s">
        <v>94</v>
      </c>
      <c r="I73" s="11" t="s">
        <v>59</v>
      </c>
      <c r="J73" s="11" t="s">
        <v>328</v>
      </c>
      <c r="K73" s="25">
        <v>6</v>
      </c>
      <c r="L73" s="25">
        <v>3000</v>
      </c>
      <c r="M73" s="29">
        <v>0.2</v>
      </c>
      <c r="N73" s="25">
        <v>14400</v>
      </c>
      <c r="O73" s="25">
        <v>9211.11</v>
      </c>
      <c r="P73" s="25">
        <v>5188.8900000000003</v>
      </c>
      <c r="Q73" s="21">
        <v>36.03</v>
      </c>
      <c r="R73" s="11" t="s">
        <v>73</v>
      </c>
      <c r="S73" s="11" t="s">
        <v>74</v>
      </c>
      <c r="T73" s="11" t="s">
        <v>86</v>
      </c>
      <c r="U73" s="11" t="s">
        <v>44</v>
      </c>
      <c r="V73" s="11">
        <v>2024</v>
      </c>
      <c r="W73" s="11" t="s">
        <v>194</v>
      </c>
      <c r="X73" s="11">
        <v>5</v>
      </c>
      <c r="Y73" s="10">
        <v>45569</v>
      </c>
      <c r="Z73" s="11" t="s">
        <v>47</v>
      </c>
      <c r="AA73" s="11" t="s">
        <v>48</v>
      </c>
      <c r="AB73" s="11" t="s">
        <v>111</v>
      </c>
      <c r="AC73" s="11" t="s">
        <v>121</v>
      </c>
      <c r="AD73" s="11">
        <v>5</v>
      </c>
      <c r="AE73" s="11" t="s">
        <v>2248</v>
      </c>
      <c r="AF73" s="11" t="s">
        <v>2231</v>
      </c>
      <c r="AG73" s="25"/>
      <c r="AH73" s="11"/>
      <c r="AI73" s="11"/>
      <c r="AJ73" s="11"/>
      <c r="AK73" s="11"/>
      <c r="AL73" s="11"/>
      <c r="AM73" s="11" t="str">
        <f t="shared" si="9"/>
        <v>Good</v>
      </c>
      <c r="AN73" s="11" t="str" cm="1">
        <f t="array" ref="AN73">_xlfn.IFS(N73&lt;10000,"Low",N73&lt;30000,"Medium",N73&gt;=30000,"High")</f>
        <v>Medium</v>
      </c>
      <c r="AO73" s="11" t="str">
        <f t="shared" si="10"/>
        <v>No</v>
      </c>
      <c r="AP73" s="11" t="str">
        <f t="shared" si="11"/>
        <v>Yes</v>
      </c>
      <c r="AQ73" s="11">
        <f t="shared" si="12"/>
        <v>0.36033958333333338</v>
      </c>
      <c r="AR73" s="33"/>
      <c r="AS73" s="33"/>
      <c r="AT73" s="33"/>
      <c r="AU73" s="33"/>
      <c r="AV73" s="33"/>
      <c r="AW73" s="33"/>
      <c r="AX73" s="33" t="str">
        <f t="shared" si="13"/>
        <v>Average</v>
      </c>
    </row>
    <row r="74" spans="1:50">
      <c r="A74" s="9" t="s">
        <v>2082</v>
      </c>
      <c r="B74" s="10">
        <v>45416</v>
      </c>
      <c r="C74" s="11" t="s">
        <v>766</v>
      </c>
      <c r="D74" s="11" t="s">
        <v>799</v>
      </c>
      <c r="E74" s="11" t="s">
        <v>55</v>
      </c>
      <c r="F74" s="11" t="s">
        <v>56</v>
      </c>
      <c r="G74" s="11" t="s">
        <v>57</v>
      </c>
      <c r="H74" s="11" t="s">
        <v>58</v>
      </c>
      <c r="I74" s="11" t="s">
        <v>39</v>
      </c>
      <c r="J74" s="11" t="s">
        <v>40</v>
      </c>
      <c r="K74" s="25">
        <v>3</v>
      </c>
      <c r="L74" s="25">
        <v>12000</v>
      </c>
      <c r="M74" s="29">
        <v>0.2</v>
      </c>
      <c r="N74" s="25">
        <v>28800</v>
      </c>
      <c r="O74" s="25">
        <v>20839.28</v>
      </c>
      <c r="P74" s="25">
        <v>7960.72</v>
      </c>
      <c r="Q74" s="21">
        <v>27.64</v>
      </c>
      <c r="R74" s="11" t="s">
        <v>106</v>
      </c>
      <c r="S74" s="11" t="s">
        <v>62</v>
      </c>
      <c r="T74" s="11" t="s">
        <v>86</v>
      </c>
      <c r="U74" s="11" t="s">
        <v>44</v>
      </c>
      <c r="V74" s="11">
        <v>2024</v>
      </c>
      <c r="W74" s="11" t="s">
        <v>194</v>
      </c>
      <c r="X74" s="11">
        <v>1</v>
      </c>
      <c r="Y74" s="10">
        <v>45447</v>
      </c>
      <c r="Z74" s="11" t="s">
        <v>47</v>
      </c>
      <c r="AA74" s="11" t="s">
        <v>67</v>
      </c>
      <c r="AB74" s="11" t="s">
        <v>78</v>
      </c>
      <c r="AC74" s="11" t="s">
        <v>121</v>
      </c>
      <c r="AD74" s="11">
        <v>1</v>
      </c>
      <c r="AE74" s="11" t="s">
        <v>2229</v>
      </c>
      <c r="AF74" s="11" t="s">
        <v>2214</v>
      </c>
      <c r="AG74" s="25"/>
      <c r="AH74" s="11"/>
      <c r="AI74" s="11"/>
      <c r="AJ74" s="11"/>
      <c r="AK74" s="11"/>
      <c r="AL74" s="11"/>
      <c r="AM74" s="11" t="str">
        <f t="shared" si="9"/>
        <v>Needs Improvement</v>
      </c>
      <c r="AN74" s="11" t="str" cm="1">
        <f t="array" ref="AN74">_xlfn.IFS(N74&lt;10000,"Low",N74&lt;30000,"Medium",N74&gt;=30000,"High")</f>
        <v>Medium</v>
      </c>
      <c r="AO74" s="11" t="str">
        <f t="shared" si="10"/>
        <v>No</v>
      </c>
      <c r="AP74" s="11" t="str">
        <f t="shared" si="11"/>
        <v>No</v>
      </c>
      <c r="AQ74" s="11">
        <f t="shared" si="12"/>
        <v>0.2764138888888889</v>
      </c>
      <c r="AR74" s="33"/>
      <c r="AS74" s="33"/>
      <c r="AT74" s="33"/>
      <c r="AU74" s="33"/>
      <c r="AV74" s="33"/>
      <c r="AW74" s="33"/>
      <c r="AX74" s="33" t="str">
        <f t="shared" si="13"/>
        <v>Average</v>
      </c>
    </row>
    <row r="75" spans="1:50">
      <c r="A75" s="9" t="s">
        <v>1544</v>
      </c>
      <c r="B75" s="10">
        <v>45418</v>
      </c>
      <c r="C75" s="11" t="s">
        <v>1545</v>
      </c>
      <c r="D75" s="11" t="s">
        <v>1337</v>
      </c>
      <c r="E75" s="11" t="s">
        <v>55</v>
      </c>
      <c r="F75" s="11" t="s">
        <v>156</v>
      </c>
      <c r="G75" s="11" t="s">
        <v>157</v>
      </c>
      <c r="H75" s="11" t="s">
        <v>58</v>
      </c>
      <c r="I75" s="11" t="s">
        <v>95</v>
      </c>
      <c r="J75" s="11" t="s">
        <v>319</v>
      </c>
      <c r="K75" s="25">
        <v>10</v>
      </c>
      <c r="L75" s="25">
        <v>15000</v>
      </c>
      <c r="M75" s="29">
        <v>0</v>
      </c>
      <c r="N75" s="25">
        <v>150000</v>
      </c>
      <c r="O75" s="25">
        <v>86444.94</v>
      </c>
      <c r="P75" s="25">
        <v>63555.06</v>
      </c>
      <c r="Q75" s="21">
        <v>42.37</v>
      </c>
      <c r="R75" s="11" t="s">
        <v>166</v>
      </c>
      <c r="S75" s="11" t="s">
        <v>74</v>
      </c>
      <c r="T75" s="11" t="s">
        <v>138</v>
      </c>
      <c r="U75" s="11" t="s">
        <v>160</v>
      </c>
      <c r="V75" s="11">
        <v>2024</v>
      </c>
      <c r="W75" s="11" t="s">
        <v>134</v>
      </c>
      <c r="X75" s="11">
        <v>10</v>
      </c>
      <c r="Y75" s="10" t="s">
        <v>1211</v>
      </c>
      <c r="Z75" s="11" t="s">
        <v>110</v>
      </c>
      <c r="AA75" s="11" t="s">
        <v>67</v>
      </c>
      <c r="AB75" s="11" t="s">
        <v>49</v>
      </c>
      <c r="AC75" s="11" t="s">
        <v>50</v>
      </c>
      <c r="AD75" s="11">
        <v>2</v>
      </c>
      <c r="AE75" s="11" t="s">
        <v>2233</v>
      </c>
      <c r="AF75" s="11" t="s">
        <v>2238</v>
      </c>
      <c r="AG75" s="25"/>
      <c r="AH75" s="11"/>
      <c r="AI75" s="11"/>
      <c r="AJ75" s="11"/>
      <c r="AK75" s="11"/>
      <c r="AL75" s="11"/>
      <c r="AM75" s="11" t="str">
        <f t="shared" si="9"/>
        <v>Good</v>
      </c>
      <c r="AN75" s="11" t="str" cm="1">
        <f t="array" ref="AN75">_xlfn.IFS(N75&lt;10000,"Low",N75&lt;30000,"Medium",N75&gt;=30000,"High")</f>
        <v>High</v>
      </c>
      <c r="AO75" s="11" t="str">
        <f t="shared" si="10"/>
        <v>Yes</v>
      </c>
      <c r="AP75" s="11" t="str">
        <f t="shared" si="11"/>
        <v>Yes</v>
      </c>
      <c r="AQ75" s="11">
        <f t="shared" si="12"/>
        <v>0.42370039999999998</v>
      </c>
      <c r="AR75" s="33"/>
      <c r="AS75" s="33"/>
      <c r="AT75" s="33"/>
      <c r="AU75" s="33"/>
      <c r="AV75" s="33"/>
      <c r="AW75" s="33"/>
      <c r="AX75" s="33" t="str">
        <f t="shared" si="13"/>
        <v>Excellent</v>
      </c>
    </row>
    <row r="76" spans="1:50">
      <c r="A76" s="9" t="s">
        <v>1762</v>
      </c>
      <c r="B76" s="10">
        <v>45419</v>
      </c>
      <c r="C76" s="11" t="s">
        <v>1656</v>
      </c>
      <c r="D76" s="11" t="s">
        <v>263</v>
      </c>
      <c r="E76" s="11" t="s">
        <v>35</v>
      </c>
      <c r="F76" s="11" t="s">
        <v>116</v>
      </c>
      <c r="G76" s="11" t="s">
        <v>37</v>
      </c>
      <c r="H76" s="11" t="s">
        <v>38</v>
      </c>
      <c r="I76" s="11" t="s">
        <v>59</v>
      </c>
      <c r="J76" s="11" t="s">
        <v>372</v>
      </c>
      <c r="K76" s="25">
        <v>5</v>
      </c>
      <c r="L76" s="25">
        <v>2000</v>
      </c>
      <c r="M76" s="29">
        <v>0</v>
      </c>
      <c r="N76" s="25">
        <v>10000</v>
      </c>
      <c r="O76" s="25">
        <v>6361.86</v>
      </c>
      <c r="P76" s="25">
        <v>3638.14</v>
      </c>
      <c r="Q76" s="21">
        <v>36.380000000000003</v>
      </c>
      <c r="R76" s="11" t="s">
        <v>106</v>
      </c>
      <c r="S76" s="11" t="s">
        <v>62</v>
      </c>
      <c r="T76" s="11" t="s">
        <v>159</v>
      </c>
      <c r="U76" s="11" t="s">
        <v>151</v>
      </c>
      <c r="V76" s="11">
        <v>2024</v>
      </c>
      <c r="W76" s="11" t="s">
        <v>194</v>
      </c>
      <c r="X76" s="11">
        <v>8</v>
      </c>
      <c r="Y76" s="10" t="s">
        <v>1763</v>
      </c>
      <c r="Z76" s="11" t="s">
        <v>47</v>
      </c>
      <c r="AA76" s="11" t="s">
        <v>90</v>
      </c>
      <c r="AB76" s="11" t="s">
        <v>78</v>
      </c>
      <c r="AC76" s="11" t="s">
        <v>50</v>
      </c>
      <c r="AD76" s="11">
        <v>5</v>
      </c>
      <c r="AE76" s="11" t="s">
        <v>2220</v>
      </c>
      <c r="AF76" s="11" t="s">
        <v>2219</v>
      </c>
      <c r="AG76" s="25"/>
      <c r="AH76" s="11"/>
      <c r="AI76" s="11"/>
      <c r="AJ76" s="11"/>
      <c r="AK76" s="11"/>
      <c r="AL76" s="11"/>
      <c r="AM76" s="11" t="str">
        <f t="shared" si="9"/>
        <v>Good</v>
      </c>
      <c r="AN76" s="11" t="str" cm="1">
        <f t="array" ref="AN76">_xlfn.IFS(N76&lt;10000,"Low",N76&lt;30000,"Medium",N76&gt;=30000,"High")</f>
        <v>Medium</v>
      </c>
      <c r="AO76" s="11" t="str">
        <f t="shared" si="10"/>
        <v>No</v>
      </c>
      <c r="AP76" s="11" t="str">
        <f t="shared" si="11"/>
        <v>No</v>
      </c>
      <c r="AQ76" s="11">
        <f t="shared" si="12"/>
        <v>0.36381399999999997</v>
      </c>
      <c r="AR76" s="33"/>
      <c r="AS76" s="33"/>
      <c r="AT76" s="33"/>
      <c r="AU76" s="33"/>
      <c r="AV76" s="33"/>
      <c r="AW76" s="33"/>
      <c r="AX76" s="33" t="str">
        <f t="shared" si="13"/>
        <v>Low</v>
      </c>
    </row>
    <row r="77" spans="1:50">
      <c r="A77" s="9" t="s">
        <v>2075</v>
      </c>
      <c r="B77" s="10">
        <v>45419</v>
      </c>
      <c r="C77" s="11" t="s">
        <v>1815</v>
      </c>
      <c r="D77" s="11" t="s">
        <v>1249</v>
      </c>
      <c r="E77" s="11" t="s">
        <v>103</v>
      </c>
      <c r="F77" s="11" t="s">
        <v>149</v>
      </c>
      <c r="G77" s="11" t="s">
        <v>150</v>
      </c>
      <c r="H77" s="11" t="s">
        <v>94</v>
      </c>
      <c r="I77" s="11" t="s">
        <v>59</v>
      </c>
      <c r="J77" s="11" t="s">
        <v>372</v>
      </c>
      <c r="K77" s="25">
        <v>3</v>
      </c>
      <c r="L77" s="25">
        <v>500</v>
      </c>
      <c r="M77" s="29">
        <v>0.1</v>
      </c>
      <c r="N77" s="25">
        <v>1350</v>
      </c>
      <c r="O77" s="25">
        <v>952.69</v>
      </c>
      <c r="P77" s="25">
        <v>397.31</v>
      </c>
      <c r="Q77" s="21">
        <v>29.43</v>
      </c>
      <c r="R77" s="11" t="s">
        <v>73</v>
      </c>
      <c r="S77" s="11" t="s">
        <v>74</v>
      </c>
      <c r="T77" s="11" t="s">
        <v>75</v>
      </c>
      <c r="U77" s="11" t="s">
        <v>151</v>
      </c>
      <c r="V77" s="11">
        <v>2024</v>
      </c>
      <c r="W77" s="11" t="s">
        <v>194</v>
      </c>
      <c r="X77" s="11">
        <v>3</v>
      </c>
      <c r="Y77" s="10">
        <v>45511</v>
      </c>
      <c r="Z77" s="11" t="s">
        <v>47</v>
      </c>
      <c r="AA77" s="11" t="s">
        <v>67</v>
      </c>
      <c r="AB77" s="11" t="s">
        <v>111</v>
      </c>
      <c r="AC77" s="11" t="s">
        <v>121</v>
      </c>
      <c r="AD77" s="11">
        <v>3</v>
      </c>
      <c r="AE77" s="11" t="s">
        <v>2234</v>
      </c>
      <c r="AF77" s="11" t="s">
        <v>2212</v>
      </c>
      <c r="AG77" s="25"/>
      <c r="AH77" s="11"/>
      <c r="AI77" s="11"/>
      <c r="AJ77" s="11"/>
      <c r="AK77" s="11"/>
      <c r="AL77" s="11"/>
      <c r="AM77" s="11" t="str">
        <f t="shared" si="9"/>
        <v>Needs Improvement</v>
      </c>
      <c r="AN77" s="11" t="str" cm="1">
        <f t="array" ref="AN77">_xlfn.IFS(N77&lt;10000,"Low",N77&lt;30000,"Medium",N77&gt;=30000,"High")</f>
        <v>Low</v>
      </c>
      <c r="AO77" s="11" t="str">
        <f t="shared" si="10"/>
        <v>No</v>
      </c>
      <c r="AP77" s="11" t="str">
        <f t="shared" si="11"/>
        <v>Yes</v>
      </c>
      <c r="AQ77" s="11">
        <f t="shared" si="12"/>
        <v>0.29430370370370368</v>
      </c>
      <c r="AR77" s="33"/>
      <c r="AS77" s="33"/>
      <c r="AT77" s="33"/>
      <c r="AU77" s="33"/>
      <c r="AV77" s="33"/>
      <c r="AW77" s="33"/>
      <c r="AX77" s="33" t="str">
        <f t="shared" si="13"/>
        <v>Low</v>
      </c>
    </row>
    <row r="78" spans="1:50">
      <c r="A78" s="9" t="s">
        <v>1522</v>
      </c>
      <c r="B78" s="10">
        <v>45424</v>
      </c>
      <c r="C78" s="11" t="s">
        <v>288</v>
      </c>
      <c r="D78" s="11" t="s">
        <v>1209</v>
      </c>
      <c r="E78" s="11" t="s">
        <v>103</v>
      </c>
      <c r="F78" s="11" t="s">
        <v>245</v>
      </c>
      <c r="G78" s="11" t="s">
        <v>246</v>
      </c>
      <c r="H78" s="11" t="s">
        <v>58</v>
      </c>
      <c r="I78" s="11" t="s">
        <v>71</v>
      </c>
      <c r="J78" s="11" t="s">
        <v>172</v>
      </c>
      <c r="K78" s="25">
        <v>8</v>
      </c>
      <c r="L78" s="25">
        <v>1200</v>
      </c>
      <c r="M78" s="29">
        <v>0.1</v>
      </c>
      <c r="N78" s="25">
        <v>8640</v>
      </c>
      <c r="O78" s="25">
        <v>5320.76</v>
      </c>
      <c r="P78" s="25">
        <v>3319.24</v>
      </c>
      <c r="Q78" s="21">
        <v>38.42</v>
      </c>
      <c r="R78" s="11" t="s">
        <v>106</v>
      </c>
      <c r="S78" s="11" t="s">
        <v>74</v>
      </c>
      <c r="T78" s="11" t="s">
        <v>173</v>
      </c>
      <c r="U78" s="11" t="s">
        <v>64</v>
      </c>
      <c r="V78" s="11">
        <v>2024</v>
      </c>
      <c r="W78" s="11" t="s">
        <v>139</v>
      </c>
      <c r="X78" s="11">
        <v>8</v>
      </c>
      <c r="Y78" s="10" t="s">
        <v>1523</v>
      </c>
      <c r="Z78" s="11" t="s">
        <v>47</v>
      </c>
      <c r="AA78" s="11" t="s">
        <v>48</v>
      </c>
      <c r="AB78" s="11" t="s">
        <v>78</v>
      </c>
      <c r="AC78" s="11" t="s">
        <v>121</v>
      </c>
      <c r="AD78" s="11">
        <v>5</v>
      </c>
      <c r="AE78" s="11" t="s">
        <v>2225</v>
      </c>
      <c r="AF78" s="11" t="s">
        <v>2235</v>
      </c>
      <c r="AG78" s="25"/>
      <c r="AH78" s="11"/>
      <c r="AI78" s="11"/>
      <c r="AJ78" s="11"/>
      <c r="AK78" s="11"/>
      <c r="AL78" s="11"/>
      <c r="AM78" s="11" t="str">
        <f t="shared" si="9"/>
        <v>Good</v>
      </c>
      <c r="AN78" s="11" t="str" cm="1">
        <f t="array" ref="AN78">_xlfn.IFS(N78&lt;10000,"Low",N78&lt;30000,"Medium",N78&gt;=30000,"High")</f>
        <v>Low</v>
      </c>
      <c r="AO78" s="11" t="str">
        <f t="shared" si="10"/>
        <v>No</v>
      </c>
      <c r="AP78" s="11" t="str">
        <f t="shared" si="11"/>
        <v>Yes</v>
      </c>
      <c r="AQ78" s="11">
        <f t="shared" si="12"/>
        <v>0.38417129629629626</v>
      </c>
      <c r="AR78" s="33"/>
      <c r="AS78" s="33"/>
      <c r="AT78" s="33"/>
      <c r="AU78" s="33"/>
      <c r="AV78" s="33"/>
      <c r="AW78" s="33"/>
      <c r="AX78" s="33" t="str">
        <f t="shared" si="13"/>
        <v>Low</v>
      </c>
    </row>
    <row r="79" spans="1:50">
      <c r="A79" s="9" t="s">
        <v>2079</v>
      </c>
      <c r="B79" s="10">
        <v>45424</v>
      </c>
      <c r="C79" s="11" t="s">
        <v>430</v>
      </c>
      <c r="D79" s="11" t="s">
        <v>817</v>
      </c>
      <c r="E79" s="11" t="s">
        <v>35</v>
      </c>
      <c r="F79" s="11" t="s">
        <v>144</v>
      </c>
      <c r="G79" s="11" t="s">
        <v>145</v>
      </c>
      <c r="H79" s="11" t="s">
        <v>38</v>
      </c>
      <c r="I79" s="11" t="s">
        <v>95</v>
      </c>
      <c r="J79" s="11" t="s">
        <v>440</v>
      </c>
      <c r="K79" s="25">
        <v>2</v>
      </c>
      <c r="L79" s="25">
        <v>4000</v>
      </c>
      <c r="M79" s="29">
        <v>0</v>
      </c>
      <c r="N79" s="25">
        <v>8000</v>
      </c>
      <c r="O79" s="25">
        <v>5411.98</v>
      </c>
      <c r="P79" s="25">
        <v>2588.02</v>
      </c>
      <c r="Q79" s="21">
        <v>32.35</v>
      </c>
      <c r="R79" s="11" t="s">
        <v>166</v>
      </c>
      <c r="S79" s="11" t="s">
        <v>42</v>
      </c>
      <c r="T79" s="11" t="s">
        <v>97</v>
      </c>
      <c r="U79" s="11" t="s">
        <v>64</v>
      </c>
      <c r="V79" s="11">
        <v>2024</v>
      </c>
      <c r="W79" s="11" t="s">
        <v>139</v>
      </c>
      <c r="X79" s="11">
        <v>4</v>
      </c>
      <c r="Y79" s="10">
        <v>45547</v>
      </c>
      <c r="Z79" s="11" t="s">
        <v>89</v>
      </c>
      <c r="AA79" s="11" t="s">
        <v>90</v>
      </c>
      <c r="AB79" s="11" t="s">
        <v>111</v>
      </c>
      <c r="AC79" s="11" t="s">
        <v>121</v>
      </c>
      <c r="AD79" s="11">
        <v>2</v>
      </c>
      <c r="AE79" s="11" t="s">
        <v>2220</v>
      </c>
      <c r="AF79" s="11" t="s">
        <v>2214</v>
      </c>
      <c r="AG79" s="25"/>
      <c r="AH79" s="11"/>
      <c r="AI79" s="11"/>
      <c r="AJ79" s="11"/>
      <c r="AK79" s="11"/>
      <c r="AL79" s="11"/>
      <c r="AM79" s="11" t="str">
        <f t="shared" si="9"/>
        <v>Good</v>
      </c>
      <c r="AN79" s="11" t="str" cm="1">
        <f t="array" ref="AN79">_xlfn.IFS(N79&lt;10000,"Low",N79&lt;30000,"Medium",N79&gt;=30000,"High")</f>
        <v>Low</v>
      </c>
      <c r="AO79" s="11" t="str">
        <f t="shared" si="10"/>
        <v>No</v>
      </c>
      <c r="AP79" s="11" t="str">
        <f t="shared" si="11"/>
        <v>Yes</v>
      </c>
      <c r="AQ79" s="11">
        <f t="shared" si="12"/>
        <v>0.32350249999999997</v>
      </c>
      <c r="AR79" s="33"/>
      <c r="AS79" s="33"/>
      <c r="AT79" s="33"/>
      <c r="AU79" s="33"/>
      <c r="AV79" s="33"/>
      <c r="AW79" s="33"/>
      <c r="AX79" s="33" t="str">
        <f t="shared" si="13"/>
        <v>Low</v>
      </c>
    </row>
    <row r="80" spans="1:50">
      <c r="A80" s="9" t="s">
        <v>1177</v>
      </c>
      <c r="B80" s="10">
        <v>45444</v>
      </c>
      <c r="C80" s="11" t="s">
        <v>1129</v>
      </c>
      <c r="D80" s="11" t="s">
        <v>434</v>
      </c>
      <c r="E80" s="11" t="s">
        <v>55</v>
      </c>
      <c r="F80" s="11" t="s">
        <v>156</v>
      </c>
      <c r="G80" s="11" t="s">
        <v>157</v>
      </c>
      <c r="H80" s="11" t="s">
        <v>94</v>
      </c>
      <c r="I80" s="11" t="s">
        <v>59</v>
      </c>
      <c r="J80" s="11" t="s">
        <v>206</v>
      </c>
      <c r="K80" s="25">
        <v>10</v>
      </c>
      <c r="L80" s="25">
        <v>800</v>
      </c>
      <c r="M80" s="29">
        <v>0.2</v>
      </c>
      <c r="N80" s="25">
        <v>6400</v>
      </c>
      <c r="O80" s="25">
        <v>3589.22</v>
      </c>
      <c r="P80" s="25">
        <v>2810.78</v>
      </c>
      <c r="Q80" s="21">
        <v>43.92</v>
      </c>
      <c r="R80" s="11" t="s">
        <v>166</v>
      </c>
      <c r="S80" s="11" t="s">
        <v>42</v>
      </c>
      <c r="T80" s="11" t="s">
        <v>173</v>
      </c>
      <c r="U80" s="11" t="s">
        <v>76</v>
      </c>
      <c r="V80" s="11">
        <v>2024</v>
      </c>
      <c r="W80" s="11" t="s">
        <v>65</v>
      </c>
      <c r="X80" s="11">
        <v>7</v>
      </c>
      <c r="Y80" s="10" t="s">
        <v>697</v>
      </c>
      <c r="Z80" s="11" t="s">
        <v>47</v>
      </c>
      <c r="AA80" s="11" t="s">
        <v>67</v>
      </c>
      <c r="AB80" s="11" t="s">
        <v>78</v>
      </c>
      <c r="AC80" s="11" t="s">
        <v>121</v>
      </c>
      <c r="AD80" s="11">
        <v>1</v>
      </c>
      <c r="AE80" s="11" t="s">
        <v>2227</v>
      </c>
      <c r="AF80" s="11" t="s">
        <v>2231</v>
      </c>
      <c r="AG80" s="25"/>
      <c r="AH80" s="11"/>
      <c r="AI80" s="11"/>
      <c r="AJ80" s="11"/>
      <c r="AK80" s="11"/>
      <c r="AL80" s="11"/>
      <c r="AM80" s="11" t="str">
        <f t="shared" si="9"/>
        <v>Good</v>
      </c>
      <c r="AN80" s="11" t="str" cm="1">
        <f t="array" ref="AN80">_xlfn.IFS(N80&lt;10000,"Low",N80&lt;30000,"Medium",N80&gt;=30000,"High")</f>
        <v>Low</v>
      </c>
      <c r="AO80" s="11" t="str">
        <f t="shared" si="10"/>
        <v>No</v>
      </c>
      <c r="AP80" s="11" t="str">
        <f t="shared" si="11"/>
        <v>Yes</v>
      </c>
      <c r="AQ80" s="11">
        <f t="shared" si="12"/>
        <v>0.43918437500000002</v>
      </c>
      <c r="AR80" s="33"/>
      <c r="AS80" s="33"/>
      <c r="AT80" s="33"/>
      <c r="AU80" s="33"/>
      <c r="AV80" s="33"/>
      <c r="AW80" s="33"/>
      <c r="AX80" s="33" t="str">
        <f t="shared" si="13"/>
        <v>Low</v>
      </c>
    </row>
    <row r="81" spans="1:50">
      <c r="A81" s="9" t="s">
        <v>1766</v>
      </c>
      <c r="B81" s="10">
        <v>45444</v>
      </c>
      <c r="C81" s="11" t="s">
        <v>1621</v>
      </c>
      <c r="D81" s="11" t="s">
        <v>1112</v>
      </c>
      <c r="E81" s="11" t="s">
        <v>55</v>
      </c>
      <c r="F81" s="11" t="s">
        <v>56</v>
      </c>
      <c r="G81" s="11" t="s">
        <v>57</v>
      </c>
      <c r="H81" s="11" t="s">
        <v>58</v>
      </c>
      <c r="I81" s="11" t="s">
        <v>84</v>
      </c>
      <c r="J81" s="11" t="s">
        <v>290</v>
      </c>
      <c r="K81" s="25">
        <v>10</v>
      </c>
      <c r="L81" s="25">
        <v>500</v>
      </c>
      <c r="M81" s="29">
        <v>0.15</v>
      </c>
      <c r="N81" s="25">
        <v>4250</v>
      </c>
      <c r="O81" s="25">
        <v>3449.06</v>
      </c>
      <c r="P81" s="25">
        <v>800.94</v>
      </c>
      <c r="Q81" s="21">
        <v>18.850000000000001</v>
      </c>
      <c r="R81" s="11" t="s">
        <v>73</v>
      </c>
      <c r="S81" s="11" t="s">
        <v>74</v>
      </c>
      <c r="T81" s="11" t="s">
        <v>159</v>
      </c>
      <c r="U81" s="11" t="s">
        <v>76</v>
      </c>
      <c r="V81" s="11">
        <v>2024</v>
      </c>
      <c r="W81" s="11" t="s">
        <v>65</v>
      </c>
      <c r="X81" s="11">
        <v>7</v>
      </c>
      <c r="Y81" s="10" t="s">
        <v>697</v>
      </c>
      <c r="Z81" s="11" t="s">
        <v>47</v>
      </c>
      <c r="AA81" s="11" t="s">
        <v>67</v>
      </c>
      <c r="AB81" s="11" t="s">
        <v>78</v>
      </c>
      <c r="AC81" s="11" t="s">
        <v>121</v>
      </c>
      <c r="AD81" s="11">
        <v>3</v>
      </c>
      <c r="AE81" s="11" t="s">
        <v>2233</v>
      </c>
      <c r="AF81" s="11" t="s">
        <v>2219</v>
      </c>
      <c r="AG81" s="25"/>
      <c r="AH81" s="11"/>
      <c r="AI81" s="11"/>
      <c r="AJ81" s="11"/>
      <c r="AK81" s="11"/>
      <c r="AL81" s="11"/>
      <c r="AM81" s="11" t="str">
        <f t="shared" si="9"/>
        <v>Needs Improvement</v>
      </c>
      <c r="AN81" s="11" t="str" cm="1">
        <f t="array" ref="AN81">_xlfn.IFS(N81&lt;10000,"Low",N81&lt;30000,"Medium",N81&gt;=30000,"High")</f>
        <v>Low</v>
      </c>
      <c r="AO81" s="11" t="str">
        <f t="shared" si="10"/>
        <v>No</v>
      </c>
      <c r="AP81" s="11" t="str">
        <f t="shared" si="11"/>
        <v>Yes</v>
      </c>
      <c r="AQ81" s="11">
        <f t="shared" si="12"/>
        <v>0.18845647058823531</v>
      </c>
      <c r="AR81" s="33"/>
      <c r="AS81" s="33"/>
      <c r="AT81" s="33"/>
      <c r="AU81" s="33"/>
      <c r="AV81" s="33"/>
      <c r="AW81" s="33"/>
      <c r="AX81" s="33" t="str">
        <f t="shared" si="13"/>
        <v>Low</v>
      </c>
    </row>
    <row r="82" spans="1:50">
      <c r="A82" s="9" t="s">
        <v>2169</v>
      </c>
      <c r="B82" s="10">
        <v>45444</v>
      </c>
      <c r="C82" s="11" t="s">
        <v>702</v>
      </c>
      <c r="D82" s="11" t="s">
        <v>1375</v>
      </c>
      <c r="E82" s="11" t="s">
        <v>35</v>
      </c>
      <c r="F82" s="11" t="s">
        <v>144</v>
      </c>
      <c r="G82" s="11" t="s">
        <v>145</v>
      </c>
      <c r="H82" s="11" t="s">
        <v>38</v>
      </c>
      <c r="I82" s="11" t="s">
        <v>39</v>
      </c>
      <c r="J82" s="11" t="s">
        <v>253</v>
      </c>
      <c r="K82" s="25">
        <v>1</v>
      </c>
      <c r="L82" s="25">
        <v>15000</v>
      </c>
      <c r="M82" s="29">
        <v>0.05</v>
      </c>
      <c r="N82" s="25">
        <v>14250</v>
      </c>
      <c r="O82" s="25">
        <v>11352.29</v>
      </c>
      <c r="P82" s="25">
        <v>2897.71</v>
      </c>
      <c r="Q82" s="21">
        <v>20.329999999999998</v>
      </c>
      <c r="R82" s="11" t="s">
        <v>106</v>
      </c>
      <c r="S82" s="11" t="s">
        <v>74</v>
      </c>
      <c r="T82" s="11" t="s">
        <v>75</v>
      </c>
      <c r="U82" s="11" t="s">
        <v>76</v>
      </c>
      <c r="V82" s="11">
        <v>2024</v>
      </c>
      <c r="W82" s="11" t="s">
        <v>65</v>
      </c>
      <c r="X82" s="11">
        <v>9</v>
      </c>
      <c r="Y82" s="10" t="s">
        <v>1890</v>
      </c>
      <c r="Z82" s="11" t="s">
        <v>89</v>
      </c>
      <c r="AA82" s="11" t="s">
        <v>67</v>
      </c>
      <c r="AB82" s="11" t="s">
        <v>78</v>
      </c>
      <c r="AC82" s="11" t="s">
        <v>121</v>
      </c>
      <c r="AD82" s="11">
        <v>2</v>
      </c>
      <c r="AE82" s="11" t="s">
        <v>2225</v>
      </c>
      <c r="AF82" s="11" t="s">
        <v>2212</v>
      </c>
      <c r="AG82" s="25"/>
      <c r="AH82" s="11"/>
      <c r="AI82" s="11"/>
      <c r="AJ82" s="11"/>
      <c r="AK82" s="11"/>
      <c r="AL82" s="11"/>
      <c r="AM82" s="11" t="str">
        <f t="shared" si="9"/>
        <v>Needs Improvement</v>
      </c>
      <c r="AN82" s="11" t="str" cm="1">
        <f t="array" ref="AN82">_xlfn.IFS(N82&lt;10000,"Low",N82&lt;30000,"Medium",N82&gt;=30000,"High")</f>
        <v>Medium</v>
      </c>
      <c r="AO82" s="11" t="str">
        <f t="shared" si="10"/>
        <v>No</v>
      </c>
      <c r="AP82" s="11" t="str">
        <f t="shared" si="11"/>
        <v>Yes</v>
      </c>
      <c r="AQ82" s="11">
        <f t="shared" si="12"/>
        <v>0.2033480701754386</v>
      </c>
      <c r="AR82" s="33"/>
      <c r="AS82" s="33"/>
      <c r="AT82" s="33"/>
      <c r="AU82" s="33"/>
      <c r="AV82" s="33"/>
      <c r="AW82" s="33"/>
      <c r="AX82" s="33" t="str">
        <f t="shared" si="13"/>
        <v>Low</v>
      </c>
    </row>
    <row r="83" spans="1:50">
      <c r="A83" s="9" t="s">
        <v>1837</v>
      </c>
      <c r="B83" s="10">
        <v>45445</v>
      </c>
      <c r="C83" s="11" t="s">
        <v>681</v>
      </c>
      <c r="D83" s="11" t="s">
        <v>955</v>
      </c>
      <c r="E83" s="11" t="s">
        <v>55</v>
      </c>
      <c r="F83" s="11" t="s">
        <v>36</v>
      </c>
      <c r="G83" s="11" t="s">
        <v>37</v>
      </c>
      <c r="H83" s="11" t="s">
        <v>38</v>
      </c>
      <c r="I83" s="11" t="s">
        <v>59</v>
      </c>
      <c r="J83" s="11" t="s">
        <v>133</v>
      </c>
      <c r="K83" s="25">
        <v>4</v>
      </c>
      <c r="L83" s="25">
        <v>800</v>
      </c>
      <c r="M83" s="29">
        <v>0.2</v>
      </c>
      <c r="N83" s="25">
        <v>2560</v>
      </c>
      <c r="O83" s="25">
        <v>1483.58</v>
      </c>
      <c r="P83" s="25">
        <v>1076.42</v>
      </c>
      <c r="Q83" s="21">
        <v>42.05</v>
      </c>
      <c r="R83" s="11" t="s">
        <v>106</v>
      </c>
      <c r="S83" s="11" t="s">
        <v>42</v>
      </c>
      <c r="T83" s="11" t="s">
        <v>173</v>
      </c>
      <c r="U83" s="11" t="s">
        <v>98</v>
      </c>
      <c r="V83" s="11">
        <v>2024</v>
      </c>
      <c r="W83" s="11" t="s">
        <v>109</v>
      </c>
      <c r="X83" s="11">
        <v>8</v>
      </c>
      <c r="Y83" s="10" t="s">
        <v>345</v>
      </c>
      <c r="Z83" s="11" t="s">
        <v>110</v>
      </c>
      <c r="AA83" s="11" t="s">
        <v>90</v>
      </c>
      <c r="AB83" s="11" t="s">
        <v>78</v>
      </c>
      <c r="AC83" s="11" t="s">
        <v>50</v>
      </c>
      <c r="AD83" s="11">
        <v>4</v>
      </c>
      <c r="AE83" s="11" t="s">
        <v>2226</v>
      </c>
      <c r="AF83" s="11" t="s">
        <v>2217</v>
      </c>
      <c r="AG83" s="25"/>
      <c r="AH83" s="11"/>
      <c r="AI83" s="11"/>
      <c r="AJ83" s="11"/>
      <c r="AK83" s="11"/>
      <c r="AL83" s="11"/>
      <c r="AM83" s="11" t="str">
        <f t="shared" si="9"/>
        <v>Good</v>
      </c>
      <c r="AN83" s="11" t="str" cm="1">
        <f t="array" ref="AN83">_xlfn.IFS(N83&lt;10000,"Low",N83&lt;30000,"Medium",N83&gt;=30000,"High")</f>
        <v>Low</v>
      </c>
      <c r="AO83" s="11" t="str">
        <f t="shared" si="10"/>
        <v>No</v>
      </c>
      <c r="AP83" s="11" t="str">
        <f t="shared" si="11"/>
        <v>Yes</v>
      </c>
      <c r="AQ83" s="11">
        <f t="shared" si="12"/>
        <v>0.42047656250000004</v>
      </c>
      <c r="AR83" s="33"/>
      <c r="AS83" s="33"/>
      <c r="AT83" s="33"/>
      <c r="AU83" s="33"/>
      <c r="AV83" s="33"/>
      <c r="AW83" s="33"/>
      <c r="AX83" s="33" t="str">
        <f t="shared" si="13"/>
        <v>Low</v>
      </c>
    </row>
    <row r="84" spans="1:50">
      <c r="A84" s="9" t="s">
        <v>1477</v>
      </c>
      <c r="B84" s="10">
        <v>45446</v>
      </c>
      <c r="C84" s="11" t="s">
        <v>1005</v>
      </c>
      <c r="D84" s="11" t="s">
        <v>607</v>
      </c>
      <c r="E84" s="11" t="s">
        <v>103</v>
      </c>
      <c r="F84" s="11" t="s">
        <v>156</v>
      </c>
      <c r="G84" s="11" t="s">
        <v>157</v>
      </c>
      <c r="H84" s="11" t="s">
        <v>94</v>
      </c>
      <c r="I84" s="11" t="s">
        <v>84</v>
      </c>
      <c r="J84" s="11" t="s">
        <v>217</v>
      </c>
      <c r="K84" s="25">
        <v>3</v>
      </c>
      <c r="L84" s="25">
        <v>100</v>
      </c>
      <c r="M84" s="29">
        <v>0.1</v>
      </c>
      <c r="N84" s="25">
        <v>270</v>
      </c>
      <c r="O84" s="25">
        <v>178.05</v>
      </c>
      <c r="P84" s="25">
        <v>91.95</v>
      </c>
      <c r="Q84" s="21">
        <v>34.06</v>
      </c>
      <c r="R84" s="11" t="s">
        <v>106</v>
      </c>
      <c r="S84" s="11" t="s">
        <v>42</v>
      </c>
      <c r="T84" s="11" t="s">
        <v>63</v>
      </c>
      <c r="U84" s="11" t="s">
        <v>178</v>
      </c>
      <c r="V84" s="11">
        <v>2024</v>
      </c>
      <c r="W84" s="11" t="s">
        <v>134</v>
      </c>
      <c r="X84" s="11">
        <v>9</v>
      </c>
      <c r="Y84" s="10" t="s">
        <v>179</v>
      </c>
      <c r="Z84" s="11" t="s">
        <v>47</v>
      </c>
      <c r="AA84" s="11" t="s">
        <v>48</v>
      </c>
      <c r="AB84" s="11" t="s">
        <v>111</v>
      </c>
      <c r="AC84" s="11" t="s">
        <v>121</v>
      </c>
      <c r="AD84" s="11">
        <v>2</v>
      </c>
      <c r="AE84" s="11" t="s">
        <v>118</v>
      </c>
      <c r="AF84" s="11" t="s">
        <v>2210</v>
      </c>
      <c r="AG84" s="25"/>
      <c r="AH84" s="11"/>
      <c r="AI84" s="11"/>
      <c r="AJ84" s="11"/>
      <c r="AK84" s="11"/>
      <c r="AL84" s="11"/>
      <c r="AM84" s="11" t="str">
        <f t="shared" si="9"/>
        <v>Good</v>
      </c>
      <c r="AN84" s="11" t="str" cm="1">
        <f t="array" ref="AN84">_xlfn.IFS(N84&lt;10000,"Low",N84&lt;30000,"Medium",N84&gt;=30000,"High")</f>
        <v>Low</v>
      </c>
      <c r="AO84" s="11" t="str">
        <f t="shared" si="10"/>
        <v>No</v>
      </c>
      <c r="AP84" s="11" t="str">
        <f t="shared" si="11"/>
        <v>Yes</v>
      </c>
      <c r="AQ84" s="11">
        <f t="shared" si="12"/>
        <v>0.34055555555555556</v>
      </c>
      <c r="AR84" s="33"/>
      <c r="AS84" s="33"/>
      <c r="AT84" s="33"/>
      <c r="AU84" s="33"/>
      <c r="AV84" s="33"/>
      <c r="AW84" s="33"/>
      <c r="AX84" s="33" t="str">
        <f t="shared" si="13"/>
        <v>Low</v>
      </c>
    </row>
    <row r="85" spans="1:50">
      <c r="A85" s="9" t="s">
        <v>1625</v>
      </c>
      <c r="B85" s="10">
        <v>45446</v>
      </c>
      <c r="C85" s="11" t="s">
        <v>1626</v>
      </c>
      <c r="D85" s="11" t="s">
        <v>297</v>
      </c>
      <c r="E85" s="11" t="s">
        <v>55</v>
      </c>
      <c r="F85" s="11" t="s">
        <v>149</v>
      </c>
      <c r="G85" s="11" t="s">
        <v>150</v>
      </c>
      <c r="H85" s="11" t="s">
        <v>58</v>
      </c>
      <c r="I85" s="11" t="s">
        <v>95</v>
      </c>
      <c r="J85" s="11" t="s">
        <v>344</v>
      </c>
      <c r="K85" s="25">
        <v>3</v>
      </c>
      <c r="L85" s="25">
        <v>9000</v>
      </c>
      <c r="M85" s="29">
        <v>0.15</v>
      </c>
      <c r="N85" s="25">
        <v>22950</v>
      </c>
      <c r="O85" s="25">
        <v>14174.62</v>
      </c>
      <c r="P85" s="25">
        <v>8775.3799999999992</v>
      </c>
      <c r="Q85" s="21">
        <v>38.24</v>
      </c>
      <c r="R85" s="11" t="s">
        <v>73</v>
      </c>
      <c r="S85" s="11" t="s">
        <v>62</v>
      </c>
      <c r="T85" s="11" t="s">
        <v>173</v>
      </c>
      <c r="U85" s="11" t="s">
        <v>178</v>
      </c>
      <c r="V85" s="11">
        <v>2024</v>
      </c>
      <c r="W85" s="11" t="s">
        <v>134</v>
      </c>
      <c r="X85" s="11">
        <v>1</v>
      </c>
      <c r="Y85" s="10">
        <v>45476</v>
      </c>
      <c r="Z85" s="11" t="s">
        <v>89</v>
      </c>
      <c r="AA85" s="11" t="s">
        <v>48</v>
      </c>
      <c r="AB85" s="11" t="s">
        <v>78</v>
      </c>
      <c r="AC85" s="11" t="s">
        <v>50</v>
      </c>
      <c r="AD85" s="11">
        <v>2</v>
      </c>
      <c r="AE85" s="11" t="s">
        <v>2237</v>
      </c>
      <c r="AF85" s="11" t="s">
        <v>2219</v>
      </c>
      <c r="AG85" s="25"/>
      <c r="AH85" s="11"/>
      <c r="AI85" s="11"/>
      <c r="AJ85" s="11"/>
      <c r="AK85" s="11"/>
      <c r="AL85" s="11"/>
      <c r="AM85" s="11" t="str">
        <f t="shared" si="9"/>
        <v>Good</v>
      </c>
      <c r="AN85" s="11" t="str" cm="1">
        <f t="array" ref="AN85">_xlfn.IFS(N85&lt;10000,"Low",N85&lt;30000,"Medium",N85&gt;=30000,"High")</f>
        <v>Medium</v>
      </c>
      <c r="AO85" s="11" t="str">
        <f t="shared" si="10"/>
        <v>No</v>
      </c>
      <c r="AP85" s="11" t="str">
        <f t="shared" si="11"/>
        <v>No</v>
      </c>
      <c r="AQ85" s="11">
        <f t="shared" si="12"/>
        <v>0.38236949891067534</v>
      </c>
      <c r="AR85" s="33"/>
      <c r="AS85" s="33"/>
      <c r="AT85" s="33"/>
      <c r="AU85" s="33"/>
      <c r="AV85" s="33"/>
      <c r="AW85" s="33"/>
      <c r="AX85" s="33" t="str">
        <f t="shared" si="13"/>
        <v>Average</v>
      </c>
    </row>
    <row r="86" spans="1:50">
      <c r="A86" s="9" t="s">
        <v>141</v>
      </c>
      <c r="B86" s="10">
        <v>45447</v>
      </c>
      <c r="C86" s="11" t="s">
        <v>142</v>
      </c>
      <c r="D86" s="11" t="s">
        <v>143</v>
      </c>
      <c r="E86" s="11" t="s">
        <v>103</v>
      </c>
      <c r="F86" s="11" t="s">
        <v>144</v>
      </c>
      <c r="G86" s="11" t="s">
        <v>145</v>
      </c>
      <c r="H86" s="11" t="s">
        <v>58</v>
      </c>
      <c r="I86" s="11" t="s">
        <v>71</v>
      </c>
      <c r="J86" s="11" t="s">
        <v>117</v>
      </c>
      <c r="K86" s="25">
        <v>8</v>
      </c>
      <c r="L86" s="25">
        <v>2500</v>
      </c>
      <c r="M86" s="29">
        <v>0.05</v>
      </c>
      <c r="N86" s="25">
        <v>19000</v>
      </c>
      <c r="O86" s="25">
        <v>12267.55</v>
      </c>
      <c r="P86" s="25">
        <v>6732.45</v>
      </c>
      <c r="Q86" s="21">
        <v>35.43</v>
      </c>
      <c r="R86" s="11" t="s">
        <v>106</v>
      </c>
      <c r="S86" s="11" t="s">
        <v>74</v>
      </c>
      <c r="T86" s="11" t="s">
        <v>75</v>
      </c>
      <c r="U86" s="11" t="s">
        <v>44</v>
      </c>
      <c r="V86" s="11">
        <v>2024</v>
      </c>
      <c r="W86" s="11" t="s">
        <v>65</v>
      </c>
      <c r="X86" s="11">
        <v>2</v>
      </c>
      <c r="Y86" s="10">
        <v>45508</v>
      </c>
      <c r="Z86" s="11" t="s">
        <v>110</v>
      </c>
      <c r="AA86" s="11" t="s">
        <v>48</v>
      </c>
      <c r="AB86" s="11" t="s">
        <v>78</v>
      </c>
      <c r="AC86" s="11" t="s">
        <v>121</v>
      </c>
      <c r="AD86" s="11">
        <v>2</v>
      </c>
      <c r="AE86" s="11" t="s">
        <v>2239</v>
      </c>
      <c r="AF86" s="11" t="s">
        <v>2217</v>
      </c>
      <c r="AG86" s="25"/>
      <c r="AH86" s="11"/>
      <c r="AI86" s="11"/>
      <c r="AJ86" s="11"/>
      <c r="AK86" s="11"/>
      <c r="AL86" s="11"/>
      <c r="AM86" s="11" t="str">
        <f t="shared" si="9"/>
        <v>Good</v>
      </c>
      <c r="AN86" s="11" t="str" cm="1">
        <f t="array" ref="AN86">_xlfn.IFS(N86&lt;10000,"Low",N86&lt;30000,"Medium",N86&gt;=30000,"High")</f>
        <v>Medium</v>
      </c>
      <c r="AO86" s="11" t="str">
        <f t="shared" si="10"/>
        <v>No</v>
      </c>
      <c r="AP86" s="11" t="str">
        <f t="shared" si="11"/>
        <v>Yes</v>
      </c>
      <c r="AQ86" s="11">
        <f t="shared" si="12"/>
        <v>0.35433947368421054</v>
      </c>
      <c r="AR86" s="33"/>
      <c r="AS86" s="33"/>
      <c r="AT86" s="33"/>
      <c r="AU86" s="33"/>
      <c r="AV86" s="33"/>
      <c r="AW86" s="33"/>
      <c r="AX86" s="33" t="str">
        <f t="shared" si="13"/>
        <v>Average</v>
      </c>
    </row>
    <row r="87" spans="1:50">
      <c r="A87" s="9" t="s">
        <v>1599</v>
      </c>
      <c r="B87" s="10">
        <v>45447</v>
      </c>
      <c r="C87" s="11" t="s">
        <v>1372</v>
      </c>
      <c r="D87" s="11" t="s">
        <v>508</v>
      </c>
      <c r="E87" s="11" t="s">
        <v>103</v>
      </c>
      <c r="F87" s="11" t="s">
        <v>116</v>
      </c>
      <c r="G87" s="11" t="s">
        <v>37</v>
      </c>
      <c r="H87" s="11" t="s">
        <v>171</v>
      </c>
      <c r="I87" s="11" t="s">
        <v>95</v>
      </c>
      <c r="J87" s="11" t="s">
        <v>96</v>
      </c>
      <c r="K87" s="25">
        <v>9</v>
      </c>
      <c r="L87" s="25">
        <v>4000</v>
      </c>
      <c r="M87" s="29">
        <v>0.05</v>
      </c>
      <c r="N87" s="25">
        <v>34200</v>
      </c>
      <c r="O87" s="25">
        <v>26233.14</v>
      </c>
      <c r="P87" s="25">
        <v>7966.86</v>
      </c>
      <c r="Q87" s="21">
        <v>23.29</v>
      </c>
      <c r="R87" s="11" t="s">
        <v>41</v>
      </c>
      <c r="S87" s="11" t="s">
        <v>62</v>
      </c>
      <c r="T87" s="11" t="s">
        <v>138</v>
      </c>
      <c r="U87" s="11" t="s">
        <v>44</v>
      </c>
      <c r="V87" s="11">
        <v>2024</v>
      </c>
      <c r="W87" s="11" t="s">
        <v>65</v>
      </c>
      <c r="X87" s="11">
        <v>2</v>
      </c>
      <c r="Y87" s="10">
        <v>45508</v>
      </c>
      <c r="Z87" s="11" t="s">
        <v>47</v>
      </c>
      <c r="AA87" s="11" t="s">
        <v>67</v>
      </c>
      <c r="AB87" s="11" t="s">
        <v>78</v>
      </c>
      <c r="AC87" s="11" t="s">
        <v>50</v>
      </c>
      <c r="AD87" s="11">
        <v>1</v>
      </c>
      <c r="AE87" s="11" t="s">
        <v>2239</v>
      </c>
      <c r="AF87" s="11" t="s">
        <v>2219</v>
      </c>
      <c r="AG87" s="25"/>
      <c r="AH87" s="11"/>
      <c r="AI87" s="11"/>
      <c r="AJ87" s="11"/>
      <c r="AK87" s="11"/>
      <c r="AL87" s="11"/>
      <c r="AM87" s="11" t="str">
        <f t="shared" si="9"/>
        <v>Needs Improvement</v>
      </c>
      <c r="AN87" s="11" t="str" cm="1">
        <f t="array" ref="AN87">_xlfn.IFS(N87&lt;10000,"Low",N87&lt;30000,"Medium",N87&gt;=30000,"High")</f>
        <v>High</v>
      </c>
      <c r="AO87" s="11" t="str">
        <f t="shared" si="10"/>
        <v>No</v>
      </c>
      <c r="AP87" s="11" t="str">
        <f t="shared" si="11"/>
        <v>No</v>
      </c>
      <c r="AQ87" s="11">
        <f t="shared" si="12"/>
        <v>0.23294912280701754</v>
      </c>
      <c r="AR87" s="33"/>
      <c r="AS87" s="33"/>
      <c r="AT87" s="33"/>
      <c r="AU87" s="33"/>
      <c r="AV87" s="33"/>
      <c r="AW87" s="33"/>
      <c r="AX87" s="33" t="str">
        <f t="shared" si="13"/>
        <v>Average</v>
      </c>
    </row>
    <row r="88" spans="1:50">
      <c r="A88" s="9" t="s">
        <v>1284</v>
      </c>
      <c r="B88" s="10">
        <v>45448</v>
      </c>
      <c r="C88" s="11" t="s">
        <v>1285</v>
      </c>
      <c r="D88" s="11" t="s">
        <v>464</v>
      </c>
      <c r="E88" s="11" t="s">
        <v>35</v>
      </c>
      <c r="F88" s="11" t="s">
        <v>131</v>
      </c>
      <c r="G88" s="11" t="s">
        <v>132</v>
      </c>
      <c r="H88" s="11" t="s">
        <v>171</v>
      </c>
      <c r="I88" s="11" t="s">
        <v>71</v>
      </c>
      <c r="J88" s="11" t="s">
        <v>158</v>
      </c>
      <c r="K88" s="25">
        <v>8</v>
      </c>
      <c r="L88" s="25">
        <v>700</v>
      </c>
      <c r="M88" s="29">
        <v>0.05</v>
      </c>
      <c r="N88" s="25">
        <v>5320</v>
      </c>
      <c r="O88" s="25">
        <v>3218.64</v>
      </c>
      <c r="P88" s="25">
        <v>2101.36</v>
      </c>
      <c r="Q88" s="21">
        <v>39.5</v>
      </c>
      <c r="R88" s="11" t="s">
        <v>41</v>
      </c>
      <c r="S88" s="11" t="s">
        <v>42</v>
      </c>
      <c r="T88" s="11" t="s">
        <v>63</v>
      </c>
      <c r="U88" s="11" t="s">
        <v>119</v>
      </c>
      <c r="V88" s="11">
        <v>2024</v>
      </c>
      <c r="W88" s="11" t="s">
        <v>126</v>
      </c>
      <c r="X88" s="11">
        <v>6</v>
      </c>
      <c r="Y88" s="10">
        <v>45631</v>
      </c>
      <c r="Z88" s="11" t="s">
        <v>47</v>
      </c>
      <c r="AA88" s="11" t="s">
        <v>90</v>
      </c>
      <c r="AB88" s="11" t="s">
        <v>111</v>
      </c>
      <c r="AC88" s="11" t="s">
        <v>121</v>
      </c>
      <c r="AD88" s="11">
        <v>5</v>
      </c>
      <c r="AE88" s="11" t="s">
        <v>2248</v>
      </c>
      <c r="AF88" s="11" t="s">
        <v>2217</v>
      </c>
      <c r="AG88" s="25"/>
      <c r="AH88" s="11"/>
      <c r="AI88" s="11"/>
      <c r="AJ88" s="11"/>
      <c r="AK88" s="11"/>
      <c r="AL88" s="11"/>
      <c r="AM88" s="11" t="str">
        <f t="shared" si="9"/>
        <v>Good</v>
      </c>
      <c r="AN88" s="11" t="str" cm="1">
        <f t="array" ref="AN88">_xlfn.IFS(N88&lt;10000,"Low",N88&lt;30000,"Medium",N88&gt;=30000,"High")</f>
        <v>Low</v>
      </c>
      <c r="AO88" s="11" t="str">
        <f t="shared" si="10"/>
        <v>No</v>
      </c>
      <c r="AP88" s="11" t="str">
        <f t="shared" si="11"/>
        <v>Yes</v>
      </c>
      <c r="AQ88" s="11">
        <f t="shared" si="12"/>
        <v>0.39499248120300756</v>
      </c>
      <c r="AR88" s="33"/>
      <c r="AS88" s="33"/>
      <c r="AT88" s="33"/>
      <c r="AU88" s="33"/>
      <c r="AV88" s="33"/>
      <c r="AW88" s="33"/>
      <c r="AX88" s="33" t="str">
        <f t="shared" si="13"/>
        <v>Low</v>
      </c>
    </row>
    <row r="89" spans="1:50">
      <c r="A89" s="9" t="s">
        <v>494</v>
      </c>
      <c r="B89" s="10">
        <v>45449</v>
      </c>
      <c r="C89" s="11" t="s">
        <v>495</v>
      </c>
      <c r="D89" s="11" t="s">
        <v>413</v>
      </c>
      <c r="E89" s="11" t="s">
        <v>103</v>
      </c>
      <c r="F89" s="11" t="s">
        <v>131</v>
      </c>
      <c r="G89" s="11" t="s">
        <v>132</v>
      </c>
      <c r="H89" s="11" t="s">
        <v>58</v>
      </c>
      <c r="I89" s="11" t="s">
        <v>39</v>
      </c>
      <c r="J89" s="11" t="s">
        <v>165</v>
      </c>
      <c r="K89" s="25">
        <v>3</v>
      </c>
      <c r="L89" s="25">
        <v>35000</v>
      </c>
      <c r="M89" s="29">
        <v>0.2</v>
      </c>
      <c r="N89" s="25">
        <v>84000</v>
      </c>
      <c r="O89" s="25">
        <v>62543.95</v>
      </c>
      <c r="P89" s="25">
        <v>21456.05</v>
      </c>
      <c r="Q89" s="21">
        <v>25.54</v>
      </c>
      <c r="R89" s="11" t="s">
        <v>106</v>
      </c>
      <c r="S89" s="11" t="s">
        <v>74</v>
      </c>
      <c r="T89" s="11" t="s">
        <v>43</v>
      </c>
      <c r="U89" s="11" t="s">
        <v>160</v>
      </c>
      <c r="V89" s="11">
        <v>2024</v>
      </c>
      <c r="W89" s="11" t="s">
        <v>139</v>
      </c>
      <c r="X89" s="11">
        <v>3</v>
      </c>
      <c r="Y89" s="10">
        <v>45541</v>
      </c>
      <c r="Z89" s="11" t="s">
        <v>89</v>
      </c>
      <c r="AA89" s="11" t="s">
        <v>48</v>
      </c>
      <c r="AB89" s="11" t="s">
        <v>111</v>
      </c>
      <c r="AC89" s="11" t="s">
        <v>50</v>
      </c>
      <c r="AD89" s="11">
        <v>2</v>
      </c>
      <c r="AE89" s="11" t="s">
        <v>2216</v>
      </c>
      <c r="AF89" s="11" t="s">
        <v>2217</v>
      </c>
      <c r="AG89" s="25"/>
      <c r="AH89" s="11"/>
      <c r="AI89" s="11"/>
      <c r="AJ89" s="11"/>
      <c r="AK89" s="11"/>
      <c r="AL89" s="11"/>
      <c r="AM89" s="11" t="str">
        <f t="shared" si="9"/>
        <v>Needs Improvement</v>
      </c>
      <c r="AN89" s="11" t="str" cm="1">
        <f t="array" ref="AN89">_xlfn.IFS(N89&lt;10000,"Low",N89&lt;30000,"Medium",N89&gt;=30000,"High")</f>
        <v>High</v>
      </c>
      <c r="AO89" s="11" t="str">
        <f t="shared" si="10"/>
        <v>Yes</v>
      </c>
      <c r="AP89" s="11" t="str">
        <f t="shared" si="11"/>
        <v>Yes</v>
      </c>
      <c r="AQ89" s="11">
        <f t="shared" si="12"/>
        <v>0.25542916666666665</v>
      </c>
      <c r="AR89" s="33"/>
      <c r="AS89" s="33"/>
      <c r="AT89" s="33"/>
      <c r="AU89" s="33"/>
      <c r="AV89" s="33"/>
      <c r="AW89" s="33"/>
      <c r="AX89" s="33" t="str">
        <f t="shared" si="13"/>
        <v>Excellent</v>
      </c>
    </row>
    <row r="90" spans="1:50">
      <c r="A90" s="9" t="s">
        <v>1498</v>
      </c>
      <c r="B90" s="10">
        <v>45449</v>
      </c>
      <c r="C90" s="11" t="s">
        <v>980</v>
      </c>
      <c r="D90" s="11" t="s">
        <v>1337</v>
      </c>
      <c r="E90" s="11" t="s">
        <v>103</v>
      </c>
      <c r="F90" s="11" t="s">
        <v>156</v>
      </c>
      <c r="G90" s="11" t="s">
        <v>157</v>
      </c>
      <c r="H90" s="11" t="s">
        <v>171</v>
      </c>
      <c r="I90" s="11" t="s">
        <v>71</v>
      </c>
      <c r="J90" s="11" t="s">
        <v>117</v>
      </c>
      <c r="K90" s="25">
        <v>2</v>
      </c>
      <c r="L90" s="25">
        <v>3500</v>
      </c>
      <c r="M90" s="29">
        <v>0.2</v>
      </c>
      <c r="N90" s="25">
        <v>5600</v>
      </c>
      <c r="O90" s="25">
        <v>4460.62</v>
      </c>
      <c r="P90" s="25">
        <v>1139.3800000000001</v>
      </c>
      <c r="Q90" s="21">
        <v>20.350000000000001</v>
      </c>
      <c r="R90" s="11" t="s">
        <v>73</v>
      </c>
      <c r="S90" s="11" t="s">
        <v>62</v>
      </c>
      <c r="T90" s="11" t="s">
        <v>75</v>
      </c>
      <c r="U90" s="11" t="s">
        <v>160</v>
      </c>
      <c r="V90" s="11">
        <v>2024</v>
      </c>
      <c r="W90" s="11" t="s">
        <v>139</v>
      </c>
      <c r="X90" s="11">
        <v>7</v>
      </c>
      <c r="Y90" s="10" t="s">
        <v>857</v>
      </c>
      <c r="Z90" s="11" t="s">
        <v>47</v>
      </c>
      <c r="AA90" s="11" t="s">
        <v>67</v>
      </c>
      <c r="AB90" s="11" t="s">
        <v>78</v>
      </c>
      <c r="AC90" s="11" t="s">
        <v>50</v>
      </c>
      <c r="AD90" s="11">
        <v>4</v>
      </c>
      <c r="AE90" s="11" t="s">
        <v>2233</v>
      </c>
      <c r="AF90" s="11" t="s">
        <v>2238</v>
      </c>
      <c r="AG90" s="25"/>
      <c r="AH90" s="11"/>
      <c r="AI90" s="11"/>
      <c r="AJ90" s="11"/>
      <c r="AK90" s="11"/>
      <c r="AL90" s="11"/>
      <c r="AM90" s="11" t="str">
        <f t="shared" si="9"/>
        <v>Needs Improvement</v>
      </c>
      <c r="AN90" s="11" t="str" cm="1">
        <f t="array" ref="AN90">_xlfn.IFS(N90&lt;10000,"Low",N90&lt;30000,"Medium",N90&gt;=30000,"High")</f>
        <v>Low</v>
      </c>
      <c r="AO90" s="11" t="str">
        <f t="shared" si="10"/>
        <v>No</v>
      </c>
      <c r="AP90" s="11" t="str">
        <f t="shared" si="11"/>
        <v>No</v>
      </c>
      <c r="AQ90" s="11">
        <f t="shared" si="12"/>
        <v>0.2034607142857143</v>
      </c>
      <c r="AR90" s="33"/>
      <c r="AS90" s="33"/>
      <c r="AT90" s="33"/>
      <c r="AU90" s="33"/>
      <c r="AV90" s="33"/>
      <c r="AW90" s="33"/>
      <c r="AX90" s="33" t="str">
        <f t="shared" si="13"/>
        <v>Low</v>
      </c>
    </row>
    <row r="91" spans="1:50">
      <c r="A91" s="9" t="s">
        <v>2056</v>
      </c>
      <c r="B91" s="10">
        <v>45449</v>
      </c>
      <c r="C91" s="11" t="s">
        <v>712</v>
      </c>
      <c r="D91" s="11" t="s">
        <v>817</v>
      </c>
      <c r="E91" s="11" t="s">
        <v>35</v>
      </c>
      <c r="F91" s="11" t="s">
        <v>245</v>
      </c>
      <c r="G91" s="11" t="s">
        <v>246</v>
      </c>
      <c r="H91" s="11" t="s">
        <v>171</v>
      </c>
      <c r="I91" s="11" t="s">
        <v>59</v>
      </c>
      <c r="J91" s="11" t="s">
        <v>372</v>
      </c>
      <c r="K91" s="25">
        <v>7</v>
      </c>
      <c r="L91" s="25">
        <v>3000</v>
      </c>
      <c r="M91" s="29">
        <v>0.15</v>
      </c>
      <c r="N91" s="25">
        <v>17850</v>
      </c>
      <c r="O91" s="25">
        <v>12304.93</v>
      </c>
      <c r="P91" s="25">
        <v>5545.07</v>
      </c>
      <c r="Q91" s="21">
        <v>31.06</v>
      </c>
      <c r="R91" s="11" t="s">
        <v>41</v>
      </c>
      <c r="S91" s="11" t="s">
        <v>74</v>
      </c>
      <c r="T91" s="11" t="s">
        <v>75</v>
      </c>
      <c r="U91" s="11" t="s">
        <v>160</v>
      </c>
      <c r="V91" s="11">
        <v>2024</v>
      </c>
      <c r="W91" s="11" t="s">
        <v>139</v>
      </c>
      <c r="X91" s="11">
        <v>3</v>
      </c>
      <c r="Y91" s="10">
        <v>45541</v>
      </c>
      <c r="Z91" s="11" t="s">
        <v>47</v>
      </c>
      <c r="AA91" s="11" t="s">
        <v>48</v>
      </c>
      <c r="AB91" s="11" t="s">
        <v>49</v>
      </c>
      <c r="AC91" s="11" t="s">
        <v>121</v>
      </c>
      <c r="AD91" s="11">
        <v>3</v>
      </c>
      <c r="AE91" s="11" t="s">
        <v>2220</v>
      </c>
      <c r="AF91" s="11" t="s">
        <v>2214</v>
      </c>
      <c r="AG91" s="25"/>
      <c r="AH91" s="11"/>
      <c r="AI91" s="11"/>
      <c r="AJ91" s="11"/>
      <c r="AK91" s="11"/>
      <c r="AL91" s="11"/>
      <c r="AM91" s="11" t="str">
        <f t="shared" si="9"/>
        <v>Good</v>
      </c>
      <c r="AN91" s="11" t="str" cm="1">
        <f t="array" ref="AN91">_xlfn.IFS(N91&lt;10000,"Low",N91&lt;30000,"Medium",N91&gt;=30000,"High")</f>
        <v>Medium</v>
      </c>
      <c r="AO91" s="11" t="str">
        <f t="shared" si="10"/>
        <v>No</v>
      </c>
      <c r="AP91" s="11" t="str">
        <f t="shared" si="11"/>
        <v>Yes</v>
      </c>
      <c r="AQ91" s="11">
        <f t="shared" si="12"/>
        <v>0.31064817927170868</v>
      </c>
      <c r="AR91" s="33"/>
      <c r="AS91" s="33"/>
      <c r="AT91" s="33"/>
      <c r="AU91" s="33"/>
      <c r="AV91" s="33"/>
      <c r="AW91" s="33"/>
      <c r="AX91" s="33" t="str">
        <f t="shared" si="13"/>
        <v>Average</v>
      </c>
    </row>
    <row r="92" spans="1:50">
      <c r="A92" s="9" t="s">
        <v>146</v>
      </c>
      <c r="B92" s="10">
        <v>45450</v>
      </c>
      <c r="C92" s="11" t="s">
        <v>147</v>
      </c>
      <c r="D92" s="11" t="s">
        <v>148</v>
      </c>
      <c r="E92" s="11" t="s">
        <v>103</v>
      </c>
      <c r="F92" s="11" t="s">
        <v>149</v>
      </c>
      <c r="G92" s="11" t="s">
        <v>150</v>
      </c>
      <c r="H92" s="11" t="s">
        <v>58</v>
      </c>
      <c r="I92" s="11" t="s">
        <v>95</v>
      </c>
      <c r="J92" s="11" t="s">
        <v>96</v>
      </c>
      <c r="K92" s="25">
        <v>8</v>
      </c>
      <c r="L92" s="25">
        <v>4000</v>
      </c>
      <c r="M92" s="29">
        <v>0.15</v>
      </c>
      <c r="N92" s="25">
        <v>27200</v>
      </c>
      <c r="O92" s="25">
        <v>16794.580000000002</v>
      </c>
      <c r="P92" s="25">
        <v>10405.42</v>
      </c>
      <c r="Q92" s="21">
        <v>38.26</v>
      </c>
      <c r="R92" s="11" t="s">
        <v>106</v>
      </c>
      <c r="S92" s="11" t="s">
        <v>42</v>
      </c>
      <c r="T92" s="11" t="s">
        <v>107</v>
      </c>
      <c r="U92" s="11" t="s">
        <v>151</v>
      </c>
      <c r="V92" s="11">
        <v>2024</v>
      </c>
      <c r="W92" s="11" t="s">
        <v>65</v>
      </c>
      <c r="X92" s="11">
        <v>5</v>
      </c>
      <c r="Y92" s="10">
        <v>45603</v>
      </c>
      <c r="Z92" s="11" t="s">
        <v>110</v>
      </c>
      <c r="AA92" s="11" t="s">
        <v>90</v>
      </c>
      <c r="AB92" s="11" t="s">
        <v>49</v>
      </c>
      <c r="AC92" s="11" t="s">
        <v>121</v>
      </c>
      <c r="AD92" s="11">
        <v>2</v>
      </c>
      <c r="AE92" s="11" t="s">
        <v>2239</v>
      </c>
      <c r="AF92" s="11" t="s">
        <v>2238</v>
      </c>
      <c r="AG92" s="25"/>
      <c r="AH92" s="11"/>
      <c r="AI92" s="11"/>
      <c r="AJ92" s="11"/>
      <c r="AK92" s="11"/>
      <c r="AL92" s="11"/>
      <c r="AM92" s="11" t="str">
        <f t="shared" si="9"/>
        <v>Good</v>
      </c>
      <c r="AN92" s="11" t="str" cm="1">
        <f t="array" ref="AN92">_xlfn.IFS(N92&lt;10000,"Low",N92&lt;30000,"Medium",N92&gt;=30000,"High")</f>
        <v>Medium</v>
      </c>
      <c r="AO92" s="11" t="str">
        <f t="shared" si="10"/>
        <v>No</v>
      </c>
      <c r="AP92" s="11" t="str">
        <f t="shared" si="11"/>
        <v>Yes</v>
      </c>
      <c r="AQ92" s="11">
        <f t="shared" si="12"/>
        <v>0.38255220588235295</v>
      </c>
      <c r="AR92" s="33"/>
      <c r="AS92" s="33"/>
      <c r="AT92" s="33"/>
      <c r="AU92" s="33"/>
      <c r="AV92" s="33"/>
      <c r="AW92" s="33"/>
      <c r="AX92" s="33" t="str">
        <f t="shared" si="13"/>
        <v>Good</v>
      </c>
    </row>
    <row r="93" spans="1:50">
      <c r="A93" s="9" t="s">
        <v>1199</v>
      </c>
      <c r="B93" s="10">
        <v>45454</v>
      </c>
      <c r="C93" s="11" t="s">
        <v>1200</v>
      </c>
      <c r="D93" s="11" t="s">
        <v>1201</v>
      </c>
      <c r="E93" s="11" t="s">
        <v>55</v>
      </c>
      <c r="F93" s="11" t="s">
        <v>245</v>
      </c>
      <c r="G93" s="11" t="s">
        <v>246</v>
      </c>
      <c r="H93" s="11" t="s">
        <v>58</v>
      </c>
      <c r="I93" s="11" t="s">
        <v>59</v>
      </c>
      <c r="J93" s="11" t="s">
        <v>372</v>
      </c>
      <c r="K93" s="25">
        <v>2</v>
      </c>
      <c r="L93" s="25">
        <v>800</v>
      </c>
      <c r="M93" s="29">
        <v>0.05</v>
      </c>
      <c r="N93" s="25">
        <v>1520</v>
      </c>
      <c r="O93" s="25">
        <v>1240.92</v>
      </c>
      <c r="P93" s="25">
        <v>279.08</v>
      </c>
      <c r="Q93" s="21">
        <v>18.36</v>
      </c>
      <c r="R93" s="11" t="s">
        <v>106</v>
      </c>
      <c r="S93" s="11" t="s">
        <v>62</v>
      </c>
      <c r="T93" s="11" t="s">
        <v>159</v>
      </c>
      <c r="U93" s="11" t="s">
        <v>198</v>
      </c>
      <c r="V93" s="11">
        <v>2024</v>
      </c>
      <c r="W93" s="11" t="s">
        <v>134</v>
      </c>
      <c r="X93" s="11">
        <v>8</v>
      </c>
      <c r="Y93" s="10" t="s">
        <v>1202</v>
      </c>
      <c r="Z93" s="11" t="s">
        <v>89</v>
      </c>
      <c r="AA93" s="11" t="s">
        <v>67</v>
      </c>
      <c r="AB93" s="11" t="s">
        <v>49</v>
      </c>
      <c r="AC93" s="11" t="s">
        <v>50</v>
      </c>
      <c r="AD93" s="11">
        <v>5</v>
      </c>
      <c r="AE93" s="11" t="s">
        <v>2229</v>
      </c>
      <c r="AF93" s="11" t="s">
        <v>2238</v>
      </c>
      <c r="AG93" s="25"/>
      <c r="AH93" s="11"/>
      <c r="AI93" s="11"/>
      <c r="AJ93" s="11"/>
      <c r="AK93" s="11"/>
      <c r="AL93" s="11"/>
      <c r="AM93" s="11" t="str">
        <f t="shared" si="9"/>
        <v>Needs Improvement</v>
      </c>
      <c r="AN93" s="11" t="str" cm="1">
        <f t="array" ref="AN93">_xlfn.IFS(N93&lt;10000,"Low",N93&lt;30000,"Medium",N93&gt;=30000,"High")</f>
        <v>Low</v>
      </c>
      <c r="AO93" s="11" t="str">
        <f t="shared" si="10"/>
        <v>No</v>
      </c>
      <c r="AP93" s="11" t="str">
        <f t="shared" si="11"/>
        <v>No</v>
      </c>
      <c r="AQ93" s="11">
        <f t="shared" si="12"/>
        <v>0.18360526315789472</v>
      </c>
      <c r="AR93" s="33"/>
      <c r="AS93" s="33"/>
      <c r="AT93" s="33"/>
      <c r="AU93" s="33"/>
      <c r="AV93" s="33"/>
      <c r="AW93" s="33"/>
      <c r="AX93" s="33" t="str">
        <f t="shared" si="13"/>
        <v>Low</v>
      </c>
    </row>
    <row r="94" spans="1:50">
      <c r="A94" s="9" t="s">
        <v>1336</v>
      </c>
      <c r="B94" s="10">
        <v>45454</v>
      </c>
      <c r="C94" s="11" t="s">
        <v>1090</v>
      </c>
      <c r="D94" s="11" t="s">
        <v>1337</v>
      </c>
      <c r="E94" s="11" t="s">
        <v>103</v>
      </c>
      <c r="F94" s="11" t="s">
        <v>131</v>
      </c>
      <c r="G94" s="11" t="s">
        <v>132</v>
      </c>
      <c r="H94" s="11" t="s">
        <v>94</v>
      </c>
      <c r="I94" s="11" t="s">
        <v>95</v>
      </c>
      <c r="J94" s="11" t="s">
        <v>344</v>
      </c>
      <c r="K94" s="25">
        <v>6</v>
      </c>
      <c r="L94" s="25">
        <v>6000</v>
      </c>
      <c r="M94" s="29">
        <v>0.1</v>
      </c>
      <c r="N94" s="25">
        <v>32400</v>
      </c>
      <c r="O94" s="25">
        <v>18064.75</v>
      </c>
      <c r="P94" s="25">
        <v>14335.25</v>
      </c>
      <c r="Q94" s="21">
        <v>44.24</v>
      </c>
      <c r="R94" s="11" t="s">
        <v>106</v>
      </c>
      <c r="S94" s="11" t="s">
        <v>62</v>
      </c>
      <c r="T94" s="11" t="s">
        <v>159</v>
      </c>
      <c r="U94" s="11" t="s">
        <v>198</v>
      </c>
      <c r="V94" s="11">
        <v>2024</v>
      </c>
      <c r="W94" s="11" t="s">
        <v>134</v>
      </c>
      <c r="X94" s="11">
        <v>5</v>
      </c>
      <c r="Y94" s="10">
        <v>45607</v>
      </c>
      <c r="Z94" s="11" t="s">
        <v>110</v>
      </c>
      <c r="AA94" s="11" t="s">
        <v>90</v>
      </c>
      <c r="AB94" s="11" t="s">
        <v>49</v>
      </c>
      <c r="AC94" s="11" t="s">
        <v>50</v>
      </c>
      <c r="AD94" s="11">
        <v>1</v>
      </c>
      <c r="AE94" s="11" t="s">
        <v>2233</v>
      </c>
      <c r="AF94" s="11" t="s">
        <v>2238</v>
      </c>
      <c r="AG94" s="25"/>
      <c r="AH94" s="11"/>
      <c r="AI94" s="11"/>
      <c r="AJ94" s="11"/>
      <c r="AK94" s="11"/>
      <c r="AL94" s="11"/>
      <c r="AM94" s="11" t="str">
        <f t="shared" si="9"/>
        <v>Good</v>
      </c>
      <c r="AN94" s="11" t="str" cm="1">
        <f t="array" ref="AN94">_xlfn.IFS(N94&lt;10000,"Low",N94&lt;30000,"Medium",N94&gt;=30000,"High")</f>
        <v>High</v>
      </c>
      <c r="AO94" s="11" t="str">
        <f t="shared" si="10"/>
        <v>Yes</v>
      </c>
      <c r="AP94" s="11" t="str">
        <f t="shared" si="11"/>
        <v>No</v>
      </c>
      <c r="AQ94" s="11">
        <f t="shared" si="12"/>
        <v>0.44244598765432097</v>
      </c>
      <c r="AR94" s="33"/>
      <c r="AS94" s="33"/>
      <c r="AT94" s="33"/>
      <c r="AU94" s="33"/>
      <c r="AV94" s="33"/>
      <c r="AW94" s="33"/>
      <c r="AX94" s="33" t="str">
        <f t="shared" si="13"/>
        <v>Good</v>
      </c>
    </row>
    <row r="95" spans="1:50">
      <c r="A95" s="9" t="s">
        <v>1864</v>
      </c>
      <c r="B95" s="10">
        <v>45454</v>
      </c>
      <c r="C95" s="11" t="s">
        <v>965</v>
      </c>
      <c r="D95" s="11" t="s">
        <v>339</v>
      </c>
      <c r="E95" s="11" t="s">
        <v>55</v>
      </c>
      <c r="F95" s="11" t="s">
        <v>82</v>
      </c>
      <c r="G95" s="11" t="s">
        <v>83</v>
      </c>
      <c r="H95" s="11" t="s">
        <v>94</v>
      </c>
      <c r="I95" s="11" t="s">
        <v>95</v>
      </c>
      <c r="J95" s="11" t="s">
        <v>344</v>
      </c>
      <c r="K95" s="25">
        <v>8</v>
      </c>
      <c r="L95" s="25">
        <v>9000</v>
      </c>
      <c r="M95" s="29">
        <v>0.05</v>
      </c>
      <c r="N95" s="25">
        <v>68400</v>
      </c>
      <c r="O95" s="25">
        <v>41825.89</v>
      </c>
      <c r="P95" s="25">
        <v>26574.11</v>
      </c>
      <c r="Q95" s="21">
        <v>38.85</v>
      </c>
      <c r="R95" s="11" t="s">
        <v>166</v>
      </c>
      <c r="S95" s="11" t="s">
        <v>74</v>
      </c>
      <c r="T95" s="11" t="s">
        <v>138</v>
      </c>
      <c r="U95" s="11" t="s">
        <v>198</v>
      </c>
      <c r="V95" s="11">
        <v>2024</v>
      </c>
      <c r="W95" s="11" t="s">
        <v>134</v>
      </c>
      <c r="X95" s="11">
        <v>9</v>
      </c>
      <c r="Y95" s="10" t="s">
        <v>991</v>
      </c>
      <c r="Z95" s="11" t="s">
        <v>47</v>
      </c>
      <c r="AA95" s="11" t="s">
        <v>48</v>
      </c>
      <c r="AB95" s="11" t="s">
        <v>49</v>
      </c>
      <c r="AC95" s="11" t="s">
        <v>50</v>
      </c>
      <c r="AD95" s="11">
        <v>1</v>
      </c>
      <c r="AE95" s="11" t="s">
        <v>2234</v>
      </c>
      <c r="AF95" s="11" t="s">
        <v>2214</v>
      </c>
      <c r="AG95" s="25"/>
      <c r="AH95" s="11"/>
      <c r="AI95" s="11"/>
      <c r="AJ95" s="11"/>
      <c r="AK95" s="11"/>
      <c r="AL95" s="11"/>
      <c r="AM95" s="11" t="str">
        <f t="shared" si="9"/>
        <v>Good</v>
      </c>
      <c r="AN95" s="11" t="str" cm="1">
        <f t="array" ref="AN95">_xlfn.IFS(N95&lt;10000,"Low",N95&lt;30000,"Medium",N95&gt;=30000,"High")</f>
        <v>High</v>
      </c>
      <c r="AO95" s="11" t="str">
        <f t="shared" si="10"/>
        <v>Yes</v>
      </c>
      <c r="AP95" s="11" t="str">
        <f t="shared" si="11"/>
        <v>Yes</v>
      </c>
      <c r="AQ95" s="11">
        <f t="shared" si="12"/>
        <v>0.3885103801169591</v>
      </c>
      <c r="AR95" s="33"/>
      <c r="AS95" s="33"/>
      <c r="AT95" s="33"/>
      <c r="AU95" s="33"/>
      <c r="AV95" s="33"/>
      <c r="AW95" s="33"/>
      <c r="AX95" s="33" t="str">
        <f t="shared" si="13"/>
        <v>Excellent</v>
      </c>
    </row>
    <row r="96" spans="1:50">
      <c r="A96" s="9" t="s">
        <v>2153</v>
      </c>
      <c r="B96" s="10">
        <v>45455</v>
      </c>
      <c r="C96" s="11" t="s">
        <v>350</v>
      </c>
      <c r="D96" s="11" t="s">
        <v>1146</v>
      </c>
      <c r="E96" s="11" t="s">
        <v>35</v>
      </c>
      <c r="F96" s="11" t="s">
        <v>131</v>
      </c>
      <c r="G96" s="11" t="s">
        <v>132</v>
      </c>
      <c r="H96" s="11" t="s">
        <v>38</v>
      </c>
      <c r="I96" s="11" t="s">
        <v>39</v>
      </c>
      <c r="J96" s="11" t="s">
        <v>105</v>
      </c>
      <c r="K96" s="25">
        <v>2</v>
      </c>
      <c r="L96" s="25">
        <v>8000</v>
      </c>
      <c r="M96" s="29">
        <v>0.1</v>
      </c>
      <c r="N96" s="25">
        <v>14400</v>
      </c>
      <c r="O96" s="25">
        <v>9287.7800000000007</v>
      </c>
      <c r="P96" s="25">
        <v>5112.22</v>
      </c>
      <c r="Q96" s="21">
        <v>35.5</v>
      </c>
      <c r="R96" s="11" t="s">
        <v>106</v>
      </c>
      <c r="S96" s="11" t="s">
        <v>62</v>
      </c>
      <c r="T96" s="11" t="s">
        <v>159</v>
      </c>
      <c r="U96" s="11" t="s">
        <v>64</v>
      </c>
      <c r="V96" s="11">
        <v>2024</v>
      </c>
      <c r="W96" s="11" t="s">
        <v>194</v>
      </c>
      <c r="X96" s="11">
        <v>1</v>
      </c>
      <c r="Y96" s="10">
        <v>45485</v>
      </c>
      <c r="Z96" s="11" t="s">
        <v>47</v>
      </c>
      <c r="AA96" s="11" t="s">
        <v>90</v>
      </c>
      <c r="AB96" s="11" t="s">
        <v>111</v>
      </c>
      <c r="AC96" s="11" t="s">
        <v>50</v>
      </c>
      <c r="AD96" s="11">
        <v>4</v>
      </c>
      <c r="AE96" s="11" t="s">
        <v>2234</v>
      </c>
      <c r="AF96" s="11" t="s">
        <v>2223</v>
      </c>
      <c r="AG96" s="25"/>
      <c r="AH96" s="11"/>
      <c r="AI96" s="11"/>
      <c r="AJ96" s="11"/>
      <c r="AK96" s="11"/>
      <c r="AL96" s="11"/>
      <c r="AM96" s="11" t="str">
        <f t="shared" si="9"/>
        <v>Good</v>
      </c>
      <c r="AN96" s="11" t="str" cm="1">
        <f t="array" ref="AN96">_xlfn.IFS(N96&lt;10000,"Low",N96&lt;30000,"Medium",N96&gt;=30000,"High")</f>
        <v>Medium</v>
      </c>
      <c r="AO96" s="11" t="str">
        <f t="shared" si="10"/>
        <v>No</v>
      </c>
      <c r="AP96" s="11" t="str">
        <f t="shared" si="11"/>
        <v>No</v>
      </c>
      <c r="AQ96" s="11">
        <f t="shared" si="12"/>
        <v>0.3550152777777778</v>
      </c>
      <c r="AR96" s="33"/>
      <c r="AS96" s="33"/>
      <c r="AT96" s="33"/>
      <c r="AU96" s="33"/>
      <c r="AV96" s="33"/>
      <c r="AW96" s="33"/>
      <c r="AX96" s="33" t="str">
        <f t="shared" si="13"/>
        <v>Average</v>
      </c>
    </row>
    <row r="97" spans="1:50">
      <c r="A97" s="9" t="s">
        <v>2174</v>
      </c>
      <c r="B97" s="10">
        <v>45455</v>
      </c>
      <c r="C97" s="11" t="s">
        <v>2175</v>
      </c>
      <c r="D97" s="11" t="s">
        <v>323</v>
      </c>
      <c r="E97" s="11" t="s">
        <v>103</v>
      </c>
      <c r="F97" s="11" t="s">
        <v>36</v>
      </c>
      <c r="G97" s="11" t="s">
        <v>37</v>
      </c>
      <c r="H97" s="11" t="s">
        <v>94</v>
      </c>
      <c r="I97" s="11" t="s">
        <v>59</v>
      </c>
      <c r="J97" s="11" t="s">
        <v>133</v>
      </c>
      <c r="K97" s="25">
        <v>4</v>
      </c>
      <c r="L97" s="25">
        <v>3000</v>
      </c>
      <c r="M97" s="29">
        <v>0.1</v>
      </c>
      <c r="N97" s="25">
        <v>10800</v>
      </c>
      <c r="O97" s="25">
        <v>6177.81</v>
      </c>
      <c r="P97" s="25">
        <v>4622.1899999999996</v>
      </c>
      <c r="Q97" s="21">
        <v>42.8</v>
      </c>
      <c r="R97" s="11" t="s">
        <v>166</v>
      </c>
      <c r="S97" s="11" t="s">
        <v>74</v>
      </c>
      <c r="T97" s="11" t="s">
        <v>173</v>
      </c>
      <c r="U97" s="11" t="s">
        <v>64</v>
      </c>
      <c r="V97" s="11">
        <v>2024</v>
      </c>
      <c r="W97" s="11" t="s">
        <v>194</v>
      </c>
      <c r="X97" s="11">
        <v>9</v>
      </c>
      <c r="Y97" s="10" t="s">
        <v>1791</v>
      </c>
      <c r="Z97" s="11" t="s">
        <v>89</v>
      </c>
      <c r="AA97" s="11" t="s">
        <v>67</v>
      </c>
      <c r="AB97" s="11" t="s">
        <v>111</v>
      </c>
      <c r="AC97" s="11" t="s">
        <v>121</v>
      </c>
      <c r="AD97" s="11">
        <v>1</v>
      </c>
      <c r="AE97" s="11" t="s">
        <v>2216</v>
      </c>
      <c r="AF97" s="11" t="s">
        <v>2249</v>
      </c>
      <c r="AG97" s="25"/>
      <c r="AH97" s="11"/>
      <c r="AI97" s="11"/>
      <c r="AJ97" s="11"/>
      <c r="AK97" s="11"/>
      <c r="AL97" s="11"/>
      <c r="AM97" s="11" t="str">
        <f t="shared" si="9"/>
        <v>Good</v>
      </c>
      <c r="AN97" s="11" t="str" cm="1">
        <f t="array" ref="AN97">_xlfn.IFS(N97&lt;10000,"Low",N97&lt;30000,"Medium",N97&gt;=30000,"High")</f>
        <v>Medium</v>
      </c>
      <c r="AO97" s="11" t="str">
        <f t="shared" si="10"/>
        <v>No</v>
      </c>
      <c r="AP97" s="11" t="str">
        <f t="shared" si="11"/>
        <v>Yes</v>
      </c>
      <c r="AQ97" s="11">
        <f t="shared" si="12"/>
        <v>0.42798055555555553</v>
      </c>
      <c r="AR97" s="33"/>
      <c r="AS97" s="33"/>
      <c r="AT97" s="33"/>
      <c r="AU97" s="33"/>
      <c r="AV97" s="33"/>
      <c r="AW97" s="33"/>
      <c r="AX97" s="33" t="str">
        <f t="shared" si="13"/>
        <v>Low</v>
      </c>
    </row>
    <row r="98" spans="1:50">
      <c r="A98" s="9" t="s">
        <v>1774</v>
      </c>
      <c r="B98" s="10">
        <v>45474</v>
      </c>
      <c r="C98" s="11" t="s">
        <v>1595</v>
      </c>
      <c r="D98" s="11" t="s">
        <v>379</v>
      </c>
      <c r="E98" s="11" t="s">
        <v>35</v>
      </c>
      <c r="F98" s="11" t="s">
        <v>131</v>
      </c>
      <c r="G98" s="11" t="s">
        <v>132</v>
      </c>
      <c r="H98" s="11" t="s">
        <v>171</v>
      </c>
      <c r="I98" s="11" t="s">
        <v>71</v>
      </c>
      <c r="J98" s="11" t="s">
        <v>72</v>
      </c>
      <c r="K98" s="25">
        <v>7</v>
      </c>
      <c r="L98" s="25">
        <v>3500</v>
      </c>
      <c r="M98" s="29">
        <v>0.1</v>
      </c>
      <c r="N98" s="25">
        <v>22050</v>
      </c>
      <c r="O98" s="25">
        <v>12239.85</v>
      </c>
      <c r="P98" s="25">
        <v>9810.15</v>
      </c>
      <c r="Q98" s="21">
        <v>44.49</v>
      </c>
      <c r="R98" s="11" t="s">
        <v>73</v>
      </c>
      <c r="S98" s="11" t="s">
        <v>42</v>
      </c>
      <c r="T98" s="11" t="s">
        <v>97</v>
      </c>
      <c r="U98" s="11" t="s">
        <v>76</v>
      </c>
      <c r="V98" s="11">
        <v>2024</v>
      </c>
      <c r="W98" s="11" t="s">
        <v>45</v>
      </c>
      <c r="X98" s="11">
        <v>10</v>
      </c>
      <c r="Y98" s="10" t="s">
        <v>592</v>
      </c>
      <c r="Z98" s="11" t="s">
        <v>110</v>
      </c>
      <c r="AA98" s="11" t="s">
        <v>48</v>
      </c>
      <c r="AB98" s="11" t="s">
        <v>78</v>
      </c>
      <c r="AC98" s="11" t="s">
        <v>121</v>
      </c>
      <c r="AD98" s="11">
        <v>5</v>
      </c>
      <c r="AE98" s="11" t="s">
        <v>2216</v>
      </c>
      <c r="AF98" s="11" t="s">
        <v>2223</v>
      </c>
      <c r="AG98" s="25"/>
      <c r="AH98" s="11"/>
      <c r="AI98" s="11"/>
      <c r="AJ98" s="11"/>
      <c r="AK98" s="11"/>
      <c r="AL98" s="11"/>
      <c r="AM98" s="11" t="str">
        <f t="shared" si="9"/>
        <v>Good</v>
      </c>
      <c r="AN98" s="11" t="str" cm="1">
        <f t="array" ref="AN98">_xlfn.IFS(N98&lt;10000,"Low",N98&lt;30000,"Medium",N98&gt;=30000,"High")</f>
        <v>Medium</v>
      </c>
      <c r="AO98" s="11" t="str">
        <f t="shared" si="10"/>
        <v>No</v>
      </c>
      <c r="AP98" s="11" t="str">
        <f t="shared" si="11"/>
        <v>Yes</v>
      </c>
      <c r="AQ98" s="11">
        <f t="shared" si="12"/>
        <v>0.44490476190476191</v>
      </c>
      <c r="AR98" s="33"/>
      <c r="AS98" s="33"/>
      <c r="AT98" s="33"/>
      <c r="AU98" s="33"/>
      <c r="AV98" s="33"/>
      <c r="AW98" s="33"/>
      <c r="AX98" s="33" t="str">
        <f t="shared" si="13"/>
        <v>Average</v>
      </c>
    </row>
    <row r="99" spans="1:50">
      <c r="A99" s="9" t="s">
        <v>1858</v>
      </c>
      <c r="B99" s="10">
        <v>45474</v>
      </c>
      <c r="C99" s="11" t="s">
        <v>1390</v>
      </c>
      <c r="D99" s="11" t="s">
        <v>684</v>
      </c>
      <c r="E99" s="11" t="s">
        <v>103</v>
      </c>
      <c r="F99" s="11" t="s">
        <v>116</v>
      </c>
      <c r="G99" s="11" t="s">
        <v>37</v>
      </c>
      <c r="H99" s="11" t="s">
        <v>38</v>
      </c>
      <c r="I99" s="11" t="s">
        <v>59</v>
      </c>
      <c r="J99" s="11" t="s">
        <v>328</v>
      </c>
      <c r="K99" s="25">
        <v>8</v>
      </c>
      <c r="L99" s="25">
        <v>800</v>
      </c>
      <c r="M99" s="29">
        <v>0.2</v>
      </c>
      <c r="N99" s="25">
        <v>5120</v>
      </c>
      <c r="O99" s="25">
        <v>4162.72</v>
      </c>
      <c r="P99" s="25">
        <v>957.28</v>
      </c>
      <c r="Q99" s="21">
        <v>18.7</v>
      </c>
      <c r="R99" s="11" t="s">
        <v>106</v>
      </c>
      <c r="S99" s="11" t="s">
        <v>42</v>
      </c>
      <c r="T99" s="11" t="s">
        <v>173</v>
      </c>
      <c r="U99" s="11" t="s">
        <v>76</v>
      </c>
      <c r="V99" s="11">
        <v>2024</v>
      </c>
      <c r="W99" s="11" t="s">
        <v>45</v>
      </c>
      <c r="X99" s="11">
        <v>2</v>
      </c>
      <c r="Y99" s="10">
        <v>45536</v>
      </c>
      <c r="Z99" s="11" t="s">
        <v>47</v>
      </c>
      <c r="AA99" s="11" t="s">
        <v>90</v>
      </c>
      <c r="AB99" s="11" t="s">
        <v>49</v>
      </c>
      <c r="AC99" s="11" t="s">
        <v>50</v>
      </c>
      <c r="AD99" s="11">
        <v>2</v>
      </c>
      <c r="AE99" s="11" t="s">
        <v>2233</v>
      </c>
      <c r="AF99" s="11" t="s">
        <v>2230</v>
      </c>
      <c r="AG99" s="25"/>
      <c r="AH99" s="11"/>
      <c r="AI99" s="11"/>
      <c r="AJ99" s="11"/>
      <c r="AK99" s="11"/>
      <c r="AL99" s="11"/>
      <c r="AM99" s="11" t="str">
        <f t="shared" si="9"/>
        <v>Needs Improvement</v>
      </c>
      <c r="AN99" s="11" t="str" cm="1">
        <f t="array" ref="AN99">_xlfn.IFS(N99&lt;10000,"Low",N99&lt;30000,"Medium",N99&gt;=30000,"High")</f>
        <v>Low</v>
      </c>
      <c r="AO99" s="11" t="str">
        <f t="shared" si="10"/>
        <v>No</v>
      </c>
      <c r="AP99" s="11" t="str">
        <f t="shared" si="11"/>
        <v>Yes</v>
      </c>
      <c r="AQ99" s="11">
        <f t="shared" si="12"/>
        <v>0.18696874999999999</v>
      </c>
      <c r="AR99" s="33"/>
      <c r="AS99" s="33"/>
      <c r="AT99" s="33"/>
      <c r="AU99" s="33"/>
      <c r="AV99" s="33"/>
      <c r="AW99" s="33"/>
      <c r="AX99" s="33" t="str">
        <f t="shared" si="13"/>
        <v>Low</v>
      </c>
    </row>
    <row r="100" spans="1:50">
      <c r="A100" s="9" t="s">
        <v>1376</v>
      </c>
      <c r="B100" s="10">
        <v>45478</v>
      </c>
      <c r="C100" s="11" t="s">
        <v>1265</v>
      </c>
      <c r="D100" s="11" t="s">
        <v>351</v>
      </c>
      <c r="E100" s="11" t="s">
        <v>103</v>
      </c>
      <c r="F100" s="11" t="s">
        <v>144</v>
      </c>
      <c r="G100" s="11" t="s">
        <v>145</v>
      </c>
      <c r="H100" s="11" t="s">
        <v>58</v>
      </c>
      <c r="I100" s="11" t="s">
        <v>59</v>
      </c>
      <c r="J100" s="11" t="s">
        <v>133</v>
      </c>
      <c r="K100" s="25">
        <v>2</v>
      </c>
      <c r="L100" s="25">
        <v>2000</v>
      </c>
      <c r="M100" s="29">
        <v>0.2</v>
      </c>
      <c r="N100" s="25">
        <v>3200</v>
      </c>
      <c r="O100" s="25">
        <v>2552.04</v>
      </c>
      <c r="P100" s="25">
        <v>647.96</v>
      </c>
      <c r="Q100" s="21">
        <v>20.25</v>
      </c>
      <c r="R100" s="11" t="s">
        <v>73</v>
      </c>
      <c r="S100" s="11" t="s">
        <v>74</v>
      </c>
      <c r="T100" s="11" t="s">
        <v>138</v>
      </c>
      <c r="U100" s="11" t="s">
        <v>119</v>
      </c>
      <c r="V100" s="11">
        <v>2024</v>
      </c>
      <c r="W100" s="11" t="s">
        <v>109</v>
      </c>
      <c r="X100" s="11">
        <v>2</v>
      </c>
      <c r="Y100" s="10">
        <v>45540</v>
      </c>
      <c r="Z100" s="11" t="s">
        <v>47</v>
      </c>
      <c r="AA100" s="11" t="s">
        <v>90</v>
      </c>
      <c r="AB100" s="11" t="s">
        <v>78</v>
      </c>
      <c r="AC100" s="11" t="s">
        <v>50</v>
      </c>
      <c r="AD100" s="11">
        <v>1</v>
      </c>
      <c r="AE100" s="11" t="s">
        <v>2216</v>
      </c>
      <c r="AF100" s="11" t="s">
        <v>2230</v>
      </c>
      <c r="AG100" s="25"/>
      <c r="AH100" s="11"/>
      <c r="AI100" s="11"/>
      <c r="AJ100" s="11"/>
      <c r="AK100" s="11"/>
      <c r="AL100" s="11"/>
      <c r="AM100" s="11" t="str">
        <f t="shared" si="9"/>
        <v>Needs Improvement</v>
      </c>
      <c r="AN100" s="11" t="str" cm="1">
        <f t="array" ref="AN100">_xlfn.IFS(N100&lt;10000,"Low",N100&lt;30000,"Medium",N100&gt;=30000,"High")</f>
        <v>Low</v>
      </c>
      <c r="AO100" s="11" t="str">
        <f t="shared" si="10"/>
        <v>No</v>
      </c>
      <c r="AP100" s="11" t="str">
        <f t="shared" si="11"/>
        <v>Yes</v>
      </c>
      <c r="AQ100" s="11">
        <f t="shared" si="12"/>
        <v>0.20248750000000001</v>
      </c>
      <c r="AR100" s="33"/>
      <c r="AS100" s="33"/>
      <c r="AT100" s="33"/>
      <c r="AU100" s="33"/>
      <c r="AV100" s="33"/>
      <c r="AW100" s="33"/>
      <c r="AX100" s="33" t="str">
        <f t="shared" si="13"/>
        <v>Low</v>
      </c>
    </row>
    <row r="101" spans="1:50">
      <c r="A101" s="9" t="s">
        <v>2118</v>
      </c>
      <c r="B101" s="10">
        <v>45478</v>
      </c>
      <c r="C101" s="11" t="s">
        <v>916</v>
      </c>
      <c r="D101" s="11" t="s">
        <v>737</v>
      </c>
      <c r="E101" s="11" t="s">
        <v>103</v>
      </c>
      <c r="F101" s="11" t="s">
        <v>82</v>
      </c>
      <c r="G101" s="11" t="s">
        <v>83</v>
      </c>
      <c r="H101" s="11" t="s">
        <v>94</v>
      </c>
      <c r="I101" s="11" t="s">
        <v>59</v>
      </c>
      <c r="J101" s="11" t="s">
        <v>60</v>
      </c>
      <c r="K101" s="25">
        <v>6</v>
      </c>
      <c r="L101" s="25">
        <v>500</v>
      </c>
      <c r="M101" s="29">
        <v>0</v>
      </c>
      <c r="N101" s="25">
        <v>3000</v>
      </c>
      <c r="O101" s="25">
        <v>2235.13</v>
      </c>
      <c r="P101" s="25">
        <v>764.87</v>
      </c>
      <c r="Q101" s="21">
        <v>25.5</v>
      </c>
      <c r="R101" s="11" t="s">
        <v>61</v>
      </c>
      <c r="S101" s="11" t="s">
        <v>74</v>
      </c>
      <c r="T101" s="11" t="s">
        <v>75</v>
      </c>
      <c r="U101" s="11" t="s">
        <v>119</v>
      </c>
      <c r="V101" s="11">
        <v>2024</v>
      </c>
      <c r="W101" s="11" t="s">
        <v>109</v>
      </c>
      <c r="X101" s="11">
        <v>10</v>
      </c>
      <c r="Y101" s="10" t="s">
        <v>465</v>
      </c>
      <c r="Z101" s="11" t="s">
        <v>47</v>
      </c>
      <c r="AA101" s="11" t="s">
        <v>48</v>
      </c>
      <c r="AB101" s="11" t="s">
        <v>49</v>
      </c>
      <c r="AC101" s="11" t="s">
        <v>50</v>
      </c>
      <c r="AD101" s="11">
        <v>1</v>
      </c>
      <c r="AE101" s="11" t="s">
        <v>2248</v>
      </c>
      <c r="AF101" s="11" t="s">
        <v>2231</v>
      </c>
      <c r="AG101" s="25"/>
      <c r="AH101" s="11"/>
      <c r="AI101" s="11"/>
      <c r="AJ101" s="11"/>
      <c r="AK101" s="11"/>
      <c r="AL101" s="11"/>
      <c r="AM101" s="11" t="str">
        <f t="shared" si="9"/>
        <v>Needs Improvement</v>
      </c>
      <c r="AN101" s="11" t="str" cm="1">
        <f t="array" ref="AN101">_xlfn.IFS(N101&lt;10000,"Low",N101&lt;30000,"Medium",N101&gt;=30000,"High")</f>
        <v>Low</v>
      </c>
      <c r="AO101" s="11" t="str">
        <f t="shared" si="10"/>
        <v>No</v>
      </c>
      <c r="AP101" s="11" t="str">
        <f t="shared" si="11"/>
        <v>Yes</v>
      </c>
      <c r="AQ101" s="11">
        <f t="shared" si="12"/>
        <v>0.25495666666666666</v>
      </c>
      <c r="AR101" s="33"/>
      <c r="AS101" s="33"/>
      <c r="AT101" s="33"/>
      <c r="AU101" s="33"/>
      <c r="AV101" s="33"/>
      <c r="AW101" s="33"/>
      <c r="AX101" s="33" t="str">
        <f t="shared" si="13"/>
        <v>Low</v>
      </c>
    </row>
    <row r="102" spans="1:50">
      <c r="A102" s="9" t="s">
        <v>191</v>
      </c>
      <c r="B102" s="10">
        <v>45479</v>
      </c>
      <c r="C102" s="11" t="s">
        <v>192</v>
      </c>
      <c r="D102" s="11" t="s">
        <v>193</v>
      </c>
      <c r="E102" s="11" t="s">
        <v>35</v>
      </c>
      <c r="F102" s="11" t="s">
        <v>149</v>
      </c>
      <c r="G102" s="11" t="s">
        <v>150</v>
      </c>
      <c r="H102" s="11" t="s">
        <v>171</v>
      </c>
      <c r="I102" s="11" t="s">
        <v>39</v>
      </c>
      <c r="J102" s="11" t="s">
        <v>40</v>
      </c>
      <c r="K102" s="25">
        <v>9</v>
      </c>
      <c r="L102" s="25">
        <v>22000</v>
      </c>
      <c r="M102" s="29">
        <v>0.2</v>
      </c>
      <c r="N102" s="25">
        <v>158400</v>
      </c>
      <c r="O102" s="25">
        <v>128870.38</v>
      </c>
      <c r="P102" s="25">
        <v>29529.62</v>
      </c>
      <c r="Q102" s="21">
        <v>18.64</v>
      </c>
      <c r="R102" s="11" t="s">
        <v>166</v>
      </c>
      <c r="S102" s="11" t="s">
        <v>42</v>
      </c>
      <c r="T102" s="11" t="s">
        <v>86</v>
      </c>
      <c r="U102" s="11" t="s">
        <v>160</v>
      </c>
      <c r="V102" s="11">
        <v>2024</v>
      </c>
      <c r="W102" s="11" t="s">
        <v>194</v>
      </c>
      <c r="X102" s="11">
        <v>4</v>
      </c>
      <c r="Y102" s="10">
        <v>45602</v>
      </c>
      <c r="Z102" s="11" t="s">
        <v>47</v>
      </c>
      <c r="AA102" s="11" t="s">
        <v>67</v>
      </c>
      <c r="AB102" s="11" t="s">
        <v>49</v>
      </c>
      <c r="AC102" s="11" t="s">
        <v>121</v>
      </c>
      <c r="AD102" s="11">
        <v>4</v>
      </c>
      <c r="AE102" s="11" t="s">
        <v>2221</v>
      </c>
      <c r="AF102" s="11" t="s">
        <v>2231</v>
      </c>
      <c r="AG102" s="25"/>
      <c r="AH102" s="11"/>
      <c r="AI102" s="11"/>
      <c r="AJ102" s="11"/>
      <c r="AK102" s="11"/>
      <c r="AL102" s="11"/>
      <c r="AM102" s="11" t="str">
        <f t="shared" si="9"/>
        <v>Needs Improvement</v>
      </c>
      <c r="AN102" s="11" t="str" cm="1">
        <f t="array" ref="AN102">_xlfn.IFS(N102&lt;10000,"Low",N102&lt;30000,"Medium",N102&gt;=30000,"High")</f>
        <v>High</v>
      </c>
      <c r="AO102" s="11" t="str">
        <f t="shared" si="10"/>
        <v>Yes</v>
      </c>
      <c r="AP102" s="11" t="str">
        <f t="shared" si="11"/>
        <v>Yes</v>
      </c>
      <c r="AQ102" s="11">
        <f t="shared" si="12"/>
        <v>0.18642436868686868</v>
      </c>
      <c r="AR102" s="33"/>
      <c r="AS102" s="33"/>
      <c r="AT102" s="33"/>
      <c r="AU102" s="33"/>
      <c r="AV102" s="33"/>
      <c r="AW102" s="33"/>
      <c r="AX102" s="33" t="str">
        <f t="shared" si="13"/>
        <v>Excellent</v>
      </c>
    </row>
    <row r="103" spans="1:50">
      <c r="A103" s="9" t="s">
        <v>1056</v>
      </c>
      <c r="B103" s="10">
        <v>45480</v>
      </c>
      <c r="C103" s="11" t="s">
        <v>80</v>
      </c>
      <c r="D103" s="11" t="s">
        <v>1057</v>
      </c>
      <c r="E103" s="11" t="s">
        <v>35</v>
      </c>
      <c r="F103" s="11" t="s">
        <v>56</v>
      </c>
      <c r="G103" s="11" t="s">
        <v>57</v>
      </c>
      <c r="H103" s="11" t="s">
        <v>94</v>
      </c>
      <c r="I103" s="11" t="s">
        <v>95</v>
      </c>
      <c r="J103" s="11" t="s">
        <v>96</v>
      </c>
      <c r="K103" s="25">
        <v>10</v>
      </c>
      <c r="L103" s="25">
        <v>9000</v>
      </c>
      <c r="M103" s="29">
        <v>0.1</v>
      </c>
      <c r="N103" s="25">
        <v>81000</v>
      </c>
      <c r="O103" s="25">
        <v>54913.03</v>
      </c>
      <c r="P103" s="25">
        <v>26086.97</v>
      </c>
      <c r="Q103" s="21">
        <v>32.21</v>
      </c>
      <c r="R103" s="11" t="s">
        <v>106</v>
      </c>
      <c r="S103" s="11" t="s">
        <v>62</v>
      </c>
      <c r="T103" s="11" t="s">
        <v>75</v>
      </c>
      <c r="U103" s="11" t="s">
        <v>151</v>
      </c>
      <c r="V103" s="11">
        <v>2024</v>
      </c>
      <c r="W103" s="11" t="s">
        <v>45</v>
      </c>
      <c r="X103" s="11">
        <v>7</v>
      </c>
      <c r="Y103" s="10" t="s">
        <v>832</v>
      </c>
      <c r="Z103" s="11" t="s">
        <v>110</v>
      </c>
      <c r="AA103" s="11" t="s">
        <v>90</v>
      </c>
      <c r="AB103" s="11" t="s">
        <v>111</v>
      </c>
      <c r="AC103" s="11" t="s">
        <v>121</v>
      </c>
      <c r="AD103" s="11">
        <v>2</v>
      </c>
      <c r="AE103" s="11" t="s">
        <v>86</v>
      </c>
      <c r="AF103" s="11" t="s">
        <v>2212</v>
      </c>
      <c r="AG103" s="25"/>
      <c r="AH103" s="11"/>
      <c r="AI103" s="11"/>
      <c r="AJ103" s="11"/>
      <c r="AK103" s="11"/>
      <c r="AL103" s="11"/>
      <c r="AM103" s="11" t="str">
        <f t="shared" si="9"/>
        <v>Good</v>
      </c>
      <c r="AN103" s="11" t="str" cm="1">
        <f t="array" ref="AN103">_xlfn.IFS(N103&lt;10000,"Low",N103&lt;30000,"Medium",N103&gt;=30000,"High")</f>
        <v>High</v>
      </c>
      <c r="AO103" s="11" t="str">
        <f t="shared" si="10"/>
        <v>Yes</v>
      </c>
      <c r="AP103" s="11" t="str">
        <f t="shared" si="11"/>
        <v>No</v>
      </c>
      <c r="AQ103" s="11">
        <f t="shared" si="12"/>
        <v>0.32206135802469138</v>
      </c>
      <c r="AR103" s="33"/>
      <c r="AS103" s="33"/>
      <c r="AT103" s="33"/>
      <c r="AU103" s="33"/>
      <c r="AV103" s="33"/>
      <c r="AW103" s="33"/>
      <c r="AX103" s="33" t="str">
        <f t="shared" si="13"/>
        <v>Excellent</v>
      </c>
    </row>
    <row r="104" spans="1:50">
      <c r="A104" s="9" t="s">
        <v>2168</v>
      </c>
      <c r="B104" s="10">
        <v>45480</v>
      </c>
      <c r="C104" s="11" t="s">
        <v>1111</v>
      </c>
      <c r="D104" s="11" t="s">
        <v>799</v>
      </c>
      <c r="E104" s="11" t="s">
        <v>35</v>
      </c>
      <c r="F104" s="11" t="s">
        <v>245</v>
      </c>
      <c r="G104" s="11" t="s">
        <v>246</v>
      </c>
      <c r="H104" s="11" t="s">
        <v>38</v>
      </c>
      <c r="I104" s="11" t="s">
        <v>84</v>
      </c>
      <c r="J104" s="11" t="s">
        <v>390</v>
      </c>
      <c r="K104" s="25">
        <v>8</v>
      </c>
      <c r="L104" s="25">
        <v>800</v>
      </c>
      <c r="M104" s="29">
        <v>0.1</v>
      </c>
      <c r="N104" s="25">
        <v>5760</v>
      </c>
      <c r="O104" s="25">
        <v>4144.26</v>
      </c>
      <c r="P104" s="25">
        <v>1615.74</v>
      </c>
      <c r="Q104" s="21">
        <v>28.05</v>
      </c>
      <c r="R104" s="11" t="s">
        <v>73</v>
      </c>
      <c r="S104" s="11" t="s">
        <v>62</v>
      </c>
      <c r="T104" s="11" t="s">
        <v>97</v>
      </c>
      <c r="U104" s="11" t="s">
        <v>151</v>
      </c>
      <c r="V104" s="11">
        <v>2024</v>
      </c>
      <c r="W104" s="11" t="s">
        <v>45</v>
      </c>
      <c r="X104" s="11">
        <v>10</v>
      </c>
      <c r="Y104" s="10" t="s">
        <v>1368</v>
      </c>
      <c r="Z104" s="11" t="s">
        <v>47</v>
      </c>
      <c r="AA104" s="11" t="s">
        <v>90</v>
      </c>
      <c r="AB104" s="11" t="s">
        <v>49</v>
      </c>
      <c r="AC104" s="11" t="s">
        <v>121</v>
      </c>
      <c r="AD104" s="11">
        <v>1</v>
      </c>
      <c r="AE104" s="11" t="s">
        <v>2229</v>
      </c>
      <c r="AF104" s="11" t="s">
        <v>2214</v>
      </c>
      <c r="AG104" s="25"/>
      <c r="AH104" s="11"/>
      <c r="AI104" s="11"/>
      <c r="AJ104" s="11"/>
      <c r="AK104" s="11"/>
      <c r="AL104" s="11"/>
      <c r="AM104" s="11" t="str">
        <f t="shared" si="9"/>
        <v>Needs Improvement</v>
      </c>
      <c r="AN104" s="11" t="str" cm="1">
        <f t="array" ref="AN104">_xlfn.IFS(N104&lt;10000,"Low",N104&lt;30000,"Medium",N104&gt;=30000,"High")</f>
        <v>Low</v>
      </c>
      <c r="AO104" s="11" t="str">
        <f t="shared" si="10"/>
        <v>No</v>
      </c>
      <c r="AP104" s="11" t="str">
        <f t="shared" si="11"/>
        <v>No</v>
      </c>
      <c r="AQ104" s="11">
        <f t="shared" si="12"/>
        <v>0.28051041666666665</v>
      </c>
      <c r="AR104" s="33"/>
      <c r="AS104" s="33"/>
      <c r="AT104" s="33"/>
      <c r="AU104" s="33"/>
      <c r="AV104" s="33"/>
      <c r="AW104" s="33"/>
      <c r="AX104" s="33" t="str">
        <f t="shared" si="13"/>
        <v>Low</v>
      </c>
    </row>
    <row r="105" spans="1:50">
      <c r="A105" s="9" t="s">
        <v>1833</v>
      </c>
      <c r="B105" s="10">
        <v>45481</v>
      </c>
      <c r="C105" s="11" t="s">
        <v>1212</v>
      </c>
      <c r="D105" s="11" t="s">
        <v>137</v>
      </c>
      <c r="E105" s="11" t="s">
        <v>103</v>
      </c>
      <c r="F105" s="11" t="s">
        <v>131</v>
      </c>
      <c r="G105" s="11" t="s">
        <v>132</v>
      </c>
      <c r="H105" s="11" t="s">
        <v>38</v>
      </c>
      <c r="I105" s="11" t="s">
        <v>59</v>
      </c>
      <c r="J105" s="11" t="s">
        <v>206</v>
      </c>
      <c r="K105" s="25">
        <v>9</v>
      </c>
      <c r="L105" s="25">
        <v>1200</v>
      </c>
      <c r="M105" s="29">
        <v>0</v>
      </c>
      <c r="N105" s="25">
        <v>10800</v>
      </c>
      <c r="O105" s="25">
        <v>8710.1</v>
      </c>
      <c r="P105" s="25">
        <v>2089.9</v>
      </c>
      <c r="Q105" s="21">
        <v>19.350000000000001</v>
      </c>
      <c r="R105" s="11" t="s">
        <v>166</v>
      </c>
      <c r="S105" s="11" t="s">
        <v>74</v>
      </c>
      <c r="T105" s="11" t="s">
        <v>63</v>
      </c>
      <c r="U105" s="11" t="s">
        <v>218</v>
      </c>
      <c r="V105" s="11">
        <v>2024</v>
      </c>
      <c r="W105" s="11" t="s">
        <v>134</v>
      </c>
      <c r="X105" s="11">
        <v>2</v>
      </c>
      <c r="Y105" s="10">
        <v>45543</v>
      </c>
      <c r="Z105" s="11" t="s">
        <v>110</v>
      </c>
      <c r="AA105" s="11" t="s">
        <v>48</v>
      </c>
      <c r="AB105" s="11" t="s">
        <v>111</v>
      </c>
      <c r="AC105" s="11" t="s">
        <v>121</v>
      </c>
      <c r="AD105" s="11">
        <v>1</v>
      </c>
      <c r="AE105" s="11" t="s">
        <v>2216</v>
      </c>
      <c r="AF105" s="11" t="s">
        <v>2224</v>
      </c>
      <c r="AG105" s="25"/>
      <c r="AH105" s="11"/>
      <c r="AI105" s="11"/>
      <c r="AJ105" s="11"/>
      <c r="AK105" s="11"/>
      <c r="AL105" s="11"/>
      <c r="AM105" s="11" t="str">
        <f t="shared" si="9"/>
        <v>Needs Improvement</v>
      </c>
      <c r="AN105" s="11" t="str" cm="1">
        <f t="array" ref="AN105">_xlfn.IFS(N105&lt;10000,"Low",N105&lt;30000,"Medium",N105&gt;=30000,"High")</f>
        <v>Medium</v>
      </c>
      <c r="AO105" s="11" t="str">
        <f t="shared" si="10"/>
        <v>No</v>
      </c>
      <c r="AP105" s="11" t="str">
        <f t="shared" si="11"/>
        <v>Yes</v>
      </c>
      <c r="AQ105" s="11">
        <f t="shared" si="12"/>
        <v>0.19350925925925927</v>
      </c>
      <c r="AR105" s="33"/>
      <c r="AS105" s="33"/>
      <c r="AT105" s="33"/>
      <c r="AU105" s="33"/>
      <c r="AV105" s="33"/>
      <c r="AW105" s="33"/>
      <c r="AX105" s="33" t="str">
        <f t="shared" si="13"/>
        <v>Low</v>
      </c>
    </row>
    <row r="106" spans="1:50">
      <c r="A106" s="9" t="s">
        <v>2112</v>
      </c>
      <c r="B106" s="10">
        <v>45481</v>
      </c>
      <c r="C106" s="11" t="s">
        <v>1262</v>
      </c>
      <c r="D106" s="11" t="s">
        <v>355</v>
      </c>
      <c r="E106" s="11" t="s">
        <v>103</v>
      </c>
      <c r="F106" s="11" t="s">
        <v>104</v>
      </c>
      <c r="G106" s="11" t="s">
        <v>104</v>
      </c>
      <c r="H106" s="11" t="s">
        <v>38</v>
      </c>
      <c r="I106" s="11" t="s">
        <v>59</v>
      </c>
      <c r="J106" s="11" t="s">
        <v>328</v>
      </c>
      <c r="K106" s="25">
        <v>2</v>
      </c>
      <c r="L106" s="25">
        <v>1200</v>
      </c>
      <c r="M106" s="29">
        <v>0</v>
      </c>
      <c r="N106" s="25">
        <v>2400</v>
      </c>
      <c r="O106" s="25">
        <v>1900.65</v>
      </c>
      <c r="P106" s="25">
        <v>499.35</v>
      </c>
      <c r="Q106" s="21">
        <v>20.81</v>
      </c>
      <c r="R106" s="11" t="s">
        <v>73</v>
      </c>
      <c r="S106" s="11" t="s">
        <v>42</v>
      </c>
      <c r="T106" s="11" t="s">
        <v>75</v>
      </c>
      <c r="U106" s="11" t="s">
        <v>218</v>
      </c>
      <c r="V106" s="11">
        <v>2024</v>
      </c>
      <c r="W106" s="11" t="s">
        <v>134</v>
      </c>
      <c r="X106" s="11">
        <v>2</v>
      </c>
      <c r="Y106" s="10">
        <v>45543</v>
      </c>
      <c r="Z106" s="11" t="s">
        <v>89</v>
      </c>
      <c r="AA106" s="11" t="s">
        <v>90</v>
      </c>
      <c r="AB106" s="11" t="s">
        <v>49</v>
      </c>
      <c r="AC106" s="11" t="s">
        <v>121</v>
      </c>
      <c r="AD106" s="11">
        <v>4</v>
      </c>
      <c r="AE106" s="11" t="s">
        <v>159</v>
      </c>
      <c r="AF106" s="11" t="s">
        <v>2235</v>
      </c>
      <c r="AG106" s="25"/>
      <c r="AH106" s="11"/>
      <c r="AI106" s="11"/>
      <c r="AJ106" s="11"/>
      <c r="AK106" s="11"/>
      <c r="AL106" s="11"/>
      <c r="AM106" s="11" t="str">
        <f t="shared" si="9"/>
        <v>Needs Improvement</v>
      </c>
      <c r="AN106" s="11" t="str" cm="1">
        <f t="array" ref="AN106">_xlfn.IFS(N106&lt;10000,"Low",N106&lt;30000,"Medium",N106&gt;=30000,"High")</f>
        <v>Low</v>
      </c>
      <c r="AO106" s="11" t="str">
        <f t="shared" si="10"/>
        <v>No</v>
      </c>
      <c r="AP106" s="11" t="str">
        <f t="shared" si="11"/>
        <v>Yes</v>
      </c>
      <c r="AQ106" s="11">
        <f t="shared" si="12"/>
        <v>0.20806250000000001</v>
      </c>
      <c r="AR106" s="33"/>
      <c r="AS106" s="33"/>
      <c r="AT106" s="33"/>
      <c r="AU106" s="33"/>
      <c r="AV106" s="33"/>
      <c r="AW106" s="33"/>
      <c r="AX106" s="33" t="str">
        <f t="shared" si="13"/>
        <v>Low</v>
      </c>
    </row>
    <row r="107" spans="1:50">
      <c r="A107" s="9" t="s">
        <v>2159</v>
      </c>
      <c r="B107" s="10">
        <v>45481</v>
      </c>
      <c r="C107" s="11" t="s">
        <v>1509</v>
      </c>
      <c r="D107" s="11" t="s">
        <v>523</v>
      </c>
      <c r="E107" s="11" t="s">
        <v>55</v>
      </c>
      <c r="F107" s="11" t="s">
        <v>156</v>
      </c>
      <c r="G107" s="11" t="s">
        <v>157</v>
      </c>
      <c r="H107" s="11" t="s">
        <v>171</v>
      </c>
      <c r="I107" s="11" t="s">
        <v>39</v>
      </c>
      <c r="J107" s="11" t="s">
        <v>356</v>
      </c>
      <c r="K107" s="25">
        <v>6</v>
      </c>
      <c r="L107" s="25">
        <v>8000</v>
      </c>
      <c r="M107" s="29">
        <v>0.1</v>
      </c>
      <c r="N107" s="25">
        <v>43200</v>
      </c>
      <c r="O107" s="25">
        <v>35034.57</v>
      </c>
      <c r="P107" s="25">
        <v>8165.43</v>
      </c>
      <c r="Q107" s="21">
        <v>18.899999999999999</v>
      </c>
      <c r="R107" s="11" t="s">
        <v>106</v>
      </c>
      <c r="S107" s="11" t="s">
        <v>62</v>
      </c>
      <c r="T107" s="11" t="s">
        <v>159</v>
      </c>
      <c r="U107" s="11" t="s">
        <v>218</v>
      </c>
      <c r="V107" s="11">
        <v>2024</v>
      </c>
      <c r="W107" s="11" t="s">
        <v>134</v>
      </c>
      <c r="X107" s="11">
        <v>3</v>
      </c>
      <c r="Y107" s="10">
        <v>45573</v>
      </c>
      <c r="Z107" s="11" t="s">
        <v>47</v>
      </c>
      <c r="AA107" s="11" t="s">
        <v>90</v>
      </c>
      <c r="AB107" s="11" t="s">
        <v>78</v>
      </c>
      <c r="AC107" s="11" t="s">
        <v>121</v>
      </c>
      <c r="AD107" s="11">
        <v>4</v>
      </c>
      <c r="AE107" s="11" t="s">
        <v>2229</v>
      </c>
      <c r="AF107" s="11" t="s">
        <v>2228</v>
      </c>
      <c r="AG107" s="25"/>
      <c r="AH107" s="11"/>
      <c r="AI107" s="11"/>
      <c r="AJ107" s="11"/>
      <c r="AK107" s="11"/>
      <c r="AL107" s="11"/>
      <c r="AM107" s="11" t="str">
        <f t="shared" si="9"/>
        <v>Needs Improvement</v>
      </c>
      <c r="AN107" s="11" t="str" cm="1">
        <f t="array" ref="AN107">_xlfn.IFS(N107&lt;10000,"Low",N107&lt;30000,"Medium",N107&gt;=30000,"High")</f>
        <v>High</v>
      </c>
      <c r="AO107" s="11" t="str">
        <f t="shared" si="10"/>
        <v>No</v>
      </c>
      <c r="AP107" s="11" t="str">
        <f t="shared" si="11"/>
        <v>No</v>
      </c>
      <c r="AQ107" s="11">
        <f t="shared" si="12"/>
        <v>0.18901458333333335</v>
      </c>
      <c r="AR107" s="33"/>
      <c r="AS107" s="33"/>
      <c r="AT107" s="33"/>
      <c r="AU107" s="33"/>
      <c r="AV107" s="33"/>
      <c r="AW107" s="33"/>
      <c r="AX107" s="33" t="str">
        <f t="shared" si="13"/>
        <v>Average</v>
      </c>
    </row>
    <row r="108" spans="1:50">
      <c r="A108" s="9" t="s">
        <v>1933</v>
      </c>
      <c r="B108" s="10">
        <v>45482</v>
      </c>
      <c r="C108" s="11" t="s">
        <v>176</v>
      </c>
      <c r="D108" s="11" t="s">
        <v>1127</v>
      </c>
      <c r="E108" s="11" t="s">
        <v>55</v>
      </c>
      <c r="F108" s="11" t="s">
        <v>245</v>
      </c>
      <c r="G108" s="11" t="s">
        <v>246</v>
      </c>
      <c r="H108" s="11" t="s">
        <v>94</v>
      </c>
      <c r="I108" s="11" t="s">
        <v>71</v>
      </c>
      <c r="J108" s="11" t="s">
        <v>172</v>
      </c>
      <c r="K108" s="25">
        <v>3</v>
      </c>
      <c r="L108" s="25">
        <v>1800</v>
      </c>
      <c r="M108" s="29">
        <v>0.15</v>
      </c>
      <c r="N108" s="25">
        <v>4590</v>
      </c>
      <c r="O108" s="25">
        <v>3640.49</v>
      </c>
      <c r="P108" s="25">
        <v>949.51</v>
      </c>
      <c r="Q108" s="21">
        <v>20.69</v>
      </c>
      <c r="R108" s="11" t="s">
        <v>166</v>
      </c>
      <c r="S108" s="11" t="s">
        <v>62</v>
      </c>
      <c r="T108" s="11" t="s">
        <v>86</v>
      </c>
      <c r="U108" s="11" t="s">
        <v>108</v>
      </c>
      <c r="V108" s="11">
        <v>2024</v>
      </c>
      <c r="W108" s="11" t="s">
        <v>65</v>
      </c>
      <c r="X108" s="11">
        <v>3</v>
      </c>
      <c r="Y108" s="10">
        <v>45574</v>
      </c>
      <c r="Z108" s="11" t="s">
        <v>47</v>
      </c>
      <c r="AA108" s="11" t="s">
        <v>67</v>
      </c>
      <c r="AB108" s="11" t="s">
        <v>49</v>
      </c>
      <c r="AC108" s="11" t="s">
        <v>50</v>
      </c>
      <c r="AD108" s="11">
        <v>1</v>
      </c>
      <c r="AE108" s="11" t="s">
        <v>2225</v>
      </c>
      <c r="AF108" s="11" t="s">
        <v>2219</v>
      </c>
      <c r="AG108" s="25"/>
      <c r="AH108" s="11"/>
      <c r="AI108" s="11"/>
      <c r="AJ108" s="11"/>
      <c r="AK108" s="11"/>
      <c r="AL108" s="11"/>
      <c r="AM108" s="11" t="str">
        <f t="shared" si="9"/>
        <v>Needs Improvement</v>
      </c>
      <c r="AN108" s="11" t="str" cm="1">
        <f t="array" ref="AN108">_xlfn.IFS(N108&lt;10000,"Low",N108&lt;30000,"Medium",N108&gt;=30000,"High")</f>
        <v>Low</v>
      </c>
      <c r="AO108" s="11" t="str">
        <f t="shared" si="10"/>
        <v>No</v>
      </c>
      <c r="AP108" s="11" t="str">
        <f t="shared" si="11"/>
        <v>No</v>
      </c>
      <c r="AQ108" s="11">
        <f t="shared" si="12"/>
        <v>0.20686492374727669</v>
      </c>
      <c r="AR108" s="33"/>
      <c r="AS108" s="33"/>
      <c r="AT108" s="33"/>
      <c r="AU108" s="33"/>
      <c r="AV108" s="33"/>
      <c r="AW108" s="33"/>
      <c r="AX108" s="33" t="str">
        <f t="shared" si="13"/>
        <v>Low</v>
      </c>
    </row>
    <row r="109" spans="1:50">
      <c r="A109" s="9" t="s">
        <v>1602</v>
      </c>
      <c r="B109" s="10">
        <v>45483</v>
      </c>
      <c r="C109" s="11" t="s">
        <v>430</v>
      </c>
      <c r="D109" s="11" t="s">
        <v>273</v>
      </c>
      <c r="E109" s="11" t="s">
        <v>103</v>
      </c>
      <c r="F109" s="11" t="s">
        <v>149</v>
      </c>
      <c r="G109" s="11" t="s">
        <v>150</v>
      </c>
      <c r="H109" s="11" t="s">
        <v>171</v>
      </c>
      <c r="I109" s="11" t="s">
        <v>39</v>
      </c>
      <c r="J109" s="11" t="s">
        <v>105</v>
      </c>
      <c r="K109" s="25">
        <v>7</v>
      </c>
      <c r="L109" s="25">
        <v>50000</v>
      </c>
      <c r="M109" s="29">
        <v>0</v>
      </c>
      <c r="N109" s="25">
        <v>350000</v>
      </c>
      <c r="O109" s="25">
        <v>285802.84000000003</v>
      </c>
      <c r="P109" s="25">
        <v>64197.16</v>
      </c>
      <c r="Q109" s="21">
        <v>18.34</v>
      </c>
      <c r="R109" s="11" t="s">
        <v>61</v>
      </c>
      <c r="S109" s="11" t="s">
        <v>62</v>
      </c>
      <c r="T109" s="11" t="s">
        <v>63</v>
      </c>
      <c r="U109" s="11" t="s">
        <v>87</v>
      </c>
      <c r="V109" s="11">
        <v>2024</v>
      </c>
      <c r="W109" s="11" t="s">
        <v>126</v>
      </c>
      <c r="X109" s="11">
        <v>9</v>
      </c>
      <c r="Y109" s="10" t="s">
        <v>271</v>
      </c>
      <c r="Z109" s="11" t="s">
        <v>110</v>
      </c>
      <c r="AA109" s="11" t="s">
        <v>67</v>
      </c>
      <c r="AB109" s="11" t="s">
        <v>78</v>
      </c>
      <c r="AC109" s="11" t="s">
        <v>50</v>
      </c>
      <c r="AD109" s="11">
        <v>2</v>
      </c>
      <c r="AE109" s="11" t="s">
        <v>2248</v>
      </c>
      <c r="AF109" s="11" t="s">
        <v>2228</v>
      </c>
      <c r="AG109" s="25"/>
      <c r="AH109" s="11"/>
      <c r="AI109" s="11"/>
      <c r="AJ109" s="11"/>
      <c r="AK109" s="11"/>
      <c r="AL109" s="11"/>
      <c r="AM109" s="11" t="str">
        <f t="shared" si="9"/>
        <v>Needs Improvement</v>
      </c>
      <c r="AN109" s="11" t="str" cm="1">
        <f t="array" ref="AN109">_xlfn.IFS(N109&lt;10000,"Low",N109&lt;30000,"Medium",N109&gt;=30000,"High")</f>
        <v>High</v>
      </c>
      <c r="AO109" s="11" t="str">
        <f t="shared" si="10"/>
        <v>Yes</v>
      </c>
      <c r="AP109" s="11" t="str">
        <f t="shared" si="11"/>
        <v>No</v>
      </c>
      <c r="AQ109" s="11">
        <f t="shared" si="12"/>
        <v>0.18342045714285715</v>
      </c>
      <c r="AR109" s="33"/>
      <c r="AS109" s="33"/>
      <c r="AT109" s="33"/>
      <c r="AU109" s="33"/>
      <c r="AV109" s="33"/>
      <c r="AW109" s="33"/>
      <c r="AX109" s="33" t="str">
        <f t="shared" si="13"/>
        <v>Excellent</v>
      </c>
    </row>
    <row r="110" spans="1:50">
      <c r="A110" s="9" t="s">
        <v>2008</v>
      </c>
      <c r="B110" s="10">
        <v>45506</v>
      </c>
      <c r="C110" s="11" t="s">
        <v>2009</v>
      </c>
      <c r="D110" s="11" t="s">
        <v>1305</v>
      </c>
      <c r="E110" s="11" t="s">
        <v>35</v>
      </c>
      <c r="F110" s="11" t="s">
        <v>82</v>
      </c>
      <c r="G110" s="11" t="s">
        <v>83</v>
      </c>
      <c r="H110" s="11" t="s">
        <v>38</v>
      </c>
      <c r="I110" s="11" t="s">
        <v>95</v>
      </c>
      <c r="J110" s="11" t="s">
        <v>440</v>
      </c>
      <c r="K110" s="25">
        <v>10</v>
      </c>
      <c r="L110" s="25">
        <v>2500</v>
      </c>
      <c r="M110" s="29">
        <v>0.1</v>
      </c>
      <c r="N110" s="25">
        <v>22500</v>
      </c>
      <c r="O110" s="25">
        <v>18408.240000000002</v>
      </c>
      <c r="P110" s="25">
        <v>4091.76</v>
      </c>
      <c r="Q110" s="21">
        <v>18.190000000000001</v>
      </c>
      <c r="R110" s="11" t="s">
        <v>61</v>
      </c>
      <c r="S110" s="11" t="s">
        <v>74</v>
      </c>
      <c r="T110" s="11" t="s">
        <v>107</v>
      </c>
      <c r="U110" s="11" t="s">
        <v>98</v>
      </c>
      <c r="V110" s="11">
        <v>2024</v>
      </c>
      <c r="W110" s="11" t="s">
        <v>139</v>
      </c>
      <c r="X110" s="11">
        <v>5</v>
      </c>
      <c r="Y110" s="10" t="s">
        <v>1356</v>
      </c>
      <c r="Z110" s="11" t="s">
        <v>47</v>
      </c>
      <c r="AA110" s="11" t="s">
        <v>67</v>
      </c>
      <c r="AB110" s="11" t="s">
        <v>111</v>
      </c>
      <c r="AC110" s="11" t="s">
        <v>50</v>
      </c>
      <c r="AD110" s="11">
        <v>1</v>
      </c>
      <c r="AE110" s="11" t="s">
        <v>2213</v>
      </c>
      <c r="AF110" s="11" t="s">
        <v>2212</v>
      </c>
      <c r="AG110" s="25"/>
      <c r="AH110" s="11"/>
      <c r="AI110" s="11"/>
      <c r="AJ110" s="11"/>
      <c r="AK110" s="11"/>
      <c r="AL110" s="11"/>
      <c r="AM110" s="11" t="str">
        <f t="shared" si="9"/>
        <v>Needs Improvement</v>
      </c>
      <c r="AN110" s="11" t="str" cm="1">
        <f t="array" ref="AN110">_xlfn.IFS(N110&lt;10000,"Low",N110&lt;30000,"Medium",N110&gt;=30000,"High")</f>
        <v>Medium</v>
      </c>
      <c r="AO110" s="11" t="str">
        <f t="shared" si="10"/>
        <v>No</v>
      </c>
      <c r="AP110" s="11" t="str">
        <f t="shared" si="11"/>
        <v>Yes</v>
      </c>
      <c r="AQ110" s="11">
        <f t="shared" si="12"/>
        <v>0.18185600000000002</v>
      </c>
      <c r="AR110" s="33"/>
      <c r="AS110" s="33"/>
      <c r="AT110" s="33"/>
      <c r="AU110" s="33"/>
      <c r="AV110" s="33"/>
      <c r="AW110" s="33"/>
      <c r="AX110" s="33" t="str">
        <f t="shared" si="13"/>
        <v>Low</v>
      </c>
    </row>
    <row r="111" spans="1:50">
      <c r="A111" s="9" t="s">
        <v>374</v>
      </c>
      <c r="B111" s="10">
        <v>45507</v>
      </c>
      <c r="C111" s="11" t="s">
        <v>375</v>
      </c>
      <c r="D111" s="11" t="s">
        <v>177</v>
      </c>
      <c r="E111" s="11" t="s">
        <v>55</v>
      </c>
      <c r="F111" s="11" t="s">
        <v>56</v>
      </c>
      <c r="G111" s="11" t="s">
        <v>57</v>
      </c>
      <c r="H111" s="11" t="s">
        <v>94</v>
      </c>
      <c r="I111" s="11" t="s">
        <v>39</v>
      </c>
      <c r="J111" s="11" t="s">
        <v>356</v>
      </c>
      <c r="K111" s="25">
        <v>6</v>
      </c>
      <c r="L111" s="25">
        <v>35000</v>
      </c>
      <c r="M111" s="29">
        <v>0.05</v>
      </c>
      <c r="N111" s="25">
        <v>199500</v>
      </c>
      <c r="O111" s="25">
        <v>143353.85999999999</v>
      </c>
      <c r="P111" s="25">
        <v>56146.14</v>
      </c>
      <c r="Q111" s="21">
        <v>28.14</v>
      </c>
      <c r="R111" s="11" t="s">
        <v>41</v>
      </c>
      <c r="S111" s="11" t="s">
        <v>42</v>
      </c>
      <c r="T111" s="11" t="s">
        <v>159</v>
      </c>
      <c r="U111" s="11" t="s">
        <v>178</v>
      </c>
      <c r="V111" s="11">
        <v>2024</v>
      </c>
      <c r="W111" s="11" t="s">
        <v>194</v>
      </c>
      <c r="X111" s="11">
        <v>3</v>
      </c>
      <c r="Y111" s="10">
        <v>45599</v>
      </c>
      <c r="Z111" s="11" t="s">
        <v>47</v>
      </c>
      <c r="AA111" s="11" t="s">
        <v>67</v>
      </c>
      <c r="AB111" s="11" t="s">
        <v>111</v>
      </c>
      <c r="AC111" s="11" t="s">
        <v>50</v>
      </c>
      <c r="AD111" s="11">
        <v>1</v>
      </c>
      <c r="AE111" s="11" t="s">
        <v>2240</v>
      </c>
      <c r="AF111" s="11" t="s">
        <v>2214</v>
      </c>
      <c r="AG111" s="25"/>
      <c r="AH111" s="11"/>
      <c r="AI111" s="11"/>
      <c r="AJ111" s="11"/>
      <c r="AK111" s="11"/>
      <c r="AL111" s="11"/>
      <c r="AM111" s="11" t="str">
        <f t="shared" si="9"/>
        <v>Needs Improvement</v>
      </c>
      <c r="AN111" s="11" t="str" cm="1">
        <f t="array" ref="AN111">_xlfn.IFS(N111&lt;10000,"Low",N111&lt;30000,"Medium",N111&gt;=30000,"High")</f>
        <v>High</v>
      </c>
      <c r="AO111" s="11" t="str">
        <f t="shared" si="10"/>
        <v>Yes</v>
      </c>
      <c r="AP111" s="11" t="str">
        <f t="shared" si="11"/>
        <v>Yes</v>
      </c>
      <c r="AQ111" s="11">
        <f t="shared" si="12"/>
        <v>0.28143428571428569</v>
      </c>
      <c r="AR111" s="33"/>
      <c r="AS111" s="33"/>
      <c r="AT111" s="33"/>
      <c r="AU111" s="33"/>
      <c r="AV111" s="33"/>
      <c r="AW111" s="33"/>
      <c r="AX111" s="33" t="str">
        <f t="shared" si="13"/>
        <v>Excellent</v>
      </c>
    </row>
    <row r="112" spans="1:50">
      <c r="A112" s="9" t="s">
        <v>1785</v>
      </c>
      <c r="B112" s="10">
        <v>45507</v>
      </c>
      <c r="C112" s="11" t="s">
        <v>640</v>
      </c>
      <c r="D112" s="11" t="s">
        <v>893</v>
      </c>
      <c r="E112" s="11" t="s">
        <v>35</v>
      </c>
      <c r="F112" s="11" t="s">
        <v>36</v>
      </c>
      <c r="G112" s="11" t="s">
        <v>37</v>
      </c>
      <c r="H112" s="11" t="s">
        <v>58</v>
      </c>
      <c r="I112" s="11" t="s">
        <v>39</v>
      </c>
      <c r="J112" s="11" t="s">
        <v>40</v>
      </c>
      <c r="K112" s="25">
        <v>4</v>
      </c>
      <c r="L112" s="25">
        <v>8000</v>
      </c>
      <c r="M112" s="29">
        <v>0.15</v>
      </c>
      <c r="N112" s="25">
        <v>27200</v>
      </c>
      <c r="O112" s="25">
        <v>18370.8</v>
      </c>
      <c r="P112" s="25">
        <v>8829.2000000000007</v>
      </c>
      <c r="Q112" s="21">
        <v>32.46</v>
      </c>
      <c r="R112" s="11" t="s">
        <v>61</v>
      </c>
      <c r="S112" s="11" t="s">
        <v>62</v>
      </c>
      <c r="T112" s="11" t="s">
        <v>138</v>
      </c>
      <c r="U112" s="11" t="s">
        <v>178</v>
      </c>
      <c r="V112" s="11">
        <v>2024</v>
      </c>
      <c r="W112" s="11" t="s">
        <v>194</v>
      </c>
      <c r="X112" s="11">
        <v>2</v>
      </c>
      <c r="Y112" s="10">
        <v>45568</v>
      </c>
      <c r="Z112" s="11" t="s">
        <v>110</v>
      </c>
      <c r="AA112" s="11" t="s">
        <v>67</v>
      </c>
      <c r="AB112" s="11" t="s">
        <v>49</v>
      </c>
      <c r="AC112" s="11" t="s">
        <v>50</v>
      </c>
      <c r="AD112" s="11">
        <v>5</v>
      </c>
      <c r="AE112" s="11" t="s">
        <v>2240</v>
      </c>
      <c r="AF112" s="11" t="s">
        <v>2219</v>
      </c>
      <c r="AG112" s="25"/>
      <c r="AH112" s="11"/>
      <c r="AI112" s="11"/>
      <c r="AJ112" s="11"/>
      <c r="AK112" s="11"/>
      <c r="AL112" s="11"/>
      <c r="AM112" s="11" t="str">
        <f t="shared" si="9"/>
        <v>Good</v>
      </c>
      <c r="AN112" s="11" t="str" cm="1">
        <f t="array" ref="AN112">_xlfn.IFS(N112&lt;10000,"Low",N112&lt;30000,"Medium",N112&gt;=30000,"High")</f>
        <v>Medium</v>
      </c>
      <c r="AO112" s="11" t="str">
        <f t="shared" si="10"/>
        <v>No</v>
      </c>
      <c r="AP112" s="11" t="str">
        <f t="shared" si="11"/>
        <v>No</v>
      </c>
      <c r="AQ112" s="11">
        <f t="shared" si="12"/>
        <v>0.32460294117647059</v>
      </c>
      <c r="AR112" s="33"/>
      <c r="AS112" s="33"/>
      <c r="AT112" s="33"/>
      <c r="AU112" s="33"/>
      <c r="AV112" s="33"/>
      <c r="AW112" s="33"/>
      <c r="AX112" s="33" t="str">
        <f t="shared" si="13"/>
        <v>Average</v>
      </c>
    </row>
    <row r="113" spans="1:50">
      <c r="A113" s="9" t="s">
        <v>1942</v>
      </c>
      <c r="B113" s="10">
        <v>45507</v>
      </c>
      <c r="C113" s="11" t="s">
        <v>557</v>
      </c>
      <c r="D113" s="11" t="s">
        <v>278</v>
      </c>
      <c r="E113" s="11" t="s">
        <v>35</v>
      </c>
      <c r="F113" s="11" t="s">
        <v>104</v>
      </c>
      <c r="G113" s="11" t="s">
        <v>104</v>
      </c>
      <c r="H113" s="11" t="s">
        <v>94</v>
      </c>
      <c r="I113" s="11" t="s">
        <v>39</v>
      </c>
      <c r="J113" s="11" t="s">
        <v>105</v>
      </c>
      <c r="K113" s="25">
        <v>1</v>
      </c>
      <c r="L113" s="25">
        <v>15000</v>
      </c>
      <c r="M113" s="29">
        <v>0.15</v>
      </c>
      <c r="N113" s="25">
        <v>12750</v>
      </c>
      <c r="O113" s="25">
        <v>10162.85</v>
      </c>
      <c r="P113" s="25">
        <v>2587.15</v>
      </c>
      <c r="Q113" s="21">
        <v>20.29</v>
      </c>
      <c r="R113" s="11" t="s">
        <v>61</v>
      </c>
      <c r="S113" s="11" t="s">
        <v>42</v>
      </c>
      <c r="T113" s="11" t="s">
        <v>97</v>
      </c>
      <c r="U113" s="11" t="s">
        <v>178</v>
      </c>
      <c r="V113" s="11">
        <v>2024</v>
      </c>
      <c r="W113" s="11" t="s">
        <v>194</v>
      </c>
      <c r="X113" s="11">
        <v>4</v>
      </c>
      <c r="Y113" s="10">
        <v>45629</v>
      </c>
      <c r="Z113" s="11" t="s">
        <v>110</v>
      </c>
      <c r="AA113" s="11" t="s">
        <v>67</v>
      </c>
      <c r="AB113" s="11" t="s">
        <v>78</v>
      </c>
      <c r="AC113" s="11" t="s">
        <v>50</v>
      </c>
      <c r="AD113" s="11">
        <v>3</v>
      </c>
      <c r="AE113" s="11" t="s">
        <v>2220</v>
      </c>
      <c r="AF113" s="11" t="s">
        <v>2224</v>
      </c>
      <c r="AG113" s="25"/>
      <c r="AH113" s="11"/>
      <c r="AI113" s="11"/>
      <c r="AJ113" s="11"/>
      <c r="AK113" s="11"/>
      <c r="AL113" s="11"/>
      <c r="AM113" s="11" t="str">
        <f t="shared" si="9"/>
        <v>Needs Improvement</v>
      </c>
      <c r="AN113" s="11" t="str" cm="1">
        <f t="array" ref="AN113">_xlfn.IFS(N113&lt;10000,"Low",N113&lt;30000,"Medium",N113&gt;=30000,"High")</f>
        <v>Medium</v>
      </c>
      <c r="AO113" s="11" t="str">
        <f t="shared" si="10"/>
        <v>No</v>
      </c>
      <c r="AP113" s="11" t="str">
        <f t="shared" si="11"/>
        <v>Yes</v>
      </c>
      <c r="AQ113" s="11">
        <f t="shared" si="12"/>
        <v>0.2029137254901961</v>
      </c>
      <c r="AR113" s="33"/>
      <c r="AS113" s="33"/>
      <c r="AT113" s="33"/>
      <c r="AU113" s="33"/>
      <c r="AV113" s="33"/>
      <c r="AW113" s="33"/>
      <c r="AX113" s="33" t="str">
        <f t="shared" si="13"/>
        <v>Low</v>
      </c>
    </row>
    <row r="114" spans="1:50">
      <c r="A114" s="9" t="s">
        <v>2036</v>
      </c>
      <c r="B114" s="10">
        <v>45507</v>
      </c>
      <c r="C114" s="11" t="s">
        <v>2037</v>
      </c>
      <c r="D114" s="11" t="s">
        <v>1462</v>
      </c>
      <c r="E114" s="11" t="s">
        <v>55</v>
      </c>
      <c r="F114" s="11" t="s">
        <v>36</v>
      </c>
      <c r="G114" s="11" t="s">
        <v>37</v>
      </c>
      <c r="H114" s="11" t="s">
        <v>58</v>
      </c>
      <c r="I114" s="11" t="s">
        <v>95</v>
      </c>
      <c r="J114" s="11" t="s">
        <v>96</v>
      </c>
      <c r="K114" s="25">
        <v>6</v>
      </c>
      <c r="L114" s="25">
        <v>2500</v>
      </c>
      <c r="M114" s="29">
        <v>0</v>
      </c>
      <c r="N114" s="25">
        <v>15000</v>
      </c>
      <c r="O114" s="25">
        <v>8476.74</v>
      </c>
      <c r="P114" s="25">
        <v>6523.26</v>
      </c>
      <c r="Q114" s="21">
        <v>43.49</v>
      </c>
      <c r="R114" s="11" t="s">
        <v>61</v>
      </c>
      <c r="S114" s="11" t="s">
        <v>74</v>
      </c>
      <c r="T114" s="11" t="s">
        <v>138</v>
      </c>
      <c r="U114" s="11" t="s">
        <v>178</v>
      </c>
      <c r="V114" s="11">
        <v>2024</v>
      </c>
      <c r="W114" s="11" t="s">
        <v>194</v>
      </c>
      <c r="X114" s="11">
        <v>7</v>
      </c>
      <c r="Y114" s="10" t="s">
        <v>179</v>
      </c>
      <c r="Z114" s="11" t="s">
        <v>89</v>
      </c>
      <c r="AA114" s="11" t="s">
        <v>67</v>
      </c>
      <c r="AB114" s="11" t="s">
        <v>49</v>
      </c>
      <c r="AC114" s="11" t="s">
        <v>121</v>
      </c>
      <c r="AD114" s="11">
        <v>5</v>
      </c>
      <c r="AE114" s="11" t="s">
        <v>2225</v>
      </c>
      <c r="AF114" s="11" t="s">
        <v>2224</v>
      </c>
      <c r="AG114" s="25"/>
      <c r="AH114" s="11"/>
      <c r="AI114" s="11"/>
      <c r="AJ114" s="11"/>
      <c r="AK114" s="11"/>
      <c r="AL114" s="11"/>
      <c r="AM114" s="11" t="str">
        <f t="shared" si="9"/>
        <v>Good</v>
      </c>
      <c r="AN114" s="11" t="str" cm="1">
        <f t="array" ref="AN114">_xlfn.IFS(N114&lt;10000,"Low",N114&lt;30000,"Medium",N114&gt;=30000,"High")</f>
        <v>Medium</v>
      </c>
      <c r="AO114" s="11" t="str">
        <f t="shared" si="10"/>
        <v>No</v>
      </c>
      <c r="AP114" s="11" t="str">
        <f t="shared" si="11"/>
        <v>Yes</v>
      </c>
      <c r="AQ114" s="11">
        <f t="shared" si="12"/>
        <v>0.43488399999999999</v>
      </c>
      <c r="AR114" s="33"/>
      <c r="AS114" s="33"/>
      <c r="AT114" s="33"/>
      <c r="AU114" s="33"/>
      <c r="AV114" s="33"/>
      <c r="AW114" s="33"/>
      <c r="AX114" s="33" t="str">
        <f t="shared" si="13"/>
        <v>Average</v>
      </c>
    </row>
    <row r="115" spans="1:50">
      <c r="A115" s="9" t="s">
        <v>875</v>
      </c>
      <c r="B115" s="10">
        <v>45508</v>
      </c>
      <c r="C115" s="11" t="s">
        <v>114</v>
      </c>
      <c r="D115" s="11" t="s">
        <v>876</v>
      </c>
      <c r="E115" s="11" t="s">
        <v>103</v>
      </c>
      <c r="F115" s="11" t="s">
        <v>104</v>
      </c>
      <c r="G115" s="11" t="s">
        <v>104</v>
      </c>
      <c r="H115" s="11" t="s">
        <v>38</v>
      </c>
      <c r="I115" s="11" t="s">
        <v>84</v>
      </c>
      <c r="J115" s="11" t="s">
        <v>85</v>
      </c>
      <c r="K115" s="25">
        <v>6</v>
      </c>
      <c r="L115" s="25">
        <v>800</v>
      </c>
      <c r="M115" s="29">
        <v>0</v>
      </c>
      <c r="N115" s="25">
        <v>4800</v>
      </c>
      <c r="O115" s="25">
        <v>3331.03</v>
      </c>
      <c r="P115" s="25">
        <v>1468.97</v>
      </c>
      <c r="Q115" s="21">
        <v>30.6</v>
      </c>
      <c r="R115" s="11" t="s">
        <v>166</v>
      </c>
      <c r="S115" s="11" t="s">
        <v>74</v>
      </c>
      <c r="T115" s="11" t="s">
        <v>86</v>
      </c>
      <c r="U115" s="11" t="s">
        <v>44</v>
      </c>
      <c r="V115" s="11">
        <v>2024</v>
      </c>
      <c r="W115" s="11" t="s">
        <v>126</v>
      </c>
      <c r="X115" s="11">
        <v>3</v>
      </c>
      <c r="Y115" s="10">
        <v>45600</v>
      </c>
      <c r="Z115" s="11" t="s">
        <v>89</v>
      </c>
      <c r="AA115" s="11" t="s">
        <v>48</v>
      </c>
      <c r="AB115" s="11" t="s">
        <v>111</v>
      </c>
      <c r="AC115" s="11" t="s">
        <v>50</v>
      </c>
      <c r="AD115" s="11">
        <v>1</v>
      </c>
      <c r="AE115" s="11" t="s">
        <v>2237</v>
      </c>
      <c r="AF115" s="11" t="s">
        <v>2212</v>
      </c>
      <c r="AG115" s="25"/>
      <c r="AH115" s="11"/>
      <c r="AI115" s="11"/>
      <c r="AJ115" s="11"/>
      <c r="AK115" s="11"/>
      <c r="AL115" s="11"/>
      <c r="AM115" s="11" t="str">
        <f t="shared" si="9"/>
        <v>Good</v>
      </c>
      <c r="AN115" s="11" t="str" cm="1">
        <f t="array" ref="AN115">_xlfn.IFS(N115&lt;10000,"Low",N115&lt;30000,"Medium",N115&gt;=30000,"High")</f>
        <v>Low</v>
      </c>
      <c r="AO115" s="11" t="str">
        <f t="shared" si="10"/>
        <v>No</v>
      </c>
      <c r="AP115" s="11" t="str">
        <f t="shared" si="11"/>
        <v>Yes</v>
      </c>
      <c r="AQ115" s="11">
        <f t="shared" si="12"/>
        <v>0.30603541666666667</v>
      </c>
      <c r="AR115" s="33"/>
      <c r="AS115" s="33"/>
      <c r="AT115" s="33"/>
      <c r="AU115" s="33"/>
      <c r="AV115" s="33"/>
      <c r="AW115" s="33"/>
      <c r="AX115" s="33" t="str">
        <f t="shared" si="13"/>
        <v>Low</v>
      </c>
    </row>
    <row r="116" spans="1:50">
      <c r="A116" s="9" t="s">
        <v>362</v>
      </c>
      <c r="B116" s="10">
        <v>45509</v>
      </c>
      <c r="C116" s="11" t="s">
        <v>363</v>
      </c>
      <c r="D116" s="11" t="s">
        <v>364</v>
      </c>
      <c r="E116" s="11" t="s">
        <v>35</v>
      </c>
      <c r="F116" s="11" t="s">
        <v>149</v>
      </c>
      <c r="G116" s="11" t="s">
        <v>150</v>
      </c>
      <c r="H116" s="11" t="s">
        <v>38</v>
      </c>
      <c r="I116" s="11" t="s">
        <v>59</v>
      </c>
      <c r="J116" s="11" t="s">
        <v>328</v>
      </c>
      <c r="K116" s="25">
        <v>1</v>
      </c>
      <c r="L116" s="25">
        <v>1200</v>
      </c>
      <c r="M116" s="29">
        <v>0.05</v>
      </c>
      <c r="N116" s="25">
        <v>1140</v>
      </c>
      <c r="O116" s="25">
        <v>648.12</v>
      </c>
      <c r="P116" s="25">
        <v>491.88</v>
      </c>
      <c r="Q116" s="21">
        <v>43.15</v>
      </c>
      <c r="R116" s="11" t="s">
        <v>61</v>
      </c>
      <c r="S116" s="11" t="s">
        <v>74</v>
      </c>
      <c r="T116" s="11" t="s">
        <v>63</v>
      </c>
      <c r="U116" s="11" t="s">
        <v>119</v>
      </c>
      <c r="V116" s="11">
        <v>2024</v>
      </c>
      <c r="W116" s="11" t="s">
        <v>134</v>
      </c>
      <c r="X116" s="11">
        <v>10</v>
      </c>
      <c r="Y116" s="10" t="s">
        <v>365</v>
      </c>
      <c r="Z116" s="11" t="s">
        <v>47</v>
      </c>
      <c r="AA116" s="11" t="s">
        <v>90</v>
      </c>
      <c r="AB116" s="11" t="s">
        <v>78</v>
      </c>
      <c r="AC116" s="11" t="s">
        <v>121</v>
      </c>
      <c r="AD116" s="11">
        <v>2</v>
      </c>
      <c r="AE116" s="11" t="s">
        <v>86</v>
      </c>
      <c r="AF116" s="11" t="s">
        <v>2249</v>
      </c>
      <c r="AG116" s="25"/>
      <c r="AH116" s="11"/>
      <c r="AI116" s="11"/>
      <c r="AJ116" s="11"/>
      <c r="AK116" s="11"/>
      <c r="AL116" s="11"/>
      <c r="AM116" s="11" t="str">
        <f t="shared" si="9"/>
        <v>Good</v>
      </c>
      <c r="AN116" s="11" t="str" cm="1">
        <f t="array" ref="AN116">_xlfn.IFS(N116&lt;10000,"Low",N116&lt;30000,"Medium",N116&gt;=30000,"High")</f>
        <v>Low</v>
      </c>
      <c r="AO116" s="11" t="str">
        <f t="shared" si="10"/>
        <v>No</v>
      </c>
      <c r="AP116" s="11" t="str">
        <f t="shared" si="11"/>
        <v>Yes</v>
      </c>
      <c r="AQ116" s="11">
        <f t="shared" si="12"/>
        <v>0.43147368421052629</v>
      </c>
      <c r="AR116" s="33"/>
      <c r="AS116" s="33"/>
      <c r="AT116" s="33"/>
      <c r="AU116" s="33"/>
      <c r="AV116" s="33"/>
      <c r="AW116" s="33"/>
      <c r="AX116" s="33" t="str">
        <f t="shared" si="13"/>
        <v>Low</v>
      </c>
    </row>
    <row r="117" spans="1:50">
      <c r="A117" s="9" t="s">
        <v>1518</v>
      </c>
      <c r="B117" s="10">
        <v>45510</v>
      </c>
      <c r="C117" s="11" t="s">
        <v>1117</v>
      </c>
      <c r="D117" s="11" t="s">
        <v>763</v>
      </c>
      <c r="E117" s="11" t="s">
        <v>55</v>
      </c>
      <c r="F117" s="11" t="s">
        <v>149</v>
      </c>
      <c r="G117" s="11" t="s">
        <v>150</v>
      </c>
      <c r="H117" s="11" t="s">
        <v>58</v>
      </c>
      <c r="I117" s="11" t="s">
        <v>84</v>
      </c>
      <c r="J117" s="11" t="s">
        <v>229</v>
      </c>
      <c r="K117" s="25">
        <v>4</v>
      </c>
      <c r="L117" s="25">
        <v>800</v>
      </c>
      <c r="M117" s="29">
        <v>0.15</v>
      </c>
      <c r="N117" s="25">
        <v>2720</v>
      </c>
      <c r="O117" s="25">
        <v>2031.97</v>
      </c>
      <c r="P117" s="25">
        <v>688.03</v>
      </c>
      <c r="Q117" s="21">
        <v>25.3</v>
      </c>
      <c r="R117" s="11" t="s">
        <v>166</v>
      </c>
      <c r="S117" s="11" t="s">
        <v>74</v>
      </c>
      <c r="T117" s="11" t="s">
        <v>138</v>
      </c>
      <c r="U117" s="11" t="s">
        <v>160</v>
      </c>
      <c r="V117" s="11">
        <v>2024</v>
      </c>
      <c r="W117" s="11" t="s">
        <v>65</v>
      </c>
      <c r="X117" s="11">
        <v>8</v>
      </c>
      <c r="Y117" s="10" t="s">
        <v>1519</v>
      </c>
      <c r="Z117" s="11" t="s">
        <v>47</v>
      </c>
      <c r="AA117" s="11" t="s">
        <v>90</v>
      </c>
      <c r="AB117" s="11" t="s">
        <v>49</v>
      </c>
      <c r="AC117" s="11" t="s">
        <v>121</v>
      </c>
      <c r="AD117" s="11">
        <v>5</v>
      </c>
      <c r="AE117" s="11" t="s">
        <v>159</v>
      </c>
      <c r="AF117" s="11" t="s">
        <v>2222</v>
      </c>
      <c r="AG117" s="25"/>
      <c r="AH117" s="11"/>
      <c r="AI117" s="11"/>
      <c r="AJ117" s="11"/>
      <c r="AK117" s="11"/>
      <c r="AL117" s="11"/>
      <c r="AM117" s="11" t="str">
        <f t="shared" si="9"/>
        <v>Needs Improvement</v>
      </c>
      <c r="AN117" s="11" t="str" cm="1">
        <f t="array" ref="AN117">_xlfn.IFS(N117&lt;10000,"Low",N117&lt;30000,"Medium",N117&gt;=30000,"High")</f>
        <v>Low</v>
      </c>
      <c r="AO117" s="11" t="str">
        <f t="shared" si="10"/>
        <v>No</v>
      </c>
      <c r="AP117" s="11" t="str">
        <f t="shared" si="11"/>
        <v>Yes</v>
      </c>
      <c r="AQ117" s="11">
        <f t="shared" si="12"/>
        <v>0.25295220588235295</v>
      </c>
      <c r="AR117" s="33"/>
      <c r="AS117" s="33"/>
      <c r="AT117" s="33"/>
      <c r="AU117" s="33"/>
      <c r="AV117" s="33"/>
      <c r="AW117" s="33"/>
      <c r="AX117" s="33" t="str">
        <f t="shared" si="13"/>
        <v>Low</v>
      </c>
    </row>
    <row r="118" spans="1:50">
      <c r="A118" s="9" t="s">
        <v>1533</v>
      </c>
      <c r="B118" s="10">
        <v>45510</v>
      </c>
      <c r="C118" s="11" t="s">
        <v>1028</v>
      </c>
      <c r="D118" s="11" t="s">
        <v>604</v>
      </c>
      <c r="E118" s="11" t="s">
        <v>35</v>
      </c>
      <c r="F118" s="11" t="s">
        <v>156</v>
      </c>
      <c r="G118" s="11" t="s">
        <v>157</v>
      </c>
      <c r="H118" s="11" t="s">
        <v>94</v>
      </c>
      <c r="I118" s="11" t="s">
        <v>84</v>
      </c>
      <c r="J118" s="11" t="s">
        <v>290</v>
      </c>
      <c r="K118" s="25">
        <v>1</v>
      </c>
      <c r="L118" s="25">
        <v>350</v>
      </c>
      <c r="M118" s="29">
        <v>0</v>
      </c>
      <c r="N118" s="25">
        <v>350</v>
      </c>
      <c r="O118" s="25">
        <v>249.59</v>
      </c>
      <c r="P118" s="25">
        <v>100.41</v>
      </c>
      <c r="Q118" s="21">
        <v>28.69</v>
      </c>
      <c r="R118" s="11" t="s">
        <v>166</v>
      </c>
      <c r="S118" s="11" t="s">
        <v>42</v>
      </c>
      <c r="T118" s="11" t="s">
        <v>138</v>
      </c>
      <c r="U118" s="11" t="s">
        <v>160</v>
      </c>
      <c r="V118" s="11">
        <v>2024</v>
      </c>
      <c r="W118" s="11" t="s">
        <v>65</v>
      </c>
      <c r="X118" s="11">
        <v>1</v>
      </c>
      <c r="Y118" s="10">
        <v>45541</v>
      </c>
      <c r="Z118" s="11" t="s">
        <v>47</v>
      </c>
      <c r="AA118" s="11" t="s">
        <v>48</v>
      </c>
      <c r="AB118" s="11" t="s">
        <v>111</v>
      </c>
      <c r="AC118" s="11" t="s">
        <v>50</v>
      </c>
      <c r="AD118" s="11">
        <v>5</v>
      </c>
      <c r="AE118" s="11" t="s">
        <v>2227</v>
      </c>
      <c r="AF118" s="11" t="s">
        <v>2222</v>
      </c>
      <c r="AG118" s="25"/>
      <c r="AH118" s="11"/>
      <c r="AI118" s="11"/>
      <c r="AJ118" s="11"/>
      <c r="AK118" s="11"/>
      <c r="AL118" s="11"/>
      <c r="AM118" s="11" t="str">
        <f t="shared" si="9"/>
        <v>Needs Improvement</v>
      </c>
      <c r="AN118" s="11" t="str" cm="1">
        <f t="array" ref="AN118">_xlfn.IFS(N118&lt;10000,"Low",N118&lt;30000,"Medium",N118&gt;=30000,"High")</f>
        <v>Low</v>
      </c>
      <c r="AO118" s="11" t="str">
        <f t="shared" si="10"/>
        <v>No</v>
      </c>
      <c r="AP118" s="11" t="str">
        <f t="shared" si="11"/>
        <v>Yes</v>
      </c>
      <c r="AQ118" s="11">
        <f t="shared" si="12"/>
        <v>0.2868857142857143</v>
      </c>
      <c r="AR118" s="33"/>
      <c r="AS118" s="33"/>
      <c r="AT118" s="33"/>
      <c r="AU118" s="33"/>
      <c r="AV118" s="33"/>
      <c r="AW118" s="33"/>
      <c r="AX118" s="33" t="str">
        <f t="shared" si="13"/>
        <v>Low</v>
      </c>
    </row>
    <row r="119" spans="1:50">
      <c r="A119" s="9" t="s">
        <v>693</v>
      </c>
      <c r="B119" s="10">
        <v>45512</v>
      </c>
      <c r="C119" s="11" t="s">
        <v>541</v>
      </c>
      <c r="D119" s="11" t="s">
        <v>102</v>
      </c>
      <c r="E119" s="11" t="s">
        <v>103</v>
      </c>
      <c r="F119" s="11" t="s">
        <v>36</v>
      </c>
      <c r="G119" s="11" t="s">
        <v>37</v>
      </c>
      <c r="H119" s="11" t="s">
        <v>94</v>
      </c>
      <c r="I119" s="11" t="s">
        <v>39</v>
      </c>
      <c r="J119" s="11" t="s">
        <v>165</v>
      </c>
      <c r="K119" s="25">
        <v>2</v>
      </c>
      <c r="L119" s="25">
        <v>8000</v>
      </c>
      <c r="M119" s="29">
        <v>0.1</v>
      </c>
      <c r="N119" s="25">
        <v>14400</v>
      </c>
      <c r="O119" s="25">
        <v>11608.47</v>
      </c>
      <c r="P119" s="25">
        <v>2791.53</v>
      </c>
      <c r="Q119" s="21">
        <v>19.39</v>
      </c>
      <c r="R119" s="11" t="s">
        <v>166</v>
      </c>
      <c r="S119" s="11" t="s">
        <v>42</v>
      </c>
      <c r="T119" s="11" t="s">
        <v>75</v>
      </c>
      <c r="U119" s="11" t="s">
        <v>218</v>
      </c>
      <c r="V119" s="11">
        <v>2024</v>
      </c>
      <c r="W119" s="11" t="s">
        <v>139</v>
      </c>
      <c r="X119" s="11">
        <v>1</v>
      </c>
      <c r="Y119" s="10">
        <v>45543</v>
      </c>
      <c r="Z119" s="11" t="s">
        <v>47</v>
      </c>
      <c r="AA119" s="11" t="s">
        <v>90</v>
      </c>
      <c r="AB119" s="11" t="s">
        <v>111</v>
      </c>
      <c r="AC119" s="11" t="s">
        <v>121</v>
      </c>
      <c r="AD119" s="11">
        <v>3</v>
      </c>
      <c r="AE119" s="11" t="s">
        <v>2227</v>
      </c>
      <c r="AF119" s="11" t="s">
        <v>2228</v>
      </c>
      <c r="AG119" s="25"/>
      <c r="AH119" s="11"/>
      <c r="AI119" s="11"/>
      <c r="AJ119" s="11"/>
      <c r="AK119" s="11"/>
      <c r="AL119" s="11"/>
      <c r="AM119" s="11" t="str">
        <f t="shared" si="9"/>
        <v>Needs Improvement</v>
      </c>
      <c r="AN119" s="11" t="str" cm="1">
        <f t="array" ref="AN119">_xlfn.IFS(N119&lt;10000,"Low",N119&lt;30000,"Medium",N119&gt;=30000,"High")</f>
        <v>Medium</v>
      </c>
      <c r="AO119" s="11" t="str">
        <f t="shared" si="10"/>
        <v>No</v>
      </c>
      <c r="AP119" s="11" t="str">
        <f t="shared" si="11"/>
        <v>Yes</v>
      </c>
      <c r="AQ119" s="11">
        <f t="shared" si="12"/>
        <v>0.19385625000000001</v>
      </c>
      <c r="AR119" s="33"/>
      <c r="AS119" s="33"/>
      <c r="AT119" s="33"/>
      <c r="AU119" s="33"/>
      <c r="AV119" s="33"/>
      <c r="AW119" s="33"/>
      <c r="AX119" s="33" t="str">
        <f t="shared" si="13"/>
        <v>Low</v>
      </c>
    </row>
    <row r="120" spans="1:50">
      <c r="A120" s="9" t="s">
        <v>1481</v>
      </c>
      <c r="B120" s="10">
        <v>45512</v>
      </c>
      <c r="C120" s="11" t="s">
        <v>1482</v>
      </c>
      <c r="D120" s="11" t="s">
        <v>1483</v>
      </c>
      <c r="E120" s="11" t="s">
        <v>35</v>
      </c>
      <c r="F120" s="11" t="s">
        <v>104</v>
      </c>
      <c r="G120" s="11" t="s">
        <v>104</v>
      </c>
      <c r="H120" s="11" t="s">
        <v>94</v>
      </c>
      <c r="I120" s="11" t="s">
        <v>95</v>
      </c>
      <c r="J120" s="11" t="s">
        <v>344</v>
      </c>
      <c r="K120" s="25">
        <v>4</v>
      </c>
      <c r="L120" s="25">
        <v>4000</v>
      </c>
      <c r="M120" s="29">
        <v>0.1</v>
      </c>
      <c r="N120" s="25">
        <v>14400</v>
      </c>
      <c r="O120" s="25">
        <v>10066.450000000001</v>
      </c>
      <c r="P120" s="25">
        <v>4333.55</v>
      </c>
      <c r="Q120" s="21">
        <v>30.09</v>
      </c>
      <c r="R120" s="11" t="s">
        <v>106</v>
      </c>
      <c r="S120" s="11" t="s">
        <v>42</v>
      </c>
      <c r="T120" s="11" t="s">
        <v>159</v>
      </c>
      <c r="U120" s="11" t="s">
        <v>218</v>
      </c>
      <c r="V120" s="11">
        <v>2024</v>
      </c>
      <c r="W120" s="11" t="s">
        <v>139</v>
      </c>
      <c r="X120" s="11">
        <v>3</v>
      </c>
      <c r="Y120" s="10">
        <v>45604</v>
      </c>
      <c r="Z120" s="11" t="s">
        <v>89</v>
      </c>
      <c r="AA120" s="11" t="s">
        <v>67</v>
      </c>
      <c r="AB120" s="11" t="s">
        <v>78</v>
      </c>
      <c r="AC120" s="11" t="s">
        <v>121</v>
      </c>
      <c r="AD120" s="11">
        <v>4</v>
      </c>
      <c r="AE120" s="11" t="s">
        <v>159</v>
      </c>
      <c r="AF120" s="11" t="s">
        <v>2228</v>
      </c>
      <c r="AG120" s="25"/>
      <c r="AH120" s="11"/>
      <c r="AI120" s="11"/>
      <c r="AJ120" s="11"/>
      <c r="AK120" s="11"/>
      <c r="AL120" s="11"/>
      <c r="AM120" s="11" t="str">
        <f t="shared" si="9"/>
        <v>Good</v>
      </c>
      <c r="AN120" s="11" t="str" cm="1">
        <f t="array" ref="AN120">_xlfn.IFS(N120&lt;10000,"Low",N120&lt;30000,"Medium",N120&gt;=30000,"High")</f>
        <v>Medium</v>
      </c>
      <c r="AO120" s="11" t="str">
        <f t="shared" si="10"/>
        <v>No</v>
      </c>
      <c r="AP120" s="11" t="str">
        <f t="shared" si="11"/>
        <v>Yes</v>
      </c>
      <c r="AQ120" s="11">
        <f t="shared" si="12"/>
        <v>0.30094097222222221</v>
      </c>
      <c r="AR120" s="33"/>
      <c r="AS120" s="33"/>
      <c r="AT120" s="33"/>
      <c r="AU120" s="33"/>
      <c r="AV120" s="33"/>
      <c r="AW120" s="33"/>
      <c r="AX120" s="33" t="str">
        <f t="shared" si="13"/>
        <v>Low</v>
      </c>
    </row>
    <row r="121" spans="1:50">
      <c r="A121" s="9" t="s">
        <v>1767</v>
      </c>
      <c r="B121" s="10">
        <v>45512</v>
      </c>
      <c r="C121" s="11" t="s">
        <v>1646</v>
      </c>
      <c r="D121" s="11" t="s">
        <v>54</v>
      </c>
      <c r="E121" s="11" t="s">
        <v>35</v>
      </c>
      <c r="F121" s="11" t="s">
        <v>156</v>
      </c>
      <c r="G121" s="11" t="s">
        <v>157</v>
      </c>
      <c r="H121" s="11" t="s">
        <v>38</v>
      </c>
      <c r="I121" s="11" t="s">
        <v>71</v>
      </c>
      <c r="J121" s="11" t="s">
        <v>240</v>
      </c>
      <c r="K121" s="25">
        <v>9</v>
      </c>
      <c r="L121" s="25">
        <v>3500</v>
      </c>
      <c r="M121" s="29">
        <v>0.05</v>
      </c>
      <c r="N121" s="25">
        <v>29925</v>
      </c>
      <c r="O121" s="25">
        <v>20014.669999999998</v>
      </c>
      <c r="P121" s="25">
        <v>9910.33</v>
      </c>
      <c r="Q121" s="21">
        <v>33.119999999999997</v>
      </c>
      <c r="R121" s="11" t="s">
        <v>61</v>
      </c>
      <c r="S121" s="11" t="s">
        <v>42</v>
      </c>
      <c r="T121" s="11" t="s">
        <v>138</v>
      </c>
      <c r="U121" s="11" t="s">
        <v>218</v>
      </c>
      <c r="V121" s="11">
        <v>2024</v>
      </c>
      <c r="W121" s="11" t="s">
        <v>139</v>
      </c>
      <c r="X121" s="11">
        <v>10</v>
      </c>
      <c r="Y121" s="10" t="s">
        <v>661</v>
      </c>
      <c r="Z121" s="11" t="s">
        <v>89</v>
      </c>
      <c r="AA121" s="11" t="s">
        <v>48</v>
      </c>
      <c r="AB121" s="11" t="s">
        <v>111</v>
      </c>
      <c r="AC121" s="11" t="s">
        <v>50</v>
      </c>
      <c r="AD121" s="11">
        <v>1</v>
      </c>
      <c r="AE121" s="11" t="s">
        <v>2209</v>
      </c>
      <c r="AF121" s="11" t="s">
        <v>2224</v>
      </c>
      <c r="AG121" s="25"/>
      <c r="AH121" s="11"/>
      <c r="AI121" s="11"/>
      <c r="AJ121" s="11"/>
      <c r="AK121" s="11"/>
      <c r="AL121" s="11"/>
      <c r="AM121" s="11" t="str">
        <f t="shared" si="9"/>
        <v>Good</v>
      </c>
      <c r="AN121" s="11" t="str" cm="1">
        <f t="array" ref="AN121">_xlfn.IFS(N121&lt;10000,"Low",N121&lt;30000,"Medium",N121&gt;=30000,"High")</f>
        <v>Medium</v>
      </c>
      <c r="AO121" s="11" t="str">
        <f t="shared" si="10"/>
        <v>No</v>
      </c>
      <c r="AP121" s="11" t="str">
        <f t="shared" si="11"/>
        <v>Yes</v>
      </c>
      <c r="AQ121" s="11">
        <f t="shared" si="12"/>
        <v>0.33117226399331662</v>
      </c>
      <c r="AR121" s="33"/>
      <c r="AS121" s="33"/>
      <c r="AT121" s="33"/>
      <c r="AU121" s="33"/>
      <c r="AV121" s="33"/>
      <c r="AW121" s="33"/>
      <c r="AX121" s="33" t="str">
        <f t="shared" si="13"/>
        <v>Average</v>
      </c>
    </row>
    <row r="122" spans="1:50">
      <c r="A122" s="9" t="s">
        <v>1389</v>
      </c>
      <c r="B122" s="10">
        <v>45513</v>
      </c>
      <c r="C122" s="11" t="s">
        <v>1390</v>
      </c>
      <c r="D122" s="11" t="s">
        <v>913</v>
      </c>
      <c r="E122" s="11" t="s">
        <v>103</v>
      </c>
      <c r="F122" s="11" t="s">
        <v>245</v>
      </c>
      <c r="G122" s="11" t="s">
        <v>246</v>
      </c>
      <c r="H122" s="11" t="s">
        <v>38</v>
      </c>
      <c r="I122" s="11" t="s">
        <v>95</v>
      </c>
      <c r="J122" s="11" t="s">
        <v>184</v>
      </c>
      <c r="K122" s="25">
        <v>3</v>
      </c>
      <c r="L122" s="25">
        <v>6000</v>
      </c>
      <c r="M122" s="29">
        <v>0.2</v>
      </c>
      <c r="N122" s="25">
        <v>14400</v>
      </c>
      <c r="O122" s="25">
        <v>8003.56</v>
      </c>
      <c r="P122" s="25">
        <v>6396.44</v>
      </c>
      <c r="Q122" s="21">
        <v>44.42</v>
      </c>
      <c r="R122" s="11" t="s">
        <v>166</v>
      </c>
      <c r="S122" s="11" t="s">
        <v>42</v>
      </c>
      <c r="T122" s="11" t="s">
        <v>173</v>
      </c>
      <c r="U122" s="11" t="s">
        <v>108</v>
      </c>
      <c r="V122" s="11">
        <v>2024</v>
      </c>
      <c r="W122" s="11" t="s">
        <v>45</v>
      </c>
      <c r="X122" s="11">
        <v>3</v>
      </c>
      <c r="Y122" s="10">
        <v>45605</v>
      </c>
      <c r="Z122" s="11" t="s">
        <v>47</v>
      </c>
      <c r="AA122" s="11" t="s">
        <v>67</v>
      </c>
      <c r="AB122" s="11" t="s">
        <v>49</v>
      </c>
      <c r="AC122" s="11" t="s">
        <v>50</v>
      </c>
      <c r="AD122" s="11">
        <v>4</v>
      </c>
      <c r="AE122" s="11" t="s">
        <v>2209</v>
      </c>
      <c r="AF122" s="11" t="s">
        <v>2231</v>
      </c>
      <c r="AG122" s="25"/>
      <c r="AH122" s="11"/>
      <c r="AI122" s="11"/>
      <c r="AJ122" s="11"/>
      <c r="AK122" s="11"/>
      <c r="AL122" s="11"/>
      <c r="AM122" s="11" t="str">
        <f t="shared" si="9"/>
        <v>Good</v>
      </c>
      <c r="AN122" s="11" t="str" cm="1">
        <f t="array" ref="AN122">_xlfn.IFS(N122&lt;10000,"Low",N122&lt;30000,"Medium",N122&gt;=30000,"High")</f>
        <v>Medium</v>
      </c>
      <c r="AO122" s="11" t="str">
        <f t="shared" si="10"/>
        <v>No</v>
      </c>
      <c r="AP122" s="11" t="str">
        <f t="shared" si="11"/>
        <v>Yes</v>
      </c>
      <c r="AQ122" s="11">
        <f t="shared" si="12"/>
        <v>0.44419722222222219</v>
      </c>
      <c r="AR122" s="33"/>
      <c r="AS122" s="33"/>
      <c r="AT122" s="33"/>
      <c r="AU122" s="33"/>
      <c r="AV122" s="33"/>
      <c r="AW122" s="33"/>
      <c r="AX122" s="33" t="str">
        <f t="shared" si="13"/>
        <v>Average</v>
      </c>
    </row>
    <row r="123" spans="1:50">
      <c r="A123" s="9" t="s">
        <v>1943</v>
      </c>
      <c r="B123" s="10">
        <v>45513</v>
      </c>
      <c r="C123" s="11" t="s">
        <v>392</v>
      </c>
      <c r="D123" s="11" t="s">
        <v>1698</v>
      </c>
      <c r="E123" s="11" t="s">
        <v>55</v>
      </c>
      <c r="F123" s="11" t="s">
        <v>131</v>
      </c>
      <c r="G123" s="11" t="s">
        <v>132</v>
      </c>
      <c r="H123" s="11" t="s">
        <v>94</v>
      </c>
      <c r="I123" s="11" t="s">
        <v>95</v>
      </c>
      <c r="J123" s="11" t="s">
        <v>96</v>
      </c>
      <c r="K123" s="25">
        <v>9</v>
      </c>
      <c r="L123" s="25">
        <v>6000</v>
      </c>
      <c r="M123" s="29">
        <v>0.2</v>
      </c>
      <c r="N123" s="25">
        <v>43200</v>
      </c>
      <c r="O123" s="25">
        <v>28820.7</v>
      </c>
      <c r="P123" s="25">
        <v>14379.3</v>
      </c>
      <c r="Q123" s="21">
        <v>33.29</v>
      </c>
      <c r="R123" s="11" t="s">
        <v>166</v>
      </c>
      <c r="S123" s="11" t="s">
        <v>74</v>
      </c>
      <c r="T123" s="11" t="s">
        <v>63</v>
      </c>
      <c r="U123" s="11" t="s">
        <v>108</v>
      </c>
      <c r="V123" s="11">
        <v>2024</v>
      </c>
      <c r="W123" s="11" t="s">
        <v>45</v>
      </c>
      <c r="X123" s="11">
        <v>4</v>
      </c>
      <c r="Y123" s="10">
        <v>45635</v>
      </c>
      <c r="Z123" s="11" t="s">
        <v>47</v>
      </c>
      <c r="AA123" s="11" t="s">
        <v>67</v>
      </c>
      <c r="AB123" s="11" t="s">
        <v>78</v>
      </c>
      <c r="AC123" s="11" t="s">
        <v>121</v>
      </c>
      <c r="AD123" s="11">
        <v>2</v>
      </c>
      <c r="AE123" s="11" t="s">
        <v>2216</v>
      </c>
      <c r="AF123" s="11" t="s">
        <v>2210</v>
      </c>
      <c r="AG123" s="25"/>
      <c r="AH123" s="11"/>
      <c r="AI123" s="11"/>
      <c r="AJ123" s="11"/>
      <c r="AK123" s="11"/>
      <c r="AL123" s="11"/>
      <c r="AM123" s="11" t="str">
        <f t="shared" si="9"/>
        <v>Good</v>
      </c>
      <c r="AN123" s="11" t="str" cm="1">
        <f t="array" ref="AN123">_xlfn.IFS(N123&lt;10000,"Low",N123&lt;30000,"Medium",N123&gt;=30000,"High")</f>
        <v>High</v>
      </c>
      <c r="AO123" s="11" t="str">
        <f t="shared" si="10"/>
        <v>Yes</v>
      </c>
      <c r="AP123" s="11" t="str">
        <f t="shared" si="11"/>
        <v>Yes</v>
      </c>
      <c r="AQ123" s="11">
        <f t="shared" si="12"/>
        <v>0.33285416666666667</v>
      </c>
      <c r="AR123" s="33"/>
      <c r="AS123" s="33"/>
      <c r="AT123" s="33"/>
      <c r="AU123" s="33"/>
      <c r="AV123" s="33"/>
      <c r="AW123" s="33"/>
      <c r="AX123" s="33" t="str">
        <f t="shared" si="13"/>
        <v>Good</v>
      </c>
    </row>
    <row r="124" spans="1:50">
      <c r="A124" s="9" t="s">
        <v>195</v>
      </c>
      <c r="B124" s="10">
        <v>45515</v>
      </c>
      <c r="C124" s="11" t="s">
        <v>196</v>
      </c>
      <c r="D124" s="11" t="s">
        <v>197</v>
      </c>
      <c r="E124" s="11" t="s">
        <v>55</v>
      </c>
      <c r="F124" s="11" t="s">
        <v>104</v>
      </c>
      <c r="G124" s="11" t="s">
        <v>104</v>
      </c>
      <c r="H124" s="11" t="s">
        <v>58</v>
      </c>
      <c r="I124" s="11" t="s">
        <v>71</v>
      </c>
      <c r="J124" s="11" t="s">
        <v>117</v>
      </c>
      <c r="K124" s="25">
        <v>4</v>
      </c>
      <c r="L124" s="25">
        <v>2500</v>
      </c>
      <c r="M124" s="29">
        <v>0.1</v>
      </c>
      <c r="N124" s="25">
        <v>9000</v>
      </c>
      <c r="O124" s="25">
        <v>5007.5</v>
      </c>
      <c r="P124" s="25">
        <v>3992.5</v>
      </c>
      <c r="Q124" s="21">
        <v>44.36</v>
      </c>
      <c r="R124" s="11" t="s">
        <v>61</v>
      </c>
      <c r="S124" s="11" t="s">
        <v>62</v>
      </c>
      <c r="T124" s="11" t="s">
        <v>107</v>
      </c>
      <c r="U124" s="11" t="s">
        <v>198</v>
      </c>
      <c r="V124" s="11">
        <v>2024</v>
      </c>
      <c r="W124" s="11" t="s">
        <v>194</v>
      </c>
      <c r="X124" s="11">
        <v>4</v>
      </c>
      <c r="Y124" s="10">
        <v>45637</v>
      </c>
      <c r="Z124" s="11" t="s">
        <v>47</v>
      </c>
      <c r="AA124" s="11" t="s">
        <v>67</v>
      </c>
      <c r="AB124" s="11" t="s">
        <v>111</v>
      </c>
      <c r="AC124" s="11" t="s">
        <v>50</v>
      </c>
      <c r="AD124" s="11">
        <v>1</v>
      </c>
      <c r="AE124" s="11" t="s">
        <v>118</v>
      </c>
      <c r="AF124" s="11" t="s">
        <v>2236</v>
      </c>
      <c r="AG124" s="25"/>
      <c r="AH124" s="11"/>
      <c r="AI124" s="11"/>
      <c r="AJ124" s="11"/>
      <c r="AK124" s="11"/>
      <c r="AL124" s="11"/>
      <c r="AM124" s="11" t="str">
        <f t="shared" si="9"/>
        <v>Good</v>
      </c>
      <c r="AN124" s="11" t="str" cm="1">
        <f t="array" ref="AN124">_xlfn.IFS(N124&lt;10000,"Low",N124&lt;30000,"Medium",N124&gt;=30000,"High")</f>
        <v>Low</v>
      </c>
      <c r="AO124" s="11" t="str">
        <f t="shared" si="10"/>
        <v>No</v>
      </c>
      <c r="AP124" s="11" t="str">
        <f t="shared" si="11"/>
        <v>No</v>
      </c>
      <c r="AQ124" s="11">
        <f t="shared" si="12"/>
        <v>0.44361111111111112</v>
      </c>
      <c r="AR124" s="33"/>
      <c r="AS124" s="33"/>
      <c r="AT124" s="33"/>
      <c r="AU124" s="33"/>
      <c r="AV124" s="33"/>
      <c r="AW124" s="33"/>
      <c r="AX124" s="33" t="str">
        <f t="shared" si="13"/>
        <v>Low</v>
      </c>
    </row>
    <row r="125" spans="1:50">
      <c r="A125" s="9" t="s">
        <v>651</v>
      </c>
      <c r="B125" s="10">
        <v>45515</v>
      </c>
      <c r="C125" s="11" t="s">
        <v>652</v>
      </c>
      <c r="D125" s="11" t="s">
        <v>653</v>
      </c>
      <c r="E125" s="11" t="s">
        <v>55</v>
      </c>
      <c r="F125" s="11" t="s">
        <v>144</v>
      </c>
      <c r="G125" s="11" t="s">
        <v>145</v>
      </c>
      <c r="H125" s="11" t="s">
        <v>38</v>
      </c>
      <c r="I125" s="11" t="s">
        <v>39</v>
      </c>
      <c r="J125" s="11" t="s">
        <v>105</v>
      </c>
      <c r="K125" s="25">
        <v>6</v>
      </c>
      <c r="L125" s="25">
        <v>8000</v>
      </c>
      <c r="M125" s="29">
        <v>0.05</v>
      </c>
      <c r="N125" s="25">
        <v>45600</v>
      </c>
      <c r="O125" s="25">
        <v>29676.14</v>
      </c>
      <c r="P125" s="25">
        <v>15923.86</v>
      </c>
      <c r="Q125" s="21">
        <v>34.92</v>
      </c>
      <c r="R125" s="11" t="s">
        <v>41</v>
      </c>
      <c r="S125" s="11" t="s">
        <v>62</v>
      </c>
      <c r="T125" s="11" t="s">
        <v>75</v>
      </c>
      <c r="U125" s="11" t="s">
        <v>198</v>
      </c>
      <c r="V125" s="11">
        <v>2024</v>
      </c>
      <c r="W125" s="11" t="s">
        <v>194</v>
      </c>
      <c r="X125" s="11">
        <v>2</v>
      </c>
      <c r="Y125" s="10">
        <v>45576</v>
      </c>
      <c r="Z125" s="11" t="s">
        <v>47</v>
      </c>
      <c r="AA125" s="11" t="s">
        <v>90</v>
      </c>
      <c r="AB125" s="11" t="s">
        <v>78</v>
      </c>
      <c r="AC125" s="11" t="s">
        <v>121</v>
      </c>
      <c r="AD125" s="11">
        <v>5</v>
      </c>
      <c r="AE125" s="11" t="s">
        <v>2227</v>
      </c>
      <c r="AF125" s="11" t="s">
        <v>2223</v>
      </c>
      <c r="AG125" s="25"/>
      <c r="AH125" s="11"/>
      <c r="AI125" s="11"/>
      <c r="AJ125" s="11"/>
      <c r="AK125" s="11"/>
      <c r="AL125" s="11"/>
      <c r="AM125" s="11" t="str">
        <f t="shared" si="9"/>
        <v>Good</v>
      </c>
      <c r="AN125" s="11" t="str" cm="1">
        <f t="array" ref="AN125">_xlfn.IFS(N125&lt;10000,"Low",N125&lt;30000,"Medium",N125&gt;=30000,"High")</f>
        <v>High</v>
      </c>
      <c r="AO125" s="11" t="str">
        <f t="shared" si="10"/>
        <v>Yes</v>
      </c>
      <c r="AP125" s="11" t="str">
        <f t="shared" si="11"/>
        <v>No</v>
      </c>
      <c r="AQ125" s="11">
        <f t="shared" si="12"/>
        <v>0.34920745614035087</v>
      </c>
      <c r="AR125" s="33"/>
      <c r="AS125" s="33"/>
      <c r="AT125" s="33"/>
      <c r="AU125" s="33"/>
      <c r="AV125" s="33"/>
      <c r="AW125" s="33"/>
      <c r="AX125" s="33" t="str">
        <f t="shared" si="13"/>
        <v>Good</v>
      </c>
    </row>
    <row r="126" spans="1:50">
      <c r="A126" s="9" t="s">
        <v>2012</v>
      </c>
      <c r="B126" s="10">
        <v>45516</v>
      </c>
      <c r="C126" s="11" t="s">
        <v>665</v>
      </c>
      <c r="D126" s="11" t="s">
        <v>900</v>
      </c>
      <c r="E126" s="11" t="s">
        <v>35</v>
      </c>
      <c r="F126" s="11" t="s">
        <v>245</v>
      </c>
      <c r="G126" s="11" t="s">
        <v>246</v>
      </c>
      <c r="H126" s="11" t="s">
        <v>38</v>
      </c>
      <c r="I126" s="11" t="s">
        <v>95</v>
      </c>
      <c r="J126" s="11" t="s">
        <v>344</v>
      </c>
      <c r="K126" s="25">
        <v>1</v>
      </c>
      <c r="L126" s="25">
        <v>15000</v>
      </c>
      <c r="M126" s="29">
        <v>0</v>
      </c>
      <c r="N126" s="25">
        <v>15000</v>
      </c>
      <c r="O126" s="25">
        <v>10476.450000000001</v>
      </c>
      <c r="P126" s="25">
        <v>4523.55</v>
      </c>
      <c r="Q126" s="21">
        <v>30.16</v>
      </c>
      <c r="R126" s="11" t="s">
        <v>166</v>
      </c>
      <c r="S126" s="11" t="s">
        <v>62</v>
      </c>
      <c r="T126" s="11" t="s">
        <v>138</v>
      </c>
      <c r="U126" s="11" t="s">
        <v>64</v>
      </c>
      <c r="V126" s="11">
        <v>2024</v>
      </c>
      <c r="W126" s="11" t="s">
        <v>45</v>
      </c>
      <c r="X126" s="11">
        <v>7</v>
      </c>
      <c r="Y126" s="10" t="s">
        <v>1791</v>
      </c>
      <c r="Z126" s="11" t="s">
        <v>47</v>
      </c>
      <c r="AA126" s="11" t="s">
        <v>48</v>
      </c>
      <c r="AB126" s="11" t="s">
        <v>111</v>
      </c>
      <c r="AC126" s="11" t="s">
        <v>50</v>
      </c>
      <c r="AD126" s="11">
        <v>3</v>
      </c>
      <c r="AE126" s="11" t="s">
        <v>2227</v>
      </c>
      <c r="AF126" s="11" t="s">
        <v>2230</v>
      </c>
      <c r="AG126" s="25"/>
      <c r="AH126" s="11"/>
      <c r="AI126" s="11"/>
      <c r="AJ126" s="11"/>
      <c r="AK126" s="11"/>
      <c r="AL126" s="11"/>
      <c r="AM126" s="11" t="str">
        <f t="shared" si="9"/>
        <v>Good</v>
      </c>
      <c r="AN126" s="11" t="str" cm="1">
        <f t="array" ref="AN126">_xlfn.IFS(N126&lt;10000,"Low",N126&lt;30000,"Medium",N126&gt;=30000,"High")</f>
        <v>Medium</v>
      </c>
      <c r="AO126" s="11" t="str">
        <f t="shared" si="10"/>
        <v>No</v>
      </c>
      <c r="AP126" s="11" t="str">
        <f t="shared" si="11"/>
        <v>No</v>
      </c>
      <c r="AQ126" s="11">
        <f t="shared" si="12"/>
        <v>0.30157</v>
      </c>
      <c r="AR126" s="33"/>
      <c r="AS126" s="33"/>
      <c r="AT126" s="33"/>
      <c r="AU126" s="33"/>
      <c r="AV126" s="33"/>
      <c r="AW126" s="33"/>
      <c r="AX126" s="33" t="str">
        <f t="shared" si="13"/>
        <v>Low</v>
      </c>
    </row>
    <row r="127" spans="1:50">
      <c r="A127" s="9" t="s">
        <v>1689</v>
      </c>
      <c r="B127" s="10">
        <v>45537</v>
      </c>
      <c r="C127" s="11" t="s">
        <v>974</v>
      </c>
      <c r="D127" s="11" t="s">
        <v>542</v>
      </c>
      <c r="E127" s="11" t="s">
        <v>103</v>
      </c>
      <c r="F127" s="11" t="s">
        <v>131</v>
      </c>
      <c r="G127" s="11" t="s">
        <v>132</v>
      </c>
      <c r="H127" s="11" t="s">
        <v>94</v>
      </c>
      <c r="I127" s="11" t="s">
        <v>39</v>
      </c>
      <c r="J127" s="11" t="s">
        <v>105</v>
      </c>
      <c r="K127" s="25">
        <v>4</v>
      </c>
      <c r="L127" s="25">
        <v>22000</v>
      </c>
      <c r="M127" s="29">
        <v>0</v>
      </c>
      <c r="N127" s="25">
        <v>88000</v>
      </c>
      <c r="O127" s="25">
        <v>52456.36</v>
      </c>
      <c r="P127" s="25">
        <v>35543.64</v>
      </c>
      <c r="Q127" s="21">
        <v>40.39</v>
      </c>
      <c r="R127" s="11" t="s">
        <v>166</v>
      </c>
      <c r="S127" s="11" t="s">
        <v>74</v>
      </c>
      <c r="T127" s="11" t="s">
        <v>159</v>
      </c>
      <c r="U127" s="11" t="s">
        <v>98</v>
      </c>
      <c r="V127" s="11">
        <v>2024</v>
      </c>
      <c r="W127" s="11" t="s">
        <v>194</v>
      </c>
      <c r="X127" s="11">
        <v>7</v>
      </c>
      <c r="Y127" s="10" t="s">
        <v>874</v>
      </c>
      <c r="Z127" s="11" t="s">
        <v>110</v>
      </c>
      <c r="AA127" s="11" t="s">
        <v>90</v>
      </c>
      <c r="AB127" s="11" t="s">
        <v>78</v>
      </c>
      <c r="AC127" s="11" t="s">
        <v>50</v>
      </c>
      <c r="AD127" s="11">
        <v>3</v>
      </c>
      <c r="AE127" s="11" t="s">
        <v>2220</v>
      </c>
      <c r="AF127" s="11" t="s">
        <v>2222</v>
      </c>
      <c r="AG127" s="25"/>
      <c r="AH127" s="11"/>
      <c r="AI127" s="11"/>
      <c r="AJ127" s="11"/>
      <c r="AK127" s="11"/>
      <c r="AL127" s="11"/>
      <c r="AM127" s="11" t="str">
        <f t="shared" si="9"/>
        <v>Good</v>
      </c>
      <c r="AN127" s="11" t="str" cm="1">
        <f t="array" ref="AN127">_xlfn.IFS(N127&lt;10000,"Low",N127&lt;30000,"Medium",N127&gt;=30000,"High")</f>
        <v>High</v>
      </c>
      <c r="AO127" s="11" t="str">
        <f t="shared" si="10"/>
        <v>Yes</v>
      </c>
      <c r="AP127" s="11" t="str">
        <f t="shared" si="11"/>
        <v>Yes</v>
      </c>
      <c r="AQ127" s="11">
        <f t="shared" si="12"/>
        <v>0.40390500000000001</v>
      </c>
      <c r="AR127" s="33"/>
      <c r="AS127" s="33"/>
      <c r="AT127" s="33"/>
      <c r="AU127" s="33"/>
      <c r="AV127" s="33"/>
      <c r="AW127" s="33"/>
      <c r="AX127" s="33" t="str">
        <f t="shared" si="13"/>
        <v>Excellent</v>
      </c>
    </row>
    <row r="128" spans="1:50">
      <c r="A128" s="9" t="s">
        <v>1904</v>
      </c>
      <c r="B128" s="10">
        <v>45538</v>
      </c>
      <c r="C128" s="11" t="s">
        <v>1321</v>
      </c>
      <c r="D128" s="11" t="s">
        <v>130</v>
      </c>
      <c r="E128" s="11" t="s">
        <v>55</v>
      </c>
      <c r="F128" s="11" t="s">
        <v>56</v>
      </c>
      <c r="G128" s="11" t="s">
        <v>57</v>
      </c>
      <c r="H128" s="11" t="s">
        <v>38</v>
      </c>
      <c r="I128" s="11" t="s">
        <v>39</v>
      </c>
      <c r="J128" s="11" t="s">
        <v>40</v>
      </c>
      <c r="K128" s="25">
        <v>7</v>
      </c>
      <c r="L128" s="25">
        <v>35000</v>
      </c>
      <c r="M128" s="29">
        <v>0.15</v>
      </c>
      <c r="N128" s="25">
        <v>208250</v>
      </c>
      <c r="O128" s="25">
        <v>129312.71</v>
      </c>
      <c r="P128" s="25">
        <v>78937.289999999994</v>
      </c>
      <c r="Q128" s="21">
        <v>37.909999999999997</v>
      </c>
      <c r="R128" s="11" t="s">
        <v>73</v>
      </c>
      <c r="S128" s="11" t="s">
        <v>74</v>
      </c>
      <c r="T128" s="11" t="s">
        <v>43</v>
      </c>
      <c r="U128" s="11" t="s">
        <v>178</v>
      </c>
      <c r="V128" s="11">
        <v>2024</v>
      </c>
      <c r="W128" s="11" t="s">
        <v>65</v>
      </c>
      <c r="X128" s="11">
        <v>2</v>
      </c>
      <c r="Y128" s="10">
        <v>45599</v>
      </c>
      <c r="Z128" s="11" t="s">
        <v>47</v>
      </c>
      <c r="AA128" s="11" t="s">
        <v>90</v>
      </c>
      <c r="AB128" s="11" t="s">
        <v>49</v>
      </c>
      <c r="AC128" s="11" t="s">
        <v>121</v>
      </c>
      <c r="AD128" s="11">
        <v>2</v>
      </c>
      <c r="AE128" s="11" t="s">
        <v>159</v>
      </c>
      <c r="AF128" s="11" t="s">
        <v>2219</v>
      </c>
      <c r="AG128" s="25"/>
      <c r="AH128" s="11"/>
      <c r="AI128" s="11"/>
      <c r="AJ128" s="11"/>
      <c r="AK128" s="11"/>
      <c r="AL128" s="11"/>
      <c r="AM128" s="11" t="str">
        <f t="shared" si="9"/>
        <v>Good</v>
      </c>
      <c r="AN128" s="11" t="str" cm="1">
        <f t="array" ref="AN128">_xlfn.IFS(N128&lt;10000,"Low",N128&lt;30000,"Medium",N128&gt;=30000,"High")</f>
        <v>High</v>
      </c>
      <c r="AO128" s="11" t="str">
        <f t="shared" si="10"/>
        <v>Yes</v>
      </c>
      <c r="AP128" s="11" t="str">
        <f t="shared" si="11"/>
        <v>Yes</v>
      </c>
      <c r="AQ128" s="11">
        <f t="shared" si="12"/>
        <v>0.37905061224489794</v>
      </c>
      <c r="AR128" s="33"/>
      <c r="AS128" s="33"/>
      <c r="AT128" s="33"/>
      <c r="AU128" s="33"/>
      <c r="AV128" s="33"/>
      <c r="AW128" s="33"/>
      <c r="AX128" s="33" t="str">
        <f t="shared" si="13"/>
        <v>Excellent</v>
      </c>
    </row>
    <row r="129" spans="1:50">
      <c r="A129" s="9" t="s">
        <v>1905</v>
      </c>
      <c r="B129" s="10">
        <v>45538</v>
      </c>
      <c r="C129" s="11" t="s">
        <v>801</v>
      </c>
      <c r="D129" s="11" t="s">
        <v>1063</v>
      </c>
      <c r="E129" s="11" t="s">
        <v>35</v>
      </c>
      <c r="F129" s="11" t="s">
        <v>56</v>
      </c>
      <c r="G129" s="11" t="s">
        <v>57</v>
      </c>
      <c r="H129" s="11" t="s">
        <v>38</v>
      </c>
      <c r="I129" s="11" t="s">
        <v>59</v>
      </c>
      <c r="J129" s="11" t="s">
        <v>60</v>
      </c>
      <c r="K129" s="25">
        <v>9</v>
      </c>
      <c r="L129" s="25">
        <v>1200</v>
      </c>
      <c r="M129" s="29">
        <v>0.15</v>
      </c>
      <c r="N129" s="25">
        <v>9180</v>
      </c>
      <c r="O129" s="25">
        <v>6073.3</v>
      </c>
      <c r="P129" s="25">
        <v>3106.7</v>
      </c>
      <c r="Q129" s="21">
        <v>33.840000000000003</v>
      </c>
      <c r="R129" s="11" t="s">
        <v>61</v>
      </c>
      <c r="S129" s="11" t="s">
        <v>74</v>
      </c>
      <c r="T129" s="11" t="s">
        <v>75</v>
      </c>
      <c r="U129" s="11" t="s">
        <v>178</v>
      </c>
      <c r="V129" s="11">
        <v>2024</v>
      </c>
      <c r="W129" s="11" t="s">
        <v>65</v>
      </c>
      <c r="X129" s="11">
        <v>3</v>
      </c>
      <c r="Y129" s="10">
        <v>45629</v>
      </c>
      <c r="Z129" s="11" t="s">
        <v>89</v>
      </c>
      <c r="AA129" s="11" t="s">
        <v>90</v>
      </c>
      <c r="AB129" s="11" t="s">
        <v>78</v>
      </c>
      <c r="AC129" s="11" t="s">
        <v>121</v>
      </c>
      <c r="AD129" s="11">
        <v>5</v>
      </c>
      <c r="AE129" s="11" t="s">
        <v>2226</v>
      </c>
      <c r="AF129" s="11" t="s">
        <v>2212</v>
      </c>
      <c r="AG129" s="25"/>
      <c r="AH129" s="11"/>
      <c r="AI129" s="11"/>
      <c r="AJ129" s="11"/>
      <c r="AK129" s="11"/>
      <c r="AL129" s="11"/>
      <c r="AM129" s="11" t="str">
        <f t="shared" si="9"/>
        <v>Good</v>
      </c>
      <c r="AN129" s="11" t="str" cm="1">
        <f t="array" ref="AN129">_xlfn.IFS(N129&lt;10000,"Low",N129&lt;30000,"Medium",N129&gt;=30000,"High")</f>
        <v>Low</v>
      </c>
      <c r="AO129" s="11" t="str">
        <f t="shared" si="10"/>
        <v>No</v>
      </c>
      <c r="AP129" s="11" t="str">
        <f t="shared" si="11"/>
        <v>Yes</v>
      </c>
      <c r="AQ129" s="11">
        <f t="shared" si="12"/>
        <v>0.3384204793028322</v>
      </c>
      <c r="AR129" s="33"/>
      <c r="AS129" s="33"/>
      <c r="AT129" s="33"/>
      <c r="AU129" s="33"/>
      <c r="AV129" s="33"/>
      <c r="AW129" s="33"/>
      <c r="AX129" s="33" t="str">
        <f t="shared" si="13"/>
        <v>Low</v>
      </c>
    </row>
    <row r="130" spans="1:50">
      <c r="A130" s="9" t="s">
        <v>2124</v>
      </c>
      <c r="B130" s="10">
        <v>45538</v>
      </c>
      <c r="C130" s="11" t="s">
        <v>192</v>
      </c>
      <c r="D130" s="11" t="s">
        <v>947</v>
      </c>
      <c r="E130" s="11" t="s">
        <v>35</v>
      </c>
      <c r="F130" s="11" t="s">
        <v>56</v>
      </c>
      <c r="G130" s="11" t="s">
        <v>57</v>
      </c>
      <c r="H130" s="11" t="s">
        <v>58</v>
      </c>
      <c r="I130" s="11" t="s">
        <v>84</v>
      </c>
      <c r="J130" s="11" t="s">
        <v>290</v>
      </c>
      <c r="K130" s="25">
        <v>3</v>
      </c>
      <c r="L130" s="25">
        <v>350</v>
      </c>
      <c r="M130" s="29">
        <v>0.2</v>
      </c>
      <c r="N130" s="25">
        <v>840</v>
      </c>
      <c r="O130" s="25">
        <v>485.51</v>
      </c>
      <c r="P130" s="25">
        <v>354.49</v>
      </c>
      <c r="Q130" s="21">
        <v>42.2</v>
      </c>
      <c r="R130" s="11" t="s">
        <v>61</v>
      </c>
      <c r="S130" s="11" t="s">
        <v>42</v>
      </c>
      <c r="T130" s="11" t="s">
        <v>159</v>
      </c>
      <c r="U130" s="11" t="s">
        <v>178</v>
      </c>
      <c r="V130" s="11">
        <v>2024</v>
      </c>
      <c r="W130" s="11" t="s">
        <v>65</v>
      </c>
      <c r="X130" s="11">
        <v>7</v>
      </c>
      <c r="Y130" s="10" t="s">
        <v>483</v>
      </c>
      <c r="Z130" s="11" t="s">
        <v>47</v>
      </c>
      <c r="AA130" s="11" t="s">
        <v>48</v>
      </c>
      <c r="AB130" s="11" t="s">
        <v>111</v>
      </c>
      <c r="AC130" s="11" t="s">
        <v>50</v>
      </c>
      <c r="AD130" s="11">
        <v>1</v>
      </c>
      <c r="AE130" s="11" t="s">
        <v>2225</v>
      </c>
      <c r="AF130" s="11" t="s">
        <v>2214</v>
      </c>
      <c r="AG130" s="25"/>
      <c r="AH130" s="11"/>
      <c r="AI130" s="11"/>
      <c r="AJ130" s="11"/>
      <c r="AK130" s="11"/>
      <c r="AL130" s="11"/>
      <c r="AM130" s="11" t="str">
        <f t="shared" ref="AM130:AM193" si="14">IF(Q130&gt;=30,"Good","Needs Improvement")</f>
        <v>Good</v>
      </c>
      <c r="AN130" s="11" t="str" cm="1">
        <f t="array" ref="AN130">_xlfn.IFS(N130&lt;10000,"Low",N130&lt;30000,"Medium",N130&gt;=30000,"High")</f>
        <v>Low</v>
      </c>
      <c r="AO130" s="11" t="str">
        <f t="shared" ref="AO130:AO193" si="15">IF(AND(N130&gt;=30000,P130&gt;=10000),"Yes","No")</f>
        <v>No</v>
      </c>
      <c r="AP130" s="11" t="str">
        <f t="shared" ref="AP130:AP193" si="16">IF(OR(S130="Online",S130="Marketplace"),"Yes","No")</f>
        <v>Yes</v>
      </c>
      <c r="AQ130" s="11">
        <f t="shared" ref="AQ130:AQ193" si="17">IFERROR(P130/N130,"No Error")</f>
        <v>0.42201190476190475</v>
      </c>
      <c r="AR130" s="33"/>
      <c r="AS130" s="33"/>
      <c r="AT130" s="33"/>
      <c r="AU130" s="33"/>
      <c r="AV130" s="33"/>
      <c r="AW130" s="33"/>
      <c r="AX130" s="33" t="str">
        <f t="shared" ref="AX130:AX193" si="18">IF(P130&gt;=20000,"Excellent",IF(P130&gt;=10000,"Good",IF(P130&gt;=5000,"Average","Low")))</f>
        <v>Low</v>
      </c>
    </row>
    <row r="131" spans="1:50">
      <c r="A131" s="9" t="s">
        <v>353</v>
      </c>
      <c r="B131" s="10">
        <v>45539</v>
      </c>
      <c r="C131" s="11" t="s">
        <v>354</v>
      </c>
      <c r="D131" s="11" t="s">
        <v>355</v>
      </c>
      <c r="E131" s="11" t="s">
        <v>103</v>
      </c>
      <c r="F131" s="11" t="s">
        <v>245</v>
      </c>
      <c r="G131" s="11" t="s">
        <v>246</v>
      </c>
      <c r="H131" s="11" t="s">
        <v>94</v>
      </c>
      <c r="I131" s="11" t="s">
        <v>39</v>
      </c>
      <c r="J131" s="11" t="s">
        <v>356</v>
      </c>
      <c r="K131" s="25">
        <v>5</v>
      </c>
      <c r="L131" s="25">
        <v>22000</v>
      </c>
      <c r="M131" s="29">
        <v>0</v>
      </c>
      <c r="N131" s="25">
        <v>110000</v>
      </c>
      <c r="O131" s="25">
        <v>64529.22</v>
      </c>
      <c r="P131" s="25">
        <v>45470.78</v>
      </c>
      <c r="Q131" s="21">
        <v>41.34</v>
      </c>
      <c r="R131" s="11" t="s">
        <v>41</v>
      </c>
      <c r="S131" s="11" t="s">
        <v>42</v>
      </c>
      <c r="T131" s="11" t="s">
        <v>118</v>
      </c>
      <c r="U131" s="11" t="s">
        <v>44</v>
      </c>
      <c r="V131" s="11">
        <v>2024</v>
      </c>
      <c r="W131" s="11" t="s">
        <v>109</v>
      </c>
      <c r="X131" s="11">
        <v>4</v>
      </c>
      <c r="Y131" s="10" t="s">
        <v>357</v>
      </c>
      <c r="Z131" s="11" t="s">
        <v>89</v>
      </c>
      <c r="AA131" s="11" t="s">
        <v>67</v>
      </c>
      <c r="AB131" s="11" t="s">
        <v>111</v>
      </c>
      <c r="AC131" s="11" t="s">
        <v>121</v>
      </c>
      <c r="AD131" s="11">
        <v>4</v>
      </c>
      <c r="AE131" s="11" t="s">
        <v>159</v>
      </c>
      <c r="AF131" s="11" t="s">
        <v>2235</v>
      </c>
      <c r="AG131" s="25"/>
      <c r="AH131" s="11"/>
      <c r="AI131" s="11"/>
      <c r="AJ131" s="11"/>
      <c r="AK131" s="11"/>
      <c r="AL131" s="11"/>
      <c r="AM131" s="11" t="str">
        <f t="shared" si="14"/>
        <v>Good</v>
      </c>
      <c r="AN131" s="11" t="str" cm="1">
        <f t="array" ref="AN131">_xlfn.IFS(N131&lt;10000,"Low",N131&lt;30000,"Medium",N131&gt;=30000,"High")</f>
        <v>High</v>
      </c>
      <c r="AO131" s="11" t="str">
        <f t="shared" si="15"/>
        <v>Yes</v>
      </c>
      <c r="AP131" s="11" t="str">
        <f t="shared" si="16"/>
        <v>Yes</v>
      </c>
      <c r="AQ131" s="11">
        <f t="shared" si="17"/>
        <v>0.41337072727272728</v>
      </c>
      <c r="AR131" s="33"/>
      <c r="AS131" s="33"/>
      <c r="AT131" s="33"/>
      <c r="AU131" s="33"/>
      <c r="AV131" s="33"/>
      <c r="AW131" s="33"/>
      <c r="AX131" s="33" t="str">
        <f t="shared" si="18"/>
        <v>Excellent</v>
      </c>
    </row>
    <row r="132" spans="1:50">
      <c r="A132" s="9" t="s">
        <v>800</v>
      </c>
      <c r="B132" s="10">
        <v>45539</v>
      </c>
      <c r="C132" s="11" t="s">
        <v>801</v>
      </c>
      <c r="D132" s="11" t="s">
        <v>802</v>
      </c>
      <c r="E132" s="11" t="s">
        <v>55</v>
      </c>
      <c r="F132" s="11" t="s">
        <v>131</v>
      </c>
      <c r="G132" s="11" t="s">
        <v>132</v>
      </c>
      <c r="H132" s="11" t="s">
        <v>58</v>
      </c>
      <c r="I132" s="11" t="s">
        <v>84</v>
      </c>
      <c r="J132" s="11" t="s">
        <v>85</v>
      </c>
      <c r="K132" s="25">
        <v>9</v>
      </c>
      <c r="L132" s="25">
        <v>200</v>
      </c>
      <c r="M132" s="29">
        <v>0.1</v>
      </c>
      <c r="N132" s="25">
        <v>1620</v>
      </c>
      <c r="O132" s="25">
        <v>1215.08</v>
      </c>
      <c r="P132" s="25">
        <v>404.92</v>
      </c>
      <c r="Q132" s="21">
        <v>25</v>
      </c>
      <c r="R132" s="11" t="s">
        <v>73</v>
      </c>
      <c r="S132" s="11" t="s">
        <v>62</v>
      </c>
      <c r="T132" s="11" t="s">
        <v>86</v>
      </c>
      <c r="U132" s="11" t="s">
        <v>44</v>
      </c>
      <c r="V132" s="11">
        <v>2024</v>
      </c>
      <c r="W132" s="11" t="s">
        <v>109</v>
      </c>
      <c r="X132" s="11">
        <v>8</v>
      </c>
      <c r="Y132" s="10" t="s">
        <v>803</v>
      </c>
      <c r="Z132" s="11" t="s">
        <v>47</v>
      </c>
      <c r="AA132" s="11" t="s">
        <v>48</v>
      </c>
      <c r="AB132" s="11" t="s">
        <v>78</v>
      </c>
      <c r="AC132" s="11" t="s">
        <v>50</v>
      </c>
      <c r="AD132" s="11">
        <v>3</v>
      </c>
      <c r="AE132" s="11" t="s">
        <v>2248</v>
      </c>
      <c r="AF132" s="11" t="s">
        <v>2235</v>
      </c>
      <c r="AG132" s="25"/>
      <c r="AH132" s="11"/>
      <c r="AI132" s="11"/>
      <c r="AJ132" s="11"/>
      <c r="AK132" s="11"/>
      <c r="AL132" s="11"/>
      <c r="AM132" s="11" t="str">
        <f t="shared" si="14"/>
        <v>Needs Improvement</v>
      </c>
      <c r="AN132" s="11" t="str" cm="1">
        <f t="array" ref="AN132">_xlfn.IFS(N132&lt;10000,"Low",N132&lt;30000,"Medium",N132&gt;=30000,"High")</f>
        <v>Low</v>
      </c>
      <c r="AO132" s="11" t="str">
        <f t="shared" si="15"/>
        <v>No</v>
      </c>
      <c r="AP132" s="11" t="str">
        <f t="shared" si="16"/>
        <v>No</v>
      </c>
      <c r="AQ132" s="11">
        <f t="shared" si="17"/>
        <v>0.24995061728395063</v>
      </c>
      <c r="AR132" s="33"/>
      <c r="AS132" s="33"/>
      <c r="AT132" s="33"/>
      <c r="AU132" s="33"/>
      <c r="AV132" s="33"/>
      <c r="AW132" s="33"/>
      <c r="AX132" s="33" t="str">
        <f t="shared" si="18"/>
        <v>Low</v>
      </c>
    </row>
    <row r="133" spans="1:50">
      <c r="A133" s="9" t="s">
        <v>1612</v>
      </c>
      <c r="B133" s="10">
        <v>45539</v>
      </c>
      <c r="C133" s="11" t="s">
        <v>1613</v>
      </c>
      <c r="D133" s="11" t="s">
        <v>183</v>
      </c>
      <c r="E133" s="11" t="s">
        <v>103</v>
      </c>
      <c r="F133" s="11" t="s">
        <v>36</v>
      </c>
      <c r="G133" s="11" t="s">
        <v>37</v>
      </c>
      <c r="H133" s="11" t="s">
        <v>58</v>
      </c>
      <c r="I133" s="11" t="s">
        <v>39</v>
      </c>
      <c r="J133" s="11" t="s">
        <v>40</v>
      </c>
      <c r="K133" s="25">
        <v>2</v>
      </c>
      <c r="L133" s="25">
        <v>15000</v>
      </c>
      <c r="M133" s="29">
        <v>0.2</v>
      </c>
      <c r="N133" s="25">
        <v>24000</v>
      </c>
      <c r="O133" s="25">
        <v>16319.91</v>
      </c>
      <c r="P133" s="25">
        <v>7680.09</v>
      </c>
      <c r="Q133" s="21">
        <v>32</v>
      </c>
      <c r="R133" s="11" t="s">
        <v>73</v>
      </c>
      <c r="S133" s="11" t="s">
        <v>42</v>
      </c>
      <c r="T133" s="11" t="s">
        <v>118</v>
      </c>
      <c r="U133" s="11" t="s">
        <v>44</v>
      </c>
      <c r="V133" s="11">
        <v>2024</v>
      </c>
      <c r="W133" s="11" t="s">
        <v>109</v>
      </c>
      <c r="X133" s="11">
        <v>5</v>
      </c>
      <c r="Y133" s="10" t="s">
        <v>32</v>
      </c>
      <c r="Z133" s="11" t="s">
        <v>89</v>
      </c>
      <c r="AA133" s="11" t="s">
        <v>48</v>
      </c>
      <c r="AB133" s="11" t="s">
        <v>111</v>
      </c>
      <c r="AC133" s="11" t="s">
        <v>50</v>
      </c>
      <c r="AD133" s="11">
        <v>2</v>
      </c>
      <c r="AE133" s="11" t="s">
        <v>2226</v>
      </c>
      <c r="AF133" s="11" t="s">
        <v>2224</v>
      </c>
      <c r="AG133" s="25"/>
      <c r="AH133" s="11"/>
      <c r="AI133" s="11"/>
      <c r="AJ133" s="11"/>
      <c r="AK133" s="11"/>
      <c r="AL133" s="11"/>
      <c r="AM133" s="11" t="str">
        <f t="shared" si="14"/>
        <v>Good</v>
      </c>
      <c r="AN133" s="11" t="str" cm="1">
        <f t="array" ref="AN133">_xlfn.IFS(N133&lt;10000,"Low",N133&lt;30000,"Medium",N133&gt;=30000,"High")</f>
        <v>Medium</v>
      </c>
      <c r="AO133" s="11" t="str">
        <f t="shared" si="15"/>
        <v>No</v>
      </c>
      <c r="AP133" s="11" t="str">
        <f t="shared" si="16"/>
        <v>Yes</v>
      </c>
      <c r="AQ133" s="11">
        <f t="shared" si="17"/>
        <v>0.32000375000000003</v>
      </c>
      <c r="AR133" s="33"/>
      <c r="AS133" s="33"/>
      <c r="AT133" s="33"/>
      <c r="AU133" s="33"/>
      <c r="AV133" s="33"/>
      <c r="AW133" s="33"/>
      <c r="AX133" s="33" t="str">
        <f t="shared" si="18"/>
        <v>Average</v>
      </c>
    </row>
    <row r="134" spans="1:50">
      <c r="A134" s="9" t="s">
        <v>1792</v>
      </c>
      <c r="B134" s="10">
        <v>45540</v>
      </c>
      <c r="C134" s="11" t="s">
        <v>363</v>
      </c>
      <c r="D134" s="11" t="s">
        <v>1793</v>
      </c>
      <c r="E134" s="11" t="s">
        <v>103</v>
      </c>
      <c r="F134" s="11" t="s">
        <v>149</v>
      </c>
      <c r="G134" s="11" t="s">
        <v>150</v>
      </c>
      <c r="H134" s="11" t="s">
        <v>38</v>
      </c>
      <c r="I134" s="11" t="s">
        <v>71</v>
      </c>
      <c r="J134" s="11" t="s">
        <v>72</v>
      </c>
      <c r="K134" s="25">
        <v>2</v>
      </c>
      <c r="L134" s="25">
        <v>3500</v>
      </c>
      <c r="M134" s="29">
        <v>0.1</v>
      </c>
      <c r="N134" s="25">
        <v>6300</v>
      </c>
      <c r="O134" s="25">
        <v>4234.8100000000004</v>
      </c>
      <c r="P134" s="25">
        <v>2065.19</v>
      </c>
      <c r="Q134" s="21">
        <v>32.78</v>
      </c>
      <c r="R134" s="11" t="s">
        <v>166</v>
      </c>
      <c r="S134" s="11" t="s">
        <v>42</v>
      </c>
      <c r="T134" s="11" t="s">
        <v>86</v>
      </c>
      <c r="U134" s="11" t="s">
        <v>119</v>
      </c>
      <c r="V134" s="11">
        <v>2024</v>
      </c>
      <c r="W134" s="11" t="s">
        <v>139</v>
      </c>
      <c r="X134" s="11">
        <v>6</v>
      </c>
      <c r="Y134" s="10" t="s">
        <v>1794</v>
      </c>
      <c r="Z134" s="11" t="s">
        <v>47</v>
      </c>
      <c r="AA134" s="11" t="s">
        <v>90</v>
      </c>
      <c r="AB134" s="11" t="s">
        <v>111</v>
      </c>
      <c r="AC134" s="11" t="s">
        <v>121</v>
      </c>
      <c r="AD134" s="11">
        <v>1</v>
      </c>
      <c r="AE134" s="11" t="s">
        <v>2237</v>
      </c>
      <c r="AF134" s="11" t="s">
        <v>2217</v>
      </c>
      <c r="AG134" s="25"/>
      <c r="AH134" s="11"/>
      <c r="AI134" s="11"/>
      <c r="AJ134" s="11"/>
      <c r="AK134" s="11"/>
      <c r="AL134" s="11"/>
      <c r="AM134" s="11" t="str">
        <f t="shared" si="14"/>
        <v>Good</v>
      </c>
      <c r="AN134" s="11" t="str" cm="1">
        <f t="array" ref="AN134">_xlfn.IFS(N134&lt;10000,"Low",N134&lt;30000,"Medium",N134&gt;=30000,"High")</f>
        <v>Low</v>
      </c>
      <c r="AO134" s="11" t="str">
        <f t="shared" si="15"/>
        <v>No</v>
      </c>
      <c r="AP134" s="11" t="str">
        <f t="shared" si="16"/>
        <v>Yes</v>
      </c>
      <c r="AQ134" s="11">
        <f t="shared" si="17"/>
        <v>0.32780793650793649</v>
      </c>
      <c r="AR134" s="33"/>
      <c r="AS134" s="33"/>
      <c r="AT134" s="33"/>
      <c r="AU134" s="33"/>
      <c r="AV134" s="33"/>
      <c r="AW134" s="33"/>
      <c r="AX134" s="33" t="str">
        <f t="shared" si="18"/>
        <v>Low</v>
      </c>
    </row>
    <row r="135" spans="1:50">
      <c r="A135" s="9" t="s">
        <v>2146</v>
      </c>
      <c r="B135" s="10">
        <v>45540</v>
      </c>
      <c r="C135" s="11" t="s">
        <v>977</v>
      </c>
      <c r="D135" s="11" t="s">
        <v>313</v>
      </c>
      <c r="E135" s="11" t="s">
        <v>35</v>
      </c>
      <c r="F135" s="11" t="s">
        <v>82</v>
      </c>
      <c r="G135" s="11" t="s">
        <v>83</v>
      </c>
      <c r="H135" s="11" t="s">
        <v>58</v>
      </c>
      <c r="I135" s="11" t="s">
        <v>71</v>
      </c>
      <c r="J135" s="11" t="s">
        <v>72</v>
      </c>
      <c r="K135" s="25">
        <v>6</v>
      </c>
      <c r="L135" s="25">
        <v>2500</v>
      </c>
      <c r="M135" s="29">
        <v>0.2</v>
      </c>
      <c r="N135" s="25">
        <v>12000</v>
      </c>
      <c r="O135" s="25">
        <v>7058.58</v>
      </c>
      <c r="P135" s="25">
        <v>4941.42</v>
      </c>
      <c r="Q135" s="21">
        <v>41.18</v>
      </c>
      <c r="R135" s="11" t="s">
        <v>106</v>
      </c>
      <c r="S135" s="11" t="s">
        <v>74</v>
      </c>
      <c r="T135" s="11" t="s">
        <v>75</v>
      </c>
      <c r="U135" s="11" t="s">
        <v>119</v>
      </c>
      <c r="V135" s="11">
        <v>2024</v>
      </c>
      <c r="W135" s="11" t="s">
        <v>139</v>
      </c>
      <c r="X135" s="11">
        <v>1</v>
      </c>
      <c r="Y135" s="10">
        <v>45570</v>
      </c>
      <c r="Z135" s="11" t="s">
        <v>89</v>
      </c>
      <c r="AA135" s="11" t="s">
        <v>90</v>
      </c>
      <c r="AB135" s="11" t="s">
        <v>111</v>
      </c>
      <c r="AC135" s="11" t="s">
        <v>50</v>
      </c>
      <c r="AD135" s="11">
        <v>4</v>
      </c>
      <c r="AE135" s="11" t="s">
        <v>2220</v>
      </c>
      <c r="AF135" s="11" t="s">
        <v>2217</v>
      </c>
      <c r="AG135" s="25"/>
      <c r="AH135" s="11"/>
      <c r="AI135" s="11"/>
      <c r="AJ135" s="11"/>
      <c r="AK135" s="11"/>
      <c r="AL135" s="11"/>
      <c r="AM135" s="11" t="str">
        <f t="shared" si="14"/>
        <v>Good</v>
      </c>
      <c r="AN135" s="11" t="str" cm="1">
        <f t="array" ref="AN135">_xlfn.IFS(N135&lt;10000,"Low",N135&lt;30000,"Medium",N135&gt;=30000,"High")</f>
        <v>Medium</v>
      </c>
      <c r="AO135" s="11" t="str">
        <f t="shared" si="15"/>
        <v>No</v>
      </c>
      <c r="AP135" s="11" t="str">
        <f t="shared" si="16"/>
        <v>Yes</v>
      </c>
      <c r="AQ135" s="11">
        <f t="shared" si="17"/>
        <v>0.41178500000000001</v>
      </c>
      <c r="AR135" s="33"/>
      <c r="AS135" s="33"/>
      <c r="AT135" s="33"/>
      <c r="AU135" s="33"/>
      <c r="AV135" s="33"/>
      <c r="AW135" s="33"/>
      <c r="AX135" s="33" t="str">
        <f t="shared" si="18"/>
        <v>Low</v>
      </c>
    </row>
    <row r="136" spans="1:50">
      <c r="A136" s="9" t="s">
        <v>1989</v>
      </c>
      <c r="B136" s="10">
        <v>45541</v>
      </c>
      <c r="C136" s="11" t="s">
        <v>712</v>
      </c>
      <c r="D136" s="11" t="s">
        <v>1057</v>
      </c>
      <c r="E136" s="11" t="s">
        <v>35</v>
      </c>
      <c r="F136" s="11" t="s">
        <v>36</v>
      </c>
      <c r="G136" s="11" t="s">
        <v>37</v>
      </c>
      <c r="H136" s="11" t="s">
        <v>171</v>
      </c>
      <c r="I136" s="11" t="s">
        <v>59</v>
      </c>
      <c r="J136" s="11" t="s">
        <v>328</v>
      </c>
      <c r="K136" s="25">
        <v>5</v>
      </c>
      <c r="L136" s="25">
        <v>800</v>
      </c>
      <c r="M136" s="29">
        <v>0.05</v>
      </c>
      <c r="N136" s="25">
        <v>3800</v>
      </c>
      <c r="O136" s="25">
        <v>2841.48</v>
      </c>
      <c r="P136" s="25">
        <v>958.52</v>
      </c>
      <c r="Q136" s="21">
        <v>25.22</v>
      </c>
      <c r="R136" s="11" t="s">
        <v>166</v>
      </c>
      <c r="S136" s="11" t="s">
        <v>74</v>
      </c>
      <c r="T136" s="11" t="s">
        <v>138</v>
      </c>
      <c r="U136" s="11" t="s">
        <v>160</v>
      </c>
      <c r="V136" s="11">
        <v>2024</v>
      </c>
      <c r="W136" s="11" t="s">
        <v>45</v>
      </c>
      <c r="X136" s="11">
        <v>4</v>
      </c>
      <c r="Y136" s="10" t="s">
        <v>857</v>
      </c>
      <c r="Z136" s="11" t="s">
        <v>47</v>
      </c>
      <c r="AA136" s="11" t="s">
        <v>90</v>
      </c>
      <c r="AB136" s="11" t="s">
        <v>111</v>
      </c>
      <c r="AC136" s="11" t="s">
        <v>121</v>
      </c>
      <c r="AD136" s="11">
        <v>1</v>
      </c>
      <c r="AE136" s="11" t="s">
        <v>86</v>
      </c>
      <c r="AF136" s="11" t="s">
        <v>2212</v>
      </c>
      <c r="AG136" s="25"/>
      <c r="AH136" s="11"/>
      <c r="AI136" s="11"/>
      <c r="AJ136" s="11"/>
      <c r="AK136" s="11"/>
      <c r="AL136" s="11"/>
      <c r="AM136" s="11" t="str">
        <f t="shared" si="14"/>
        <v>Needs Improvement</v>
      </c>
      <c r="AN136" s="11" t="str" cm="1">
        <f t="array" ref="AN136">_xlfn.IFS(N136&lt;10000,"Low",N136&lt;30000,"Medium",N136&gt;=30000,"High")</f>
        <v>Low</v>
      </c>
      <c r="AO136" s="11" t="str">
        <f t="shared" si="15"/>
        <v>No</v>
      </c>
      <c r="AP136" s="11" t="str">
        <f t="shared" si="16"/>
        <v>Yes</v>
      </c>
      <c r="AQ136" s="11">
        <f t="shared" si="17"/>
        <v>0.25224210526315788</v>
      </c>
      <c r="AR136" s="33"/>
      <c r="AS136" s="33"/>
      <c r="AT136" s="33"/>
      <c r="AU136" s="33"/>
      <c r="AV136" s="33"/>
      <c r="AW136" s="33"/>
      <c r="AX136" s="33" t="str">
        <f t="shared" si="18"/>
        <v>Low</v>
      </c>
    </row>
    <row r="137" spans="1:50">
      <c r="A137" s="9" t="s">
        <v>2097</v>
      </c>
      <c r="B137" s="10">
        <v>45541</v>
      </c>
      <c r="C137" s="11" t="s">
        <v>846</v>
      </c>
      <c r="D137" s="11" t="s">
        <v>1370</v>
      </c>
      <c r="E137" s="11" t="s">
        <v>35</v>
      </c>
      <c r="F137" s="11" t="s">
        <v>104</v>
      </c>
      <c r="G137" s="11" t="s">
        <v>104</v>
      </c>
      <c r="H137" s="11" t="s">
        <v>58</v>
      </c>
      <c r="I137" s="11" t="s">
        <v>84</v>
      </c>
      <c r="J137" s="11" t="s">
        <v>85</v>
      </c>
      <c r="K137" s="25">
        <v>4</v>
      </c>
      <c r="L137" s="25">
        <v>800</v>
      </c>
      <c r="M137" s="29">
        <v>0.15</v>
      </c>
      <c r="N137" s="25">
        <v>2720</v>
      </c>
      <c r="O137" s="25">
        <v>2111.67</v>
      </c>
      <c r="P137" s="25">
        <v>608.33000000000004</v>
      </c>
      <c r="Q137" s="21">
        <v>22.37</v>
      </c>
      <c r="R137" s="11" t="s">
        <v>61</v>
      </c>
      <c r="S137" s="11" t="s">
        <v>42</v>
      </c>
      <c r="T137" s="11" t="s">
        <v>173</v>
      </c>
      <c r="U137" s="11" t="s">
        <v>160</v>
      </c>
      <c r="V137" s="11">
        <v>2024</v>
      </c>
      <c r="W137" s="11" t="s">
        <v>45</v>
      </c>
      <c r="X137" s="11">
        <v>8</v>
      </c>
      <c r="Y137" s="10" t="s">
        <v>153</v>
      </c>
      <c r="Z137" s="11" t="s">
        <v>47</v>
      </c>
      <c r="AA137" s="11" t="s">
        <v>48</v>
      </c>
      <c r="AB137" s="11" t="s">
        <v>49</v>
      </c>
      <c r="AC137" s="11" t="s">
        <v>121</v>
      </c>
      <c r="AD137" s="11">
        <v>4</v>
      </c>
      <c r="AE137" s="11" t="s">
        <v>2221</v>
      </c>
      <c r="AF137" s="11" t="s">
        <v>2217</v>
      </c>
      <c r="AG137" s="25"/>
      <c r="AH137" s="11"/>
      <c r="AI137" s="11"/>
      <c r="AJ137" s="11"/>
      <c r="AK137" s="11"/>
      <c r="AL137" s="11"/>
      <c r="AM137" s="11" t="str">
        <f t="shared" si="14"/>
        <v>Needs Improvement</v>
      </c>
      <c r="AN137" s="11" t="str" cm="1">
        <f t="array" ref="AN137">_xlfn.IFS(N137&lt;10000,"Low",N137&lt;30000,"Medium",N137&gt;=30000,"High")</f>
        <v>Low</v>
      </c>
      <c r="AO137" s="11" t="str">
        <f t="shared" si="15"/>
        <v>No</v>
      </c>
      <c r="AP137" s="11" t="str">
        <f t="shared" si="16"/>
        <v>Yes</v>
      </c>
      <c r="AQ137" s="11">
        <f t="shared" si="17"/>
        <v>0.22365073529411766</v>
      </c>
      <c r="AR137" s="33"/>
      <c r="AS137" s="33"/>
      <c r="AT137" s="33"/>
      <c r="AU137" s="33"/>
      <c r="AV137" s="33"/>
      <c r="AW137" s="33"/>
      <c r="AX137" s="33" t="str">
        <f t="shared" si="18"/>
        <v>Low</v>
      </c>
    </row>
    <row r="138" spans="1:50">
      <c r="A138" s="9" t="s">
        <v>2167</v>
      </c>
      <c r="B138" s="10">
        <v>45541</v>
      </c>
      <c r="C138" s="11" t="s">
        <v>1628</v>
      </c>
      <c r="D138" s="11" t="s">
        <v>672</v>
      </c>
      <c r="E138" s="11" t="s">
        <v>35</v>
      </c>
      <c r="F138" s="11" t="s">
        <v>104</v>
      </c>
      <c r="G138" s="11" t="s">
        <v>104</v>
      </c>
      <c r="H138" s="11" t="s">
        <v>58</v>
      </c>
      <c r="I138" s="11" t="s">
        <v>39</v>
      </c>
      <c r="J138" s="11" t="s">
        <v>253</v>
      </c>
      <c r="K138" s="25">
        <v>8</v>
      </c>
      <c r="L138" s="25">
        <v>22000</v>
      </c>
      <c r="M138" s="29">
        <v>0.15</v>
      </c>
      <c r="N138" s="25">
        <v>149600</v>
      </c>
      <c r="O138" s="25">
        <v>82605.149999999994</v>
      </c>
      <c r="P138" s="25">
        <v>66994.850000000006</v>
      </c>
      <c r="Q138" s="21">
        <v>44.78</v>
      </c>
      <c r="R138" s="11" t="s">
        <v>166</v>
      </c>
      <c r="S138" s="11" t="s">
        <v>74</v>
      </c>
      <c r="T138" s="11" t="s">
        <v>75</v>
      </c>
      <c r="U138" s="11" t="s">
        <v>160</v>
      </c>
      <c r="V138" s="11">
        <v>2024</v>
      </c>
      <c r="W138" s="11" t="s">
        <v>45</v>
      </c>
      <c r="X138" s="11">
        <v>6</v>
      </c>
      <c r="Y138" s="10" t="s">
        <v>1211</v>
      </c>
      <c r="Z138" s="11" t="s">
        <v>47</v>
      </c>
      <c r="AA138" s="11" t="s">
        <v>67</v>
      </c>
      <c r="AB138" s="11" t="s">
        <v>78</v>
      </c>
      <c r="AC138" s="11" t="s">
        <v>121</v>
      </c>
      <c r="AD138" s="11">
        <v>4</v>
      </c>
      <c r="AE138" s="11" t="s">
        <v>159</v>
      </c>
      <c r="AF138" s="11" t="s">
        <v>2217</v>
      </c>
      <c r="AG138" s="25"/>
      <c r="AH138" s="11"/>
      <c r="AI138" s="11"/>
      <c r="AJ138" s="11"/>
      <c r="AK138" s="11"/>
      <c r="AL138" s="11"/>
      <c r="AM138" s="11" t="str">
        <f t="shared" si="14"/>
        <v>Good</v>
      </c>
      <c r="AN138" s="11" t="str" cm="1">
        <f t="array" ref="AN138">_xlfn.IFS(N138&lt;10000,"Low",N138&lt;30000,"Medium",N138&gt;=30000,"High")</f>
        <v>High</v>
      </c>
      <c r="AO138" s="11" t="str">
        <f t="shared" si="15"/>
        <v>Yes</v>
      </c>
      <c r="AP138" s="11" t="str">
        <f t="shared" si="16"/>
        <v>Yes</v>
      </c>
      <c r="AQ138" s="11">
        <f t="shared" si="17"/>
        <v>0.44782653743315509</v>
      </c>
      <c r="AR138" s="33"/>
      <c r="AS138" s="33"/>
      <c r="AT138" s="33"/>
      <c r="AU138" s="33"/>
      <c r="AV138" s="33"/>
      <c r="AW138" s="33"/>
      <c r="AX138" s="33" t="str">
        <f t="shared" si="18"/>
        <v>Excellent</v>
      </c>
    </row>
    <row r="139" spans="1:50">
      <c r="A139" s="9" t="s">
        <v>2149</v>
      </c>
      <c r="B139" s="10">
        <v>45542</v>
      </c>
      <c r="C139" s="11" t="s">
        <v>1428</v>
      </c>
      <c r="D139" s="11" t="s">
        <v>448</v>
      </c>
      <c r="E139" s="11" t="s">
        <v>55</v>
      </c>
      <c r="F139" s="11" t="s">
        <v>144</v>
      </c>
      <c r="G139" s="11" t="s">
        <v>145</v>
      </c>
      <c r="H139" s="11" t="s">
        <v>58</v>
      </c>
      <c r="I139" s="11" t="s">
        <v>95</v>
      </c>
      <c r="J139" s="11" t="s">
        <v>440</v>
      </c>
      <c r="K139" s="25">
        <v>2</v>
      </c>
      <c r="L139" s="25">
        <v>2500</v>
      </c>
      <c r="M139" s="29">
        <v>0.1</v>
      </c>
      <c r="N139" s="25">
        <v>4500</v>
      </c>
      <c r="O139" s="25">
        <v>3383.25</v>
      </c>
      <c r="P139" s="25">
        <v>1116.75</v>
      </c>
      <c r="Q139" s="21">
        <v>24.82</v>
      </c>
      <c r="R139" s="11" t="s">
        <v>41</v>
      </c>
      <c r="S139" s="11" t="s">
        <v>74</v>
      </c>
      <c r="T139" s="11" t="s">
        <v>86</v>
      </c>
      <c r="U139" s="11" t="s">
        <v>151</v>
      </c>
      <c r="V139" s="11">
        <v>2024</v>
      </c>
      <c r="W139" s="11" t="s">
        <v>109</v>
      </c>
      <c r="X139" s="11">
        <v>7</v>
      </c>
      <c r="Y139" s="10" t="s">
        <v>1565</v>
      </c>
      <c r="Z139" s="11" t="s">
        <v>47</v>
      </c>
      <c r="AA139" s="11" t="s">
        <v>90</v>
      </c>
      <c r="AB139" s="11" t="s">
        <v>49</v>
      </c>
      <c r="AC139" s="11" t="s">
        <v>50</v>
      </c>
      <c r="AD139" s="11">
        <v>1</v>
      </c>
      <c r="AE139" s="11" t="s">
        <v>159</v>
      </c>
      <c r="AF139" s="11" t="s">
        <v>2212</v>
      </c>
      <c r="AG139" s="25"/>
      <c r="AH139" s="11"/>
      <c r="AI139" s="11"/>
      <c r="AJ139" s="11"/>
      <c r="AK139" s="11"/>
      <c r="AL139" s="11"/>
      <c r="AM139" s="11" t="str">
        <f t="shared" si="14"/>
        <v>Needs Improvement</v>
      </c>
      <c r="AN139" s="11" t="str" cm="1">
        <f t="array" ref="AN139">_xlfn.IFS(N139&lt;10000,"Low",N139&lt;30000,"Medium",N139&gt;=30000,"High")</f>
        <v>Low</v>
      </c>
      <c r="AO139" s="11" t="str">
        <f t="shared" si="15"/>
        <v>No</v>
      </c>
      <c r="AP139" s="11" t="str">
        <f t="shared" si="16"/>
        <v>Yes</v>
      </c>
      <c r="AQ139" s="11">
        <f t="shared" si="17"/>
        <v>0.24816666666666667</v>
      </c>
      <c r="AR139" s="33"/>
      <c r="AS139" s="33"/>
      <c r="AT139" s="33"/>
      <c r="AU139" s="33"/>
      <c r="AV139" s="33"/>
      <c r="AW139" s="33"/>
      <c r="AX139" s="33" t="str">
        <f t="shared" si="18"/>
        <v>Low</v>
      </c>
    </row>
    <row r="140" spans="1:50">
      <c r="A140" s="9" t="s">
        <v>1988</v>
      </c>
      <c r="B140" s="10">
        <v>45543</v>
      </c>
      <c r="C140" s="11" t="s">
        <v>447</v>
      </c>
      <c r="D140" s="11" t="s">
        <v>387</v>
      </c>
      <c r="E140" s="11" t="s">
        <v>103</v>
      </c>
      <c r="F140" s="11" t="s">
        <v>56</v>
      </c>
      <c r="G140" s="11" t="s">
        <v>57</v>
      </c>
      <c r="H140" s="11" t="s">
        <v>171</v>
      </c>
      <c r="I140" s="11" t="s">
        <v>84</v>
      </c>
      <c r="J140" s="11" t="s">
        <v>217</v>
      </c>
      <c r="K140" s="25">
        <v>3</v>
      </c>
      <c r="L140" s="25">
        <v>100</v>
      </c>
      <c r="M140" s="29">
        <v>0.15</v>
      </c>
      <c r="N140" s="25">
        <v>255</v>
      </c>
      <c r="O140" s="25">
        <v>147.13999999999999</v>
      </c>
      <c r="P140" s="25">
        <v>107.86</v>
      </c>
      <c r="Q140" s="21">
        <v>42.3</v>
      </c>
      <c r="R140" s="11" t="s">
        <v>106</v>
      </c>
      <c r="S140" s="11" t="s">
        <v>62</v>
      </c>
      <c r="T140" s="11" t="s">
        <v>97</v>
      </c>
      <c r="U140" s="11" t="s">
        <v>218</v>
      </c>
      <c r="V140" s="11">
        <v>2024</v>
      </c>
      <c r="W140" s="11" t="s">
        <v>194</v>
      </c>
      <c r="X140" s="11">
        <v>7</v>
      </c>
      <c r="Y140" s="10" t="s">
        <v>564</v>
      </c>
      <c r="Z140" s="11" t="s">
        <v>47</v>
      </c>
      <c r="AA140" s="11" t="s">
        <v>67</v>
      </c>
      <c r="AB140" s="11" t="s">
        <v>78</v>
      </c>
      <c r="AC140" s="11" t="s">
        <v>121</v>
      </c>
      <c r="AD140" s="11">
        <v>1</v>
      </c>
      <c r="AE140" s="11" t="s">
        <v>2229</v>
      </c>
      <c r="AF140" s="11" t="s">
        <v>2212</v>
      </c>
      <c r="AG140" s="25"/>
      <c r="AH140" s="11"/>
      <c r="AI140" s="11"/>
      <c r="AJ140" s="11"/>
      <c r="AK140" s="11"/>
      <c r="AL140" s="11"/>
      <c r="AM140" s="11" t="str">
        <f t="shared" si="14"/>
        <v>Good</v>
      </c>
      <c r="AN140" s="11" t="str" cm="1">
        <f t="array" ref="AN140">_xlfn.IFS(N140&lt;10000,"Low",N140&lt;30000,"Medium",N140&gt;=30000,"High")</f>
        <v>Low</v>
      </c>
      <c r="AO140" s="11" t="str">
        <f t="shared" si="15"/>
        <v>No</v>
      </c>
      <c r="AP140" s="11" t="str">
        <f t="shared" si="16"/>
        <v>No</v>
      </c>
      <c r="AQ140" s="11">
        <f t="shared" si="17"/>
        <v>0.42298039215686273</v>
      </c>
      <c r="AR140" s="33"/>
      <c r="AS140" s="33"/>
      <c r="AT140" s="33"/>
      <c r="AU140" s="33"/>
      <c r="AV140" s="33"/>
      <c r="AW140" s="33"/>
      <c r="AX140" s="33" t="str">
        <f t="shared" si="18"/>
        <v>Low</v>
      </c>
    </row>
    <row r="141" spans="1:50">
      <c r="A141" s="9" t="s">
        <v>1505</v>
      </c>
      <c r="B141" s="10">
        <v>45544</v>
      </c>
      <c r="C141" s="11" t="s">
        <v>938</v>
      </c>
      <c r="D141" s="11" t="s">
        <v>1506</v>
      </c>
      <c r="E141" s="11" t="s">
        <v>103</v>
      </c>
      <c r="F141" s="11" t="s">
        <v>36</v>
      </c>
      <c r="G141" s="11" t="s">
        <v>37</v>
      </c>
      <c r="H141" s="11" t="s">
        <v>171</v>
      </c>
      <c r="I141" s="11" t="s">
        <v>84</v>
      </c>
      <c r="J141" s="11" t="s">
        <v>229</v>
      </c>
      <c r="K141" s="25">
        <v>5</v>
      </c>
      <c r="L141" s="25">
        <v>350</v>
      </c>
      <c r="M141" s="29">
        <v>0.15</v>
      </c>
      <c r="N141" s="25">
        <v>1487.5</v>
      </c>
      <c r="O141" s="25">
        <v>891.12</v>
      </c>
      <c r="P141" s="25">
        <v>596.38</v>
      </c>
      <c r="Q141" s="21">
        <v>40.090000000000003</v>
      </c>
      <c r="R141" s="11" t="s">
        <v>73</v>
      </c>
      <c r="S141" s="11" t="s">
        <v>62</v>
      </c>
      <c r="T141" s="11" t="s">
        <v>138</v>
      </c>
      <c r="U141" s="11" t="s">
        <v>108</v>
      </c>
      <c r="V141" s="11">
        <v>2024</v>
      </c>
      <c r="W141" s="11" t="s">
        <v>126</v>
      </c>
      <c r="X141" s="11">
        <v>6</v>
      </c>
      <c r="Y141" s="10" t="s">
        <v>632</v>
      </c>
      <c r="Z141" s="11" t="s">
        <v>47</v>
      </c>
      <c r="AA141" s="11" t="s">
        <v>67</v>
      </c>
      <c r="AB141" s="11" t="s">
        <v>111</v>
      </c>
      <c r="AC141" s="11" t="s">
        <v>121</v>
      </c>
      <c r="AD141" s="11">
        <v>4</v>
      </c>
      <c r="AE141" s="11" t="s">
        <v>2226</v>
      </c>
      <c r="AF141" s="11" t="s">
        <v>2235</v>
      </c>
      <c r="AG141" s="25"/>
      <c r="AH141" s="11"/>
      <c r="AI141" s="11"/>
      <c r="AJ141" s="11"/>
      <c r="AK141" s="11"/>
      <c r="AL141" s="11"/>
      <c r="AM141" s="11" t="str">
        <f t="shared" si="14"/>
        <v>Good</v>
      </c>
      <c r="AN141" s="11" t="str" cm="1">
        <f t="array" ref="AN141">_xlfn.IFS(N141&lt;10000,"Low",N141&lt;30000,"Medium",N141&gt;=30000,"High")</f>
        <v>Low</v>
      </c>
      <c r="AO141" s="11" t="str">
        <f t="shared" si="15"/>
        <v>No</v>
      </c>
      <c r="AP141" s="11" t="str">
        <f t="shared" si="16"/>
        <v>No</v>
      </c>
      <c r="AQ141" s="11">
        <f t="shared" si="17"/>
        <v>0.40092773109243696</v>
      </c>
      <c r="AR141" s="33"/>
      <c r="AS141" s="33"/>
      <c r="AT141" s="33"/>
      <c r="AU141" s="33"/>
      <c r="AV141" s="33"/>
      <c r="AW141" s="33"/>
      <c r="AX141" s="33" t="str">
        <f t="shared" si="18"/>
        <v>Low</v>
      </c>
    </row>
    <row r="142" spans="1:50">
      <c r="A142" s="9" t="s">
        <v>1919</v>
      </c>
      <c r="B142" s="10">
        <v>45544</v>
      </c>
      <c r="C142" s="11" t="s">
        <v>331</v>
      </c>
      <c r="D142" s="11" t="s">
        <v>597</v>
      </c>
      <c r="E142" s="11" t="s">
        <v>35</v>
      </c>
      <c r="F142" s="11" t="s">
        <v>144</v>
      </c>
      <c r="G142" s="11" t="s">
        <v>145</v>
      </c>
      <c r="H142" s="11" t="s">
        <v>38</v>
      </c>
      <c r="I142" s="11" t="s">
        <v>59</v>
      </c>
      <c r="J142" s="11" t="s">
        <v>60</v>
      </c>
      <c r="K142" s="25">
        <v>8</v>
      </c>
      <c r="L142" s="25">
        <v>500</v>
      </c>
      <c r="M142" s="29">
        <v>0</v>
      </c>
      <c r="N142" s="25">
        <v>4000</v>
      </c>
      <c r="O142" s="25">
        <v>2461.39</v>
      </c>
      <c r="P142" s="25">
        <v>1538.61</v>
      </c>
      <c r="Q142" s="21">
        <v>38.47</v>
      </c>
      <c r="R142" s="11" t="s">
        <v>61</v>
      </c>
      <c r="S142" s="11" t="s">
        <v>74</v>
      </c>
      <c r="T142" s="11" t="s">
        <v>43</v>
      </c>
      <c r="U142" s="11" t="s">
        <v>108</v>
      </c>
      <c r="V142" s="11">
        <v>2024</v>
      </c>
      <c r="W142" s="11" t="s">
        <v>126</v>
      </c>
      <c r="X142" s="11">
        <v>7</v>
      </c>
      <c r="Y142" s="10" t="s">
        <v>1275</v>
      </c>
      <c r="Z142" s="11" t="s">
        <v>47</v>
      </c>
      <c r="AA142" s="11" t="s">
        <v>90</v>
      </c>
      <c r="AB142" s="11" t="s">
        <v>111</v>
      </c>
      <c r="AC142" s="11" t="s">
        <v>50</v>
      </c>
      <c r="AD142" s="11">
        <v>4</v>
      </c>
      <c r="AE142" s="11" t="s">
        <v>2248</v>
      </c>
      <c r="AF142" s="11" t="s">
        <v>2230</v>
      </c>
      <c r="AG142" s="25"/>
      <c r="AH142" s="11"/>
      <c r="AI142" s="11"/>
      <c r="AJ142" s="11"/>
      <c r="AK142" s="11"/>
      <c r="AL142" s="11"/>
      <c r="AM142" s="11" t="str">
        <f t="shared" si="14"/>
        <v>Good</v>
      </c>
      <c r="AN142" s="11" t="str" cm="1">
        <f t="array" ref="AN142">_xlfn.IFS(N142&lt;10000,"Low",N142&lt;30000,"Medium",N142&gt;=30000,"High")</f>
        <v>Low</v>
      </c>
      <c r="AO142" s="11" t="str">
        <f t="shared" si="15"/>
        <v>No</v>
      </c>
      <c r="AP142" s="11" t="str">
        <f t="shared" si="16"/>
        <v>Yes</v>
      </c>
      <c r="AQ142" s="11">
        <f t="shared" si="17"/>
        <v>0.38465249999999995</v>
      </c>
      <c r="AR142" s="33"/>
      <c r="AS142" s="33"/>
      <c r="AT142" s="33"/>
      <c r="AU142" s="33"/>
      <c r="AV142" s="33"/>
      <c r="AW142" s="33"/>
      <c r="AX142" s="33" t="str">
        <f t="shared" si="18"/>
        <v>Low</v>
      </c>
    </row>
    <row r="143" spans="1:50">
      <c r="A143" s="9" t="s">
        <v>1491</v>
      </c>
      <c r="B143" s="10">
        <v>45545</v>
      </c>
      <c r="C143" s="11" t="s">
        <v>681</v>
      </c>
      <c r="D143" s="11" t="s">
        <v>335</v>
      </c>
      <c r="E143" s="11" t="s">
        <v>35</v>
      </c>
      <c r="F143" s="11" t="s">
        <v>245</v>
      </c>
      <c r="G143" s="11" t="s">
        <v>246</v>
      </c>
      <c r="H143" s="11" t="s">
        <v>171</v>
      </c>
      <c r="I143" s="11" t="s">
        <v>71</v>
      </c>
      <c r="J143" s="11" t="s">
        <v>240</v>
      </c>
      <c r="K143" s="25">
        <v>8</v>
      </c>
      <c r="L143" s="25">
        <v>3500</v>
      </c>
      <c r="M143" s="29">
        <v>0.1</v>
      </c>
      <c r="N143" s="25">
        <v>25200</v>
      </c>
      <c r="O143" s="25">
        <v>20267.169999999998</v>
      </c>
      <c r="P143" s="25">
        <v>4932.83</v>
      </c>
      <c r="Q143" s="21">
        <v>19.57</v>
      </c>
      <c r="R143" s="11" t="s">
        <v>166</v>
      </c>
      <c r="S143" s="11" t="s">
        <v>62</v>
      </c>
      <c r="T143" s="11" t="s">
        <v>173</v>
      </c>
      <c r="U143" s="11" t="s">
        <v>87</v>
      </c>
      <c r="V143" s="11">
        <v>2024</v>
      </c>
      <c r="W143" s="11" t="s">
        <v>134</v>
      </c>
      <c r="X143" s="11">
        <v>7</v>
      </c>
      <c r="Y143" s="10" t="s">
        <v>271</v>
      </c>
      <c r="Z143" s="11" t="s">
        <v>89</v>
      </c>
      <c r="AA143" s="11" t="s">
        <v>48</v>
      </c>
      <c r="AB143" s="11" t="s">
        <v>49</v>
      </c>
      <c r="AC143" s="11" t="s">
        <v>121</v>
      </c>
      <c r="AD143" s="11">
        <v>2</v>
      </c>
      <c r="AE143" s="11" t="s">
        <v>2218</v>
      </c>
      <c r="AF143" s="11" t="s">
        <v>2235</v>
      </c>
      <c r="AG143" s="25"/>
      <c r="AH143" s="11"/>
      <c r="AI143" s="11"/>
      <c r="AJ143" s="11"/>
      <c r="AK143" s="11"/>
      <c r="AL143" s="11"/>
      <c r="AM143" s="11" t="str">
        <f t="shared" si="14"/>
        <v>Needs Improvement</v>
      </c>
      <c r="AN143" s="11" t="str" cm="1">
        <f t="array" ref="AN143">_xlfn.IFS(N143&lt;10000,"Low",N143&lt;30000,"Medium",N143&gt;=30000,"High")</f>
        <v>Medium</v>
      </c>
      <c r="AO143" s="11" t="str">
        <f t="shared" si="15"/>
        <v>No</v>
      </c>
      <c r="AP143" s="11" t="str">
        <f t="shared" si="16"/>
        <v>No</v>
      </c>
      <c r="AQ143" s="11">
        <f t="shared" si="17"/>
        <v>0.19574722222222221</v>
      </c>
      <c r="AR143" s="33"/>
      <c r="AS143" s="33"/>
      <c r="AT143" s="33"/>
      <c r="AU143" s="33"/>
      <c r="AV143" s="33"/>
      <c r="AW143" s="33"/>
      <c r="AX143" s="33" t="str">
        <f t="shared" si="18"/>
        <v>Low</v>
      </c>
    </row>
    <row r="144" spans="1:50">
      <c r="A144" s="9" t="s">
        <v>1940</v>
      </c>
      <c r="B144" s="10">
        <v>45545</v>
      </c>
      <c r="C144" s="11" t="s">
        <v>777</v>
      </c>
      <c r="D144" s="11" t="s">
        <v>1941</v>
      </c>
      <c r="E144" s="11" t="s">
        <v>35</v>
      </c>
      <c r="F144" s="11" t="s">
        <v>245</v>
      </c>
      <c r="G144" s="11" t="s">
        <v>246</v>
      </c>
      <c r="H144" s="11" t="s">
        <v>94</v>
      </c>
      <c r="I144" s="11" t="s">
        <v>95</v>
      </c>
      <c r="J144" s="11" t="s">
        <v>319</v>
      </c>
      <c r="K144" s="25">
        <v>2</v>
      </c>
      <c r="L144" s="25">
        <v>15000</v>
      </c>
      <c r="M144" s="29">
        <v>0.15</v>
      </c>
      <c r="N144" s="25">
        <v>25500</v>
      </c>
      <c r="O144" s="25">
        <v>14313.42</v>
      </c>
      <c r="P144" s="25">
        <v>11186.58</v>
      </c>
      <c r="Q144" s="21">
        <v>43.87</v>
      </c>
      <c r="R144" s="11" t="s">
        <v>41</v>
      </c>
      <c r="S144" s="11" t="s">
        <v>74</v>
      </c>
      <c r="T144" s="11" t="s">
        <v>75</v>
      </c>
      <c r="U144" s="11" t="s">
        <v>87</v>
      </c>
      <c r="V144" s="11">
        <v>2024</v>
      </c>
      <c r="W144" s="11" t="s">
        <v>134</v>
      </c>
      <c r="X144" s="11">
        <v>7</v>
      </c>
      <c r="Y144" s="10" t="s">
        <v>271</v>
      </c>
      <c r="Z144" s="11" t="s">
        <v>47</v>
      </c>
      <c r="AA144" s="11" t="s">
        <v>90</v>
      </c>
      <c r="AB144" s="11" t="s">
        <v>78</v>
      </c>
      <c r="AC144" s="11" t="s">
        <v>50</v>
      </c>
      <c r="AD144" s="11">
        <v>2</v>
      </c>
      <c r="AE144" s="11" t="s">
        <v>2232</v>
      </c>
      <c r="AF144" s="11" t="s">
        <v>2222</v>
      </c>
      <c r="AG144" s="25"/>
      <c r="AH144" s="11"/>
      <c r="AI144" s="11"/>
      <c r="AJ144" s="11"/>
      <c r="AK144" s="11"/>
      <c r="AL144" s="11"/>
      <c r="AM144" s="11" t="str">
        <f t="shared" si="14"/>
        <v>Good</v>
      </c>
      <c r="AN144" s="11" t="str" cm="1">
        <f t="array" ref="AN144">_xlfn.IFS(N144&lt;10000,"Low",N144&lt;30000,"Medium",N144&gt;=30000,"High")</f>
        <v>Medium</v>
      </c>
      <c r="AO144" s="11" t="str">
        <f t="shared" si="15"/>
        <v>No</v>
      </c>
      <c r="AP144" s="11" t="str">
        <f t="shared" si="16"/>
        <v>Yes</v>
      </c>
      <c r="AQ144" s="11">
        <f t="shared" si="17"/>
        <v>0.43868941176470588</v>
      </c>
      <c r="AR144" s="33"/>
      <c r="AS144" s="33"/>
      <c r="AT144" s="33"/>
      <c r="AU144" s="33"/>
      <c r="AV144" s="33"/>
      <c r="AW144" s="33"/>
      <c r="AX144" s="33" t="str">
        <f t="shared" si="18"/>
        <v>Good</v>
      </c>
    </row>
    <row r="145" spans="1:50">
      <c r="A145" s="9" t="s">
        <v>1398</v>
      </c>
      <c r="B145" s="10">
        <v>45546</v>
      </c>
      <c r="C145" s="11" t="s">
        <v>1399</v>
      </c>
      <c r="D145" s="11" t="s">
        <v>1400</v>
      </c>
      <c r="E145" s="11" t="s">
        <v>35</v>
      </c>
      <c r="F145" s="11" t="s">
        <v>149</v>
      </c>
      <c r="G145" s="11" t="s">
        <v>150</v>
      </c>
      <c r="H145" s="11" t="s">
        <v>38</v>
      </c>
      <c r="I145" s="11" t="s">
        <v>95</v>
      </c>
      <c r="J145" s="11" t="s">
        <v>440</v>
      </c>
      <c r="K145" s="25">
        <v>4</v>
      </c>
      <c r="L145" s="25">
        <v>9000</v>
      </c>
      <c r="M145" s="29">
        <v>0.05</v>
      </c>
      <c r="N145" s="25">
        <v>34200</v>
      </c>
      <c r="O145" s="25">
        <v>24086.03</v>
      </c>
      <c r="P145" s="25">
        <v>10113.969999999999</v>
      </c>
      <c r="Q145" s="21">
        <v>29.57</v>
      </c>
      <c r="R145" s="11" t="s">
        <v>106</v>
      </c>
      <c r="S145" s="11" t="s">
        <v>62</v>
      </c>
      <c r="T145" s="11" t="s">
        <v>138</v>
      </c>
      <c r="U145" s="11" t="s">
        <v>198</v>
      </c>
      <c r="V145" s="11">
        <v>2024</v>
      </c>
      <c r="W145" s="11" t="s">
        <v>65</v>
      </c>
      <c r="X145" s="11">
        <v>7</v>
      </c>
      <c r="Y145" s="10" t="s">
        <v>506</v>
      </c>
      <c r="Z145" s="11" t="s">
        <v>110</v>
      </c>
      <c r="AA145" s="11" t="s">
        <v>48</v>
      </c>
      <c r="AB145" s="11" t="s">
        <v>78</v>
      </c>
      <c r="AC145" s="11" t="s">
        <v>121</v>
      </c>
      <c r="AD145" s="11">
        <v>5</v>
      </c>
      <c r="AE145" s="11" t="s">
        <v>2225</v>
      </c>
      <c r="AF145" s="11" t="s">
        <v>2210</v>
      </c>
      <c r="AG145" s="25"/>
      <c r="AH145" s="11"/>
      <c r="AI145" s="11"/>
      <c r="AJ145" s="11"/>
      <c r="AK145" s="11"/>
      <c r="AL145" s="11"/>
      <c r="AM145" s="11" t="str">
        <f t="shared" si="14"/>
        <v>Needs Improvement</v>
      </c>
      <c r="AN145" s="11" t="str" cm="1">
        <f t="array" ref="AN145">_xlfn.IFS(N145&lt;10000,"Low",N145&lt;30000,"Medium",N145&gt;=30000,"High")</f>
        <v>High</v>
      </c>
      <c r="AO145" s="11" t="str">
        <f t="shared" si="15"/>
        <v>Yes</v>
      </c>
      <c r="AP145" s="11" t="str">
        <f t="shared" si="16"/>
        <v>No</v>
      </c>
      <c r="AQ145" s="11">
        <f t="shared" si="17"/>
        <v>0.29573011695906432</v>
      </c>
      <c r="AR145" s="33"/>
      <c r="AS145" s="33"/>
      <c r="AT145" s="33"/>
      <c r="AU145" s="33"/>
      <c r="AV145" s="33"/>
      <c r="AW145" s="33"/>
      <c r="AX145" s="33" t="str">
        <f t="shared" si="18"/>
        <v>Good</v>
      </c>
    </row>
    <row r="146" spans="1:50">
      <c r="A146" s="9" t="s">
        <v>1906</v>
      </c>
      <c r="B146" s="10">
        <v>45566</v>
      </c>
      <c r="C146" s="11" t="s">
        <v>1799</v>
      </c>
      <c r="D146" s="11" t="s">
        <v>554</v>
      </c>
      <c r="E146" s="11" t="s">
        <v>35</v>
      </c>
      <c r="F146" s="11" t="s">
        <v>104</v>
      </c>
      <c r="G146" s="11" t="s">
        <v>104</v>
      </c>
      <c r="H146" s="11" t="s">
        <v>38</v>
      </c>
      <c r="I146" s="11" t="s">
        <v>39</v>
      </c>
      <c r="J146" s="11" t="s">
        <v>165</v>
      </c>
      <c r="K146" s="25">
        <v>5</v>
      </c>
      <c r="L146" s="25">
        <v>35000</v>
      </c>
      <c r="M146" s="29">
        <v>0.2</v>
      </c>
      <c r="N146" s="25">
        <v>140000</v>
      </c>
      <c r="O146" s="25">
        <v>89078.2</v>
      </c>
      <c r="P146" s="25">
        <v>50921.8</v>
      </c>
      <c r="Q146" s="21">
        <v>36.369999999999997</v>
      </c>
      <c r="R146" s="11" t="s">
        <v>166</v>
      </c>
      <c r="S146" s="11" t="s">
        <v>62</v>
      </c>
      <c r="T146" s="11" t="s">
        <v>138</v>
      </c>
      <c r="U146" s="11" t="s">
        <v>76</v>
      </c>
      <c r="V146" s="11">
        <v>2024</v>
      </c>
      <c r="W146" s="11" t="s">
        <v>134</v>
      </c>
      <c r="X146" s="11">
        <v>5</v>
      </c>
      <c r="Y146" s="10" t="s">
        <v>1890</v>
      </c>
      <c r="Z146" s="11" t="s">
        <v>47</v>
      </c>
      <c r="AA146" s="11" t="s">
        <v>90</v>
      </c>
      <c r="AB146" s="11" t="s">
        <v>49</v>
      </c>
      <c r="AC146" s="11" t="s">
        <v>121</v>
      </c>
      <c r="AD146" s="11">
        <v>4</v>
      </c>
      <c r="AE146" s="11" t="s">
        <v>2220</v>
      </c>
      <c r="AF146" s="11" t="s">
        <v>2238</v>
      </c>
      <c r="AG146" s="25"/>
      <c r="AH146" s="11"/>
      <c r="AI146" s="11"/>
      <c r="AJ146" s="11"/>
      <c r="AK146" s="11"/>
      <c r="AL146" s="11"/>
      <c r="AM146" s="11" t="str">
        <f t="shared" si="14"/>
        <v>Good</v>
      </c>
      <c r="AN146" s="11" t="str" cm="1">
        <f t="array" ref="AN146">_xlfn.IFS(N146&lt;10000,"Low",N146&lt;30000,"Medium",N146&gt;=30000,"High")</f>
        <v>High</v>
      </c>
      <c r="AO146" s="11" t="str">
        <f t="shared" si="15"/>
        <v>Yes</v>
      </c>
      <c r="AP146" s="11" t="str">
        <f t="shared" si="16"/>
        <v>No</v>
      </c>
      <c r="AQ146" s="11">
        <f t="shared" si="17"/>
        <v>0.36372714285714286</v>
      </c>
      <c r="AR146" s="33"/>
      <c r="AS146" s="33"/>
      <c r="AT146" s="33"/>
      <c r="AU146" s="33"/>
      <c r="AV146" s="33"/>
      <c r="AW146" s="33"/>
      <c r="AX146" s="33" t="str">
        <f t="shared" si="18"/>
        <v>Excellent</v>
      </c>
    </row>
    <row r="147" spans="1:50">
      <c r="A147" s="9" t="s">
        <v>872</v>
      </c>
      <c r="B147" s="10">
        <v>45567</v>
      </c>
      <c r="C147" s="11" t="s">
        <v>873</v>
      </c>
      <c r="D147" s="11" t="s">
        <v>426</v>
      </c>
      <c r="E147" s="11" t="s">
        <v>103</v>
      </c>
      <c r="F147" s="11" t="s">
        <v>82</v>
      </c>
      <c r="G147" s="11" t="s">
        <v>83</v>
      </c>
      <c r="H147" s="11" t="s">
        <v>171</v>
      </c>
      <c r="I147" s="11" t="s">
        <v>71</v>
      </c>
      <c r="J147" s="11" t="s">
        <v>117</v>
      </c>
      <c r="K147" s="25">
        <v>10</v>
      </c>
      <c r="L147" s="25">
        <v>3500</v>
      </c>
      <c r="M147" s="29">
        <v>0.05</v>
      </c>
      <c r="N147" s="25">
        <v>33250</v>
      </c>
      <c r="O147" s="25">
        <v>26510.28</v>
      </c>
      <c r="P147" s="25">
        <v>6739.72</v>
      </c>
      <c r="Q147" s="21">
        <v>20.27</v>
      </c>
      <c r="R147" s="11" t="s">
        <v>106</v>
      </c>
      <c r="S147" s="11" t="s">
        <v>42</v>
      </c>
      <c r="T147" s="11" t="s">
        <v>97</v>
      </c>
      <c r="U147" s="11" t="s">
        <v>98</v>
      </c>
      <c r="V147" s="11">
        <v>2024</v>
      </c>
      <c r="W147" s="11" t="s">
        <v>65</v>
      </c>
      <c r="X147" s="11">
        <v>6</v>
      </c>
      <c r="Y147" s="10" t="s">
        <v>874</v>
      </c>
      <c r="Z147" s="11" t="s">
        <v>110</v>
      </c>
      <c r="AA147" s="11" t="s">
        <v>48</v>
      </c>
      <c r="AB147" s="11" t="s">
        <v>111</v>
      </c>
      <c r="AC147" s="11" t="s">
        <v>50</v>
      </c>
      <c r="AD147" s="11">
        <v>4</v>
      </c>
      <c r="AE147" s="11" t="s">
        <v>118</v>
      </c>
      <c r="AF147" s="11" t="s">
        <v>2228</v>
      </c>
      <c r="AG147" s="25"/>
      <c r="AH147" s="11"/>
      <c r="AI147" s="11"/>
      <c r="AJ147" s="11"/>
      <c r="AK147" s="11"/>
      <c r="AL147" s="11"/>
      <c r="AM147" s="11" t="str">
        <f t="shared" si="14"/>
        <v>Needs Improvement</v>
      </c>
      <c r="AN147" s="11" t="str" cm="1">
        <f t="array" ref="AN147">_xlfn.IFS(N147&lt;10000,"Low",N147&lt;30000,"Medium",N147&gt;=30000,"High")</f>
        <v>High</v>
      </c>
      <c r="AO147" s="11" t="str">
        <f t="shared" si="15"/>
        <v>No</v>
      </c>
      <c r="AP147" s="11" t="str">
        <f t="shared" si="16"/>
        <v>Yes</v>
      </c>
      <c r="AQ147" s="11">
        <f t="shared" si="17"/>
        <v>0.20269834586466165</v>
      </c>
      <c r="AR147" s="33"/>
      <c r="AS147" s="33"/>
      <c r="AT147" s="33"/>
      <c r="AU147" s="33"/>
      <c r="AV147" s="33"/>
      <c r="AW147" s="33"/>
      <c r="AX147" s="33" t="str">
        <f t="shared" si="18"/>
        <v>Average</v>
      </c>
    </row>
    <row r="148" spans="1:50">
      <c r="A148" s="9" t="s">
        <v>457</v>
      </c>
      <c r="B148" s="10">
        <v>45568</v>
      </c>
      <c r="C148" s="11" t="s">
        <v>458</v>
      </c>
      <c r="D148" s="11" t="s">
        <v>459</v>
      </c>
      <c r="E148" s="11" t="s">
        <v>55</v>
      </c>
      <c r="F148" s="11" t="s">
        <v>144</v>
      </c>
      <c r="G148" s="11" t="s">
        <v>145</v>
      </c>
      <c r="H148" s="11" t="s">
        <v>94</v>
      </c>
      <c r="I148" s="11" t="s">
        <v>71</v>
      </c>
      <c r="J148" s="11" t="s">
        <v>117</v>
      </c>
      <c r="K148" s="25">
        <v>2</v>
      </c>
      <c r="L148" s="25">
        <v>3500</v>
      </c>
      <c r="M148" s="29">
        <v>0.1</v>
      </c>
      <c r="N148" s="25">
        <v>6300</v>
      </c>
      <c r="O148" s="25">
        <v>4327.96</v>
      </c>
      <c r="P148" s="25">
        <v>1972.04</v>
      </c>
      <c r="Q148" s="21">
        <v>31.3</v>
      </c>
      <c r="R148" s="11" t="s">
        <v>106</v>
      </c>
      <c r="S148" s="11" t="s">
        <v>42</v>
      </c>
      <c r="T148" s="11" t="s">
        <v>75</v>
      </c>
      <c r="U148" s="11" t="s">
        <v>178</v>
      </c>
      <c r="V148" s="11">
        <v>2024</v>
      </c>
      <c r="W148" s="11" t="s">
        <v>45</v>
      </c>
      <c r="X148" s="11">
        <v>9</v>
      </c>
      <c r="Y148" s="10" t="s">
        <v>460</v>
      </c>
      <c r="Z148" s="11" t="s">
        <v>89</v>
      </c>
      <c r="AA148" s="11" t="s">
        <v>67</v>
      </c>
      <c r="AB148" s="11" t="s">
        <v>78</v>
      </c>
      <c r="AC148" s="11" t="s">
        <v>121</v>
      </c>
      <c r="AD148" s="11">
        <v>3</v>
      </c>
      <c r="AE148" s="11" t="s">
        <v>2240</v>
      </c>
      <c r="AF148" s="11" t="s">
        <v>2231</v>
      </c>
      <c r="AG148" s="25"/>
      <c r="AH148" s="11"/>
      <c r="AI148" s="11"/>
      <c r="AJ148" s="11"/>
      <c r="AK148" s="11"/>
      <c r="AL148" s="11"/>
      <c r="AM148" s="11" t="str">
        <f t="shared" si="14"/>
        <v>Good</v>
      </c>
      <c r="AN148" s="11" t="str" cm="1">
        <f t="array" ref="AN148">_xlfn.IFS(N148&lt;10000,"Low",N148&lt;30000,"Medium",N148&gt;=30000,"High")</f>
        <v>Low</v>
      </c>
      <c r="AO148" s="11" t="str">
        <f t="shared" si="15"/>
        <v>No</v>
      </c>
      <c r="AP148" s="11" t="str">
        <f t="shared" si="16"/>
        <v>Yes</v>
      </c>
      <c r="AQ148" s="11">
        <f t="shared" si="17"/>
        <v>0.3130222222222222</v>
      </c>
      <c r="AR148" s="33"/>
      <c r="AS148" s="33"/>
      <c r="AT148" s="33"/>
      <c r="AU148" s="33"/>
      <c r="AV148" s="33"/>
      <c r="AW148" s="33"/>
      <c r="AX148" s="33" t="str">
        <f t="shared" si="18"/>
        <v>Low</v>
      </c>
    </row>
    <row r="149" spans="1:50">
      <c r="A149" s="9" t="s">
        <v>1079</v>
      </c>
      <c r="B149" s="10">
        <v>45568</v>
      </c>
      <c r="C149" s="11" t="s">
        <v>1080</v>
      </c>
      <c r="D149" s="11" t="s">
        <v>34</v>
      </c>
      <c r="E149" s="11" t="s">
        <v>103</v>
      </c>
      <c r="F149" s="11" t="s">
        <v>131</v>
      </c>
      <c r="G149" s="11" t="s">
        <v>132</v>
      </c>
      <c r="H149" s="11" t="s">
        <v>171</v>
      </c>
      <c r="I149" s="11" t="s">
        <v>95</v>
      </c>
      <c r="J149" s="11" t="s">
        <v>344</v>
      </c>
      <c r="K149" s="25">
        <v>4</v>
      </c>
      <c r="L149" s="25">
        <v>6000</v>
      </c>
      <c r="M149" s="29">
        <v>0.1</v>
      </c>
      <c r="N149" s="25">
        <v>21600</v>
      </c>
      <c r="O149" s="25">
        <v>14835.01</v>
      </c>
      <c r="P149" s="25">
        <v>6764.99</v>
      </c>
      <c r="Q149" s="21">
        <v>31.32</v>
      </c>
      <c r="R149" s="11" t="s">
        <v>61</v>
      </c>
      <c r="S149" s="11" t="s">
        <v>62</v>
      </c>
      <c r="T149" s="11" t="s">
        <v>63</v>
      </c>
      <c r="U149" s="11" t="s">
        <v>178</v>
      </c>
      <c r="V149" s="11">
        <v>2024</v>
      </c>
      <c r="W149" s="11" t="s">
        <v>45</v>
      </c>
      <c r="X149" s="11">
        <v>5</v>
      </c>
      <c r="Y149" s="10" t="s">
        <v>179</v>
      </c>
      <c r="Z149" s="11" t="s">
        <v>47</v>
      </c>
      <c r="AA149" s="11" t="s">
        <v>48</v>
      </c>
      <c r="AB149" s="11" t="s">
        <v>49</v>
      </c>
      <c r="AC149" s="11" t="s">
        <v>121</v>
      </c>
      <c r="AD149" s="11">
        <v>2</v>
      </c>
      <c r="AE149" s="11" t="s">
        <v>2232</v>
      </c>
      <c r="AF149" s="11" t="s">
        <v>2224</v>
      </c>
      <c r="AG149" s="25"/>
      <c r="AH149" s="11"/>
      <c r="AI149" s="11"/>
      <c r="AJ149" s="11"/>
      <c r="AK149" s="11"/>
      <c r="AL149" s="11"/>
      <c r="AM149" s="11" t="str">
        <f t="shared" si="14"/>
        <v>Good</v>
      </c>
      <c r="AN149" s="11" t="str" cm="1">
        <f t="array" ref="AN149">_xlfn.IFS(N149&lt;10000,"Low",N149&lt;30000,"Medium",N149&gt;=30000,"High")</f>
        <v>Medium</v>
      </c>
      <c r="AO149" s="11" t="str">
        <f t="shared" si="15"/>
        <v>No</v>
      </c>
      <c r="AP149" s="11" t="str">
        <f t="shared" si="16"/>
        <v>No</v>
      </c>
      <c r="AQ149" s="11">
        <f t="shared" si="17"/>
        <v>0.31319398148148148</v>
      </c>
      <c r="AR149" s="33"/>
      <c r="AS149" s="33"/>
      <c r="AT149" s="33"/>
      <c r="AU149" s="33"/>
      <c r="AV149" s="33"/>
      <c r="AW149" s="33"/>
      <c r="AX149" s="33" t="str">
        <f t="shared" si="18"/>
        <v>Average</v>
      </c>
    </row>
    <row r="150" spans="1:50">
      <c r="A150" s="9" t="s">
        <v>1944</v>
      </c>
      <c r="B150" s="10">
        <v>45569</v>
      </c>
      <c r="C150" s="11" t="s">
        <v>1716</v>
      </c>
      <c r="D150" s="11" t="s">
        <v>202</v>
      </c>
      <c r="E150" s="11" t="s">
        <v>55</v>
      </c>
      <c r="F150" s="11" t="s">
        <v>131</v>
      </c>
      <c r="G150" s="11" t="s">
        <v>132</v>
      </c>
      <c r="H150" s="11" t="s">
        <v>171</v>
      </c>
      <c r="I150" s="11" t="s">
        <v>95</v>
      </c>
      <c r="J150" s="11" t="s">
        <v>319</v>
      </c>
      <c r="K150" s="25">
        <v>4</v>
      </c>
      <c r="L150" s="25">
        <v>9000</v>
      </c>
      <c r="M150" s="29">
        <v>0.05</v>
      </c>
      <c r="N150" s="25">
        <v>34200</v>
      </c>
      <c r="O150" s="25">
        <v>22161.88</v>
      </c>
      <c r="P150" s="25">
        <v>12038.12</v>
      </c>
      <c r="Q150" s="21">
        <v>35.200000000000003</v>
      </c>
      <c r="R150" s="11" t="s">
        <v>106</v>
      </c>
      <c r="S150" s="11" t="s">
        <v>74</v>
      </c>
      <c r="T150" s="11" t="s">
        <v>118</v>
      </c>
      <c r="U150" s="11" t="s">
        <v>44</v>
      </c>
      <c r="V150" s="11">
        <v>2024</v>
      </c>
      <c r="W150" s="11" t="s">
        <v>134</v>
      </c>
      <c r="X150" s="11">
        <v>9</v>
      </c>
      <c r="Y150" s="10" t="s">
        <v>1054</v>
      </c>
      <c r="Z150" s="11" t="s">
        <v>89</v>
      </c>
      <c r="AA150" s="11" t="s">
        <v>48</v>
      </c>
      <c r="AB150" s="11" t="s">
        <v>78</v>
      </c>
      <c r="AC150" s="11" t="s">
        <v>121</v>
      </c>
      <c r="AD150" s="11">
        <v>3</v>
      </c>
      <c r="AE150" s="11" t="s">
        <v>2221</v>
      </c>
      <c r="AF150" s="11" t="s">
        <v>2249</v>
      </c>
      <c r="AG150" s="25"/>
      <c r="AH150" s="11"/>
      <c r="AI150" s="11"/>
      <c r="AJ150" s="11"/>
      <c r="AK150" s="11"/>
      <c r="AL150" s="11"/>
      <c r="AM150" s="11" t="str">
        <f t="shared" si="14"/>
        <v>Good</v>
      </c>
      <c r="AN150" s="11" t="str" cm="1">
        <f t="array" ref="AN150">_xlfn.IFS(N150&lt;10000,"Low",N150&lt;30000,"Medium",N150&gt;=30000,"High")</f>
        <v>High</v>
      </c>
      <c r="AO150" s="11" t="str">
        <f t="shared" si="15"/>
        <v>Yes</v>
      </c>
      <c r="AP150" s="11" t="str">
        <f t="shared" si="16"/>
        <v>Yes</v>
      </c>
      <c r="AQ150" s="11">
        <f t="shared" si="17"/>
        <v>0.35199181286549708</v>
      </c>
      <c r="AR150" s="33"/>
      <c r="AS150" s="33"/>
      <c r="AT150" s="33"/>
      <c r="AU150" s="33"/>
      <c r="AV150" s="33"/>
      <c r="AW150" s="33"/>
      <c r="AX150" s="33" t="str">
        <f t="shared" si="18"/>
        <v>Good</v>
      </c>
    </row>
    <row r="151" spans="1:50">
      <c r="A151" s="9" t="s">
        <v>1997</v>
      </c>
      <c r="B151" s="10">
        <v>45569</v>
      </c>
      <c r="C151" s="11" t="s">
        <v>1413</v>
      </c>
      <c r="D151" s="11" t="s">
        <v>1998</v>
      </c>
      <c r="E151" s="11" t="s">
        <v>103</v>
      </c>
      <c r="F151" s="11" t="s">
        <v>245</v>
      </c>
      <c r="G151" s="11" t="s">
        <v>246</v>
      </c>
      <c r="H151" s="11" t="s">
        <v>38</v>
      </c>
      <c r="I151" s="11" t="s">
        <v>59</v>
      </c>
      <c r="J151" s="11" t="s">
        <v>328</v>
      </c>
      <c r="K151" s="25">
        <v>2</v>
      </c>
      <c r="L151" s="25">
        <v>800</v>
      </c>
      <c r="M151" s="29">
        <v>0.15</v>
      </c>
      <c r="N151" s="25">
        <v>1360</v>
      </c>
      <c r="O151" s="25">
        <v>985.78</v>
      </c>
      <c r="P151" s="25">
        <v>374.22</v>
      </c>
      <c r="Q151" s="21">
        <v>27.52</v>
      </c>
      <c r="R151" s="11" t="s">
        <v>61</v>
      </c>
      <c r="S151" s="11" t="s">
        <v>62</v>
      </c>
      <c r="T151" s="11" t="s">
        <v>75</v>
      </c>
      <c r="U151" s="11" t="s">
        <v>44</v>
      </c>
      <c r="V151" s="11">
        <v>2024</v>
      </c>
      <c r="W151" s="11" t="s">
        <v>134</v>
      </c>
      <c r="X151" s="11">
        <v>8</v>
      </c>
      <c r="Y151" s="10" t="s">
        <v>723</v>
      </c>
      <c r="Z151" s="11" t="s">
        <v>89</v>
      </c>
      <c r="AA151" s="11" t="s">
        <v>48</v>
      </c>
      <c r="AB151" s="11" t="s">
        <v>49</v>
      </c>
      <c r="AC151" s="11" t="s">
        <v>50</v>
      </c>
      <c r="AD151" s="11">
        <v>3</v>
      </c>
      <c r="AE151" s="11" t="s">
        <v>2234</v>
      </c>
      <c r="AF151" s="11" t="s">
        <v>2231</v>
      </c>
      <c r="AG151" s="25"/>
      <c r="AH151" s="11"/>
      <c r="AI151" s="11"/>
      <c r="AJ151" s="11"/>
      <c r="AK151" s="11"/>
      <c r="AL151" s="11"/>
      <c r="AM151" s="11" t="str">
        <f t="shared" si="14"/>
        <v>Needs Improvement</v>
      </c>
      <c r="AN151" s="11" t="str" cm="1">
        <f t="array" ref="AN151">_xlfn.IFS(N151&lt;10000,"Low",N151&lt;30000,"Medium",N151&gt;=30000,"High")</f>
        <v>Low</v>
      </c>
      <c r="AO151" s="11" t="str">
        <f t="shared" si="15"/>
        <v>No</v>
      </c>
      <c r="AP151" s="11" t="str">
        <f t="shared" si="16"/>
        <v>No</v>
      </c>
      <c r="AQ151" s="11">
        <f t="shared" si="17"/>
        <v>0.27516176470588238</v>
      </c>
      <c r="AR151" s="33"/>
      <c r="AS151" s="33"/>
      <c r="AT151" s="33"/>
      <c r="AU151" s="33"/>
      <c r="AV151" s="33"/>
      <c r="AW151" s="33"/>
      <c r="AX151" s="33" t="str">
        <f t="shared" si="18"/>
        <v>Low</v>
      </c>
    </row>
    <row r="152" spans="1:50">
      <c r="A152" s="9" t="s">
        <v>1631</v>
      </c>
      <c r="B152" s="10">
        <v>45570</v>
      </c>
      <c r="C152" s="11" t="s">
        <v>454</v>
      </c>
      <c r="D152" s="11" t="s">
        <v>1434</v>
      </c>
      <c r="E152" s="11" t="s">
        <v>103</v>
      </c>
      <c r="F152" s="11" t="s">
        <v>56</v>
      </c>
      <c r="G152" s="11" t="s">
        <v>57</v>
      </c>
      <c r="H152" s="11" t="s">
        <v>171</v>
      </c>
      <c r="I152" s="11" t="s">
        <v>71</v>
      </c>
      <c r="J152" s="11" t="s">
        <v>158</v>
      </c>
      <c r="K152" s="25">
        <v>2</v>
      </c>
      <c r="L152" s="25">
        <v>3500</v>
      </c>
      <c r="M152" s="29">
        <v>0</v>
      </c>
      <c r="N152" s="25">
        <v>7000</v>
      </c>
      <c r="O152" s="25">
        <v>4040.73</v>
      </c>
      <c r="P152" s="25">
        <v>2959.27</v>
      </c>
      <c r="Q152" s="21">
        <v>42.28</v>
      </c>
      <c r="R152" s="11" t="s">
        <v>106</v>
      </c>
      <c r="S152" s="11" t="s">
        <v>74</v>
      </c>
      <c r="T152" s="11" t="s">
        <v>159</v>
      </c>
      <c r="U152" s="11" t="s">
        <v>119</v>
      </c>
      <c r="V152" s="11">
        <v>2024</v>
      </c>
      <c r="W152" s="11" t="s">
        <v>194</v>
      </c>
      <c r="X152" s="11">
        <v>9</v>
      </c>
      <c r="Y152" s="10" t="s">
        <v>504</v>
      </c>
      <c r="Z152" s="11" t="s">
        <v>47</v>
      </c>
      <c r="AA152" s="11" t="s">
        <v>67</v>
      </c>
      <c r="AB152" s="11" t="s">
        <v>78</v>
      </c>
      <c r="AC152" s="11" t="s">
        <v>50</v>
      </c>
      <c r="AD152" s="11">
        <v>1</v>
      </c>
      <c r="AE152" s="11" t="s">
        <v>2213</v>
      </c>
      <c r="AF152" s="11" t="s">
        <v>2231</v>
      </c>
      <c r="AG152" s="25"/>
      <c r="AH152" s="11"/>
      <c r="AI152" s="11"/>
      <c r="AJ152" s="11"/>
      <c r="AK152" s="11"/>
      <c r="AL152" s="11"/>
      <c r="AM152" s="11" t="str">
        <f t="shared" si="14"/>
        <v>Good</v>
      </c>
      <c r="AN152" s="11" t="str" cm="1">
        <f t="array" ref="AN152">_xlfn.IFS(N152&lt;10000,"Low",N152&lt;30000,"Medium",N152&gt;=30000,"High")</f>
        <v>Low</v>
      </c>
      <c r="AO152" s="11" t="str">
        <f t="shared" si="15"/>
        <v>No</v>
      </c>
      <c r="AP152" s="11" t="str">
        <f t="shared" si="16"/>
        <v>Yes</v>
      </c>
      <c r="AQ152" s="11">
        <f t="shared" si="17"/>
        <v>0.42275285714285715</v>
      </c>
      <c r="AR152" s="33"/>
      <c r="AS152" s="33"/>
      <c r="AT152" s="33"/>
      <c r="AU152" s="33"/>
      <c r="AV152" s="33"/>
      <c r="AW152" s="33"/>
      <c r="AX152" s="33" t="str">
        <f t="shared" si="18"/>
        <v>Low</v>
      </c>
    </row>
    <row r="153" spans="1:50">
      <c r="A153" s="9" t="s">
        <v>162</v>
      </c>
      <c r="B153" s="10">
        <v>45571</v>
      </c>
      <c r="C153" s="11" t="s">
        <v>163</v>
      </c>
      <c r="D153" s="11" t="s">
        <v>164</v>
      </c>
      <c r="E153" s="11" t="s">
        <v>35</v>
      </c>
      <c r="F153" s="11" t="s">
        <v>104</v>
      </c>
      <c r="G153" s="11" t="s">
        <v>104</v>
      </c>
      <c r="H153" s="11" t="s">
        <v>38</v>
      </c>
      <c r="I153" s="11" t="s">
        <v>39</v>
      </c>
      <c r="J153" s="11" t="s">
        <v>165</v>
      </c>
      <c r="K153" s="25">
        <v>8</v>
      </c>
      <c r="L153" s="25">
        <v>35000</v>
      </c>
      <c r="M153" s="29">
        <v>0.2</v>
      </c>
      <c r="N153" s="25">
        <v>224000</v>
      </c>
      <c r="O153" s="25">
        <v>128045.14</v>
      </c>
      <c r="P153" s="25">
        <v>95954.86</v>
      </c>
      <c r="Q153" s="21">
        <v>42.84</v>
      </c>
      <c r="R153" s="11" t="s">
        <v>166</v>
      </c>
      <c r="S153" s="11" t="s">
        <v>74</v>
      </c>
      <c r="T153" s="11" t="s">
        <v>63</v>
      </c>
      <c r="U153" s="11" t="s">
        <v>160</v>
      </c>
      <c r="V153" s="11">
        <v>2024</v>
      </c>
      <c r="W153" s="11" t="s">
        <v>126</v>
      </c>
      <c r="X153" s="11">
        <v>1</v>
      </c>
      <c r="Y153" s="10">
        <v>45602</v>
      </c>
      <c r="Z153" s="11" t="s">
        <v>89</v>
      </c>
      <c r="AA153" s="11" t="s">
        <v>90</v>
      </c>
      <c r="AB153" s="11" t="s">
        <v>111</v>
      </c>
      <c r="AC153" s="11" t="s">
        <v>121</v>
      </c>
      <c r="AD153" s="11">
        <v>5</v>
      </c>
      <c r="AE153" s="11" t="s">
        <v>2237</v>
      </c>
      <c r="AF153" s="11" t="s">
        <v>2249</v>
      </c>
      <c r="AG153" s="25"/>
      <c r="AH153" s="11"/>
      <c r="AI153" s="11"/>
      <c r="AJ153" s="11"/>
      <c r="AK153" s="11"/>
      <c r="AL153" s="11"/>
      <c r="AM153" s="11" t="str">
        <f t="shared" si="14"/>
        <v>Good</v>
      </c>
      <c r="AN153" s="11" t="str" cm="1">
        <f t="array" ref="AN153">_xlfn.IFS(N153&lt;10000,"Low",N153&lt;30000,"Medium",N153&gt;=30000,"High")</f>
        <v>High</v>
      </c>
      <c r="AO153" s="11" t="str">
        <f t="shared" si="15"/>
        <v>Yes</v>
      </c>
      <c r="AP153" s="11" t="str">
        <f t="shared" si="16"/>
        <v>Yes</v>
      </c>
      <c r="AQ153" s="11">
        <f t="shared" si="17"/>
        <v>0.42836991071428571</v>
      </c>
      <c r="AR153" s="33"/>
      <c r="AS153" s="33"/>
      <c r="AT153" s="33"/>
      <c r="AU153" s="33"/>
      <c r="AV153" s="33"/>
      <c r="AW153" s="33"/>
      <c r="AX153" s="33" t="str">
        <f t="shared" si="18"/>
        <v>Excellent</v>
      </c>
    </row>
    <row r="154" spans="1:50">
      <c r="A154" s="9" t="s">
        <v>333</v>
      </c>
      <c r="B154" s="10">
        <v>45571</v>
      </c>
      <c r="C154" s="11" t="s">
        <v>334</v>
      </c>
      <c r="D154" s="11" t="s">
        <v>335</v>
      </c>
      <c r="E154" s="11" t="s">
        <v>55</v>
      </c>
      <c r="F154" s="11" t="s">
        <v>116</v>
      </c>
      <c r="G154" s="11" t="s">
        <v>37</v>
      </c>
      <c r="H154" s="11" t="s">
        <v>171</v>
      </c>
      <c r="I154" s="11" t="s">
        <v>39</v>
      </c>
      <c r="J154" s="11" t="s">
        <v>253</v>
      </c>
      <c r="K154" s="25">
        <v>5</v>
      </c>
      <c r="L154" s="25">
        <v>50000</v>
      </c>
      <c r="M154" s="29">
        <v>0.2</v>
      </c>
      <c r="N154" s="25">
        <v>200000</v>
      </c>
      <c r="O154" s="25">
        <v>161042.72</v>
      </c>
      <c r="P154" s="25">
        <v>38957.279999999999</v>
      </c>
      <c r="Q154" s="21">
        <v>19.48</v>
      </c>
      <c r="R154" s="11" t="s">
        <v>166</v>
      </c>
      <c r="S154" s="11" t="s">
        <v>62</v>
      </c>
      <c r="T154" s="11" t="s">
        <v>86</v>
      </c>
      <c r="U154" s="11" t="s">
        <v>160</v>
      </c>
      <c r="V154" s="11">
        <v>2024</v>
      </c>
      <c r="W154" s="11" t="s">
        <v>126</v>
      </c>
      <c r="X154" s="11">
        <v>2</v>
      </c>
      <c r="Y154" s="10">
        <v>45632</v>
      </c>
      <c r="Z154" s="11" t="s">
        <v>110</v>
      </c>
      <c r="AA154" s="11" t="s">
        <v>67</v>
      </c>
      <c r="AB154" s="11" t="s">
        <v>78</v>
      </c>
      <c r="AC154" s="11" t="s">
        <v>121</v>
      </c>
      <c r="AD154" s="11">
        <v>2</v>
      </c>
      <c r="AE154" s="11" t="s">
        <v>2218</v>
      </c>
      <c r="AF154" s="11" t="s">
        <v>2235</v>
      </c>
      <c r="AG154" s="25"/>
      <c r="AH154" s="11"/>
      <c r="AI154" s="11"/>
      <c r="AJ154" s="11"/>
      <c r="AK154" s="11"/>
      <c r="AL154" s="11"/>
      <c r="AM154" s="11" t="str">
        <f t="shared" si="14"/>
        <v>Needs Improvement</v>
      </c>
      <c r="AN154" s="11" t="str" cm="1">
        <f t="array" ref="AN154">_xlfn.IFS(N154&lt;10000,"Low",N154&lt;30000,"Medium",N154&gt;=30000,"High")</f>
        <v>High</v>
      </c>
      <c r="AO154" s="11" t="str">
        <f t="shared" si="15"/>
        <v>Yes</v>
      </c>
      <c r="AP154" s="11" t="str">
        <f t="shared" si="16"/>
        <v>No</v>
      </c>
      <c r="AQ154" s="11">
        <f t="shared" si="17"/>
        <v>0.1947864</v>
      </c>
      <c r="AR154" s="33"/>
      <c r="AS154" s="33"/>
      <c r="AT154" s="33"/>
      <c r="AU154" s="33"/>
      <c r="AV154" s="33"/>
      <c r="AW154" s="33"/>
      <c r="AX154" s="33" t="str">
        <f t="shared" si="18"/>
        <v>Excellent</v>
      </c>
    </row>
    <row r="155" spans="1:50">
      <c r="A155" s="9" t="s">
        <v>391</v>
      </c>
      <c r="B155" s="10">
        <v>45571</v>
      </c>
      <c r="C155" s="11" t="s">
        <v>392</v>
      </c>
      <c r="D155" s="11" t="s">
        <v>393</v>
      </c>
      <c r="E155" s="11" t="s">
        <v>55</v>
      </c>
      <c r="F155" s="11" t="s">
        <v>82</v>
      </c>
      <c r="G155" s="11" t="s">
        <v>83</v>
      </c>
      <c r="H155" s="11" t="s">
        <v>94</v>
      </c>
      <c r="I155" s="11" t="s">
        <v>59</v>
      </c>
      <c r="J155" s="11" t="s">
        <v>372</v>
      </c>
      <c r="K155" s="25">
        <v>2</v>
      </c>
      <c r="L155" s="25">
        <v>500</v>
      </c>
      <c r="M155" s="29">
        <v>0.05</v>
      </c>
      <c r="N155" s="25">
        <v>950</v>
      </c>
      <c r="O155" s="25">
        <v>695.37</v>
      </c>
      <c r="P155" s="25">
        <v>254.63</v>
      </c>
      <c r="Q155" s="21">
        <v>26.8</v>
      </c>
      <c r="R155" s="11" t="s">
        <v>41</v>
      </c>
      <c r="S155" s="11" t="s">
        <v>62</v>
      </c>
      <c r="T155" s="11" t="s">
        <v>75</v>
      </c>
      <c r="U155" s="11" t="s">
        <v>160</v>
      </c>
      <c r="V155" s="11">
        <v>2024</v>
      </c>
      <c r="W155" s="11" t="s">
        <v>126</v>
      </c>
      <c r="X155" s="11">
        <v>10</v>
      </c>
      <c r="Y155" s="10" t="s">
        <v>394</v>
      </c>
      <c r="Z155" s="11" t="s">
        <v>47</v>
      </c>
      <c r="AA155" s="11" t="s">
        <v>67</v>
      </c>
      <c r="AB155" s="11" t="s">
        <v>49</v>
      </c>
      <c r="AC155" s="11" t="s">
        <v>121</v>
      </c>
      <c r="AD155" s="11">
        <v>3</v>
      </c>
      <c r="AE155" s="11" t="s">
        <v>2239</v>
      </c>
      <c r="AF155" s="11" t="s">
        <v>2235</v>
      </c>
      <c r="AG155" s="25"/>
      <c r="AH155" s="11"/>
      <c r="AI155" s="11"/>
      <c r="AJ155" s="11"/>
      <c r="AK155" s="11"/>
      <c r="AL155" s="11"/>
      <c r="AM155" s="11" t="str">
        <f t="shared" si="14"/>
        <v>Needs Improvement</v>
      </c>
      <c r="AN155" s="11" t="str" cm="1">
        <f t="array" ref="AN155">_xlfn.IFS(N155&lt;10000,"Low",N155&lt;30000,"Medium",N155&gt;=30000,"High")</f>
        <v>Low</v>
      </c>
      <c r="AO155" s="11" t="str">
        <f t="shared" si="15"/>
        <v>No</v>
      </c>
      <c r="AP155" s="11" t="str">
        <f t="shared" si="16"/>
        <v>No</v>
      </c>
      <c r="AQ155" s="11">
        <f t="shared" si="17"/>
        <v>0.2680315789473684</v>
      </c>
      <c r="AR155" s="33"/>
      <c r="AS155" s="33"/>
      <c r="AT155" s="33"/>
      <c r="AU155" s="33"/>
      <c r="AV155" s="33"/>
      <c r="AW155" s="33"/>
      <c r="AX155" s="33" t="str">
        <f t="shared" si="18"/>
        <v>Low</v>
      </c>
    </row>
    <row r="156" spans="1:50">
      <c r="A156" s="9" t="s">
        <v>1782</v>
      </c>
      <c r="B156" s="10">
        <v>45571</v>
      </c>
      <c r="C156" s="11" t="s">
        <v>220</v>
      </c>
      <c r="D156" s="11" t="s">
        <v>717</v>
      </c>
      <c r="E156" s="11" t="s">
        <v>103</v>
      </c>
      <c r="F156" s="11" t="s">
        <v>144</v>
      </c>
      <c r="G156" s="11" t="s">
        <v>145</v>
      </c>
      <c r="H156" s="11" t="s">
        <v>38</v>
      </c>
      <c r="I156" s="11" t="s">
        <v>95</v>
      </c>
      <c r="J156" s="11" t="s">
        <v>184</v>
      </c>
      <c r="K156" s="25">
        <v>6</v>
      </c>
      <c r="L156" s="25">
        <v>15000</v>
      </c>
      <c r="M156" s="29">
        <v>0.15</v>
      </c>
      <c r="N156" s="25">
        <v>76500</v>
      </c>
      <c r="O156" s="25">
        <v>45682.14</v>
      </c>
      <c r="P156" s="25">
        <v>30817.86</v>
      </c>
      <c r="Q156" s="21">
        <v>40.28</v>
      </c>
      <c r="R156" s="11" t="s">
        <v>61</v>
      </c>
      <c r="S156" s="11" t="s">
        <v>74</v>
      </c>
      <c r="T156" s="11" t="s">
        <v>118</v>
      </c>
      <c r="U156" s="11" t="s">
        <v>160</v>
      </c>
      <c r="V156" s="11">
        <v>2024</v>
      </c>
      <c r="W156" s="11" t="s">
        <v>126</v>
      </c>
      <c r="X156" s="11">
        <v>7</v>
      </c>
      <c r="Y156" s="10" t="s">
        <v>153</v>
      </c>
      <c r="Z156" s="11" t="s">
        <v>47</v>
      </c>
      <c r="AA156" s="11" t="s">
        <v>90</v>
      </c>
      <c r="AB156" s="11" t="s">
        <v>78</v>
      </c>
      <c r="AC156" s="11" t="s">
        <v>121</v>
      </c>
      <c r="AD156" s="11">
        <v>3</v>
      </c>
      <c r="AE156" s="11" t="s">
        <v>2233</v>
      </c>
      <c r="AF156" s="11" t="s">
        <v>2214</v>
      </c>
      <c r="AG156" s="25"/>
      <c r="AH156" s="11"/>
      <c r="AI156" s="11"/>
      <c r="AJ156" s="11"/>
      <c r="AK156" s="11"/>
      <c r="AL156" s="11"/>
      <c r="AM156" s="11" t="str">
        <f t="shared" si="14"/>
        <v>Good</v>
      </c>
      <c r="AN156" s="11" t="str" cm="1">
        <f t="array" ref="AN156">_xlfn.IFS(N156&lt;10000,"Low",N156&lt;30000,"Medium",N156&gt;=30000,"High")</f>
        <v>High</v>
      </c>
      <c r="AO156" s="11" t="str">
        <f t="shared" si="15"/>
        <v>Yes</v>
      </c>
      <c r="AP156" s="11" t="str">
        <f t="shared" si="16"/>
        <v>Yes</v>
      </c>
      <c r="AQ156" s="11">
        <f t="shared" si="17"/>
        <v>0.40284784313725491</v>
      </c>
      <c r="AR156" s="33"/>
      <c r="AS156" s="33"/>
      <c r="AT156" s="33"/>
      <c r="AU156" s="33"/>
      <c r="AV156" s="33"/>
      <c r="AW156" s="33"/>
      <c r="AX156" s="33" t="str">
        <f t="shared" si="18"/>
        <v>Excellent</v>
      </c>
    </row>
    <row r="157" spans="1:50">
      <c r="A157" s="9" t="s">
        <v>470</v>
      </c>
      <c r="B157" s="10">
        <v>45572</v>
      </c>
      <c r="C157" s="11" t="s">
        <v>220</v>
      </c>
      <c r="D157" s="11" t="s">
        <v>225</v>
      </c>
      <c r="E157" s="11" t="s">
        <v>35</v>
      </c>
      <c r="F157" s="11" t="s">
        <v>82</v>
      </c>
      <c r="G157" s="11" t="s">
        <v>83</v>
      </c>
      <c r="H157" s="11" t="s">
        <v>94</v>
      </c>
      <c r="I157" s="11" t="s">
        <v>71</v>
      </c>
      <c r="J157" s="11" t="s">
        <v>158</v>
      </c>
      <c r="K157" s="25">
        <v>8</v>
      </c>
      <c r="L157" s="25">
        <v>2500</v>
      </c>
      <c r="M157" s="29">
        <v>0.1</v>
      </c>
      <c r="N157" s="25">
        <v>18000</v>
      </c>
      <c r="O157" s="25">
        <v>11685.31</v>
      </c>
      <c r="P157" s="25">
        <v>6314.69</v>
      </c>
      <c r="Q157" s="21">
        <v>35.08</v>
      </c>
      <c r="R157" s="11" t="s">
        <v>106</v>
      </c>
      <c r="S157" s="11" t="s">
        <v>62</v>
      </c>
      <c r="T157" s="11" t="s">
        <v>63</v>
      </c>
      <c r="U157" s="11" t="s">
        <v>151</v>
      </c>
      <c r="V157" s="11">
        <v>2024</v>
      </c>
      <c r="W157" s="11" t="s">
        <v>134</v>
      </c>
      <c r="X157" s="11">
        <v>8</v>
      </c>
      <c r="Y157" s="10" t="s">
        <v>471</v>
      </c>
      <c r="Z157" s="11" t="s">
        <v>110</v>
      </c>
      <c r="AA157" s="11" t="s">
        <v>90</v>
      </c>
      <c r="AB157" s="11" t="s">
        <v>111</v>
      </c>
      <c r="AC157" s="11" t="s">
        <v>50</v>
      </c>
      <c r="AD157" s="11">
        <v>3</v>
      </c>
      <c r="AE157" s="11" t="s">
        <v>2225</v>
      </c>
      <c r="AF157" s="11" t="s">
        <v>2238</v>
      </c>
      <c r="AG157" s="25"/>
      <c r="AH157" s="11"/>
      <c r="AI157" s="11"/>
      <c r="AJ157" s="11"/>
      <c r="AK157" s="11"/>
      <c r="AL157" s="11"/>
      <c r="AM157" s="11" t="str">
        <f t="shared" si="14"/>
        <v>Good</v>
      </c>
      <c r="AN157" s="11" t="str" cm="1">
        <f t="array" ref="AN157">_xlfn.IFS(N157&lt;10000,"Low",N157&lt;30000,"Medium",N157&gt;=30000,"High")</f>
        <v>Medium</v>
      </c>
      <c r="AO157" s="11" t="str">
        <f t="shared" si="15"/>
        <v>No</v>
      </c>
      <c r="AP157" s="11" t="str">
        <f t="shared" si="16"/>
        <v>No</v>
      </c>
      <c r="AQ157" s="11">
        <f t="shared" si="17"/>
        <v>0.35081611111111111</v>
      </c>
      <c r="AR157" s="33"/>
      <c r="AS157" s="33"/>
      <c r="AT157" s="33"/>
      <c r="AU157" s="33"/>
      <c r="AV157" s="33"/>
      <c r="AW157" s="33"/>
      <c r="AX157" s="33" t="str">
        <f t="shared" si="18"/>
        <v>Average</v>
      </c>
    </row>
    <row r="158" spans="1:50">
      <c r="A158" s="9" t="s">
        <v>1568</v>
      </c>
      <c r="B158" s="10">
        <v>45572</v>
      </c>
      <c r="C158" s="11" t="s">
        <v>1082</v>
      </c>
      <c r="D158" s="11" t="s">
        <v>1469</v>
      </c>
      <c r="E158" s="11" t="s">
        <v>55</v>
      </c>
      <c r="F158" s="11" t="s">
        <v>156</v>
      </c>
      <c r="G158" s="11" t="s">
        <v>157</v>
      </c>
      <c r="H158" s="11" t="s">
        <v>171</v>
      </c>
      <c r="I158" s="11" t="s">
        <v>39</v>
      </c>
      <c r="J158" s="11" t="s">
        <v>105</v>
      </c>
      <c r="K158" s="25">
        <v>8</v>
      </c>
      <c r="L158" s="25">
        <v>50000</v>
      </c>
      <c r="M158" s="29">
        <v>0.1</v>
      </c>
      <c r="N158" s="25">
        <v>360000</v>
      </c>
      <c r="O158" s="25">
        <v>226860.87</v>
      </c>
      <c r="P158" s="25">
        <v>133139.13</v>
      </c>
      <c r="Q158" s="21">
        <v>36.979999999999997</v>
      </c>
      <c r="R158" s="11" t="s">
        <v>106</v>
      </c>
      <c r="S158" s="11" t="s">
        <v>62</v>
      </c>
      <c r="T158" s="11" t="s">
        <v>173</v>
      </c>
      <c r="U158" s="11" t="s">
        <v>151</v>
      </c>
      <c r="V158" s="11">
        <v>2024</v>
      </c>
      <c r="W158" s="11" t="s">
        <v>134</v>
      </c>
      <c r="X158" s="11">
        <v>4</v>
      </c>
      <c r="Y158" s="10" t="s">
        <v>832</v>
      </c>
      <c r="Z158" s="11" t="s">
        <v>47</v>
      </c>
      <c r="AA158" s="11" t="s">
        <v>90</v>
      </c>
      <c r="AB158" s="11" t="s">
        <v>111</v>
      </c>
      <c r="AC158" s="11" t="s">
        <v>121</v>
      </c>
      <c r="AD158" s="11">
        <v>5</v>
      </c>
      <c r="AE158" s="11" t="s">
        <v>2213</v>
      </c>
      <c r="AF158" s="11" t="s">
        <v>2214</v>
      </c>
      <c r="AG158" s="25"/>
      <c r="AH158" s="11"/>
      <c r="AI158" s="11"/>
      <c r="AJ158" s="11"/>
      <c r="AK158" s="11"/>
      <c r="AL158" s="11"/>
      <c r="AM158" s="11" t="str">
        <f t="shared" si="14"/>
        <v>Good</v>
      </c>
      <c r="AN158" s="11" t="str" cm="1">
        <f t="array" ref="AN158">_xlfn.IFS(N158&lt;10000,"Low",N158&lt;30000,"Medium",N158&gt;=30000,"High")</f>
        <v>High</v>
      </c>
      <c r="AO158" s="11" t="str">
        <f t="shared" si="15"/>
        <v>Yes</v>
      </c>
      <c r="AP158" s="11" t="str">
        <f t="shared" si="16"/>
        <v>No</v>
      </c>
      <c r="AQ158" s="11">
        <f t="shared" si="17"/>
        <v>0.36983091666666668</v>
      </c>
      <c r="AR158" s="33"/>
      <c r="AS158" s="33"/>
      <c r="AT158" s="33"/>
      <c r="AU158" s="33"/>
      <c r="AV158" s="33"/>
      <c r="AW158" s="33"/>
      <c r="AX158" s="33" t="str">
        <f t="shared" si="18"/>
        <v>Excellent</v>
      </c>
    </row>
    <row r="159" spans="1:50">
      <c r="A159" s="9" t="s">
        <v>1027</v>
      </c>
      <c r="B159" s="10">
        <v>45573</v>
      </c>
      <c r="C159" s="11" t="s">
        <v>1028</v>
      </c>
      <c r="D159" s="11" t="s">
        <v>313</v>
      </c>
      <c r="E159" s="11" t="s">
        <v>103</v>
      </c>
      <c r="F159" s="11" t="s">
        <v>116</v>
      </c>
      <c r="G159" s="11" t="s">
        <v>37</v>
      </c>
      <c r="H159" s="11" t="s">
        <v>58</v>
      </c>
      <c r="I159" s="11" t="s">
        <v>84</v>
      </c>
      <c r="J159" s="11" t="s">
        <v>390</v>
      </c>
      <c r="K159" s="25">
        <v>10</v>
      </c>
      <c r="L159" s="25">
        <v>500</v>
      </c>
      <c r="M159" s="29">
        <v>0.2</v>
      </c>
      <c r="N159" s="25">
        <v>4000</v>
      </c>
      <c r="O159" s="25">
        <v>3056.34</v>
      </c>
      <c r="P159" s="25">
        <v>943.66</v>
      </c>
      <c r="Q159" s="21">
        <v>23.59</v>
      </c>
      <c r="R159" s="11" t="s">
        <v>41</v>
      </c>
      <c r="S159" s="11" t="s">
        <v>42</v>
      </c>
      <c r="T159" s="11" t="s">
        <v>159</v>
      </c>
      <c r="U159" s="11" t="s">
        <v>218</v>
      </c>
      <c r="V159" s="11">
        <v>2024</v>
      </c>
      <c r="W159" s="11" t="s">
        <v>65</v>
      </c>
      <c r="X159" s="11">
        <v>2</v>
      </c>
      <c r="Y159" s="10">
        <v>45634</v>
      </c>
      <c r="Z159" s="11" t="s">
        <v>47</v>
      </c>
      <c r="AA159" s="11" t="s">
        <v>90</v>
      </c>
      <c r="AB159" s="11" t="s">
        <v>111</v>
      </c>
      <c r="AC159" s="11" t="s">
        <v>50</v>
      </c>
      <c r="AD159" s="11">
        <v>1</v>
      </c>
      <c r="AE159" s="11" t="s">
        <v>2220</v>
      </c>
      <c r="AF159" s="11" t="s">
        <v>2217</v>
      </c>
      <c r="AG159" s="25"/>
      <c r="AH159" s="11"/>
      <c r="AI159" s="11"/>
      <c r="AJ159" s="11"/>
      <c r="AK159" s="11"/>
      <c r="AL159" s="11"/>
      <c r="AM159" s="11" t="str">
        <f t="shared" si="14"/>
        <v>Needs Improvement</v>
      </c>
      <c r="AN159" s="11" t="str" cm="1">
        <f t="array" ref="AN159">_xlfn.IFS(N159&lt;10000,"Low",N159&lt;30000,"Medium",N159&gt;=30000,"High")</f>
        <v>Low</v>
      </c>
      <c r="AO159" s="11" t="str">
        <f t="shared" si="15"/>
        <v>No</v>
      </c>
      <c r="AP159" s="11" t="str">
        <f t="shared" si="16"/>
        <v>Yes</v>
      </c>
      <c r="AQ159" s="11">
        <f t="shared" si="17"/>
        <v>0.23591499999999999</v>
      </c>
      <c r="AR159" s="33"/>
      <c r="AS159" s="33"/>
      <c r="AT159" s="33"/>
      <c r="AU159" s="33"/>
      <c r="AV159" s="33"/>
      <c r="AW159" s="33"/>
      <c r="AX159" s="33" t="str">
        <f t="shared" si="18"/>
        <v>Low</v>
      </c>
    </row>
    <row r="160" spans="1:50">
      <c r="A160" s="9" t="s">
        <v>1845</v>
      </c>
      <c r="B160" s="10">
        <v>45573</v>
      </c>
      <c r="C160" s="11" t="s">
        <v>312</v>
      </c>
      <c r="D160" s="11" t="s">
        <v>1846</v>
      </c>
      <c r="E160" s="11" t="s">
        <v>103</v>
      </c>
      <c r="F160" s="11" t="s">
        <v>56</v>
      </c>
      <c r="G160" s="11" t="s">
        <v>57</v>
      </c>
      <c r="H160" s="11" t="s">
        <v>94</v>
      </c>
      <c r="I160" s="11" t="s">
        <v>84</v>
      </c>
      <c r="J160" s="11" t="s">
        <v>217</v>
      </c>
      <c r="K160" s="25">
        <v>7</v>
      </c>
      <c r="L160" s="25">
        <v>100</v>
      </c>
      <c r="M160" s="29">
        <v>0.05</v>
      </c>
      <c r="N160" s="25">
        <v>665</v>
      </c>
      <c r="O160" s="25">
        <v>525.54</v>
      </c>
      <c r="P160" s="25">
        <v>139.46</v>
      </c>
      <c r="Q160" s="21">
        <v>20.97</v>
      </c>
      <c r="R160" s="11" t="s">
        <v>73</v>
      </c>
      <c r="S160" s="11" t="s">
        <v>62</v>
      </c>
      <c r="T160" s="11" t="s">
        <v>43</v>
      </c>
      <c r="U160" s="11" t="s">
        <v>218</v>
      </c>
      <c r="V160" s="11">
        <v>2024</v>
      </c>
      <c r="W160" s="11" t="s">
        <v>65</v>
      </c>
      <c r="X160" s="11">
        <v>6</v>
      </c>
      <c r="Y160" s="10" t="s">
        <v>564</v>
      </c>
      <c r="Z160" s="11" t="s">
        <v>89</v>
      </c>
      <c r="AA160" s="11" t="s">
        <v>48</v>
      </c>
      <c r="AB160" s="11" t="s">
        <v>49</v>
      </c>
      <c r="AC160" s="11" t="s">
        <v>50</v>
      </c>
      <c r="AD160" s="11">
        <v>5</v>
      </c>
      <c r="AE160" s="11" t="s">
        <v>118</v>
      </c>
      <c r="AF160" s="11" t="s">
        <v>2230</v>
      </c>
      <c r="AG160" s="25"/>
      <c r="AH160" s="11"/>
      <c r="AI160" s="11"/>
      <c r="AJ160" s="11"/>
      <c r="AK160" s="11"/>
      <c r="AL160" s="11"/>
      <c r="AM160" s="11" t="str">
        <f t="shared" si="14"/>
        <v>Needs Improvement</v>
      </c>
      <c r="AN160" s="11" t="str" cm="1">
        <f t="array" ref="AN160">_xlfn.IFS(N160&lt;10000,"Low",N160&lt;30000,"Medium",N160&gt;=30000,"High")</f>
        <v>Low</v>
      </c>
      <c r="AO160" s="11" t="str">
        <f t="shared" si="15"/>
        <v>No</v>
      </c>
      <c r="AP160" s="11" t="str">
        <f t="shared" si="16"/>
        <v>No</v>
      </c>
      <c r="AQ160" s="11">
        <f t="shared" si="17"/>
        <v>0.20971428571428571</v>
      </c>
      <c r="AR160" s="33"/>
      <c r="AS160" s="33"/>
      <c r="AT160" s="33"/>
      <c r="AU160" s="33"/>
      <c r="AV160" s="33"/>
      <c r="AW160" s="33"/>
      <c r="AX160" s="33" t="str">
        <f t="shared" si="18"/>
        <v>Low</v>
      </c>
    </row>
    <row r="161" spans="1:50">
      <c r="A161" s="9" t="s">
        <v>1331</v>
      </c>
      <c r="B161" s="10">
        <v>45574</v>
      </c>
      <c r="C161" s="11" t="s">
        <v>196</v>
      </c>
      <c r="D161" s="11" t="s">
        <v>130</v>
      </c>
      <c r="E161" s="11" t="s">
        <v>35</v>
      </c>
      <c r="F161" s="11" t="s">
        <v>116</v>
      </c>
      <c r="G161" s="11" t="s">
        <v>37</v>
      </c>
      <c r="H161" s="11" t="s">
        <v>38</v>
      </c>
      <c r="I161" s="11" t="s">
        <v>84</v>
      </c>
      <c r="J161" s="11" t="s">
        <v>217</v>
      </c>
      <c r="K161" s="25">
        <v>3</v>
      </c>
      <c r="L161" s="25">
        <v>500</v>
      </c>
      <c r="M161" s="29">
        <v>0.2</v>
      </c>
      <c r="N161" s="25">
        <v>1200</v>
      </c>
      <c r="O161" s="25">
        <v>827.33</v>
      </c>
      <c r="P161" s="25">
        <v>372.67</v>
      </c>
      <c r="Q161" s="21">
        <v>31.06</v>
      </c>
      <c r="R161" s="11" t="s">
        <v>166</v>
      </c>
      <c r="S161" s="11" t="s">
        <v>62</v>
      </c>
      <c r="T161" s="11" t="s">
        <v>173</v>
      </c>
      <c r="U161" s="11" t="s">
        <v>108</v>
      </c>
      <c r="V161" s="11">
        <v>2024</v>
      </c>
      <c r="W161" s="11" t="s">
        <v>109</v>
      </c>
      <c r="X161" s="11">
        <v>2</v>
      </c>
      <c r="Y161" s="10">
        <v>45635</v>
      </c>
      <c r="Z161" s="11" t="s">
        <v>47</v>
      </c>
      <c r="AA161" s="11" t="s">
        <v>90</v>
      </c>
      <c r="AB161" s="11" t="s">
        <v>49</v>
      </c>
      <c r="AC161" s="11" t="s">
        <v>50</v>
      </c>
      <c r="AD161" s="11">
        <v>2</v>
      </c>
      <c r="AE161" s="11" t="s">
        <v>159</v>
      </c>
      <c r="AF161" s="11" t="s">
        <v>2219</v>
      </c>
      <c r="AG161" s="25"/>
      <c r="AH161" s="11"/>
      <c r="AI161" s="11"/>
      <c r="AJ161" s="11"/>
      <c r="AK161" s="11"/>
      <c r="AL161" s="11"/>
      <c r="AM161" s="11" t="str">
        <f t="shared" si="14"/>
        <v>Good</v>
      </c>
      <c r="AN161" s="11" t="str" cm="1">
        <f t="array" ref="AN161">_xlfn.IFS(N161&lt;10000,"Low",N161&lt;30000,"Medium",N161&gt;=30000,"High")</f>
        <v>Low</v>
      </c>
      <c r="AO161" s="11" t="str">
        <f t="shared" si="15"/>
        <v>No</v>
      </c>
      <c r="AP161" s="11" t="str">
        <f t="shared" si="16"/>
        <v>No</v>
      </c>
      <c r="AQ161" s="11">
        <f t="shared" si="17"/>
        <v>0.31055833333333333</v>
      </c>
      <c r="AR161" s="33"/>
      <c r="AS161" s="33"/>
      <c r="AT161" s="33"/>
      <c r="AU161" s="33"/>
      <c r="AV161" s="33"/>
      <c r="AW161" s="33"/>
      <c r="AX161" s="33" t="str">
        <f t="shared" si="18"/>
        <v>Low</v>
      </c>
    </row>
    <row r="162" spans="1:50">
      <c r="A162" s="9" t="s">
        <v>1168</v>
      </c>
      <c r="B162" s="10">
        <v>45575</v>
      </c>
      <c r="C162" s="11" t="s">
        <v>1149</v>
      </c>
      <c r="D162" s="11" t="s">
        <v>263</v>
      </c>
      <c r="E162" s="11" t="s">
        <v>35</v>
      </c>
      <c r="F162" s="11" t="s">
        <v>82</v>
      </c>
      <c r="G162" s="11" t="s">
        <v>83</v>
      </c>
      <c r="H162" s="11" t="s">
        <v>38</v>
      </c>
      <c r="I162" s="11" t="s">
        <v>59</v>
      </c>
      <c r="J162" s="11" t="s">
        <v>372</v>
      </c>
      <c r="K162" s="25">
        <v>4</v>
      </c>
      <c r="L162" s="25">
        <v>2000</v>
      </c>
      <c r="M162" s="29">
        <v>0.05</v>
      </c>
      <c r="N162" s="25">
        <v>7600</v>
      </c>
      <c r="O162" s="25">
        <v>4411.22</v>
      </c>
      <c r="P162" s="25">
        <v>3188.78</v>
      </c>
      <c r="Q162" s="21">
        <v>41.96</v>
      </c>
      <c r="R162" s="11" t="s">
        <v>106</v>
      </c>
      <c r="S162" s="11" t="s">
        <v>74</v>
      </c>
      <c r="T162" s="11" t="s">
        <v>97</v>
      </c>
      <c r="U162" s="11" t="s">
        <v>87</v>
      </c>
      <c r="V162" s="11">
        <v>2024</v>
      </c>
      <c r="W162" s="11" t="s">
        <v>139</v>
      </c>
      <c r="X162" s="11">
        <v>1</v>
      </c>
      <c r="Y162" s="10">
        <v>45606</v>
      </c>
      <c r="Z162" s="11" t="s">
        <v>47</v>
      </c>
      <c r="AA162" s="11" t="s">
        <v>67</v>
      </c>
      <c r="AB162" s="11" t="s">
        <v>49</v>
      </c>
      <c r="AC162" s="11" t="s">
        <v>50</v>
      </c>
      <c r="AD162" s="11">
        <v>3</v>
      </c>
      <c r="AE162" s="11" t="s">
        <v>2220</v>
      </c>
      <c r="AF162" s="11" t="s">
        <v>2219</v>
      </c>
      <c r="AG162" s="25"/>
      <c r="AH162" s="11"/>
      <c r="AI162" s="11"/>
      <c r="AJ162" s="11"/>
      <c r="AK162" s="11"/>
      <c r="AL162" s="11"/>
      <c r="AM162" s="11" t="str">
        <f t="shared" si="14"/>
        <v>Good</v>
      </c>
      <c r="AN162" s="11" t="str" cm="1">
        <f t="array" ref="AN162">_xlfn.IFS(N162&lt;10000,"Low",N162&lt;30000,"Medium",N162&gt;=30000,"High")</f>
        <v>Low</v>
      </c>
      <c r="AO162" s="11" t="str">
        <f t="shared" si="15"/>
        <v>No</v>
      </c>
      <c r="AP162" s="11" t="str">
        <f t="shared" si="16"/>
        <v>Yes</v>
      </c>
      <c r="AQ162" s="11">
        <f t="shared" si="17"/>
        <v>0.41957631578947369</v>
      </c>
      <c r="AR162" s="33"/>
      <c r="AS162" s="33"/>
      <c r="AT162" s="33"/>
      <c r="AU162" s="33"/>
      <c r="AV162" s="33"/>
      <c r="AW162" s="33"/>
      <c r="AX162" s="33" t="str">
        <f t="shared" si="18"/>
        <v>Low</v>
      </c>
    </row>
    <row r="163" spans="1:50">
      <c r="A163" s="9" t="s">
        <v>1403</v>
      </c>
      <c r="B163" s="10">
        <v>45575</v>
      </c>
      <c r="C163" s="11" t="s">
        <v>272</v>
      </c>
      <c r="D163" s="11" t="s">
        <v>707</v>
      </c>
      <c r="E163" s="11" t="s">
        <v>35</v>
      </c>
      <c r="F163" s="11" t="s">
        <v>36</v>
      </c>
      <c r="G163" s="11" t="s">
        <v>37</v>
      </c>
      <c r="H163" s="11" t="s">
        <v>171</v>
      </c>
      <c r="I163" s="11" t="s">
        <v>84</v>
      </c>
      <c r="J163" s="11" t="s">
        <v>217</v>
      </c>
      <c r="K163" s="25">
        <v>9</v>
      </c>
      <c r="L163" s="25">
        <v>800</v>
      </c>
      <c r="M163" s="29">
        <v>0</v>
      </c>
      <c r="N163" s="25">
        <v>7200</v>
      </c>
      <c r="O163" s="25">
        <v>4190.53</v>
      </c>
      <c r="P163" s="25">
        <v>3009.47</v>
      </c>
      <c r="Q163" s="21">
        <v>41.8</v>
      </c>
      <c r="R163" s="11" t="s">
        <v>73</v>
      </c>
      <c r="S163" s="11" t="s">
        <v>42</v>
      </c>
      <c r="T163" s="11" t="s">
        <v>97</v>
      </c>
      <c r="U163" s="11" t="s">
        <v>87</v>
      </c>
      <c r="V163" s="11">
        <v>2024</v>
      </c>
      <c r="W163" s="11" t="s">
        <v>139</v>
      </c>
      <c r="X163" s="11">
        <v>4</v>
      </c>
      <c r="Y163" s="10" t="s">
        <v>298</v>
      </c>
      <c r="Z163" s="11" t="s">
        <v>47</v>
      </c>
      <c r="AA163" s="11" t="s">
        <v>67</v>
      </c>
      <c r="AB163" s="11" t="s">
        <v>78</v>
      </c>
      <c r="AC163" s="11" t="s">
        <v>50</v>
      </c>
      <c r="AD163" s="11">
        <v>2</v>
      </c>
      <c r="AE163" s="11" t="s">
        <v>2226</v>
      </c>
      <c r="AF163" s="11" t="s">
        <v>2210</v>
      </c>
      <c r="AG163" s="25"/>
      <c r="AH163" s="11"/>
      <c r="AI163" s="11"/>
      <c r="AJ163" s="11"/>
      <c r="AK163" s="11"/>
      <c r="AL163" s="11"/>
      <c r="AM163" s="11" t="str">
        <f t="shared" si="14"/>
        <v>Good</v>
      </c>
      <c r="AN163" s="11" t="str" cm="1">
        <f t="array" ref="AN163">_xlfn.IFS(N163&lt;10000,"Low",N163&lt;30000,"Medium",N163&gt;=30000,"High")</f>
        <v>Low</v>
      </c>
      <c r="AO163" s="11" t="str">
        <f t="shared" si="15"/>
        <v>No</v>
      </c>
      <c r="AP163" s="11" t="str">
        <f t="shared" si="16"/>
        <v>Yes</v>
      </c>
      <c r="AQ163" s="11">
        <f t="shared" si="17"/>
        <v>0.41798194444444442</v>
      </c>
      <c r="AR163" s="33"/>
      <c r="AS163" s="33"/>
      <c r="AT163" s="33"/>
      <c r="AU163" s="33"/>
      <c r="AV163" s="33"/>
      <c r="AW163" s="33"/>
      <c r="AX163" s="33" t="str">
        <f t="shared" si="18"/>
        <v>Low</v>
      </c>
    </row>
    <row r="164" spans="1:50">
      <c r="A164" s="9" t="s">
        <v>1831</v>
      </c>
      <c r="B164" s="10">
        <v>45576</v>
      </c>
      <c r="C164" s="11" t="s">
        <v>1441</v>
      </c>
      <c r="D164" s="11" t="s">
        <v>1832</v>
      </c>
      <c r="E164" s="11" t="s">
        <v>35</v>
      </c>
      <c r="F164" s="11" t="s">
        <v>116</v>
      </c>
      <c r="G164" s="11" t="s">
        <v>37</v>
      </c>
      <c r="H164" s="11" t="s">
        <v>58</v>
      </c>
      <c r="I164" s="11" t="s">
        <v>39</v>
      </c>
      <c r="J164" s="11" t="s">
        <v>165</v>
      </c>
      <c r="K164" s="25">
        <v>1</v>
      </c>
      <c r="L164" s="25">
        <v>12000</v>
      </c>
      <c r="M164" s="29">
        <v>0</v>
      </c>
      <c r="N164" s="25">
        <v>12000</v>
      </c>
      <c r="O164" s="25">
        <v>8358.6299999999992</v>
      </c>
      <c r="P164" s="25">
        <v>3641.37</v>
      </c>
      <c r="Q164" s="21">
        <v>30.34</v>
      </c>
      <c r="R164" s="11" t="s">
        <v>106</v>
      </c>
      <c r="S164" s="11" t="s">
        <v>62</v>
      </c>
      <c r="T164" s="11" t="s">
        <v>75</v>
      </c>
      <c r="U164" s="11" t="s">
        <v>198</v>
      </c>
      <c r="V164" s="11">
        <v>2024</v>
      </c>
      <c r="W164" s="11" t="s">
        <v>45</v>
      </c>
      <c r="X164" s="11">
        <v>10</v>
      </c>
      <c r="Y164" s="10" t="s">
        <v>509</v>
      </c>
      <c r="Z164" s="11" t="s">
        <v>89</v>
      </c>
      <c r="AA164" s="11" t="s">
        <v>90</v>
      </c>
      <c r="AB164" s="11" t="s">
        <v>78</v>
      </c>
      <c r="AC164" s="11" t="s">
        <v>121</v>
      </c>
      <c r="AD164" s="11">
        <v>4</v>
      </c>
      <c r="AE164" s="11" t="s">
        <v>2216</v>
      </c>
      <c r="AF164" s="11" t="s">
        <v>2214</v>
      </c>
      <c r="AG164" s="25"/>
      <c r="AH164" s="11"/>
      <c r="AI164" s="11"/>
      <c r="AJ164" s="11"/>
      <c r="AK164" s="11"/>
      <c r="AL164" s="11"/>
      <c r="AM164" s="11" t="str">
        <f t="shared" si="14"/>
        <v>Good</v>
      </c>
      <c r="AN164" s="11" t="str" cm="1">
        <f t="array" ref="AN164">_xlfn.IFS(N164&lt;10000,"Low",N164&lt;30000,"Medium",N164&gt;=30000,"High")</f>
        <v>Medium</v>
      </c>
      <c r="AO164" s="11" t="str">
        <f t="shared" si="15"/>
        <v>No</v>
      </c>
      <c r="AP164" s="11" t="str">
        <f t="shared" si="16"/>
        <v>No</v>
      </c>
      <c r="AQ164" s="11">
        <f t="shared" si="17"/>
        <v>0.30344749999999998</v>
      </c>
      <c r="AR164" s="33"/>
      <c r="AS164" s="33"/>
      <c r="AT164" s="33"/>
      <c r="AU164" s="33"/>
      <c r="AV164" s="33"/>
      <c r="AW164" s="33"/>
      <c r="AX164" s="33" t="str">
        <f t="shared" si="18"/>
        <v>Low</v>
      </c>
    </row>
    <row r="165" spans="1:50">
      <c r="A165" s="9" t="s">
        <v>1388</v>
      </c>
      <c r="B165" s="10">
        <v>45597</v>
      </c>
      <c r="C165" s="11" t="s">
        <v>873</v>
      </c>
      <c r="D165" s="11" t="s">
        <v>1353</v>
      </c>
      <c r="E165" s="11" t="s">
        <v>55</v>
      </c>
      <c r="F165" s="11" t="s">
        <v>156</v>
      </c>
      <c r="G165" s="11" t="s">
        <v>157</v>
      </c>
      <c r="H165" s="11" t="s">
        <v>38</v>
      </c>
      <c r="I165" s="11" t="s">
        <v>95</v>
      </c>
      <c r="J165" s="11" t="s">
        <v>440</v>
      </c>
      <c r="K165" s="25">
        <v>3</v>
      </c>
      <c r="L165" s="25">
        <v>2500</v>
      </c>
      <c r="M165" s="29">
        <v>0.1</v>
      </c>
      <c r="N165" s="25">
        <v>6750</v>
      </c>
      <c r="O165" s="25">
        <v>3767.21</v>
      </c>
      <c r="P165" s="25">
        <v>2982.79</v>
      </c>
      <c r="Q165" s="21">
        <v>44.19</v>
      </c>
      <c r="R165" s="11" t="s">
        <v>41</v>
      </c>
      <c r="S165" s="11" t="s">
        <v>62</v>
      </c>
      <c r="T165" s="11" t="s">
        <v>43</v>
      </c>
      <c r="U165" s="11" t="s">
        <v>76</v>
      </c>
      <c r="V165" s="11">
        <v>2024</v>
      </c>
      <c r="W165" s="11" t="s">
        <v>139</v>
      </c>
      <c r="X165" s="11">
        <v>2</v>
      </c>
      <c r="Y165" s="10" t="s">
        <v>697</v>
      </c>
      <c r="Z165" s="11" t="s">
        <v>47</v>
      </c>
      <c r="AA165" s="11" t="s">
        <v>90</v>
      </c>
      <c r="AB165" s="11" t="s">
        <v>49</v>
      </c>
      <c r="AC165" s="11" t="s">
        <v>121</v>
      </c>
      <c r="AD165" s="11">
        <v>3</v>
      </c>
      <c r="AE165" s="11" t="s">
        <v>2233</v>
      </c>
      <c r="AF165" s="11" t="s">
        <v>2228</v>
      </c>
      <c r="AG165" s="25"/>
      <c r="AH165" s="11"/>
      <c r="AI165" s="11"/>
      <c r="AJ165" s="11"/>
      <c r="AK165" s="11"/>
      <c r="AL165" s="11"/>
      <c r="AM165" s="11" t="str">
        <f t="shared" si="14"/>
        <v>Good</v>
      </c>
      <c r="AN165" s="11" t="str" cm="1">
        <f t="array" ref="AN165">_xlfn.IFS(N165&lt;10000,"Low",N165&lt;30000,"Medium",N165&gt;=30000,"High")</f>
        <v>Low</v>
      </c>
      <c r="AO165" s="11" t="str">
        <f t="shared" si="15"/>
        <v>No</v>
      </c>
      <c r="AP165" s="11" t="str">
        <f t="shared" si="16"/>
        <v>No</v>
      </c>
      <c r="AQ165" s="11">
        <f t="shared" si="17"/>
        <v>0.4418948148148148</v>
      </c>
      <c r="AR165" s="33"/>
      <c r="AS165" s="33"/>
      <c r="AT165" s="33"/>
      <c r="AU165" s="33"/>
      <c r="AV165" s="33"/>
      <c r="AW165" s="33"/>
      <c r="AX165" s="33" t="str">
        <f t="shared" si="18"/>
        <v>Low</v>
      </c>
    </row>
    <row r="166" spans="1:50">
      <c r="A166" s="9" t="s">
        <v>1421</v>
      </c>
      <c r="B166" s="10">
        <v>45597</v>
      </c>
      <c r="C166" s="11" t="s">
        <v>562</v>
      </c>
      <c r="D166" s="11" t="s">
        <v>582</v>
      </c>
      <c r="E166" s="11" t="s">
        <v>103</v>
      </c>
      <c r="F166" s="11" t="s">
        <v>156</v>
      </c>
      <c r="G166" s="11" t="s">
        <v>157</v>
      </c>
      <c r="H166" s="11" t="s">
        <v>94</v>
      </c>
      <c r="I166" s="11" t="s">
        <v>84</v>
      </c>
      <c r="J166" s="11" t="s">
        <v>290</v>
      </c>
      <c r="K166" s="25">
        <v>4</v>
      </c>
      <c r="L166" s="25">
        <v>500</v>
      </c>
      <c r="M166" s="29">
        <v>0</v>
      </c>
      <c r="N166" s="25">
        <v>2000</v>
      </c>
      <c r="O166" s="25">
        <v>1482.91</v>
      </c>
      <c r="P166" s="25">
        <v>517.09</v>
      </c>
      <c r="Q166" s="21">
        <v>25.85</v>
      </c>
      <c r="R166" s="11" t="s">
        <v>166</v>
      </c>
      <c r="S166" s="11" t="s">
        <v>62</v>
      </c>
      <c r="T166" s="11" t="s">
        <v>173</v>
      </c>
      <c r="U166" s="11" t="s">
        <v>76</v>
      </c>
      <c r="V166" s="11">
        <v>2024</v>
      </c>
      <c r="W166" s="11" t="s">
        <v>139</v>
      </c>
      <c r="X166" s="11">
        <v>5</v>
      </c>
      <c r="Y166" s="10" t="s">
        <v>367</v>
      </c>
      <c r="Z166" s="11" t="s">
        <v>47</v>
      </c>
      <c r="AA166" s="11" t="s">
        <v>90</v>
      </c>
      <c r="AB166" s="11" t="s">
        <v>111</v>
      </c>
      <c r="AC166" s="11" t="s">
        <v>121</v>
      </c>
      <c r="AD166" s="11">
        <v>4</v>
      </c>
      <c r="AE166" s="11" t="s">
        <v>2216</v>
      </c>
      <c r="AF166" s="11" t="s">
        <v>2235</v>
      </c>
      <c r="AG166" s="25"/>
      <c r="AH166" s="11"/>
      <c r="AI166" s="11"/>
      <c r="AJ166" s="11"/>
      <c r="AK166" s="11"/>
      <c r="AL166" s="11"/>
      <c r="AM166" s="11" t="str">
        <f t="shared" si="14"/>
        <v>Needs Improvement</v>
      </c>
      <c r="AN166" s="11" t="str" cm="1">
        <f t="array" ref="AN166">_xlfn.IFS(N166&lt;10000,"Low",N166&lt;30000,"Medium",N166&gt;=30000,"High")</f>
        <v>Low</v>
      </c>
      <c r="AO166" s="11" t="str">
        <f t="shared" si="15"/>
        <v>No</v>
      </c>
      <c r="AP166" s="11" t="str">
        <f t="shared" si="16"/>
        <v>No</v>
      </c>
      <c r="AQ166" s="11">
        <f t="shared" si="17"/>
        <v>0.25854500000000002</v>
      </c>
      <c r="AR166" s="33"/>
      <c r="AS166" s="33"/>
      <c r="AT166" s="33"/>
      <c r="AU166" s="33"/>
      <c r="AV166" s="33"/>
      <c r="AW166" s="33"/>
      <c r="AX166" s="33" t="str">
        <f t="shared" si="18"/>
        <v>Low</v>
      </c>
    </row>
    <row r="167" spans="1:50">
      <c r="A167" s="9" t="s">
        <v>1898</v>
      </c>
      <c r="B167" s="10">
        <v>45597</v>
      </c>
      <c r="C167" s="11" t="s">
        <v>1399</v>
      </c>
      <c r="D167" s="11" t="s">
        <v>1154</v>
      </c>
      <c r="E167" s="11" t="s">
        <v>55</v>
      </c>
      <c r="F167" s="11" t="s">
        <v>56</v>
      </c>
      <c r="G167" s="11" t="s">
        <v>57</v>
      </c>
      <c r="H167" s="11" t="s">
        <v>94</v>
      </c>
      <c r="I167" s="11" t="s">
        <v>39</v>
      </c>
      <c r="J167" s="11" t="s">
        <v>253</v>
      </c>
      <c r="K167" s="25">
        <v>6</v>
      </c>
      <c r="L167" s="25">
        <v>50000</v>
      </c>
      <c r="M167" s="29">
        <v>0.15</v>
      </c>
      <c r="N167" s="25">
        <v>255000</v>
      </c>
      <c r="O167" s="25">
        <v>163877.23000000001</v>
      </c>
      <c r="P167" s="25">
        <v>91122.77</v>
      </c>
      <c r="Q167" s="21">
        <v>35.729999999999997</v>
      </c>
      <c r="R167" s="11" t="s">
        <v>41</v>
      </c>
      <c r="S167" s="11" t="s">
        <v>42</v>
      </c>
      <c r="T167" s="11" t="s">
        <v>43</v>
      </c>
      <c r="U167" s="11" t="s">
        <v>76</v>
      </c>
      <c r="V167" s="11">
        <v>2024</v>
      </c>
      <c r="W167" s="11" t="s">
        <v>139</v>
      </c>
      <c r="X167" s="11">
        <v>10</v>
      </c>
      <c r="Y167" s="10" t="s">
        <v>1303</v>
      </c>
      <c r="Z167" s="11" t="s">
        <v>47</v>
      </c>
      <c r="AA167" s="11" t="s">
        <v>48</v>
      </c>
      <c r="AB167" s="11" t="s">
        <v>78</v>
      </c>
      <c r="AC167" s="11" t="s">
        <v>121</v>
      </c>
      <c r="AD167" s="11">
        <v>4</v>
      </c>
      <c r="AE167" s="11" t="s">
        <v>86</v>
      </c>
      <c r="AF167" s="11" t="s">
        <v>2228</v>
      </c>
      <c r="AG167" s="25"/>
      <c r="AH167" s="11"/>
      <c r="AI167" s="11"/>
      <c r="AJ167" s="11"/>
      <c r="AK167" s="11"/>
      <c r="AL167" s="11"/>
      <c r="AM167" s="11" t="str">
        <f t="shared" si="14"/>
        <v>Good</v>
      </c>
      <c r="AN167" s="11" t="str" cm="1">
        <f t="array" ref="AN167">_xlfn.IFS(N167&lt;10000,"Low",N167&lt;30000,"Medium",N167&gt;=30000,"High")</f>
        <v>High</v>
      </c>
      <c r="AO167" s="11" t="str">
        <f t="shared" si="15"/>
        <v>Yes</v>
      </c>
      <c r="AP167" s="11" t="str">
        <f t="shared" si="16"/>
        <v>Yes</v>
      </c>
      <c r="AQ167" s="11">
        <f t="shared" si="17"/>
        <v>0.35734419607843138</v>
      </c>
      <c r="AR167" s="33"/>
      <c r="AS167" s="33"/>
      <c r="AT167" s="33"/>
      <c r="AU167" s="33"/>
      <c r="AV167" s="33"/>
      <c r="AW167" s="33"/>
      <c r="AX167" s="33" t="str">
        <f t="shared" si="18"/>
        <v>Excellent</v>
      </c>
    </row>
    <row r="168" spans="1:50">
      <c r="A168" s="9" t="s">
        <v>1604</v>
      </c>
      <c r="B168" s="10">
        <v>45598</v>
      </c>
      <c r="C168" s="11" t="s">
        <v>204</v>
      </c>
      <c r="D168" s="11" t="s">
        <v>1282</v>
      </c>
      <c r="E168" s="11" t="s">
        <v>55</v>
      </c>
      <c r="F168" s="11" t="s">
        <v>56</v>
      </c>
      <c r="G168" s="11" t="s">
        <v>57</v>
      </c>
      <c r="H168" s="11" t="s">
        <v>58</v>
      </c>
      <c r="I168" s="11" t="s">
        <v>84</v>
      </c>
      <c r="J168" s="11" t="s">
        <v>390</v>
      </c>
      <c r="K168" s="25">
        <v>5</v>
      </c>
      <c r="L168" s="25">
        <v>100</v>
      </c>
      <c r="M168" s="29">
        <v>0.15</v>
      </c>
      <c r="N168" s="25">
        <v>425</v>
      </c>
      <c r="O168" s="25">
        <v>328.47</v>
      </c>
      <c r="P168" s="25">
        <v>96.53</v>
      </c>
      <c r="Q168" s="21">
        <v>22.71</v>
      </c>
      <c r="R168" s="11" t="s">
        <v>166</v>
      </c>
      <c r="S168" s="11" t="s">
        <v>62</v>
      </c>
      <c r="T168" s="11" t="s">
        <v>43</v>
      </c>
      <c r="U168" s="11" t="s">
        <v>98</v>
      </c>
      <c r="V168" s="11">
        <v>2024</v>
      </c>
      <c r="W168" s="11" t="s">
        <v>45</v>
      </c>
      <c r="X168" s="11">
        <v>4</v>
      </c>
      <c r="Y168" s="10" t="s">
        <v>1605</v>
      </c>
      <c r="Z168" s="11" t="s">
        <v>47</v>
      </c>
      <c r="AA168" s="11" t="s">
        <v>90</v>
      </c>
      <c r="AB168" s="11" t="s">
        <v>78</v>
      </c>
      <c r="AC168" s="11" t="s">
        <v>121</v>
      </c>
      <c r="AD168" s="11">
        <v>3</v>
      </c>
      <c r="AE168" s="11" t="s">
        <v>2226</v>
      </c>
      <c r="AF168" s="11" t="s">
        <v>2219</v>
      </c>
      <c r="AG168" s="25"/>
      <c r="AH168" s="11"/>
      <c r="AI168" s="11"/>
      <c r="AJ168" s="11"/>
      <c r="AK168" s="11"/>
      <c r="AL168" s="11"/>
      <c r="AM168" s="11" t="str">
        <f t="shared" si="14"/>
        <v>Needs Improvement</v>
      </c>
      <c r="AN168" s="11" t="str" cm="1">
        <f t="array" ref="AN168">_xlfn.IFS(N168&lt;10000,"Low",N168&lt;30000,"Medium",N168&gt;=30000,"High")</f>
        <v>Low</v>
      </c>
      <c r="AO168" s="11" t="str">
        <f t="shared" si="15"/>
        <v>No</v>
      </c>
      <c r="AP168" s="11" t="str">
        <f t="shared" si="16"/>
        <v>No</v>
      </c>
      <c r="AQ168" s="11">
        <f t="shared" si="17"/>
        <v>0.22712941176470589</v>
      </c>
      <c r="AR168" s="33"/>
      <c r="AS168" s="33"/>
      <c r="AT168" s="33"/>
      <c r="AU168" s="33"/>
      <c r="AV168" s="33"/>
      <c r="AW168" s="33"/>
      <c r="AX168" s="33" t="str">
        <f t="shared" si="18"/>
        <v>Low</v>
      </c>
    </row>
    <row r="169" spans="1:50">
      <c r="A169" s="9" t="s">
        <v>2020</v>
      </c>
      <c r="B169" s="10">
        <v>45598</v>
      </c>
      <c r="C169" s="11" t="s">
        <v>363</v>
      </c>
      <c r="D169" s="11" t="s">
        <v>931</v>
      </c>
      <c r="E169" s="11" t="s">
        <v>103</v>
      </c>
      <c r="F169" s="11" t="s">
        <v>245</v>
      </c>
      <c r="G169" s="11" t="s">
        <v>246</v>
      </c>
      <c r="H169" s="11" t="s">
        <v>94</v>
      </c>
      <c r="I169" s="11" t="s">
        <v>59</v>
      </c>
      <c r="J169" s="11" t="s">
        <v>206</v>
      </c>
      <c r="K169" s="25">
        <v>9</v>
      </c>
      <c r="L169" s="25">
        <v>1200</v>
      </c>
      <c r="M169" s="29">
        <v>0.1</v>
      </c>
      <c r="N169" s="25">
        <v>9720</v>
      </c>
      <c r="O169" s="25">
        <v>6143.83</v>
      </c>
      <c r="P169" s="25">
        <v>3576.17</v>
      </c>
      <c r="Q169" s="21">
        <v>36.79</v>
      </c>
      <c r="R169" s="11" t="s">
        <v>73</v>
      </c>
      <c r="S169" s="11" t="s">
        <v>62</v>
      </c>
      <c r="T169" s="11" t="s">
        <v>159</v>
      </c>
      <c r="U169" s="11" t="s">
        <v>98</v>
      </c>
      <c r="V169" s="11">
        <v>2024</v>
      </c>
      <c r="W169" s="11" t="s">
        <v>45</v>
      </c>
      <c r="X169" s="11">
        <v>2</v>
      </c>
      <c r="Y169" s="10" t="s">
        <v>1356</v>
      </c>
      <c r="Z169" s="11" t="s">
        <v>47</v>
      </c>
      <c r="AA169" s="11" t="s">
        <v>90</v>
      </c>
      <c r="AB169" s="11" t="s">
        <v>78</v>
      </c>
      <c r="AC169" s="11" t="s">
        <v>121</v>
      </c>
      <c r="AD169" s="11">
        <v>4</v>
      </c>
      <c r="AE169" s="11" t="s">
        <v>2232</v>
      </c>
      <c r="AF169" s="11" t="s">
        <v>2238</v>
      </c>
      <c r="AG169" s="25"/>
      <c r="AH169" s="11"/>
      <c r="AI169" s="11"/>
      <c r="AJ169" s="11"/>
      <c r="AK169" s="11"/>
      <c r="AL169" s="11"/>
      <c r="AM169" s="11" t="str">
        <f t="shared" si="14"/>
        <v>Good</v>
      </c>
      <c r="AN169" s="11" t="str" cm="1">
        <f t="array" ref="AN169">_xlfn.IFS(N169&lt;10000,"Low",N169&lt;30000,"Medium",N169&gt;=30000,"High")</f>
        <v>Low</v>
      </c>
      <c r="AO169" s="11" t="str">
        <f t="shared" si="15"/>
        <v>No</v>
      </c>
      <c r="AP169" s="11" t="str">
        <f t="shared" si="16"/>
        <v>No</v>
      </c>
      <c r="AQ169" s="11">
        <f t="shared" si="17"/>
        <v>0.36791872427983541</v>
      </c>
      <c r="AR169" s="33"/>
      <c r="AS169" s="33"/>
      <c r="AT169" s="33"/>
      <c r="AU169" s="33"/>
      <c r="AV169" s="33"/>
      <c r="AW169" s="33"/>
      <c r="AX169" s="33" t="str">
        <f t="shared" si="18"/>
        <v>Low</v>
      </c>
    </row>
    <row r="170" spans="1:50">
      <c r="A170" s="9" t="s">
        <v>175</v>
      </c>
      <c r="B170" s="10">
        <v>45599</v>
      </c>
      <c r="C170" s="11" t="s">
        <v>176</v>
      </c>
      <c r="D170" s="11" t="s">
        <v>177</v>
      </c>
      <c r="E170" s="11" t="s">
        <v>55</v>
      </c>
      <c r="F170" s="11" t="s">
        <v>131</v>
      </c>
      <c r="G170" s="11" t="s">
        <v>132</v>
      </c>
      <c r="H170" s="11" t="s">
        <v>58</v>
      </c>
      <c r="I170" s="11" t="s">
        <v>95</v>
      </c>
      <c r="J170" s="11" t="s">
        <v>96</v>
      </c>
      <c r="K170" s="25">
        <v>5</v>
      </c>
      <c r="L170" s="25">
        <v>4000</v>
      </c>
      <c r="M170" s="29">
        <v>0.1</v>
      </c>
      <c r="N170" s="25">
        <v>18000</v>
      </c>
      <c r="O170" s="25">
        <v>11285.04</v>
      </c>
      <c r="P170" s="25">
        <v>6714.96</v>
      </c>
      <c r="Q170" s="21">
        <v>37.31</v>
      </c>
      <c r="R170" s="11" t="s">
        <v>41</v>
      </c>
      <c r="S170" s="11" t="s">
        <v>62</v>
      </c>
      <c r="T170" s="11" t="s">
        <v>173</v>
      </c>
      <c r="U170" s="11" t="s">
        <v>178</v>
      </c>
      <c r="V170" s="11">
        <v>2024</v>
      </c>
      <c r="W170" s="11" t="s">
        <v>126</v>
      </c>
      <c r="X170" s="11">
        <v>4</v>
      </c>
      <c r="Y170" s="10" t="s">
        <v>179</v>
      </c>
      <c r="Z170" s="11" t="s">
        <v>47</v>
      </c>
      <c r="AA170" s="11" t="s">
        <v>90</v>
      </c>
      <c r="AB170" s="11" t="s">
        <v>78</v>
      </c>
      <c r="AC170" s="11" t="s">
        <v>121</v>
      </c>
      <c r="AD170" s="11">
        <v>1</v>
      </c>
      <c r="AE170" s="11" t="s">
        <v>2240</v>
      </c>
      <c r="AF170" s="11" t="s">
        <v>2214</v>
      </c>
      <c r="AG170" s="25"/>
      <c r="AH170" s="11"/>
      <c r="AI170" s="11"/>
      <c r="AJ170" s="11"/>
      <c r="AK170" s="11"/>
      <c r="AL170" s="11"/>
      <c r="AM170" s="11" t="str">
        <f t="shared" si="14"/>
        <v>Good</v>
      </c>
      <c r="AN170" s="11" t="str" cm="1">
        <f t="array" ref="AN170">_xlfn.IFS(N170&lt;10000,"Low",N170&lt;30000,"Medium",N170&gt;=30000,"High")</f>
        <v>Medium</v>
      </c>
      <c r="AO170" s="11" t="str">
        <f t="shared" si="15"/>
        <v>No</v>
      </c>
      <c r="AP170" s="11" t="str">
        <f t="shared" si="16"/>
        <v>No</v>
      </c>
      <c r="AQ170" s="11">
        <f t="shared" si="17"/>
        <v>0.37305333333333335</v>
      </c>
      <c r="AR170" s="33"/>
      <c r="AS170" s="33"/>
      <c r="AT170" s="33"/>
      <c r="AU170" s="33"/>
      <c r="AV170" s="33"/>
      <c r="AW170" s="33"/>
      <c r="AX170" s="33" t="str">
        <f t="shared" si="18"/>
        <v>Average</v>
      </c>
    </row>
    <row r="171" spans="1:50">
      <c r="A171" s="9" t="s">
        <v>2173</v>
      </c>
      <c r="B171" s="10">
        <v>45600</v>
      </c>
      <c r="C171" s="11" t="s">
        <v>974</v>
      </c>
      <c r="D171" s="11" t="s">
        <v>725</v>
      </c>
      <c r="E171" s="11" t="s">
        <v>103</v>
      </c>
      <c r="F171" s="11" t="s">
        <v>131</v>
      </c>
      <c r="G171" s="11" t="s">
        <v>132</v>
      </c>
      <c r="H171" s="11" t="s">
        <v>94</v>
      </c>
      <c r="I171" s="11" t="s">
        <v>39</v>
      </c>
      <c r="J171" s="11" t="s">
        <v>105</v>
      </c>
      <c r="K171" s="25">
        <v>4</v>
      </c>
      <c r="L171" s="25">
        <v>22000</v>
      </c>
      <c r="M171" s="29">
        <v>0.05</v>
      </c>
      <c r="N171" s="25">
        <v>83600</v>
      </c>
      <c r="O171" s="25">
        <v>47504.18</v>
      </c>
      <c r="P171" s="25">
        <v>36095.82</v>
      </c>
      <c r="Q171" s="21">
        <v>43.18</v>
      </c>
      <c r="R171" s="11" t="s">
        <v>106</v>
      </c>
      <c r="S171" s="11" t="s">
        <v>42</v>
      </c>
      <c r="T171" s="11" t="s">
        <v>97</v>
      </c>
      <c r="U171" s="11" t="s">
        <v>44</v>
      </c>
      <c r="V171" s="11">
        <v>2024</v>
      </c>
      <c r="W171" s="11" t="s">
        <v>139</v>
      </c>
      <c r="X171" s="11">
        <v>10</v>
      </c>
      <c r="Y171" s="10" t="s">
        <v>200</v>
      </c>
      <c r="Z171" s="11" t="s">
        <v>47</v>
      </c>
      <c r="AA171" s="11" t="s">
        <v>48</v>
      </c>
      <c r="AB171" s="11" t="s">
        <v>49</v>
      </c>
      <c r="AC171" s="11" t="s">
        <v>50</v>
      </c>
      <c r="AD171" s="11">
        <v>1</v>
      </c>
      <c r="AE171" s="11" t="s">
        <v>2209</v>
      </c>
      <c r="AF171" s="11" t="s">
        <v>2210</v>
      </c>
      <c r="AG171" s="25"/>
      <c r="AH171" s="11"/>
      <c r="AI171" s="11"/>
      <c r="AJ171" s="11"/>
      <c r="AK171" s="11"/>
      <c r="AL171" s="11"/>
      <c r="AM171" s="11" t="str">
        <f t="shared" si="14"/>
        <v>Good</v>
      </c>
      <c r="AN171" s="11" t="str" cm="1">
        <f t="array" ref="AN171">_xlfn.IFS(N171&lt;10000,"Low",N171&lt;30000,"Medium",N171&gt;=30000,"High")</f>
        <v>High</v>
      </c>
      <c r="AO171" s="11" t="str">
        <f t="shared" si="15"/>
        <v>Yes</v>
      </c>
      <c r="AP171" s="11" t="str">
        <f t="shared" si="16"/>
        <v>Yes</v>
      </c>
      <c r="AQ171" s="11">
        <f t="shared" si="17"/>
        <v>0.43176818181818183</v>
      </c>
      <c r="AR171" s="33"/>
      <c r="AS171" s="33"/>
      <c r="AT171" s="33"/>
      <c r="AU171" s="33"/>
      <c r="AV171" s="33"/>
      <c r="AW171" s="33"/>
      <c r="AX171" s="33" t="str">
        <f t="shared" si="18"/>
        <v>Excellent</v>
      </c>
    </row>
    <row r="172" spans="1:50">
      <c r="A172" s="9" t="s">
        <v>2018</v>
      </c>
      <c r="B172" s="10">
        <v>45601</v>
      </c>
      <c r="C172" s="11" t="s">
        <v>196</v>
      </c>
      <c r="D172" s="11" t="s">
        <v>707</v>
      </c>
      <c r="E172" s="11" t="s">
        <v>35</v>
      </c>
      <c r="F172" s="11" t="s">
        <v>156</v>
      </c>
      <c r="G172" s="11" t="s">
        <v>157</v>
      </c>
      <c r="H172" s="11" t="s">
        <v>171</v>
      </c>
      <c r="I172" s="11" t="s">
        <v>71</v>
      </c>
      <c r="J172" s="11" t="s">
        <v>72</v>
      </c>
      <c r="K172" s="25">
        <v>9</v>
      </c>
      <c r="L172" s="25">
        <v>700</v>
      </c>
      <c r="M172" s="29">
        <v>0</v>
      </c>
      <c r="N172" s="25">
        <v>6300</v>
      </c>
      <c r="O172" s="25">
        <v>5061.9799999999996</v>
      </c>
      <c r="P172" s="25">
        <v>1238.02</v>
      </c>
      <c r="Q172" s="21">
        <v>19.649999999999999</v>
      </c>
      <c r="R172" s="11" t="s">
        <v>166</v>
      </c>
      <c r="S172" s="11" t="s">
        <v>62</v>
      </c>
      <c r="T172" s="11" t="s">
        <v>63</v>
      </c>
      <c r="U172" s="11" t="s">
        <v>119</v>
      </c>
      <c r="V172" s="11">
        <v>2024</v>
      </c>
      <c r="W172" s="11" t="s">
        <v>65</v>
      </c>
      <c r="X172" s="11">
        <v>7</v>
      </c>
      <c r="Y172" s="10" t="s">
        <v>365</v>
      </c>
      <c r="Z172" s="11" t="s">
        <v>47</v>
      </c>
      <c r="AA172" s="11" t="s">
        <v>90</v>
      </c>
      <c r="AB172" s="11" t="s">
        <v>49</v>
      </c>
      <c r="AC172" s="11" t="s">
        <v>50</v>
      </c>
      <c r="AD172" s="11">
        <v>2</v>
      </c>
      <c r="AE172" s="11" t="s">
        <v>2226</v>
      </c>
      <c r="AF172" s="11" t="s">
        <v>2210</v>
      </c>
      <c r="AG172" s="25"/>
      <c r="AH172" s="11"/>
      <c r="AI172" s="11"/>
      <c r="AJ172" s="11"/>
      <c r="AK172" s="11"/>
      <c r="AL172" s="11"/>
      <c r="AM172" s="11" t="str">
        <f t="shared" si="14"/>
        <v>Needs Improvement</v>
      </c>
      <c r="AN172" s="11" t="str" cm="1">
        <f t="array" ref="AN172">_xlfn.IFS(N172&lt;10000,"Low",N172&lt;30000,"Medium",N172&gt;=30000,"High")</f>
        <v>Low</v>
      </c>
      <c r="AO172" s="11" t="str">
        <f t="shared" si="15"/>
        <v>No</v>
      </c>
      <c r="AP172" s="11" t="str">
        <f t="shared" si="16"/>
        <v>No</v>
      </c>
      <c r="AQ172" s="11">
        <f t="shared" si="17"/>
        <v>0.19651111111111111</v>
      </c>
      <c r="AR172" s="33"/>
      <c r="AS172" s="33"/>
      <c r="AT172" s="33"/>
      <c r="AU172" s="33"/>
      <c r="AV172" s="33"/>
      <c r="AW172" s="33"/>
      <c r="AX172" s="33" t="str">
        <f t="shared" si="18"/>
        <v>Low</v>
      </c>
    </row>
    <row r="173" spans="1:50">
      <c r="A173" s="9" t="s">
        <v>740</v>
      </c>
      <c r="B173" s="10">
        <v>45603</v>
      </c>
      <c r="C173" s="11" t="s">
        <v>296</v>
      </c>
      <c r="D173" s="11" t="s">
        <v>183</v>
      </c>
      <c r="E173" s="11" t="s">
        <v>35</v>
      </c>
      <c r="F173" s="11" t="s">
        <v>104</v>
      </c>
      <c r="G173" s="11" t="s">
        <v>104</v>
      </c>
      <c r="H173" s="11" t="s">
        <v>38</v>
      </c>
      <c r="I173" s="11" t="s">
        <v>84</v>
      </c>
      <c r="J173" s="11" t="s">
        <v>217</v>
      </c>
      <c r="K173" s="25">
        <v>10</v>
      </c>
      <c r="L173" s="25">
        <v>200</v>
      </c>
      <c r="M173" s="29">
        <v>0.2</v>
      </c>
      <c r="N173" s="25">
        <v>1600</v>
      </c>
      <c r="O173" s="25">
        <v>1013.51</v>
      </c>
      <c r="P173" s="25">
        <v>586.49</v>
      </c>
      <c r="Q173" s="21">
        <v>36.659999999999997</v>
      </c>
      <c r="R173" s="11" t="s">
        <v>41</v>
      </c>
      <c r="S173" s="11" t="s">
        <v>74</v>
      </c>
      <c r="T173" s="11" t="s">
        <v>43</v>
      </c>
      <c r="U173" s="11" t="s">
        <v>151</v>
      </c>
      <c r="V173" s="11">
        <v>2024</v>
      </c>
      <c r="W173" s="11" t="s">
        <v>139</v>
      </c>
      <c r="X173" s="11">
        <v>8</v>
      </c>
      <c r="Y173" s="10" t="s">
        <v>741</v>
      </c>
      <c r="Z173" s="11" t="s">
        <v>89</v>
      </c>
      <c r="AA173" s="11" t="s">
        <v>48</v>
      </c>
      <c r="AB173" s="11" t="s">
        <v>78</v>
      </c>
      <c r="AC173" s="11" t="s">
        <v>121</v>
      </c>
      <c r="AD173" s="11">
        <v>3</v>
      </c>
      <c r="AE173" s="11" t="s">
        <v>2226</v>
      </c>
      <c r="AF173" s="11" t="s">
        <v>2224</v>
      </c>
      <c r="AG173" s="25"/>
      <c r="AH173" s="11"/>
      <c r="AI173" s="11"/>
      <c r="AJ173" s="11"/>
      <c r="AK173" s="11"/>
      <c r="AL173" s="11"/>
      <c r="AM173" s="11" t="str">
        <f t="shared" si="14"/>
        <v>Good</v>
      </c>
      <c r="AN173" s="11" t="str" cm="1">
        <f t="array" ref="AN173">_xlfn.IFS(N173&lt;10000,"Low",N173&lt;30000,"Medium",N173&gt;=30000,"High")</f>
        <v>Low</v>
      </c>
      <c r="AO173" s="11" t="str">
        <f t="shared" si="15"/>
        <v>No</v>
      </c>
      <c r="AP173" s="11" t="str">
        <f t="shared" si="16"/>
        <v>Yes</v>
      </c>
      <c r="AQ173" s="11">
        <f t="shared" si="17"/>
        <v>0.36655625000000003</v>
      </c>
      <c r="AR173" s="33"/>
      <c r="AS173" s="33"/>
      <c r="AT173" s="33"/>
      <c r="AU173" s="33"/>
      <c r="AV173" s="33"/>
      <c r="AW173" s="33"/>
      <c r="AX173" s="33" t="str">
        <f t="shared" si="18"/>
        <v>Low</v>
      </c>
    </row>
    <row r="174" spans="1:50">
      <c r="A174" s="9" t="s">
        <v>1590</v>
      </c>
      <c r="B174" s="10">
        <v>45603</v>
      </c>
      <c r="C174" s="11" t="s">
        <v>1482</v>
      </c>
      <c r="D174" s="11" t="s">
        <v>699</v>
      </c>
      <c r="E174" s="11" t="s">
        <v>55</v>
      </c>
      <c r="F174" s="11" t="s">
        <v>104</v>
      </c>
      <c r="G174" s="11" t="s">
        <v>104</v>
      </c>
      <c r="H174" s="11" t="s">
        <v>171</v>
      </c>
      <c r="I174" s="11" t="s">
        <v>95</v>
      </c>
      <c r="J174" s="11" t="s">
        <v>344</v>
      </c>
      <c r="K174" s="25">
        <v>4</v>
      </c>
      <c r="L174" s="25">
        <v>9000</v>
      </c>
      <c r="M174" s="29">
        <v>0.15</v>
      </c>
      <c r="N174" s="25">
        <v>30600</v>
      </c>
      <c r="O174" s="25">
        <v>19642.8</v>
      </c>
      <c r="P174" s="25">
        <v>10957.2</v>
      </c>
      <c r="Q174" s="21">
        <v>35.81</v>
      </c>
      <c r="R174" s="11" t="s">
        <v>166</v>
      </c>
      <c r="S174" s="11" t="s">
        <v>42</v>
      </c>
      <c r="T174" s="11" t="s">
        <v>118</v>
      </c>
      <c r="U174" s="11" t="s">
        <v>151</v>
      </c>
      <c r="V174" s="11">
        <v>2024</v>
      </c>
      <c r="W174" s="11" t="s">
        <v>139</v>
      </c>
      <c r="X174" s="11">
        <v>8</v>
      </c>
      <c r="Y174" s="10" t="s">
        <v>741</v>
      </c>
      <c r="Z174" s="11" t="s">
        <v>47</v>
      </c>
      <c r="AA174" s="11" t="s">
        <v>48</v>
      </c>
      <c r="AB174" s="11" t="s">
        <v>49</v>
      </c>
      <c r="AC174" s="11" t="s">
        <v>121</v>
      </c>
      <c r="AD174" s="11">
        <v>2</v>
      </c>
      <c r="AE174" s="11" t="s">
        <v>2227</v>
      </c>
      <c r="AF174" s="11" t="s">
        <v>2210</v>
      </c>
      <c r="AG174" s="25"/>
      <c r="AH174" s="11"/>
      <c r="AI174" s="11"/>
      <c r="AJ174" s="11"/>
      <c r="AK174" s="11"/>
      <c r="AL174" s="11"/>
      <c r="AM174" s="11" t="str">
        <f t="shared" si="14"/>
        <v>Good</v>
      </c>
      <c r="AN174" s="11" t="str" cm="1">
        <f t="array" ref="AN174">_xlfn.IFS(N174&lt;10000,"Low",N174&lt;30000,"Medium",N174&gt;=30000,"High")</f>
        <v>High</v>
      </c>
      <c r="AO174" s="11" t="str">
        <f t="shared" si="15"/>
        <v>Yes</v>
      </c>
      <c r="AP174" s="11" t="str">
        <f t="shared" si="16"/>
        <v>Yes</v>
      </c>
      <c r="AQ174" s="11">
        <f t="shared" si="17"/>
        <v>0.35807843137254902</v>
      </c>
      <c r="AR174" s="33"/>
      <c r="AS174" s="33"/>
      <c r="AT174" s="33"/>
      <c r="AU174" s="33"/>
      <c r="AV174" s="33"/>
      <c r="AW174" s="33"/>
      <c r="AX174" s="33" t="str">
        <f t="shared" si="18"/>
        <v>Good</v>
      </c>
    </row>
    <row r="175" spans="1:50">
      <c r="A175" s="9" t="s">
        <v>1722</v>
      </c>
      <c r="B175" s="10">
        <v>45603</v>
      </c>
      <c r="C175" s="11" t="s">
        <v>1570</v>
      </c>
      <c r="D175" s="11" t="s">
        <v>379</v>
      </c>
      <c r="E175" s="11" t="s">
        <v>103</v>
      </c>
      <c r="F175" s="11" t="s">
        <v>144</v>
      </c>
      <c r="G175" s="11" t="s">
        <v>145</v>
      </c>
      <c r="H175" s="11" t="s">
        <v>38</v>
      </c>
      <c r="I175" s="11" t="s">
        <v>71</v>
      </c>
      <c r="J175" s="11" t="s">
        <v>72</v>
      </c>
      <c r="K175" s="25">
        <v>4</v>
      </c>
      <c r="L175" s="25">
        <v>1200</v>
      </c>
      <c r="M175" s="29">
        <v>0.15</v>
      </c>
      <c r="N175" s="25">
        <v>4080</v>
      </c>
      <c r="O175" s="25">
        <v>2576.61</v>
      </c>
      <c r="P175" s="25">
        <v>1503.39</v>
      </c>
      <c r="Q175" s="21">
        <v>36.85</v>
      </c>
      <c r="R175" s="11" t="s">
        <v>166</v>
      </c>
      <c r="S175" s="11" t="s">
        <v>74</v>
      </c>
      <c r="T175" s="11" t="s">
        <v>159</v>
      </c>
      <c r="U175" s="11" t="s">
        <v>151</v>
      </c>
      <c r="V175" s="11">
        <v>2024</v>
      </c>
      <c r="W175" s="11" t="s">
        <v>139</v>
      </c>
      <c r="X175" s="11">
        <v>1</v>
      </c>
      <c r="Y175" s="10">
        <v>45633</v>
      </c>
      <c r="Z175" s="11" t="s">
        <v>47</v>
      </c>
      <c r="AA175" s="11" t="s">
        <v>67</v>
      </c>
      <c r="AB175" s="11" t="s">
        <v>78</v>
      </c>
      <c r="AC175" s="11" t="s">
        <v>50</v>
      </c>
      <c r="AD175" s="11">
        <v>1</v>
      </c>
      <c r="AE175" s="11" t="s">
        <v>2216</v>
      </c>
      <c r="AF175" s="11" t="s">
        <v>2223</v>
      </c>
      <c r="AG175" s="25"/>
      <c r="AH175" s="11"/>
      <c r="AI175" s="11"/>
      <c r="AJ175" s="11"/>
      <c r="AK175" s="11"/>
      <c r="AL175" s="11"/>
      <c r="AM175" s="11" t="str">
        <f t="shared" si="14"/>
        <v>Good</v>
      </c>
      <c r="AN175" s="11" t="str" cm="1">
        <f t="array" ref="AN175">_xlfn.IFS(N175&lt;10000,"Low",N175&lt;30000,"Medium",N175&gt;=30000,"High")</f>
        <v>Low</v>
      </c>
      <c r="AO175" s="11" t="str">
        <f t="shared" si="15"/>
        <v>No</v>
      </c>
      <c r="AP175" s="11" t="str">
        <f t="shared" si="16"/>
        <v>Yes</v>
      </c>
      <c r="AQ175" s="11">
        <f t="shared" si="17"/>
        <v>0.36847794117647059</v>
      </c>
      <c r="AR175" s="33"/>
      <c r="AS175" s="33"/>
      <c r="AT175" s="33"/>
      <c r="AU175" s="33"/>
      <c r="AV175" s="33"/>
      <c r="AW175" s="33"/>
      <c r="AX175" s="33" t="str">
        <f t="shared" si="18"/>
        <v>Low</v>
      </c>
    </row>
    <row r="176" spans="1:50">
      <c r="A176" s="9" t="s">
        <v>2019</v>
      </c>
      <c r="B176" s="10">
        <v>45604</v>
      </c>
      <c r="C176" s="11" t="s">
        <v>210</v>
      </c>
      <c r="D176" s="11" t="s">
        <v>699</v>
      </c>
      <c r="E176" s="11" t="s">
        <v>35</v>
      </c>
      <c r="F176" s="11" t="s">
        <v>56</v>
      </c>
      <c r="G176" s="11" t="s">
        <v>57</v>
      </c>
      <c r="H176" s="11" t="s">
        <v>94</v>
      </c>
      <c r="I176" s="11" t="s">
        <v>39</v>
      </c>
      <c r="J176" s="11" t="s">
        <v>40</v>
      </c>
      <c r="K176" s="25">
        <v>4</v>
      </c>
      <c r="L176" s="25">
        <v>8000</v>
      </c>
      <c r="M176" s="29">
        <v>0.05</v>
      </c>
      <c r="N176" s="25">
        <v>30400</v>
      </c>
      <c r="O176" s="25">
        <v>19640.37</v>
      </c>
      <c r="P176" s="25">
        <v>10759.63</v>
      </c>
      <c r="Q176" s="21">
        <v>35.39</v>
      </c>
      <c r="R176" s="11" t="s">
        <v>41</v>
      </c>
      <c r="S176" s="11" t="s">
        <v>74</v>
      </c>
      <c r="T176" s="11" t="s">
        <v>138</v>
      </c>
      <c r="U176" s="11" t="s">
        <v>218</v>
      </c>
      <c r="V176" s="11">
        <v>2024</v>
      </c>
      <c r="W176" s="11" t="s">
        <v>45</v>
      </c>
      <c r="X176" s="11">
        <v>5</v>
      </c>
      <c r="Y176" s="10" t="s">
        <v>564</v>
      </c>
      <c r="Z176" s="11" t="s">
        <v>47</v>
      </c>
      <c r="AA176" s="11" t="s">
        <v>48</v>
      </c>
      <c r="AB176" s="11" t="s">
        <v>78</v>
      </c>
      <c r="AC176" s="11" t="s">
        <v>50</v>
      </c>
      <c r="AD176" s="11">
        <v>5</v>
      </c>
      <c r="AE176" s="11" t="s">
        <v>2227</v>
      </c>
      <c r="AF176" s="11" t="s">
        <v>2210</v>
      </c>
      <c r="AG176" s="25"/>
      <c r="AH176" s="11"/>
      <c r="AI176" s="11"/>
      <c r="AJ176" s="11"/>
      <c r="AK176" s="11"/>
      <c r="AL176" s="11"/>
      <c r="AM176" s="11" t="str">
        <f t="shared" si="14"/>
        <v>Good</v>
      </c>
      <c r="AN176" s="11" t="str" cm="1">
        <f t="array" ref="AN176">_xlfn.IFS(N176&lt;10000,"Low",N176&lt;30000,"Medium",N176&gt;=30000,"High")</f>
        <v>High</v>
      </c>
      <c r="AO176" s="11" t="str">
        <f t="shared" si="15"/>
        <v>Yes</v>
      </c>
      <c r="AP176" s="11" t="str">
        <f t="shared" si="16"/>
        <v>Yes</v>
      </c>
      <c r="AQ176" s="11">
        <f t="shared" si="17"/>
        <v>0.35393519736842105</v>
      </c>
      <c r="AR176" s="33"/>
      <c r="AS176" s="33"/>
      <c r="AT176" s="33"/>
      <c r="AU176" s="33"/>
      <c r="AV176" s="33"/>
      <c r="AW176" s="33"/>
      <c r="AX176" s="33" t="str">
        <f t="shared" si="18"/>
        <v>Good</v>
      </c>
    </row>
    <row r="177" spans="1:50">
      <c r="A177" s="9" t="s">
        <v>686</v>
      </c>
      <c r="B177" s="10">
        <v>45605</v>
      </c>
      <c r="C177" s="11" t="s">
        <v>687</v>
      </c>
      <c r="D177" s="11" t="s">
        <v>688</v>
      </c>
      <c r="E177" s="11" t="s">
        <v>103</v>
      </c>
      <c r="F177" s="11" t="s">
        <v>156</v>
      </c>
      <c r="G177" s="11" t="s">
        <v>157</v>
      </c>
      <c r="H177" s="11" t="s">
        <v>58</v>
      </c>
      <c r="I177" s="11" t="s">
        <v>84</v>
      </c>
      <c r="J177" s="11" t="s">
        <v>85</v>
      </c>
      <c r="K177" s="25">
        <v>4</v>
      </c>
      <c r="L177" s="25">
        <v>350</v>
      </c>
      <c r="M177" s="29">
        <v>0</v>
      </c>
      <c r="N177" s="25">
        <v>1400</v>
      </c>
      <c r="O177" s="25">
        <v>996.8</v>
      </c>
      <c r="P177" s="25">
        <v>403.2</v>
      </c>
      <c r="Q177" s="21">
        <v>28.8</v>
      </c>
      <c r="R177" s="11" t="s">
        <v>61</v>
      </c>
      <c r="S177" s="11" t="s">
        <v>74</v>
      </c>
      <c r="T177" s="11" t="s">
        <v>107</v>
      </c>
      <c r="U177" s="11" t="s">
        <v>108</v>
      </c>
      <c r="V177" s="11">
        <v>2024</v>
      </c>
      <c r="W177" s="11" t="s">
        <v>134</v>
      </c>
      <c r="X177" s="11">
        <v>9</v>
      </c>
      <c r="Y177" s="10" t="s">
        <v>689</v>
      </c>
      <c r="Z177" s="11" t="s">
        <v>89</v>
      </c>
      <c r="AA177" s="11" t="s">
        <v>48</v>
      </c>
      <c r="AB177" s="11" t="s">
        <v>111</v>
      </c>
      <c r="AC177" s="11" t="s">
        <v>121</v>
      </c>
      <c r="AD177" s="11">
        <v>4</v>
      </c>
      <c r="AE177" s="11" t="s">
        <v>2218</v>
      </c>
      <c r="AF177" s="11" t="s">
        <v>2238</v>
      </c>
      <c r="AG177" s="25"/>
      <c r="AH177" s="11"/>
      <c r="AI177" s="11"/>
      <c r="AJ177" s="11"/>
      <c r="AK177" s="11"/>
      <c r="AL177" s="11"/>
      <c r="AM177" s="11" t="str">
        <f t="shared" si="14"/>
        <v>Needs Improvement</v>
      </c>
      <c r="AN177" s="11" t="str" cm="1">
        <f t="array" ref="AN177">_xlfn.IFS(N177&lt;10000,"Low",N177&lt;30000,"Medium",N177&gt;=30000,"High")</f>
        <v>Low</v>
      </c>
      <c r="AO177" s="11" t="str">
        <f t="shared" si="15"/>
        <v>No</v>
      </c>
      <c r="AP177" s="11" t="str">
        <f t="shared" si="16"/>
        <v>Yes</v>
      </c>
      <c r="AQ177" s="11">
        <f t="shared" si="17"/>
        <v>0.28799999999999998</v>
      </c>
      <c r="AR177" s="33"/>
      <c r="AS177" s="33"/>
      <c r="AT177" s="33"/>
      <c r="AU177" s="33"/>
      <c r="AV177" s="33"/>
      <c r="AW177" s="33"/>
      <c r="AX177" s="33" t="str">
        <f t="shared" si="18"/>
        <v>Low</v>
      </c>
    </row>
    <row r="178" spans="1:50">
      <c r="A178" s="9" t="s">
        <v>295</v>
      </c>
      <c r="B178" s="10">
        <v>45606</v>
      </c>
      <c r="C178" s="11" t="s">
        <v>296</v>
      </c>
      <c r="D178" s="11" t="s">
        <v>297</v>
      </c>
      <c r="E178" s="11" t="s">
        <v>55</v>
      </c>
      <c r="F178" s="11" t="s">
        <v>144</v>
      </c>
      <c r="G178" s="11" t="s">
        <v>145</v>
      </c>
      <c r="H178" s="11" t="s">
        <v>94</v>
      </c>
      <c r="I178" s="11" t="s">
        <v>39</v>
      </c>
      <c r="J178" s="11" t="s">
        <v>105</v>
      </c>
      <c r="K178" s="25">
        <v>8</v>
      </c>
      <c r="L178" s="25">
        <v>35000</v>
      </c>
      <c r="M178" s="29">
        <v>0.15</v>
      </c>
      <c r="N178" s="25">
        <v>238000</v>
      </c>
      <c r="O178" s="25">
        <v>158909.97</v>
      </c>
      <c r="P178" s="25">
        <v>79090.03</v>
      </c>
      <c r="Q178" s="21">
        <v>33.229999999999997</v>
      </c>
      <c r="R178" s="11" t="s">
        <v>61</v>
      </c>
      <c r="S178" s="11" t="s">
        <v>62</v>
      </c>
      <c r="T178" s="11" t="s">
        <v>173</v>
      </c>
      <c r="U178" s="11" t="s">
        <v>87</v>
      </c>
      <c r="V178" s="11">
        <v>2024</v>
      </c>
      <c r="W178" s="11" t="s">
        <v>194</v>
      </c>
      <c r="X178" s="11">
        <v>3</v>
      </c>
      <c r="Y178" s="10" t="s">
        <v>298</v>
      </c>
      <c r="Z178" s="11" t="s">
        <v>89</v>
      </c>
      <c r="AA178" s="11" t="s">
        <v>90</v>
      </c>
      <c r="AB178" s="11" t="s">
        <v>78</v>
      </c>
      <c r="AC178" s="11" t="s">
        <v>50</v>
      </c>
      <c r="AD178" s="11">
        <v>4</v>
      </c>
      <c r="AE178" s="11" t="s">
        <v>2237</v>
      </c>
      <c r="AF178" s="11" t="s">
        <v>2219</v>
      </c>
      <c r="AG178" s="25"/>
      <c r="AH178" s="11"/>
      <c r="AI178" s="11"/>
      <c r="AJ178" s="11"/>
      <c r="AK178" s="11"/>
      <c r="AL178" s="11"/>
      <c r="AM178" s="11" t="str">
        <f t="shared" si="14"/>
        <v>Good</v>
      </c>
      <c r="AN178" s="11" t="str" cm="1">
        <f t="array" ref="AN178">_xlfn.IFS(N178&lt;10000,"Low",N178&lt;30000,"Medium",N178&gt;=30000,"High")</f>
        <v>High</v>
      </c>
      <c r="AO178" s="11" t="str">
        <f t="shared" si="15"/>
        <v>Yes</v>
      </c>
      <c r="AP178" s="11" t="str">
        <f t="shared" si="16"/>
        <v>No</v>
      </c>
      <c r="AQ178" s="11">
        <f t="shared" si="17"/>
        <v>0.33231105042016806</v>
      </c>
      <c r="AR178" s="33"/>
      <c r="AS178" s="33"/>
      <c r="AT178" s="33"/>
      <c r="AU178" s="33"/>
      <c r="AV178" s="33"/>
      <c r="AW178" s="33"/>
      <c r="AX178" s="33" t="str">
        <f t="shared" si="18"/>
        <v>Excellent</v>
      </c>
    </row>
    <row r="179" spans="1:50">
      <c r="A179" s="9" t="s">
        <v>1196</v>
      </c>
      <c r="B179" s="10">
        <v>45606</v>
      </c>
      <c r="C179" s="11" t="s">
        <v>570</v>
      </c>
      <c r="D179" s="11" t="s">
        <v>422</v>
      </c>
      <c r="E179" s="11" t="s">
        <v>55</v>
      </c>
      <c r="F179" s="11" t="s">
        <v>104</v>
      </c>
      <c r="G179" s="11" t="s">
        <v>104</v>
      </c>
      <c r="H179" s="11" t="s">
        <v>38</v>
      </c>
      <c r="I179" s="11" t="s">
        <v>59</v>
      </c>
      <c r="J179" s="11" t="s">
        <v>206</v>
      </c>
      <c r="K179" s="25">
        <v>10</v>
      </c>
      <c r="L179" s="25">
        <v>3000</v>
      </c>
      <c r="M179" s="29">
        <v>0.05</v>
      </c>
      <c r="N179" s="25">
        <v>28500</v>
      </c>
      <c r="O179" s="25">
        <v>16318.22</v>
      </c>
      <c r="P179" s="25">
        <v>12181.78</v>
      </c>
      <c r="Q179" s="21">
        <v>42.74</v>
      </c>
      <c r="R179" s="11" t="s">
        <v>166</v>
      </c>
      <c r="S179" s="11" t="s">
        <v>62</v>
      </c>
      <c r="T179" s="11" t="s">
        <v>63</v>
      </c>
      <c r="U179" s="11" t="s">
        <v>87</v>
      </c>
      <c r="V179" s="11">
        <v>2024</v>
      </c>
      <c r="W179" s="11" t="s">
        <v>194</v>
      </c>
      <c r="X179" s="11">
        <v>4</v>
      </c>
      <c r="Y179" s="10" t="s">
        <v>1197</v>
      </c>
      <c r="Z179" s="11" t="s">
        <v>47</v>
      </c>
      <c r="AA179" s="11" t="s">
        <v>48</v>
      </c>
      <c r="AB179" s="11" t="s">
        <v>111</v>
      </c>
      <c r="AC179" s="11" t="s">
        <v>121</v>
      </c>
      <c r="AD179" s="11">
        <v>3</v>
      </c>
      <c r="AE179" s="11" t="s">
        <v>2237</v>
      </c>
      <c r="AF179" s="11" t="s">
        <v>2210</v>
      </c>
      <c r="AG179" s="25"/>
      <c r="AH179" s="11"/>
      <c r="AI179" s="11"/>
      <c r="AJ179" s="11"/>
      <c r="AK179" s="11"/>
      <c r="AL179" s="11"/>
      <c r="AM179" s="11" t="str">
        <f t="shared" si="14"/>
        <v>Good</v>
      </c>
      <c r="AN179" s="11" t="str" cm="1">
        <f t="array" ref="AN179">_xlfn.IFS(N179&lt;10000,"Low",N179&lt;30000,"Medium",N179&gt;=30000,"High")</f>
        <v>Medium</v>
      </c>
      <c r="AO179" s="11" t="str">
        <f t="shared" si="15"/>
        <v>No</v>
      </c>
      <c r="AP179" s="11" t="str">
        <f t="shared" si="16"/>
        <v>No</v>
      </c>
      <c r="AQ179" s="11">
        <f t="shared" si="17"/>
        <v>0.42743087719298251</v>
      </c>
      <c r="AR179" s="33"/>
      <c r="AS179" s="33"/>
      <c r="AT179" s="33"/>
      <c r="AU179" s="33"/>
      <c r="AV179" s="33"/>
      <c r="AW179" s="33"/>
      <c r="AX179" s="33" t="str">
        <f t="shared" si="18"/>
        <v>Good</v>
      </c>
    </row>
    <row r="180" spans="1:50">
      <c r="A180" s="9" t="s">
        <v>1756</v>
      </c>
      <c r="B180" s="10">
        <v>45606</v>
      </c>
      <c r="C180" s="11" t="s">
        <v>1757</v>
      </c>
      <c r="D180" s="11" t="s">
        <v>1758</v>
      </c>
      <c r="E180" s="11" t="s">
        <v>55</v>
      </c>
      <c r="F180" s="11" t="s">
        <v>56</v>
      </c>
      <c r="G180" s="11" t="s">
        <v>57</v>
      </c>
      <c r="H180" s="11" t="s">
        <v>58</v>
      </c>
      <c r="I180" s="11" t="s">
        <v>95</v>
      </c>
      <c r="J180" s="11" t="s">
        <v>344</v>
      </c>
      <c r="K180" s="25">
        <v>10</v>
      </c>
      <c r="L180" s="25">
        <v>6000</v>
      </c>
      <c r="M180" s="29">
        <v>0.2</v>
      </c>
      <c r="N180" s="25">
        <v>48000</v>
      </c>
      <c r="O180" s="25">
        <v>35904.050000000003</v>
      </c>
      <c r="P180" s="25">
        <v>12095.95</v>
      </c>
      <c r="Q180" s="21">
        <v>25.2</v>
      </c>
      <c r="R180" s="11" t="s">
        <v>73</v>
      </c>
      <c r="S180" s="11" t="s">
        <v>74</v>
      </c>
      <c r="T180" s="11" t="s">
        <v>86</v>
      </c>
      <c r="U180" s="11" t="s">
        <v>87</v>
      </c>
      <c r="V180" s="11">
        <v>2024</v>
      </c>
      <c r="W180" s="11" t="s">
        <v>194</v>
      </c>
      <c r="X180" s="11">
        <v>2</v>
      </c>
      <c r="Y180" s="10" t="s">
        <v>1325</v>
      </c>
      <c r="Z180" s="11" t="s">
        <v>47</v>
      </c>
      <c r="AA180" s="11" t="s">
        <v>48</v>
      </c>
      <c r="AB180" s="11" t="s">
        <v>111</v>
      </c>
      <c r="AC180" s="11" t="s">
        <v>50</v>
      </c>
      <c r="AD180" s="11">
        <v>4</v>
      </c>
      <c r="AE180" s="11" t="s">
        <v>2233</v>
      </c>
      <c r="AF180" s="11" t="s">
        <v>2210</v>
      </c>
      <c r="AG180" s="25"/>
      <c r="AH180" s="11"/>
      <c r="AI180" s="11"/>
      <c r="AJ180" s="11"/>
      <c r="AK180" s="11"/>
      <c r="AL180" s="11"/>
      <c r="AM180" s="11" t="str">
        <f t="shared" si="14"/>
        <v>Needs Improvement</v>
      </c>
      <c r="AN180" s="11" t="str" cm="1">
        <f t="array" ref="AN180">_xlfn.IFS(N180&lt;10000,"Low",N180&lt;30000,"Medium",N180&gt;=30000,"High")</f>
        <v>High</v>
      </c>
      <c r="AO180" s="11" t="str">
        <f t="shared" si="15"/>
        <v>Yes</v>
      </c>
      <c r="AP180" s="11" t="str">
        <f t="shared" si="16"/>
        <v>Yes</v>
      </c>
      <c r="AQ180" s="11">
        <f t="shared" si="17"/>
        <v>0.25199895833333336</v>
      </c>
      <c r="AR180" s="33"/>
      <c r="AS180" s="33"/>
      <c r="AT180" s="33"/>
      <c r="AU180" s="33"/>
      <c r="AV180" s="33"/>
      <c r="AW180" s="33"/>
      <c r="AX180" s="33" t="str">
        <f t="shared" si="18"/>
        <v>Good</v>
      </c>
    </row>
    <row r="181" spans="1:50">
      <c r="A181" s="9" t="s">
        <v>1707</v>
      </c>
      <c r="B181" s="10">
        <v>45607</v>
      </c>
      <c r="C181" s="11" t="s">
        <v>606</v>
      </c>
      <c r="D181" s="11" t="s">
        <v>660</v>
      </c>
      <c r="E181" s="11" t="s">
        <v>55</v>
      </c>
      <c r="F181" s="11" t="s">
        <v>104</v>
      </c>
      <c r="G181" s="11" t="s">
        <v>104</v>
      </c>
      <c r="H181" s="11" t="s">
        <v>38</v>
      </c>
      <c r="I181" s="11" t="s">
        <v>95</v>
      </c>
      <c r="J181" s="11" t="s">
        <v>184</v>
      </c>
      <c r="K181" s="25">
        <v>8</v>
      </c>
      <c r="L181" s="25">
        <v>2500</v>
      </c>
      <c r="M181" s="29">
        <v>0.05</v>
      </c>
      <c r="N181" s="25">
        <v>19000</v>
      </c>
      <c r="O181" s="25">
        <v>12042.8</v>
      </c>
      <c r="P181" s="25">
        <v>6957.2</v>
      </c>
      <c r="Q181" s="21">
        <v>36.619999999999997</v>
      </c>
      <c r="R181" s="11" t="s">
        <v>41</v>
      </c>
      <c r="S181" s="11" t="s">
        <v>62</v>
      </c>
      <c r="T181" s="11" t="s">
        <v>75</v>
      </c>
      <c r="U181" s="11" t="s">
        <v>198</v>
      </c>
      <c r="V181" s="11">
        <v>2024</v>
      </c>
      <c r="W181" s="11" t="s">
        <v>126</v>
      </c>
      <c r="X181" s="11">
        <v>4</v>
      </c>
      <c r="Y181" s="10" t="s">
        <v>991</v>
      </c>
      <c r="Z181" s="11" t="s">
        <v>47</v>
      </c>
      <c r="AA181" s="11" t="s">
        <v>90</v>
      </c>
      <c r="AB181" s="11" t="s">
        <v>49</v>
      </c>
      <c r="AC181" s="11" t="s">
        <v>50</v>
      </c>
      <c r="AD181" s="11">
        <v>2</v>
      </c>
      <c r="AE181" s="11" t="s">
        <v>2218</v>
      </c>
      <c r="AF181" s="11" t="s">
        <v>2222</v>
      </c>
      <c r="AG181" s="25"/>
      <c r="AH181" s="11"/>
      <c r="AI181" s="11"/>
      <c r="AJ181" s="11"/>
      <c r="AK181" s="11"/>
      <c r="AL181" s="11"/>
      <c r="AM181" s="11" t="str">
        <f t="shared" si="14"/>
        <v>Good</v>
      </c>
      <c r="AN181" s="11" t="str" cm="1">
        <f t="array" ref="AN181">_xlfn.IFS(N181&lt;10000,"Low",N181&lt;30000,"Medium",N181&gt;=30000,"High")</f>
        <v>Medium</v>
      </c>
      <c r="AO181" s="11" t="str">
        <f t="shared" si="15"/>
        <v>No</v>
      </c>
      <c r="AP181" s="11" t="str">
        <f t="shared" si="16"/>
        <v>No</v>
      </c>
      <c r="AQ181" s="11">
        <f t="shared" si="17"/>
        <v>0.36616842105263159</v>
      </c>
      <c r="AR181" s="33"/>
      <c r="AS181" s="33"/>
      <c r="AT181" s="33"/>
      <c r="AU181" s="33"/>
      <c r="AV181" s="33"/>
      <c r="AW181" s="33"/>
      <c r="AX181" s="33" t="str">
        <f t="shared" si="18"/>
        <v>Average</v>
      </c>
    </row>
    <row r="182" spans="1:50">
      <c r="A182" s="9" t="s">
        <v>1775</v>
      </c>
      <c r="B182" s="10">
        <v>45607</v>
      </c>
      <c r="C182" s="11" t="s">
        <v>1776</v>
      </c>
      <c r="D182" s="11" t="s">
        <v>935</v>
      </c>
      <c r="E182" s="11" t="s">
        <v>35</v>
      </c>
      <c r="F182" s="11" t="s">
        <v>82</v>
      </c>
      <c r="G182" s="11" t="s">
        <v>83</v>
      </c>
      <c r="H182" s="11" t="s">
        <v>171</v>
      </c>
      <c r="I182" s="11" t="s">
        <v>59</v>
      </c>
      <c r="J182" s="11" t="s">
        <v>206</v>
      </c>
      <c r="K182" s="25">
        <v>4</v>
      </c>
      <c r="L182" s="25">
        <v>800</v>
      </c>
      <c r="M182" s="29">
        <v>0.05</v>
      </c>
      <c r="N182" s="25">
        <v>3040</v>
      </c>
      <c r="O182" s="25">
        <v>1693.53</v>
      </c>
      <c r="P182" s="25">
        <v>1346.47</v>
      </c>
      <c r="Q182" s="21">
        <v>44.29</v>
      </c>
      <c r="R182" s="11" t="s">
        <v>106</v>
      </c>
      <c r="S182" s="11" t="s">
        <v>62</v>
      </c>
      <c r="T182" s="11" t="s">
        <v>97</v>
      </c>
      <c r="U182" s="11" t="s">
        <v>198</v>
      </c>
      <c r="V182" s="11">
        <v>2024</v>
      </c>
      <c r="W182" s="11" t="s">
        <v>126</v>
      </c>
      <c r="X182" s="11">
        <v>3</v>
      </c>
      <c r="Y182" s="10" t="s">
        <v>1202</v>
      </c>
      <c r="Z182" s="11" t="s">
        <v>47</v>
      </c>
      <c r="AA182" s="11" t="s">
        <v>90</v>
      </c>
      <c r="AB182" s="11" t="s">
        <v>111</v>
      </c>
      <c r="AC182" s="11" t="s">
        <v>121</v>
      </c>
      <c r="AD182" s="11">
        <v>2</v>
      </c>
      <c r="AE182" s="11" t="s">
        <v>2226</v>
      </c>
      <c r="AF182" s="11" t="s">
        <v>2238</v>
      </c>
      <c r="AG182" s="25"/>
      <c r="AH182" s="11"/>
      <c r="AI182" s="11"/>
      <c r="AJ182" s="11"/>
      <c r="AK182" s="11"/>
      <c r="AL182" s="11"/>
      <c r="AM182" s="11" t="str">
        <f t="shared" si="14"/>
        <v>Good</v>
      </c>
      <c r="AN182" s="11" t="str" cm="1">
        <f t="array" ref="AN182">_xlfn.IFS(N182&lt;10000,"Low",N182&lt;30000,"Medium",N182&gt;=30000,"High")</f>
        <v>Low</v>
      </c>
      <c r="AO182" s="11" t="str">
        <f t="shared" si="15"/>
        <v>No</v>
      </c>
      <c r="AP182" s="11" t="str">
        <f t="shared" si="16"/>
        <v>No</v>
      </c>
      <c r="AQ182" s="11">
        <f t="shared" si="17"/>
        <v>0.44291776315789477</v>
      </c>
      <c r="AR182" s="33"/>
      <c r="AS182" s="33"/>
      <c r="AT182" s="33"/>
      <c r="AU182" s="33"/>
      <c r="AV182" s="33"/>
      <c r="AW182" s="33"/>
      <c r="AX182" s="33" t="str">
        <f t="shared" si="18"/>
        <v>Low</v>
      </c>
    </row>
    <row r="183" spans="1:50">
      <c r="A183" s="9" t="s">
        <v>1645</v>
      </c>
      <c r="B183" s="10">
        <v>45608</v>
      </c>
      <c r="C183" s="11" t="s">
        <v>1646</v>
      </c>
      <c r="D183" s="11" t="s">
        <v>1483</v>
      </c>
      <c r="E183" s="11" t="s">
        <v>103</v>
      </c>
      <c r="F183" s="11" t="s">
        <v>116</v>
      </c>
      <c r="G183" s="11" t="s">
        <v>37</v>
      </c>
      <c r="H183" s="11" t="s">
        <v>171</v>
      </c>
      <c r="I183" s="11" t="s">
        <v>84</v>
      </c>
      <c r="J183" s="11" t="s">
        <v>390</v>
      </c>
      <c r="K183" s="25">
        <v>4</v>
      </c>
      <c r="L183" s="25">
        <v>800</v>
      </c>
      <c r="M183" s="29">
        <v>0.1</v>
      </c>
      <c r="N183" s="25">
        <v>2880</v>
      </c>
      <c r="O183" s="25">
        <v>1614.02</v>
      </c>
      <c r="P183" s="25">
        <v>1265.98</v>
      </c>
      <c r="Q183" s="21">
        <v>43.96</v>
      </c>
      <c r="R183" s="11" t="s">
        <v>41</v>
      </c>
      <c r="S183" s="11" t="s">
        <v>74</v>
      </c>
      <c r="T183" s="11" t="s">
        <v>173</v>
      </c>
      <c r="U183" s="11" t="s">
        <v>64</v>
      </c>
      <c r="V183" s="11">
        <v>2024</v>
      </c>
      <c r="W183" s="11" t="s">
        <v>134</v>
      </c>
      <c r="X183" s="11">
        <v>10</v>
      </c>
      <c r="Y183" s="10" t="s">
        <v>185</v>
      </c>
      <c r="Z183" s="11" t="s">
        <v>110</v>
      </c>
      <c r="AA183" s="11" t="s">
        <v>67</v>
      </c>
      <c r="AB183" s="11" t="s">
        <v>111</v>
      </c>
      <c r="AC183" s="11" t="s">
        <v>50</v>
      </c>
      <c r="AD183" s="11">
        <v>3</v>
      </c>
      <c r="AE183" s="11" t="s">
        <v>159</v>
      </c>
      <c r="AF183" s="11" t="s">
        <v>2228</v>
      </c>
      <c r="AG183" s="25"/>
      <c r="AH183" s="11"/>
      <c r="AI183" s="11"/>
      <c r="AJ183" s="11"/>
      <c r="AK183" s="11"/>
      <c r="AL183" s="11"/>
      <c r="AM183" s="11" t="str">
        <f t="shared" si="14"/>
        <v>Good</v>
      </c>
      <c r="AN183" s="11" t="str" cm="1">
        <f t="array" ref="AN183">_xlfn.IFS(N183&lt;10000,"Low",N183&lt;30000,"Medium",N183&gt;=30000,"High")</f>
        <v>Low</v>
      </c>
      <c r="AO183" s="11" t="str">
        <f t="shared" si="15"/>
        <v>No</v>
      </c>
      <c r="AP183" s="11" t="str">
        <f t="shared" si="16"/>
        <v>Yes</v>
      </c>
      <c r="AQ183" s="11">
        <f t="shared" si="17"/>
        <v>0.43957638888888889</v>
      </c>
      <c r="AR183" s="33"/>
      <c r="AS183" s="33"/>
      <c r="AT183" s="33"/>
      <c r="AU183" s="33"/>
      <c r="AV183" s="33"/>
      <c r="AW183" s="33"/>
      <c r="AX183" s="33" t="str">
        <f t="shared" si="18"/>
        <v>Low</v>
      </c>
    </row>
    <row r="184" spans="1:50">
      <c r="A184" s="9" t="s">
        <v>1900</v>
      </c>
      <c r="B184" s="10">
        <v>45608</v>
      </c>
      <c r="C184" s="11" t="s">
        <v>1142</v>
      </c>
      <c r="D184" s="11" t="s">
        <v>1402</v>
      </c>
      <c r="E184" s="11" t="s">
        <v>103</v>
      </c>
      <c r="F184" s="11" t="s">
        <v>36</v>
      </c>
      <c r="G184" s="11" t="s">
        <v>37</v>
      </c>
      <c r="H184" s="11" t="s">
        <v>94</v>
      </c>
      <c r="I184" s="11" t="s">
        <v>39</v>
      </c>
      <c r="J184" s="11" t="s">
        <v>105</v>
      </c>
      <c r="K184" s="25">
        <v>2</v>
      </c>
      <c r="L184" s="25">
        <v>22000</v>
      </c>
      <c r="M184" s="29">
        <v>0.15</v>
      </c>
      <c r="N184" s="25">
        <v>37400</v>
      </c>
      <c r="O184" s="25">
        <v>30506.43</v>
      </c>
      <c r="P184" s="25">
        <v>6893.57</v>
      </c>
      <c r="Q184" s="21">
        <v>18.43</v>
      </c>
      <c r="R184" s="11" t="s">
        <v>73</v>
      </c>
      <c r="S184" s="11" t="s">
        <v>42</v>
      </c>
      <c r="T184" s="11" t="s">
        <v>75</v>
      </c>
      <c r="U184" s="11" t="s">
        <v>64</v>
      </c>
      <c r="V184" s="11">
        <v>2024</v>
      </c>
      <c r="W184" s="11" t="s">
        <v>134</v>
      </c>
      <c r="X184" s="11">
        <v>4</v>
      </c>
      <c r="Y184" s="10" t="s">
        <v>1791</v>
      </c>
      <c r="Z184" s="11" t="s">
        <v>89</v>
      </c>
      <c r="AA184" s="11" t="s">
        <v>90</v>
      </c>
      <c r="AB184" s="11" t="s">
        <v>49</v>
      </c>
      <c r="AC184" s="11" t="s">
        <v>121</v>
      </c>
      <c r="AD184" s="11">
        <v>5</v>
      </c>
      <c r="AE184" s="11" t="s">
        <v>2216</v>
      </c>
      <c r="AF184" s="11" t="s">
        <v>2228</v>
      </c>
      <c r="AG184" s="25"/>
      <c r="AH184" s="11"/>
      <c r="AI184" s="11"/>
      <c r="AJ184" s="11"/>
      <c r="AK184" s="11"/>
      <c r="AL184" s="11"/>
      <c r="AM184" s="11" t="str">
        <f t="shared" si="14"/>
        <v>Needs Improvement</v>
      </c>
      <c r="AN184" s="11" t="str" cm="1">
        <f t="array" ref="AN184">_xlfn.IFS(N184&lt;10000,"Low",N184&lt;30000,"Medium",N184&gt;=30000,"High")</f>
        <v>High</v>
      </c>
      <c r="AO184" s="11" t="str">
        <f t="shared" si="15"/>
        <v>No</v>
      </c>
      <c r="AP184" s="11" t="str">
        <f t="shared" si="16"/>
        <v>Yes</v>
      </c>
      <c r="AQ184" s="11">
        <f t="shared" si="17"/>
        <v>0.18432005347593583</v>
      </c>
      <c r="AR184" s="33"/>
      <c r="AS184" s="33"/>
      <c r="AT184" s="33"/>
      <c r="AU184" s="33"/>
      <c r="AV184" s="33"/>
      <c r="AW184" s="33"/>
      <c r="AX184" s="33" t="str">
        <f t="shared" si="18"/>
        <v>Average</v>
      </c>
    </row>
    <row r="185" spans="1:50">
      <c r="A185" s="9" t="s">
        <v>1956</v>
      </c>
      <c r="B185" s="10">
        <v>45608</v>
      </c>
      <c r="C185" s="11" t="s">
        <v>1543</v>
      </c>
      <c r="D185" s="11" t="s">
        <v>1057</v>
      </c>
      <c r="E185" s="11" t="s">
        <v>35</v>
      </c>
      <c r="F185" s="11" t="s">
        <v>104</v>
      </c>
      <c r="G185" s="11" t="s">
        <v>104</v>
      </c>
      <c r="H185" s="11" t="s">
        <v>171</v>
      </c>
      <c r="I185" s="11" t="s">
        <v>39</v>
      </c>
      <c r="J185" s="11" t="s">
        <v>40</v>
      </c>
      <c r="K185" s="25">
        <v>6</v>
      </c>
      <c r="L185" s="25">
        <v>35000</v>
      </c>
      <c r="M185" s="29">
        <v>0.1</v>
      </c>
      <c r="N185" s="25">
        <v>189000</v>
      </c>
      <c r="O185" s="25">
        <v>128587.2</v>
      </c>
      <c r="P185" s="25">
        <v>60412.800000000003</v>
      </c>
      <c r="Q185" s="21">
        <v>31.96</v>
      </c>
      <c r="R185" s="11" t="s">
        <v>41</v>
      </c>
      <c r="S185" s="11" t="s">
        <v>62</v>
      </c>
      <c r="T185" s="11" t="s">
        <v>107</v>
      </c>
      <c r="U185" s="11" t="s">
        <v>64</v>
      </c>
      <c r="V185" s="11">
        <v>2024</v>
      </c>
      <c r="W185" s="11" t="s">
        <v>134</v>
      </c>
      <c r="X185" s="11">
        <v>1</v>
      </c>
      <c r="Y185" s="10">
        <v>45638</v>
      </c>
      <c r="Z185" s="11" t="s">
        <v>47</v>
      </c>
      <c r="AA185" s="11" t="s">
        <v>67</v>
      </c>
      <c r="AB185" s="11" t="s">
        <v>111</v>
      </c>
      <c r="AC185" s="11" t="s">
        <v>121</v>
      </c>
      <c r="AD185" s="11">
        <v>4</v>
      </c>
      <c r="AE185" s="11" t="s">
        <v>86</v>
      </c>
      <c r="AF185" s="11" t="s">
        <v>2212</v>
      </c>
      <c r="AG185" s="25"/>
      <c r="AH185" s="11"/>
      <c r="AI185" s="11"/>
      <c r="AJ185" s="11"/>
      <c r="AK185" s="11"/>
      <c r="AL185" s="11"/>
      <c r="AM185" s="11" t="str">
        <f t="shared" si="14"/>
        <v>Good</v>
      </c>
      <c r="AN185" s="11" t="str" cm="1">
        <f t="array" ref="AN185">_xlfn.IFS(N185&lt;10000,"Low",N185&lt;30000,"Medium",N185&gt;=30000,"High")</f>
        <v>High</v>
      </c>
      <c r="AO185" s="11" t="str">
        <f t="shared" si="15"/>
        <v>Yes</v>
      </c>
      <c r="AP185" s="11" t="str">
        <f t="shared" si="16"/>
        <v>No</v>
      </c>
      <c r="AQ185" s="11">
        <f t="shared" si="17"/>
        <v>0.31964444444444445</v>
      </c>
      <c r="AR185" s="33"/>
      <c r="AS185" s="33"/>
      <c r="AT185" s="33"/>
      <c r="AU185" s="33"/>
      <c r="AV185" s="33"/>
      <c r="AW185" s="33"/>
      <c r="AX185" s="33" t="str">
        <f t="shared" si="18"/>
        <v>Excellent</v>
      </c>
    </row>
    <row r="186" spans="1:50">
      <c r="A186" s="9" t="s">
        <v>1128</v>
      </c>
      <c r="B186" s="10">
        <v>45627</v>
      </c>
      <c r="C186" s="11" t="s">
        <v>1129</v>
      </c>
      <c r="D186" s="11" t="s">
        <v>799</v>
      </c>
      <c r="E186" s="11" t="s">
        <v>55</v>
      </c>
      <c r="F186" s="11" t="s">
        <v>144</v>
      </c>
      <c r="G186" s="11" t="s">
        <v>145</v>
      </c>
      <c r="H186" s="11" t="s">
        <v>94</v>
      </c>
      <c r="I186" s="11" t="s">
        <v>84</v>
      </c>
      <c r="J186" s="11" t="s">
        <v>217</v>
      </c>
      <c r="K186" s="25">
        <v>1</v>
      </c>
      <c r="L186" s="25">
        <v>350</v>
      </c>
      <c r="M186" s="29">
        <v>0.2</v>
      </c>
      <c r="N186" s="25">
        <v>280</v>
      </c>
      <c r="O186" s="25">
        <v>192.76</v>
      </c>
      <c r="P186" s="25">
        <v>87.24</v>
      </c>
      <c r="Q186" s="21">
        <v>31.16</v>
      </c>
      <c r="R186" s="11" t="s">
        <v>61</v>
      </c>
      <c r="S186" s="11" t="s">
        <v>62</v>
      </c>
      <c r="T186" s="11" t="s">
        <v>159</v>
      </c>
      <c r="U186" s="11" t="s">
        <v>76</v>
      </c>
      <c r="V186" s="11">
        <v>2024</v>
      </c>
      <c r="W186" s="11" t="s">
        <v>194</v>
      </c>
      <c r="X186" s="11">
        <v>8</v>
      </c>
      <c r="Y186" s="10" t="s">
        <v>988</v>
      </c>
      <c r="Z186" s="11" t="s">
        <v>110</v>
      </c>
      <c r="AA186" s="11" t="s">
        <v>90</v>
      </c>
      <c r="AB186" s="11" t="s">
        <v>49</v>
      </c>
      <c r="AC186" s="11" t="s">
        <v>50</v>
      </c>
      <c r="AD186" s="11">
        <v>5</v>
      </c>
      <c r="AE186" s="11" t="s">
        <v>2229</v>
      </c>
      <c r="AF186" s="11" t="s">
        <v>2214</v>
      </c>
      <c r="AG186" s="25"/>
      <c r="AH186" s="11"/>
      <c r="AI186" s="11"/>
      <c r="AJ186" s="11"/>
      <c r="AK186" s="11"/>
      <c r="AL186" s="11"/>
      <c r="AM186" s="11" t="str">
        <f t="shared" si="14"/>
        <v>Good</v>
      </c>
      <c r="AN186" s="11" t="str" cm="1">
        <f t="array" ref="AN186">_xlfn.IFS(N186&lt;10000,"Low",N186&lt;30000,"Medium",N186&gt;=30000,"High")</f>
        <v>Low</v>
      </c>
      <c r="AO186" s="11" t="str">
        <f t="shared" si="15"/>
        <v>No</v>
      </c>
      <c r="AP186" s="11" t="str">
        <f t="shared" si="16"/>
        <v>No</v>
      </c>
      <c r="AQ186" s="11">
        <f t="shared" si="17"/>
        <v>0.31157142857142855</v>
      </c>
      <c r="AR186" s="33"/>
      <c r="AS186" s="33"/>
      <c r="AT186" s="33"/>
      <c r="AU186" s="33"/>
      <c r="AV186" s="33"/>
      <c r="AW186" s="33"/>
      <c r="AX186" s="33" t="str">
        <f t="shared" si="18"/>
        <v>Low</v>
      </c>
    </row>
    <row r="187" spans="1:50">
      <c r="A187" s="9" t="s">
        <v>1475</v>
      </c>
      <c r="B187" s="10">
        <v>45627</v>
      </c>
      <c r="C187" s="11" t="s">
        <v>596</v>
      </c>
      <c r="D187" s="11" t="s">
        <v>1476</v>
      </c>
      <c r="E187" s="11" t="s">
        <v>35</v>
      </c>
      <c r="F187" s="11" t="s">
        <v>36</v>
      </c>
      <c r="G187" s="11" t="s">
        <v>37</v>
      </c>
      <c r="H187" s="11" t="s">
        <v>94</v>
      </c>
      <c r="I187" s="11" t="s">
        <v>71</v>
      </c>
      <c r="J187" s="11" t="s">
        <v>158</v>
      </c>
      <c r="K187" s="25">
        <v>5</v>
      </c>
      <c r="L187" s="25">
        <v>2500</v>
      </c>
      <c r="M187" s="29">
        <v>0.1</v>
      </c>
      <c r="N187" s="25">
        <v>11250</v>
      </c>
      <c r="O187" s="25">
        <v>6438.51</v>
      </c>
      <c r="P187" s="25">
        <v>4811.49</v>
      </c>
      <c r="Q187" s="21">
        <v>42.77</v>
      </c>
      <c r="R187" s="11" t="s">
        <v>61</v>
      </c>
      <c r="S187" s="11" t="s">
        <v>42</v>
      </c>
      <c r="T187" s="11" t="s">
        <v>173</v>
      </c>
      <c r="U187" s="11" t="s">
        <v>76</v>
      </c>
      <c r="V187" s="11">
        <v>2024</v>
      </c>
      <c r="W187" s="11" t="s">
        <v>194</v>
      </c>
      <c r="X187" s="11">
        <v>2</v>
      </c>
      <c r="Y187" s="10" t="s">
        <v>1301</v>
      </c>
      <c r="Z187" s="11" t="s">
        <v>47</v>
      </c>
      <c r="AA187" s="11" t="s">
        <v>48</v>
      </c>
      <c r="AB187" s="11" t="s">
        <v>49</v>
      </c>
      <c r="AC187" s="11" t="s">
        <v>50</v>
      </c>
      <c r="AD187" s="11">
        <v>4</v>
      </c>
      <c r="AE187" s="11" t="s">
        <v>2227</v>
      </c>
      <c r="AF187" s="11" t="s">
        <v>2212</v>
      </c>
      <c r="AG187" s="25"/>
      <c r="AH187" s="11"/>
      <c r="AI187" s="11"/>
      <c r="AJ187" s="11"/>
      <c r="AK187" s="11"/>
      <c r="AL187" s="11"/>
      <c r="AM187" s="11" t="str">
        <f t="shared" si="14"/>
        <v>Good</v>
      </c>
      <c r="AN187" s="11" t="str" cm="1">
        <f t="array" ref="AN187">_xlfn.IFS(N187&lt;10000,"Low",N187&lt;30000,"Medium",N187&gt;=30000,"High")</f>
        <v>Medium</v>
      </c>
      <c r="AO187" s="11" t="str">
        <f t="shared" si="15"/>
        <v>No</v>
      </c>
      <c r="AP187" s="11" t="str">
        <f t="shared" si="16"/>
        <v>Yes</v>
      </c>
      <c r="AQ187" s="11">
        <f t="shared" si="17"/>
        <v>0.42768799999999996</v>
      </c>
      <c r="AR187" s="33"/>
      <c r="AS187" s="33"/>
      <c r="AT187" s="33"/>
      <c r="AU187" s="33"/>
      <c r="AV187" s="33"/>
      <c r="AW187" s="33"/>
      <c r="AX187" s="33" t="str">
        <f t="shared" si="18"/>
        <v>Low</v>
      </c>
    </row>
    <row r="188" spans="1:50">
      <c r="A188" s="9" t="s">
        <v>1355</v>
      </c>
      <c r="B188" s="10">
        <v>45628</v>
      </c>
      <c r="C188" s="11" t="s">
        <v>805</v>
      </c>
      <c r="D188" s="11" t="s">
        <v>335</v>
      </c>
      <c r="E188" s="11" t="s">
        <v>35</v>
      </c>
      <c r="F188" s="11" t="s">
        <v>245</v>
      </c>
      <c r="G188" s="11" t="s">
        <v>246</v>
      </c>
      <c r="H188" s="11" t="s">
        <v>58</v>
      </c>
      <c r="I188" s="11" t="s">
        <v>95</v>
      </c>
      <c r="J188" s="11" t="s">
        <v>96</v>
      </c>
      <c r="K188" s="25">
        <v>7</v>
      </c>
      <c r="L188" s="25">
        <v>15000</v>
      </c>
      <c r="M188" s="29">
        <v>0.15</v>
      </c>
      <c r="N188" s="25">
        <v>89250</v>
      </c>
      <c r="O188" s="25">
        <v>72247.960000000006</v>
      </c>
      <c r="P188" s="25">
        <v>17002.04</v>
      </c>
      <c r="Q188" s="21">
        <v>19.05</v>
      </c>
      <c r="R188" s="11" t="s">
        <v>106</v>
      </c>
      <c r="S188" s="11" t="s">
        <v>62</v>
      </c>
      <c r="T188" s="11" t="s">
        <v>159</v>
      </c>
      <c r="U188" s="11" t="s">
        <v>98</v>
      </c>
      <c r="V188" s="11">
        <v>2024</v>
      </c>
      <c r="W188" s="11" t="s">
        <v>126</v>
      </c>
      <c r="X188" s="11">
        <v>1</v>
      </c>
      <c r="Y188" s="10" t="s">
        <v>1356</v>
      </c>
      <c r="Z188" s="11" t="s">
        <v>110</v>
      </c>
      <c r="AA188" s="11" t="s">
        <v>48</v>
      </c>
      <c r="AB188" s="11" t="s">
        <v>78</v>
      </c>
      <c r="AC188" s="11" t="s">
        <v>50</v>
      </c>
      <c r="AD188" s="11">
        <v>3</v>
      </c>
      <c r="AE188" s="11" t="s">
        <v>2218</v>
      </c>
      <c r="AF188" s="11" t="s">
        <v>2235</v>
      </c>
      <c r="AG188" s="25"/>
      <c r="AH188" s="11"/>
      <c r="AI188" s="11"/>
      <c r="AJ188" s="11"/>
      <c r="AK188" s="11"/>
      <c r="AL188" s="11"/>
      <c r="AM188" s="11" t="str">
        <f t="shared" si="14"/>
        <v>Needs Improvement</v>
      </c>
      <c r="AN188" s="11" t="str" cm="1">
        <f t="array" ref="AN188">_xlfn.IFS(N188&lt;10000,"Low",N188&lt;30000,"Medium",N188&gt;=30000,"High")</f>
        <v>High</v>
      </c>
      <c r="AO188" s="11" t="str">
        <f t="shared" si="15"/>
        <v>Yes</v>
      </c>
      <c r="AP188" s="11" t="str">
        <f t="shared" si="16"/>
        <v>No</v>
      </c>
      <c r="AQ188" s="11">
        <f t="shared" si="17"/>
        <v>0.19049904761904762</v>
      </c>
      <c r="AR188" s="33"/>
      <c r="AS188" s="33"/>
      <c r="AT188" s="33"/>
      <c r="AU188" s="33"/>
      <c r="AV188" s="33"/>
      <c r="AW188" s="33"/>
      <c r="AX188" s="33" t="str">
        <f t="shared" si="18"/>
        <v>Good</v>
      </c>
    </row>
    <row r="189" spans="1:50">
      <c r="A189" s="9" t="s">
        <v>1634</v>
      </c>
      <c r="B189" s="10">
        <v>45628</v>
      </c>
      <c r="C189" s="11" t="s">
        <v>1595</v>
      </c>
      <c r="D189" s="11" t="s">
        <v>1635</v>
      </c>
      <c r="E189" s="11" t="s">
        <v>55</v>
      </c>
      <c r="F189" s="11" t="s">
        <v>144</v>
      </c>
      <c r="G189" s="11" t="s">
        <v>145</v>
      </c>
      <c r="H189" s="11" t="s">
        <v>171</v>
      </c>
      <c r="I189" s="11" t="s">
        <v>39</v>
      </c>
      <c r="J189" s="11" t="s">
        <v>165</v>
      </c>
      <c r="K189" s="25">
        <v>8</v>
      </c>
      <c r="L189" s="25">
        <v>12000</v>
      </c>
      <c r="M189" s="29">
        <v>0.1</v>
      </c>
      <c r="N189" s="25">
        <v>86400</v>
      </c>
      <c r="O189" s="25">
        <v>59104.61</v>
      </c>
      <c r="P189" s="25">
        <v>27295.39</v>
      </c>
      <c r="Q189" s="21">
        <v>31.59</v>
      </c>
      <c r="R189" s="11" t="s">
        <v>73</v>
      </c>
      <c r="S189" s="11" t="s">
        <v>74</v>
      </c>
      <c r="T189" s="11" t="s">
        <v>43</v>
      </c>
      <c r="U189" s="11" t="s">
        <v>98</v>
      </c>
      <c r="V189" s="11">
        <v>2024</v>
      </c>
      <c r="W189" s="11" t="s">
        <v>126</v>
      </c>
      <c r="X189" s="11">
        <v>2</v>
      </c>
      <c r="Y189" s="10" t="s">
        <v>345</v>
      </c>
      <c r="Z189" s="11" t="s">
        <v>47</v>
      </c>
      <c r="AA189" s="11" t="s">
        <v>90</v>
      </c>
      <c r="AB189" s="11" t="s">
        <v>49</v>
      </c>
      <c r="AC189" s="11" t="s">
        <v>50</v>
      </c>
      <c r="AD189" s="11">
        <v>1</v>
      </c>
      <c r="AE189" s="11" t="s">
        <v>159</v>
      </c>
      <c r="AF189" s="11" t="s">
        <v>2223</v>
      </c>
      <c r="AG189" s="25"/>
      <c r="AH189" s="11"/>
      <c r="AI189" s="11"/>
      <c r="AJ189" s="11"/>
      <c r="AK189" s="11"/>
      <c r="AL189" s="11"/>
      <c r="AM189" s="11" t="str">
        <f t="shared" si="14"/>
        <v>Good</v>
      </c>
      <c r="AN189" s="11" t="str" cm="1">
        <f t="array" ref="AN189">_xlfn.IFS(N189&lt;10000,"Low",N189&lt;30000,"Medium",N189&gt;=30000,"High")</f>
        <v>High</v>
      </c>
      <c r="AO189" s="11" t="str">
        <f t="shared" si="15"/>
        <v>Yes</v>
      </c>
      <c r="AP189" s="11" t="str">
        <f t="shared" si="16"/>
        <v>Yes</v>
      </c>
      <c r="AQ189" s="11">
        <f t="shared" si="17"/>
        <v>0.31591886574074074</v>
      </c>
      <c r="AR189" s="33"/>
      <c r="AS189" s="33"/>
      <c r="AT189" s="33"/>
      <c r="AU189" s="33"/>
      <c r="AV189" s="33"/>
      <c r="AW189" s="33"/>
      <c r="AX189" s="33" t="str">
        <f t="shared" si="18"/>
        <v>Excellent</v>
      </c>
    </row>
    <row r="190" spans="1:50">
      <c r="A190" s="9" t="s">
        <v>1322</v>
      </c>
      <c r="B190" s="10">
        <v>45629</v>
      </c>
      <c r="C190" s="11" t="s">
        <v>557</v>
      </c>
      <c r="D190" s="11" t="s">
        <v>193</v>
      </c>
      <c r="E190" s="11" t="s">
        <v>55</v>
      </c>
      <c r="F190" s="11" t="s">
        <v>82</v>
      </c>
      <c r="G190" s="11" t="s">
        <v>83</v>
      </c>
      <c r="H190" s="11" t="s">
        <v>58</v>
      </c>
      <c r="I190" s="11" t="s">
        <v>39</v>
      </c>
      <c r="J190" s="11" t="s">
        <v>253</v>
      </c>
      <c r="K190" s="25">
        <v>3</v>
      </c>
      <c r="L190" s="25">
        <v>8000</v>
      </c>
      <c r="M190" s="29">
        <v>0.2</v>
      </c>
      <c r="N190" s="25">
        <v>19200</v>
      </c>
      <c r="O190" s="25">
        <v>12191.95</v>
      </c>
      <c r="P190" s="25">
        <v>7008.05</v>
      </c>
      <c r="Q190" s="21">
        <v>36.5</v>
      </c>
      <c r="R190" s="11" t="s">
        <v>73</v>
      </c>
      <c r="S190" s="11" t="s">
        <v>42</v>
      </c>
      <c r="T190" s="11" t="s">
        <v>43</v>
      </c>
      <c r="U190" s="11" t="s">
        <v>178</v>
      </c>
      <c r="V190" s="11">
        <v>2024</v>
      </c>
      <c r="W190" s="11" t="s">
        <v>109</v>
      </c>
      <c r="X190" s="11">
        <v>2</v>
      </c>
      <c r="Y190" s="10" t="s">
        <v>1323</v>
      </c>
      <c r="Z190" s="11" t="s">
        <v>47</v>
      </c>
      <c r="AA190" s="11" t="s">
        <v>48</v>
      </c>
      <c r="AB190" s="11" t="s">
        <v>111</v>
      </c>
      <c r="AC190" s="11" t="s">
        <v>50</v>
      </c>
      <c r="AD190" s="11">
        <v>4</v>
      </c>
      <c r="AE190" s="11" t="s">
        <v>2221</v>
      </c>
      <c r="AF190" s="11" t="s">
        <v>2231</v>
      </c>
      <c r="AG190" s="25"/>
      <c r="AH190" s="11"/>
      <c r="AI190" s="11"/>
      <c r="AJ190" s="11"/>
      <c r="AK190" s="11"/>
      <c r="AL190" s="11"/>
      <c r="AM190" s="11" t="str">
        <f t="shared" si="14"/>
        <v>Good</v>
      </c>
      <c r="AN190" s="11" t="str" cm="1">
        <f t="array" ref="AN190">_xlfn.IFS(N190&lt;10000,"Low",N190&lt;30000,"Medium",N190&gt;=30000,"High")</f>
        <v>Medium</v>
      </c>
      <c r="AO190" s="11" t="str">
        <f t="shared" si="15"/>
        <v>No</v>
      </c>
      <c r="AP190" s="11" t="str">
        <f t="shared" si="16"/>
        <v>Yes</v>
      </c>
      <c r="AQ190" s="11">
        <f t="shared" si="17"/>
        <v>0.36500260416666669</v>
      </c>
      <c r="AR190" s="33"/>
      <c r="AS190" s="33"/>
      <c r="AT190" s="33"/>
      <c r="AU190" s="33"/>
      <c r="AV190" s="33"/>
      <c r="AW190" s="33"/>
      <c r="AX190" s="33" t="str">
        <f t="shared" si="18"/>
        <v>Average</v>
      </c>
    </row>
    <row r="191" spans="1:50">
      <c r="A191" s="9" t="s">
        <v>823</v>
      </c>
      <c r="B191" s="10">
        <v>45630</v>
      </c>
      <c r="C191" s="11" t="s">
        <v>272</v>
      </c>
      <c r="D191" s="11" t="s">
        <v>379</v>
      </c>
      <c r="E191" s="11" t="s">
        <v>103</v>
      </c>
      <c r="F191" s="11" t="s">
        <v>149</v>
      </c>
      <c r="G191" s="11" t="s">
        <v>150</v>
      </c>
      <c r="H191" s="11" t="s">
        <v>58</v>
      </c>
      <c r="I191" s="11" t="s">
        <v>71</v>
      </c>
      <c r="J191" s="11" t="s">
        <v>240</v>
      </c>
      <c r="K191" s="25">
        <v>5</v>
      </c>
      <c r="L191" s="25">
        <v>2500</v>
      </c>
      <c r="M191" s="29">
        <v>0</v>
      </c>
      <c r="N191" s="25">
        <v>12500</v>
      </c>
      <c r="O191" s="25">
        <v>9751.34</v>
      </c>
      <c r="P191" s="25">
        <v>2748.66</v>
      </c>
      <c r="Q191" s="21">
        <v>21.99</v>
      </c>
      <c r="R191" s="11" t="s">
        <v>106</v>
      </c>
      <c r="S191" s="11" t="s">
        <v>74</v>
      </c>
      <c r="T191" s="11" t="s">
        <v>43</v>
      </c>
      <c r="U191" s="11" t="s">
        <v>44</v>
      </c>
      <c r="V191" s="11">
        <v>2024</v>
      </c>
      <c r="W191" s="11" t="s">
        <v>194</v>
      </c>
      <c r="X191" s="11">
        <v>3</v>
      </c>
      <c r="Y191" s="10" t="s">
        <v>824</v>
      </c>
      <c r="Z191" s="11" t="s">
        <v>47</v>
      </c>
      <c r="AA191" s="11" t="s">
        <v>90</v>
      </c>
      <c r="AB191" s="11" t="s">
        <v>111</v>
      </c>
      <c r="AC191" s="11" t="s">
        <v>121</v>
      </c>
      <c r="AD191" s="11">
        <v>3</v>
      </c>
      <c r="AE191" s="11" t="s">
        <v>2216</v>
      </c>
      <c r="AF191" s="11" t="s">
        <v>2223</v>
      </c>
      <c r="AG191" s="25"/>
      <c r="AH191" s="11"/>
      <c r="AI191" s="11"/>
      <c r="AJ191" s="11"/>
      <c r="AK191" s="11"/>
      <c r="AL191" s="11"/>
      <c r="AM191" s="11" t="str">
        <f t="shared" si="14"/>
        <v>Needs Improvement</v>
      </c>
      <c r="AN191" s="11" t="str" cm="1">
        <f t="array" ref="AN191">_xlfn.IFS(N191&lt;10000,"Low",N191&lt;30000,"Medium",N191&gt;=30000,"High")</f>
        <v>Medium</v>
      </c>
      <c r="AO191" s="11" t="str">
        <f t="shared" si="15"/>
        <v>No</v>
      </c>
      <c r="AP191" s="11" t="str">
        <f t="shared" si="16"/>
        <v>Yes</v>
      </c>
      <c r="AQ191" s="11">
        <f t="shared" si="17"/>
        <v>0.2198928</v>
      </c>
      <c r="AR191" s="33"/>
      <c r="AS191" s="33"/>
      <c r="AT191" s="33"/>
      <c r="AU191" s="33"/>
      <c r="AV191" s="33"/>
      <c r="AW191" s="33"/>
      <c r="AX191" s="33" t="str">
        <f t="shared" si="18"/>
        <v>Low</v>
      </c>
    </row>
    <row r="192" spans="1:50">
      <c r="A192" s="9" t="s">
        <v>1719</v>
      </c>
      <c r="B192" s="10">
        <v>45630</v>
      </c>
      <c r="C192" s="11" t="s">
        <v>904</v>
      </c>
      <c r="D192" s="11" t="s">
        <v>1157</v>
      </c>
      <c r="E192" s="11" t="s">
        <v>55</v>
      </c>
      <c r="F192" s="11" t="s">
        <v>131</v>
      </c>
      <c r="G192" s="11" t="s">
        <v>132</v>
      </c>
      <c r="H192" s="11" t="s">
        <v>94</v>
      </c>
      <c r="I192" s="11" t="s">
        <v>84</v>
      </c>
      <c r="J192" s="11" t="s">
        <v>390</v>
      </c>
      <c r="K192" s="25">
        <v>8</v>
      </c>
      <c r="L192" s="25">
        <v>200</v>
      </c>
      <c r="M192" s="29">
        <v>0.1</v>
      </c>
      <c r="N192" s="25">
        <v>1440</v>
      </c>
      <c r="O192" s="25">
        <v>1059.02</v>
      </c>
      <c r="P192" s="25">
        <v>380.98</v>
      </c>
      <c r="Q192" s="21">
        <v>26.46</v>
      </c>
      <c r="R192" s="11" t="s">
        <v>73</v>
      </c>
      <c r="S192" s="11" t="s">
        <v>74</v>
      </c>
      <c r="T192" s="11" t="s">
        <v>75</v>
      </c>
      <c r="U192" s="11" t="s">
        <v>44</v>
      </c>
      <c r="V192" s="11">
        <v>2024</v>
      </c>
      <c r="W192" s="11" t="s">
        <v>194</v>
      </c>
      <c r="X192" s="11">
        <v>8</v>
      </c>
      <c r="Y192" s="10" t="s">
        <v>1297</v>
      </c>
      <c r="Z192" s="11" t="s">
        <v>89</v>
      </c>
      <c r="AA192" s="11" t="s">
        <v>90</v>
      </c>
      <c r="AB192" s="11" t="s">
        <v>78</v>
      </c>
      <c r="AC192" s="11" t="s">
        <v>121</v>
      </c>
      <c r="AD192" s="11">
        <v>4</v>
      </c>
      <c r="AE192" s="11" t="s">
        <v>2220</v>
      </c>
      <c r="AF192" s="11" t="s">
        <v>2235</v>
      </c>
      <c r="AG192" s="25"/>
      <c r="AH192" s="11"/>
      <c r="AI192" s="11"/>
      <c r="AJ192" s="11"/>
      <c r="AK192" s="11"/>
      <c r="AL192" s="11"/>
      <c r="AM192" s="11" t="str">
        <f t="shared" si="14"/>
        <v>Needs Improvement</v>
      </c>
      <c r="AN192" s="11" t="str" cm="1">
        <f t="array" ref="AN192">_xlfn.IFS(N192&lt;10000,"Low",N192&lt;30000,"Medium",N192&gt;=30000,"High")</f>
        <v>Low</v>
      </c>
      <c r="AO192" s="11" t="str">
        <f t="shared" si="15"/>
        <v>No</v>
      </c>
      <c r="AP192" s="11" t="str">
        <f t="shared" si="16"/>
        <v>Yes</v>
      </c>
      <c r="AQ192" s="11">
        <f t="shared" si="17"/>
        <v>0.26456944444444447</v>
      </c>
      <c r="AR192" s="33"/>
      <c r="AS192" s="33"/>
      <c r="AT192" s="33"/>
      <c r="AU192" s="33"/>
      <c r="AV192" s="33"/>
      <c r="AW192" s="33"/>
      <c r="AX192" s="33" t="str">
        <f t="shared" si="18"/>
        <v>Low</v>
      </c>
    </row>
    <row r="193" spans="1:50">
      <c r="A193" s="9" t="s">
        <v>1920</v>
      </c>
      <c r="B193" s="10">
        <v>45630</v>
      </c>
      <c r="C193" s="11" t="s">
        <v>1921</v>
      </c>
      <c r="D193" s="11" t="s">
        <v>717</v>
      </c>
      <c r="E193" s="11" t="s">
        <v>55</v>
      </c>
      <c r="F193" s="11" t="s">
        <v>144</v>
      </c>
      <c r="G193" s="11" t="s">
        <v>145</v>
      </c>
      <c r="H193" s="11" t="s">
        <v>94</v>
      </c>
      <c r="I193" s="11" t="s">
        <v>59</v>
      </c>
      <c r="J193" s="11" t="s">
        <v>133</v>
      </c>
      <c r="K193" s="25">
        <v>8</v>
      </c>
      <c r="L193" s="25">
        <v>800</v>
      </c>
      <c r="M193" s="29">
        <v>0.05</v>
      </c>
      <c r="N193" s="25">
        <v>6080</v>
      </c>
      <c r="O193" s="25">
        <v>4513.5200000000004</v>
      </c>
      <c r="P193" s="25">
        <v>1566.48</v>
      </c>
      <c r="Q193" s="21">
        <v>25.76</v>
      </c>
      <c r="R193" s="11" t="s">
        <v>106</v>
      </c>
      <c r="S193" s="11" t="s">
        <v>42</v>
      </c>
      <c r="T193" s="11" t="s">
        <v>159</v>
      </c>
      <c r="U193" s="11" t="s">
        <v>44</v>
      </c>
      <c r="V193" s="11">
        <v>2024</v>
      </c>
      <c r="W193" s="11" t="s">
        <v>194</v>
      </c>
      <c r="X193" s="11">
        <v>2</v>
      </c>
      <c r="Y193" s="10" t="s">
        <v>32</v>
      </c>
      <c r="Z193" s="11" t="s">
        <v>110</v>
      </c>
      <c r="AA193" s="11" t="s">
        <v>90</v>
      </c>
      <c r="AB193" s="11" t="s">
        <v>111</v>
      </c>
      <c r="AC193" s="11" t="s">
        <v>50</v>
      </c>
      <c r="AD193" s="11">
        <v>4</v>
      </c>
      <c r="AE193" s="11" t="s">
        <v>2233</v>
      </c>
      <c r="AF193" s="11" t="s">
        <v>2214</v>
      </c>
      <c r="AG193" s="25"/>
      <c r="AH193" s="11"/>
      <c r="AI193" s="11"/>
      <c r="AJ193" s="11"/>
      <c r="AK193" s="11"/>
      <c r="AL193" s="11"/>
      <c r="AM193" s="11" t="str">
        <f t="shared" si="14"/>
        <v>Needs Improvement</v>
      </c>
      <c r="AN193" s="11" t="str" cm="1">
        <f t="array" ref="AN193">_xlfn.IFS(N193&lt;10000,"Low",N193&lt;30000,"Medium",N193&gt;=30000,"High")</f>
        <v>Low</v>
      </c>
      <c r="AO193" s="11" t="str">
        <f t="shared" si="15"/>
        <v>No</v>
      </c>
      <c r="AP193" s="11" t="str">
        <f t="shared" si="16"/>
        <v>Yes</v>
      </c>
      <c r="AQ193" s="11">
        <f t="shared" si="17"/>
        <v>0.25764473684210526</v>
      </c>
      <c r="AR193" s="33"/>
      <c r="AS193" s="33"/>
      <c r="AT193" s="33"/>
      <c r="AU193" s="33"/>
      <c r="AV193" s="33"/>
      <c r="AW193" s="33"/>
      <c r="AX193" s="33" t="str">
        <f t="shared" si="18"/>
        <v>Low</v>
      </c>
    </row>
    <row r="194" spans="1:50">
      <c r="A194" s="9" t="s">
        <v>2157</v>
      </c>
      <c r="B194" s="10">
        <v>45630</v>
      </c>
      <c r="C194" s="11" t="s">
        <v>378</v>
      </c>
      <c r="D194" s="11" t="s">
        <v>571</v>
      </c>
      <c r="E194" s="11" t="s">
        <v>35</v>
      </c>
      <c r="F194" s="11" t="s">
        <v>104</v>
      </c>
      <c r="G194" s="11" t="s">
        <v>104</v>
      </c>
      <c r="H194" s="11" t="s">
        <v>38</v>
      </c>
      <c r="I194" s="11" t="s">
        <v>59</v>
      </c>
      <c r="J194" s="11" t="s">
        <v>328</v>
      </c>
      <c r="K194" s="25">
        <v>4</v>
      </c>
      <c r="L194" s="25">
        <v>500</v>
      </c>
      <c r="M194" s="29">
        <v>0</v>
      </c>
      <c r="N194" s="25">
        <v>2000</v>
      </c>
      <c r="O194" s="25">
        <v>1608.36</v>
      </c>
      <c r="P194" s="25">
        <v>391.64</v>
      </c>
      <c r="Q194" s="21">
        <v>19.579999999999998</v>
      </c>
      <c r="R194" s="11" t="s">
        <v>61</v>
      </c>
      <c r="S194" s="11" t="s">
        <v>62</v>
      </c>
      <c r="T194" s="11" t="s">
        <v>138</v>
      </c>
      <c r="U194" s="11" t="s">
        <v>44</v>
      </c>
      <c r="V194" s="11">
        <v>2024</v>
      </c>
      <c r="W194" s="11" t="s">
        <v>194</v>
      </c>
      <c r="X194" s="11">
        <v>8</v>
      </c>
      <c r="Y194" s="10" t="s">
        <v>1297</v>
      </c>
      <c r="Z194" s="11" t="s">
        <v>89</v>
      </c>
      <c r="AA194" s="11" t="s">
        <v>48</v>
      </c>
      <c r="AB194" s="11" t="s">
        <v>78</v>
      </c>
      <c r="AC194" s="11" t="s">
        <v>121</v>
      </c>
      <c r="AD194" s="11">
        <v>2</v>
      </c>
      <c r="AE194" s="11" t="s">
        <v>2234</v>
      </c>
      <c r="AF194" s="11" t="s">
        <v>2235</v>
      </c>
      <c r="AG194" s="25"/>
      <c r="AH194" s="11"/>
      <c r="AI194" s="11"/>
      <c r="AJ194" s="11"/>
      <c r="AK194" s="11"/>
      <c r="AL194" s="11"/>
      <c r="AM194" s="11" t="str">
        <f t="shared" ref="AM194:AM257" si="19">IF(Q194&gt;=30,"Good","Needs Improvement")</f>
        <v>Needs Improvement</v>
      </c>
      <c r="AN194" s="11" t="str" cm="1">
        <f t="array" ref="AN194">_xlfn.IFS(N194&lt;10000,"Low",N194&lt;30000,"Medium",N194&gt;=30000,"High")</f>
        <v>Low</v>
      </c>
      <c r="AO194" s="11" t="str">
        <f t="shared" ref="AO194:AO257" si="20">IF(AND(N194&gt;=30000,P194&gt;=10000),"Yes","No")</f>
        <v>No</v>
      </c>
      <c r="AP194" s="11" t="str">
        <f t="shared" ref="AP194:AP257" si="21">IF(OR(S194="Online",S194="Marketplace"),"Yes","No")</f>
        <v>No</v>
      </c>
      <c r="AQ194" s="11">
        <f t="shared" ref="AQ194:AQ257" si="22">IFERROR(P194/N194,"No Error")</f>
        <v>0.19581999999999999</v>
      </c>
      <c r="AR194" s="33"/>
      <c r="AS194" s="33"/>
      <c r="AT194" s="33"/>
      <c r="AU194" s="33"/>
      <c r="AV194" s="33"/>
      <c r="AW194" s="33"/>
      <c r="AX194" s="33" t="str">
        <f t="shared" ref="AX194:AX257" si="23">IF(P194&gt;=20000,"Excellent",IF(P194&gt;=10000,"Good",IF(P194&gt;=5000,"Average","Low")))</f>
        <v>Low</v>
      </c>
    </row>
    <row r="195" spans="1:50">
      <c r="A195" s="9" t="s">
        <v>1250</v>
      </c>
      <c r="B195" s="10">
        <v>45632</v>
      </c>
      <c r="C195" s="11" t="s">
        <v>386</v>
      </c>
      <c r="D195" s="11" t="s">
        <v>666</v>
      </c>
      <c r="E195" s="11" t="s">
        <v>103</v>
      </c>
      <c r="F195" s="11" t="s">
        <v>56</v>
      </c>
      <c r="G195" s="11" t="s">
        <v>57</v>
      </c>
      <c r="H195" s="11" t="s">
        <v>58</v>
      </c>
      <c r="I195" s="11" t="s">
        <v>59</v>
      </c>
      <c r="J195" s="11" t="s">
        <v>133</v>
      </c>
      <c r="K195" s="25">
        <v>7</v>
      </c>
      <c r="L195" s="25">
        <v>500</v>
      </c>
      <c r="M195" s="29">
        <v>0.05</v>
      </c>
      <c r="N195" s="25">
        <v>3325</v>
      </c>
      <c r="O195" s="25">
        <v>1854.91</v>
      </c>
      <c r="P195" s="25">
        <v>1470.09</v>
      </c>
      <c r="Q195" s="21">
        <v>44.21</v>
      </c>
      <c r="R195" s="11" t="s">
        <v>166</v>
      </c>
      <c r="S195" s="11" t="s">
        <v>74</v>
      </c>
      <c r="T195" s="11" t="s">
        <v>43</v>
      </c>
      <c r="U195" s="11" t="s">
        <v>160</v>
      </c>
      <c r="V195" s="11">
        <v>2024</v>
      </c>
      <c r="W195" s="11" t="s">
        <v>134</v>
      </c>
      <c r="X195" s="11">
        <v>5</v>
      </c>
      <c r="Y195" s="10" t="s">
        <v>153</v>
      </c>
      <c r="Z195" s="11" t="s">
        <v>47</v>
      </c>
      <c r="AA195" s="11" t="s">
        <v>90</v>
      </c>
      <c r="AB195" s="11" t="s">
        <v>78</v>
      </c>
      <c r="AC195" s="11" t="s">
        <v>50</v>
      </c>
      <c r="AD195" s="11">
        <v>1</v>
      </c>
      <c r="AE195" s="11" t="s">
        <v>2240</v>
      </c>
      <c r="AF195" s="11" t="s">
        <v>2222</v>
      </c>
      <c r="AG195" s="25"/>
      <c r="AH195" s="11"/>
      <c r="AI195" s="11"/>
      <c r="AJ195" s="11"/>
      <c r="AK195" s="11"/>
      <c r="AL195" s="11"/>
      <c r="AM195" s="11" t="str">
        <f t="shared" si="19"/>
        <v>Good</v>
      </c>
      <c r="AN195" s="11" t="str" cm="1">
        <f t="array" ref="AN195">_xlfn.IFS(N195&lt;10000,"Low",N195&lt;30000,"Medium",N195&gt;=30000,"High")</f>
        <v>Low</v>
      </c>
      <c r="AO195" s="11" t="str">
        <f t="shared" si="20"/>
        <v>No</v>
      </c>
      <c r="AP195" s="11" t="str">
        <f t="shared" si="21"/>
        <v>Yes</v>
      </c>
      <c r="AQ195" s="11">
        <f t="shared" si="22"/>
        <v>0.44213233082706765</v>
      </c>
      <c r="AR195" s="33"/>
      <c r="AS195" s="33"/>
      <c r="AT195" s="33"/>
      <c r="AU195" s="33"/>
      <c r="AV195" s="33"/>
      <c r="AW195" s="33"/>
      <c r="AX195" s="33" t="str">
        <f t="shared" si="23"/>
        <v>Low</v>
      </c>
    </row>
    <row r="196" spans="1:50">
      <c r="A196" s="9" t="s">
        <v>1466</v>
      </c>
      <c r="B196" s="10">
        <v>45634</v>
      </c>
      <c r="C196" s="11" t="s">
        <v>1285</v>
      </c>
      <c r="D196" s="11" t="s">
        <v>717</v>
      </c>
      <c r="E196" s="11" t="s">
        <v>103</v>
      </c>
      <c r="F196" s="11" t="s">
        <v>104</v>
      </c>
      <c r="G196" s="11" t="s">
        <v>104</v>
      </c>
      <c r="H196" s="11" t="s">
        <v>58</v>
      </c>
      <c r="I196" s="11" t="s">
        <v>59</v>
      </c>
      <c r="J196" s="11" t="s">
        <v>133</v>
      </c>
      <c r="K196" s="25">
        <v>6</v>
      </c>
      <c r="L196" s="25">
        <v>800</v>
      </c>
      <c r="M196" s="29">
        <v>0.1</v>
      </c>
      <c r="N196" s="25">
        <v>4320</v>
      </c>
      <c r="O196" s="25">
        <v>2547.96</v>
      </c>
      <c r="P196" s="25">
        <v>1772.04</v>
      </c>
      <c r="Q196" s="21">
        <v>41.02</v>
      </c>
      <c r="R196" s="11" t="s">
        <v>41</v>
      </c>
      <c r="S196" s="11" t="s">
        <v>62</v>
      </c>
      <c r="T196" s="11" t="s">
        <v>159</v>
      </c>
      <c r="U196" s="11" t="s">
        <v>218</v>
      </c>
      <c r="V196" s="11">
        <v>2024</v>
      </c>
      <c r="W196" s="11" t="s">
        <v>126</v>
      </c>
      <c r="X196" s="11">
        <v>8</v>
      </c>
      <c r="Y196" s="10" t="s">
        <v>1030</v>
      </c>
      <c r="Z196" s="11" t="s">
        <v>110</v>
      </c>
      <c r="AA196" s="11" t="s">
        <v>48</v>
      </c>
      <c r="AB196" s="11" t="s">
        <v>111</v>
      </c>
      <c r="AC196" s="11" t="s">
        <v>121</v>
      </c>
      <c r="AD196" s="11">
        <v>3</v>
      </c>
      <c r="AE196" s="11" t="s">
        <v>2233</v>
      </c>
      <c r="AF196" s="11" t="s">
        <v>2214</v>
      </c>
      <c r="AG196" s="25"/>
      <c r="AH196" s="11"/>
      <c r="AI196" s="11"/>
      <c r="AJ196" s="11"/>
      <c r="AK196" s="11"/>
      <c r="AL196" s="11"/>
      <c r="AM196" s="11" t="str">
        <f t="shared" si="19"/>
        <v>Good</v>
      </c>
      <c r="AN196" s="11" t="str" cm="1">
        <f t="array" ref="AN196">_xlfn.IFS(N196&lt;10000,"Low",N196&lt;30000,"Medium",N196&gt;=30000,"High")</f>
        <v>Low</v>
      </c>
      <c r="AO196" s="11" t="str">
        <f t="shared" si="20"/>
        <v>No</v>
      </c>
      <c r="AP196" s="11" t="str">
        <f t="shared" si="21"/>
        <v>No</v>
      </c>
      <c r="AQ196" s="11">
        <f t="shared" si="22"/>
        <v>0.41019444444444442</v>
      </c>
      <c r="AR196" s="33"/>
      <c r="AS196" s="33"/>
      <c r="AT196" s="33"/>
      <c r="AU196" s="33"/>
      <c r="AV196" s="33"/>
      <c r="AW196" s="33"/>
      <c r="AX196" s="33" t="str">
        <f t="shared" si="23"/>
        <v>Low</v>
      </c>
    </row>
    <row r="197" spans="1:50">
      <c r="A197" s="9" t="s">
        <v>667</v>
      </c>
      <c r="B197" s="10">
        <v>45635</v>
      </c>
      <c r="C197" s="11" t="s">
        <v>668</v>
      </c>
      <c r="D197" s="11" t="s">
        <v>669</v>
      </c>
      <c r="E197" s="11" t="s">
        <v>35</v>
      </c>
      <c r="F197" s="11" t="s">
        <v>156</v>
      </c>
      <c r="G197" s="11" t="s">
        <v>157</v>
      </c>
      <c r="H197" s="11" t="s">
        <v>171</v>
      </c>
      <c r="I197" s="11" t="s">
        <v>39</v>
      </c>
      <c r="J197" s="11" t="s">
        <v>40</v>
      </c>
      <c r="K197" s="25">
        <v>3</v>
      </c>
      <c r="L197" s="25">
        <v>50000</v>
      </c>
      <c r="M197" s="29">
        <v>0.05</v>
      </c>
      <c r="N197" s="25">
        <v>142500</v>
      </c>
      <c r="O197" s="25">
        <v>110250.84</v>
      </c>
      <c r="P197" s="25">
        <v>32249.16</v>
      </c>
      <c r="Q197" s="21">
        <v>22.63</v>
      </c>
      <c r="R197" s="11" t="s">
        <v>166</v>
      </c>
      <c r="S197" s="11" t="s">
        <v>62</v>
      </c>
      <c r="T197" s="11" t="s">
        <v>138</v>
      </c>
      <c r="U197" s="11" t="s">
        <v>108</v>
      </c>
      <c r="V197" s="11">
        <v>2024</v>
      </c>
      <c r="W197" s="11" t="s">
        <v>139</v>
      </c>
      <c r="X197" s="11">
        <v>3</v>
      </c>
      <c r="Y197" s="10" t="s">
        <v>632</v>
      </c>
      <c r="Z197" s="11" t="s">
        <v>47</v>
      </c>
      <c r="AA197" s="11" t="s">
        <v>90</v>
      </c>
      <c r="AB197" s="11" t="s">
        <v>111</v>
      </c>
      <c r="AC197" s="11" t="s">
        <v>121</v>
      </c>
      <c r="AD197" s="11">
        <v>4</v>
      </c>
      <c r="AE197" s="11" t="s">
        <v>118</v>
      </c>
      <c r="AF197" s="11" t="s">
        <v>2219</v>
      </c>
      <c r="AG197" s="25"/>
      <c r="AH197" s="11"/>
      <c r="AI197" s="11"/>
      <c r="AJ197" s="11"/>
      <c r="AK197" s="11"/>
      <c r="AL197" s="11"/>
      <c r="AM197" s="11" t="str">
        <f t="shared" si="19"/>
        <v>Needs Improvement</v>
      </c>
      <c r="AN197" s="11" t="str" cm="1">
        <f t="array" ref="AN197">_xlfn.IFS(N197&lt;10000,"Low",N197&lt;30000,"Medium",N197&gt;=30000,"High")</f>
        <v>High</v>
      </c>
      <c r="AO197" s="11" t="str">
        <f t="shared" si="20"/>
        <v>Yes</v>
      </c>
      <c r="AP197" s="11" t="str">
        <f t="shared" si="21"/>
        <v>No</v>
      </c>
      <c r="AQ197" s="11">
        <f t="shared" si="22"/>
        <v>0.2263098947368421</v>
      </c>
      <c r="AR197" s="33"/>
      <c r="AS197" s="33"/>
      <c r="AT197" s="33"/>
      <c r="AU197" s="33"/>
      <c r="AV197" s="33"/>
      <c r="AW197" s="33"/>
      <c r="AX197" s="33" t="str">
        <f t="shared" si="23"/>
        <v>Excellent</v>
      </c>
    </row>
    <row r="198" spans="1:50">
      <c r="A198" s="9" t="s">
        <v>1668</v>
      </c>
      <c r="B198" s="10">
        <v>45636</v>
      </c>
      <c r="C198" s="11" t="s">
        <v>1212</v>
      </c>
      <c r="D198" s="11" t="s">
        <v>623</v>
      </c>
      <c r="E198" s="11" t="s">
        <v>35</v>
      </c>
      <c r="F198" s="11" t="s">
        <v>56</v>
      </c>
      <c r="G198" s="11" t="s">
        <v>57</v>
      </c>
      <c r="H198" s="11" t="s">
        <v>171</v>
      </c>
      <c r="I198" s="11" t="s">
        <v>71</v>
      </c>
      <c r="J198" s="11" t="s">
        <v>158</v>
      </c>
      <c r="K198" s="25">
        <v>5</v>
      </c>
      <c r="L198" s="25">
        <v>700</v>
      </c>
      <c r="M198" s="29">
        <v>0.05</v>
      </c>
      <c r="N198" s="25">
        <v>3325</v>
      </c>
      <c r="O198" s="25">
        <v>2550.2199999999998</v>
      </c>
      <c r="P198" s="25">
        <v>774.78</v>
      </c>
      <c r="Q198" s="21">
        <v>23.3</v>
      </c>
      <c r="R198" s="11" t="s">
        <v>61</v>
      </c>
      <c r="S198" s="11" t="s">
        <v>62</v>
      </c>
      <c r="T198" s="11" t="s">
        <v>107</v>
      </c>
      <c r="U198" s="11" t="s">
        <v>87</v>
      </c>
      <c r="V198" s="11">
        <v>2024</v>
      </c>
      <c r="W198" s="11" t="s">
        <v>65</v>
      </c>
      <c r="X198" s="11">
        <v>2</v>
      </c>
      <c r="Y198" s="10" t="s">
        <v>298</v>
      </c>
      <c r="Z198" s="11" t="s">
        <v>47</v>
      </c>
      <c r="AA198" s="11" t="s">
        <v>48</v>
      </c>
      <c r="AB198" s="11" t="s">
        <v>49</v>
      </c>
      <c r="AC198" s="11" t="s">
        <v>50</v>
      </c>
      <c r="AD198" s="11">
        <v>1</v>
      </c>
      <c r="AE198" s="11" t="s">
        <v>2237</v>
      </c>
      <c r="AF198" s="11" t="s">
        <v>2236</v>
      </c>
      <c r="AG198" s="25"/>
      <c r="AH198" s="11"/>
      <c r="AI198" s="11"/>
      <c r="AJ198" s="11"/>
      <c r="AK198" s="11"/>
      <c r="AL198" s="11"/>
      <c r="AM198" s="11" t="str">
        <f t="shared" si="19"/>
        <v>Needs Improvement</v>
      </c>
      <c r="AN198" s="11" t="str" cm="1">
        <f t="array" ref="AN198">_xlfn.IFS(N198&lt;10000,"Low",N198&lt;30000,"Medium",N198&gt;=30000,"High")</f>
        <v>Low</v>
      </c>
      <c r="AO198" s="11" t="str">
        <f t="shared" si="20"/>
        <v>No</v>
      </c>
      <c r="AP198" s="11" t="str">
        <f t="shared" si="21"/>
        <v>No</v>
      </c>
      <c r="AQ198" s="11">
        <f t="shared" si="22"/>
        <v>0.23301654135338346</v>
      </c>
      <c r="AR198" s="33"/>
      <c r="AS198" s="33"/>
      <c r="AT198" s="33"/>
      <c r="AU198" s="33"/>
      <c r="AV198" s="33"/>
      <c r="AW198" s="33"/>
      <c r="AX198" s="33" t="str">
        <f t="shared" si="23"/>
        <v>Low</v>
      </c>
    </row>
    <row r="199" spans="1:50">
      <c r="A199" s="9" t="s">
        <v>2147</v>
      </c>
      <c r="B199" s="10">
        <v>45636</v>
      </c>
      <c r="C199" s="11" t="s">
        <v>801</v>
      </c>
      <c r="D199" s="11" t="s">
        <v>1362</v>
      </c>
      <c r="E199" s="11" t="s">
        <v>103</v>
      </c>
      <c r="F199" s="11" t="s">
        <v>116</v>
      </c>
      <c r="G199" s="11" t="s">
        <v>37</v>
      </c>
      <c r="H199" s="11" t="s">
        <v>171</v>
      </c>
      <c r="I199" s="11" t="s">
        <v>39</v>
      </c>
      <c r="J199" s="11" t="s">
        <v>253</v>
      </c>
      <c r="K199" s="25">
        <v>3</v>
      </c>
      <c r="L199" s="25">
        <v>12000</v>
      </c>
      <c r="M199" s="29">
        <v>0.05</v>
      </c>
      <c r="N199" s="25">
        <v>34200</v>
      </c>
      <c r="O199" s="25">
        <v>23455.61</v>
      </c>
      <c r="P199" s="25">
        <v>10744.39</v>
      </c>
      <c r="Q199" s="21">
        <v>31.42</v>
      </c>
      <c r="R199" s="11" t="s">
        <v>106</v>
      </c>
      <c r="S199" s="11" t="s">
        <v>74</v>
      </c>
      <c r="T199" s="11" t="s">
        <v>173</v>
      </c>
      <c r="U199" s="11" t="s">
        <v>87</v>
      </c>
      <c r="V199" s="11">
        <v>2024</v>
      </c>
      <c r="W199" s="11" t="s">
        <v>65</v>
      </c>
      <c r="X199" s="11">
        <v>8</v>
      </c>
      <c r="Y199" s="10" t="s">
        <v>970</v>
      </c>
      <c r="Z199" s="11" t="s">
        <v>47</v>
      </c>
      <c r="AA199" s="11" t="s">
        <v>67</v>
      </c>
      <c r="AB199" s="11" t="s">
        <v>111</v>
      </c>
      <c r="AC199" s="11" t="s">
        <v>121</v>
      </c>
      <c r="AD199" s="11">
        <v>2</v>
      </c>
      <c r="AE199" s="11" t="s">
        <v>2234</v>
      </c>
      <c r="AF199" s="11" t="s">
        <v>2236</v>
      </c>
      <c r="AG199" s="25"/>
      <c r="AH199" s="11"/>
      <c r="AI199" s="11"/>
      <c r="AJ199" s="11"/>
      <c r="AK199" s="11"/>
      <c r="AL199" s="11"/>
      <c r="AM199" s="11" t="str">
        <f t="shared" si="19"/>
        <v>Good</v>
      </c>
      <c r="AN199" s="11" t="str" cm="1">
        <f t="array" ref="AN199">_xlfn.IFS(N199&lt;10000,"Low",N199&lt;30000,"Medium",N199&gt;=30000,"High")</f>
        <v>High</v>
      </c>
      <c r="AO199" s="11" t="str">
        <f t="shared" si="20"/>
        <v>Yes</v>
      </c>
      <c r="AP199" s="11" t="str">
        <f t="shared" si="21"/>
        <v>Yes</v>
      </c>
      <c r="AQ199" s="11">
        <f t="shared" si="22"/>
        <v>0.31416345029239762</v>
      </c>
      <c r="AR199" s="33"/>
      <c r="AS199" s="33"/>
      <c r="AT199" s="33"/>
      <c r="AU199" s="33"/>
      <c r="AV199" s="33"/>
      <c r="AW199" s="33"/>
      <c r="AX199" s="33" t="str">
        <f t="shared" si="23"/>
        <v>Good</v>
      </c>
    </row>
    <row r="200" spans="1:50">
      <c r="A200" s="9" t="s">
        <v>1195</v>
      </c>
      <c r="B200" s="10">
        <v>45638</v>
      </c>
      <c r="C200" s="11" t="s">
        <v>612</v>
      </c>
      <c r="D200" s="11" t="s">
        <v>1043</v>
      </c>
      <c r="E200" s="11" t="s">
        <v>55</v>
      </c>
      <c r="F200" s="11" t="s">
        <v>56</v>
      </c>
      <c r="G200" s="11" t="s">
        <v>57</v>
      </c>
      <c r="H200" s="11" t="s">
        <v>58</v>
      </c>
      <c r="I200" s="11" t="s">
        <v>84</v>
      </c>
      <c r="J200" s="11" t="s">
        <v>217</v>
      </c>
      <c r="K200" s="25">
        <v>3</v>
      </c>
      <c r="L200" s="25">
        <v>800</v>
      </c>
      <c r="M200" s="29">
        <v>0.15</v>
      </c>
      <c r="N200" s="25">
        <v>2040</v>
      </c>
      <c r="O200" s="25">
        <v>1617.82</v>
      </c>
      <c r="P200" s="25">
        <v>422.18</v>
      </c>
      <c r="Q200" s="21">
        <v>20.7</v>
      </c>
      <c r="R200" s="11" t="s">
        <v>166</v>
      </c>
      <c r="S200" s="11" t="s">
        <v>42</v>
      </c>
      <c r="T200" s="11" t="s">
        <v>86</v>
      </c>
      <c r="U200" s="11" t="s">
        <v>64</v>
      </c>
      <c r="V200" s="11">
        <v>2024</v>
      </c>
      <c r="W200" s="11" t="s">
        <v>139</v>
      </c>
      <c r="X200" s="11">
        <v>2</v>
      </c>
      <c r="Y200" s="10" t="s">
        <v>52</v>
      </c>
      <c r="Z200" s="11" t="s">
        <v>110</v>
      </c>
      <c r="AA200" s="11" t="s">
        <v>67</v>
      </c>
      <c r="AB200" s="11" t="s">
        <v>78</v>
      </c>
      <c r="AC200" s="11" t="s">
        <v>121</v>
      </c>
      <c r="AD200" s="11">
        <v>3</v>
      </c>
      <c r="AE200" s="11" t="s">
        <v>2240</v>
      </c>
      <c r="AF200" s="11" t="s">
        <v>2224</v>
      </c>
      <c r="AG200" s="25"/>
      <c r="AH200" s="11"/>
      <c r="AI200" s="11"/>
      <c r="AJ200" s="11"/>
      <c r="AK200" s="11"/>
      <c r="AL200" s="11"/>
      <c r="AM200" s="11" t="str">
        <f t="shared" si="19"/>
        <v>Needs Improvement</v>
      </c>
      <c r="AN200" s="11" t="str" cm="1">
        <f t="array" ref="AN200">_xlfn.IFS(N200&lt;10000,"Low",N200&lt;30000,"Medium",N200&gt;=30000,"High")</f>
        <v>Low</v>
      </c>
      <c r="AO200" s="11" t="str">
        <f t="shared" si="20"/>
        <v>No</v>
      </c>
      <c r="AP200" s="11" t="str">
        <f t="shared" si="21"/>
        <v>Yes</v>
      </c>
      <c r="AQ200" s="11">
        <f t="shared" si="22"/>
        <v>0.20695098039215687</v>
      </c>
      <c r="AR200" s="33"/>
      <c r="AS200" s="33"/>
      <c r="AT200" s="33"/>
      <c r="AU200" s="33"/>
      <c r="AV200" s="33"/>
      <c r="AW200" s="33"/>
      <c r="AX200" s="33" t="str">
        <f t="shared" si="23"/>
        <v>Low</v>
      </c>
    </row>
    <row r="201" spans="1:50">
      <c r="A201" s="9" t="s">
        <v>1495</v>
      </c>
      <c r="B201" s="10">
        <v>45638</v>
      </c>
      <c r="C201" s="11" t="s">
        <v>514</v>
      </c>
      <c r="D201" s="11" t="s">
        <v>268</v>
      </c>
      <c r="E201" s="11" t="s">
        <v>55</v>
      </c>
      <c r="F201" s="11" t="s">
        <v>156</v>
      </c>
      <c r="G201" s="11" t="s">
        <v>157</v>
      </c>
      <c r="H201" s="11" t="s">
        <v>171</v>
      </c>
      <c r="I201" s="11" t="s">
        <v>71</v>
      </c>
      <c r="J201" s="11" t="s">
        <v>158</v>
      </c>
      <c r="K201" s="25">
        <v>3</v>
      </c>
      <c r="L201" s="25">
        <v>1800</v>
      </c>
      <c r="M201" s="29">
        <v>0</v>
      </c>
      <c r="N201" s="25">
        <v>5400</v>
      </c>
      <c r="O201" s="25">
        <v>4210.43</v>
      </c>
      <c r="P201" s="25">
        <v>1189.57</v>
      </c>
      <c r="Q201" s="21">
        <v>22.03</v>
      </c>
      <c r="R201" s="11" t="s">
        <v>61</v>
      </c>
      <c r="S201" s="11" t="s">
        <v>74</v>
      </c>
      <c r="T201" s="11" t="s">
        <v>43</v>
      </c>
      <c r="U201" s="11" t="s">
        <v>64</v>
      </c>
      <c r="V201" s="11">
        <v>2024</v>
      </c>
      <c r="W201" s="11" t="s">
        <v>139</v>
      </c>
      <c r="X201" s="11">
        <v>4</v>
      </c>
      <c r="Y201" s="10" t="s">
        <v>826</v>
      </c>
      <c r="Z201" s="11" t="s">
        <v>89</v>
      </c>
      <c r="AA201" s="11" t="s">
        <v>48</v>
      </c>
      <c r="AB201" s="11" t="s">
        <v>111</v>
      </c>
      <c r="AC201" s="11" t="s">
        <v>50</v>
      </c>
      <c r="AD201" s="11">
        <v>2</v>
      </c>
      <c r="AE201" s="11" t="s">
        <v>2218</v>
      </c>
      <c r="AF201" s="11" t="s">
        <v>2228</v>
      </c>
      <c r="AG201" s="25"/>
      <c r="AH201" s="11"/>
      <c r="AI201" s="11"/>
      <c r="AJ201" s="11"/>
      <c r="AK201" s="11"/>
      <c r="AL201" s="11"/>
      <c r="AM201" s="11" t="str">
        <f t="shared" si="19"/>
        <v>Needs Improvement</v>
      </c>
      <c r="AN201" s="11" t="str" cm="1">
        <f t="array" ref="AN201">_xlfn.IFS(N201&lt;10000,"Low",N201&lt;30000,"Medium",N201&gt;=30000,"High")</f>
        <v>Low</v>
      </c>
      <c r="AO201" s="11" t="str">
        <f t="shared" si="20"/>
        <v>No</v>
      </c>
      <c r="AP201" s="11" t="str">
        <f t="shared" si="21"/>
        <v>Yes</v>
      </c>
      <c r="AQ201" s="11">
        <f t="shared" si="22"/>
        <v>0.22029074074074073</v>
      </c>
      <c r="AR201" s="33"/>
      <c r="AS201" s="33"/>
      <c r="AT201" s="33"/>
      <c r="AU201" s="33"/>
      <c r="AV201" s="33"/>
      <c r="AW201" s="33"/>
      <c r="AX201" s="33" t="str">
        <f t="shared" si="23"/>
        <v>Low</v>
      </c>
    </row>
    <row r="202" spans="1:50">
      <c r="A202" s="9" t="s">
        <v>1829</v>
      </c>
      <c r="B202" s="10">
        <v>45658</v>
      </c>
      <c r="C202" s="11" t="s">
        <v>312</v>
      </c>
      <c r="D202" s="11" t="s">
        <v>650</v>
      </c>
      <c r="E202" s="11" t="s">
        <v>103</v>
      </c>
      <c r="F202" s="11" t="s">
        <v>245</v>
      </c>
      <c r="G202" s="11" t="s">
        <v>246</v>
      </c>
      <c r="H202" s="11" t="s">
        <v>58</v>
      </c>
      <c r="I202" s="11" t="s">
        <v>95</v>
      </c>
      <c r="J202" s="11" t="s">
        <v>440</v>
      </c>
      <c r="K202" s="25">
        <v>4</v>
      </c>
      <c r="L202" s="25">
        <v>9000</v>
      </c>
      <c r="M202" s="29">
        <v>0</v>
      </c>
      <c r="N202" s="25">
        <v>36000</v>
      </c>
      <c r="O202" s="25">
        <v>27682.02</v>
      </c>
      <c r="P202" s="25">
        <v>8317.98</v>
      </c>
      <c r="Q202" s="21">
        <v>23.11</v>
      </c>
      <c r="R202" s="11" t="s">
        <v>61</v>
      </c>
      <c r="S202" s="11" t="s">
        <v>42</v>
      </c>
      <c r="T202" s="11" t="s">
        <v>63</v>
      </c>
      <c r="U202" s="11" t="s">
        <v>76</v>
      </c>
      <c r="V202" s="11">
        <v>2025</v>
      </c>
      <c r="W202" s="11" t="s">
        <v>134</v>
      </c>
      <c r="X202" s="11">
        <v>1</v>
      </c>
      <c r="Y202" s="10">
        <v>45689</v>
      </c>
      <c r="Z202" s="11" t="s">
        <v>110</v>
      </c>
      <c r="AA202" s="11" t="s">
        <v>48</v>
      </c>
      <c r="AB202" s="11" t="s">
        <v>111</v>
      </c>
      <c r="AC202" s="11" t="s">
        <v>50</v>
      </c>
      <c r="AD202" s="11">
        <v>5</v>
      </c>
      <c r="AE202" s="11" t="s">
        <v>2229</v>
      </c>
      <c r="AF202" s="11" t="s">
        <v>2224</v>
      </c>
      <c r="AG202" s="25"/>
      <c r="AH202" s="11"/>
      <c r="AI202" s="11"/>
      <c r="AJ202" s="11"/>
      <c r="AK202" s="11"/>
      <c r="AL202" s="11"/>
      <c r="AM202" s="11" t="str">
        <f t="shared" si="19"/>
        <v>Needs Improvement</v>
      </c>
      <c r="AN202" s="11" t="str" cm="1">
        <f t="array" ref="AN202">_xlfn.IFS(N202&lt;10000,"Low",N202&lt;30000,"Medium",N202&gt;=30000,"High")</f>
        <v>High</v>
      </c>
      <c r="AO202" s="11" t="str">
        <f t="shared" si="20"/>
        <v>No</v>
      </c>
      <c r="AP202" s="11" t="str">
        <f t="shared" si="21"/>
        <v>Yes</v>
      </c>
      <c r="AQ202" s="11">
        <f t="shared" si="22"/>
        <v>0.23105499999999998</v>
      </c>
      <c r="AR202" s="33"/>
      <c r="AS202" s="33"/>
      <c r="AT202" s="33"/>
      <c r="AU202" s="33"/>
      <c r="AV202" s="33"/>
      <c r="AW202" s="33"/>
      <c r="AX202" s="33" t="str">
        <f t="shared" si="23"/>
        <v>Average</v>
      </c>
    </row>
    <row r="203" spans="1:50">
      <c r="A203" s="9" t="s">
        <v>1290</v>
      </c>
      <c r="B203" s="10">
        <v>45659</v>
      </c>
      <c r="C203" s="11" t="s">
        <v>902</v>
      </c>
      <c r="D203" s="11" t="s">
        <v>515</v>
      </c>
      <c r="E203" s="11" t="s">
        <v>55</v>
      </c>
      <c r="F203" s="11" t="s">
        <v>149</v>
      </c>
      <c r="G203" s="11" t="s">
        <v>150</v>
      </c>
      <c r="H203" s="11" t="s">
        <v>94</v>
      </c>
      <c r="I203" s="11" t="s">
        <v>71</v>
      </c>
      <c r="J203" s="11" t="s">
        <v>72</v>
      </c>
      <c r="K203" s="25">
        <v>1</v>
      </c>
      <c r="L203" s="25">
        <v>1200</v>
      </c>
      <c r="M203" s="29">
        <v>0.05</v>
      </c>
      <c r="N203" s="25">
        <v>1140</v>
      </c>
      <c r="O203" s="25">
        <v>826.2</v>
      </c>
      <c r="P203" s="25">
        <v>313.8</v>
      </c>
      <c r="Q203" s="21">
        <v>27.53</v>
      </c>
      <c r="R203" s="11" t="s">
        <v>166</v>
      </c>
      <c r="S203" s="11" t="s">
        <v>42</v>
      </c>
      <c r="T203" s="11" t="s">
        <v>159</v>
      </c>
      <c r="U203" s="11" t="s">
        <v>98</v>
      </c>
      <c r="V203" s="11">
        <v>2025</v>
      </c>
      <c r="W203" s="11" t="s">
        <v>65</v>
      </c>
      <c r="X203" s="11">
        <v>7</v>
      </c>
      <c r="Y203" s="10">
        <v>45871</v>
      </c>
      <c r="Z203" s="11" t="s">
        <v>47</v>
      </c>
      <c r="AA203" s="11" t="s">
        <v>48</v>
      </c>
      <c r="AB203" s="11" t="s">
        <v>111</v>
      </c>
      <c r="AC203" s="11" t="s">
        <v>121</v>
      </c>
      <c r="AD203" s="11">
        <v>3</v>
      </c>
      <c r="AE203" s="11" t="s">
        <v>2233</v>
      </c>
      <c r="AF203" s="11" t="s">
        <v>2224</v>
      </c>
      <c r="AG203" s="25"/>
      <c r="AH203" s="11"/>
      <c r="AI203" s="11"/>
      <c r="AJ203" s="11"/>
      <c r="AK203" s="11"/>
      <c r="AL203" s="11"/>
      <c r="AM203" s="11" t="str">
        <f t="shared" si="19"/>
        <v>Needs Improvement</v>
      </c>
      <c r="AN203" s="11" t="str" cm="1">
        <f t="array" ref="AN203">_xlfn.IFS(N203&lt;10000,"Low",N203&lt;30000,"Medium",N203&gt;=30000,"High")</f>
        <v>Low</v>
      </c>
      <c r="AO203" s="11" t="str">
        <f t="shared" si="20"/>
        <v>No</v>
      </c>
      <c r="AP203" s="11" t="str">
        <f t="shared" si="21"/>
        <v>Yes</v>
      </c>
      <c r="AQ203" s="11">
        <f t="shared" si="22"/>
        <v>0.27526315789473688</v>
      </c>
      <c r="AR203" s="33"/>
      <c r="AS203" s="33"/>
      <c r="AT203" s="33"/>
      <c r="AU203" s="33"/>
      <c r="AV203" s="33"/>
      <c r="AW203" s="33"/>
      <c r="AX203" s="33" t="str">
        <f t="shared" si="23"/>
        <v>Low</v>
      </c>
    </row>
    <row r="204" spans="1:50">
      <c r="A204" s="9" t="s">
        <v>1291</v>
      </c>
      <c r="B204" s="10">
        <v>45659</v>
      </c>
      <c r="C204" s="11" t="s">
        <v>1292</v>
      </c>
      <c r="D204" s="11" t="s">
        <v>485</v>
      </c>
      <c r="E204" s="11" t="s">
        <v>55</v>
      </c>
      <c r="F204" s="11" t="s">
        <v>36</v>
      </c>
      <c r="G204" s="11" t="s">
        <v>37</v>
      </c>
      <c r="H204" s="11" t="s">
        <v>171</v>
      </c>
      <c r="I204" s="11" t="s">
        <v>84</v>
      </c>
      <c r="J204" s="11" t="s">
        <v>217</v>
      </c>
      <c r="K204" s="25">
        <v>4</v>
      </c>
      <c r="L204" s="25">
        <v>500</v>
      </c>
      <c r="M204" s="29">
        <v>0.15</v>
      </c>
      <c r="N204" s="25">
        <v>1700</v>
      </c>
      <c r="O204" s="25">
        <v>1193.44</v>
      </c>
      <c r="P204" s="25">
        <v>506.56</v>
      </c>
      <c r="Q204" s="21">
        <v>29.8</v>
      </c>
      <c r="R204" s="11" t="s">
        <v>41</v>
      </c>
      <c r="S204" s="11" t="s">
        <v>74</v>
      </c>
      <c r="T204" s="11" t="s">
        <v>75</v>
      </c>
      <c r="U204" s="11" t="s">
        <v>98</v>
      </c>
      <c r="V204" s="11">
        <v>2025</v>
      </c>
      <c r="W204" s="11" t="s">
        <v>65</v>
      </c>
      <c r="X204" s="11">
        <v>8</v>
      </c>
      <c r="Y204" s="10">
        <v>45902</v>
      </c>
      <c r="Z204" s="11" t="s">
        <v>47</v>
      </c>
      <c r="AA204" s="11" t="s">
        <v>48</v>
      </c>
      <c r="AB204" s="11" t="s">
        <v>78</v>
      </c>
      <c r="AC204" s="11" t="s">
        <v>121</v>
      </c>
      <c r="AD204" s="11">
        <v>1</v>
      </c>
      <c r="AE204" s="11" t="s">
        <v>2237</v>
      </c>
      <c r="AF204" s="11" t="s">
        <v>2238</v>
      </c>
      <c r="AG204" s="25"/>
      <c r="AH204" s="11"/>
      <c r="AI204" s="11"/>
      <c r="AJ204" s="11"/>
      <c r="AK204" s="11"/>
      <c r="AL204" s="11"/>
      <c r="AM204" s="11" t="str">
        <f t="shared" si="19"/>
        <v>Needs Improvement</v>
      </c>
      <c r="AN204" s="11" t="str" cm="1">
        <f t="array" ref="AN204">_xlfn.IFS(N204&lt;10000,"Low",N204&lt;30000,"Medium",N204&gt;=30000,"High")</f>
        <v>Low</v>
      </c>
      <c r="AO204" s="11" t="str">
        <f t="shared" si="20"/>
        <v>No</v>
      </c>
      <c r="AP204" s="11" t="str">
        <f t="shared" si="21"/>
        <v>Yes</v>
      </c>
      <c r="AQ204" s="11">
        <f t="shared" si="22"/>
        <v>0.29797647058823529</v>
      </c>
      <c r="AR204" s="33"/>
      <c r="AS204" s="33"/>
      <c r="AT204" s="33"/>
      <c r="AU204" s="33"/>
      <c r="AV204" s="33"/>
      <c r="AW204" s="33"/>
      <c r="AX204" s="33" t="str">
        <f t="shared" si="23"/>
        <v>Low</v>
      </c>
    </row>
    <row r="205" spans="1:50">
      <c r="A205" s="9" t="s">
        <v>558</v>
      </c>
      <c r="B205" s="10">
        <v>45660</v>
      </c>
      <c r="C205" s="11" t="s">
        <v>559</v>
      </c>
      <c r="D205" s="11" t="s">
        <v>560</v>
      </c>
      <c r="E205" s="11" t="s">
        <v>35</v>
      </c>
      <c r="F205" s="11" t="s">
        <v>131</v>
      </c>
      <c r="G205" s="11" t="s">
        <v>132</v>
      </c>
      <c r="H205" s="11" t="s">
        <v>94</v>
      </c>
      <c r="I205" s="11" t="s">
        <v>71</v>
      </c>
      <c r="J205" s="11" t="s">
        <v>72</v>
      </c>
      <c r="K205" s="25">
        <v>8</v>
      </c>
      <c r="L205" s="25">
        <v>1200</v>
      </c>
      <c r="M205" s="29">
        <v>0.2</v>
      </c>
      <c r="N205" s="25">
        <v>7680</v>
      </c>
      <c r="O205" s="25">
        <v>4343.72</v>
      </c>
      <c r="P205" s="25">
        <v>3336.28</v>
      </c>
      <c r="Q205" s="21">
        <v>43.44</v>
      </c>
      <c r="R205" s="11" t="s">
        <v>61</v>
      </c>
      <c r="S205" s="11" t="s">
        <v>74</v>
      </c>
      <c r="T205" s="11" t="s">
        <v>86</v>
      </c>
      <c r="U205" s="11" t="s">
        <v>178</v>
      </c>
      <c r="V205" s="11">
        <v>2025</v>
      </c>
      <c r="W205" s="11" t="s">
        <v>65</v>
      </c>
      <c r="X205" s="11">
        <v>8</v>
      </c>
      <c r="Y205" s="10">
        <v>45903</v>
      </c>
      <c r="Z205" s="11" t="s">
        <v>89</v>
      </c>
      <c r="AA205" s="11" t="s">
        <v>48</v>
      </c>
      <c r="AB205" s="11" t="s">
        <v>49</v>
      </c>
      <c r="AC205" s="11" t="s">
        <v>121</v>
      </c>
      <c r="AD205" s="11">
        <v>4</v>
      </c>
      <c r="AE205" s="11" t="s">
        <v>2218</v>
      </c>
      <c r="AF205" s="11" t="s">
        <v>2214</v>
      </c>
      <c r="AG205" s="25"/>
      <c r="AH205" s="11"/>
      <c r="AI205" s="11"/>
      <c r="AJ205" s="11"/>
      <c r="AK205" s="11"/>
      <c r="AL205" s="11"/>
      <c r="AM205" s="11" t="str">
        <f t="shared" si="19"/>
        <v>Good</v>
      </c>
      <c r="AN205" s="11" t="str" cm="1">
        <f t="array" ref="AN205">_xlfn.IFS(N205&lt;10000,"Low",N205&lt;30000,"Medium",N205&gt;=30000,"High")</f>
        <v>Low</v>
      </c>
      <c r="AO205" s="11" t="str">
        <f t="shared" si="20"/>
        <v>No</v>
      </c>
      <c r="AP205" s="11" t="str">
        <f t="shared" si="21"/>
        <v>Yes</v>
      </c>
      <c r="AQ205" s="11">
        <f t="shared" si="22"/>
        <v>0.43441145833333333</v>
      </c>
      <c r="AR205" s="33"/>
      <c r="AS205" s="33"/>
      <c r="AT205" s="33"/>
      <c r="AU205" s="33"/>
      <c r="AV205" s="33"/>
      <c r="AW205" s="33"/>
      <c r="AX205" s="33" t="str">
        <f t="shared" si="23"/>
        <v>Low</v>
      </c>
    </row>
    <row r="206" spans="1:50">
      <c r="A206" s="9" t="s">
        <v>1835</v>
      </c>
      <c r="B206" s="10">
        <v>45660</v>
      </c>
      <c r="C206" s="11" t="s">
        <v>1464</v>
      </c>
      <c r="D206" s="11" t="s">
        <v>468</v>
      </c>
      <c r="E206" s="11" t="s">
        <v>103</v>
      </c>
      <c r="F206" s="11" t="s">
        <v>144</v>
      </c>
      <c r="G206" s="11" t="s">
        <v>145</v>
      </c>
      <c r="H206" s="11" t="s">
        <v>58</v>
      </c>
      <c r="I206" s="11" t="s">
        <v>84</v>
      </c>
      <c r="J206" s="11" t="s">
        <v>85</v>
      </c>
      <c r="K206" s="25">
        <v>5</v>
      </c>
      <c r="L206" s="25">
        <v>500</v>
      </c>
      <c r="M206" s="29">
        <v>0</v>
      </c>
      <c r="N206" s="25">
        <v>2500</v>
      </c>
      <c r="O206" s="25">
        <v>1562.71</v>
      </c>
      <c r="P206" s="25">
        <v>937.29</v>
      </c>
      <c r="Q206" s="21">
        <v>37.49</v>
      </c>
      <c r="R206" s="11" t="s">
        <v>166</v>
      </c>
      <c r="S206" s="11" t="s">
        <v>74</v>
      </c>
      <c r="T206" s="11" t="s">
        <v>138</v>
      </c>
      <c r="U206" s="11" t="s">
        <v>178</v>
      </c>
      <c r="V206" s="11">
        <v>2025</v>
      </c>
      <c r="W206" s="11" t="s">
        <v>65</v>
      </c>
      <c r="X206" s="11">
        <v>7</v>
      </c>
      <c r="Y206" s="10">
        <v>45872</v>
      </c>
      <c r="Z206" s="11" t="s">
        <v>110</v>
      </c>
      <c r="AA206" s="11" t="s">
        <v>90</v>
      </c>
      <c r="AB206" s="11" t="s">
        <v>111</v>
      </c>
      <c r="AC206" s="11" t="s">
        <v>121</v>
      </c>
      <c r="AD206" s="11">
        <v>1</v>
      </c>
      <c r="AE206" s="11" t="s">
        <v>2220</v>
      </c>
      <c r="AF206" s="11" t="s">
        <v>2228</v>
      </c>
      <c r="AG206" s="25"/>
      <c r="AH206" s="11"/>
      <c r="AI206" s="11"/>
      <c r="AJ206" s="11"/>
      <c r="AK206" s="11"/>
      <c r="AL206" s="11"/>
      <c r="AM206" s="11" t="str">
        <f t="shared" si="19"/>
        <v>Good</v>
      </c>
      <c r="AN206" s="11" t="str" cm="1">
        <f t="array" ref="AN206">_xlfn.IFS(N206&lt;10000,"Low",N206&lt;30000,"Medium",N206&gt;=30000,"High")</f>
        <v>Low</v>
      </c>
      <c r="AO206" s="11" t="str">
        <f t="shared" si="20"/>
        <v>No</v>
      </c>
      <c r="AP206" s="11" t="str">
        <f t="shared" si="21"/>
        <v>Yes</v>
      </c>
      <c r="AQ206" s="11">
        <f t="shared" si="22"/>
        <v>0.37491599999999997</v>
      </c>
      <c r="AR206" s="33"/>
      <c r="AS206" s="33"/>
      <c r="AT206" s="33"/>
      <c r="AU206" s="33"/>
      <c r="AV206" s="33"/>
      <c r="AW206" s="33"/>
      <c r="AX206" s="33" t="str">
        <f t="shared" si="23"/>
        <v>Low</v>
      </c>
    </row>
    <row r="207" spans="1:50">
      <c r="A207" s="9" t="s">
        <v>1954</v>
      </c>
      <c r="B207" s="10">
        <v>45660</v>
      </c>
      <c r="C207" s="11" t="s">
        <v>1372</v>
      </c>
      <c r="D207" s="11" t="s">
        <v>1955</v>
      </c>
      <c r="E207" s="11" t="s">
        <v>35</v>
      </c>
      <c r="F207" s="11" t="s">
        <v>82</v>
      </c>
      <c r="G207" s="11" t="s">
        <v>83</v>
      </c>
      <c r="H207" s="11" t="s">
        <v>38</v>
      </c>
      <c r="I207" s="11" t="s">
        <v>59</v>
      </c>
      <c r="J207" s="11" t="s">
        <v>206</v>
      </c>
      <c r="K207" s="25">
        <v>1</v>
      </c>
      <c r="L207" s="25">
        <v>800</v>
      </c>
      <c r="M207" s="29">
        <v>0.1</v>
      </c>
      <c r="N207" s="25">
        <v>720</v>
      </c>
      <c r="O207" s="25">
        <v>566.20000000000005</v>
      </c>
      <c r="P207" s="25">
        <v>153.80000000000001</v>
      </c>
      <c r="Q207" s="21">
        <v>21.36</v>
      </c>
      <c r="R207" s="11" t="s">
        <v>41</v>
      </c>
      <c r="S207" s="11" t="s">
        <v>42</v>
      </c>
      <c r="T207" s="11" t="s">
        <v>138</v>
      </c>
      <c r="U207" s="11" t="s">
        <v>178</v>
      </c>
      <c r="V207" s="11">
        <v>2025</v>
      </c>
      <c r="W207" s="11" t="s">
        <v>65</v>
      </c>
      <c r="X207" s="11">
        <v>2</v>
      </c>
      <c r="Y207" s="10">
        <v>45719</v>
      </c>
      <c r="Z207" s="11" t="s">
        <v>110</v>
      </c>
      <c r="AA207" s="11" t="s">
        <v>67</v>
      </c>
      <c r="AB207" s="11" t="s">
        <v>49</v>
      </c>
      <c r="AC207" s="11" t="s">
        <v>121</v>
      </c>
      <c r="AD207" s="11">
        <v>4</v>
      </c>
      <c r="AE207" s="11" t="s">
        <v>2233</v>
      </c>
      <c r="AF207" s="11" t="s">
        <v>2231</v>
      </c>
      <c r="AG207" s="25"/>
      <c r="AH207" s="11"/>
      <c r="AI207" s="11"/>
      <c r="AJ207" s="11"/>
      <c r="AK207" s="11"/>
      <c r="AL207" s="11"/>
      <c r="AM207" s="11" t="str">
        <f t="shared" si="19"/>
        <v>Needs Improvement</v>
      </c>
      <c r="AN207" s="11" t="str" cm="1">
        <f t="array" ref="AN207">_xlfn.IFS(N207&lt;10000,"Low",N207&lt;30000,"Medium",N207&gt;=30000,"High")</f>
        <v>Low</v>
      </c>
      <c r="AO207" s="11" t="str">
        <f t="shared" si="20"/>
        <v>No</v>
      </c>
      <c r="AP207" s="11" t="str">
        <f t="shared" si="21"/>
        <v>Yes</v>
      </c>
      <c r="AQ207" s="11">
        <f t="shared" si="22"/>
        <v>0.21361111111111114</v>
      </c>
      <c r="AR207" s="33"/>
      <c r="AS207" s="33"/>
      <c r="AT207" s="33"/>
      <c r="AU207" s="33"/>
      <c r="AV207" s="33"/>
      <c r="AW207" s="33"/>
      <c r="AX207" s="33" t="str">
        <f t="shared" si="23"/>
        <v>Low</v>
      </c>
    </row>
    <row r="208" spans="1:50">
      <c r="A208" s="9" t="s">
        <v>1069</v>
      </c>
      <c r="B208" s="10">
        <v>45661</v>
      </c>
      <c r="C208" s="11" t="s">
        <v>912</v>
      </c>
      <c r="D208" s="11" t="s">
        <v>528</v>
      </c>
      <c r="E208" s="11" t="s">
        <v>103</v>
      </c>
      <c r="F208" s="11" t="s">
        <v>245</v>
      </c>
      <c r="G208" s="11" t="s">
        <v>246</v>
      </c>
      <c r="H208" s="11" t="s">
        <v>171</v>
      </c>
      <c r="I208" s="11" t="s">
        <v>95</v>
      </c>
      <c r="J208" s="11" t="s">
        <v>344</v>
      </c>
      <c r="K208" s="25">
        <v>7</v>
      </c>
      <c r="L208" s="25">
        <v>6000</v>
      </c>
      <c r="M208" s="29">
        <v>0.1</v>
      </c>
      <c r="N208" s="25">
        <v>37800</v>
      </c>
      <c r="O208" s="25">
        <v>21989.759999999998</v>
      </c>
      <c r="P208" s="25">
        <v>15810.24</v>
      </c>
      <c r="Q208" s="21">
        <v>41.83</v>
      </c>
      <c r="R208" s="11" t="s">
        <v>106</v>
      </c>
      <c r="S208" s="11" t="s">
        <v>62</v>
      </c>
      <c r="T208" s="11" t="s">
        <v>138</v>
      </c>
      <c r="U208" s="11" t="s">
        <v>44</v>
      </c>
      <c r="V208" s="11">
        <v>2025</v>
      </c>
      <c r="W208" s="11" t="s">
        <v>109</v>
      </c>
      <c r="X208" s="11">
        <v>5</v>
      </c>
      <c r="Y208" s="10">
        <v>45812</v>
      </c>
      <c r="Z208" s="11" t="s">
        <v>47</v>
      </c>
      <c r="AA208" s="11" t="s">
        <v>67</v>
      </c>
      <c r="AB208" s="11" t="s">
        <v>111</v>
      </c>
      <c r="AC208" s="11" t="s">
        <v>121</v>
      </c>
      <c r="AD208" s="11">
        <v>5</v>
      </c>
      <c r="AE208" s="11" t="s">
        <v>86</v>
      </c>
      <c r="AF208" s="11" t="s">
        <v>2231</v>
      </c>
      <c r="AG208" s="25"/>
      <c r="AH208" s="11"/>
      <c r="AI208" s="11"/>
      <c r="AJ208" s="11"/>
      <c r="AK208" s="11"/>
      <c r="AL208" s="11"/>
      <c r="AM208" s="11" t="str">
        <f t="shared" si="19"/>
        <v>Good</v>
      </c>
      <c r="AN208" s="11" t="str" cm="1">
        <f t="array" ref="AN208">_xlfn.IFS(N208&lt;10000,"Low",N208&lt;30000,"Medium",N208&gt;=30000,"High")</f>
        <v>High</v>
      </c>
      <c r="AO208" s="11" t="str">
        <f t="shared" si="20"/>
        <v>Yes</v>
      </c>
      <c r="AP208" s="11" t="str">
        <f t="shared" si="21"/>
        <v>No</v>
      </c>
      <c r="AQ208" s="11">
        <f t="shared" si="22"/>
        <v>0.41826031746031744</v>
      </c>
      <c r="AR208" s="33"/>
      <c r="AS208" s="33"/>
      <c r="AT208" s="33"/>
      <c r="AU208" s="33"/>
      <c r="AV208" s="33"/>
      <c r="AW208" s="33"/>
      <c r="AX208" s="33" t="str">
        <f t="shared" si="23"/>
        <v>Good</v>
      </c>
    </row>
    <row r="209" spans="1:50">
      <c r="A209" s="9" t="s">
        <v>223</v>
      </c>
      <c r="B209" s="10">
        <v>45662</v>
      </c>
      <c r="C209" s="11" t="s">
        <v>224</v>
      </c>
      <c r="D209" s="11" t="s">
        <v>225</v>
      </c>
      <c r="E209" s="11" t="s">
        <v>103</v>
      </c>
      <c r="F209" s="11" t="s">
        <v>144</v>
      </c>
      <c r="G209" s="11" t="s">
        <v>145</v>
      </c>
      <c r="H209" s="11" t="s">
        <v>94</v>
      </c>
      <c r="I209" s="11" t="s">
        <v>59</v>
      </c>
      <c r="J209" s="11" t="s">
        <v>133</v>
      </c>
      <c r="K209" s="25">
        <v>9</v>
      </c>
      <c r="L209" s="25">
        <v>2000</v>
      </c>
      <c r="M209" s="29">
        <v>0.05</v>
      </c>
      <c r="N209" s="25">
        <v>17100</v>
      </c>
      <c r="O209" s="25">
        <v>12875.95</v>
      </c>
      <c r="P209" s="25">
        <v>4224.05</v>
      </c>
      <c r="Q209" s="21">
        <v>24.7</v>
      </c>
      <c r="R209" s="11" t="s">
        <v>73</v>
      </c>
      <c r="S209" s="11" t="s">
        <v>62</v>
      </c>
      <c r="T209" s="11" t="s">
        <v>138</v>
      </c>
      <c r="U209" s="11" t="s">
        <v>119</v>
      </c>
      <c r="V209" s="11">
        <v>2025</v>
      </c>
      <c r="W209" s="11" t="s">
        <v>139</v>
      </c>
      <c r="X209" s="11">
        <v>8</v>
      </c>
      <c r="Y209" s="10">
        <v>45905</v>
      </c>
      <c r="Z209" s="11" t="s">
        <v>47</v>
      </c>
      <c r="AA209" s="11" t="s">
        <v>90</v>
      </c>
      <c r="AB209" s="11" t="s">
        <v>111</v>
      </c>
      <c r="AC209" s="11" t="s">
        <v>50</v>
      </c>
      <c r="AD209" s="11">
        <v>2</v>
      </c>
      <c r="AE209" s="11" t="s">
        <v>2225</v>
      </c>
      <c r="AF209" s="11" t="s">
        <v>2238</v>
      </c>
      <c r="AG209" s="25"/>
      <c r="AH209" s="11"/>
      <c r="AI209" s="11"/>
      <c r="AJ209" s="11"/>
      <c r="AK209" s="11"/>
      <c r="AL209" s="11"/>
      <c r="AM209" s="11" t="str">
        <f t="shared" si="19"/>
        <v>Needs Improvement</v>
      </c>
      <c r="AN209" s="11" t="str" cm="1">
        <f t="array" ref="AN209">_xlfn.IFS(N209&lt;10000,"Low",N209&lt;30000,"Medium",N209&gt;=30000,"High")</f>
        <v>Medium</v>
      </c>
      <c r="AO209" s="11" t="str">
        <f t="shared" si="20"/>
        <v>No</v>
      </c>
      <c r="AP209" s="11" t="str">
        <f t="shared" si="21"/>
        <v>No</v>
      </c>
      <c r="AQ209" s="11">
        <f t="shared" si="22"/>
        <v>0.24702046783625731</v>
      </c>
      <c r="AR209" s="33"/>
      <c r="AS209" s="33"/>
      <c r="AT209" s="33"/>
      <c r="AU209" s="33"/>
      <c r="AV209" s="33"/>
      <c r="AW209" s="33"/>
      <c r="AX209" s="33" t="str">
        <f t="shared" si="23"/>
        <v>Low</v>
      </c>
    </row>
    <row r="210" spans="1:50">
      <c r="A210" s="9" t="s">
        <v>1255</v>
      </c>
      <c r="B210" s="10">
        <v>45662</v>
      </c>
      <c r="C210" s="11" t="s">
        <v>243</v>
      </c>
      <c r="D210" s="11" t="s">
        <v>955</v>
      </c>
      <c r="E210" s="11" t="s">
        <v>103</v>
      </c>
      <c r="F210" s="11" t="s">
        <v>156</v>
      </c>
      <c r="G210" s="11" t="s">
        <v>157</v>
      </c>
      <c r="H210" s="11" t="s">
        <v>58</v>
      </c>
      <c r="I210" s="11" t="s">
        <v>71</v>
      </c>
      <c r="J210" s="11" t="s">
        <v>117</v>
      </c>
      <c r="K210" s="25">
        <v>5</v>
      </c>
      <c r="L210" s="25">
        <v>1200</v>
      </c>
      <c r="M210" s="29">
        <v>0.1</v>
      </c>
      <c r="N210" s="25">
        <v>5400</v>
      </c>
      <c r="O210" s="25">
        <v>3000.73</v>
      </c>
      <c r="P210" s="25">
        <v>2399.27</v>
      </c>
      <c r="Q210" s="21">
        <v>44.43</v>
      </c>
      <c r="R210" s="11" t="s">
        <v>73</v>
      </c>
      <c r="S210" s="11" t="s">
        <v>62</v>
      </c>
      <c r="T210" s="11" t="s">
        <v>107</v>
      </c>
      <c r="U210" s="11" t="s">
        <v>119</v>
      </c>
      <c r="V210" s="11">
        <v>2025</v>
      </c>
      <c r="W210" s="11" t="s">
        <v>139</v>
      </c>
      <c r="X210" s="11">
        <v>6</v>
      </c>
      <c r="Y210" s="10">
        <v>45843</v>
      </c>
      <c r="Z210" s="11" t="s">
        <v>47</v>
      </c>
      <c r="AA210" s="11" t="s">
        <v>67</v>
      </c>
      <c r="AB210" s="11" t="s">
        <v>78</v>
      </c>
      <c r="AC210" s="11" t="s">
        <v>50</v>
      </c>
      <c r="AD210" s="11">
        <v>1</v>
      </c>
      <c r="AE210" s="11" t="s">
        <v>2226</v>
      </c>
      <c r="AF210" s="11" t="s">
        <v>2217</v>
      </c>
      <c r="AG210" s="25"/>
      <c r="AH210" s="11"/>
      <c r="AI210" s="11"/>
      <c r="AJ210" s="11"/>
      <c r="AK210" s="11"/>
      <c r="AL210" s="11"/>
      <c r="AM210" s="11" t="str">
        <f t="shared" si="19"/>
        <v>Good</v>
      </c>
      <c r="AN210" s="11" t="str" cm="1">
        <f t="array" ref="AN210">_xlfn.IFS(N210&lt;10000,"Low",N210&lt;30000,"Medium",N210&gt;=30000,"High")</f>
        <v>Low</v>
      </c>
      <c r="AO210" s="11" t="str">
        <f t="shared" si="20"/>
        <v>No</v>
      </c>
      <c r="AP210" s="11" t="str">
        <f t="shared" si="21"/>
        <v>No</v>
      </c>
      <c r="AQ210" s="11">
        <f t="shared" si="22"/>
        <v>0.44430925925925924</v>
      </c>
      <c r="AR210" s="33"/>
      <c r="AS210" s="33"/>
      <c r="AT210" s="33"/>
      <c r="AU210" s="33"/>
      <c r="AV210" s="33"/>
      <c r="AW210" s="33"/>
      <c r="AX210" s="33" t="str">
        <f t="shared" si="23"/>
        <v>Low</v>
      </c>
    </row>
    <row r="211" spans="1:50">
      <c r="A211" s="9" t="s">
        <v>1409</v>
      </c>
      <c r="B211" s="10">
        <v>45662</v>
      </c>
      <c r="C211" s="11" t="s">
        <v>1410</v>
      </c>
      <c r="D211" s="11" t="s">
        <v>1411</v>
      </c>
      <c r="E211" s="11" t="s">
        <v>35</v>
      </c>
      <c r="F211" s="11" t="s">
        <v>149</v>
      </c>
      <c r="G211" s="11" t="s">
        <v>150</v>
      </c>
      <c r="H211" s="11" t="s">
        <v>58</v>
      </c>
      <c r="I211" s="11" t="s">
        <v>71</v>
      </c>
      <c r="J211" s="11" t="s">
        <v>72</v>
      </c>
      <c r="K211" s="25">
        <v>9</v>
      </c>
      <c r="L211" s="25">
        <v>2500</v>
      </c>
      <c r="M211" s="29">
        <v>0.05</v>
      </c>
      <c r="N211" s="25">
        <v>21375</v>
      </c>
      <c r="O211" s="25">
        <v>15043.06</v>
      </c>
      <c r="P211" s="25">
        <v>6331.94</v>
      </c>
      <c r="Q211" s="21">
        <v>29.62</v>
      </c>
      <c r="R211" s="11" t="s">
        <v>41</v>
      </c>
      <c r="S211" s="11" t="s">
        <v>74</v>
      </c>
      <c r="T211" s="11" t="s">
        <v>43</v>
      </c>
      <c r="U211" s="11" t="s">
        <v>119</v>
      </c>
      <c r="V211" s="11">
        <v>2025</v>
      </c>
      <c r="W211" s="11" t="s">
        <v>139</v>
      </c>
      <c r="X211" s="11">
        <v>2</v>
      </c>
      <c r="Y211" s="10">
        <v>45721</v>
      </c>
      <c r="Z211" s="11" t="s">
        <v>47</v>
      </c>
      <c r="AA211" s="11" t="s">
        <v>48</v>
      </c>
      <c r="AB211" s="11" t="s">
        <v>111</v>
      </c>
      <c r="AC211" s="11" t="s">
        <v>50</v>
      </c>
      <c r="AD211" s="11">
        <v>1</v>
      </c>
      <c r="AE211" s="11" t="s">
        <v>2218</v>
      </c>
      <c r="AF211" s="11" t="s">
        <v>2224</v>
      </c>
      <c r="AG211" s="25"/>
      <c r="AH211" s="11"/>
      <c r="AI211" s="11"/>
      <c r="AJ211" s="11"/>
      <c r="AK211" s="11"/>
      <c r="AL211" s="11"/>
      <c r="AM211" s="11" t="str">
        <f t="shared" si="19"/>
        <v>Needs Improvement</v>
      </c>
      <c r="AN211" s="11" t="str" cm="1">
        <f t="array" ref="AN211">_xlfn.IFS(N211&lt;10000,"Low",N211&lt;30000,"Medium",N211&gt;=30000,"High")</f>
        <v>Medium</v>
      </c>
      <c r="AO211" s="11" t="str">
        <f t="shared" si="20"/>
        <v>No</v>
      </c>
      <c r="AP211" s="11" t="str">
        <f t="shared" si="21"/>
        <v>Yes</v>
      </c>
      <c r="AQ211" s="11">
        <f t="shared" si="22"/>
        <v>0.29623111111111111</v>
      </c>
      <c r="AR211" s="33"/>
      <c r="AS211" s="33"/>
      <c r="AT211" s="33"/>
      <c r="AU211" s="33"/>
      <c r="AV211" s="33"/>
      <c r="AW211" s="33"/>
      <c r="AX211" s="33" t="str">
        <f t="shared" si="23"/>
        <v>Average</v>
      </c>
    </row>
    <row r="212" spans="1:50">
      <c r="A212" s="9" t="s">
        <v>556</v>
      </c>
      <c r="B212" s="10">
        <v>45663</v>
      </c>
      <c r="C212" s="11" t="s">
        <v>557</v>
      </c>
      <c r="D212" s="11" t="s">
        <v>413</v>
      </c>
      <c r="E212" s="11" t="s">
        <v>103</v>
      </c>
      <c r="F212" s="11" t="s">
        <v>82</v>
      </c>
      <c r="G212" s="11" t="s">
        <v>83</v>
      </c>
      <c r="H212" s="11" t="s">
        <v>94</v>
      </c>
      <c r="I212" s="11" t="s">
        <v>39</v>
      </c>
      <c r="J212" s="11" t="s">
        <v>165</v>
      </c>
      <c r="K212" s="25">
        <v>2</v>
      </c>
      <c r="L212" s="25">
        <v>8000</v>
      </c>
      <c r="M212" s="29">
        <v>0.2</v>
      </c>
      <c r="N212" s="25">
        <v>12800</v>
      </c>
      <c r="O212" s="25">
        <v>8894.7000000000007</v>
      </c>
      <c r="P212" s="25">
        <v>3905.3</v>
      </c>
      <c r="Q212" s="21">
        <v>30.51</v>
      </c>
      <c r="R212" s="11" t="s">
        <v>106</v>
      </c>
      <c r="S212" s="11" t="s">
        <v>42</v>
      </c>
      <c r="T212" s="11" t="s">
        <v>86</v>
      </c>
      <c r="U212" s="11" t="s">
        <v>160</v>
      </c>
      <c r="V212" s="11">
        <v>2025</v>
      </c>
      <c r="W212" s="11" t="s">
        <v>45</v>
      </c>
      <c r="X212" s="11">
        <v>4</v>
      </c>
      <c r="Y212" s="10">
        <v>45783</v>
      </c>
      <c r="Z212" s="11" t="s">
        <v>89</v>
      </c>
      <c r="AA212" s="11" t="s">
        <v>48</v>
      </c>
      <c r="AB212" s="11" t="s">
        <v>111</v>
      </c>
      <c r="AC212" s="11" t="s">
        <v>50</v>
      </c>
      <c r="AD212" s="11">
        <v>1</v>
      </c>
      <c r="AE212" s="11" t="s">
        <v>2216</v>
      </c>
      <c r="AF212" s="11" t="s">
        <v>2217</v>
      </c>
      <c r="AG212" s="25"/>
      <c r="AH212" s="11"/>
      <c r="AI212" s="11"/>
      <c r="AJ212" s="11"/>
      <c r="AK212" s="11"/>
      <c r="AL212" s="11"/>
      <c r="AM212" s="11" t="str">
        <f t="shared" si="19"/>
        <v>Good</v>
      </c>
      <c r="AN212" s="11" t="str" cm="1">
        <f t="array" ref="AN212">_xlfn.IFS(N212&lt;10000,"Low",N212&lt;30000,"Medium",N212&gt;=30000,"High")</f>
        <v>Medium</v>
      </c>
      <c r="AO212" s="11" t="str">
        <f t="shared" si="20"/>
        <v>No</v>
      </c>
      <c r="AP212" s="11" t="str">
        <f t="shared" si="21"/>
        <v>Yes</v>
      </c>
      <c r="AQ212" s="11">
        <f t="shared" si="22"/>
        <v>0.30510156250000003</v>
      </c>
      <c r="AR212" s="33"/>
      <c r="AS212" s="33"/>
      <c r="AT212" s="33"/>
      <c r="AU212" s="33"/>
      <c r="AV212" s="33"/>
      <c r="AW212" s="33"/>
      <c r="AX212" s="33" t="str">
        <f t="shared" si="23"/>
        <v>Low</v>
      </c>
    </row>
    <row r="213" spans="1:50">
      <c r="A213" s="9" t="s">
        <v>599</v>
      </c>
      <c r="B213" s="10">
        <v>45663</v>
      </c>
      <c r="C213" s="11" t="s">
        <v>224</v>
      </c>
      <c r="D213" s="11" t="s">
        <v>600</v>
      </c>
      <c r="E213" s="11" t="s">
        <v>55</v>
      </c>
      <c r="F213" s="11" t="s">
        <v>245</v>
      </c>
      <c r="G213" s="11" t="s">
        <v>246</v>
      </c>
      <c r="H213" s="11" t="s">
        <v>94</v>
      </c>
      <c r="I213" s="11" t="s">
        <v>95</v>
      </c>
      <c r="J213" s="11" t="s">
        <v>344</v>
      </c>
      <c r="K213" s="25">
        <v>3</v>
      </c>
      <c r="L213" s="25">
        <v>2500</v>
      </c>
      <c r="M213" s="29">
        <v>0.05</v>
      </c>
      <c r="N213" s="25">
        <v>7125</v>
      </c>
      <c r="O213" s="25">
        <v>4035.04</v>
      </c>
      <c r="P213" s="25">
        <v>3089.96</v>
      </c>
      <c r="Q213" s="21">
        <v>43.37</v>
      </c>
      <c r="R213" s="11" t="s">
        <v>106</v>
      </c>
      <c r="S213" s="11" t="s">
        <v>74</v>
      </c>
      <c r="T213" s="11" t="s">
        <v>107</v>
      </c>
      <c r="U213" s="11" t="s">
        <v>160</v>
      </c>
      <c r="V213" s="11">
        <v>2025</v>
      </c>
      <c r="W213" s="11" t="s">
        <v>45</v>
      </c>
      <c r="X213" s="11">
        <v>8</v>
      </c>
      <c r="Y213" s="10">
        <v>45906</v>
      </c>
      <c r="Z213" s="11" t="s">
        <v>47</v>
      </c>
      <c r="AA213" s="11" t="s">
        <v>48</v>
      </c>
      <c r="AB213" s="11" t="s">
        <v>78</v>
      </c>
      <c r="AC213" s="11" t="s">
        <v>121</v>
      </c>
      <c r="AD213" s="11">
        <v>1</v>
      </c>
      <c r="AE213" s="11" t="s">
        <v>2234</v>
      </c>
      <c r="AF213" s="11" t="s">
        <v>2230</v>
      </c>
      <c r="AG213" s="25"/>
      <c r="AH213" s="11"/>
      <c r="AI213" s="11"/>
      <c r="AJ213" s="11"/>
      <c r="AK213" s="11"/>
      <c r="AL213" s="11"/>
      <c r="AM213" s="11" t="str">
        <f t="shared" si="19"/>
        <v>Good</v>
      </c>
      <c r="AN213" s="11" t="str" cm="1">
        <f t="array" ref="AN213">_xlfn.IFS(N213&lt;10000,"Low",N213&lt;30000,"Medium",N213&gt;=30000,"High")</f>
        <v>Low</v>
      </c>
      <c r="AO213" s="11" t="str">
        <f t="shared" si="20"/>
        <v>No</v>
      </c>
      <c r="AP213" s="11" t="str">
        <f t="shared" si="21"/>
        <v>Yes</v>
      </c>
      <c r="AQ213" s="11">
        <f t="shared" si="22"/>
        <v>0.43367859649122809</v>
      </c>
      <c r="AR213" s="33"/>
      <c r="AS213" s="33"/>
      <c r="AT213" s="33"/>
      <c r="AU213" s="33"/>
      <c r="AV213" s="33"/>
      <c r="AW213" s="33"/>
      <c r="AX213" s="33" t="str">
        <f t="shared" si="23"/>
        <v>Low</v>
      </c>
    </row>
    <row r="214" spans="1:50">
      <c r="A214" s="9" t="s">
        <v>1755</v>
      </c>
      <c r="B214" s="10">
        <v>45664</v>
      </c>
      <c r="C214" s="11" t="s">
        <v>781</v>
      </c>
      <c r="D214" s="11" t="s">
        <v>634</v>
      </c>
      <c r="E214" s="11" t="s">
        <v>103</v>
      </c>
      <c r="F214" s="11" t="s">
        <v>36</v>
      </c>
      <c r="G214" s="11" t="s">
        <v>37</v>
      </c>
      <c r="H214" s="11" t="s">
        <v>38</v>
      </c>
      <c r="I214" s="11" t="s">
        <v>84</v>
      </c>
      <c r="J214" s="11" t="s">
        <v>217</v>
      </c>
      <c r="K214" s="25">
        <v>2</v>
      </c>
      <c r="L214" s="25">
        <v>350</v>
      </c>
      <c r="M214" s="29">
        <v>0.2</v>
      </c>
      <c r="N214" s="25">
        <v>560</v>
      </c>
      <c r="O214" s="25">
        <v>454.73</v>
      </c>
      <c r="P214" s="25">
        <v>105.27</v>
      </c>
      <c r="Q214" s="21">
        <v>18.8</v>
      </c>
      <c r="R214" s="11" t="s">
        <v>73</v>
      </c>
      <c r="S214" s="11" t="s">
        <v>62</v>
      </c>
      <c r="T214" s="11" t="s">
        <v>118</v>
      </c>
      <c r="U214" s="11" t="s">
        <v>151</v>
      </c>
      <c r="V214" s="11">
        <v>2025</v>
      </c>
      <c r="W214" s="11" t="s">
        <v>109</v>
      </c>
      <c r="X214" s="11">
        <v>9</v>
      </c>
      <c r="Y214" s="10">
        <v>45937</v>
      </c>
      <c r="Z214" s="11" t="s">
        <v>47</v>
      </c>
      <c r="AA214" s="11" t="s">
        <v>48</v>
      </c>
      <c r="AB214" s="11" t="s">
        <v>111</v>
      </c>
      <c r="AC214" s="11" t="s">
        <v>121</v>
      </c>
      <c r="AD214" s="11">
        <v>2</v>
      </c>
      <c r="AE214" s="11" t="s">
        <v>2239</v>
      </c>
      <c r="AF214" s="11" t="s">
        <v>2249</v>
      </c>
      <c r="AG214" s="25"/>
      <c r="AH214" s="11"/>
      <c r="AI214" s="11"/>
      <c r="AJ214" s="11"/>
      <c r="AK214" s="11"/>
      <c r="AL214" s="11"/>
      <c r="AM214" s="11" t="str">
        <f t="shared" si="19"/>
        <v>Needs Improvement</v>
      </c>
      <c r="AN214" s="11" t="str" cm="1">
        <f t="array" ref="AN214">_xlfn.IFS(N214&lt;10000,"Low",N214&lt;30000,"Medium",N214&gt;=30000,"High")</f>
        <v>Low</v>
      </c>
      <c r="AO214" s="11" t="str">
        <f t="shared" si="20"/>
        <v>No</v>
      </c>
      <c r="AP214" s="11" t="str">
        <f t="shared" si="21"/>
        <v>No</v>
      </c>
      <c r="AQ214" s="11">
        <f t="shared" si="22"/>
        <v>0.18798214285714285</v>
      </c>
      <c r="AR214" s="33"/>
      <c r="AS214" s="33"/>
      <c r="AT214" s="33"/>
      <c r="AU214" s="33"/>
      <c r="AV214" s="33"/>
      <c r="AW214" s="33"/>
      <c r="AX214" s="33" t="str">
        <f t="shared" si="23"/>
        <v>Low</v>
      </c>
    </row>
    <row r="215" spans="1:50">
      <c r="A215" s="9" t="s">
        <v>2104</v>
      </c>
      <c r="B215" s="10">
        <v>45664</v>
      </c>
      <c r="C215" s="11" t="s">
        <v>1410</v>
      </c>
      <c r="D215" s="11" t="s">
        <v>361</v>
      </c>
      <c r="E215" s="11" t="s">
        <v>103</v>
      </c>
      <c r="F215" s="11" t="s">
        <v>104</v>
      </c>
      <c r="G215" s="11" t="s">
        <v>104</v>
      </c>
      <c r="H215" s="11" t="s">
        <v>38</v>
      </c>
      <c r="I215" s="11" t="s">
        <v>39</v>
      </c>
      <c r="J215" s="11" t="s">
        <v>165</v>
      </c>
      <c r="K215" s="25">
        <v>7</v>
      </c>
      <c r="L215" s="25">
        <v>15000</v>
      </c>
      <c r="M215" s="29">
        <v>0.1</v>
      </c>
      <c r="N215" s="25">
        <v>94500</v>
      </c>
      <c r="O215" s="25">
        <v>71311.100000000006</v>
      </c>
      <c r="P215" s="25">
        <v>23188.9</v>
      </c>
      <c r="Q215" s="21">
        <v>24.54</v>
      </c>
      <c r="R215" s="11" t="s">
        <v>41</v>
      </c>
      <c r="S215" s="11" t="s">
        <v>62</v>
      </c>
      <c r="T215" s="11" t="s">
        <v>107</v>
      </c>
      <c r="U215" s="11" t="s">
        <v>151</v>
      </c>
      <c r="V215" s="11">
        <v>2025</v>
      </c>
      <c r="W215" s="11" t="s">
        <v>109</v>
      </c>
      <c r="X215" s="11">
        <v>3</v>
      </c>
      <c r="Y215" s="10">
        <v>45754</v>
      </c>
      <c r="Z215" s="11" t="s">
        <v>47</v>
      </c>
      <c r="AA215" s="11" t="s">
        <v>67</v>
      </c>
      <c r="AB215" s="11" t="s">
        <v>78</v>
      </c>
      <c r="AC215" s="11" t="s">
        <v>121</v>
      </c>
      <c r="AD215" s="11">
        <v>5</v>
      </c>
      <c r="AE215" s="11" t="s">
        <v>159</v>
      </c>
      <c r="AF215" s="11" t="s">
        <v>2210</v>
      </c>
      <c r="AG215" s="25"/>
      <c r="AH215" s="11"/>
      <c r="AI215" s="11"/>
      <c r="AJ215" s="11"/>
      <c r="AK215" s="11"/>
      <c r="AL215" s="11"/>
      <c r="AM215" s="11" t="str">
        <f t="shared" si="19"/>
        <v>Needs Improvement</v>
      </c>
      <c r="AN215" s="11" t="str" cm="1">
        <f t="array" ref="AN215">_xlfn.IFS(N215&lt;10000,"Low",N215&lt;30000,"Medium",N215&gt;=30000,"High")</f>
        <v>High</v>
      </c>
      <c r="AO215" s="11" t="str">
        <f t="shared" si="20"/>
        <v>Yes</v>
      </c>
      <c r="AP215" s="11" t="str">
        <f t="shared" si="21"/>
        <v>No</v>
      </c>
      <c r="AQ215" s="11">
        <f t="shared" si="22"/>
        <v>0.24538518518518521</v>
      </c>
      <c r="AR215" s="33"/>
      <c r="AS215" s="33"/>
      <c r="AT215" s="33"/>
      <c r="AU215" s="33"/>
      <c r="AV215" s="33"/>
      <c r="AW215" s="33"/>
      <c r="AX215" s="33" t="str">
        <f t="shared" si="23"/>
        <v>Excellent</v>
      </c>
    </row>
    <row r="216" spans="1:50">
      <c r="A216" s="9" t="s">
        <v>1548</v>
      </c>
      <c r="B216" s="10">
        <v>45667</v>
      </c>
      <c r="C216" s="11" t="s">
        <v>619</v>
      </c>
      <c r="D216" s="11" t="s">
        <v>770</v>
      </c>
      <c r="E216" s="11" t="s">
        <v>55</v>
      </c>
      <c r="F216" s="11" t="s">
        <v>156</v>
      </c>
      <c r="G216" s="11" t="s">
        <v>157</v>
      </c>
      <c r="H216" s="11" t="s">
        <v>58</v>
      </c>
      <c r="I216" s="11" t="s">
        <v>59</v>
      </c>
      <c r="J216" s="11" t="s">
        <v>206</v>
      </c>
      <c r="K216" s="25">
        <v>8</v>
      </c>
      <c r="L216" s="25">
        <v>1200</v>
      </c>
      <c r="M216" s="29">
        <v>0.2</v>
      </c>
      <c r="N216" s="25">
        <v>7680</v>
      </c>
      <c r="O216" s="25">
        <v>4397.13</v>
      </c>
      <c r="P216" s="25">
        <v>3282.87</v>
      </c>
      <c r="Q216" s="21">
        <v>42.75</v>
      </c>
      <c r="R216" s="11" t="s">
        <v>41</v>
      </c>
      <c r="S216" s="11" t="s">
        <v>42</v>
      </c>
      <c r="T216" s="11" t="s">
        <v>43</v>
      </c>
      <c r="U216" s="11" t="s">
        <v>87</v>
      </c>
      <c r="V216" s="11">
        <v>2025</v>
      </c>
      <c r="W216" s="11" t="s">
        <v>134</v>
      </c>
      <c r="X216" s="11">
        <v>6</v>
      </c>
      <c r="Y216" s="10">
        <v>45848</v>
      </c>
      <c r="Z216" s="11" t="s">
        <v>47</v>
      </c>
      <c r="AA216" s="11" t="s">
        <v>48</v>
      </c>
      <c r="AB216" s="11" t="s">
        <v>49</v>
      </c>
      <c r="AC216" s="11" t="s">
        <v>121</v>
      </c>
      <c r="AD216" s="11">
        <v>2</v>
      </c>
      <c r="AE216" s="11" t="s">
        <v>2227</v>
      </c>
      <c r="AF216" s="11" t="s">
        <v>2219</v>
      </c>
      <c r="AG216" s="25"/>
      <c r="AH216" s="11"/>
      <c r="AI216" s="11"/>
      <c r="AJ216" s="11"/>
      <c r="AK216" s="11"/>
      <c r="AL216" s="11"/>
      <c r="AM216" s="11" t="str">
        <f t="shared" si="19"/>
        <v>Good</v>
      </c>
      <c r="AN216" s="11" t="str" cm="1">
        <f t="array" ref="AN216">_xlfn.IFS(N216&lt;10000,"Low",N216&lt;30000,"Medium",N216&gt;=30000,"High")</f>
        <v>Low</v>
      </c>
      <c r="AO216" s="11" t="str">
        <f t="shared" si="20"/>
        <v>No</v>
      </c>
      <c r="AP216" s="11" t="str">
        <f t="shared" si="21"/>
        <v>Yes</v>
      </c>
      <c r="AQ216" s="11">
        <f t="shared" si="22"/>
        <v>0.42745703125000001</v>
      </c>
      <c r="AR216" s="33"/>
      <c r="AS216" s="33"/>
      <c r="AT216" s="33"/>
      <c r="AU216" s="33"/>
      <c r="AV216" s="33"/>
      <c r="AW216" s="33"/>
      <c r="AX216" s="33" t="str">
        <f t="shared" si="23"/>
        <v>Low</v>
      </c>
    </row>
    <row r="217" spans="1:50">
      <c r="A217" s="9" t="s">
        <v>1984</v>
      </c>
      <c r="B217" s="10">
        <v>45667</v>
      </c>
      <c r="C217" s="11" t="s">
        <v>53</v>
      </c>
      <c r="D217" s="11" t="s">
        <v>130</v>
      </c>
      <c r="E217" s="11" t="s">
        <v>35</v>
      </c>
      <c r="F217" s="11" t="s">
        <v>144</v>
      </c>
      <c r="G217" s="11" t="s">
        <v>145</v>
      </c>
      <c r="H217" s="11" t="s">
        <v>171</v>
      </c>
      <c r="I217" s="11" t="s">
        <v>59</v>
      </c>
      <c r="J217" s="11" t="s">
        <v>60</v>
      </c>
      <c r="K217" s="25">
        <v>2</v>
      </c>
      <c r="L217" s="25">
        <v>2000</v>
      </c>
      <c r="M217" s="29">
        <v>0.15</v>
      </c>
      <c r="N217" s="25">
        <v>3400</v>
      </c>
      <c r="O217" s="25">
        <v>2168.09</v>
      </c>
      <c r="P217" s="25">
        <v>1231.9100000000001</v>
      </c>
      <c r="Q217" s="21">
        <v>36.229999999999997</v>
      </c>
      <c r="R217" s="11" t="s">
        <v>166</v>
      </c>
      <c r="S217" s="11" t="s">
        <v>74</v>
      </c>
      <c r="T217" s="11" t="s">
        <v>75</v>
      </c>
      <c r="U217" s="11" t="s">
        <v>87</v>
      </c>
      <c r="V217" s="11">
        <v>2025</v>
      </c>
      <c r="W217" s="11" t="s">
        <v>134</v>
      </c>
      <c r="X217" s="11">
        <v>4</v>
      </c>
      <c r="Y217" s="10">
        <v>45787</v>
      </c>
      <c r="Z217" s="11" t="s">
        <v>47</v>
      </c>
      <c r="AA217" s="11" t="s">
        <v>48</v>
      </c>
      <c r="AB217" s="11" t="s">
        <v>49</v>
      </c>
      <c r="AC217" s="11" t="s">
        <v>121</v>
      </c>
      <c r="AD217" s="11">
        <v>1</v>
      </c>
      <c r="AE217" s="11" t="s">
        <v>159</v>
      </c>
      <c r="AF217" s="11" t="s">
        <v>2219</v>
      </c>
      <c r="AG217" s="25"/>
      <c r="AH217" s="11"/>
      <c r="AI217" s="11"/>
      <c r="AJ217" s="11"/>
      <c r="AK217" s="11"/>
      <c r="AL217" s="11"/>
      <c r="AM217" s="11" t="str">
        <f t="shared" si="19"/>
        <v>Good</v>
      </c>
      <c r="AN217" s="11" t="str" cm="1">
        <f t="array" ref="AN217">_xlfn.IFS(N217&lt;10000,"Low",N217&lt;30000,"Medium",N217&gt;=30000,"High")</f>
        <v>Low</v>
      </c>
      <c r="AO217" s="11" t="str">
        <f t="shared" si="20"/>
        <v>No</v>
      </c>
      <c r="AP217" s="11" t="str">
        <f t="shared" si="21"/>
        <v>Yes</v>
      </c>
      <c r="AQ217" s="11">
        <f t="shared" si="22"/>
        <v>0.36232647058823531</v>
      </c>
      <c r="AR217" s="33"/>
      <c r="AS217" s="33"/>
      <c r="AT217" s="33"/>
      <c r="AU217" s="33"/>
      <c r="AV217" s="33"/>
      <c r="AW217" s="33"/>
      <c r="AX217" s="33" t="str">
        <f t="shared" si="23"/>
        <v>Low</v>
      </c>
    </row>
    <row r="218" spans="1:50">
      <c r="A218" s="9" t="s">
        <v>2088</v>
      </c>
      <c r="B218" s="10">
        <v>45668</v>
      </c>
      <c r="C218" s="11" t="s">
        <v>1174</v>
      </c>
      <c r="D218" s="11" t="s">
        <v>1362</v>
      </c>
      <c r="E218" s="11" t="s">
        <v>35</v>
      </c>
      <c r="F218" s="11" t="s">
        <v>144</v>
      </c>
      <c r="G218" s="11" t="s">
        <v>145</v>
      </c>
      <c r="H218" s="11" t="s">
        <v>94</v>
      </c>
      <c r="I218" s="11" t="s">
        <v>95</v>
      </c>
      <c r="J218" s="11" t="s">
        <v>184</v>
      </c>
      <c r="K218" s="25">
        <v>6</v>
      </c>
      <c r="L218" s="25">
        <v>9000</v>
      </c>
      <c r="M218" s="29">
        <v>0</v>
      </c>
      <c r="N218" s="25">
        <v>54000</v>
      </c>
      <c r="O218" s="25">
        <v>40134.519999999997</v>
      </c>
      <c r="P218" s="25">
        <v>13865.48</v>
      </c>
      <c r="Q218" s="21">
        <v>25.68</v>
      </c>
      <c r="R218" s="11" t="s">
        <v>106</v>
      </c>
      <c r="S218" s="11" t="s">
        <v>74</v>
      </c>
      <c r="T218" s="11" t="s">
        <v>86</v>
      </c>
      <c r="U218" s="11" t="s">
        <v>198</v>
      </c>
      <c r="V218" s="11">
        <v>2025</v>
      </c>
      <c r="W218" s="11" t="s">
        <v>65</v>
      </c>
      <c r="X218" s="11">
        <v>1</v>
      </c>
      <c r="Y218" s="10">
        <v>45699</v>
      </c>
      <c r="Z218" s="11" t="s">
        <v>47</v>
      </c>
      <c r="AA218" s="11" t="s">
        <v>67</v>
      </c>
      <c r="AB218" s="11" t="s">
        <v>49</v>
      </c>
      <c r="AC218" s="11" t="s">
        <v>121</v>
      </c>
      <c r="AD218" s="11">
        <v>3</v>
      </c>
      <c r="AE218" s="11" t="s">
        <v>2234</v>
      </c>
      <c r="AF218" s="11" t="s">
        <v>2236</v>
      </c>
      <c r="AG218" s="25"/>
      <c r="AH218" s="11"/>
      <c r="AI218" s="11"/>
      <c r="AJ218" s="11"/>
      <c r="AK218" s="11"/>
      <c r="AL218" s="11"/>
      <c r="AM218" s="11" t="str">
        <f t="shared" si="19"/>
        <v>Needs Improvement</v>
      </c>
      <c r="AN218" s="11" t="str" cm="1">
        <f t="array" ref="AN218">_xlfn.IFS(N218&lt;10000,"Low",N218&lt;30000,"Medium",N218&gt;=30000,"High")</f>
        <v>High</v>
      </c>
      <c r="AO218" s="11" t="str">
        <f t="shared" si="20"/>
        <v>Yes</v>
      </c>
      <c r="AP218" s="11" t="str">
        <f t="shared" si="21"/>
        <v>Yes</v>
      </c>
      <c r="AQ218" s="11">
        <f t="shared" si="22"/>
        <v>0.25676814814814813</v>
      </c>
      <c r="AR218" s="33"/>
      <c r="AS218" s="33"/>
      <c r="AT218" s="33"/>
      <c r="AU218" s="33"/>
      <c r="AV218" s="33"/>
      <c r="AW218" s="33"/>
      <c r="AX218" s="33" t="str">
        <f t="shared" si="23"/>
        <v>Good</v>
      </c>
    </row>
    <row r="219" spans="1:50">
      <c r="A219" s="9" t="s">
        <v>248</v>
      </c>
      <c r="B219" s="10">
        <v>45669</v>
      </c>
      <c r="C219" s="11" t="s">
        <v>249</v>
      </c>
      <c r="D219" s="11" t="s">
        <v>239</v>
      </c>
      <c r="E219" s="11" t="s">
        <v>103</v>
      </c>
      <c r="F219" s="11" t="s">
        <v>149</v>
      </c>
      <c r="G219" s="11" t="s">
        <v>150</v>
      </c>
      <c r="H219" s="11" t="s">
        <v>94</v>
      </c>
      <c r="I219" s="11" t="s">
        <v>39</v>
      </c>
      <c r="J219" s="11" t="s">
        <v>165</v>
      </c>
      <c r="K219" s="25">
        <v>4</v>
      </c>
      <c r="L219" s="25">
        <v>8000</v>
      </c>
      <c r="M219" s="29">
        <v>0.1</v>
      </c>
      <c r="N219" s="25">
        <v>28800</v>
      </c>
      <c r="O219" s="25">
        <v>22031.46</v>
      </c>
      <c r="P219" s="25">
        <v>6768.54</v>
      </c>
      <c r="Q219" s="21">
        <v>23.5</v>
      </c>
      <c r="R219" s="11" t="s">
        <v>61</v>
      </c>
      <c r="S219" s="11" t="s">
        <v>74</v>
      </c>
      <c r="T219" s="11" t="s">
        <v>107</v>
      </c>
      <c r="U219" s="11" t="s">
        <v>64</v>
      </c>
      <c r="V219" s="11">
        <v>2025</v>
      </c>
      <c r="W219" s="11" t="s">
        <v>126</v>
      </c>
      <c r="X219" s="11">
        <v>10</v>
      </c>
      <c r="Y219" s="10">
        <v>45973</v>
      </c>
      <c r="Z219" s="11" t="s">
        <v>47</v>
      </c>
      <c r="AA219" s="11" t="s">
        <v>48</v>
      </c>
      <c r="AB219" s="11" t="s">
        <v>78</v>
      </c>
      <c r="AC219" s="11" t="s">
        <v>121</v>
      </c>
      <c r="AD219" s="11">
        <v>4</v>
      </c>
      <c r="AE219" s="11" t="s">
        <v>2226</v>
      </c>
      <c r="AF219" s="11" t="s">
        <v>2236</v>
      </c>
      <c r="AG219" s="25"/>
      <c r="AH219" s="11"/>
      <c r="AI219" s="11"/>
      <c r="AJ219" s="11"/>
      <c r="AK219" s="11"/>
      <c r="AL219" s="11"/>
      <c r="AM219" s="11" t="str">
        <f t="shared" si="19"/>
        <v>Needs Improvement</v>
      </c>
      <c r="AN219" s="11" t="str" cm="1">
        <f t="array" ref="AN219">_xlfn.IFS(N219&lt;10000,"Low",N219&lt;30000,"Medium",N219&gt;=30000,"High")</f>
        <v>Medium</v>
      </c>
      <c r="AO219" s="11" t="str">
        <f t="shared" si="20"/>
        <v>No</v>
      </c>
      <c r="AP219" s="11" t="str">
        <f t="shared" si="21"/>
        <v>Yes</v>
      </c>
      <c r="AQ219" s="11">
        <f t="shared" si="22"/>
        <v>0.23501875</v>
      </c>
      <c r="AR219" s="33"/>
      <c r="AS219" s="33"/>
      <c r="AT219" s="33"/>
      <c r="AU219" s="33"/>
      <c r="AV219" s="33"/>
      <c r="AW219" s="33"/>
      <c r="AX219" s="33" t="str">
        <f t="shared" si="23"/>
        <v>Average</v>
      </c>
    </row>
    <row r="220" spans="1:50">
      <c r="A220" s="9" t="s">
        <v>1486</v>
      </c>
      <c r="B220" s="10">
        <v>45669</v>
      </c>
      <c r="C220" s="11" t="s">
        <v>971</v>
      </c>
      <c r="D220" s="11" t="s">
        <v>623</v>
      </c>
      <c r="E220" s="11" t="s">
        <v>55</v>
      </c>
      <c r="F220" s="11" t="s">
        <v>149</v>
      </c>
      <c r="G220" s="11" t="s">
        <v>150</v>
      </c>
      <c r="H220" s="11" t="s">
        <v>171</v>
      </c>
      <c r="I220" s="11" t="s">
        <v>39</v>
      </c>
      <c r="J220" s="11" t="s">
        <v>40</v>
      </c>
      <c r="K220" s="25">
        <v>2</v>
      </c>
      <c r="L220" s="25">
        <v>35000</v>
      </c>
      <c r="M220" s="29">
        <v>0</v>
      </c>
      <c r="N220" s="25">
        <v>70000</v>
      </c>
      <c r="O220" s="25">
        <v>39746.629999999997</v>
      </c>
      <c r="P220" s="25">
        <v>30253.37</v>
      </c>
      <c r="Q220" s="21">
        <v>43.22</v>
      </c>
      <c r="R220" s="11" t="s">
        <v>73</v>
      </c>
      <c r="S220" s="11" t="s">
        <v>74</v>
      </c>
      <c r="T220" s="11" t="s">
        <v>159</v>
      </c>
      <c r="U220" s="11" t="s">
        <v>64</v>
      </c>
      <c r="V220" s="11">
        <v>2025</v>
      </c>
      <c r="W220" s="11" t="s">
        <v>126</v>
      </c>
      <c r="X220" s="11">
        <v>9</v>
      </c>
      <c r="Y220" s="10">
        <v>45942</v>
      </c>
      <c r="Z220" s="11" t="s">
        <v>110</v>
      </c>
      <c r="AA220" s="11" t="s">
        <v>90</v>
      </c>
      <c r="AB220" s="11" t="s">
        <v>49</v>
      </c>
      <c r="AC220" s="11" t="s">
        <v>50</v>
      </c>
      <c r="AD220" s="11">
        <v>2</v>
      </c>
      <c r="AE220" s="11" t="s">
        <v>2237</v>
      </c>
      <c r="AF220" s="11" t="s">
        <v>2236</v>
      </c>
      <c r="AG220" s="25"/>
      <c r="AH220" s="11"/>
      <c r="AI220" s="11"/>
      <c r="AJ220" s="11"/>
      <c r="AK220" s="11"/>
      <c r="AL220" s="11"/>
      <c r="AM220" s="11" t="str">
        <f t="shared" si="19"/>
        <v>Good</v>
      </c>
      <c r="AN220" s="11" t="str" cm="1">
        <f t="array" ref="AN220">_xlfn.IFS(N220&lt;10000,"Low",N220&lt;30000,"Medium",N220&gt;=30000,"High")</f>
        <v>High</v>
      </c>
      <c r="AO220" s="11" t="str">
        <f t="shared" si="20"/>
        <v>Yes</v>
      </c>
      <c r="AP220" s="11" t="str">
        <f t="shared" si="21"/>
        <v>Yes</v>
      </c>
      <c r="AQ220" s="11">
        <f t="shared" si="22"/>
        <v>0.43219099999999999</v>
      </c>
      <c r="AR220" s="33"/>
      <c r="AS220" s="33"/>
      <c r="AT220" s="33"/>
      <c r="AU220" s="33"/>
      <c r="AV220" s="33"/>
      <c r="AW220" s="33"/>
      <c r="AX220" s="33" t="str">
        <f t="shared" si="23"/>
        <v>Excellent</v>
      </c>
    </row>
    <row r="221" spans="1:50">
      <c r="A221" s="9" t="s">
        <v>888</v>
      </c>
      <c r="B221" s="10">
        <v>45689</v>
      </c>
      <c r="C221" s="11" t="s">
        <v>889</v>
      </c>
      <c r="D221" s="11" t="s">
        <v>890</v>
      </c>
      <c r="E221" s="11" t="s">
        <v>55</v>
      </c>
      <c r="F221" s="11" t="s">
        <v>82</v>
      </c>
      <c r="G221" s="11" t="s">
        <v>83</v>
      </c>
      <c r="H221" s="11" t="s">
        <v>38</v>
      </c>
      <c r="I221" s="11" t="s">
        <v>95</v>
      </c>
      <c r="J221" s="11" t="s">
        <v>184</v>
      </c>
      <c r="K221" s="25">
        <v>8</v>
      </c>
      <c r="L221" s="25">
        <v>9000</v>
      </c>
      <c r="M221" s="29">
        <v>0.15</v>
      </c>
      <c r="N221" s="25">
        <v>61200</v>
      </c>
      <c r="O221" s="25">
        <v>42775.83</v>
      </c>
      <c r="P221" s="25">
        <v>18424.169999999998</v>
      </c>
      <c r="Q221" s="21">
        <v>30.1</v>
      </c>
      <c r="R221" s="11" t="s">
        <v>41</v>
      </c>
      <c r="S221" s="11" t="s">
        <v>74</v>
      </c>
      <c r="T221" s="11" t="s">
        <v>159</v>
      </c>
      <c r="U221" s="11" t="s">
        <v>76</v>
      </c>
      <c r="V221" s="11">
        <v>2025</v>
      </c>
      <c r="W221" s="11" t="s">
        <v>139</v>
      </c>
      <c r="X221" s="11">
        <v>5</v>
      </c>
      <c r="Y221" s="10">
        <v>45839</v>
      </c>
      <c r="Z221" s="11" t="s">
        <v>110</v>
      </c>
      <c r="AA221" s="11" t="s">
        <v>48</v>
      </c>
      <c r="AB221" s="11" t="s">
        <v>111</v>
      </c>
      <c r="AC221" s="11" t="s">
        <v>121</v>
      </c>
      <c r="AD221" s="11">
        <v>1</v>
      </c>
      <c r="AE221" s="11" t="s">
        <v>2234</v>
      </c>
      <c r="AF221" s="11" t="s">
        <v>2224</v>
      </c>
      <c r="AG221" s="25"/>
      <c r="AH221" s="11"/>
      <c r="AI221" s="11"/>
      <c r="AJ221" s="11"/>
      <c r="AK221" s="11"/>
      <c r="AL221" s="11"/>
      <c r="AM221" s="11" t="str">
        <f t="shared" si="19"/>
        <v>Good</v>
      </c>
      <c r="AN221" s="11" t="str" cm="1">
        <f t="array" ref="AN221">_xlfn.IFS(N221&lt;10000,"Low",N221&lt;30000,"Medium",N221&gt;=30000,"High")</f>
        <v>High</v>
      </c>
      <c r="AO221" s="11" t="str">
        <f t="shared" si="20"/>
        <v>Yes</v>
      </c>
      <c r="AP221" s="11" t="str">
        <f t="shared" si="21"/>
        <v>Yes</v>
      </c>
      <c r="AQ221" s="11">
        <f t="shared" si="22"/>
        <v>0.30104852941176469</v>
      </c>
      <c r="AR221" s="33"/>
      <c r="AS221" s="33"/>
      <c r="AT221" s="33"/>
      <c r="AU221" s="33"/>
      <c r="AV221" s="33"/>
      <c r="AW221" s="33"/>
      <c r="AX221" s="33" t="str">
        <f t="shared" si="23"/>
        <v>Good</v>
      </c>
    </row>
    <row r="222" spans="1:50">
      <c r="A222" s="9" t="s">
        <v>1950</v>
      </c>
      <c r="B222" s="10">
        <v>45689</v>
      </c>
      <c r="C222" s="11" t="s">
        <v>709</v>
      </c>
      <c r="D222" s="11" t="s">
        <v>1951</v>
      </c>
      <c r="E222" s="11" t="s">
        <v>35</v>
      </c>
      <c r="F222" s="11" t="s">
        <v>104</v>
      </c>
      <c r="G222" s="11" t="s">
        <v>104</v>
      </c>
      <c r="H222" s="11" t="s">
        <v>171</v>
      </c>
      <c r="I222" s="11" t="s">
        <v>71</v>
      </c>
      <c r="J222" s="11" t="s">
        <v>240</v>
      </c>
      <c r="K222" s="25">
        <v>3</v>
      </c>
      <c r="L222" s="25">
        <v>2500</v>
      </c>
      <c r="M222" s="29">
        <v>0.15</v>
      </c>
      <c r="N222" s="25">
        <v>6375</v>
      </c>
      <c r="O222" s="25">
        <v>4011.7</v>
      </c>
      <c r="P222" s="25">
        <v>2363.3000000000002</v>
      </c>
      <c r="Q222" s="21">
        <v>37.07</v>
      </c>
      <c r="R222" s="11" t="s">
        <v>61</v>
      </c>
      <c r="S222" s="11" t="s">
        <v>74</v>
      </c>
      <c r="T222" s="11" t="s">
        <v>86</v>
      </c>
      <c r="U222" s="11" t="s">
        <v>76</v>
      </c>
      <c r="V222" s="11">
        <v>2025</v>
      </c>
      <c r="W222" s="11" t="s">
        <v>139</v>
      </c>
      <c r="X222" s="11">
        <v>9</v>
      </c>
      <c r="Y222" s="10">
        <v>45962</v>
      </c>
      <c r="Z222" s="11" t="s">
        <v>47</v>
      </c>
      <c r="AA222" s="11" t="s">
        <v>67</v>
      </c>
      <c r="AB222" s="11" t="s">
        <v>49</v>
      </c>
      <c r="AC222" s="11" t="s">
        <v>121</v>
      </c>
      <c r="AD222" s="11">
        <v>1</v>
      </c>
      <c r="AE222" s="11" t="s">
        <v>2221</v>
      </c>
      <c r="AF222" s="11" t="s">
        <v>2238</v>
      </c>
      <c r="AG222" s="25"/>
      <c r="AH222" s="11"/>
      <c r="AI222" s="11"/>
      <c r="AJ222" s="11"/>
      <c r="AK222" s="11"/>
      <c r="AL222" s="11"/>
      <c r="AM222" s="11" t="str">
        <f t="shared" si="19"/>
        <v>Good</v>
      </c>
      <c r="AN222" s="11" t="str" cm="1">
        <f t="array" ref="AN222">_xlfn.IFS(N222&lt;10000,"Low",N222&lt;30000,"Medium",N222&gt;=30000,"High")</f>
        <v>Low</v>
      </c>
      <c r="AO222" s="11" t="str">
        <f t="shared" si="20"/>
        <v>No</v>
      </c>
      <c r="AP222" s="11" t="str">
        <f t="shared" si="21"/>
        <v>Yes</v>
      </c>
      <c r="AQ222" s="11">
        <f t="shared" si="22"/>
        <v>0.3707137254901961</v>
      </c>
      <c r="AR222" s="33"/>
      <c r="AS222" s="33"/>
      <c r="AT222" s="33"/>
      <c r="AU222" s="33"/>
      <c r="AV222" s="33"/>
      <c r="AW222" s="33"/>
      <c r="AX222" s="33" t="str">
        <f t="shared" si="23"/>
        <v>Low</v>
      </c>
    </row>
    <row r="223" spans="1:50">
      <c r="A223" s="9" t="s">
        <v>611</v>
      </c>
      <c r="B223" s="10">
        <v>45690</v>
      </c>
      <c r="C223" s="11" t="s">
        <v>612</v>
      </c>
      <c r="D223" s="11" t="s">
        <v>422</v>
      </c>
      <c r="E223" s="11" t="s">
        <v>103</v>
      </c>
      <c r="F223" s="11" t="s">
        <v>36</v>
      </c>
      <c r="G223" s="11" t="s">
        <v>37</v>
      </c>
      <c r="H223" s="11" t="s">
        <v>171</v>
      </c>
      <c r="I223" s="11" t="s">
        <v>84</v>
      </c>
      <c r="J223" s="11" t="s">
        <v>85</v>
      </c>
      <c r="K223" s="25">
        <v>10</v>
      </c>
      <c r="L223" s="25">
        <v>200</v>
      </c>
      <c r="M223" s="29">
        <v>0.2</v>
      </c>
      <c r="N223" s="25">
        <v>1600</v>
      </c>
      <c r="O223" s="25">
        <v>1045.82</v>
      </c>
      <c r="P223" s="25">
        <v>554.17999999999995</v>
      </c>
      <c r="Q223" s="21">
        <v>34.64</v>
      </c>
      <c r="R223" s="11" t="s">
        <v>106</v>
      </c>
      <c r="S223" s="11" t="s">
        <v>74</v>
      </c>
      <c r="T223" s="11" t="s">
        <v>75</v>
      </c>
      <c r="U223" s="11" t="s">
        <v>98</v>
      </c>
      <c r="V223" s="11">
        <v>2025</v>
      </c>
      <c r="W223" s="11" t="s">
        <v>45</v>
      </c>
      <c r="X223" s="11">
        <v>9</v>
      </c>
      <c r="Y223" s="10">
        <v>45963</v>
      </c>
      <c r="Z223" s="11" t="s">
        <v>47</v>
      </c>
      <c r="AA223" s="11" t="s">
        <v>90</v>
      </c>
      <c r="AB223" s="11" t="s">
        <v>49</v>
      </c>
      <c r="AC223" s="11" t="s">
        <v>50</v>
      </c>
      <c r="AD223" s="11">
        <v>5</v>
      </c>
      <c r="AE223" s="11" t="s">
        <v>2237</v>
      </c>
      <c r="AF223" s="11" t="s">
        <v>2210</v>
      </c>
      <c r="AG223" s="25"/>
      <c r="AH223" s="11"/>
      <c r="AI223" s="11"/>
      <c r="AJ223" s="11"/>
      <c r="AK223" s="11"/>
      <c r="AL223" s="11"/>
      <c r="AM223" s="11" t="str">
        <f t="shared" si="19"/>
        <v>Good</v>
      </c>
      <c r="AN223" s="11" t="str" cm="1">
        <f t="array" ref="AN223">_xlfn.IFS(N223&lt;10000,"Low",N223&lt;30000,"Medium",N223&gt;=30000,"High")</f>
        <v>Low</v>
      </c>
      <c r="AO223" s="11" t="str">
        <f t="shared" si="20"/>
        <v>No</v>
      </c>
      <c r="AP223" s="11" t="str">
        <f t="shared" si="21"/>
        <v>Yes</v>
      </c>
      <c r="AQ223" s="11">
        <f t="shared" si="22"/>
        <v>0.34636249999999996</v>
      </c>
      <c r="AR223" s="33"/>
      <c r="AS223" s="33"/>
      <c r="AT223" s="33"/>
      <c r="AU223" s="33"/>
      <c r="AV223" s="33"/>
      <c r="AW223" s="33"/>
      <c r="AX223" s="33" t="str">
        <f t="shared" si="23"/>
        <v>Low</v>
      </c>
    </row>
    <row r="224" spans="1:50">
      <c r="A224" s="9" t="s">
        <v>1735</v>
      </c>
      <c r="B224" s="10">
        <v>45690</v>
      </c>
      <c r="C224" s="11" t="s">
        <v>1736</v>
      </c>
      <c r="D224" s="11" t="s">
        <v>870</v>
      </c>
      <c r="E224" s="11" t="s">
        <v>55</v>
      </c>
      <c r="F224" s="11" t="s">
        <v>56</v>
      </c>
      <c r="G224" s="11" t="s">
        <v>57</v>
      </c>
      <c r="H224" s="11" t="s">
        <v>38</v>
      </c>
      <c r="I224" s="11" t="s">
        <v>59</v>
      </c>
      <c r="J224" s="11" t="s">
        <v>133</v>
      </c>
      <c r="K224" s="25">
        <v>10</v>
      </c>
      <c r="L224" s="25">
        <v>1200</v>
      </c>
      <c r="M224" s="29">
        <v>0.2</v>
      </c>
      <c r="N224" s="25">
        <v>9600</v>
      </c>
      <c r="O224" s="25">
        <v>5312.57</v>
      </c>
      <c r="P224" s="25">
        <v>4287.43</v>
      </c>
      <c r="Q224" s="21">
        <v>44.66</v>
      </c>
      <c r="R224" s="11" t="s">
        <v>166</v>
      </c>
      <c r="S224" s="11" t="s">
        <v>42</v>
      </c>
      <c r="T224" s="11" t="s">
        <v>138</v>
      </c>
      <c r="U224" s="11" t="s">
        <v>98</v>
      </c>
      <c r="V224" s="11">
        <v>2025</v>
      </c>
      <c r="W224" s="11" t="s">
        <v>45</v>
      </c>
      <c r="X224" s="11">
        <v>8</v>
      </c>
      <c r="Y224" s="10">
        <v>45932</v>
      </c>
      <c r="Z224" s="11" t="s">
        <v>89</v>
      </c>
      <c r="AA224" s="11" t="s">
        <v>90</v>
      </c>
      <c r="AB224" s="11" t="s">
        <v>111</v>
      </c>
      <c r="AC224" s="11" t="s">
        <v>121</v>
      </c>
      <c r="AD224" s="11">
        <v>4</v>
      </c>
      <c r="AE224" s="11" t="s">
        <v>2216</v>
      </c>
      <c r="AF224" s="11" t="s">
        <v>2236</v>
      </c>
      <c r="AG224" s="25"/>
      <c r="AH224" s="11"/>
      <c r="AI224" s="11"/>
      <c r="AJ224" s="11"/>
      <c r="AK224" s="11"/>
      <c r="AL224" s="11"/>
      <c r="AM224" s="11" t="str">
        <f t="shared" si="19"/>
        <v>Good</v>
      </c>
      <c r="AN224" s="11" t="str" cm="1">
        <f t="array" ref="AN224">_xlfn.IFS(N224&lt;10000,"Low",N224&lt;30000,"Medium",N224&gt;=30000,"High")</f>
        <v>Low</v>
      </c>
      <c r="AO224" s="11" t="str">
        <f t="shared" si="20"/>
        <v>No</v>
      </c>
      <c r="AP224" s="11" t="str">
        <f t="shared" si="21"/>
        <v>Yes</v>
      </c>
      <c r="AQ224" s="11">
        <f t="shared" si="22"/>
        <v>0.44660729166666668</v>
      </c>
      <c r="AR224" s="33"/>
      <c r="AS224" s="33"/>
      <c r="AT224" s="33"/>
      <c r="AU224" s="33"/>
      <c r="AV224" s="33"/>
      <c r="AW224" s="33"/>
      <c r="AX224" s="33" t="str">
        <f t="shared" si="23"/>
        <v>Low</v>
      </c>
    </row>
    <row r="225" spans="1:50">
      <c r="A225" s="9" t="s">
        <v>816</v>
      </c>
      <c r="B225" s="10">
        <v>45691</v>
      </c>
      <c r="C225" s="11" t="s">
        <v>277</v>
      </c>
      <c r="D225" s="11" t="s">
        <v>817</v>
      </c>
      <c r="E225" s="11" t="s">
        <v>35</v>
      </c>
      <c r="F225" s="11" t="s">
        <v>104</v>
      </c>
      <c r="G225" s="11" t="s">
        <v>104</v>
      </c>
      <c r="H225" s="11" t="s">
        <v>38</v>
      </c>
      <c r="I225" s="11" t="s">
        <v>39</v>
      </c>
      <c r="J225" s="11" t="s">
        <v>356</v>
      </c>
      <c r="K225" s="25">
        <v>1</v>
      </c>
      <c r="L225" s="25">
        <v>50000</v>
      </c>
      <c r="M225" s="29">
        <v>0</v>
      </c>
      <c r="N225" s="25">
        <v>50000</v>
      </c>
      <c r="O225" s="25">
        <v>29168.53</v>
      </c>
      <c r="P225" s="25">
        <v>20831.47</v>
      </c>
      <c r="Q225" s="21">
        <v>41.66</v>
      </c>
      <c r="R225" s="11" t="s">
        <v>106</v>
      </c>
      <c r="S225" s="11" t="s">
        <v>62</v>
      </c>
      <c r="T225" s="11" t="s">
        <v>75</v>
      </c>
      <c r="U225" s="11" t="s">
        <v>178</v>
      </c>
      <c r="V225" s="11">
        <v>2025</v>
      </c>
      <c r="W225" s="11" t="s">
        <v>45</v>
      </c>
      <c r="X225" s="11">
        <v>8</v>
      </c>
      <c r="Y225" s="10">
        <v>45933</v>
      </c>
      <c r="Z225" s="11" t="s">
        <v>110</v>
      </c>
      <c r="AA225" s="11" t="s">
        <v>48</v>
      </c>
      <c r="AB225" s="11" t="s">
        <v>49</v>
      </c>
      <c r="AC225" s="11" t="s">
        <v>50</v>
      </c>
      <c r="AD225" s="11">
        <v>5</v>
      </c>
      <c r="AE225" s="11" t="s">
        <v>2220</v>
      </c>
      <c r="AF225" s="11" t="s">
        <v>2214</v>
      </c>
      <c r="AG225" s="25"/>
      <c r="AH225" s="11"/>
      <c r="AI225" s="11"/>
      <c r="AJ225" s="11"/>
      <c r="AK225" s="11"/>
      <c r="AL225" s="11"/>
      <c r="AM225" s="11" t="str">
        <f t="shared" si="19"/>
        <v>Good</v>
      </c>
      <c r="AN225" s="11" t="str" cm="1">
        <f t="array" ref="AN225">_xlfn.IFS(N225&lt;10000,"Low",N225&lt;30000,"Medium",N225&gt;=30000,"High")</f>
        <v>High</v>
      </c>
      <c r="AO225" s="11" t="str">
        <f t="shared" si="20"/>
        <v>Yes</v>
      </c>
      <c r="AP225" s="11" t="str">
        <f t="shared" si="21"/>
        <v>No</v>
      </c>
      <c r="AQ225" s="11">
        <f t="shared" si="22"/>
        <v>0.41662940000000004</v>
      </c>
      <c r="AR225" s="33"/>
      <c r="AS225" s="33"/>
      <c r="AT225" s="33"/>
      <c r="AU225" s="33"/>
      <c r="AV225" s="33"/>
      <c r="AW225" s="33"/>
      <c r="AX225" s="33" t="str">
        <f t="shared" si="23"/>
        <v>Excellent</v>
      </c>
    </row>
    <row r="226" spans="1:50">
      <c r="A226" s="9" t="s">
        <v>1478</v>
      </c>
      <c r="B226" s="10">
        <v>45692</v>
      </c>
      <c r="C226" s="11" t="s">
        <v>946</v>
      </c>
      <c r="D226" s="11" t="s">
        <v>1386</v>
      </c>
      <c r="E226" s="11" t="s">
        <v>35</v>
      </c>
      <c r="F226" s="11" t="s">
        <v>36</v>
      </c>
      <c r="G226" s="11" t="s">
        <v>37</v>
      </c>
      <c r="H226" s="11" t="s">
        <v>58</v>
      </c>
      <c r="I226" s="11" t="s">
        <v>95</v>
      </c>
      <c r="J226" s="11" t="s">
        <v>96</v>
      </c>
      <c r="K226" s="25">
        <v>3</v>
      </c>
      <c r="L226" s="25">
        <v>2500</v>
      </c>
      <c r="M226" s="29">
        <v>0.2</v>
      </c>
      <c r="N226" s="25">
        <v>6000</v>
      </c>
      <c r="O226" s="25">
        <v>3363.41</v>
      </c>
      <c r="P226" s="25">
        <v>2636.59</v>
      </c>
      <c r="Q226" s="21">
        <v>43.94</v>
      </c>
      <c r="R226" s="11" t="s">
        <v>41</v>
      </c>
      <c r="S226" s="11" t="s">
        <v>62</v>
      </c>
      <c r="T226" s="11" t="s">
        <v>43</v>
      </c>
      <c r="U226" s="11" t="s">
        <v>44</v>
      </c>
      <c r="V226" s="11">
        <v>2025</v>
      </c>
      <c r="W226" s="11" t="s">
        <v>134</v>
      </c>
      <c r="X226" s="11">
        <v>6</v>
      </c>
      <c r="Y226" s="10">
        <v>45873</v>
      </c>
      <c r="Z226" s="11" t="s">
        <v>47</v>
      </c>
      <c r="AA226" s="11" t="s">
        <v>90</v>
      </c>
      <c r="AB226" s="11" t="s">
        <v>49</v>
      </c>
      <c r="AC226" s="11" t="s">
        <v>50</v>
      </c>
      <c r="AD226" s="11">
        <v>3</v>
      </c>
      <c r="AE226" s="11" t="s">
        <v>86</v>
      </c>
      <c r="AF226" s="11" t="s">
        <v>2235</v>
      </c>
      <c r="AG226" s="25"/>
      <c r="AH226" s="11"/>
      <c r="AI226" s="11"/>
      <c r="AJ226" s="11"/>
      <c r="AK226" s="11"/>
      <c r="AL226" s="11"/>
      <c r="AM226" s="11" t="str">
        <f t="shared" si="19"/>
        <v>Good</v>
      </c>
      <c r="AN226" s="11" t="str" cm="1">
        <f t="array" ref="AN226">_xlfn.IFS(N226&lt;10000,"Low",N226&lt;30000,"Medium",N226&gt;=30000,"High")</f>
        <v>Low</v>
      </c>
      <c r="AO226" s="11" t="str">
        <f t="shared" si="20"/>
        <v>No</v>
      </c>
      <c r="AP226" s="11" t="str">
        <f t="shared" si="21"/>
        <v>No</v>
      </c>
      <c r="AQ226" s="11">
        <f t="shared" si="22"/>
        <v>0.43943166666666666</v>
      </c>
      <c r="AR226" s="33"/>
      <c r="AS226" s="33"/>
      <c r="AT226" s="33"/>
      <c r="AU226" s="33"/>
      <c r="AV226" s="33"/>
      <c r="AW226" s="33"/>
      <c r="AX226" s="33" t="str">
        <f t="shared" si="23"/>
        <v>Low</v>
      </c>
    </row>
    <row r="227" spans="1:50">
      <c r="A227" s="9" t="s">
        <v>1228</v>
      </c>
      <c r="B227" s="10">
        <v>45693</v>
      </c>
      <c r="C227" s="11" t="s">
        <v>702</v>
      </c>
      <c r="D227" s="11" t="s">
        <v>1162</v>
      </c>
      <c r="E227" s="11" t="s">
        <v>55</v>
      </c>
      <c r="F227" s="11" t="s">
        <v>116</v>
      </c>
      <c r="G227" s="11" t="s">
        <v>37</v>
      </c>
      <c r="H227" s="11" t="s">
        <v>58</v>
      </c>
      <c r="I227" s="11" t="s">
        <v>59</v>
      </c>
      <c r="J227" s="11" t="s">
        <v>372</v>
      </c>
      <c r="K227" s="25">
        <v>5</v>
      </c>
      <c r="L227" s="25">
        <v>2000</v>
      </c>
      <c r="M227" s="29">
        <v>0.1</v>
      </c>
      <c r="N227" s="25">
        <v>9000</v>
      </c>
      <c r="O227" s="25">
        <v>7349.68</v>
      </c>
      <c r="P227" s="25">
        <v>1650.32</v>
      </c>
      <c r="Q227" s="21">
        <v>18.34</v>
      </c>
      <c r="R227" s="11" t="s">
        <v>106</v>
      </c>
      <c r="S227" s="11" t="s">
        <v>62</v>
      </c>
      <c r="T227" s="11" t="s">
        <v>138</v>
      </c>
      <c r="U227" s="11" t="s">
        <v>119</v>
      </c>
      <c r="V227" s="11">
        <v>2025</v>
      </c>
      <c r="W227" s="11" t="s">
        <v>194</v>
      </c>
      <c r="X227" s="11">
        <v>10</v>
      </c>
      <c r="Y227" s="10">
        <v>45996</v>
      </c>
      <c r="Z227" s="11" t="s">
        <v>110</v>
      </c>
      <c r="AA227" s="11" t="s">
        <v>67</v>
      </c>
      <c r="AB227" s="11" t="s">
        <v>49</v>
      </c>
      <c r="AC227" s="11" t="s">
        <v>121</v>
      </c>
      <c r="AD227" s="11">
        <v>1</v>
      </c>
      <c r="AE227" s="11" t="s">
        <v>2225</v>
      </c>
      <c r="AF227" s="11" t="s">
        <v>2222</v>
      </c>
      <c r="AG227" s="25"/>
      <c r="AH227" s="11"/>
      <c r="AI227" s="11"/>
      <c r="AJ227" s="11"/>
      <c r="AK227" s="11"/>
      <c r="AL227" s="11"/>
      <c r="AM227" s="11" t="str">
        <f t="shared" si="19"/>
        <v>Needs Improvement</v>
      </c>
      <c r="AN227" s="11" t="str" cm="1">
        <f t="array" ref="AN227">_xlfn.IFS(N227&lt;10000,"Low",N227&lt;30000,"Medium",N227&gt;=30000,"High")</f>
        <v>Low</v>
      </c>
      <c r="AO227" s="11" t="str">
        <f t="shared" si="20"/>
        <v>No</v>
      </c>
      <c r="AP227" s="11" t="str">
        <f t="shared" si="21"/>
        <v>No</v>
      </c>
      <c r="AQ227" s="11">
        <f t="shared" si="22"/>
        <v>0.18336888888888889</v>
      </c>
      <c r="AR227" s="33"/>
      <c r="AS227" s="33"/>
      <c r="AT227" s="33"/>
      <c r="AU227" s="33"/>
      <c r="AV227" s="33"/>
      <c r="AW227" s="33"/>
      <c r="AX227" s="33" t="str">
        <f t="shared" si="23"/>
        <v>Low</v>
      </c>
    </row>
    <row r="228" spans="1:50">
      <c r="A228" s="9" t="s">
        <v>1859</v>
      </c>
      <c r="B228" s="10">
        <v>45694</v>
      </c>
      <c r="C228" s="11" t="s">
        <v>883</v>
      </c>
      <c r="D228" s="11" t="s">
        <v>439</v>
      </c>
      <c r="E228" s="11" t="s">
        <v>35</v>
      </c>
      <c r="F228" s="11" t="s">
        <v>245</v>
      </c>
      <c r="G228" s="11" t="s">
        <v>246</v>
      </c>
      <c r="H228" s="11" t="s">
        <v>171</v>
      </c>
      <c r="I228" s="11" t="s">
        <v>71</v>
      </c>
      <c r="J228" s="11" t="s">
        <v>172</v>
      </c>
      <c r="K228" s="25">
        <v>5</v>
      </c>
      <c r="L228" s="25">
        <v>3500</v>
      </c>
      <c r="M228" s="29">
        <v>0.15</v>
      </c>
      <c r="N228" s="25">
        <v>14875</v>
      </c>
      <c r="O228" s="25">
        <v>9894.27</v>
      </c>
      <c r="P228" s="25">
        <v>4980.7299999999996</v>
      </c>
      <c r="Q228" s="21">
        <v>33.479999999999997</v>
      </c>
      <c r="R228" s="11" t="s">
        <v>61</v>
      </c>
      <c r="S228" s="11" t="s">
        <v>74</v>
      </c>
      <c r="T228" s="11" t="s">
        <v>173</v>
      </c>
      <c r="U228" s="11" t="s">
        <v>160</v>
      </c>
      <c r="V228" s="11">
        <v>2025</v>
      </c>
      <c r="W228" s="11" t="s">
        <v>126</v>
      </c>
      <c r="X228" s="11">
        <v>5</v>
      </c>
      <c r="Y228" s="10">
        <v>45844</v>
      </c>
      <c r="Z228" s="11" t="s">
        <v>47</v>
      </c>
      <c r="AA228" s="11" t="s">
        <v>90</v>
      </c>
      <c r="AB228" s="11" t="s">
        <v>49</v>
      </c>
      <c r="AC228" s="11" t="s">
        <v>50</v>
      </c>
      <c r="AD228" s="11">
        <v>3</v>
      </c>
      <c r="AE228" s="11" t="s">
        <v>2213</v>
      </c>
      <c r="AF228" s="11" t="s">
        <v>2210</v>
      </c>
      <c r="AG228" s="25"/>
      <c r="AH228" s="11"/>
      <c r="AI228" s="11"/>
      <c r="AJ228" s="11"/>
      <c r="AK228" s="11"/>
      <c r="AL228" s="11"/>
      <c r="AM228" s="11" t="str">
        <f t="shared" si="19"/>
        <v>Good</v>
      </c>
      <c r="AN228" s="11" t="str" cm="1">
        <f t="array" ref="AN228">_xlfn.IFS(N228&lt;10000,"Low",N228&lt;30000,"Medium",N228&gt;=30000,"High")</f>
        <v>Medium</v>
      </c>
      <c r="AO228" s="11" t="str">
        <f t="shared" si="20"/>
        <v>No</v>
      </c>
      <c r="AP228" s="11" t="str">
        <f t="shared" si="21"/>
        <v>Yes</v>
      </c>
      <c r="AQ228" s="11">
        <f t="shared" si="22"/>
        <v>0.3348389915966386</v>
      </c>
      <c r="AR228" s="33"/>
      <c r="AS228" s="33"/>
      <c r="AT228" s="33"/>
      <c r="AU228" s="33"/>
      <c r="AV228" s="33"/>
      <c r="AW228" s="33"/>
      <c r="AX228" s="33" t="str">
        <f t="shared" si="23"/>
        <v>Low</v>
      </c>
    </row>
    <row r="229" spans="1:50">
      <c r="A229" s="9" t="s">
        <v>1241</v>
      </c>
      <c r="B229" s="10">
        <v>45695</v>
      </c>
      <c r="C229" s="11" t="s">
        <v>1242</v>
      </c>
      <c r="D229" s="11" t="s">
        <v>1243</v>
      </c>
      <c r="E229" s="11" t="s">
        <v>35</v>
      </c>
      <c r="F229" s="11" t="s">
        <v>116</v>
      </c>
      <c r="G229" s="11" t="s">
        <v>37</v>
      </c>
      <c r="H229" s="11" t="s">
        <v>58</v>
      </c>
      <c r="I229" s="11" t="s">
        <v>84</v>
      </c>
      <c r="J229" s="11" t="s">
        <v>290</v>
      </c>
      <c r="K229" s="25">
        <v>4</v>
      </c>
      <c r="L229" s="25">
        <v>500</v>
      </c>
      <c r="M229" s="29">
        <v>0</v>
      </c>
      <c r="N229" s="25">
        <v>2000</v>
      </c>
      <c r="O229" s="25">
        <v>1243.18</v>
      </c>
      <c r="P229" s="25">
        <v>756.82</v>
      </c>
      <c r="Q229" s="21">
        <v>37.840000000000003</v>
      </c>
      <c r="R229" s="11" t="s">
        <v>41</v>
      </c>
      <c r="S229" s="11" t="s">
        <v>74</v>
      </c>
      <c r="T229" s="11" t="s">
        <v>63</v>
      </c>
      <c r="U229" s="11" t="s">
        <v>151</v>
      </c>
      <c r="V229" s="11">
        <v>2025</v>
      </c>
      <c r="W229" s="11" t="s">
        <v>134</v>
      </c>
      <c r="X229" s="11">
        <v>4</v>
      </c>
      <c r="Y229" s="10">
        <v>45815</v>
      </c>
      <c r="Z229" s="11" t="s">
        <v>47</v>
      </c>
      <c r="AA229" s="11" t="s">
        <v>67</v>
      </c>
      <c r="AB229" s="11" t="s">
        <v>78</v>
      </c>
      <c r="AC229" s="11" t="s">
        <v>121</v>
      </c>
      <c r="AD229" s="11">
        <v>5</v>
      </c>
      <c r="AE229" s="11" t="s">
        <v>2229</v>
      </c>
      <c r="AF229" s="11" t="s">
        <v>2223</v>
      </c>
      <c r="AG229" s="25"/>
      <c r="AH229" s="11"/>
      <c r="AI229" s="11"/>
      <c r="AJ229" s="11"/>
      <c r="AK229" s="11"/>
      <c r="AL229" s="11"/>
      <c r="AM229" s="11" t="str">
        <f t="shared" si="19"/>
        <v>Good</v>
      </c>
      <c r="AN229" s="11" t="str" cm="1">
        <f t="array" ref="AN229">_xlfn.IFS(N229&lt;10000,"Low",N229&lt;30000,"Medium",N229&gt;=30000,"High")</f>
        <v>Low</v>
      </c>
      <c r="AO229" s="11" t="str">
        <f t="shared" si="20"/>
        <v>No</v>
      </c>
      <c r="AP229" s="11" t="str">
        <f t="shared" si="21"/>
        <v>Yes</v>
      </c>
      <c r="AQ229" s="11">
        <f t="shared" si="22"/>
        <v>0.37841000000000002</v>
      </c>
      <c r="AR229" s="33"/>
      <c r="AS229" s="33"/>
      <c r="AT229" s="33"/>
      <c r="AU229" s="33"/>
      <c r="AV229" s="33"/>
      <c r="AW229" s="33"/>
      <c r="AX229" s="33" t="str">
        <f t="shared" si="23"/>
        <v>Low</v>
      </c>
    </row>
    <row r="230" spans="1:50">
      <c r="A230" s="9" t="s">
        <v>1484</v>
      </c>
      <c r="B230" s="10">
        <v>45695</v>
      </c>
      <c r="C230" s="11" t="s">
        <v>1485</v>
      </c>
      <c r="D230" s="11" t="s">
        <v>813</v>
      </c>
      <c r="E230" s="11" t="s">
        <v>55</v>
      </c>
      <c r="F230" s="11" t="s">
        <v>56</v>
      </c>
      <c r="G230" s="11" t="s">
        <v>57</v>
      </c>
      <c r="H230" s="11" t="s">
        <v>38</v>
      </c>
      <c r="I230" s="11" t="s">
        <v>39</v>
      </c>
      <c r="J230" s="11" t="s">
        <v>40</v>
      </c>
      <c r="K230" s="25">
        <v>7</v>
      </c>
      <c r="L230" s="25">
        <v>50000</v>
      </c>
      <c r="M230" s="29">
        <v>0.05</v>
      </c>
      <c r="N230" s="25">
        <v>332500</v>
      </c>
      <c r="O230" s="25">
        <v>239394.49</v>
      </c>
      <c r="P230" s="25">
        <v>93105.51</v>
      </c>
      <c r="Q230" s="21">
        <v>28</v>
      </c>
      <c r="R230" s="11" t="s">
        <v>166</v>
      </c>
      <c r="S230" s="11" t="s">
        <v>74</v>
      </c>
      <c r="T230" s="11" t="s">
        <v>97</v>
      </c>
      <c r="U230" s="11" t="s">
        <v>151</v>
      </c>
      <c r="V230" s="11">
        <v>2025</v>
      </c>
      <c r="W230" s="11" t="s">
        <v>134</v>
      </c>
      <c r="X230" s="11">
        <v>4</v>
      </c>
      <c r="Y230" s="10">
        <v>45815</v>
      </c>
      <c r="Z230" s="11" t="s">
        <v>47</v>
      </c>
      <c r="AA230" s="11" t="s">
        <v>67</v>
      </c>
      <c r="AB230" s="11" t="s">
        <v>78</v>
      </c>
      <c r="AC230" s="11" t="s">
        <v>121</v>
      </c>
      <c r="AD230" s="11">
        <v>5</v>
      </c>
      <c r="AE230" s="11" t="s">
        <v>86</v>
      </c>
      <c r="AF230" s="11" t="s">
        <v>2214</v>
      </c>
      <c r="AG230" s="25"/>
      <c r="AH230" s="11"/>
      <c r="AI230" s="11"/>
      <c r="AJ230" s="11"/>
      <c r="AK230" s="11"/>
      <c r="AL230" s="11"/>
      <c r="AM230" s="11" t="str">
        <f t="shared" si="19"/>
        <v>Needs Improvement</v>
      </c>
      <c r="AN230" s="11" t="str" cm="1">
        <f t="array" ref="AN230">_xlfn.IFS(N230&lt;10000,"Low",N230&lt;30000,"Medium",N230&gt;=30000,"High")</f>
        <v>High</v>
      </c>
      <c r="AO230" s="11" t="str">
        <f t="shared" si="20"/>
        <v>Yes</v>
      </c>
      <c r="AP230" s="11" t="str">
        <f t="shared" si="21"/>
        <v>Yes</v>
      </c>
      <c r="AQ230" s="11">
        <f t="shared" si="22"/>
        <v>0.28001657142857139</v>
      </c>
      <c r="AR230" s="33"/>
      <c r="AS230" s="33"/>
      <c r="AT230" s="33"/>
      <c r="AU230" s="33"/>
      <c r="AV230" s="33"/>
      <c r="AW230" s="33"/>
      <c r="AX230" s="33" t="str">
        <f t="shared" si="23"/>
        <v>Excellent</v>
      </c>
    </row>
    <row r="231" spans="1:50">
      <c r="A231" s="9" t="s">
        <v>1572</v>
      </c>
      <c r="B231" s="10">
        <v>45695</v>
      </c>
      <c r="C231" s="11" t="s">
        <v>1230</v>
      </c>
      <c r="D231" s="11" t="s">
        <v>535</v>
      </c>
      <c r="E231" s="11" t="s">
        <v>55</v>
      </c>
      <c r="F231" s="11" t="s">
        <v>131</v>
      </c>
      <c r="G231" s="11" t="s">
        <v>132</v>
      </c>
      <c r="H231" s="11" t="s">
        <v>58</v>
      </c>
      <c r="I231" s="11" t="s">
        <v>84</v>
      </c>
      <c r="J231" s="11" t="s">
        <v>390</v>
      </c>
      <c r="K231" s="25">
        <v>4</v>
      </c>
      <c r="L231" s="25">
        <v>800</v>
      </c>
      <c r="M231" s="29">
        <v>0</v>
      </c>
      <c r="N231" s="25">
        <v>3200</v>
      </c>
      <c r="O231" s="25">
        <v>2202.15</v>
      </c>
      <c r="P231" s="25">
        <v>997.85</v>
      </c>
      <c r="Q231" s="21">
        <v>31.18</v>
      </c>
      <c r="R231" s="11" t="s">
        <v>73</v>
      </c>
      <c r="S231" s="11" t="s">
        <v>74</v>
      </c>
      <c r="T231" s="11" t="s">
        <v>97</v>
      </c>
      <c r="U231" s="11" t="s">
        <v>151</v>
      </c>
      <c r="V231" s="11">
        <v>2025</v>
      </c>
      <c r="W231" s="11" t="s">
        <v>134</v>
      </c>
      <c r="X231" s="11">
        <v>1</v>
      </c>
      <c r="Y231" s="10">
        <v>45723</v>
      </c>
      <c r="Z231" s="11" t="s">
        <v>89</v>
      </c>
      <c r="AA231" s="11" t="s">
        <v>90</v>
      </c>
      <c r="AB231" s="11" t="s">
        <v>49</v>
      </c>
      <c r="AC231" s="11" t="s">
        <v>121</v>
      </c>
      <c r="AD231" s="11">
        <v>2</v>
      </c>
      <c r="AE231" s="11" t="s">
        <v>86</v>
      </c>
      <c r="AF231" s="11" t="s">
        <v>2217</v>
      </c>
      <c r="AG231" s="25"/>
      <c r="AH231" s="11"/>
      <c r="AI231" s="11"/>
      <c r="AJ231" s="11"/>
      <c r="AK231" s="11"/>
      <c r="AL231" s="11"/>
      <c r="AM231" s="11" t="str">
        <f t="shared" si="19"/>
        <v>Good</v>
      </c>
      <c r="AN231" s="11" t="str" cm="1">
        <f t="array" ref="AN231">_xlfn.IFS(N231&lt;10000,"Low",N231&lt;30000,"Medium",N231&gt;=30000,"High")</f>
        <v>Low</v>
      </c>
      <c r="AO231" s="11" t="str">
        <f t="shared" si="20"/>
        <v>No</v>
      </c>
      <c r="AP231" s="11" t="str">
        <f t="shared" si="21"/>
        <v>Yes</v>
      </c>
      <c r="AQ231" s="11">
        <f t="shared" si="22"/>
        <v>0.31182812500000001</v>
      </c>
      <c r="AR231" s="33"/>
      <c r="AS231" s="33"/>
      <c r="AT231" s="33"/>
      <c r="AU231" s="33"/>
      <c r="AV231" s="33"/>
      <c r="AW231" s="33"/>
      <c r="AX231" s="33" t="str">
        <f t="shared" si="23"/>
        <v>Low</v>
      </c>
    </row>
    <row r="232" spans="1:50">
      <c r="A232" s="9" t="s">
        <v>100</v>
      </c>
      <c r="B232" s="10">
        <v>45697</v>
      </c>
      <c r="C232" s="11" t="s">
        <v>101</v>
      </c>
      <c r="D232" s="11" t="s">
        <v>102</v>
      </c>
      <c r="E232" s="11" t="s">
        <v>103</v>
      </c>
      <c r="F232" s="11" t="s">
        <v>104</v>
      </c>
      <c r="G232" s="11" t="s">
        <v>104</v>
      </c>
      <c r="H232" s="11" t="s">
        <v>58</v>
      </c>
      <c r="I232" s="11" t="s">
        <v>39</v>
      </c>
      <c r="J232" s="11" t="s">
        <v>105</v>
      </c>
      <c r="K232" s="25">
        <v>3</v>
      </c>
      <c r="L232" s="25">
        <v>50000</v>
      </c>
      <c r="M232" s="29">
        <v>0.15</v>
      </c>
      <c r="N232" s="25">
        <v>127500</v>
      </c>
      <c r="O232" s="25">
        <v>83262.240000000005</v>
      </c>
      <c r="P232" s="25">
        <v>44237.760000000002</v>
      </c>
      <c r="Q232" s="21">
        <v>34.700000000000003</v>
      </c>
      <c r="R232" s="11" t="s">
        <v>106</v>
      </c>
      <c r="S232" s="11" t="s">
        <v>42</v>
      </c>
      <c r="T232" s="11" t="s">
        <v>107</v>
      </c>
      <c r="U232" s="11" t="s">
        <v>108</v>
      </c>
      <c r="V232" s="11">
        <v>2025</v>
      </c>
      <c r="W232" s="11" t="s">
        <v>109</v>
      </c>
      <c r="X232" s="11">
        <v>2</v>
      </c>
      <c r="Y232" s="10">
        <v>45756</v>
      </c>
      <c r="Z232" s="11" t="s">
        <v>110</v>
      </c>
      <c r="AA232" s="11" t="s">
        <v>67</v>
      </c>
      <c r="AB232" s="11" t="s">
        <v>111</v>
      </c>
      <c r="AC232" s="11" t="s">
        <v>50</v>
      </c>
      <c r="AD232" s="11">
        <v>1</v>
      </c>
      <c r="AE232" s="11" t="s">
        <v>2227</v>
      </c>
      <c r="AF232" s="11" t="s">
        <v>2228</v>
      </c>
      <c r="AG232" s="25"/>
      <c r="AH232" s="11"/>
      <c r="AI232" s="11"/>
      <c r="AJ232" s="11"/>
      <c r="AK232" s="11"/>
      <c r="AL232" s="11"/>
      <c r="AM232" s="11" t="str">
        <f t="shared" si="19"/>
        <v>Good</v>
      </c>
      <c r="AN232" s="11" t="str" cm="1">
        <f t="array" ref="AN232">_xlfn.IFS(N232&lt;10000,"Low",N232&lt;30000,"Medium",N232&gt;=30000,"High")</f>
        <v>High</v>
      </c>
      <c r="AO232" s="11" t="str">
        <f t="shared" si="20"/>
        <v>Yes</v>
      </c>
      <c r="AP232" s="11" t="str">
        <f t="shared" si="21"/>
        <v>Yes</v>
      </c>
      <c r="AQ232" s="11">
        <f t="shared" si="22"/>
        <v>0.34696282352941177</v>
      </c>
      <c r="AR232" s="33"/>
      <c r="AS232" s="33"/>
      <c r="AT232" s="33"/>
      <c r="AU232" s="33"/>
      <c r="AV232" s="33"/>
      <c r="AW232" s="33"/>
      <c r="AX232" s="33" t="str">
        <f t="shared" si="23"/>
        <v>Excellent</v>
      </c>
    </row>
    <row r="233" spans="1:50">
      <c r="A233" s="9" t="s">
        <v>1167</v>
      </c>
      <c r="B233" s="10">
        <v>45697</v>
      </c>
      <c r="C233" s="11" t="s">
        <v>1001</v>
      </c>
      <c r="D233" s="11" t="s">
        <v>343</v>
      </c>
      <c r="E233" s="11" t="s">
        <v>55</v>
      </c>
      <c r="F233" s="11" t="s">
        <v>56</v>
      </c>
      <c r="G233" s="11" t="s">
        <v>57</v>
      </c>
      <c r="H233" s="11" t="s">
        <v>58</v>
      </c>
      <c r="I233" s="11" t="s">
        <v>71</v>
      </c>
      <c r="J233" s="11" t="s">
        <v>117</v>
      </c>
      <c r="K233" s="25">
        <v>3</v>
      </c>
      <c r="L233" s="25">
        <v>3500</v>
      </c>
      <c r="M233" s="29">
        <v>0</v>
      </c>
      <c r="N233" s="25">
        <v>10500</v>
      </c>
      <c r="O233" s="25">
        <v>7510.16</v>
      </c>
      <c r="P233" s="25">
        <v>2989.84</v>
      </c>
      <c r="Q233" s="21">
        <v>28.47</v>
      </c>
      <c r="R233" s="11" t="s">
        <v>41</v>
      </c>
      <c r="S233" s="11" t="s">
        <v>74</v>
      </c>
      <c r="T233" s="11" t="s">
        <v>86</v>
      </c>
      <c r="U233" s="11" t="s">
        <v>108</v>
      </c>
      <c r="V233" s="11">
        <v>2025</v>
      </c>
      <c r="W233" s="11" t="s">
        <v>109</v>
      </c>
      <c r="X233" s="11">
        <v>3</v>
      </c>
      <c r="Y233" s="10">
        <v>45786</v>
      </c>
      <c r="Z233" s="11" t="s">
        <v>110</v>
      </c>
      <c r="AA233" s="11" t="s">
        <v>90</v>
      </c>
      <c r="AB233" s="11" t="s">
        <v>111</v>
      </c>
      <c r="AC233" s="11" t="s">
        <v>121</v>
      </c>
      <c r="AD233" s="11">
        <v>5</v>
      </c>
      <c r="AE233" s="11" t="s">
        <v>2218</v>
      </c>
      <c r="AF233" s="11" t="s">
        <v>2236</v>
      </c>
      <c r="AG233" s="25"/>
      <c r="AH233" s="11"/>
      <c r="AI233" s="11"/>
      <c r="AJ233" s="11"/>
      <c r="AK233" s="11"/>
      <c r="AL233" s="11"/>
      <c r="AM233" s="11" t="str">
        <f t="shared" si="19"/>
        <v>Needs Improvement</v>
      </c>
      <c r="AN233" s="11" t="str" cm="1">
        <f t="array" ref="AN233">_xlfn.IFS(N233&lt;10000,"Low",N233&lt;30000,"Medium",N233&gt;=30000,"High")</f>
        <v>Medium</v>
      </c>
      <c r="AO233" s="11" t="str">
        <f t="shared" si="20"/>
        <v>No</v>
      </c>
      <c r="AP233" s="11" t="str">
        <f t="shared" si="21"/>
        <v>Yes</v>
      </c>
      <c r="AQ233" s="11">
        <f t="shared" si="22"/>
        <v>0.2847466666666667</v>
      </c>
      <c r="AR233" s="33"/>
      <c r="AS233" s="33"/>
      <c r="AT233" s="33"/>
      <c r="AU233" s="33"/>
      <c r="AV233" s="33"/>
      <c r="AW233" s="33"/>
      <c r="AX233" s="33" t="str">
        <f t="shared" si="23"/>
        <v>Low</v>
      </c>
    </row>
    <row r="234" spans="1:50">
      <c r="A234" s="9" t="s">
        <v>2119</v>
      </c>
      <c r="B234" s="10">
        <v>45697</v>
      </c>
      <c r="C234" s="11" t="s">
        <v>1671</v>
      </c>
      <c r="D234" s="11" t="s">
        <v>383</v>
      </c>
      <c r="E234" s="11" t="s">
        <v>35</v>
      </c>
      <c r="F234" s="11" t="s">
        <v>36</v>
      </c>
      <c r="G234" s="11" t="s">
        <v>37</v>
      </c>
      <c r="H234" s="11" t="s">
        <v>94</v>
      </c>
      <c r="I234" s="11" t="s">
        <v>71</v>
      </c>
      <c r="J234" s="11" t="s">
        <v>72</v>
      </c>
      <c r="K234" s="25">
        <v>7</v>
      </c>
      <c r="L234" s="25">
        <v>700</v>
      </c>
      <c r="M234" s="29">
        <v>0.05</v>
      </c>
      <c r="N234" s="25">
        <v>4655</v>
      </c>
      <c r="O234" s="25">
        <v>3575.16</v>
      </c>
      <c r="P234" s="25">
        <v>1079.8399999999999</v>
      </c>
      <c r="Q234" s="21">
        <v>23.2</v>
      </c>
      <c r="R234" s="11" t="s">
        <v>73</v>
      </c>
      <c r="S234" s="11" t="s">
        <v>74</v>
      </c>
      <c r="T234" s="11" t="s">
        <v>107</v>
      </c>
      <c r="U234" s="11" t="s">
        <v>108</v>
      </c>
      <c r="V234" s="11">
        <v>2025</v>
      </c>
      <c r="W234" s="11" t="s">
        <v>109</v>
      </c>
      <c r="X234" s="11">
        <v>9</v>
      </c>
      <c r="Y234" s="10">
        <v>45970</v>
      </c>
      <c r="Z234" s="11" t="s">
        <v>89</v>
      </c>
      <c r="AA234" s="11" t="s">
        <v>48</v>
      </c>
      <c r="AB234" s="11" t="s">
        <v>78</v>
      </c>
      <c r="AC234" s="11" t="s">
        <v>50</v>
      </c>
      <c r="AD234" s="11">
        <v>3</v>
      </c>
      <c r="AE234" s="11" t="s">
        <v>2221</v>
      </c>
      <c r="AF234" s="11" t="s">
        <v>2236</v>
      </c>
      <c r="AG234" s="25"/>
      <c r="AH234" s="11"/>
      <c r="AI234" s="11"/>
      <c r="AJ234" s="11"/>
      <c r="AK234" s="11"/>
      <c r="AL234" s="11"/>
      <c r="AM234" s="11" t="str">
        <f t="shared" si="19"/>
        <v>Needs Improvement</v>
      </c>
      <c r="AN234" s="11" t="str" cm="1">
        <f t="array" ref="AN234">_xlfn.IFS(N234&lt;10000,"Low",N234&lt;30000,"Medium",N234&gt;=30000,"High")</f>
        <v>Low</v>
      </c>
      <c r="AO234" s="11" t="str">
        <f t="shared" si="20"/>
        <v>No</v>
      </c>
      <c r="AP234" s="11" t="str">
        <f t="shared" si="21"/>
        <v>Yes</v>
      </c>
      <c r="AQ234" s="11">
        <f t="shared" si="22"/>
        <v>0.23197422126745434</v>
      </c>
      <c r="AR234" s="33"/>
      <c r="AS234" s="33"/>
      <c r="AT234" s="33"/>
      <c r="AU234" s="33"/>
      <c r="AV234" s="33"/>
      <c r="AW234" s="33"/>
      <c r="AX234" s="33" t="str">
        <f t="shared" si="23"/>
        <v>Low</v>
      </c>
    </row>
    <row r="235" spans="1:50">
      <c r="A235" s="9" t="s">
        <v>287</v>
      </c>
      <c r="B235" s="10">
        <v>45698</v>
      </c>
      <c r="C235" s="11" t="s">
        <v>288</v>
      </c>
      <c r="D235" s="11" t="s">
        <v>289</v>
      </c>
      <c r="E235" s="11" t="s">
        <v>35</v>
      </c>
      <c r="F235" s="11" t="s">
        <v>116</v>
      </c>
      <c r="G235" s="11" t="s">
        <v>37</v>
      </c>
      <c r="H235" s="11" t="s">
        <v>171</v>
      </c>
      <c r="I235" s="11" t="s">
        <v>84</v>
      </c>
      <c r="J235" s="11" t="s">
        <v>290</v>
      </c>
      <c r="K235" s="25">
        <v>2</v>
      </c>
      <c r="L235" s="25">
        <v>200</v>
      </c>
      <c r="M235" s="29">
        <v>0.1</v>
      </c>
      <c r="N235" s="25">
        <v>360</v>
      </c>
      <c r="O235" s="25">
        <v>239.32</v>
      </c>
      <c r="P235" s="25">
        <v>120.68</v>
      </c>
      <c r="Q235" s="21">
        <v>33.520000000000003</v>
      </c>
      <c r="R235" s="11" t="s">
        <v>73</v>
      </c>
      <c r="S235" s="11" t="s">
        <v>74</v>
      </c>
      <c r="T235" s="11" t="s">
        <v>43</v>
      </c>
      <c r="U235" s="11" t="s">
        <v>87</v>
      </c>
      <c r="V235" s="11">
        <v>2025</v>
      </c>
      <c r="W235" s="11" t="s">
        <v>139</v>
      </c>
      <c r="X235" s="11">
        <v>10</v>
      </c>
      <c r="Y235" s="10">
        <v>46001</v>
      </c>
      <c r="Z235" s="11" t="s">
        <v>47</v>
      </c>
      <c r="AA235" s="11" t="s">
        <v>90</v>
      </c>
      <c r="AB235" s="11" t="s">
        <v>78</v>
      </c>
      <c r="AC235" s="11" t="s">
        <v>50</v>
      </c>
      <c r="AD235" s="11">
        <v>4</v>
      </c>
      <c r="AE235" s="11" t="s">
        <v>2213</v>
      </c>
      <c r="AF235" s="11" t="s">
        <v>2235</v>
      </c>
      <c r="AG235" s="25"/>
      <c r="AH235" s="11"/>
      <c r="AI235" s="11"/>
      <c r="AJ235" s="11"/>
      <c r="AK235" s="11"/>
      <c r="AL235" s="11"/>
      <c r="AM235" s="11" t="str">
        <f t="shared" si="19"/>
        <v>Good</v>
      </c>
      <c r="AN235" s="11" t="str" cm="1">
        <f t="array" ref="AN235">_xlfn.IFS(N235&lt;10000,"Low",N235&lt;30000,"Medium",N235&gt;=30000,"High")</f>
        <v>Low</v>
      </c>
      <c r="AO235" s="11" t="str">
        <f t="shared" si="20"/>
        <v>No</v>
      </c>
      <c r="AP235" s="11" t="str">
        <f t="shared" si="21"/>
        <v>Yes</v>
      </c>
      <c r="AQ235" s="11">
        <f t="shared" si="22"/>
        <v>0.33522222222222225</v>
      </c>
      <c r="AR235" s="33"/>
      <c r="AS235" s="33"/>
      <c r="AT235" s="33"/>
      <c r="AU235" s="33"/>
      <c r="AV235" s="33"/>
      <c r="AW235" s="33"/>
      <c r="AX235" s="33" t="str">
        <f t="shared" si="23"/>
        <v>Low</v>
      </c>
    </row>
    <row r="236" spans="1:50">
      <c r="A236" s="9" t="s">
        <v>1016</v>
      </c>
      <c r="B236" s="10">
        <v>45699</v>
      </c>
      <c r="C236" s="11" t="s">
        <v>971</v>
      </c>
      <c r="D236" s="11" t="s">
        <v>239</v>
      </c>
      <c r="E236" s="11" t="s">
        <v>103</v>
      </c>
      <c r="F236" s="11" t="s">
        <v>82</v>
      </c>
      <c r="G236" s="11" t="s">
        <v>83</v>
      </c>
      <c r="H236" s="11" t="s">
        <v>94</v>
      </c>
      <c r="I236" s="11" t="s">
        <v>95</v>
      </c>
      <c r="J236" s="11" t="s">
        <v>96</v>
      </c>
      <c r="K236" s="25">
        <v>2</v>
      </c>
      <c r="L236" s="25">
        <v>2500</v>
      </c>
      <c r="M236" s="29">
        <v>0.05</v>
      </c>
      <c r="N236" s="25">
        <v>4750</v>
      </c>
      <c r="O236" s="25">
        <v>3212.79</v>
      </c>
      <c r="P236" s="25">
        <v>1537.21</v>
      </c>
      <c r="Q236" s="21">
        <v>32.36</v>
      </c>
      <c r="R236" s="11" t="s">
        <v>61</v>
      </c>
      <c r="S236" s="11" t="s">
        <v>42</v>
      </c>
      <c r="T236" s="11" t="s">
        <v>43</v>
      </c>
      <c r="U236" s="11" t="s">
        <v>198</v>
      </c>
      <c r="V236" s="11">
        <v>2025</v>
      </c>
      <c r="W236" s="11" t="s">
        <v>45</v>
      </c>
      <c r="X236" s="11">
        <v>8</v>
      </c>
      <c r="Y236" s="10">
        <v>45941</v>
      </c>
      <c r="Z236" s="11" t="s">
        <v>47</v>
      </c>
      <c r="AA236" s="11" t="s">
        <v>48</v>
      </c>
      <c r="AB236" s="11" t="s">
        <v>78</v>
      </c>
      <c r="AC236" s="11" t="s">
        <v>121</v>
      </c>
      <c r="AD236" s="11">
        <v>1</v>
      </c>
      <c r="AE236" s="11" t="s">
        <v>2226</v>
      </c>
      <c r="AF236" s="11" t="s">
        <v>2236</v>
      </c>
      <c r="AG236" s="25"/>
      <c r="AH236" s="11"/>
      <c r="AI236" s="11"/>
      <c r="AJ236" s="11"/>
      <c r="AK236" s="11"/>
      <c r="AL236" s="11"/>
      <c r="AM236" s="11" t="str">
        <f t="shared" si="19"/>
        <v>Good</v>
      </c>
      <c r="AN236" s="11" t="str" cm="1">
        <f t="array" ref="AN236">_xlfn.IFS(N236&lt;10000,"Low",N236&lt;30000,"Medium",N236&gt;=30000,"High")</f>
        <v>Low</v>
      </c>
      <c r="AO236" s="11" t="str">
        <f t="shared" si="20"/>
        <v>No</v>
      </c>
      <c r="AP236" s="11" t="str">
        <f t="shared" si="21"/>
        <v>Yes</v>
      </c>
      <c r="AQ236" s="11">
        <f t="shared" si="22"/>
        <v>0.32362315789473683</v>
      </c>
      <c r="AR236" s="33"/>
      <c r="AS236" s="33"/>
      <c r="AT236" s="33"/>
      <c r="AU236" s="33"/>
      <c r="AV236" s="33"/>
      <c r="AW236" s="33"/>
      <c r="AX236" s="33" t="str">
        <f t="shared" si="23"/>
        <v>Low</v>
      </c>
    </row>
    <row r="237" spans="1:50">
      <c r="A237" s="9" t="s">
        <v>1438</v>
      </c>
      <c r="B237" s="10">
        <v>45717</v>
      </c>
      <c r="C237" s="11" t="s">
        <v>1254</v>
      </c>
      <c r="D237" s="11" t="s">
        <v>917</v>
      </c>
      <c r="E237" s="11" t="s">
        <v>103</v>
      </c>
      <c r="F237" s="11" t="s">
        <v>144</v>
      </c>
      <c r="G237" s="11" t="s">
        <v>145</v>
      </c>
      <c r="H237" s="11" t="s">
        <v>94</v>
      </c>
      <c r="I237" s="11" t="s">
        <v>71</v>
      </c>
      <c r="J237" s="11" t="s">
        <v>117</v>
      </c>
      <c r="K237" s="25">
        <v>5</v>
      </c>
      <c r="L237" s="25">
        <v>2500</v>
      </c>
      <c r="M237" s="29">
        <v>0</v>
      </c>
      <c r="N237" s="25">
        <v>12500</v>
      </c>
      <c r="O237" s="25">
        <v>7441.21</v>
      </c>
      <c r="P237" s="25">
        <v>5058.79</v>
      </c>
      <c r="Q237" s="21">
        <v>40.47</v>
      </c>
      <c r="R237" s="11" t="s">
        <v>73</v>
      </c>
      <c r="S237" s="11" t="s">
        <v>62</v>
      </c>
      <c r="T237" s="11" t="s">
        <v>43</v>
      </c>
      <c r="U237" s="11" t="s">
        <v>76</v>
      </c>
      <c r="V237" s="11">
        <v>2025</v>
      </c>
      <c r="W237" s="11" t="s">
        <v>194</v>
      </c>
      <c r="X237" s="11">
        <v>7</v>
      </c>
      <c r="Y237" s="10">
        <v>45931</v>
      </c>
      <c r="Z237" s="11" t="s">
        <v>110</v>
      </c>
      <c r="AA237" s="11" t="s">
        <v>67</v>
      </c>
      <c r="AB237" s="11" t="s">
        <v>78</v>
      </c>
      <c r="AC237" s="11" t="s">
        <v>121</v>
      </c>
      <c r="AD237" s="11">
        <v>3</v>
      </c>
      <c r="AE237" s="11" t="s">
        <v>2221</v>
      </c>
      <c r="AF237" s="11" t="s">
        <v>2210</v>
      </c>
      <c r="AG237" s="25"/>
      <c r="AH237" s="11"/>
      <c r="AI237" s="11"/>
      <c r="AJ237" s="11"/>
      <c r="AK237" s="11"/>
      <c r="AL237" s="11"/>
      <c r="AM237" s="11" t="str">
        <f t="shared" si="19"/>
        <v>Good</v>
      </c>
      <c r="AN237" s="11" t="str" cm="1">
        <f t="array" ref="AN237">_xlfn.IFS(N237&lt;10000,"Low",N237&lt;30000,"Medium",N237&gt;=30000,"High")</f>
        <v>Medium</v>
      </c>
      <c r="AO237" s="11" t="str">
        <f t="shared" si="20"/>
        <v>No</v>
      </c>
      <c r="AP237" s="11" t="str">
        <f t="shared" si="21"/>
        <v>No</v>
      </c>
      <c r="AQ237" s="11">
        <f t="shared" si="22"/>
        <v>0.40470319999999999</v>
      </c>
      <c r="AR237" s="33"/>
      <c r="AS237" s="33"/>
      <c r="AT237" s="33"/>
      <c r="AU237" s="33"/>
      <c r="AV237" s="33"/>
      <c r="AW237" s="33"/>
      <c r="AX237" s="33" t="str">
        <f t="shared" si="23"/>
        <v>Average</v>
      </c>
    </row>
    <row r="238" spans="1:50">
      <c r="A238" s="9" t="s">
        <v>1425</v>
      </c>
      <c r="B238" s="10">
        <v>45718</v>
      </c>
      <c r="C238" s="11" t="s">
        <v>1426</v>
      </c>
      <c r="D238" s="11" t="s">
        <v>935</v>
      </c>
      <c r="E238" s="11" t="s">
        <v>55</v>
      </c>
      <c r="F238" s="11" t="s">
        <v>131</v>
      </c>
      <c r="G238" s="11" t="s">
        <v>132</v>
      </c>
      <c r="H238" s="11" t="s">
        <v>38</v>
      </c>
      <c r="I238" s="11" t="s">
        <v>95</v>
      </c>
      <c r="J238" s="11" t="s">
        <v>440</v>
      </c>
      <c r="K238" s="25">
        <v>1</v>
      </c>
      <c r="L238" s="25">
        <v>15000</v>
      </c>
      <c r="M238" s="29">
        <v>0</v>
      </c>
      <c r="N238" s="25">
        <v>15000</v>
      </c>
      <c r="O238" s="25">
        <v>8462.2800000000007</v>
      </c>
      <c r="P238" s="25">
        <v>6537.72</v>
      </c>
      <c r="Q238" s="21">
        <v>43.58</v>
      </c>
      <c r="R238" s="11" t="s">
        <v>73</v>
      </c>
      <c r="S238" s="11" t="s">
        <v>62</v>
      </c>
      <c r="T238" s="11" t="s">
        <v>86</v>
      </c>
      <c r="U238" s="11" t="s">
        <v>98</v>
      </c>
      <c r="V238" s="11">
        <v>2025</v>
      </c>
      <c r="W238" s="11" t="s">
        <v>126</v>
      </c>
      <c r="X238" s="11">
        <v>5</v>
      </c>
      <c r="Y238" s="10">
        <v>45871</v>
      </c>
      <c r="Z238" s="11" t="s">
        <v>110</v>
      </c>
      <c r="AA238" s="11" t="s">
        <v>90</v>
      </c>
      <c r="AB238" s="11" t="s">
        <v>49</v>
      </c>
      <c r="AC238" s="11" t="s">
        <v>121</v>
      </c>
      <c r="AD238" s="11">
        <v>4</v>
      </c>
      <c r="AE238" s="11" t="s">
        <v>2226</v>
      </c>
      <c r="AF238" s="11" t="s">
        <v>2238</v>
      </c>
      <c r="AG238" s="25"/>
      <c r="AH238" s="11"/>
      <c r="AI238" s="11"/>
      <c r="AJ238" s="11"/>
      <c r="AK238" s="11"/>
      <c r="AL238" s="11"/>
      <c r="AM238" s="11" t="str">
        <f t="shared" si="19"/>
        <v>Good</v>
      </c>
      <c r="AN238" s="11" t="str" cm="1">
        <f t="array" ref="AN238">_xlfn.IFS(N238&lt;10000,"Low",N238&lt;30000,"Medium",N238&gt;=30000,"High")</f>
        <v>Medium</v>
      </c>
      <c r="AO238" s="11" t="str">
        <f t="shared" si="20"/>
        <v>No</v>
      </c>
      <c r="AP238" s="11" t="str">
        <f t="shared" si="21"/>
        <v>No</v>
      </c>
      <c r="AQ238" s="11">
        <f t="shared" si="22"/>
        <v>0.43584800000000001</v>
      </c>
      <c r="AR238" s="33"/>
      <c r="AS238" s="33"/>
      <c r="AT238" s="33"/>
      <c r="AU238" s="33"/>
      <c r="AV238" s="33"/>
      <c r="AW238" s="33"/>
      <c r="AX238" s="33" t="str">
        <f t="shared" si="23"/>
        <v>Average</v>
      </c>
    </row>
    <row r="239" spans="1:50">
      <c r="A239" s="9" t="s">
        <v>540</v>
      </c>
      <c r="B239" s="10">
        <v>45719</v>
      </c>
      <c r="C239" s="11" t="s">
        <v>541</v>
      </c>
      <c r="D239" s="11" t="s">
        <v>542</v>
      </c>
      <c r="E239" s="11" t="s">
        <v>103</v>
      </c>
      <c r="F239" s="11" t="s">
        <v>36</v>
      </c>
      <c r="G239" s="11" t="s">
        <v>37</v>
      </c>
      <c r="H239" s="11" t="s">
        <v>171</v>
      </c>
      <c r="I239" s="11" t="s">
        <v>59</v>
      </c>
      <c r="J239" s="11" t="s">
        <v>206</v>
      </c>
      <c r="K239" s="25">
        <v>9</v>
      </c>
      <c r="L239" s="25">
        <v>500</v>
      </c>
      <c r="M239" s="29">
        <v>0.05</v>
      </c>
      <c r="N239" s="25">
        <v>4275</v>
      </c>
      <c r="O239" s="25">
        <v>3502.24</v>
      </c>
      <c r="P239" s="25">
        <v>772.76</v>
      </c>
      <c r="Q239" s="21">
        <v>18.079999999999998</v>
      </c>
      <c r="R239" s="11" t="s">
        <v>106</v>
      </c>
      <c r="S239" s="11" t="s">
        <v>74</v>
      </c>
      <c r="T239" s="11" t="s">
        <v>159</v>
      </c>
      <c r="U239" s="11" t="s">
        <v>178</v>
      </c>
      <c r="V239" s="11">
        <v>2025</v>
      </c>
      <c r="W239" s="11" t="s">
        <v>126</v>
      </c>
      <c r="X239" s="11">
        <v>3</v>
      </c>
      <c r="Y239" s="10">
        <v>45811</v>
      </c>
      <c r="Z239" s="11" t="s">
        <v>47</v>
      </c>
      <c r="AA239" s="11" t="s">
        <v>48</v>
      </c>
      <c r="AB239" s="11" t="s">
        <v>111</v>
      </c>
      <c r="AC239" s="11" t="s">
        <v>121</v>
      </c>
      <c r="AD239" s="11">
        <v>3</v>
      </c>
      <c r="AE239" s="11" t="s">
        <v>2220</v>
      </c>
      <c r="AF239" s="11" t="s">
        <v>2222</v>
      </c>
      <c r="AG239" s="25"/>
      <c r="AH239" s="11"/>
      <c r="AI239" s="11"/>
      <c r="AJ239" s="11"/>
      <c r="AK239" s="11"/>
      <c r="AL239" s="11"/>
      <c r="AM239" s="11" t="str">
        <f t="shared" si="19"/>
        <v>Needs Improvement</v>
      </c>
      <c r="AN239" s="11" t="str" cm="1">
        <f t="array" ref="AN239">_xlfn.IFS(N239&lt;10000,"Low",N239&lt;30000,"Medium",N239&gt;=30000,"High")</f>
        <v>Low</v>
      </c>
      <c r="AO239" s="11" t="str">
        <f t="shared" si="20"/>
        <v>No</v>
      </c>
      <c r="AP239" s="11" t="str">
        <f t="shared" si="21"/>
        <v>Yes</v>
      </c>
      <c r="AQ239" s="11">
        <f t="shared" si="22"/>
        <v>0.18076257309941521</v>
      </c>
      <c r="AR239" s="33"/>
      <c r="AS239" s="33"/>
      <c r="AT239" s="33"/>
      <c r="AU239" s="33"/>
      <c r="AV239" s="33"/>
      <c r="AW239" s="33"/>
      <c r="AX239" s="33" t="str">
        <f t="shared" si="23"/>
        <v>Low</v>
      </c>
    </row>
    <row r="240" spans="1:50">
      <c r="A240" s="9" t="s">
        <v>1851</v>
      </c>
      <c r="B240" s="10">
        <v>45721</v>
      </c>
      <c r="C240" s="11" t="s">
        <v>406</v>
      </c>
      <c r="D240" s="11" t="s">
        <v>634</v>
      </c>
      <c r="E240" s="11" t="s">
        <v>103</v>
      </c>
      <c r="F240" s="11" t="s">
        <v>36</v>
      </c>
      <c r="G240" s="11" t="s">
        <v>37</v>
      </c>
      <c r="H240" s="11" t="s">
        <v>38</v>
      </c>
      <c r="I240" s="11" t="s">
        <v>39</v>
      </c>
      <c r="J240" s="11" t="s">
        <v>105</v>
      </c>
      <c r="K240" s="25">
        <v>7</v>
      </c>
      <c r="L240" s="25">
        <v>22000</v>
      </c>
      <c r="M240" s="29">
        <v>0.15</v>
      </c>
      <c r="N240" s="25">
        <v>130900</v>
      </c>
      <c r="O240" s="25">
        <v>92712.2</v>
      </c>
      <c r="P240" s="25">
        <v>38187.800000000003</v>
      </c>
      <c r="Q240" s="21">
        <v>29.17</v>
      </c>
      <c r="R240" s="11" t="s">
        <v>166</v>
      </c>
      <c r="S240" s="11" t="s">
        <v>74</v>
      </c>
      <c r="T240" s="11" t="s">
        <v>138</v>
      </c>
      <c r="U240" s="11" t="s">
        <v>119</v>
      </c>
      <c r="V240" s="11">
        <v>2025</v>
      </c>
      <c r="W240" s="11" t="s">
        <v>65</v>
      </c>
      <c r="X240" s="11">
        <v>3</v>
      </c>
      <c r="Y240" s="10">
        <v>45813</v>
      </c>
      <c r="Z240" s="11" t="s">
        <v>47</v>
      </c>
      <c r="AA240" s="11" t="s">
        <v>48</v>
      </c>
      <c r="AB240" s="11" t="s">
        <v>111</v>
      </c>
      <c r="AC240" s="11" t="s">
        <v>50</v>
      </c>
      <c r="AD240" s="11">
        <v>3</v>
      </c>
      <c r="AE240" s="11" t="s">
        <v>2239</v>
      </c>
      <c r="AF240" s="11" t="s">
        <v>2249</v>
      </c>
      <c r="AG240" s="25"/>
      <c r="AH240" s="11"/>
      <c r="AI240" s="11"/>
      <c r="AJ240" s="11"/>
      <c r="AK240" s="11"/>
      <c r="AL240" s="11"/>
      <c r="AM240" s="11" t="str">
        <f t="shared" si="19"/>
        <v>Needs Improvement</v>
      </c>
      <c r="AN240" s="11" t="str" cm="1">
        <f t="array" ref="AN240">_xlfn.IFS(N240&lt;10000,"Low",N240&lt;30000,"Medium",N240&gt;=30000,"High")</f>
        <v>High</v>
      </c>
      <c r="AO240" s="11" t="str">
        <f t="shared" si="20"/>
        <v>Yes</v>
      </c>
      <c r="AP240" s="11" t="str">
        <f t="shared" si="21"/>
        <v>Yes</v>
      </c>
      <c r="AQ240" s="11">
        <f t="shared" si="22"/>
        <v>0.29173262032085562</v>
      </c>
      <c r="AR240" s="33"/>
      <c r="AS240" s="33"/>
      <c r="AT240" s="33"/>
      <c r="AU240" s="33"/>
      <c r="AV240" s="33"/>
      <c r="AW240" s="33"/>
      <c r="AX240" s="33" t="str">
        <f t="shared" si="23"/>
        <v>Excellent</v>
      </c>
    </row>
    <row r="241" spans="1:50">
      <c r="A241" s="9" t="s">
        <v>1971</v>
      </c>
      <c r="B241" s="10">
        <v>45721</v>
      </c>
      <c r="C241" s="11" t="s">
        <v>498</v>
      </c>
      <c r="D241" s="11" t="s">
        <v>1043</v>
      </c>
      <c r="E241" s="11" t="s">
        <v>55</v>
      </c>
      <c r="F241" s="11" t="s">
        <v>245</v>
      </c>
      <c r="G241" s="11" t="s">
        <v>246</v>
      </c>
      <c r="H241" s="11" t="s">
        <v>38</v>
      </c>
      <c r="I241" s="11" t="s">
        <v>39</v>
      </c>
      <c r="J241" s="11" t="s">
        <v>356</v>
      </c>
      <c r="K241" s="25">
        <v>10</v>
      </c>
      <c r="L241" s="25">
        <v>8000</v>
      </c>
      <c r="M241" s="29">
        <v>0</v>
      </c>
      <c r="N241" s="25">
        <v>80000</v>
      </c>
      <c r="O241" s="25">
        <v>61485.21</v>
      </c>
      <c r="P241" s="25">
        <v>18514.79</v>
      </c>
      <c r="Q241" s="21">
        <v>23.14</v>
      </c>
      <c r="R241" s="11" t="s">
        <v>41</v>
      </c>
      <c r="S241" s="11" t="s">
        <v>42</v>
      </c>
      <c r="T241" s="11" t="s">
        <v>86</v>
      </c>
      <c r="U241" s="11" t="s">
        <v>119</v>
      </c>
      <c r="V241" s="11">
        <v>2025</v>
      </c>
      <c r="W241" s="11" t="s">
        <v>65</v>
      </c>
      <c r="X241" s="11">
        <v>1</v>
      </c>
      <c r="Y241" s="10">
        <v>45752</v>
      </c>
      <c r="Z241" s="11" t="s">
        <v>110</v>
      </c>
      <c r="AA241" s="11" t="s">
        <v>90</v>
      </c>
      <c r="AB241" s="11" t="s">
        <v>78</v>
      </c>
      <c r="AC241" s="11" t="s">
        <v>121</v>
      </c>
      <c r="AD241" s="11">
        <v>2</v>
      </c>
      <c r="AE241" s="11" t="s">
        <v>2240</v>
      </c>
      <c r="AF241" s="11" t="s">
        <v>2224</v>
      </c>
      <c r="AG241" s="25"/>
      <c r="AH241" s="11"/>
      <c r="AI241" s="11"/>
      <c r="AJ241" s="11"/>
      <c r="AK241" s="11"/>
      <c r="AL241" s="11"/>
      <c r="AM241" s="11" t="str">
        <f t="shared" si="19"/>
        <v>Needs Improvement</v>
      </c>
      <c r="AN241" s="11" t="str" cm="1">
        <f t="array" ref="AN241">_xlfn.IFS(N241&lt;10000,"Low",N241&lt;30000,"Medium",N241&gt;=30000,"High")</f>
        <v>High</v>
      </c>
      <c r="AO241" s="11" t="str">
        <f t="shared" si="20"/>
        <v>Yes</v>
      </c>
      <c r="AP241" s="11" t="str">
        <f t="shared" si="21"/>
        <v>Yes</v>
      </c>
      <c r="AQ241" s="11">
        <f t="shared" si="22"/>
        <v>0.23143487500000001</v>
      </c>
      <c r="AR241" s="33"/>
      <c r="AS241" s="33"/>
      <c r="AT241" s="33"/>
      <c r="AU241" s="33"/>
      <c r="AV241" s="33"/>
      <c r="AW241" s="33"/>
      <c r="AX241" s="33" t="str">
        <f t="shared" si="23"/>
        <v>Good</v>
      </c>
    </row>
    <row r="242" spans="1:50">
      <c r="A242" s="9" t="s">
        <v>2014</v>
      </c>
      <c r="B242" s="10">
        <v>45721</v>
      </c>
      <c r="C242" s="11" t="s">
        <v>724</v>
      </c>
      <c r="D242" s="11" t="s">
        <v>2015</v>
      </c>
      <c r="E242" s="11" t="s">
        <v>103</v>
      </c>
      <c r="F242" s="11" t="s">
        <v>131</v>
      </c>
      <c r="G242" s="11" t="s">
        <v>132</v>
      </c>
      <c r="H242" s="11" t="s">
        <v>38</v>
      </c>
      <c r="I242" s="11" t="s">
        <v>84</v>
      </c>
      <c r="J242" s="11" t="s">
        <v>85</v>
      </c>
      <c r="K242" s="25">
        <v>4</v>
      </c>
      <c r="L242" s="25">
        <v>500</v>
      </c>
      <c r="M242" s="29">
        <v>0.2</v>
      </c>
      <c r="N242" s="25">
        <v>1600</v>
      </c>
      <c r="O242" s="25">
        <v>1133.3900000000001</v>
      </c>
      <c r="P242" s="25">
        <v>466.61</v>
      </c>
      <c r="Q242" s="21">
        <v>29.16</v>
      </c>
      <c r="R242" s="11" t="s">
        <v>73</v>
      </c>
      <c r="S242" s="11" t="s">
        <v>42</v>
      </c>
      <c r="T242" s="11" t="s">
        <v>63</v>
      </c>
      <c r="U242" s="11" t="s">
        <v>119</v>
      </c>
      <c r="V242" s="11">
        <v>2025</v>
      </c>
      <c r="W242" s="11" t="s">
        <v>65</v>
      </c>
      <c r="X242" s="11">
        <v>6</v>
      </c>
      <c r="Y242" s="10">
        <v>45905</v>
      </c>
      <c r="Z242" s="11" t="s">
        <v>47</v>
      </c>
      <c r="AA242" s="11" t="s">
        <v>48</v>
      </c>
      <c r="AB242" s="11" t="s">
        <v>49</v>
      </c>
      <c r="AC242" s="11" t="s">
        <v>121</v>
      </c>
      <c r="AD242" s="11">
        <v>2</v>
      </c>
      <c r="AE242" s="11" t="s">
        <v>86</v>
      </c>
      <c r="AF242" s="11" t="s">
        <v>2222</v>
      </c>
      <c r="AG242" s="25"/>
      <c r="AH242" s="11"/>
      <c r="AI242" s="11"/>
      <c r="AJ242" s="11"/>
      <c r="AK242" s="11"/>
      <c r="AL242" s="11"/>
      <c r="AM242" s="11" t="str">
        <f t="shared" si="19"/>
        <v>Needs Improvement</v>
      </c>
      <c r="AN242" s="11" t="str" cm="1">
        <f t="array" ref="AN242">_xlfn.IFS(N242&lt;10000,"Low",N242&lt;30000,"Medium",N242&gt;=30000,"High")</f>
        <v>Low</v>
      </c>
      <c r="AO242" s="11" t="str">
        <f t="shared" si="20"/>
        <v>No</v>
      </c>
      <c r="AP242" s="11" t="str">
        <f t="shared" si="21"/>
        <v>Yes</v>
      </c>
      <c r="AQ242" s="11">
        <f t="shared" si="22"/>
        <v>0.29163125000000001</v>
      </c>
      <c r="AR242" s="33"/>
      <c r="AS242" s="33"/>
      <c r="AT242" s="33"/>
      <c r="AU242" s="33"/>
      <c r="AV242" s="33"/>
      <c r="AW242" s="33"/>
      <c r="AX242" s="33" t="str">
        <f t="shared" si="23"/>
        <v>Low</v>
      </c>
    </row>
    <row r="243" spans="1:50">
      <c r="A243" s="9" t="s">
        <v>2145</v>
      </c>
      <c r="B243" s="10">
        <v>45721</v>
      </c>
      <c r="C243" s="11" t="s">
        <v>491</v>
      </c>
      <c r="D243" s="11" t="s">
        <v>935</v>
      </c>
      <c r="E243" s="11" t="s">
        <v>103</v>
      </c>
      <c r="F243" s="11" t="s">
        <v>156</v>
      </c>
      <c r="G243" s="11" t="s">
        <v>157</v>
      </c>
      <c r="H243" s="11" t="s">
        <v>171</v>
      </c>
      <c r="I243" s="11" t="s">
        <v>84</v>
      </c>
      <c r="J243" s="11" t="s">
        <v>85</v>
      </c>
      <c r="K243" s="25">
        <v>3</v>
      </c>
      <c r="L243" s="25">
        <v>200</v>
      </c>
      <c r="M243" s="29">
        <v>0.2</v>
      </c>
      <c r="N243" s="25">
        <v>480</v>
      </c>
      <c r="O243" s="25">
        <v>340.16</v>
      </c>
      <c r="P243" s="25">
        <v>139.84</v>
      </c>
      <c r="Q243" s="21">
        <v>29.13</v>
      </c>
      <c r="R243" s="11" t="s">
        <v>61</v>
      </c>
      <c r="S243" s="11" t="s">
        <v>62</v>
      </c>
      <c r="T243" s="11" t="s">
        <v>118</v>
      </c>
      <c r="U243" s="11" t="s">
        <v>119</v>
      </c>
      <c r="V243" s="11">
        <v>2025</v>
      </c>
      <c r="W243" s="11" t="s">
        <v>65</v>
      </c>
      <c r="X243" s="11">
        <v>6</v>
      </c>
      <c r="Y243" s="10">
        <v>45905</v>
      </c>
      <c r="Z243" s="11" t="s">
        <v>89</v>
      </c>
      <c r="AA243" s="11" t="s">
        <v>90</v>
      </c>
      <c r="AB243" s="11" t="s">
        <v>111</v>
      </c>
      <c r="AC243" s="11" t="s">
        <v>50</v>
      </c>
      <c r="AD243" s="11">
        <v>3</v>
      </c>
      <c r="AE243" s="11" t="s">
        <v>2226</v>
      </c>
      <c r="AF243" s="11" t="s">
        <v>2238</v>
      </c>
      <c r="AG243" s="25"/>
      <c r="AH243" s="11"/>
      <c r="AI243" s="11"/>
      <c r="AJ243" s="11"/>
      <c r="AK243" s="11"/>
      <c r="AL243" s="11"/>
      <c r="AM243" s="11" t="str">
        <f t="shared" si="19"/>
        <v>Needs Improvement</v>
      </c>
      <c r="AN243" s="11" t="str" cm="1">
        <f t="array" ref="AN243">_xlfn.IFS(N243&lt;10000,"Low",N243&lt;30000,"Medium",N243&gt;=30000,"High")</f>
        <v>Low</v>
      </c>
      <c r="AO243" s="11" t="str">
        <f t="shared" si="20"/>
        <v>No</v>
      </c>
      <c r="AP243" s="11" t="str">
        <f t="shared" si="21"/>
        <v>No</v>
      </c>
      <c r="AQ243" s="11">
        <f t="shared" si="22"/>
        <v>0.29133333333333333</v>
      </c>
      <c r="AR243" s="33"/>
      <c r="AS243" s="33"/>
      <c r="AT243" s="33"/>
      <c r="AU243" s="33"/>
      <c r="AV243" s="33"/>
      <c r="AW243" s="33"/>
      <c r="AX243" s="33" t="str">
        <f t="shared" si="23"/>
        <v>Low</v>
      </c>
    </row>
    <row r="244" spans="1:50">
      <c r="A244" s="9" t="s">
        <v>1385</v>
      </c>
      <c r="B244" s="10">
        <v>45722</v>
      </c>
      <c r="C244" s="11" t="s">
        <v>712</v>
      </c>
      <c r="D244" s="11" t="s">
        <v>1386</v>
      </c>
      <c r="E244" s="11" t="s">
        <v>35</v>
      </c>
      <c r="F244" s="11" t="s">
        <v>104</v>
      </c>
      <c r="G244" s="11" t="s">
        <v>104</v>
      </c>
      <c r="H244" s="11" t="s">
        <v>58</v>
      </c>
      <c r="I244" s="11" t="s">
        <v>59</v>
      </c>
      <c r="J244" s="11" t="s">
        <v>372</v>
      </c>
      <c r="K244" s="25">
        <v>3</v>
      </c>
      <c r="L244" s="25">
        <v>500</v>
      </c>
      <c r="M244" s="29">
        <v>0.05</v>
      </c>
      <c r="N244" s="25">
        <v>1425</v>
      </c>
      <c r="O244" s="25">
        <v>946.14</v>
      </c>
      <c r="P244" s="25">
        <v>478.86</v>
      </c>
      <c r="Q244" s="21">
        <v>33.6</v>
      </c>
      <c r="R244" s="11" t="s">
        <v>61</v>
      </c>
      <c r="S244" s="11" t="s">
        <v>74</v>
      </c>
      <c r="T244" s="11" t="s">
        <v>138</v>
      </c>
      <c r="U244" s="11" t="s">
        <v>160</v>
      </c>
      <c r="V244" s="11">
        <v>2025</v>
      </c>
      <c r="W244" s="11" t="s">
        <v>109</v>
      </c>
      <c r="X244" s="11">
        <v>9</v>
      </c>
      <c r="Y244" s="10">
        <v>45997</v>
      </c>
      <c r="Z244" s="11" t="s">
        <v>47</v>
      </c>
      <c r="AA244" s="11" t="s">
        <v>48</v>
      </c>
      <c r="AB244" s="11" t="s">
        <v>111</v>
      </c>
      <c r="AC244" s="11" t="s">
        <v>50</v>
      </c>
      <c r="AD244" s="11">
        <v>5</v>
      </c>
      <c r="AE244" s="11" t="s">
        <v>86</v>
      </c>
      <c r="AF244" s="11" t="s">
        <v>2235</v>
      </c>
      <c r="AG244" s="25"/>
      <c r="AH244" s="11"/>
      <c r="AI244" s="11"/>
      <c r="AJ244" s="11"/>
      <c r="AK244" s="11"/>
      <c r="AL244" s="11"/>
      <c r="AM244" s="11" t="str">
        <f t="shared" si="19"/>
        <v>Good</v>
      </c>
      <c r="AN244" s="11" t="str" cm="1">
        <f t="array" ref="AN244">_xlfn.IFS(N244&lt;10000,"Low",N244&lt;30000,"Medium",N244&gt;=30000,"High")</f>
        <v>Low</v>
      </c>
      <c r="AO244" s="11" t="str">
        <f t="shared" si="20"/>
        <v>No</v>
      </c>
      <c r="AP244" s="11" t="str">
        <f t="shared" si="21"/>
        <v>Yes</v>
      </c>
      <c r="AQ244" s="11">
        <f t="shared" si="22"/>
        <v>0.33604210526315792</v>
      </c>
      <c r="AR244" s="33"/>
      <c r="AS244" s="33"/>
      <c r="AT244" s="33"/>
      <c r="AU244" s="33"/>
      <c r="AV244" s="33"/>
      <c r="AW244" s="33"/>
      <c r="AX244" s="33" t="str">
        <f t="shared" si="23"/>
        <v>Low</v>
      </c>
    </row>
    <row r="245" spans="1:50">
      <c r="A245" s="9" t="s">
        <v>694</v>
      </c>
      <c r="B245" s="10">
        <v>45723</v>
      </c>
      <c r="C245" s="11" t="s">
        <v>129</v>
      </c>
      <c r="D245" s="11" t="s">
        <v>695</v>
      </c>
      <c r="E245" s="11" t="s">
        <v>103</v>
      </c>
      <c r="F245" s="11" t="s">
        <v>36</v>
      </c>
      <c r="G245" s="11" t="s">
        <v>37</v>
      </c>
      <c r="H245" s="11" t="s">
        <v>94</v>
      </c>
      <c r="I245" s="11" t="s">
        <v>84</v>
      </c>
      <c r="J245" s="11" t="s">
        <v>390</v>
      </c>
      <c r="K245" s="25">
        <v>9</v>
      </c>
      <c r="L245" s="25">
        <v>200</v>
      </c>
      <c r="M245" s="29">
        <v>0.05</v>
      </c>
      <c r="N245" s="25">
        <v>1710</v>
      </c>
      <c r="O245" s="25">
        <v>1211.26</v>
      </c>
      <c r="P245" s="25">
        <v>498.74</v>
      </c>
      <c r="Q245" s="21">
        <v>29.17</v>
      </c>
      <c r="R245" s="11" t="s">
        <v>73</v>
      </c>
      <c r="S245" s="11" t="s">
        <v>74</v>
      </c>
      <c r="T245" s="11" t="s">
        <v>86</v>
      </c>
      <c r="U245" s="11" t="s">
        <v>151</v>
      </c>
      <c r="V245" s="11">
        <v>2025</v>
      </c>
      <c r="W245" s="11" t="s">
        <v>139</v>
      </c>
      <c r="X245" s="11">
        <v>6</v>
      </c>
      <c r="Y245" s="10">
        <v>45907</v>
      </c>
      <c r="Z245" s="11" t="s">
        <v>110</v>
      </c>
      <c r="AA245" s="11" t="s">
        <v>90</v>
      </c>
      <c r="AB245" s="11" t="s">
        <v>78</v>
      </c>
      <c r="AC245" s="11" t="s">
        <v>121</v>
      </c>
      <c r="AD245" s="11">
        <v>4</v>
      </c>
      <c r="AE245" s="11" t="s">
        <v>2237</v>
      </c>
      <c r="AF245" s="11" t="s">
        <v>2228</v>
      </c>
      <c r="AG245" s="25"/>
      <c r="AH245" s="11"/>
      <c r="AI245" s="11"/>
      <c r="AJ245" s="11"/>
      <c r="AK245" s="11"/>
      <c r="AL245" s="11"/>
      <c r="AM245" s="11" t="str">
        <f t="shared" si="19"/>
        <v>Needs Improvement</v>
      </c>
      <c r="AN245" s="11" t="str" cm="1">
        <f t="array" ref="AN245">_xlfn.IFS(N245&lt;10000,"Low",N245&lt;30000,"Medium",N245&gt;=30000,"High")</f>
        <v>Low</v>
      </c>
      <c r="AO245" s="11" t="str">
        <f t="shared" si="20"/>
        <v>No</v>
      </c>
      <c r="AP245" s="11" t="str">
        <f t="shared" si="21"/>
        <v>Yes</v>
      </c>
      <c r="AQ245" s="11">
        <f t="shared" si="22"/>
        <v>0.29166081871345029</v>
      </c>
      <c r="AR245" s="33"/>
      <c r="AS245" s="33"/>
      <c r="AT245" s="33"/>
      <c r="AU245" s="33"/>
      <c r="AV245" s="33"/>
      <c r="AW245" s="33"/>
      <c r="AX245" s="33" t="str">
        <f t="shared" si="23"/>
        <v>Low</v>
      </c>
    </row>
    <row r="246" spans="1:50">
      <c r="A246" s="9" t="s">
        <v>1836</v>
      </c>
      <c r="B246" s="10">
        <v>45723</v>
      </c>
      <c r="C246" s="11" t="s">
        <v>1248</v>
      </c>
      <c r="D246" s="11" t="s">
        <v>426</v>
      </c>
      <c r="E246" s="11" t="s">
        <v>103</v>
      </c>
      <c r="F246" s="11" t="s">
        <v>36</v>
      </c>
      <c r="G246" s="11" t="s">
        <v>37</v>
      </c>
      <c r="H246" s="11" t="s">
        <v>171</v>
      </c>
      <c r="I246" s="11" t="s">
        <v>39</v>
      </c>
      <c r="J246" s="11" t="s">
        <v>105</v>
      </c>
      <c r="K246" s="25">
        <v>8</v>
      </c>
      <c r="L246" s="25">
        <v>8000</v>
      </c>
      <c r="M246" s="29">
        <v>0.05</v>
      </c>
      <c r="N246" s="25">
        <v>60800</v>
      </c>
      <c r="O246" s="25">
        <v>48928.55</v>
      </c>
      <c r="P246" s="25">
        <v>11871.45</v>
      </c>
      <c r="Q246" s="21">
        <v>19.53</v>
      </c>
      <c r="R246" s="11" t="s">
        <v>61</v>
      </c>
      <c r="S246" s="11" t="s">
        <v>42</v>
      </c>
      <c r="T246" s="11" t="s">
        <v>159</v>
      </c>
      <c r="U246" s="11" t="s">
        <v>151</v>
      </c>
      <c r="V246" s="11">
        <v>2025</v>
      </c>
      <c r="W246" s="11" t="s">
        <v>139</v>
      </c>
      <c r="X246" s="11">
        <v>6</v>
      </c>
      <c r="Y246" s="10">
        <v>45907</v>
      </c>
      <c r="Z246" s="11" t="s">
        <v>47</v>
      </c>
      <c r="AA246" s="11" t="s">
        <v>90</v>
      </c>
      <c r="AB246" s="11" t="s">
        <v>49</v>
      </c>
      <c r="AC246" s="11" t="s">
        <v>50</v>
      </c>
      <c r="AD246" s="11">
        <v>2</v>
      </c>
      <c r="AE246" s="11" t="s">
        <v>118</v>
      </c>
      <c r="AF246" s="11" t="s">
        <v>2228</v>
      </c>
      <c r="AG246" s="25"/>
      <c r="AH246" s="11"/>
      <c r="AI246" s="11"/>
      <c r="AJ246" s="11"/>
      <c r="AK246" s="11"/>
      <c r="AL246" s="11"/>
      <c r="AM246" s="11" t="str">
        <f t="shared" si="19"/>
        <v>Needs Improvement</v>
      </c>
      <c r="AN246" s="11" t="str" cm="1">
        <f t="array" ref="AN246">_xlfn.IFS(N246&lt;10000,"Low",N246&lt;30000,"Medium",N246&gt;=30000,"High")</f>
        <v>High</v>
      </c>
      <c r="AO246" s="11" t="str">
        <f t="shared" si="20"/>
        <v>Yes</v>
      </c>
      <c r="AP246" s="11" t="str">
        <f t="shared" si="21"/>
        <v>Yes</v>
      </c>
      <c r="AQ246" s="11">
        <f t="shared" si="22"/>
        <v>0.19525411184210528</v>
      </c>
      <c r="AR246" s="33"/>
      <c r="AS246" s="33"/>
      <c r="AT246" s="33"/>
      <c r="AU246" s="33"/>
      <c r="AV246" s="33"/>
      <c r="AW246" s="33"/>
      <c r="AX246" s="33" t="str">
        <f t="shared" si="23"/>
        <v>Good</v>
      </c>
    </row>
    <row r="247" spans="1:50">
      <c r="A247" s="9" t="s">
        <v>1842</v>
      </c>
      <c r="B247" s="10">
        <v>45723</v>
      </c>
      <c r="C247" s="11" t="s">
        <v>224</v>
      </c>
      <c r="D247" s="11" t="s">
        <v>1714</v>
      </c>
      <c r="E247" s="11" t="s">
        <v>55</v>
      </c>
      <c r="F247" s="11" t="s">
        <v>116</v>
      </c>
      <c r="G247" s="11" t="s">
        <v>37</v>
      </c>
      <c r="H247" s="11" t="s">
        <v>38</v>
      </c>
      <c r="I247" s="11" t="s">
        <v>84</v>
      </c>
      <c r="J247" s="11" t="s">
        <v>290</v>
      </c>
      <c r="K247" s="25">
        <v>8</v>
      </c>
      <c r="L247" s="25">
        <v>200</v>
      </c>
      <c r="M247" s="29">
        <v>0.15</v>
      </c>
      <c r="N247" s="25">
        <v>1360</v>
      </c>
      <c r="O247" s="25">
        <v>801.03</v>
      </c>
      <c r="P247" s="25">
        <v>558.97</v>
      </c>
      <c r="Q247" s="21">
        <v>41.1</v>
      </c>
      <c r="R247" s="11" t="s">
        <v>61</v>
      </c>
      <c r="S247" s="11" t="s">
        <v>42</v>
      </c>
      <c r="T247" s="11" t="s">
        <v>43</v>
      </c>
      <c r="U247" s="11" t="s">
        <v>151</v>
      </c>
      <c r="V247" s="11">
        <v>2025</v>
      </c>
      <c r="W247" s="11" t="s">
        <v>139</v>
      </c>
      <c r="X247" s="11">
        <v>6</v>
      </c>
      <c r="Y247" s="10">
        <v>45907</v>
      </c>
      <c r="Z247" s="11" t="s">
        <v>47</v>
      </c>
      <c r="AA247" s="11" t="s">
        <v>67</v>
      </c>
      <c r="AB247" s="11" t="s">
        <v>78</v>
      </c>
      <c r="AC247" s="11" t="s">
        <v>121</v>
      </c>
      <c r="AD247" s="11">
        <v>1</v>
      </c>
      <c r="AE247" s="11" t="s">
        <v>2248</v>
      </c>
      <c r="AF247" s="11" t="s">
        <v>2223</v>
      </c>
      <c r="AG247" s="25"/>
      <c r="AH247" s="11"/>
      <c r="AI247" s="11"/>
      <c r="AJ247" s="11"/>
      <c r="AK247" s="11"/>
      <c r="AL247" s="11"/>
      <c r="AM247" s="11" t="str">
        <f t="shared" si="19"/>
        <v>Good</v>
      </c>
      <c r="AN247" s="11" t="str" cm="1">
        <f t="array" ref="AN247">_xlfn.IFS(N247&lt;10000,"Low",N247&lt;30000,"Medium",N247&gt;=30000,"High")</f>
        <v>Low</v>
      </c>
      <c r="AO247" s="11" t="str">
        <f t="shared" si="20"/>
        <v>No</v>
      </c>
      <c r="AP247" s="11" t="str">
        <f t="shared" si="21"/>
        <v>Yes</v>
      </c>
      <c r="AQ247" s="11">
        <f t="shared" si="22"/>
        <v>0.41100735294117652</v>
      </c>
      <c r="AR247" s="33"/>
      <c r="AS247" s="33"/>
      <c r="AT247" s="33"/>
      <c r="AU247" s="33"/>
      <c r="AV247" s="33"/>
      <c r="AW247" s="33"/>
      <c r="AX247" s="33" t="str">
        <f t="shared" si="23"/>
        <v>Low</v>
      </c>
    </row>
    <row r="248" spans="1:50">
      <c r="A248" s="9" t="s">
        <v>1191</v>
      </c>
      <c r="B248" s="10">
        <v>45724</v>
      </c>
      <c r="C248" s="11" t="s">
        <v>1134</v>
      </c>
      <c r="D248" s="11" t="s">
        <v>310</v>
      </c>
      <c r="E248" s="11" t="s">
        <v>55</v>
      </c>
      <c r="F248" s="11" t="s">
        <v>144</v>
      </c>
      <c r="G248" s="11" t="s">
        <v>145</v>
      </c>
      <c r="H248" s="11" t="s">
        <v>171</v>
      </c>
      <c r="I248" s="11" t="s">
        <v>59</v>
      </c>
      <c r="J248" s="11" t="s">
        <v>372</v>
      </c>
      <c r="K248" s="25">
        <v>8</v>
      </c>
      <c r="L248" s="25">
        <v>2000</v>
      </c>
      <c r="M248" s="29">
        <v>0.1</v>
      </c>
      <c r="N248" s="25">
        <v>14400</v>
      </c>
      <c r="O248" s="25">
        <v>8587.7099999999991</v>
      </c>
      <c r="P248" s="25">
        <v>5812.29</v>
      </c>
      <c r="Q248" s="21">
        <v>40.36</v>
      </c>
      <c r="R248" s="11" t="s">
        <v>106</v>
      </c>
      <c r="S248" s="11" t="s">
        <v>74</v>
      </c>
      <c r="T248" s="11" t="s">
        <v>97</v>
      </c>
      <c r="U248" s="11" t="s">
        <v>218</v>
      </c>
      <c r="V248" s="11">
        <v>2025</v>
      </c>
      <c r="W248" s="11" t="s">
        <v>45</v>
      </c>
      <c r="X248" s="11">
        <v>3</v>
      </c>
      <c r="Y248" s="10">
        <v>45816</v>
      </c>
      <c r="Z248" s="11" t="s">
        <v>47</v>
      </c>
      <c r="AA248" s="11" t="s">
        <v>67</v>
      </c>
      <c r="AB248" s="11" t="s">
        <v>78</v>
      </c>
      <c r="AC248" s="11" t="s">
        <v>121</v>
      </c>
      <c r="AD248" s="11">
        <v>5</v>
      </c>
      <c r="AE248" s="11" t="s">
        <v>2213</v>
      </c>
      <c r="AF248" s="11" t="s">
        <v>2219</v>
      </c>
      <c r="AG248" s="25"/>
      <c r="AH248" s="11"/>
      <c r="AI248" s="11"/>
      <c r="AJ248" s="11"/>
      <c r="AK248" s="11"/>
      <c r="AL248" s="11"/>
      <c r="AM248" s="11" t="str">
        <f t="shared" si="19"/>
        <v>Good</v>
      </c>
      <c r="AN248" s="11" t="str" cm="1">
        <f t="array" ref="AN248">_xlfn.IFS(N248&lt;10000,"Low",N248&lt;30000,"Medium",N248&gt;=30000,"High")</f>
        <v>Medium</v>
      </c>
      <c r="AO248" s="11" t="str">
        <f t="shared" si="20"/>
        <v>No</v>
      </c>
      <c r="AP248" s="11" t="str">
        <f t="shared" si="21"/>
        <v>Yes</v>
      </c>
      <c r="AQ248" s="11">
        <f t="shared" si="22"/>
        <v>0.40363125</v>
      </c>
      <c r="AR248" s="33"/>
      <c r="AS248" s="33"/>
      <c r="AT248" s="33"/>
      <c r="AU248" s="33"/>
      <c r="AV248" s="33"/>
      <c r="AW248" s="33"/>
      <c r="AX248" s="33" t="str">
        <f t="shared" si="23"/>
        <v>Average</v>
      </c>
    </row>
    <row r="249" spans="1:50">
      <c r="A249" s="9" t="s">
        <v>510</v>
      </c>
      <c r="B249" s="10">
        <v>45725</v>
      </c>
      <c r="C249" s="11" t="s">
        <v>511</v>
      </c>
      <c r="D249" s="11" t="s">
        <v>512</v>
      </c>
      <c r="E249" s="11" t="s">
        <v>55</v>
      </c>
      <c r="F249" s="11" t="s">
        <v>144</v>
      </c>
      <c r="G249" s="11" t="s">
        <v>145</v>
      </c>
      <c r="H249" s="11" t="s">
        <v>171</v>
      </c>
      <c r="I249" s="11" t="s">
        <v>84</v>
      </c>
      <c r="J249" s="11" t="s">
        <v>390</v>
      </c>
      <c r="K249" s="25">
        <v>1</v>
      </c>
      <c r="L249" s="25">
        <v>350</v>
      </c>
      <c r="M249" s="29">
        <v>0.15</v>
      </c>
      <c r="N249" s="25">
        <v>297.5</v>
      </c>
      <c r="O249" s="25">
        <v>206.73</v>
      </c>
      <c r="P249" s="25">
        <v>90.77</v>
      </c>
      <c r="Q249" s="21">
        <v>30.51</v>
      </c>
      <c r="R249" s="11" t="s">
        <v>166</v>
      </c>
      <c r="S249" s="11" t="s">
        <v>62</v>
      </c>
      <c r="T249" s="11" t="s">
        <v>43</v>
      </c>
      <c r="U249" s="11" t="s">
        <v>108</v>
      </c>
      <c r="V249" s="11">
        <v>2025</v>
      </c>
      <c r="W249" s="11" t="s">
        <v>134</v>
      </c>
      <c r="X249" s="11">
        <v>8</v>
      </c>
      <c r="Y249" s="10">
        <v>45970</v>
      </c>
      <c r="Z249" s="11" t="s">
        <v>47</v>
      </c>
      <c r="AA249" s="11" t="s">
        <v>67</v>
      </c>
      <c r="AB249" s="11" t="s">
        <v>49</v>
      </c>
      <c r="AC249" s="11" t="s">
        <v>121</v>
      </c>
      <c r="AD249" s="11">
        <v>3</v>
      </c>
      <c r="AE249" s="11" t="s">
        <v>2221</v>
      </c>
      <c r="AF249" s="11" t="s">
        <v>2222</v>
      </c>
      <c r="AG249" s="25"/>
      <c r="AH249" s="11"/>
      <c r="AI249" s="11"/>
      <c r="AJ249" s="11"/>
      <c r="AK249" s="11"/>
      <c r="AL249" s="11"/>
      <c r="AM249" s="11" t="str">
        <f t="shared" si="19"/>
        <v>Good</v>
      </c>
      <c r="AN249" s="11" t="str" cm="1">
        <f t="array" ref="AN249">_xlfn.IFS(N249&lt;10000,"Low",N249&lt;30000,"Medium",N249&gt;=30000,"High")</f>
        <v>Low</v>
      </c>
      <c r="AO249" s="11" t="str">
        <f t="shared" si="20"/>
        <v>No</v>
      </c>
      <c r="AP249" s="11" t="str">
        <f t="shared" si="21"/>
        <v>No</v>
      </c>
      <c r="AQ249" s="11">
        <f t="shared" si="22"/>
        <v>0.30510924369747899</v>
      </c>
      <c r="AR249" s="33"/>
      <c r="AS249" s="33"/>
      <c r="AT249" s="33"/>
      <c r="AU249" s="33"/>
      <c r="AV249" s="33"/>
      <c r="AW249" s="33"/>
      <c r="AX249" s="33" t="str">
        <f t="shared" si="23"/>
        <v>Low</v>
      </c>
    </row>
    <row r="250" spans="1:50">
      <c r="A250" s="9" t="s">
        <v>867</v>
      </c>
      <c r="B250" s="10">
        <v>45725</v>
      </c>
      <c r="C250" s="11" t="s">
        <v>868</v>
      </c>
      <c r="D250" s="11" t="s">
        <v>554</v>
      </c>
      <c r="E250" s="11" t="s">
        <v>103</v>
      </c>
      <c r="F250" s="11" t="s">
        <v>82</v>
      </c>
      <c r="G250" s="11" t="s">
        <v>83</v>
      </c>
      <c r="H250" s="11" t="s">
        <v>171</v>
      </c>
      <c r="I250" s="11" t="s">
        <v>71</v>
      </c>
      <c r="J250" s="11" t="s">
        <v>117</v>
      </c>
      <c r="K250" s="25">
        <v>1</v>
      </c>
      <c r="L250" s="25">
        <v>1200</v>
      </c>
      <c r="M250" s="29">
        <v>0.1</v>
      </c>
      <c r="N250" s="25">
        <v>1080</v>
      </c>
      <c r="O250" s="25">
        <v>839.86</v>
      </c>
      <c r="P250" s="25">
        <v>240.14</v>
      </c>
      <c r="Q250" s="21">
        <v>22.24</v>
      </c>
      <c r="R250" s="11" t="s">
        <v>106</v>
      </c>
      <c r="S250" s="11" t="s">
        <v>42</v>
      </c>
      <c r="T250" s="11" t="s">
        <v>97</v>
      </c>
      <c r="U250" s="11" t="s">
        <v>108</v>
      </c>
      <c r="V250" s="11">
        <v>2025</v>
      </c>
      <c r="W250" s="11" t="s">
        <v>134</v>
      </c>
      <c r="X250" s="11">
        <v>1</v>
      </c>
      <c r="Y250" s="10">
        <v>45756</v>
      </c>
      <c r="Z250" s="11" t="s">
        <v>89</v>
      </c>
      <c r="AA250" s="11" t="s">
        <v>48</v>
      </c>
      <c r="AB250" s="11" t="s">
        <v>49</v>
      </c>
      <c r="AC250" s="11" t="s">
        <v>121</v>
      </c>
      <c r="AD250" s="11">
        <v>5</v>
      </c>
      <c r="AE250" s="11" t="s">
        <v>2220</v>
      </c>
      <c r="AF250" s="11" t="s">
        <v>2238</v>
      </c>
      <c r="AG250" s="25"/>
      <c r="AH250" s="11"/>
      <c r="AI250" s="11"/>
      <c r="AJ250" s="11"/>
      <c r="AK250" s="11"/>
      <c r="AL250" s="11"/>
      <c r="AM250" s="11" t="str">
        <f t="shared" si="19"/>
        <v>Needs Improvement</v>
      </c>
      <c r="AN250" s="11" t="str" cm="1">
        <f t="array" ref="AN250">_xlfn.IFS(N250&lt;10000,"Low",N250&lt;30000,"Medium",N250&gt;=30000,"High")</f>
        <v>Low</v>
      </c>
      <c r="AO250" s="11" t="str">
        <f t="shared" si="20"/>
        <v>No</v>
      </c>
      <c r="AP250" s="11" t="str">
        <f t="shared" si="21"/>
        <v>Yes</v>
      </c>
      <c r="AQ250" s="11">
        <f t="shared" si="22"/>
        <v>0.22235185185185183</v>
      </c>
      <c r="AR250" s="33"/>
      <c r="AS250" s="33"/>
      <c r="AT250" s="33"/>
      <c r="AU250" s="33"/>
      <c r="AV250" s="33"/>
      <c r="AW250" s="33"/>
      <c r="AX250" s="33" t="str">
        <f t="shared" si="23"/>
        <v>Low</v>
      </c>
    </row>
    <row r="251" spans="1:50">
      <c r="A251" s="9" t="s">
        <v>1843</v>
      </c>
      <c r="B251" s="10">
        <v>45726</v>
      </c>
      <c r="C251" s="11" t="s">
        <v>1259</v>
      </c>
      <c r="D251" s="11" t="s">
        <v>1420</v>
      </c>
      <c r="E251" s="11" t="s">
        <v>103</v>
      </c>
      <c r="F251" s="11" t="s">
        <v>56</v>
      </c>
      <c r="G251" s="11" t="s">
        <v>57</v>
      </c>
      <c r="H251" s="11" t="s">
        <v>94</v>
      </c>
      <c r="I251" s="11" t="s">
        <v>71</v>
      </c>
      <c r="J251" s="11" t="s">
        <v>172</v>
      </c>
      <c r="K251" s="25">
        <v>4</v>
      </c>
      <c r="L251" s="25">
        <v>2500</v>
      </c>
      <c r="M251" s="29">
        <v>0.05</v>
      </c>
      <c r="N251" s="25">
        <v>9500</v>
      </c>
      <c r="O251" s="25">
        <v>7640.93</v>
      </c>
      <c r="P251" s="25">
        <v>1859.07</v>
      </c>
      <c r="Q251" s="21">
        <v>19.57</v>
      </c>
      <c r="R251" s="11" t="s">
        <v>166</v>
      </c>
      <c r="S251" s="11" t="s">
        <v>62</v>
      </c>
      <c r="T251" s="11" t="s">
        <v>138</v>
      </c>
      <c r="U251" s="11" t="s">
        <v>87</v>
      </c>
      <c r="V251" s="11">
        <v>2025</v>
      </c>
      <c r="W251" s="11" t="s">
        <v>194</v>
      </c>
      <c r="X251" s="11">
        <v>6</v>
      </c>
      <c r="Y251" s="10">
        <v>45910</v>
      </c>
      <c r="Z251" s="11" t="s">
        <v>47</v>
      </c>
      <c r="AA251" s="11" t="s">
        <v>67</v>
      </c>
      <c r="AB251" s="11" t="s">
        <v>78</v>
      </c>
      <c r="AC251" s="11" t="s">
        <v>50</v>
      </c>
      <c r="AD251" s="11">
        <v>4</v>
      </c>
      <c r="AE251" s="11" t="s">
        <v>2221</v>
      </c>
      <c r="AF251" s="11" t="s">
        <v>2219</v>
      </c>
      <c r="AG251" s="25"/>
      <c r="AH251" s="11"/>
      <c r="AI251" s="11"/>
      <c r="AJ251" s="11"/>
      <c r="AK251" s="11"/>
      <c r="AL251" s="11"/>
      <c r="AM251" s="11" t="str">
        <f t="shared" si="19"/>
        <v>Needs Improvement</v>
      </c>
      <c r="AN251" s="11" t="str" cm="1">
        <f t="array" ref="AN251">_xlfn.IFS(N251&lt;10000,"Low",N251&lt;30000,"Medium",N251&gt;=30000,"High")</f>
        <v>Low</v>
      </c>
      <c r="AO251" s="11" t="str">
        <f t="shared" si="20"/>
        <v>No</v>
      </c>
      <c r="AP251" s="11" t="str">
        <f t="shared" si="21"/>
        <v>No</v>
      </c>
      <c r="AQ251" s="11">
        <f t="shared" si="22"/>
        <v>0.19569157894736841</v>
      </c>
      <c r="AR251" s="33"/>
      <c r="AS251" s="33"/>
      <c r="AT251" s="33"/>
      <c r="AU251" s="33"/>
      <c r="AV251" s="33"/>
      <c r="AW251" s="33"/>
      <c r="AX251" s="33" t="str">
        <f t="shared" si="23"/>
        <v>Low</v>
      </c>
    </row>
    <row r="252" spans="1:50">
      <c r="A252" s="9" t="s">
        <v>1896</v>
      </c>
      <c r="B252" s="10">
        <v>45727</v>
      </c>
      <c r="C252" s="11" t="s">
        <v>724</v>
      </c>
      <c r="D252" s="11" t="s">
        <v>998</v>
      </c>
      <c r="E252" s="11" t="s">
        <v>103</v>
      </c>
      <c r="F252" s="11" t="s">
        <v>36</v>
      </c>
      <c r="G252" s="11" t="s">
        <v>37</v>
      </c>
      <c r="H252" s="11" t="s">
        <v>94</v>
      </c>
      <c r="I252" s="11" t="s">
        <v>84</v>
      </c>
      <c r="J252" s="11" t="s">
        <v>229</v>
      </c>
      <c r="K252" s="25">
        <v>9</v>
      </c>
      <c r="L252" s="25">
        <v>500</v>
      </c>
      <c r="M252" s="29">
        <v>0.2</v>
      </c>
      <c r="N252" s="25">
        <v>3600</v>
      </c>
      <c r="O252" s="25">
        <v>2540.86</v>
      </c>
      <c r="P252" s="25">
        <v>1059.1400000000001</v>
      </c>
      <c r="Q252" s="21">
        <v>29.42</v>
      </c>
      <c r="R252" s="11" t="s">
        <v>73</v>
      </c>
      <c r="S252" s="11" t="s">
        <v>42</v>
      </c>
      <c r="T252" s="11" t="s">
        <v>86</v>
      </c>
      <c r="U252" s="11" t="s">
        <v>198</v>
      </c>
      <c r="V252" s="11">
        <v>2025</v>
      </c>
      <c r="W252" s="11" t="s">
        <v>126</v>
      </c>
      <c r="X252" s="11">
        <v>7</v>
      </c>
      <c r="Y252" s="10">
        <v>45941</v>
      </c>
      <c r="Z252" s="11" t="s">
        <v>47</v>
      </c>
      <c r="AA252" s="11" t="s">
        <v>48</v>
      </c>
      <c r="AB252" s="11" t="s">
        <v>49</v>
      </c>
      <c r="AC252" s="11" t="s">
        <v>121</v>
      </c>
      <c r="AD252" s="11">
        <v>4</v>
      </c>
      <c r="AE252" s="11" t="s">
        <v>2209</v>
      </c>
      <c r="AF252" s="11" t="s">
        <v>2212</v>
      </c>
      <c r="AG252" s="25"/>
      <c r="AH252" s="11"/>
      <c r="AI252" s="11"/>
      <c r="AJ252" s="11"/>
      <c r="AK252" s="11"/>
      <c r="AL252" s="11"/>
      <c r="AM252" s="11" t="str">
        <f t="shared" si="19"/>
        <v>Needs Improvement</v>
      </c>
      <c r="AN252" s="11" t="str" cm="1">
        <f t="array" ref="AN252">_xlfn.IFS(N252&lt;10000,"Low",N252&lt;30000,"Medium",N252&gt;=30000,"High")</f>
        <v>Low</v>
      </c>
      <c r="AO252" s="11" t="str">
        <f t="shared" si="20"/>
        <v>No</v>
      </c>
      <c r="AP252" s="11" t="str">
        <f t="shared" si="21"/>
        <v>Yes</v>
      </c>
      <c r="AQ252" s="11">
        <f t="shared" si="22"/>
        <v>0.29420555555555561</v>
      </c>
      <c r="AR252" s="33"/>
      <c r="AS252" s="33"/>
      <c r="AT252" s="33"/>
      <c r="AU252" s="33"/>
      <c r="AV252" s="33"/>
      <c r="AW252" s="33"/>
      <c r="AX252" s="33" t="str">
        <f t="shared" si="23"/>
        <v>Low</v>
      </c>
    </row>
    <row r="253" spans="1:50">
      <c r="A253" s="9" t="s">
        <v>616</v>
      </c>
      <c r="B253" s="10">
        <v>45748</v>
      </c>
      <c r="C253" s="11" t="s">
        <v>589</v>
      </c>
      <c r="D253" s="11" t="s">
        <v>617</v>
      </c>
      <c r="E253" s="11" t="s">
        <v>55</v>
      </c>
      <c r="F253" s="11" t="s">
        <v>116</v>
      </c>
      <c r="G253" s="11" t="s">
        <v>37</v>
      </c>
      <c r="H253" s="11" t="s">
        <v>58</v>
      </c>
      <c r="I253" s="11" t="s">
        <v>95</v>
      </c>
      <c r="J253" s="11" t="s">
        <v>440</v>
      </c>
      <c r="K253" s="25">
        <v>3</v>
      </c>
      <c r="L253" s="25">
        <v>9000</v>
      </c>
      <c r="M253" s="29">
        <v>0.1</v>
      </c>
      <c r="N253" s="25">
        <v>24300</v>
      </c>
      <c r="O253" s="25">
        <v>13399.09</v>
      </c>
      <c r="P253" s="25">
        <v>10900.91</v>
      </c>
      <c r="Q253" s="21">
        <v>44.86</v>
      </c>
      <c r="R253" s="11" t="s">
        <v>73</v>
      </c>
      <c r="S253" s="11" t="s">
        <v>74</v>
      </c>
      <c r="T253" s="11" t="s">
        <v>118</v>
      </c>
      <c r="U253" s="11" t="s">
        <v>76</v>
      </c>
      <c r="V253" s="11">
        <v>2025</v>
      </c>
      <c r="W253" s="11" t="s">
        <v>65</v>
      </c>
      <c r="X253" s="11">
        <v>2</v>
      </c>
      <c r="Y253" s="10">
        <v>45809</v>
      </c>
      <c r="Z253" s="11" t="s">
        <v>47</v>
      </c>
      <c r="AA253" s="11" t="s">
        <v>67</v>
      </c>
      <c r="AB253" s="11" t="s">
        <v>78</v>
      </c>
      <c r="AC253" s="11" t="s">
        <v>50</v>
      </c>
      <c r="AD253" s="11">
        <v>1</v>
      </c>
      <c r="AE253" s="11" t="s">
        <v>2239</v>
      </c>
      <c r="AF253" s="11" t="s">
        <v>2236</v>
      </c>
      <c r="AG253" s="25"/>
      <c r="AH253" s="11"/>
      <c r="AI253" s="11"/>
      <c r="AJ253" s="11"/>
      <c r="AK253" s="11"/>
      <c r="AL253" s="11"/>
      <c r="AM253" s="11" t="str">
        <f t="shared" si="19"/>
        <v>Good</v>
      </c>
      <c r="AN253" s="11" t="str" cm="1">
        <f t="array" ref="AN253">_xlfn.IFS(N253&lt;10000,"Low",N253&lt;30000,"Medium",N253&gt;=30000,"High")</f>
        <v>Medium</v>
      </c>
      <c r="AO253" s="11" t="str">
        <f t="shared" si="20"/>
        <v>No</v>
      </c>
      <c r="AP253" s="11" t="str">
        <f t="shared" si="21"/>
        <v>Yes</v>
      </c>
      <c r="AQ253" s="11">
        <f t="shared" si="22"/>
        <v>0.44859711934156377</v>
      </c>
      <c r="AR253" s="33"/>
      <c r="AS253" s="33"/>
      <c r="AT253" s="33"/>
      <c r="AU253" s="33"/>
      <c r="AV253" s="33"/>
      <c r="AW253" s="33"/>
      <c r="AX253" s="33" t="str">
        <f t="shared" si="23"/>
        <v>Good</v>
      </c>
    </row>
    <row r="254" spans="1:50">
      <c r="A254" s="9" t="s">
        <v>1470</v>
      </c>
      <c r="B254" s="10">
        <v>45749</v>
      </c>
      <c r="C254" s="11" t="s">
        <v>1271</v>
      </c>
      <c r="D254" s="11" t="s">
        <v>560</v>
      </c>
      <c r="E254" s="11" t="s">
        <v>35</v>
      </c>
      <c r="F254" s="11" t="s">
        <v>131</v>
      </c>
      <c r="G254" s="11" t="s">
        <v>132</v>
      </c>
      <c r="H254" s="11" t="s">
        <v>94</v>
      </c>
      <c r="I254" s="11" t="s">
        <v>71</v>
      </c>
      <c r="J254" s="11" t="s">
        <v>240</v>
      </c>
      <c r="K254" s="25">
        <v>7</v>
      </c>
      <c r="L254" s="25">
        <v>2500</v>
      </c>
      <c r="M254" s="29">
        <v>0.1</v>
      </c>
      <c r="N254" s="25">
        <v>15750</v>
      </c>
      <c r="O254" s="25">
        <v>10907.16</v>
      </c>
      <c r="P254" s="25">
        <v>4842.84</v>
      </c>
      <c r="Q254" s="21">
        <v>30.75</v>
      </c>
      <c r="R254" s="11" t="s">
        <v>106</v>
      </c>
      <c r="S254" s="11" t="s">
        <v>74</v>
      </c>
      <c r="T254" s="11" t="s">
        <v>97</v>
      </c>
      <c r="U254" s="11" t="s">
        <v>98</v>
      </c>
      <c r="V254" s="11">
        <v>2025</v>
      </c>
      <c r="W254" s="11" t="s">
        <v>109</v>
      </c>
      <c r="X254" s="11">
        <v>7</v>
      </c>
      <c r="Y254" s="10">
        <v>45963</v>
      </c>
      <c r="Z254" s="11" t="s">
        <v>47</v>
      </c>
      <c r="AA254" s="11" t="s">
        <v>48</v>
      </c>
      <c r="AB254" s="11" t="s">
        <v>49</v>
      </c>
      <c r="AC254" s="11" t="s">
        <v>50</v>
      </c>
      <c r="AD254" s="11">
        <v>4</v>
      </c>
      <c r="AE254" s="11" t="s">
        <v>2218</v>
      </c>
      <c r="AF254" s="11" t="s">
        <v>2214</v>
      </c>
      <c r="AG254" s="25"/>
      <c r="AH254" s="11"/>
      <c r="AI254" s="11"/>
      <c r="AJ254" s="11"/>
      <c r="AK254" s="11"/>
      <c r="AL254" s="11"/>
      <c r="AM254" s="11" t="str">
        <f t="shared" si="19"/>
        <v>Good</v>
      </c>
      <c r="AN254" s="11" t="str" cm="1">
        <f t="array" ref="AN254">_xlfn.IFS(N254&lt;10000,"Low",N254&lt;30000,"Medium",N254&gt;=30000,"High")</f>
        <v>Medium</v>
      </c>
      <c r="AO254" s="11" t="str">
        <f t="shared" si="20"/>
        <v>No</v>
      </c>
      <c r="AP254" s="11" t="str">
        <f t="shared" si="21"/>
        <v>Yes</v>
      </c>
      <c r="AQ254" s="11">
        <f t="shared" si="22"/>
        <v>0.30748190476190479</v>
      </c>
      <c r="AR254" s="33"/>
      <c r="AS254" s="33"/>
      <c r="AT254" s="33"/>
      <c r="AU254" s="33"/>
      <c r="AV254" s="33"/>
      <c r="AW254" s="33"/>
      <c r="AX254" s="33" t="str">
        <f t="shared" si="23"/>
        <v>Low</v>
      </c>
    </row>
    <row r="255" spans="1:50">
      <c r="A255" s="9" t="s">
        <v>1682</v>
      </c>
      <c r="B255" s="10">
        <v>45749</v>
      </c>
      <c r="C255" s="11" t="s">
        <v>1080</v>
      </c>
      <c r="D255" s="11" t="s">
        <v>917</v>
      </c>
      <c r="E255" s="11" t="s">
        <v>103</v>
      </c>
      <c r="F255" s="11" t="s">
        <v>104</v>
      </c>
      <c r="G255" s="11" t="s">
        <v>104</v>
      </c>
      <c r="H255" s="11" t="s">
        <v>58</v>
      </c>
      <c r="I255" s="11" t="s">
        <v>59</v>
      </c>
      <c r="J255" s="11" t="s">
        <v>372</v>
      </c>
      <c r="K255" s="25">
        <v>3</v>
      </c>
      <c r="L255" s="25">
        <v>500</v>
      </c>
      <c r="M255" s="29">
        <v>0.2</v>
      </c>
      <c r="N255" s="25">
        <v>1200</v>
      </c>
      <c r="O255" s="25">
        <v>938.41</v>
      </c>
      <c r="P255" s="25">
        <v>261.58999999999997</v>
      </c>
      <c r="Q255" s="21">
        <v>21.8</v>
      </c>
      <c r="R255" s="11" t="s">
        <v>61</v>
      </c>
      <c r="S255" s="11" t="s">
        <v>62</v>
      </c>
      <c r="T255" s="11" t="s">
        <v>138</v>
      </c>
      <c r="U255" s="11" t="s">
        <v>98</v>
      </c>
      <c r="V255" s="11">
        <v>2025</v>
      </c>
      <c r="W255" s="11" t="s">
        <v>109</v>
      </c>
      <c r="X255" s="11">
        <v>4</v>
      </c>
      <c r="Y255" s="10">
        <v>45871</v>
      </c>
      <c r="Z255" s="11" t="s">
        <v>89</v>
      </c>
      <c r="AA255" s="11" t="s">
        <v>90</v>
      </c>
      <c r="AB255" s="11" t="s">
        <v>49</v>
      </c>
      <c r="AC255" s="11" t="s">
        <v>50</v>
      </c>
      <c r="AD255" s="11">
        <v>5</v>
      </c>
      <c r="AE255" s="11" t="s">
        <v>2221</v>
      </c>
      <c r="AF255" s="11" t="s">
        <v>2210</v>
      </c>
      <c r="AG255" s="25"/>
      <c r="AH255" s="11"/>
      <c r="AI255" s="11"/>
      <c r="AJ255" s="11"/>
      <c r="AK255" s="11"/>
      <c r="AL255" s="11"/>
      <c r="AM255" s="11" t="str">
        <f t="shared" si="19"/>
        <v>Needs Improvement</v>
      </c>
      <c r="AN255" s="11" t="str" cm="1">
        <f t="array" ref="AN255">_xlfn.IFS(N255&lt;10000,"Low",N255&lt;30000,"Medium",N255&gt;=30000,"High")</f>
        <v>Low</v>
      </c>
      <c r="AO255" s="11" t="str">
        <f t="shared" si="20"/>
        <v>No</v>
      </c>
      <c r="AP255" s="11" t="str">
        <f t="shared" si="21"/>
        <v>No</v>
      </c>
      <c r="AQ255" s="11">
        <f t="shared" si="22"/>
        <v>0.21799166666666664</v>
      </c>
      <c r="AR255" s="33"/>
      <c r="AS255" s="33"/>
      <c r="AT255" s="33"/>
      <c r="AU255" s="33"/>
      <c r="AV255" s="33"/>
      <c r="AW255" s="33"/>
      <c r="AX255" s="33" t="str">
        <f t="shared" si="23"/>
        <v>Low</v>
      </c>
    </row>
    <row r="256" spans="1:50">
      <c r="A256" s="9" t="s">
        <v>1387</v>
      </c>
      <c r="B256" s="10">
        <v>45750</v>
      </c>
      <c r="C256" s="11" t="s">
        <v>1060</v>
      </c>
      <c r="D256" s="11" t="s">
        <v>1308</v>
      </c>
      <c r="E256" s="11" t="s">
        <v>35</v>
      </c>
      <c r="F256" s="11" t="s">
        <v>82</v>
      </c>
      <c r="G256" s="11" t="s">
        <v>83</v>
      </c>
      <c r="H256" s="11" t="s">
        <v>38</v>
      </c>
      <c r="I256" s="11" t="s">
        <v>59</v>
      </c>
      <c r="J256" s="11" t="s">
        <v>372</v>
      </c>
      <c r="K256" s="25">
        <v>6</v>
      </c>
      <c r="L256" s="25">
        <v>3000</v>
      </c>
      <c r="M256" s="29">
        <v>0.1</v>
      </c>
      <c r="N256" s="25">
        <v>16200</v>
      </c>
      <c r="O256" s="25">
        <v>9368.6</v>
      </c>
      <c r="P256" s="25">
        <v>6831.4</v>
      </c>
      <c r="Q256" s="21">
        <v>42.17</v>
      </c>
      <c r="R256" s="11" t="s">
        <v>73</v>
      </c>
      <c r="S256" s="11" t="s">
        <v>62</v>
      </c>
      <c r="T256" s="11" t="s">
        <v>63</v>
      </c>
      <c r="U256" s="11" t="s">
        <v>178</v>
      </c>
      <c r="V256" s="11">
        <v>2025</v>
      </c>
      <c r="W256" s="11" t="s">
        <v>109</v>
      </c>
      <c r="X256" s="11">
        <v>6</v>
      </c>
      <c r="Y256" s="10">
        <v>45933</v>
      </c>
      <c r="Z256" s="11" t="s">
        <v>47</v>
      </c>
      <c r="AA256" s="11" t="s">
        <v>90</v>
      </c>
      <c r="AB256" s="11" t="s">
        <v>49</v>
      </c>
      <c r="AC256" s="11" t="s">
        <v>50</v>
      </c>
      <c r="AD256" s="11">
        <v>3</v>
      </c>
      <c r="AE256" s="11" t="s">
        <v>2220</v>
      </c>
      <c r="AF256" s="11" t="s">
        <v>2212</v>
      </c>
      <c r="AG256" s="25"/>
      <c r="AH256" s="11"/>
      <c r="AI256" s="11"/>
      <c r="AJ256" s="11"/>
      <c r="AK256" s="11"/>
      <c r="AL256" s="11"/>
      <c r="AM256" s="11" t="str">
        <f t="shared" si="19"/>
        <v>Good</v>
      </c>
      <c r="AN256" s="11" t="str" cm="1">
        <f t="array" ref="AN256">_xlfn.IFS(N256&lt;10000,"Low",N256&lt;30000,"Medium",N256&gt;=30000,"High")</f>
        <v>Medium</v>
      </c>
      <c r="AO256" s="11" t="str">
        <f t="shared" si="20"/>
        <v>No</v>
      </c>
      <c r="AP256" s="11" t="str">
        <f t="shared" si="21"/>
        <v>No</v>
      </c>
      <c r="AQ256" s="11">
        <f t="shared" si="22"/>
        <v>0.42169135802469132</v>
      </c>
      <c r="AR256" s="33"/>
      <c r="AS256" s="33"/>
      <c r="AT256" s="33"/>
      <c r="AU256" s="33"/>
      <c r="AV256" s="33"/>
      <c r="AW256" s="33"/>
      <c r="AX256" s="33" t="str">
        <f t="shared" si="23"/>
        <v>Average</v>
      </c>
    </row>
    <row r="257" spans="1:50">
      <c r="A257" s="9" t="s">
        <v>1510</v>
      </c>
      <c r="B257" s="10">
        <v>45750</v>
      </c>
      <c r="C257" s="11" t="s">
        <v>801</v>
      </c>
      <c r="D257" s="11" t="s">
        <v>692</v>
      </c>
      <c r="E257" s="11" t="s">
        <v>55</v>
      </c>
      <c r="F257" s="11" t="s">
        <v>149</v>
      </c>
      <c r="G257" s="11" t="s">
        <v>150</v>
      </c>
      <c r="H257" s="11" t="s">
        <v>94</v>
      </c>
      <c r="I257" s="11" t="s">
        <v>59</v>
      </c>
      <c r="J257" s="11" t="s">
        <v>206</v>
      </c>
      <c r="K257" s="25">
        <v>1</v>
      </c>
      <c r="L257" s="25">
        <v>800</v>
      </c>
      <c r="M257" s="29">
        <v>0.05</v>
      </c>
      <c r="N257" s="25">
        <v>760</v>
      </c>
      <c r="O257" s="25">
        <v>600.95000000000005</v>
      </c>
      <c r="P257" s="25">
        <v>159.05000000000001</v>
      </c>
      <c r="Q257" s="21">
        <v>20.93</v>
      </c>
      <c r="R257" s="11" t="s">
        <v>106</v>
      </c>
      <c r="S257" s="11" t="s">
        <v>62</v>
      </c>
      <c r="T257" s="11" t="s">
        <v>173</v>
      </c>
      <c r="U257" s="11" t="s">
        <v>178</v>
      </c>
      <c r="V257" s="11">
        <v>2025</v>
      </c>
      <c r="W257" s="11" t="s">
        <v>109</v>
      </c>
      <c r="X257" s="11">
        <v>9</v>
      </c>
      <c r="Y257" s="10" t="s">
        <v>663</v>
      </c>
      <c r="Z257" s="11" t="s">
        <v>47</v>
      </c>
      <c r="AA257" s="11" t="s">
        <v>67</v>
      </c>
      <c r="AB257" s="11" t="s">
        <v>78</v>
      </c>
      <c r="AC257" s="11" t="s">
        <v>121</v>
      </c>
      <c r="AD257" s="11">
        <v>2</v>
      </c>
      <c r="AE257" s="11" t="s">
        <v>159</v>
      </c>
      <c r="AF257" s="11" t="s">
        <v>2230</v>
      </c>
      <c r="AG257" s="25"/>
      <c r="AH257" s="11"/>
      <c r="AI257" s="11"/>
      <c r="AJ257" s="11"/>
      <c r="AK257" s="11"/>
      <c r="AL257" s="11"/>
      <c r="AM257" s="11" t="str">
        <f t="shared" si="19"/>
        <v>Needs Improvement</v>
      </c>
      <c r="AN257" s="11" t="str" cm="1">
        <f t="array" ref="AN257">_xlfn.IFS(N257&lt;10000,"Low",N257&lt;30000,"Medium",N257&gt;=30000,"High")</f>
        <v>Low</v>
      </c>
      <c r="AO257" s="11" t="str">
        <f t="shared" si="20"/>
        <v>No</v>
      </c>
      <c r="AP257" s="11" t="str">
        <f t="shared" si="21"/>
        <v>No</v>
      </c>
      <c r="AQ257" s="11">
        <f t="shared" si="22"/>
        <v>0.2092763157894737</v>
      </c>
      <c r="AR257" s="33"/>
      <c r="AS257" s="33"/>
      <c r="AT257" s="33"/>
      <c r="AU257" s="33"/>
      <c r="AV257" s="33"/>
      <c r="AW257" s="33"/>
      <c r="AX257" s="33" t="str">
        <f t="shared" si="23"/>
        <v>Low</v>
      </c>
    </row>
    <row r="258" spans="1:50">
      <c r="A258" s="9" t="s">
        <v>1740</v>
      </c>
      <c r="B258" s="10">
        <v>45750</v>
      </c>
      <c r="C258" s="11" t="s">
        <v>406</v>
      </c>
      <c r="D258" s="11" t="s">
        <v>643</v>
      </c>
      <c r="E258" s="11" t="s">
        <v>103</v>
      </c>
      <c r="F258" s="11" t="s">
        <v>245</v>
      </c>
      <c r="G258" s="11" t="s">
        <v>246</v>
      </c>
      <c r="H258" s="11" t="s">
        <v>171</v>
      </c>
      <c r="I258" s="11" t="s">
        <v>71</v>
      </c>
      <c r="J258" s="11" t="s">
        <v>172</v>
      </c>
      <c r="K258" s="25">
        <v>7</v>
      </c>
      <c r="L258" s="25">
        <v>1800</v>
      </c>
      <c r="M258" s="29">
        <v>0.05</v>
      </c>
      <c r="N258" s="25">
        <v>11970</v>
      </c>
      <c r="O258" s="25">
        <v>7615.78</v>
      </c>
      <c r="P258" s="25">
        <v>4354.22</v>
      </c>
      <c r="Q258" s="21">
        <v>36.380000000000003</v>
      </c>
      <c r="R258" s="11" t="s">
        <v>41</v>
      </c>
      <c r="S258" s="11" t="s">
        <v>42</v>
      </c>
      <c r="T258" s="11" t="s">
        <v>107</v>
      </c>
      <c r="U258" s="11" t="s">
        <v>178</v>
      </c>
      <c r="V258" s="11">
        <v>2025</v>
      </c>
      <c r="W258" s="11" t="s">
        <v>109</v>
      </c>
      <c r="X258" s="11">
        <v>10</v>
      </c>
      <c r="Y258" s="10" t="s">
        <v>1443</v>
      </c>
      <c r="Z258" s="11" t="s">
        <v>47</v>
      </c>
      <c r="AA258" s="11" t="s">
        <v>67</v>
      </c>
      <c r="AB258" s="11" t="s">
        <v>49</v>
      </c>
      <c r="AC258" s="11" t="s">
        <v>50</v>
      </c>
      <c r="AD258" s="11">
        <v>4</v>
      </c>
      <c r="AE258" s="11" t="s">
        <v>2209</v>
      </c>
      <c r="AF258" s="11" t="s">
        <v>2235</v>
      </c>
      <c r="AG258" s="25"/>
      <c r="AH258" s="11"/>
      <c r="AI258" s="11"/>
      <c r="AJ258" s="11"/>
      <c r="AK258" s="11"/>
      <c r="AL258" s="11"/>
      <c r="AM258" s="11" t="str">
        <f t="shared" ref="AM258:AM321" si="24">IF(Q258&gt;=30,"Good","Needs Improvement")</f>
        <v>Good</v>
      </c>
      <c r="AN258" s="11" t="str" cm="1">
        <f t="array" ref="AN258">_xlfn.IFS(N258&lt;10000,"Low",N258&lt;30000,"Medium",N258&gt;=30000,"High")</f>
        <v>Medium</v>
      </c>
      <c r="AO258" s="11" t="str">
        <f t="shared" ref="AO258:AO321" si="25">IF(AND(N258&gt;=30000,P258&gt;=10000),"Yes","No")</f>
        <v>No</v>
      </c>
      <c r="AP258" s="11" t="str">
        <f t="shared" ref="AP258:AP321" si="26">IF(OR(S258="Online",S258="Marketplace"),"Yes","No")</f>
        <v>Yes</v>
      </c>
      <c r="AQ258" s="11">
        <f t="shared" ref="AQ258:AQ321" si="27">IFERROR(P258/N258,"No Error")</f>
        <v>0.36376106934001673</v>
      </c>
      <c r="AR258" s="33"/>
      <c r="AS258" s="33"/>
      <c r="AT258" s="33"/>
      <c r="AU258" s="33"/>
      <c r="AV258" s="33"/>
      <c r="AW258" s="33"/>
      <c r="AX258" s="33" t="str">
        <f t="shared" ref="AX258:AX321" si="28">IF(P258&gt;=20000,"Excellent",IF(P258&gt;=10000,"Good",IF(P258&gt;=5000,"Average","Low")))</f>
        <v>Low</v>
      </c>
    </row>
    <row r="259" spans="1:50">
      <c r="A259" s="9" t="s">
        <v>2105</v>
      </c>
      <c r="B259" s="10">
        <v>45750</v>
      </c>
      <c r="C259" s="11" t="s">
        <v>1570</v>
      </c>
      <c r="D259" s="11" t="s">
        <v>464</v>
      </c>
      <c r="E259" s="11" t="s">
        <v>35</v>
      </c>
      <c r="F259" s="11" t="s">
        <v>245</v>
      </c>
      <c r="G259" s="11" t="s">
        <v>246</v>
      </c>
      <c r="H259" s="11" t="s">
        <v>94</v>
      </c>
      <c r="I259" s="11" t="s">
        <v>39</v>
      </c>
      <c r="J259" s="11" t="s">
        <v>356</v>
      </c>
      <c r="K259" s="25">
        <v>5</v>
      </c>
      <c r="L259" s="25">
        <v>35000</v>
      </c>
      <c r="M259" s="29">
        <v>0</v>
      </c>
      <c r="N259" s="25">
        <v>175000</v>
      </c>
      <c r="O259" s="25">
        <v>118612.26</v>
      </c>
      <c r="P259" s="25">
        <v>56387.74</v>
      </c>
      <c r="Q259" s="21">
        <v>32.22</v>
      </c>
      <c r="R259" s="11" t="s">
        <v>41</v>
      </c>
      <c r="S259" s="11" t="s">
        <v>74</v>
      </c>
      <c r="T259" s="11" t="s">
        <v>159</v>
      </c>
      <c r="U259" s="11" t="s">
        <v>178</v>
      </c>
      <c r="V259" s="11">
        <v>2025</v>
      </c>
      <c r="W259" s="11" t="s">
        <v>109</v>
      </c>
      <c r="X259" s="11">
        <v>8</v>
      </c>
      <c r="Y259" s="10">
        <v>45994</v>
      </c>
      <c r="Z259" s="11" t="s">
        <v>47</v>
      </c>
      <c r="AA259" s="11" t="s">
        <v>48</v>
      </c>
      <c r="AB259" s="11" t="s">
        <v>78</v>
      </c>
      <c r="AC259" s="11" t="s">
        <v>121</v>
      </c>
      <c r="AD259" s="11">
        <v>1</v>
      </c>
      <c r="AE259" s="11" t="s">
        <v>2248</v>
      </c>
      <c r="AF259" s="11" t="s">
        <v>2217</v>
      </c>
      <c r="AG259" s="25"/>
      <c r="AH259" s="11"/>
      <c r="AI259" s="11"/>
      <c r="AJ259" s="11"/>
      <c r="AK259" s="11"/>
      <c r="AL259" s="11"/>
      <c r="AM259" s="11" t="str">
        <f t="shared" si="24"/>
        <v>Good</v>
      </c>
      <c r="AN259" s="11" t="str" cm="1">
        <f t="array" ref="AN259">_xlfn.IFS(N259&lt;10000,"Low",N259&lt;30000,"Medium",N259&gt;=30000,"High")</f>
        <v>High</v>
      </c>
      <c r="AO259" s="11" t="str">
        <f t="shared" si="25"/>
        <v>Yes</v>
      </c>
      <c r="AP259" s="11" t="str">
        <f t="shared" si="26"/>
        <v>Yes</v>
      </c>
      <c r="AQ259" s="11">
        <f t="shared" si="27"/>
        <v>0.3222156571428571</v>
      </c>
      <c r="AR259" s="33"/>
      <c r="AS259" s="33"/>
      <c r="AT259" s="33"/>
      <c r="AU259" s="33"/>
      <c r="AV259" s="33"/>
      <c r="AW259" s="33"/>
      <c r="AX259" s="33" t="str">
        <f t="shared" si="28"/>
        <v>Excellent</v>
      </c>
    </row>
    <row r="260" spans="1:50">
      <c r="A260" s="9" t="s">
        <v>1310</v>
      </c>
      <c r="B260" s="10">
        <v>45751</v>
      </c>
      <c r="C260" s="11" t="s">
        <v>196</v>
      </c>
      <c r="D260" s="11" t="s">
        <v>1311</v>
      </c>
      <c r="E260" s="11" t="s">
        <v>55</v>
      </c>
      <c r="F260" s="11" t="s">
        <v>156</v>
      </c>
      <c r="G260" s="11" t="s">
        <v>157</v>
      </c>
      <c r="H260" s="11" t="s">
        <v>38</v>
      </c>
      <c r="I260" s="11" t="s">
        <v>71</v>
      </c>
      <c r="J260" s="11" t="s">
        <v>72</v>
      </c>
      <c r="K260" s="25">
        <v>8</v>
      </c>
      <c r="L260" s="25">
        <v>3500</v>
      </c>
      <c r="M260" s="29">
        <v>0.1</v>
      </c>
      <c r="N260" s="25">
        <v>25200</v>
      </c>
      <c r="O260" s="25">
        <v>14957.71</v>
      </c>
      <c r="P260" s="25">
        <v>10242.290000000001</v>
      </c>
      <c r="Q260" s="21">
        <v>40.64</v>
      </c>
      <c r="R260" s="11" t="s">
        <v>41</v>
      </c>
      <c r="S260" s="11" t="s">
        <v>74</v>
      </c>
      <c r="T260" s="11" t="s">
        <v>63</v>
      </c>
      <c r="U260" s="11" t="s">
        <v>44</v>
      </c>
      <c r="V260" s="11">
        <v>2025</v>
      </c>
      <c r="W260" s="11" t="s">
        <v>194</v>
      </c>
      <c r="X260" s="11">
        <v>7</v>
      </c>
      <c r="Y260" s="10">
        <v>45965</v>
      </c>
      <c r="Z260" s="11" t="s">
        <v>47</v>
      </c>
      <c r="AA260" s="11" t="s">
        <v>48</v>
      </c>
      <c r="AB260" s="11" t="s">
        <v>78</v>
      </c>
      <c r="AC260" s="11" t="s">
        <v>50</v>
      </c>
      <c r="AD260" s="11">
        <v>2</v>
      </c>
      <c r="AE260" s="11" t="s">
        <v>2220</v>
      </c>
      <c r="AF260" s="11" t="s">
        <v>2236</v>
      </c>
      <c r="AG260" s="25"/>
      <c r="AH260" s="11"/>
      <c r="AI260" s="11"/>
      <c r="AJ260" s="11"/>
      <c r="AK260" s="11"/>
      <c r="AL260" s="11"/>
      <c r="AM260" s="11" t="str">
        <f t="shared" si="24"/>
        <v>Good</v>
      </c>
      <c r="AN260" s="11" t="str" cm="1">
        <f t="array" ref="AN260">_xlfn.IFS(N260&lt;10000,"Low",N260&lt;30000,"Medium",N260&gt;=30000,"High")</f>
        <v>Medium</v>
      </c>
      <c r="AO260" s="11" t="str">
        <f t="shared" si="25"/>
        <v>No</v>
      </c>
      <c r="AP260" s="11" t="str">
        <f t="shared" si="26"/>
        <v>Yes</v>
      </c>
      <c r="AQ260" s="11">
        <f t="shared" si="27"/>
        <v>0.40644007936507942</v>
      </c>
      <c r="AR260" s="33"/>
      <c r="AS260" s="33"/>
      <c r="AT260" s="33"/>
      <c r="AU260" s="33"/>
      <c r="AV260" s="33"/>
      <c r="AW260" s="33"/>
      <c r="AX260" s="33" t="str">
        <f t="shared" si="28"/>
        <v>Good</v>
      </c>
    </row>
    <row r="261" spans="1:50">
      <c r="A261" s="9" t="s">
        <v>1371</v>
      </c>
      <c r="B261" s="10">
        <v>45751</v>
      </c>
      <c r="C261" s="11" t="s">
        <v>1372</v>
      </c>
      <c r="D261" s="11" t="s">
        <v>710</v>
      </c>
      <c r="E261" s="11" t="s">
        <v>103</v>
      </c>
      <c r="F261" s="11" t="s">
        <v>104</v>
      </c>
      <c r="G261" s="11" t="s">
        <v>104</v>
      </c>
      <c r="H261" s="11" t="s">
        <v>58</v>
      </c>
      <c r="I261" s="11" t="s">
        <v>95</v>
      </c>
      <c r="J261" s="11" t="s">
        <v>344</v>
      </c>
      <c r="K261" s="25">
        <v>5</v>
      </c>
      <c r="L261" s="25">
        <v>9000</v>
      </c>
      <c r="M261" s="29">
        <v>0.2</v>
      </c>
      <c r="N261" s="25">
        <v>36000</v>
      </c>
      <c r="O261" s="25">
        <v>23608.87</v>
      </c>
      <c r="P261" s="25">
        <v>12391.13</v>
      </c>
      <c r="Q261" s="21">
        <v>34.42</v>
      </c>
      <c r="R261" s="11" t="s">
        <v>73</v>
      </c>
      <c r="S261" s="11" t="s">
        <v>42</v>
      </c>
      <c r="T261" s="11" t="s">
        <v>75</v>
      </c>
      <c r="U261" s="11" t="s">
        <v>44</v>
      </c>
      <c r="V261" s="11">
        <v>2025</v>
      </c>
      <c r="W261" s="11" t="s">
        <v>194</v>
      </c>
      <c r="X261" s="11">
        <v>6</v>
      </c>
      <c r="Y261" s="10">
        <v>45934</v>
      </c>
      <c r="Z261" s="11" t="s">
        <v>47</v>
      </c>
      <c r="AA261" s="11" t="s">
        <v>90</v>
      </c>
      <c r="AB261" s="11" t="s">
        <v>49</v>
      </c>
      <c r="AC261" s="11" t="s">
        <v>121</v>
      </c>
      <c r="AD261" s="11">
        <v>2</v>
      </c>
      <c r="AE261" s="11" t="s">
        <v>2237</v>
      </c>
      <c r="AF261" s="11" t="s">
        <v>2230</v>
      </c>
      <c r="AG261" s="25"/>
      <c r="AH261" s="11"/>
      <c r="AI261" s="11"/>
      <c r="AJ261" s="11"/>
      <c r="AK261" s="11"/>
      <c r="AL261" s="11"/>
      <c r="AM261" s="11" t="str">
        <f t="shared" si="24"/>
        <v>Good</v>
      </c>
      <c r="AN261" s="11" t="str" cm="1">
        <f t="array" ref="AN261">_xlfn.IFS(N261&lt;10000,"Low",N261&lt;30000,"Medium",N261&gt;=30000,"High")</f>
        <v>High</v>
      </c>
      <c r="AO261" s="11" t="str">
        <f t="shared" si="25"/>
        <v>Yes</v>
      </c>
      <c r="AP261" s="11" t="str">
        <f t="shared" si="26"/>
        <v>Yes</v>
      </c>
      <c r="AQ261" s="11">
        <f t="shared" si="27"/>
        <v>0.34419805555555555</v>
      </c>
      <c r="AR261" s="33"/>
      <c r="AS261" s="33"/>
      <c r="AT261" s="33"/>
      <c r="AU261" s="33"/>
      <c r="AV261" s="33"/>
      <c r="AW261" s="33"/>
      <c r="AX261" s="33" t="str">
        <f t="shared" si="28"/>
        <v>Good</v>
      </c>
    </row>
    <row r="262" spans="1:50">
      <c r="A262" s="9" t="s">
        <v>1952</v>
      </c>
      <c r="B262" s="10">
        <v>45751</v>
      </c>
      <c r="C262" s="11" t="s">
        <v>1271</v>
      </c>
      <c r="D262" s="11" t="s">
        <v>1832</v>
      </c>
      <c r="E262" s="11" t="s">
        <v>55</v>
      </c>
      <c r="F262" s="11" t="s">
        <v>36</v>
      </c>
      <c r="G262" s="11" t="s">
        <v>37</v>
      </c>
      <c r="H262" s="11" t="s">
        <v>38</v>
      </c>
      <c r="I262" s="11" t="s">
        <v>39</v>
      </c>
      <c r="J262" s="11" t="s">
        <v>165</v>
      </c>
      <c r="K262" s="25">
        <v>2</v>
      </c>
      <c r="L262" s="25">
        <v>12000</v>
      </c>
      <c r="M262" s="29">
        <v>0</v>
      </c>
      <c r="N262" s="25">
        <v>24000</v>
      </c>
      <c r="O262" s="25">
        <v>17883.55</v>
      </c>
      <c r="P262" s="25">
        <v>6116.45</v>
      </c>
      <c r="Q262" s="21">
        <v>25.49</v>
      </c>
      <c r="R262" s="11" t="s">
        <v>166</v>
      </c>
      <c r="S262" s="11" t="s">
        <v>62</v>
      </c>
      <c r="T262" s="11" t="s">
        <v>75</v>
      </c>
      <c r="U262" s="11" t="s">
        <v>44</v>
      </c>
      <c r="V262" s="11">
        <v>2025</v>
      </c>
      <c r="W262" s="11" t="s">
        <v>194</v>
      </c>
      <c r="X262" s="11">
        <v>3</v>
      </c>
      <c r="Y262" s="10">
        <v>45842</v>
      </c>
      <c r="Z262" s="11" t="s">
        <v>47</v>
      </c>
      <c r="AA262" s="11" t="s">
        <v>90</v>
      </c>
      <c r="AB262" s="11" t="s">
        <v>111</v>
      </c>
      <c r="AC262" s="11" t="s">
        <v>50</v>
      </c>
      <c r="AD262" s="11">
        <v>2</v>
      </c>
      <c r="AE262" s="11" t="s">
        <v>2216</v>
      </c>
      <c r="AF262" s="11" t="s">
        <v>2214</v>
      </c>
      <c r="AG262" s="25"/>
      <c r="AH262" s="11"/>
      <c r="AI262" s="11"/>
      <c r="AJ262" s="11"/>
      <c r="AK262" s="11"/>
      <c r="AL262" s="11"/>
      <c r="AM262" s="11" t="str">
        <f t="shared" si="24"/>
        <v>Needs Improvement</v>
      </c>
      <c r="AN262" s="11" t="str" cm="1">
        <f t="array" ref="AN262">_xlfn.IFS(N262&lt;10000,"Low",N262&lt;30000,"Medium",N262&gt;=30000,"High")</f>
        <v>Medium</v>
      </c>
      <c r="AO262" s="11" t="str">
        <f t="shared" si="25"/>
        <v>No</v>
      </c>
      <c r="AP262" s="11" t="str">
        <f t="shared" si="26"/>
        <v>No</v>
      </c>
      <c r="AQ262" s="11">
        <f t="shared" si="27"/>
        <v>0.25485208333333331</v>
      </c>
      <c r="AR262" s="33"/>
      <c r="AS262" s="33"/>
      <c r="AT262" s="33"/>
      <c r="AU262" s="33"/>
      <c r="AV262" s="33"/>
      <c r="AW262" s="33"/>
      <c r="AX262" s="33" t="str">
        <f t="shared" si="28"/>
        <v>Average</v>
      </c>
    </row>
    <row r="263" spans="1:50">
      <c r="A263" s="9" t="s">
        <v>1759</v>
      </c>
      <c r="B263" s="10">
        <v>45752</v>
      </c>
      <c r="C263" s="11" t="s">
        <v>885</v>
      </c>
      <c r="D263" s="11" t="s">
        <v>725</v>
      </c>
      <c r="E263" s="11" t="s">
        <v>103</v>
      </c>
      <c r="F263" s="11" t="s">
        <v>36</v>
      </c>
      <c r="G263" s="11" t="s">
        <v>37</v>
      </c>
      <c r="H263" s="11" t="s">
        <v>38</v>
      </c>
      <c r="I263" s="11" t="s">
        <v>59</v>
      </c>
      <c r="J263" s="11" t="s">
        <v>328</v>
      </c>
      <c r="K263" s="25">
        <v>6</v>
      </c>
      <c r="L263" s="25">
        <v>500</v>
      </c>
      <c r="M263" s="29">
        <v>0.05</v>
      </c>
      <c r="N263" s="25">
        <v>2850</v>
      </c>
      <c r="O263" s="25">
        <v>1631.67</v>
      </c>
      <c r="P263" s="25">
        <v>1218.33</v>
      </c>
      <c r="Q263" s="21">
        <v>42.75</v>
      </c>
      <c r="R263" s="11" t="s">
        <v>41</v>
      </c>
      <c r="S263" s="11" t="s">
        <v>62</v>
      </c>
      <c r="T263" s="11" t="s">
        <v>159</v>
      </c>
      <c r="U263" s="11" t="s">
        <v>119</v>
      </c>
      <c r="V263" s="11">
        <v>2025</v>
      </c>
      <c r="W263" s="11" t="s">
        <v>45</v>
      </c>
      <c r="X263" s="11">
        <v>2</v>
      </c>
      <c r="Y263" s="10">
        <v>45813</v>
      </c>
      <c r="Z263" s="11" t="s">
        <v>110</v>
      </c>
      <c r="AA263" s="11" t="s">
        <v>48</v>
      </c>
      <c r="AB263" s="11" t="s">
        <v>49</v>
      </c>
      <c r="AC263" s="11" t="s">
        <v>50</v>
      </c>
      <c r="AD263" s="11">
        <v>1</v>
      </c>
      <c r="AE263" s="11" t="s">
        <v>2209</v>
      </c>
      <c r="AF263" s="11" t="s">
        <v>2210</v>
      </c>
      <c r="AG263" s="25"/>
      <c r="AH263" s="11"/>
      <c r="AI263" s="11"/>
      <c r="AJ263" s="11"/>
      <c r="AK263" s="11"/>
      <c r="AL263" s="11"/>
      <c r="AM263" s="11" t="str">
        <f t="shared" si="24"/>
        <v>Good</v>
      </c>
      <c r="AN263" s="11" t="str" cm="1">
        <f t="array" ref="AN263">_xlfn.IFS(N263&lt;10000,"Low",N263&lt;30000,"Medium",N263&gt;=30000,"High")</f>
        <v>Low</v>
      </c>
      <c r="AO263" s="11" t="str">
        <f t="shared" si="25"/>
        <v>No</v>
      </c>
      <c r="AP263" s="11" t="str">
        <f t="shared" si="26"/>
        <v>No</v>
      </c>
      <c r="AQ263" s="11">
        <f t="shared" si="27"/>
        <v>0.42748421052631574</v>
      </c>
      <c r="AR263" s="33"/>
      <c r="AS263" s="33"/>
      <c r="AT263" s="33"/>
      <c r="AU263" s="33"/>
      <c r="AV263" s="33"/>
      <c r="AW263" s="33"/>
      <c r="AX263" s="33" t="str">
        <f t="shared" si="28"/>
        <v>Low</v>
      </c>
    </row>
    <row r="264" spans="1:50">
      <c r="A264" s="9" t="s">
        <v>2066</v>
      </c>
      <c r="B264" s="10">
        <v>45752</v>
      </c>
      <c r="C264" s="11" t="s">
        <v>477</v>
      </c>
      <c r="D264" s="11" t="s">
        <v>699</v>
      </c>
      <c r="E264" s="11" t="s">
        <v>103</v>
      </c>
      <c r="F264" s="11" t="s">
        <v>131</v>
      </c>
      <c r="G264" s="11" t="s">
        <v>132</v>
      </c>
      <c r="H264" s="11" t="s">
        <v>171</v>
      </c>
      <c r="I264" s="11" t="s">
        <v>71</v>
      </c>
      <c r="J264" s="11" t="s">
        <v>172</v>
      </c>
      <c r="K264" s="25">
        <v>1</v>
      </c>
      <c r="L264" s="25">
        <v>3500</v>
      </c>
      <c r="M264" s="29">
        <v>0.05</v>
      </c>
      <c r="N264" s="25">
        <v>3325</v>
      </c>
      <c r="O264" s="25">
        <v>2152.83</v>
      </c>
      <c r="P264" s="25">
        <v>1172.17</v>
      </c>
      <c r="Q264" s="21">
        <v>35.25</v>
      </c>
      <c r="R264" s="11" t="s">
        <v>166</v>
      </c>
      <c r="S264" s="11" t="s">
        <v>74</v>
      </c>
      <c r="T264" s="11" t="s">
        <v>118</v>
      </c>
      <c r="U264" s="11" t="s">
        <v>119</v>
      </c>
      <c r="V264" s="11">
        <v>2025</v>
      </c>
      <c r="W264" s="11" t="s">
        <v>45</v>
      </c>
      <c r="X264" s="11">
        <v>1</v>
      </c>
      <c r="Y264" s="10">
        <v>45782</v>
      </c>
      <c r="Z264" s="11" t="s">
        <v>47</v>
      </c>
      <c r="AA264" s="11" t="s">
        <v>67</v>
      </c>
      <c r="AB264" s="11" t="s">
        <v>111</v>
      </c>
      <c r="AC264" s="11" t="s">
        <v>50</v>
      </c>
      <c r="AD264" s="11">
        <v>4</v>
      </c>
      <c r="AE264" s="11" t="s">
        <v>2227</v>
      </c>
      <c r="AF264" s="11" t="s">
        <v>2210</v>
      </c>
      <c r="AG264" s="25"/>
      <c r="AH264" s="11"/>
      <c r="AI264" s="11"/>
      <c r="AJ264" s="11"/>
      <c r="AK264" s="11"/>
      <c r="AL264" s="11"/>
      <c r="AM264" s="11" t="str">
        <f t="shared" si="24"/>
        <v>Good</v>
      </c>
      <c r="AN264" s="11" t="str" cm="1">
        <f t="array" ref="AN264">_xlfn.IFS(N264&lt;10000,"Low",N264&lt;30000,"Medium",N264&gt;=30000,"High")</f>
        <v>Low</v>
      </c>
      <c r="AO264" s="11" t="str">
        <f t="shared" si="25"/>
        <v>No</v>
      </c>
      <c r="AP264" s="11" t="str">
        <f t="shared" si="26"/>
        <v>Yes</v>
      </c>
      <c r="AQ264" s="11">
        <f t="shared" si="27"/>
        <v>0.3525323308270677</v>
      </c>
      <c r="AR264" s="33"/>
      <c r="AS264" s="33"/>
      <c r="AT264" s="33"/>
      <c r="AU264" s="33"/>
      <c r="AV264" s="33"/>
      <c r="AW264" s="33"/>
      <c r="AX264" s="33" t="str">
        <f t="shared" si="28"/>
        <v>Low</v>
      </c>
    </row>
    <row r="265" spans="1:50">
      <c r="A265" s="9" t="s">
        <v>1042</v>
      </c>
      <c r="B265" s="10">
        <v>45753</v>
      </c>
      <c r="C265" s="11" t="s">
        <v>665</v>
      </c>
      <c r="D265" s="11" t="s">
        <v>1043</v>
      </c>
      <c r="E265" s="11" t="s">
        <v>35</v>
      </c>
      <c r="F265" s="11" t="s">
        <v>36</v>
      </c>
      <c r="G265" s="11" t="s">
        <v>37</v>
      </c>
      <c r="H265" s="11" t="s">
        <v>38</v>
      </c>
      <c r="I265" s="11" t="s">
        <v>39</v>
      </c>
      <c r="J265" s="11" t="s">
        <v>40</v>
      </c>
      <c r="K265" s="25">
        <v>7</v>
      </c>
      <c r="L265" s="25">
        <v>12000</v>
      </c>
      <c r="M265" s="29">
        <v>0.15</v>
      </c>
      <c r="N265" s="25">
        <v>71400</v>
      </c>
      <c r="O265" s="25">
        <v>48613.32</v>
      </c>
      <c r="P265" s="25">
        <v>22786.68</v>
      </c>
      <c r="Q265" s="21">
        <v>31.91</v>
      </c>
      <c r="R265" s="11" t="s">
        <v>41</v>
      </c>
      <c r="S265" s="11" t="s">
        <v>62</v>
      </c>
      <c r="T265" s="11" t="s">
        <v>107</v>
      </c>
      <c r="U265" s="11" t="s">
        <v>160</v>
      </c>
      <c r="V265" s="11">
        <v>2025</v>
      </c>
      <c r="W265" s="11" t="s">
        <v>134</v>
      </c>
      <c r="X265" s="11">
        <v>2</v>
      </c>
      <c r="Y265" s="10">
        <v>45814</v>
      </c>
      <c r="Z265" s="11" t="s">
        <v>47</v>
      </c>
      <c r="AA265" s="11" t="s">
        <v>48</v>
      </c>
      <c r="AB265" s="11" t="s">
        <v>49</v>
      </c>
      <c r="AC265" s="11" t="s">
        <v>121</v>
      </c>
      <c r="AD265" s="11">
        <v>2</v>
      </c>
      <c r="AE265" s="11" t="s">
        <v>2240</v>
      </c>
      <c r="AF265" s="11" t="s">
        <v>2224</v>
      </c>
      <c r="AG265" s="25"/>
      <c r="AH265" s="11"/>
      <c r="AI265" s="11"/>
      <c r="AJ265" s="11"/>
      <c r="AK265" s="11"/>
      <c r="AL265" s="11"/>
      <c r="AM265" s="11" t="str">
        <f t="shared" si="24"/>
        <v>Good</v>
      </c>
      <c r="AN265" s="11" t="str" cm="1">
        <f t="array" ref="AN265">_xlfn.IFS(N265&lt;10000,"Low",N265&lt;30000,"Medium",N265&gt;=30000,"High")</f>
        <v>High</v>
      </c>
      <c r="AO265" s="11" t="str">
        <f t="shared" si="25"/>
        <v>Yes</v>
      </c>
      <c r="AP265" s="11" t="str">
        <f t="shared" si="26"/>
        <v>No</v>
      </c>
      <c r="AQ265" s="11">
        <f t="shared" si="27"/>
        <v>0.31914117647058826</v>
      </c>
      <c r="AR265" s="33"/>
      <c r="AS265" s="33"/>
      <c r="AT265" s="33"/>
      <c r="AU265" s="33"/>
      <c r="AV265" s="33"/>
      <c r="AW265" s="33"/>
      <c r="AX265" s="33" t="str">
        <f t="shared" si="28"/>
        <v>Excellent</v>
      </c>
    </row>
    <row r="266" spans="1:50">
      <c r="A266" s="9" t="s">
        <v>1061</v>
      </c>
      <c r="B266" s="10">
        <v>45754</v>
      </c>
      <c r="C266" s="11" t="s">
        <v>1062</v>
      </c>
      <c r="D266" s="11" t="s">
        <v>1063</v>
      </c>
      <c r="E266" s="11" t="s">
        <v>55</v>
      </c>
      <c r="F266" s="11" t="s">
        <v>36</v>
      </c>
      <c r="G266" s="11" t="s">
        <v>37</v>
      </c>
      <c r="H266" s="11" t="s">
        <v>94</v>
      </c>
      <c r="I266" s="11" t="s">
        <v>71</v>
      </c>
      <c r="J266" s="11" t="s">
        <v>158</v>
      </c>
      <c r="K266" s="25">
        <v>1</v>
      </c>
      <c r="L266" s="25">
        <v>1200</v>
      </c>
      <c r="M266" s="29">
        <v>0.2</v>
      </c>
      <c r="N266" s="25">
        <v>960</v>
      </c>
      <c r="O266" s="25">
        <v>672.56</v>
      </c>
      <c r="P266" s="25">
        <v>287.44</v>
      </c>
      <c r="Q266" s="21">
        <v>29.94</v>
      </c>
      <c r="R266" s="11" t="s">
        <v>166</v>
      </c>
      <c r="S266" s="11" t="s">
        <v>62</v>
      </c>
      <c r="T266" s="11" t="s">
        <v>159</v>
      </c>
      <c r="U266" s="11" t="s">
        <v>151</v>
      </c>
      <c r="V266" s="11">
        <v>2025</v>
      </c>
      <c r="W266" s="11" t="s">
        <v>194</v>
      </c>
      <c r="X266" s="11">
        <v>7</v>
      </c>
      <c r="Y266" s="10">
        <v>45968</v>
      </c>
      <c r="Z266" s="11" t="s">
        <v>47</v>
      </c>
      <c r="AA266" s="11" t="s">
        <v>67</v>
      </c>
      <c r="AB266" s="11" t="s">
        <v>49</v>
      </c>
      <c r="AC266" s="11" t="s">
        <v>50</v>
      </c>
      <c r="AD266" s="11">
        <v>3</v>
      </c>
      <c r="AE266" s="11" t="s">
        <v>2226</v>
      </c>
      <c r="AF266" s="11" t="s">
        <v>2212</v>
      </c>
      <c r="AG266" s="25"/>
      <c r="AH266" s="11"/>
      <c r="AI266" s="11"/>
      <c r="AJ266" s="11"/>
      <c r="AK266" s="11"/>
      <c r="AL266" s="11"/>
      <c r="AM266" s="11" t="str">
        <f t="shared" si="24"/>
        <v>Needs Improvement</v>
      </c>
      <c r="AN266" s="11" t="str" cm="1">
        <f t="array" ref="AN266">_xlfn.IFS(N266&lt;10000,"Low",N266&lt;30000,"Medium",N266&gt;=30000,"High")</f>
        <v>Low</v>
      </c>
      <c r="AO266" s="11" t="str">
        <f t="shared" si="25"/>
        <v>No</v>
      </c>
      <c r="AP266" s="11" t="str">
        <f t="shared" si="26"/>
        <v>No</v>
      </c>
      <c r="AQ266" s="11">
        <f t="shared" si="27"/>
        <v>0.29941666666666666</v>
      </c>
      <c r="AR266" s="33"/>
      <c r="AS266" s="33"/>
      <c r="AT266" s="33"/>
      <c r="AU266" s="33"/>
      <c r="AV266" s="33"/>
      <c r="AW266" s="33"/>
      <c r="AX266" s="33" t="str">
        <f t="shared" si="28"/>
        <v>Low</v>
      </c>
    </row>
    <row r="267" spans="1:50">
      <c r="A267" s="9" t="s">
        <v>1169</v>
      </c>
      <c r="B267" s="10">
        <v>45754</v>
      </c>
      <c r="C267" s="11" t="s">
        <v>1132</v>
      </c>
      <c r="D267" s="11" t="s">
        <v>1170</v>
      </c>
      <c r="E267" s="11" t="s">
        <v>35</v>
      </c>
      <c r="F267" s="11" t="s">
        <v>82</v>
      </c>
      <c r="G267" s="11" t="s">
        <v>83</v>
      </c>
      <c r="H267" s="11" t="s">
        <v>38</v>
      </c>
      <c r="I267" s="11" t="s">
        <v>59</v>
      </c>
      <c r="J267" s="11" t="s">
        <v>133</v>
      </c>
      <c r="K267" s="25">
        <v>1</v>
      </c>
      <c r="L267" s="25">
        <v>500</v>
      </c>
      <c r="M267" s="29">
        <v>0</v>
      </c>
      <c r="N267" s="25">
        <v>500</v>
      </c>
      <c r="O267" s="25">
        <v>381.04</v>
      </c>
      <c r="P267" s="25">
        <v>118.96</v>
      </c>
      <c r="Q267" s="21">
        <v>23.79</v>
      </c>
      <c r="R267" s="11" t="s">
        <v>166</v>
      </c>
      <c r="S267" s="11" t="s">
        <v>42</v>
      </c>
      <c r="T267" s="11" t="s">
        <v>63</v>
      </c>
      <c r="U267" s="11" t="s">
        <v>151</v>
      </c>
      <c r="V267" s="11">
        <v>2025</v>
      </c>
      <c r="W267" s="11" t="s">
        <v>194</v>
      </c>
      <c r="X267" s="11">
        <v>3</v>
      </c>
      <c r="Y267" s="10">
        <v>45845</v>
      </c>
      <c r="Z267" s="11" t="s">
        <v>47</v>
      </c>
      <c r="AA267" s="11" t="s">
        <v>67</v>
      </c>
      <c r="AB267" s="11" t="s">
        <v>78</v>
      </c>
      <c r="AC267" s="11" t="s">
        <v>121</v>
      </c>
      <c r="AD267" s="11">
        <v>3</v>
      </c>
      <c r="AE267" s="11" t="s">
        <v>2227</v>
      </c>
      <c r="AF267" s="11" t="s">
        <v>2224</v>
      </c>
      <c r="AG267" s="25"/>
      <c r="AH267" s="11"/>
      <c r="AI267" s="11"/>
      <c r="AJ267" s="11"/>
      <c r="AK267" s="11"/>
      <c r="AL267" s="11"/>
      <c r="AM267" s="11" t="str">
        <f t="shared" si="24"/>
        <v>Needs Improvement</v>
      </c>
      <c r="AN267" s="11" t="str" cm="1">
        <f t="array" ref="AN267">_xlfn.IFS(N267&lt;10000,"Low",N267&lt;30000,"Medium",N267&gt;=30000,"High")</f>
        <v>Low</v>
      </c>
      <c r="AO267" s="11" t="str">
        <f t="shared" si="25"/>
        <v>No</v>
      </c>
      <c r="AP267" s="11" t="str">
        <f t="shared" si="26"/>
        <v>Yes</v>
      </c>
      <c r="AQ267" s="11">
        <f t="shared" si="27"/>
        <v>0.23791999999999999</v>
      </c>
      <c r="AR267" s="33"/>
      <c r="AS267" s="33"/>
      <c r="AT267" s="33"/>
      <c r="AU267" s="33"/>
      <c r="AV267" s="33"/>
      <c r="AW267" s="33"/>
      <c r="AX267" s="33" t="str">
        <f t="shared" si="28"/>
        <v>Low</v>
      </c>
    </row>
    <row r="268" spans="1:50">
      <c r="A268" s="9" t="s">
        <v>1659</v>
      </c>
      <c r="B268" s="10">
        <v>45754</v>
      </c>
      <c r="C268" s="11" t="s">
        <v>1321</v>
      </c>
      <c r="D268" s="11" t="s">
        <v>1480</v>
      </c>
      <c r="E268" s="11" t="s">
        <v>55</v>
      </c>
      <c r="F268" s="11" t="s">
        <v>149</v>
      </c>
      <c r="G268" s="11" t="s">
        <v>150</v>
      </c>
      <c r="H268" s="11" t="s">
        <v>171</v>
      </c>
      <c r="I268" s="11" t="s">
        <v>71</v>
      </c>
      <c r="J268" s="11" t="s">
        <v>158</v>
      </c>
      <c r="K268" s="25">
        <v>4</v>
      </c>
      <c r="L268" s="25">
        <v>3500</v>
      </c>
      <c r="M268" s="29">
        <v>0.05</v>
      </c>
      <c r="N268" s="25">
        <v>13300</v>
      </c>
      <c r="O268" s="25">
        <v>9735.7099999999991</v>
      </c>
      <c r="P268" s="25">
        <v>3564.29</v>
      </c>
      <c r="Q268" s="21">
        <v>26.8</v>
      </c>
      <c r="R268" s="11" t="s">
        <v>61</v>
      </c>
      <c r="S268" s="11" t="s">
        <v>62</v>
      </c>
      <c r="T268" s="11" t="s">
        <v>173</v>
      </c>
      <c r="U268" s="11" t="s">
        <v>151</v>
      </c>
      <c r="V268" s="11">
        <v>2025</v>
      </c>
      <c r="W268" s="11" t="s">
        <v>194</v>
      </c>
      <c r="X268" s="11">
        <v>4</v>
      </c>
      <c r="Y268" s="10">
        <v>45876</v>
      </c>
      <c r="Z268" s="11" t="s">
        <v>110</v>
      </c>
      <c r="AA268" s="11" t="s">
        <v>90</v>
      </c>
      <c r="AB268" s="11" t="s">
        <v>78</v>
      </c>
      <c r="AC268" s="11" t="s">
        <v>50</v>
      </c>
      <c r="AD268" s="11">
        <v>5</v>
      </c>
      <c r="AE268" s="11" t="s">
        <v>2233</v>
      </c>
      <c r="AF268" s="11" t="s">
        <v>2249</v>
      </c>
      <c r="AG268" s="25"/>
      <c r="AH268" s="11"/>
      <c r="AI268" s="11"/>
      <c r="AJ268" s="11"/>
      <c r="AK268" s="11"/>
      <c r="AL268" s="11"/>
      <c r="AM268" s="11" t="str">
        <f t="shared" si="24"/>
        <v>Needs Improvement</v>
      </c>
      <c r="AN268" s="11" t="str" cm="1">
        <f t="array" ref="AN268">_xlfn.IFS(N268&lt;10000,"Low",N268&lt;30000,"Medium",N268&gt;=30000,"High")</f>
        <v>Medium</v>
      </c>
      <c r="AO268" s="11" t="str">
        <f t="shared" si="25"/>
        <v>No</v>
      </c>
      <c r="AP268" s="11" t="str">
        <f t="shared" si="26"/>
        <v>No</v>
      </c>
      <c r="AQ268" s="11">
        <f t="shared" si="27"/>
        <v>0.26799172932330828</v>
      </c>
      <c r="AR268" s="33"/>
      <c r="AS268" s="33"/>
      <c r="AT268" s="33"/>
      <c r="AU268" s="33"/>
      <c r="AV268" s="33"/>
      <c r="AW268" s="33"/>
      <c r="AX268" s="33" t="str">
        <f t="shared" si="28"/>
        <v>Low</v>
      </c>
    </row>
    <row r="269" spans="1:50">
      <c r="A269" s="9" t="s">
        <v>1667</v>
      </c>
      <c r="B269" s="10">
        <v>45754</v>
      </c>
      <c r="C269" s="11" t="s">
        <v>481</v>
      </c>
      <c r="D269" s="11" t="s">
        <v>448</v>
      </c>
      <c r="E269" s="11" t="s">
        <v>55</v>
      </c>
      <c r="F269" s="11" t="s">
        <v>131</v>
      </c>
      <c r="G269" s="11" t="s">
        <v>132</v>
      </c>
      <c r="H269" s="11" t="s">
        <v>94</v>
      </c>
      <c r="I269" s="11" t="s">
        <v>95</v>
      </c>
      <c r="J269" s="11" t="s">
        <v>344</v>
      </c>
      <c r="K269" s="25">
        <v>10</v>
      </c>
      <c r="L269" s="25">
        <v>2500</v>
      </c>
      <c r="M269" s="29">
        <v>0.2</v>
      </c>
      <c r="N269" s="25">
        <v>20000</v>
      </c>
      <c r="O269" s="25">
        <v>13637.18</v>
      </c>
      <c r="P269" s="25">
        <v>6362.82</v>
      </c>
      <c r="Q269" s="21">
        <v>31.81</v>
      </c>
      <c r="R269" s="11" t="s">
        <v>166</v>
      </c>
      <c r="S269" s="11" t="s">
        <v>42</v>
      </c>
      <c r="T269" s="11" t="s">
        <v>118</v>
      </c>
      <c r="U269" s="11" t="s">
        <v>151</v>
      </c>
      <c r="V269" s="11">
        <v>2025</v>
      </c>
      <c r="W269" s="11" t="s">
        <v>194</v>
      </c>
      <c r="X269" s="11">
        <v>4</v>
      </c>
      <c r="Y269" s="10">
        <v>45876</v>
      </c>
      <c r="Z269" s="11" t="s">
        <v>47</v>
      </c>
      <c r="AA269" s="11" t="s">
        <v>67</v>
      </c>
      <c r="AB269" s="11" t="s">
        <v>78</v>
      </c>
      <c r="AC269" s="11" t="s">
        <v>121</v>
      </c>
      <c r="AD269" s="11">
        <v>1</v>
      </c>
      <c r="AE269" s="11" t="s">
        <v>159</v>
      </c>
      <c r="AF269" s="11" t="s">
        <v>2212</v>
      </c>
      <c r="AG269" s="25"/>
      <c r="AH269" s="11"/>
      <c r="AI269" s="11"/>
      <c r="AJ269" s="11"/>
      <c r="AK269" s="11"/>
      <c r="AL269" s="11"/>
      <c r="AM269" s="11" t="str">
        <f t="shared" si="24"/>
        <v>Good</v>
      </c>
      <c r="AN269" s="11" t="str" cm="1">
        <f t="array" ref="AN269">_xlfn.IFS(N269&lt;10000,"Low",N269&lt;30000,"Medium",N269&gt;=30000,"High")</f>
        <v>Medium</v>
      </c>
      <c r="AO269" s="11" t="str">
        <f t="shared" si="25"/>
        <v>No</v>
      </c>
      <c r="AP269" s="11" t="str">
        <f t="shared" si="26"/>
        <v>Yes</v>
      </c>
      <c r="AQ269" s="11">
        <f t="shared" si="27"/>
        <v>0.31814100000000001</v>
      </c>
      <c r="AR269" s="33"/>
      <c r="AS269" s="33"/>
      <c r="AT269" s="33"/>
      <c r="AU269" s="33"/>
      <c r="AV269" s="33"/>
      <c r="AW269" s="33"/>
      <c r="AX269" s="33" t="str">
        <f t="shared" si="28"/>
        <v>Average</v>
      </c>
    </row>
    <row r="270" spans="1:50">
      <c r="A270" s="9" t="s">
        <v>1638</v>
      </c>
      <c r="B270" s="10">
        <v>45755</v>
      </c>
      <c r="C270" s="11" t="s">
        <v>1262</v>
      </c>
      <c r="D270" s="11" t="s">
        <v>183</v>
      </c>
      <c r="E270" s="11" t="s">
        <v>35</v>
      </c>
      <c r="F270" s="11" t="s">
        <v>36</v>
      </c>
      <c r="G270" s="11" t="s">
        <v>37</v>
      </c>
      <c r="H270" s="11" t="s">
        <v>38</v>
      </c>
      <c r="I270" s="11" t="s">
        <v>59</v>
      </c>
      <c r="J270" s="11" t="s">
        <v>328</v>
      </c>
      <c r="K270" s="25">
        <v>4</v>
      </c>
      <c r="L270" s="25">
        <v>2000</v>
      </c>
      <c r="M270" s="29">
        <v>0.2</v>
      </c>
      <c r="N270" s="25">
        <v>6400</v>
      </c>
      <c r="O270" s="25">
        <v>5028.99</v>
      </c>
      <c r="P270" s="25">
        <v>1371.01</v>
      </c>
      <c r="Q270" s="21">
        <v>21.42</v>
      </c>
      <c r="R270" s="11" t="s">
        <v>166</v>
      </c>
      <c r="S270" s="11" t="s">
        <v>74</v>
      </c>
      <c r="T270" s="11" t="s">
        <v>159</v>
      </c>
      <c r="U270" s="11" t="s">
        <v>218</v>
      </c>
      <c r="V270" s="11">
        <v>2025</v>
      </c>
      <c r="W270" s="11" t="s">
        <v>126</v>
      </c>
      <c r="X270" s="11">
        <v>1</v>
      </c>
      <c r="Y270" s="10">
        <v>45785</v>
      </c>
      <c r="Z270" s="11" t="s">
        <v>47</v>
      </c>
      <c r="AA270" s="11" t="s">
        <v>90</v>
      </c>
      <c r="AB270" s="11" t="s">
        <v>78</v>
      </c>
      <c r="AC270" s="11" t="s">
        <v>50</v>
      </c>
      <c r="AD270" s="11">
        <v>5</v>
      </c>
      <c r="AE270" s="11" t="s">
        <v>2226</v>
      </c>
      <c r="AF270" s="11" t="s">
        <v>2224</v>
      </c>
      <c r="AG270" s="25"/>
      <c r="AH270" s="11"/>
      <c r="AI270" s="11"/>
      <c r="AJ270" s="11"/>
      <c r="AK270" s="11"/>
      <c r="AL270" s="11"/>
      <c r="AM270" s="11" t="str">
        <f t="shared" si="24"/>
        <v>Needs Improvement</v>
      </c>
      <c r="AN270" s="11" t="str" cm="1">
        <f t="array" ref="AN270">_xlfn.IFS(N270&lt;10000,"Low",N270&lt;30000,"Medium",N270&gt;=30000,"High")</f>
        <v>Low</v>
      </c>
      <c r="AO270" s="11" t="str">
        <f t="shared" si="25"/>
        <v>No</v>
      </c>
      <c r="AP270" s="11" t="str">
        <f t="shared" si="26"/>
        <v>Yes</v>
      </c>
      <c r="AQ270" s="11">
        <f t="shared" si="27"/>
        <v>0.21422031250000001</v>
      </c>
      <c r="AR270" s="33"/>
      <c r="AS270" s="33"/>
      <c r="AT270" s="33"/>
      <c r="AU270" s="33"/>
      <c r="AV270" s="33"/>
      <c r="AW270" s="33"/>
      <c r="AX270" s="33" t="str">
        <f t="shared" si="28"/>
        <v>Low</v>
      </c>
    </row>
    <row r="271" spans="1:50">
      <c r="A271" s="9" t="s">
        <v>1706</v>
      </c>
      <c r="B271" s="10">
        <v>45755</v>
      </c>
      <c r="C271" s="11" t="s">
        <v>1001</v>
      </c>
      <c r="D271" s="11" t="s">
        <v>1637</v>
      </c>
      <c r="E271" s="11" t="s">
        <v>35</v>
      </c>
      <c r="F271" s="11" t="s">
        <v>116</v>
      </c>
      <c r="G271" s="11" t="s">
        <v>37</v>
      </c>
      <c r="H271" s="11" t="s">
        <v>38</v>
      </c>
      <c r="I271" s="11" t="s">
        <v>59</v>
      </c>
      <c r="J271" s="11" t="s">
        <v>60</v>
      </c>
      <c r="K271" s="25">
        <v>2</v>
      </c>
      <c r="L271" s="25">
        <v>1200</v>
      </c>
      <c r="M271" s="29">
        <v>0.15</v>
      </c>
      <c r="N271" s="25">
        <v>2040</v>
      </c>
      <c r="O271" s="25">
        <v>1634.39</v>
      </c>
      <c r="P271" s="25">
        <v>405.61</v>
      </c>
      <c r="Q271" s="21">
        <v>19.88</v>
      </c>
      <c r="R271" s="11" t="s">
        <v>106</v>
      </c>
      <c r="S271" s="11" t="s">
        <v>74</v>
      </c>
      <c r="T271" s="11" t="s">
        <v>97</v>
      </c>
      <c r="U271" s="11" t="s">
        <v>218</v>
      </c>
      <c r="V271" s="11">
        <v>2025</v>
      </c>
      <c r="W271" s="11" t="s">
        <v>126</v>
      </c>
      <c r="X271" s="11">
        <v>2</v>
      </c>
      <c r="Y271" s="10">
        <v>45816</v>
      </c>
      <c r="Z271" s="11" t="s">
        <v>89</v>
      </c>
      <c r="AA271" s="11" t="s">
        <v>48</v>
      </c>
      <c r="AB271" s="11" t="s">
        <v>111</v>
      </c>
      <c r="AC271" s="11" t="s">
        <v>121</v>
      </c>
      <c r="AD271" s="11">
        <v>2</v>
      </c>
      <c r="AE271" s="11" t="s">
        <v>2209</v>
      </c>
      <c r="AF271" s="11" t="s">
        <v>2230</v>
      </c>
      <c r="AG271" s="25"/>
      <c r="AH271" s="11"/>
      <c r="AI271" s="11"/>
      <c r="AJ271" s="11"/>
      <c r="AK271" s="11"/>
      <c r="AL271" s="11"/>
      <c r="AM271" s="11" t="str">
        <f t="shared" si="24"/>
        <v>Needs Improvement</v>
      </c>
      <c r="AN271" s="11" t="str" cm="1">
        <f t="array" ref="AN271">_xlfn.IFS(N271&lt;10000,"Low",N271&lt;30000,"Medium",N271&gt;=30000,"High")</f>
        <v>Low</v>
      </c>
      <c r="AO271" s="11" t="str">
        <f t="shared" si="25"/>
        <v>No</v>
      </c>
      <c r="AP271" s="11" t="str">
        <f t="shared" si="26"/>
        <v>Yes</v>
      </c>
      <c r="AQ271" s="11">
        <f t="shared" si="27"/>
        <v>0.19882843137254902</v>
      </c>
      <c r="AR271" s="33"/>
      <c r="AS271" s="33"/>
      <c r="AT271" s="33"/>
      <c r="AU271" s="33"/>
      <c r="AV271" s="33"/>
      <c r="AW271" s="33"/>
      <c r="AX271" s="33" t="str">
        <f t="shared" si="28"/>
        <v>Low</v>
      </c>
    </row>
    <row r="272" spans="1:50">
      <c r="A272" s="9" t="s">
        <v>618</v>
      </c>
      <c r="B272" s="10">
        <v>45756</v>
      </c>
      <c r="C272" s="11" t="s">
        <v>619</v>
      </c>
      <c r="D272" s="11" t="s">
        <v>620</v>
      </c>
      <c r="E272" s="11" t="s">
        <v>35</v>
      </c>
      <c r="F272" s="11" t="s">
        <v>104</v>
      </c>
      <c r="G272" s="11" t="s">
        <v>104</v>
      </c>
      <c r="H272" s="11" t="s">
        <v>38</v>
      </c>
      <c r="I272" s="11" t="s">
        <v>39</v>
      </c>
      <c r="J272" s="11" t="s">
        <v>40</v>
      </c>
      <c r="K272" s="25">
        <v>9</v>
      </c>
      <c r="L272" s="25">
        <v>8000</v>
      </c>
      <c r="M272" s="29">
        <v>0.2</v>
      </c>
      <c r="N272" s="25">
        <v>57600</v>
      </c>
      <c r="O272" s="25">
        <v>31871.919999999998</v>
      </c>
      <c r="P272" s="25">
        <v>25728.080000000002</v>
      </c>
      <c r="Q272" s="21">
        <v>44.67</v>
      </c>
      <c r="R272" s="11" t="s">
        <v>41</v>
      </c>
      <c r="S272" s="11" t="s">
        <v>42</v>
      </c>
      <c r="T272" s="11" t="s">
        <v>118</v>
      </c>
      <c r="U272" s="11" t="s">
        <v>108</v>
      </c>
      <c r="V272" s="11">
        <v>2025</v>
      </c>
      <c r="W272" s="11" t="s">
        <v>139</v>
      </c>
      <c r="X272" s="11">
        <v>6</v>
      </c>
      <c r="Y272" s="10">
        <v>45939</v>
      </c>
      <c r="Z272" s="11" t="s">
        <v>110</v>
      </c>
      <c r="AA272" s="11" t="s">
        <v>48</v>
      </c>
      <c r="AB272" s="11" t="s">
        <v>78</v>
      </c>
      <c r="AC272" s="11" t="s">
        <v>121</v>
      </c>
      <c r="AD272" s="11">
        <v>2</v>
      </c>
      <c r="AE272" s="11" t="s">
        <v>118</v>
      </c>
      <c r="AF272" s="11" t="s">
        <v>2238</v>
      </c>
      <c r="AG272" s="25"/>
      <c r="AH272" s="11"/>
      <c r="AI272" s="11"/>
      <c r="AJ272" s="11"/>
      <c r="AK272" s="11"/>
      <c r="AL272" s="11"/>
      <c r="AM272" s="11" t="str">
        <f t="shared" si="24"/>
        <v>Good</v>
      </c>
      <c r="AN272" s="11" t="str" cm="1">
        <f t="array" ref="AN272">_xlfn.IFS(N272&lt;10000,"Low",N272&lt;30000,"Medium",N272&gt;=30000,"High")</f>
        <v>High</v>
      </c>
      <c r="AO272" s="11" t="str">
        <f t="shared" si="25"/>
        <v>Yes</v>
      </c>
      <c r="AP272" s="11" t="str">
        <f t="shared" si="26"/>
        <v>Yes</v>
      </c>
      <c r="AQ272" s="11">
        <f t="shared" si="27"/>
        <v>0.44666805555555561</v>
      </c>
      <c r="AR272" s="33"/>
      <c r="AS272" s="33"/>
      <c r="AT272" s="33"/>
      <c r="AU272" s="33"/>
      <c r="AV272" s="33"/>
      <c r="AW272" s="33"/>
      <c r="AX272" s="33" t="str">
        <f t="shared" si="28"/>
        <v>Excellent</v>
      </c>
    </row>
    <row r="273" spans="1:50">
      <c r="A273" s="9" t="s">
        <v>2134</v>
      </c>
      <c r="B273" s="10">
        <v>45756</v>
      </c>
      <c r="C273" s="11" t="s">
        <v>889</v>
      </c>
      <c r="D273" s="11" t="s">
        <v>1162</v>
      </c>
      <c r="E273" s="11" t="s">
        <v>35</v>
      </c>
      <c r="F273" s="11" t="s">
        <v>245</v>
      </c>
      <c r="G273" s="11" t="s">
        <v>246</v>
      </c>
      <c r="H273" s="11" t="s">
        <v>38</v>
      </c>
      <c r="I273" s="11" t="s">
        <v>84</v>
      </c>
      <c r="J273" s="11" t="s">
        <v>290</v>
      </c>
      <c r="K273" s="25">
        <v>4</v>
      </c>
      <c r="L273" s="25">
        <v>100</v>
      </c>
      <c r="M273" s="29">
        <v>0</v>
      </c>
      <c r="N273" s="25">
        <v>400</v>
      </c>
      <c r="O273" s="25">
        <v>296.73</v>
      </c>
      <c r="P273" s="25">
        <v>103.27</v>
      </c>
      <c r="Q273" s="21">
        <v>25.82</v>
      </c>
      <c r="R273" s="11" t="s">
        <v>41</v>
      </c>
      <c r="S273" s="11" t="s">
        <v>62</v>
      </c>
      <c r="T273" s="11" t="s">
        <v>118</v>
      </c>
      <c r="U273" s="11" t="s">
        <v>108</v>
      </c>
      <c r="V273" s="11">
        <v>2025</v>
      </c>
      <c r="W273" s="11" t="s">
        <v>139</v>
      </c>
      <c r="X273" s="11">
        <v>9</v>
      </c>
      <c r="Y273" s="10" t="s">
        <v>1423</v>
      </c>
      <c r="Z273" s="11" t="s">
        <v>110</v>
      </c>
      <c r="AA273" s="11" t="s">
        <v>48</v>
      </c>
      <c r="AB273" s="11" t="s">
        <v>49</v>
      </c>
      <c r="AC273" s="11" t="s">
        <v>121</v>
      </c>
      <c r="AD273" s="11">
        <v>5</v>
      </c>
      <c r="AE273" s="11" t="s">
        <v>2225</v>
      </c>
      <c r="AF273" s="11" t="s">
        <v>2222</v>
      </c>
      <c r="AG273" s="25"/>
      <c r="AH273" s="11"/>
      <c r="AI273" s="11"/>
      <c r="AJ273" s="11"/>
      <c r="AK273" s="11"/>
      <c r="AL273" s="11"/>
      <c r="AM273" s="11" t="str">
        <f t="shared" si="24"/>
        <v>Needs Improvement</v>
      </c>
      <c r="AN273" s="11" t="str" cm="1">
        <f t="array" ref="AN273">_xlfn.IFS(N273&lt;10000,"Low",N273&lt;30000,"Medium",N273&gt;=30000,"High")</f>
        <v>Low</v>
      </c>
      <c r="AO273" s="11" t="str">
        <f t="shared" si="25"/>
        <v>No</v>
      </c>
      <c r="AP273" s="11" t="str">
        <f t="shared" si="26"/>
        <v>No</v>
      </c>
      <c r="AQ273" s="11">
        <f t="shared" si="27"/>
        <v>0.25817499999999999</v>
      </c>
      <c r="AR273" s="33"/>
      <c r="AS273" s="33"/>
      <c r="AT273" s="33"/>
      <c r="AU273" s="33"/>
      <c r="AV273" s="33"/>
      <c r="AW273" s="33"/>
      <c r="AX273" s="33" t="str">
        <f t="shared" si="28"/>
        <v>Low</v>
      </c>
    </row>
    <row r="274" spans="1:50">
      <c r="A274" s="9" t="s">
        <v>1329</v>
      </c>
      <c r="B274" s="10">
        <v>45757</v>
      </c>
      <c r="C274" s="11" t="s">
        <v>626</v>
      </c>
      <c r="D274" s="11" t="s">
        <v>1014</v>
      </c>
      <c r="E274" s="11" t="s">
        <v>55</v>
      </c>
      <c r="F274" s="11" t="s">
        <v>156</v>
      </c>
      <c r="G274" s="11" t="s">
        <v>157</v>
      </c>
      <c r="H274" s="11" t="s">
        <v>58</v>
      </c>
      <c r="I274" s="11" t="s">
        <v>59</v>
      </c>
      <c r="J274" s="11" t="s">
        <v>328</v>
      </c>
      <c r="K274" s="25">
        <v>1</v>
      </c>
      <c r="L274" s="25">
        <v>1200</v>
      </c>
      <c r="M274" s="29">
        <v>0.1</v>
      </c>
      <c r="N274" s="25">
        <v>1080</v>
      </c>
      <c r="O274" s="25">
        <v>630.1</v>
      </c>
      <c r="P274" s="25">
        <v>449.9</v>
      </c>
      <c r="Q274" s="21">
        <v>41.66</v>
      </c>
      <c r="R274" s="11" t="s">
        <v>166</v>
      </c>
      <c r="S274" s="11" t="s">
        <v>62</v>
      </c>
      <c r="T274" s="11" t="s">
        <v>86</v>
      </c>
      <c r="U274" s="11" t="s">
        <v>87</v>
      </c>
      <c r="V274" s="11">
        <v>2025</v>
      </c>
      <c r="W274" s="11" t="s">
        <v>65</v>
      </c>
      <c r="X274" s="11">
        <v>9</v>
      </c>
      <c r="Y274" s="10" t="s">
        <v>1330</v>
      </c>
      <c r="Z274" s="11" t="s">
        <v>47</v>
      </c>
      <c r="AA274" s="11" t="s">
        <v>48</v>
      </c>
      <c r="AB274" s="11" t="s">
        <v>111</v>
      </c>
      <c r="AC274" s="11" t="s">
        <v>121</v>
      </c>
      <c r="AD274" s="11">
        <v>3</v>
      </c>
      <c r="AE274" s="11" t="s">
        <v>2209</v>
      </c>
      <c r="AF274" s="11" t="s">
        <v>2219</v>
      </c>
      <c r="AG274" s="25"/>
      <c r="AH274" s="11"/>
      <c r="AI274" s="11"/>
      <c r="AJ274" s="11"/>
      <c r="AK274" s="11"/>
      <c r="AL274" s="11"/>
      <c r="AM274" s="11" t="str">
        <f t="shared" si="24"/>
        <v>Good</v>
      </c>
      <c r="AN274" s="11" t="str" cm="1">
        <f t="array" ref="AN274">_xlfn.IFS(N274&lt;10000,"Low",N274&lt;30000,"Medium",N274&gt;=30000,"High")</f>
        <v>Low</v>
      </c>
      <c r="AO274" s="11" t="str">
        <f t="shared" si="25"/>
        <v>No</v>
      </c>
      <c r="AP274" s="11" t="str">
        <f t="shared" si="26"/>
        <v>No</v>
      </c>
      <c r="AQ274" s="11">
        <f t="shared" si="27"/>
        <v>0.41657407407407404</v>
      </c>
      <c r="AR274" s="33"/>
      <c r="AS274" s="33"/>
      <c r="AT274" s="33"/>
      <c r="AU274" s="33"/>
      <c r="AV274" s="33"/>
      <c r="AW274" s="33"/>
      <c r="AX274" s="33" t="str">
        <f t="shared" si="28"/>
        <v>Low</v>
      </c>
    </row>
    <row r="275" spans="1:50">
      <c r="A275" s="9" t="s">
        <v>1566</v>
      </c>
      <c r="B275" s="10">
        <v>45757</v>
      </c>
      <c r="C275" s="11" t="s">
        <v>1080</v>
      </c>
      <c r="D275" s="11" t="s">
        <v>1567</v>
      </c>
      <c r="E275" s="11" t="s">
        <v>35</v>
      </c>
      <c r="F275" s="11" t="s">
        <v>36</v>
      </c>
      <c r="G275" s="11" t="s">
        <v>37</v>
      </c>
      <c r="H275" s="11" t="s">
        <v>58</v>
      </c>
      <c r="I275" s="11" t="s">
        <v>95</v>
      </c>
      <c r="J275" s="11" t="s">
        <v>96</v>
      </c>
      <c r="K275" s="25">
        <v>2</v>
      </c>
      <c r="L275" s="25">
        <v>15000</v>
      </c>
      <c r="M275" s="29">
        <v>0.15</v>
      </c>
      <c r="N275" s="25">
        <v>25500</v>
      </c>
      <c r="O275" s="25">
        <v>15120.08</v>
      </c>
      <c r="P275" s="25">
        <v>10379.92</v>
      </c>
      <c r="Q275" s="21">
        <v>40.71</v>
      </c>
      <c r="R275" s="11" t="s">
        <v>166</v>
      </c>
      <c r="S275" s="11" t="s">
        <v>74</v>
      </c>
      <c r="T275" s="11" t="s">
        <v>63</v>
      </c>
      <c r="U275" s="11" t="s">
        <v>87</v>
      </c>
      <c r="V275" s="11">
        <v>2025</v>
      </c>
      <c r="W275" s="11" t="s">
        <v>65</v>
      </c>
      <c r="X275" s="11">
        <v>5</v>
      </c>
      <c r="Y275" s="10">
        <v>45910</v>
      </c>
      <c r="Z275" s="11" t="s">
        <v>89</v>
      </c>
      <c r="AA275" s="11" t="s">
        <v>90</v>
      </c>
      <c r="AB275" s="11" t="s">
        <v>49</v>
      </c>
      <c r="AC275" s="11" t="s">
        <v>121</v>
      </c>
      <c r="AD275" s="11">
        <v>5</v>
      </c>
      <c r="AE275" s="11" t="s">
        <v>86</v>
      </c>
      <c r="AF275" s="11" t="s">
        <v>2224</v>
      </c>
      <c r="AG275" s="25"/>
      <c r="AH275" s="11"/>
      <c r="AI275" s="11"/>
      <c r="AJ275" s="11"/>
      <c r="AK275" s="11"/>
      <c r="AL275" s="11"/>
      <c r="AM275" s="11" t="str">
        <f t="shared" si="24"/>
        <v>Good</v>
      </c>
      <c r="AN275" s="11" t="str" cm="1">
        <f t="array" ref="AN275">_xlfn.IFS(N275&lt;10000,"Low",N275&lt;30000,"Medium",N275&gt;=30000,"High")</f>
        <v>Medium</v>
      </c>
      <c r="AO275" s="11" t="str">
        <f t="shared" si="25"/>
        <v>No</v>
      </c>
      <c r="AP275" s="11" t="str">
        <f t="shared" si="26"/>
        <v>Yes</v>
      </c>
      <c r="AQ275" s="11">
        <f t="shared" si="27"/>
        <v>0.40705568627450983</v>
      </c>
      <c r="AR275" s="33"/>
      <c r="AS275" s="33"/>
      <c r="AT275" s="33"/>
      <c r="AU275" s="33"/>
      <c r="AV275" s="33"/>
      <c r="AW275" s="33"/>
      <c r="AX275" s="33" t="str">
        <f t="shared" si="28"/>
        <v>Good</v>
      </c>
    </row>
    <row r="276" spans="1:50">
      <c r="A276" s="9" t="s">
        <v>1839</v>
      </c>
      <c r="B276" s="10">
        <v>45757</v>
      </c>
      <c r="C276" s="11" t="s">
        <v>176</v>
      </c>
      <c r="D276" s="11" t="s">
        <v>831</v>
      </c>
      <c r="E276" s="11" t="s">
        <v>55</v>
      </c>
      <c r="F276" s="11" t="s">
        <v>245</v>
      </c>
      <c r="G276" s="11" t="s">
        <v>246</v>
      </c>
      <c r="H276" s="11" t="s">
        <v>58</v>
      </c>
      <c r="I276" s="11" t="s">
        <v>84</v>
      </c>
      <c r="J276" s="11" t="s">
        <v>217</v>
      </c>
      <c r="K276" s="25">
        <v>2</v>
      </c>
      <c r="L276" s="25">
        <v>200</v>
      </c>
      <c r="M276" s="29">
        <v>0.05</v>
      </c>
      <c r="N276" s="25">
        <v>380</v>
      </c>
      <c r="O276" s="25">
        <v>276.51</v>
      </c>
      <c r="P276" s="25">
        <v>103.49</v>
      </c>
      <c r="Q276" s="21">
        <v>27.23</v>
      </c>
      <c r="R276" s="11" t="s">
        <v>73</v>
      </c>
      <c r="S276" s="11" t="s">
        <v>42</v>
      </c>
      <c r="T276" s="11" t="s">
        <v>107</v>
      </c>
      <c r="U276" s="11" t="s">
        <v>87</v>
      </c>
      <c r="V276" s="11">
        <v>2025</v>
      </c>
      <c r="W276" s="11" t="s">
        <v>65</v>
      </c>
      <c r="X276" s="11">
        <v>4</v>
      </c>
      <c r="Y276" s="10">
        <v>45879</v>
      </c>
      <c r="Z276" s="11" t="s">
        <v>47</v>
      </c>
      <c r="AA276" s="11" t="s">
        <v>67</v>
      </c>
      <c r="AB276" s="11" t="s">
        <v>111</v>
      </c>
      <c r="AC276" s="11" t="s">
        <v>121</v>
      </c>
      <c r="AD276" s="11">
        <v>2</v>
      </c>
      <c r="AE276" s="11" t="s">
        <v>2232</v>
      </c>
      <c r="AF276" s="11" t="s">
        <v>2217</v>
      </c>
      <c r="AG276" s="25"/>
      <c r="AH276" s="11"/>
      <c r="AI276" s="11"/>
      <c r="AJ276" s="11"/>
      <c r="AK276" s="11"/>
      <c r="AL276" s="11"/>
      <c r="AM276" s="11" t="str">
        <f t="shared" si="24"/>
        <v>Needs Improvement</v>
      </c>
      <c r="AN276" s="11" t="str" cm="1">
        <f t="array" ref="AN276">_xlfn.IFS(N276&lt;10000,"Low",N276&lt;30000,"Medium",N276&gt;=30000,"High")</f>
        <v>Low</v>
      </c>
      <c r="AO276" s="11" t="str">
        <f t="shared" si="25"/>
        <v>No</v>
      </c>
      <c r="AP276" s="11" t="str">
        <f t="shared" si="26"/>
        <v>Yes</v>
      </c>
      <c r="AQ276" s="11">
        <f t="shared" si="27"/>
        <v>0.27234210526315789</v>
      </c>
      <c r="AR276" s="33"/>
      <c r="AS276" s="33"/>
      <c r="AT276" s="33"/>
      <c r="AU276" s="33"/>
      <c r="AV276" s="33"/>
      <c r="AW276" s="33"/>
      <c r="AX276" s="33" t="str">
        <f t="shared" si="28"/>
        <v>Low</v>
      </c>
    </row>
    <row r="277" spans="1:50">
      <c r="A277" s="9" t="s">
        <v>388</v>
      </c>
      <c r="B277" s="10">
        <v>45758</v>
      </c>
      <c r="C277" s="11" t="s">
        <v>389</v>
      </c>
      <c r="D277" s="11" t="s">
        <v>34</v>
      </c>
      <c r="E277" s="11" t="s">
        <v>103</v>
      </c>
      <c r="F277" s="11" t="s">
        <v>82</v>
      </c>
      <c r="G277" s="11" t="s">
        <v>83</v>
      </c>
      <c r="H277" s="11" t="s">
        <v>38</v>
      </c>
      <c r="I277" s="11" t="s">
        <v>84</v>
      </c>
      <c r="J277" s="11" t="s">
        <v>390</v>
      </c>
      <c r="K277" s="25">
        <v>3</v>
      </c>
      <c r="L277" s="25">
        <v>200</v>
      </c>
      <c r="M277" s="29">
        <v>0.2</v>
      </c>
      <c r="N277" s="25">
        <v>480</v>
      </c>
      <c r="O277" s="25">
        <v>282.39</v>
      </c>
      <c r="P277" s="25">
        <v>197.61</v>
      </c>
      <c r="Q277" s="21">
        <v>41.17</v>
      </c>
      <c r="R277" s="11" t="s">
        <v>166</v>
      </c>
      <c r="S277" s="11" t="s">
        <v>62</v>
      </c>
      <c r="T277" s="11" t="s">
        <v>138</v>
      </c>
      <c r="U277" s="11" t="s">
        <v>198</v>
      </c>
      <c r="V277" s="11">
        <v>2025</v>
      </c>
      <c r="W277" s="11" t="s">
        <v>109</v>
      </c>
      <c r="X277" s="11">
        <v>7</v>
      </c>
      <c r="Y277" s="10">
        <v>45972</v>
      </c>
      <c r="Z277" s="11" t="s">
        <v>47</v>
      </c>
      <c r="AA277" s="11" t="s">
        <v>67</v>
      </c>
      <c r="AB277" s="11" t="s">
        <v>49</v>
      </c>
      <c r="AC277" s="11" t="s">
        <v>50</v>
      </c>
      <c r="AD277" s="11">
        <v>3</v>
      </c>
      <c r="AE277" s="11" t="s">
        <v>2232</v>
      </c>
      <c r="AF277" s="11" t="s">
        <v>2224</v>
      </c>
      <c r="AG277" s="25"/>
      <c r="AH277" s="11"/>
      <c r="AI277" s="11"/>
      <c r="AJ277" s="11"/>
      <c r="AK277" s="11"/>
      <c r="AL277" s="11"/>
      <c r="AM277" s="11" t="str">
        <f t="shared" si="24"/>
        <v>Good</v>
      </c>
      <c r="AN277" s="11" t="str" cm="1">
        <f t="array" ref="AN277">_xlfn.IFS(N277&lt;10000,"Low",N277&lt;30000,"Medium",N277&gt;=30000,"High")</f>
        <v>Low</v>
      </c>
      <c r="AO277" s="11" t="str">
        <f t="shared" si="25"/>
        <v>No</v>
      </c>
      <c r="AP277" s="11" t="str">
        <f t="shared" si="26"/>
        <v>No</v>
      </c>
      <c r="AQ277" s="11">
        <f t="shared" si="27"/>
        <v>0.41168750000000004</v>
      </c>
      <c r="AR277" s="33"/>
      <c r="AS277" s="33"/>
      <c r="AT277" s="33"/>
      <c r="AU277" s="33"/>
      <c r="AV277" s="33"/>
      <c r="AW277" s="33"/>
      <c r="AX277" s="33" t="str">
        <f t="shared" si="28"/>
        <v>Low</v>
      </c>
    </row>
    <row r="278" spans="1:50">
      <c r="A278" s="9" t="s">
        <v>1639</v>
      </c>
      <c r="B278" s="10">
        <v>45758</v>
      </c>
      <c r="C278" s="11" t="s">
        <v>288</v>
      </c>
      <c r="D278" s="11" t="s">
        <v>847</v>
      </c>
      <c r="E278" s="11" t="s">
        <v>103</v>
      </c>
      <c r="F278" s="11" t="s">
        <v>149</v>
      </c>
      <c r="G278" s="11" t="s">
        <v>150</v>
      </c>
      <c r="H278" s="11" t="s">
        <v>171</v>
      </c>
      <c r="I278" s="11" t="s">
        <v>84</v>
      </c>
      <c r="J278" s="11" t="s">
        <v>85</v>
      </c>
      <c r="K278" s="25">
        <v>10</v>
      </c>
      <c r="L278" s="25">
        <v>500</v>
      </c>
      <c r="M278" s="29">
        <v>0.15</v>
      </c>
      <c r="N278" s="25">
        <v>4250</v>
      </c>
      <c r="O278" s="25">
        <v>2425.14</v>
      </c>
      <c r="P278" s="25">
        <v>1824.86</v>
      </c>
      <c r="Q278" s="21">
        <v>42.94</v>
      </c>
      <c r="R278" s="11" t="s">
        <v>73</v>
      </c>
      <c r="S278" s="11" t="s">
        <v>62</v>
      </c>
      <c r="T278" s="11" t="s">
        <v>159</v>
      </c>
      <c r="U278" s="11" t="s">
        <v>198</v>
      </c>
      <c r="V278" s="11">
        <v>2025</v>
      </c>
      <c r="W278" s="11" t="s">
        <v>109</v>
      </c>
      <c r="X278" s="11">
        <v>2</v>
      </c>
      <c r="Y278" s="10">
        <v>45819</v>
      </c>
      <c r="Z278" s="11" t="s">
        <v>47</v>
      </c>
      <c r="AA278" s="11" t="s">
        <v>67</v>
      </c>
      <c r="AB278" s="11" t="s">
        <v>111</v>
      </c>
      <c r="AC278" s="11" t="s">
        <v>50</v>
      </c>
      <c r="AD278" s="11">
        <v>2</v>
      </c>
      <c r="AE278" s="11" t="s">
        <v>86</v>
      </c>
      <c r="AF278" s="11" t="s">
        <v>2219</v>
      </c>
      <c r="AG278" s="25"/>
      <c r="AH278" s="11"/>
      <c r="AI278" s="11"/>
      <c r="AJ278" s="11"/>
      <c r="AK278" s="11"/>
      <c r="AL278" s="11"/>
      <c r="AM278" s="11" t="str">
        <f t="shared" si="24"/>
        <v>Good</v>
      </c>
      <c r="AN278" s="11" t="str" cm="1">
        <f t="array" ref="AN278">_xlfn.IFS(N278&lt;10000,"Low",N278&lt;30000,"Medium",N278&gt;=30000,"High")</f>
        <v>Low</v>
      </c>
      <c r="AO278" s="11" t="str">
        <f t="shared" si="25"/>
        <v>No</v>
      </c>
      <c r="AP278" s="11" t="str">
        <f t="shared" si="26"/>
        <v>No</v>
      </c>
      <c r="AQ278" s="11">
        <f t="shared" si="27"/>
        <v>0.42937882352941176</v>
      </c>
      <c r="AR278" s="33"/>
      <c r="AS278" s="33"/>
      <c r="AT278" s="33"/>
      <c r="AU278" s="33"/>
      <c r="AV278" s="33"/>
      <c r="AW278" s="33"/>
      <c r="AX278" s="33" t="str">
        <f t="shared" si="28"/>
        <v>Low</v>
      </c>
    </row>
    <row r="279" spans="1:50">
      <c r="A279" s="9" t="s">
        <v>1917</v>
      </c>
      <c r="B279" s="10">
        <v>45759</v>
      </c>
      <c r="C279" s="11" t="s">
        <v>1111</v>
      </c>
      <c r="D279" s="11" t="s">
        <v>1220</v>
      </c>
      <c r="E279" s="11" t="s">
        <v>35</v>
      </c>
      <c r="F279" s="11" t="s">
        <v>36</v>
      </c>
      <c r="G279" s="11" t="s">
        <v>37</v>
      </c>
      <c r="H279" s="11" t="s">
        <v>58</v>
      </c>
      <c r="I279" s="11" t="s">
        <v>59</v>
      </c>
      <c r="J279" s="11" t="s">
        <v>372</v>
      </c>
      <c r="K279" s="25">
        <v>5</v>
      </c>
      <c r="L279" s="25">
        <v>800</v>
      </c>
      <c r="M279" s="29">
        <v>0</v>
      </c>
      <c r="N279" s="25">
        <v>4000</v>
      </c>
      <c r="O279" s="25">
        <v>2243.13</v>
      </c>
      <c r="P279" s="25">
        <v>1756.87</v>
      </c>
      <c r="Q279" s="21">
        <v>43.92</v>
      </c>
      <c r="R279" s="11" t="s">
        <v>61</v>
      </c>
      <c r="S279" s="11" t="s">
        <v>42</v>
      </c>
      <c r="T279" s="11" t="s">
        <v>159</v>
      </c>
      <c r="U279" s="11" t="s">
        <v>64</v>
      </c>
      <c r="V279" s="11">
        <v>2025</v>
      </c>
      <c r="W279" s="11" t="s">
        <v>139</v>
      </c>
      <c r="X279" s="11">
        <v>7</v>
      </c>
      <c r="Y279" s="10">
        <v>45973</v>
      </c>
      <c r="Z279" s="11" t="s">
        <v>47</v>
      </c>
      <c r="AA279" s="11" t="s">
        <v>67</v>
      </c>
      <c r="AB279" s="11" t="s">
        <v>78</v>
      </c>
      <c r="AC279" s="11" t="s">
        <v>121</v>
      </c>
      <c r="AD279" s="11">
        <v>2</v>
      </c>
      <c r="AE279" s="11" t="s">
        <v>2229</v>
      </c>
      <c r="AF279" s="11" t="s">
        <v>2231</v>
      </c>
      <c r="AG279" s="25"/>
      <c r="AH279" s="11"/>
      <c r="AI279" s="11"/>
      <c r="AJ279" s="11"/>
      <c r="AK279" s="11"/>
      <c r="AL279" s="11"/>
      <c r="AM279" s="11" t="str">
        <f t="shared" si="24"/>
        <v>Good</v>
      </c>
      <c r="AN279" s="11" t="str" cm="1">
        <f t="array" ref="AN279">_xlfn.IFS(N279&lt;10000,"Low",N279&lt;30000,"Medium",N279&gt;=30000,"High")</f>
        <v>Low</v>
      </c>
      <c r="AO279" s="11" t="str">
        <f t="shared" si="25"/>
        <v>No</v>
      </c>
      <c r="AP279" s="11" t="str">
        <f t="shared" si="26"/>
        <v>Yes</v>
      </c>
      <c r="AQ279" s="11">
        <f t="shared" si="27"/>
        <v>0.43921749999999998</v>
      </c>
      <c r="AR279" s="33"/>
      <c r="AS279" s="33"/>
      <c r="AT279" s="33"/>
      <c r="AU279" s="33"/>
      <c r="AV279" s="33"/>
      <c r="AW279" s="33"/>
      <c r="AX279" s="33" t="str">
        <f t="shared" si="28"/>
        <v>Low</v>
      </c>
    </row>
    <row r="280" spans="1:50">
      <c r="A280" s="9" t="s">
        <v>68</v>
      </c>
      <c r="B280" s="10">
        <v>45778</v>
      </c>
      <c r="C280" s="11" t="s">
        <v>69</v>
      </c>
      <c r="D280" s="11" t="s">
        <v>70</v>
      </c>
      <c r="E280" s="11" t="s">
        <v>55</v>
      </c>
      <c r="F280" s="11" t="s">
        <v>36</v>
      </c>
      <c r="G280" s="11" t="s">
        <v>37</v>
      </c>
      <c r="H280" s="11" t="s">
        <v>58</v>
      </c>
      <c r="I280" s="11" t="s">
        <v>71</v>
      </c>
      <c r="J280" s="11" t="s">
        <v>72</v>
      </c>
      <c r="K280" s="25">
        <v>9</v>
      </c>
      <c r="L280" s="25">
        <v>1800</v>
      </c>
      <c r="M280" s="29">
        <v>0.2</v>
      </c>
      <c r="N280" s="25">
        <v>12960</v>
      </c>
      <c r="O280" s="25">
        <v>9593.44</v>
      </c>
      <c r="P280" s="25">
        <v>3366.56</v>
      </c>
      <c r="Q280" s="21">
        <v>25.98</v>
      </c>
      <c r="R280" s="11" t="s">
        <v>73</v>
      </c>
      <c r="S280" s="11" t="s">
        <v>74</v>
      </c>
      <c r="T280" s="11" t="s">
        <v>75</v>
      </c>
      <c r="U280" s="11" t="s">
        <v>76</v>
      </c>
      <c r="V280" s="11">
        <v>2025</v>
      </c>
      <c r="W280" s="11" t="s">
        <v>45</v>
      </c>
      <c r="X280" s="11">
        <v>10</v>
      </c>
      <c r="Y280" s="10" t="s">
        <v>77</v>
      </c>
      <c r="Z280" s="11" t="s">
        <v>47</v>
      </c>
      <c r="AA280" s="11" t="s">
        <v>67</v>
      </c>
      <c r="AB280" s="11" t="s">
        <v>78</v>
      </c>
      <c r="AC280" s="11" t="s">
        <v>50</v>
      </c>
      <c r="AD280" s="11">
        <v>2</v>
      </c>
      <c r="AE280" s="11" t="s">
        <v>2213</v>
      </c>
      <c r="AF280" s="11" t="s">
        <v>2238</v>
      </c>
      <c r="AG280" s="25"/>
      <c r="AH280" s="11"/>
      <c r="AI280" s="11"/>
      <c r="AJ280" s="11"/>
      <c r="AK280" s="11"/>
      <c r="AL280" s="11"/>
      <c r="AM280" s="11" t="str">
        <f t="shared" si="24"/>
        <v>Needs Improvement</v>
      </c>
      <c r="AN280" s="11" t="str" cm="1">
        <f t="array" ref="AN280">_xlfn.IFS(N280&lt;10000,"Low",N280&lt;30000,"Medium",N280&gt;=30000,"High")</f>
        <v>Medium</v>
      </c>
      <c r="AO280" s="11" t="str">
        <f t="shared" si="25"/>
        <v>No</v>
      </c>
      <c r="AP280" s="11" t="str">
        <f t="shared" si="26"/>
        <v>Yes</v>
      </c>
      <c r="AQ280" s="11">
        <f t="shared" si="27"/>
        <v>0.2597654320987654</v>
      </c>
      <c r="AR280" s="33"/>
      <c r="AS280" s="33"/>
      <c r="AT280" s="33"/>
      <c r="AU280" s="33"/>
      <c r="AV280" s="33"/>
      <c r="AW280" s="33"/>
      <c r="AX280" s="33" t="str">
        <f t="shared" si="28"/>
        <v>Low</v>
      </c>
    </row>
    <row r="281" spans="1:50">
      <c r="A281" s="9" t="s">
        <v>2135</v>
      </c>
      <c r="B281" s="10">
        <v>45779</v>
      </c>
      <c r="C281" s="11" t="s">
        <v>1028</v>
      </c>
      <c r="D281" s="11" t="s">
        <v>302</v>
      </c>
      <c r="E281" s="11" t="s">
        <v>103</v>
      </c>
      <c r="F281" s="11" t="s">
        <v>36</v>
      </c>
      <c r="G281" s="11" t="s">
        <v>37</v>
      </c>
      <c r="H281" s="11" t="s">
        <v>58</v>
      </c>
      <c r="I281" s="11" t="s">
        <v>95</v>
      </c>
      <c r="J281" s="11" t="s">
        <v>344</v>
      </c>
      <c r="K281" s="25">
        <v>9</v>
      </c>
      <c r="L281" s="25">
        <v>9000</v>
      </c>
      <c r="M281" s="29">
        <v>0</v>
      </c>
      <c r="N281" s="25">
        <v>81000</v>
      </c>
      <c r="O281" s="25">
        <v>49144.67</v>
      </c>
      <c r="P281" s="25">
        <v>31855.33</v>
      </c>
      <c r="Q281" s="21">
        <v>39.33</v>
      </c>
      <c r="R281" s="11" t="s">
        <v>41</v>
      </c>
      <c r="S281" s="11" t="s">
        <v>42</v>
      </c>
      <c r="T281" s="11" t="s">
        <v>86</v>
      </c>
      <c r="U281" s="11" t="s">
        <v>98</v>
      </c>
      <c r="V281" s="11">
        <v>2025</v>
      </c>
      <c r="W281" s="11" t="s">
        <v>134</v>
      </c>
      <c r="X281" s="11">
        <v>3</v>
      </c>
      <c r="Y281" s="10">
        <v>45871</v>
      </c>
      <c r="Z281" s="11" t="s">
        <v>89</v>
      </c>
      <c r="AA281" s="11" t="s">
        <v>90</v>
      </c>
      <c r="AB281" s="11" t="s">
        <v>49</v>
      </c>
      <c r="AC281" s="11" t="s">
        <v>121</v>
      </c>
      <c r="AD281" s="11">
        <v>1</v>
      </c>
      <c r="AE281" s="11" t="s">
        <v>2227</v>
      </c>
      <c r="AF281" s="11" t="s">
        <v>2217</v>
      </c>
      <c r="AG281" s="25"/>
      <c r="AH281" s="11"/>
      <c r="AI281" s="11"/>
      <c r="AJ281" s="11"/>
      <c r="AK281" s="11"/>
      <c r="AL281" s="11"/>
      <c r="AM281" s="11" t="str">
        <f t="shared" si="24"/>
        <v>Good</v>
      </c>
      <c r="AN281" s="11" t="str" cm="1">
        <f t="array" ref="AN281">_xlfn.IFS(N281&lt;10000,"Low",N281&lt;30000,"Medium",N281&gt;=30000,"High")</f>
        <v>High</v>
      </c>
      <c r="AO281" s="11" t="str">
        <f t="shared" si="25"/>
        <v>Yes</v>
      </c>
      <c r="AP281" s="11" t="str">
        <f t="shared" si="26"/>
        <v>Yes</v>
      </c>
      <c r="AQ281" s="11">
        <f t="shared" si="27"/>
        <v>0.39327567901234572</v>
      </c>
      <c r="AR281" s="33"/>
      <c r="AS281" s="33"/>
      <c r="AT281" s="33"/>
      <c r="AU281" s="33"/>
      <c r="AV281" s="33"/>
      <c r="AW281" s="33"/>
      <c r="AX281" s="33" t="str">
        <f t="shared" si="28"/>
        <v>Excellent</v>
      </c>
    </row>
    <row r="282" spans="1:50">
      <c r="A282" s="9" t="s">
        <v>1895</v>
      </c>
      <c r="B282" s="10">
        <v>45780</v>
      </c>
      <c r="C282" s="11" t="s">
        <v>1140</v>
      </c>
      <c r="D282" s="11" t="s">
        <v>1152</v>
      </c>
      <c r="E282" s="11" t="s">
        <v>35</v>
      </c>
      <c r="F282" s="11" t="s">
        <v>245</v>
      </c>
      <c r="G282" s="11" t="s">
        <v>246</v>
      </c>
      <c r="H282" s="11" t="s">
        <v>171</v>
      </c>
      <c r="I282" s="11" t="s">
        <v>59</v>
      </c>
      <c r="J282" s="11" t="s">
        <v>206</v>
      </c>
      <c r="K282" s="25">
        <v>4</v>
      </c>
      <c r="L282" s="25">
        <v>2000</v>
      </c>
      <c r="M282" s="29">
        <v>0</v>
      </c>
      <c r="N282" s="25">
        <v>8000</v>
      </c>
      <c r="O282" s="25">
        <v>5575.03</v>
      </c>
      <c r="P282" s="25">
        <v>2424.9699999999998</v>
      </c>
      <c r="Q282" s="21">
        <v>30.31</v>
      </c>
      <c r="R282" s="11" t="s">
        <v>41</v>
      </c>
      <c r="S282" s="11" t="s">
        <v>42</v>
      </c>
      <c r="T282" s="11" t="s">
        <v>118</v>
      </c>
      <c r="U282" s="11" t="s">
        <v>178</v>
      </c>
      <c r="V282" s="11">
        <v>2025</v>
      </c>
      <c r="W282" s="11" t="s">
        <v>134</v>
      </c>
      <c r="X282" s="11">
        <v>2</v>
      </c>
      <c r="Y282" s="10">
        <v>45841</v>
      </c>
      <c r="Z282" s="11" t="s">
        <v>89</v>
      </c>
      <c r="AA282" s="11" t="s">
        <v>48</v>
      </c>
      <c r="AB282" s="11" t="s">
        <v>49</v>
      </c>
      <c r="AC282" s="11" t="s">
        <v>50</v>
      </c>
      <c r="AD282" s="11">
        <v>4</v>
      </c>
      <c r="AE282" s="11" t="s">
        <v>2209</v>
      </c>
      <c r="AF282" s="11" t="s">
        <v>2249</v>
      </c>
      <c r="AG282" s="25"/>
      <c r="AH282" s="11"/>
      <c r="AI282" s="11"/>
      <c r="AJ282" s="11"/>
      <c r="AK282" s="11"/>
      <c r="AL282" s="11"/>
      <c r="AM282" s="11" t="str">
        <f t="shared" si="24"/>
        <v>Good</v>
      </c>
      <c r="AN282" s="11" t="str" cm="1">
        <f t="array" ref="AN282">_xlfn.IFS(N282&lt;10000,"Low",N282&lt;30000,"Medium",N282&gt;=30000,"High")</f>
        <v>Low</v>
      </c>
      <c r="AO282" s="11" t="str">
        <f t="shared" si="25"/>
        <v>No</v>
      </c>
      <c r="AP282" s="11" t="str">
        <f t="shared" si="26"/>
        <v>Yes</v>
      </c>
      <c r="AQ282" s="11">
        <f t="shared" si="27"/>
        <v>0.30312124999999995</v>
      </c>
      <c r="AR282" s="33"/>
      <c r="AS282" s="33"/>
      <c r="AT282" s="33"/>
      <c r="AU282" s="33"/>
      <c r="AV282" s="33"/>
      <c r="AW282" s="33"/>
      <c r="AX282" s="33" t="str">
        <f t="shared" si="28"/>
        <v>Low</v>
      </c>
    </row>
    <row r="283" spans="1:50">
      <c r="A283" s="9" t="s">
        <v>1983</v>
      </c>
      <c r="B283" s="10">
        <v>45780</v>
      </c>
      <c r="C283" s="11" t="s">
        <v>1703</v>
      </c>
      <c r="D283" s="11" t="s">
        <v>939</v>
      </c>
      <c r="E283" s="11" t="s">
        <v>103</v>
      </c>
      <c r="F283" s="11" t="s">
        <v>131</v>
      </c>
      <c r="G283" s="11" t="s">
        <v>132</v>
      </c>
      <c r="H283" s="11" t="s">
        <v>171</v>
      </c>
      <c r="I283" s="11" t="s">
        <v>39</v>
      </c>
      <c r="J283" s="11" t="s">
        <v>105</v>
      </c>
      <c r="K283" s="25">
        <v>1</v>
      </c>
      <c r="L283" s="25">
        <v>15000</v>
      </c>
      <c r="M283" s="29">
        <v>0.2</v>
      </c>
      <c r="N283" s="25">
        <v>12000</v>
      </c>
      <c r="O283" s="25">
        <v>6604.73</v>
      </c>
      <c r="P283" s="25">
        <v>5395.27</v>
      </c>
      <c r="Q283" s="21">
        <v>44.96</v>
      </c>
      <c r="R283" s="11" t="s">
        <v>166</v>
      </c>
      <c r="S283" s="11" t="s">
        <v>62</v>
      </c>
      <c r="T283" s="11" t="s">
        <v>159</v>
      </c>
      <c r="U283" s="11" t="s">
        <v>178</v>
      </c>
      <c r="V283" s="11">
        <v>2025</v>
      </c>
      <c r="W283" s="11" t="s">
        <v>134</v>
      </c>
      <c r="X283" s="11">
        <v>10</v>
      </c>
      <c r="Y283" s="10" t="s">
        <v>222</v>
      </c>
      <c r="Z283" s="11" t="s">
        <v>47</v>
      </c>
      <c r="AA283" s="11" t="s">
        <v>48</v>
      </c>
      <c r="AB283" s="11" t="s">
        <v>49</v>
      </c>
      <c r="AC283" s="11" t="s">
        <v>50</v>
      </c>
      <c r="AD283" s="11">
        <v>5</v>
      </c>
      <c r="AE283" s="11" t="s">
        <v>2248</v>
      </c>
      <c r="AF283" s="11" t="s">
        <v>2224</v>
      </c>
      <c r="AG283" s="25"/>
      <c r="AH283" s="11"/>
      <c r="AI283" s="11"/>
      <c r="AJ283" s="11"/>
      <c r="AK283" s="11"/>
      <c r="AL283" s="11"/>
      <c r="AM283" s="11" t="str">
        <f t="shared" si="24"/>
        <v>Good</v>
      </c>
      <c r="AN283" s="11" t="str" cm="1">
        <f t="array" ref="AN283">_xlfn.IFS(N283&lt;10000,"Low",N283&lt;30000,"Medium",N283&gt;=30000,"High")</f>
        <v>Medium</v>
      </c>
      <c r="AO283" s="11" t="str">
        <f t="shared" si="25"/>
        <v>No</v>
      </c>
      <c r="AP283" s="11" t="str">
        <f t="shared" si="26"/>
        <v>No</v>
      </c>
      <c r="AQ283" s="11">
        <f t="shared" si="27"/>
        <v>0.44960583333333337</v>
      </c>
      <c r="AR283" s="33"/>
      <c r="AS283" s="33"/>
      <c r="AT283" s="33"/>
      <c r="AU283" s="33"/>
      <c r="AV283" s="33"/>
      <c r="AW283" s="33"/>
      <c r="AX283" s="33" t="str">
        <f t="shared" si="28"/>
        <v>Average</v>
      </c>
    </row>
    <row r="284" spans="1:50">
      <c r="A284" s="9" t="s">
        <v>1908</v>
      </c>
      <c r="B284" s="10">
        <v>45781</v>
      </c>
      <c r="C284" s="11" t="s">
        <v>908</v>
      </c>
      <c r="D284" s="11" t="s">
        <v>855</v>
      </c>
      <c r="E284" s="11" t="s">
        <v>103</v>
      </c>
      <c r="F284" s="11" t="s">
        <v>82</v>
      </c>
      <c r="G284" s="11" t="s">
        <v>83</v>
      </c>
      <c r="H284" s="11" t="s">
        <v>94</v>
      </c>
      <c r="I284" s="11" t="s">
        <v>71</v>
      </c>
      <c r="J284" s="11" t="s">
        <v>72</v>
      </c>
      <c r="K284" s="25">
        <v>4</v>
      </c>
      <c r="L284" s="25">
        <v>1800</v>
      </c>
      <c r="M284" s="29">
        <v>0.15</v>
      </c>
      <c r="N284" s="25">
        <v>6120</v>
      </c>
      <c r="O284" s="25">
        <v>4603</v>
      </c>
      <c r="P284" s="25">
        <v>1517</v>
      </c>
      <c r="Q284" s="21">
        <v>24.79</v>
      </c>
      <c r="R284" s="11" t="s">
        <v>73</v>
      </c>
      <c r="S284" s="11" t="s">
        <v>74</v>
      </c>
      <c r="T284" s="11" t="s">
        <v>63</v>
      </c>
      <c r="U284" s="11" t="s">
        <v>44</v>
      </c>
      <c r="V284" s="11">
        <v>2025</v>
      </c>
      <c r="W284" s="11" t="s">
        <v>65</v>
      </c>
      <c r="X284" s="11">
        <v>10</v>
      </c>
      <c r="Y284" s="10" t="s">
        <v>1359</v>
      </c>
      <c r="Z284" s="11" t="s">
        <v>47</v>
      </c>
      <c r="AA284" s="11" t="s">
        <v>48</v>
      </c>
      <c r="AB284" s="11" t="s">
        <v>78</v>
      </c>
      <c r="AC284" s="11" t="s">
        <v>50</v>
      </c>
      <c r="AD284" s="11">
        <v>1</v>
      </c>
      <c r="AE284" s="11" t="s">
        <v>2220</v>
      </c>
      <c r="AF284" s="11" t="s">
        <v>2249</v>
      </c>
      <c r="AG284" s="25"/>
      <c r="AH284" s="11"/>
      <c r="AI284" s="11"/>
      <c r="AJ284" s="11"/>
      <c r="AK284" s="11"/>
      <c r="AL284" s="11"/>
      <c r="AM284" s="11" t="str">
        <f t="shared" si="24"/>
        <v>Needs Improvement</v>
      </c>
      <c r="AN284" s="11" t="str" cm="1">
        <f t="array" ref="AN284">_xlfn.IFS(N284&lt;10000,"Low",N284&lt;30000,"Medium",N284&gt;=30000,"High")</f>
        <v>Low</v>
      </c>
      <c r="AO284" s="11" t="str">
        <f t="shared" si="25"/>
        <v>No</v>
      </c>
      <c r="AP284" s="11" t="str">
        <f t="shared" si="26"/>
        <v>Yes</v>
      </c>
      <c r="AQ284" s="11">
        <f t="shared" si="27"/>
        <v>0.24787581699346406</v>
      </c>
      <c r="AR284" s="33"/>
      <c r="AS284" s="33"/>
      <c r="AT284" s="33"/>
      <c r="AU284" s="33"/>
      <c r="AV284" s="33"/>
      <c r="AW284" s="33"/>
      <c r="AX284" s="33" t="str">
        <f t="shared" si="28"/>
        <v>Low</v>
      </c>
    </row>
    <row r="285" spans="1:50">
      <c r="A285" s="9" t="s">
        <v>308</v>
      </c>
      <c r="B285" s="10">
        <v>45783</v>
      </c>
      <c r="C285" s="11" t="s">
        <v>309</v>
      </c>
      <c r="D285" s="11" t="s">
        <v>310</v>
      </c>
      <c r="E285" s="11" t="s">
        <v>103</v>
      </c>
      <c r="F285" s="11" t="s">
        <v>36</v>
      </c>
      <c r="G285" s="11" t="s">
        <v>37</v>
      </c>
      <c r="H285" s="11" t="s">
        <v>38</v>
      </c>
      <c r="I285" s="11" t="s">
        <v>71</v>
      </c>
      <c r="J285" s="11" t="s">
        <v>72</v>
      </c>
      <c r="K285" s="25">
        <v>3</v>
      </c>
      <c r="L285" s="25">
        <v>2500</v>
      </c>
      <c r="M285" s="29">
        <v>0.1</v>
      </c>
      <c r="N285" s="25">
        <v>6750</v>
      </c>
      <c r="O285" s="25">
        <v>5233.78</v>
      </c>
      <c r="P285" s="25">
        <v>1516.22</v>
      </c>
      <c r="Q285" s="21">
        <v>22.46</v>
      </c>
      <c r="R285" s="11" t="s">
        <v>166</v>
      </c>
      <c r="S285" s="11" t="s">
        <v>74</v>
      </c>
      <c r="T285" s="11" t="s">
        <v>63</v>
      </c>
      <c r="U285" s="11" t="s">
        <v>160</v>
      </c>
      <c r="V285" s="11">
        <v>2025</v>
      </c>
      <c r="W285" s="11" t="s">
        <v>139</v>
      </c>
      <c r="X285" s="11">
        <v>5</v>
      </c>
      <c r="Y285" s="10">
        <v>45936</v>
      </c>
      <c r="Z285" s="11" t="s">
        <v>110</v>
      </c>
      <c r="AA285" s="11" t="s">
        <v>48</v>
      </c>
      <c r="AB285" s="11" t="s">
        <v>111</v>
      </c>
      <c r="AC285" s="11" t="s">
        <v>121</v>
      </c>
      <c r="AD285" s="11">
        <v>1</v>
      </c>
      <c r="AE285" s="11" t="s">
        <v>2213</v>
      </c>
      <c r="AF285" s="11" t="s">
        <v>2219</v>
      </c>
      <c r="AG285" s="25"/>
      <c r="AH285" s="11"/>
      <c r="AI285" s="11"/>
      <c r="AJ285" s="11"/>
      <c r="AK285" s="11"/>
      <c r="AL285" s="11"/>
      <c r="AM285" s="11" t="str">
        <f t="shared" si="24"/>
        <v>Needs Improvement</v>
      </c>
      <c r="AN285" s="11" t="str" cm="1">
        <f t="array" ref="AN285">_xlfn.IFS(N285&lt;10000,"Low",N285&lt;30000,"Medium",N285&gt;=30000,"High")</f>
        <v>Low</v>
      </c>
      <c r="AO285" s="11" t="str">
        <f t="shared" si="25"/>
        <v>No</v>
      </c>
      <c r="AP285" s="11" t="str">
        <f t="shared" si="26"/>
        <v>Yes</v>
      </c>
      <c r="AQ285" s="11">
        <f t="shared" si="27"/>
        <v>0.22462518518518518</v>
      </c>
      <c r="AR285" s="33"/>
      <c r="AS285" s="33"/>
      <c r="AT285" s="33"/>
      <c r="AU285" s="33"/>
      <c r="AV285" s="33"/>
      <c r="AW285" s="33"/>
      <c r="AX285" s="33" t="str">
        <f t="shared" si="28"/>
        <v>Low</v>
      </c>
    </row>
    <row r="286" spans="1:50">
      <c r="A286" s="9" t="s">
        <v>1899</v>
      </c>
      <c r="B286" s="10">
        <v>45784</v>
      </c>
      <c r="C286" s="11" t="s">
        <v>805</v>
      </c>
      <c r="D286" s="11" t="s">
        <v>355</v>
      </c>
      <c r="E286" s="11" t="s">
        <v>55</v>
      </c>
      <c r="F286" s="11" t="s">
        <v>82</v>
      </c>
      <c r="G286" s="11" t="s">
        <v>83</v>
      </c>
      <c r="H286" s="11" t="s">
        <v>58</v>
      </c>
      <c r="I286" s="11" t="s">
        <v>84</v>
      </c>
      <c r="J286" s="11" t="s">
        <v>390</v>
      </c>
      <c r="K286" s="25">
        <v>5</v>
      </c>
      <c r="L286" s="25">
        <v>500</v>
      </c>
      <c r="M286" s="29">
        <v>0.15</v>
      </c>
      <c r="N286" s="25">
        <v>2125</v>
      </c>
      <c r="O286" s="25">
        <v>1563.83</v>
      </c>
      <c r="P286" s="25">
        <v>561.16999999999996</v>
      </c>
      <c r="Q286" s="21">
        <v>26.41</v>
      </c>
      <c r="R286" s="11" t="s">
        <v>166</v>
      </c>
      <c r="S286" s="11" t="s">
        <v>74</v>
      </c>
      <c r="T286" s="11" t="s">
        <v>138</v>
      </c>
      <c r="U286" s="11" t="s">
        <v>151</v>
      </c>
      <c r="V286" s="11">
        <v>2025</v>
      </c>
      <c r="W286" s="11" t="s">
        <v>65</v>
      </c>
      <c r="X286" s="11">
        <v>2</v>
      </c>
      <c r="Y286" s="10">
        <v>45845</v>
      </c>
      <c r="Z286" s="11" t="s">
        <v>110</v>
      </c>
      <c r="AA286" s="11" t="s">
        <v>90</v>
      </c>
      <c r="AB286" s="11" t="s">
        <v>78</v>
      </c>
      <c r="AC286" s="11" t="s">
        <v>50</v>
      </c>
      <c r="AD286" s="11">
        <v>5</v>
      </c>
      <c r="AE286" s="11" t="s">
        <v>159</v>
      </c>
      <c r="AF286" s="11" t="s">
        <v>2235</v>
      </c>
      <c r="AG286" s="25"/>
      <c r="AH286" s="11"/>
      <c r="AI286" s="11"/>
      <c r="AJ286" s="11"/>
      <c r="AK286" s="11"/>
      <c r="AL286" s="11"/>
      <c r="AM286" s="11" t="str">
        <f t="shared" si="24"/>
        <v>Needs Improvement</v>
      </c>
      <c r="AN286" s="11" t="str" cm="1">
        <f t="array" ref="AN286">_xlfn.IFS(N286&lt;10000,"Low",N286&lt;30000,"Medium",N286&gt;=30000,"High")</f>
        <v>Low</v>
      </c>
      <c r="AO286" s="11" t="str">
        <f t="shared" si="25"/>
        <v>No</v>
      </c>
      <c r="AP286" s="11" t="str">
        <f t="shared" si="26"/>
        <v>Yes</v>
      </c>
      <c r="AQ286" s="11">
        <f t="shared" si="27"/>
        <v>0.26407999999999998</v>
      </c>
      <c r="AR286" s="33"/>
      <c r="AS286" s="33"/>
      <c r="AT286" s="33"/>
      <c r="AU286" s="33"/>
      <c r="AV286" s="33"/>
      <c r="AW286" s="33"/>
      <c r="AX286" s="33" t="str">
        <f t="shared" si="28"/>
        <v>Low</v>
      </c>
    </row>
    <row r="287" spans="1:50">
      <c r="A287" s="9" t="s">
        <v>2067</v>
      </c>
      <c r="B287" s="10">
        <v>45784</v>
      </c>
      <c r="C287" s="11" t="s">
        <v>766</v>
      </c>
      <c r="D287" s="11" t="s">
        <v>1112</v>
      </c>
      <c r="E287" s="11" t="s">
        <v>103</v>
      </c>
      <c r="F287" s="11" t="s">
        <v>104</v>
      </c>
      <c r="G287" s="11" t="s">
        <v>104</v>
      </c>
      <c r="H287" s="11" t="s">
        <v>171</v>
      </c>
      <c r="I287" s="11" t="s">
        <v>84</v>
      </c>
      <c r="J287" s="11" t="s">
        <v>217</v>
      </c>
      <c r="K287" s="25">
        <v>9</v>
      </c>
      <c r="L287" s="25">
        <v>500</v>
      </c>
      <c r="M287" s="29">
        <v>0.15</v>
      </c>
      <c r="N287" s="25">
        <v>3825</v>
      </c>
      <c r="O287" s="25">
        <v>2412.1799999999998</v>
      </c>
      <c r="P287" s="25">
        <v>1412.82</v>
      </c>
      <c r="Q287" s="21">
        <v>36.94</v>
      </c>
      <c r="R287" s="11" t="s">
        <v>41</v>
      </c>
      <c r="S287" s="11" t="s">
        <v>62</v>
      </c>
      <c r="T287" s="11" t="s">
        <v>159</v>
      </c>
      <c r="U287" s="11" t="s">
        <v>151</v>
      </c>
      <c r="V287" s="11">
        <v>2025</v>
      </c>
      <c r="W287" s="11" t="s">
        <v>65</v>
      </c>
      <c r="X287" s="11">
        <v>8</v>
      </c>
      <c r="Y287" s="10" t="s">
        <v>1630</v>
      </c>
      <c r="Z287" s="11" t="s">
        <v>47</v>
      </c>
      <c r="AA287" s="11" t="s">
        <v>48</v>
      </c>
      <c r="AB287" s="11" t="s">
        <v>111</v>
      </c>
      <c r="AC287" s="11" t="s">
        <v>50</v>
      </c>
      <c r="AD287" s="11">
        <v>5</v>
      </c>
      <c r="AE287" s="11" t="s">
        <v>2233</v>
      </c>
      <c r="AF287" s="11" t="s">
        <v>2219</v>
      </c>
      <c r="AG287" s="25"/>
      <c r="AH287" s="11"/>
      <c r="AI287" s="11"/>
      <c r="AJ287" s="11"/>
      <c r="AK287" s="11"/>
      <c r="AL287" s="11"/>
      <c r="AM287" s="11" t="str">
        <f t="shared" si="24"/>
        <v>Good</v>
      </c>
      <c r="AN287" s="11" t="str" cm="1">
        <f t="array" ref="AN287">_xlfn.IFS(N287&lt;10000,"Low",N287&lt;30000,"Medium",N287&gt;=30000,"High")</f>
        <v>Low</v>
      </c>
      <c r="AO287" s="11" t="str">
        <f t="shared" si="25"/>
        <v>No</v>
      </c>
      <c r="AP287" s="11" t="str">
        <f t="shared" si="26"/>
        <v>No</v>
      </c>
      <c r="AQ287" s="11">
        <f t="shared" si="27"/>
        <v>0.36936470588235293</v>
      </c>
      <c r="AR287" s="33"/>
      <c r="AS287" s="33"/>
      <c r="AT287" s="33"/>
      <c r="AU287" s="33"/>
      <c r="AV287" s="33"/>
      <c r="AW287" s="33"/>
      <c r="AX287" s="33" t="str">
        <f t="shared" si="28"/>
        <v>Low</v>
      </c>
    </row>
    <row r="288" spans="1:50">
      <c r="A288" s="9" t="s">
        <v>1844</v>
      </c>
      <c r="B288" s="10">
        <v>45785</v>
      </c>
      <c r="C288" s="11" t="s">
        <v>565</v>
      </c>
      <c r="D288" s="11" t="s">
        <v>1011</v>
      </c>
      <c r="E288" s="11" t="s">
        <v>55</v>
      </c>
      <c r="F288" s="11" t="s">
        <v>245</v>
      </c>
      <c r="G288" s="11" t="s">
        <v>246</v>
      </c>
      <c r="H288" s="11" t="s">
        <v>171</v>
      </c>
      <c r="I288" s="11" t="s">
        <v>59</v>
      </c>
      <c r="J288" s="11" t="s">
        <v>206</v>
      </c>
      <c r="K288" s="25">
        <v>4</v>
      </c>
      <c r="L288" s="25">
        <v>800</v>
      </c>
      <c r="M288" s="29">
        <v>0.05</v>
      </c>
      <c r="N288" s="25">
        <v>3040</v>
      </c>
      <c r="O288" s="25">
        <v>1970.29</v>
      </c>
      <c r="P288" s="25">
        <v>1069.71</v>
      </c>
      <c r="Q288" s="21">
        <v>35.19</v>
      </c>
      <c r="R288" s="11" t="s">
        <v>61</v>
      </c>
      <c r="S288" s="11" t="s">
        <v>74</v>
      </c>
      <c r="T288" s="11" t="s">
        <v>75</v>
      </c>
      <c r="U288" s="11" t="s">
        <v>218</v>
      </c>
      <c r="V288" s="11">
        <v>2025</v>
      </c>
      <c r="W288" s="11" t="s">
        <v>109</v>
      </c>
      <c r="X288" s="11">
        <v>4</v>
      </c>
      <c r="Y288" s="10">
        <v>45908</v>
      </c>
      <c r="Z288" s="11" t="s">
        <v>89</v>
      </c>
      <c r="AA288" s="11" t="s">
        <v>90</v>
      </c>
      <c r="AB288" s="11" t="s">
        <v>78</v>
      </c>
      <c r="AC288" s="11" t="s">
        <v>121</v>
      </c>
      <c r="AD288" s="11">
        <v>5</v>
      </c>
      <c r="AE288" s="11" t="s">
        <v>2240</v>
      </c>
      <c r="AF288" s="11" t="s">
        <v>2217</v>
      </c>
      <c r="AG288" s="25"/>
      <c r="AH288" s="11"/>
      <c r="AI288" s="11"/>
      <c r="AJ288" s="11"/>
      <c r="AK288" s="11"/>
      <c r="AL288" s="11"/>
      <c r="AM288" s="11" t="str">
        <f t="shared" si="24"/>
        <v>Good</v>
      </c>
      <c r="AN288" s="11" t="str" cm="1">
        <f t="array" ref="AN288">_xlfn.IFS(N288&lt;10000,"Low",N288&lt;30000,"Medium",N288&gt;=30000,"High")</f>
        <v>Low</v>
      </c>
      <c r="AO288" s="11" t="str">
        <f t="shared" si="25"/>
        <v>No</v>
      </c>
      <c r="AP288" s="11" t="str">
        <f t="shared" si="26"/>
        <v>Yes</v>
      </c>
      <c r="AQ288" s="11">
        <f t="shared" si="27"/>
        <v>0.35187828947368421</v>
      </c>
      <c r="AR288" s="33"/>
      <c r="AS288" s="33"/>
      <c r="AT288" s="33"/>
      <c r="AU288" s="33"/>
      <c r="AV288" s="33"/>
      <c r="AW288" s="33"/>
      <c r="AX288" s="33" t="str">
        <f t="shared" si="28"/>
        <v>Low</v>
      </c>
    </row>
    <row r="289" spans="1:50">
      <c r="A289" s="9" t="s">
        <v>1969</v>
      </c>
      <c r="B289" s="10">
        <v>45786</v>
      </c>
      <c r="C289" s="11" t="s">
        <v>154</v>
      </c>
      <c r="D289" s="11" t="s">
        <v>870</v>
      </c>
      <c r="E289" s="11" t="s">
        <v>35</v>
      </c>
      <c r="F289" s="11" t="s">
        <v>82</v>
      </c>
      <c r="G289" s="11" t="s">
        <v>83</v>
      </c>
      <c r="H289" s="11" t="s">
        <v>38</v>
      </c>
      <c r="I289" s="11" t="s">
        <v>95</v>
      </c>
      <c r="J289" s="11" t="s">
        <v>344</v>
      </c>
      <c r="K289" s="25">
        <v>3</v>
      </c>
      <c r="L289" s="25">
        <v>15000</v>
      </c>
      <c r="M289" s="29">
        <v>0.2</v>
      </c>
      <c r="N289" s="25">
        <v>36000</v>
      </c>
      <c r="O289" s="25">
        <v>20902</v>
      </c>
      <c r="P289" s="25">
        <v>15098</v>
      </c>
      <c r="Q289" s="21">
        <v>41.94</v>
      </c>
      <c r="R289" s="11" t="s">
        <v>41</v>
      </c>
      <c r="S289" s="11" t="s">
        <v>74</v>
      </c>
      <c r="T289" s="11" t="s">
        <v>63</v>
      </c>
      <c r="U289" s="11" t="s">
        <v>108</v>
      </c>
      <c r="V289" s="11">
        <v>2025</v>
      </c>
      <c r="W289" s="11" t="s">
        <v>194</v>
      </c>
      <c r="X289" s="11">
        <v>2</v>
      </c>
      <c r="Y289" s="10">
        <v>45847</v>
      </c>
      <c r="Z289" s="11" t="s">
        <v>47</v>
      </c>
      <c r="AA289" s="11" t="s">
        <v>90</v>
      </c>
      <c r="AB289" s="11" t="s">
        <v>49</v>
      </c>
      <c r="AC289" s="11" t="s">
        <v>121</v>
      </c>
      <c r="AD289" s="11">
        <v>3</v>
      </c>
      <c r="AE289" s="11" t="s">
        <v>2216</v>
      </c>
      <c r="AF289" s="11" t="s">
        <v>2236</v>
      </c>
      <c r="AG289" s="25"/>
      <c r="AH289" s="11"/>
      <c r="AI289" s="11"/>
      <c r="AJ289" s="11"/>
      <c r="AK289" s="11"/>
      <c r="AL289" s="11"/>
      <c r="AM289" s="11" t="str">
        <f t="shared" si="24"/>
        <v>Good</v>
      </c>
      <c r="AN289" s="11" t="str" cm="1">
        <f t="array" ref="AN289">_xlfn.IFS(N289&lt;10000,"Low",N289&lt;30000,"Medium",N289&gt;=30000,"High")</f>
        <v>High</v>
      </c>
      <c r="AO289" s="11" t="str">
        <f t="shared" si="25"/>
        <v>Yes</v>
      </c>
      <c r="AP289" s="11" t="str">
        <f t="shared" si="26"/>
        <v>Yes</v>
      </c>
      <c r="AQ289" s="11">
        <f t="shared" si="27"/>
        <v>0.41938888888888887</v>
      </c>
      <c r="AR289" s="33"/>
      <c r="AS289" s="33"/>
      <c r="AT289" s="33"/>
      <c r="AU289" s="33"/>
      <c r="AV289" s="33"/>
      <c r="AW289" s="33"/>
      <c r="AX289" s="33" t="str">
        <f t="shared" si="28"/>
        <v>Good</v>
      </c>
    </row>
    <row r="290" spans="1:50">
      <c r="A290" s="9" t="s">
        <v>1916</v>
      </c>
      <c r="B290" s="10">
        <v>45787</v>
      </c>
      <c r="C290" s="11" t="s">
        <v>1295</v>
      </c>
      <c r="D290" s="11" t="s">
        <v>197</v>
      </c>
      <c r="E290" s="11" t="s">
        <v>35</v>
      </c>
      <c r="F290" s="11" t="s">
        <v>144</v>
      </c>
      <c r="G290" s="11" t="s">
        <v>145</v>
      </c>
      <c r="H290" s="11" t="s">
        <v>38</v>
      </c>
      <c r="I290" s="11" t="s">
        <v>71</v>
      </c>
      <c r="J290" s="11" t="s">
        <v>117</v>
      </c>
      <c r="K290" s="25">
        <v>5</v>
      </c>
      <c r="L290" s="25">
        <v>700</v>
      </c>
      <c r="M290" s="29">
        <v>0.15</v>
      </c>
      <c r="N290" s="25">
        <v>2975</v>
      </c>
      <c r="O290" s="25">
        <v>1723.06</v>
      </c>
      <c r="P290" s="25">
        <v>1251.94</v>
      </c>
      <c r="Q290" s="21">
        <v>42.08</v>
      </c>
      <c r="R290" s="11" t="s">
        <v>73</v>
      </c>
      <c r="S290" s="11" t="s">
        <v>74</v>
      </c>
      <c r="T290" s="11" t="s">
        <v>97</v>
      </c>
      <c r="U290" s="11" t="s">
        <v>87</v>
      </c>
      <c r="V290" s="11">
        <v>2025</v>
      </c>
      <c r="W290" s="11" t="s">
        <v>45</v>
      </c>
      <c r="X290" s="11">
        <v>8</v>
      </c>
      <c r="Y290" s="10" t="s">
        <v>1330</v>
      </c>
      <c r="Z290" s="11" t="s">
        <v>89</v>
      </c>
      <c r="AA290" s="11" t="s">
        <v>90</v>
      </c>
      <c r="AB290" s="11" t="s">
        <v>49</v>
      </c>
      <c r="AC290" s="11" t="s">
        <v>121</v>
      </c>
      <c r="AD290" s="11">
        <v>3</v>
      </c>
      <c r="AE290" s="11" t="s">
        <v>118</v>
      </c>
      <c r="AF290" s="11" t="s">
        <v>2236</v>
      </c>
      <c r="AG290" s="25"/>
      <c r="AH290" s="11"/>
      <c r="AI290" s="11"/>
      <c r="AJ290" s="11"/>
      <c r="AK290" s="11"/>
      <c r="AL290" s="11"/>
      <c r="AM290" s="11" t="str">
        <f t="shared" si="24"/>
        <v>Good</v>
      </c>
      <c r="AN290" s="11" t="str" cm="1">
        <f t="array" ref="AN290">_xlfn.IFS(N290&lt;10000,"Low",N290&lt;30000,"Medium",N290&gt;=30000,"High")</f>
        <v>Low</v>
      </c>
      <c r="AO290" s="11" t="str">
        <f t="shared" si="25"/>
        <v>No</v>
      </c>
      <c r="AP290" s="11" t="str">
        <f t="shared" si="26"/>
        <v>Yes</v>
      </c>
      <c r="AQ290" s="11">
        <f t="shared" si="27"/>
        <v>0.42082016806722689</v>
      </c>
      <c r="AR290" s="33"/>
      <c r="AS290" s="33"/>
      <c r="AT290" s="33"/>
      <c r="AU290" s="33"/>
      <c r="AV290" s="33"/>
      <c r="AW290" s="33"/>
      <c r="AX290" s="33" t="str">
        <f t="shared" si="28"/>
        <v>Low</v>
      </c>
    </row>
    <row r="291" spans="1:50">
      <c r="A291" s="9" t="s">
        <v>1133</v>
      </c>
      <c r="B291" s="10">
        <v>45788</v>
      </c>
      <c r="C291" s="11" t="s">
        <v>1134</v>
      </c>
      <c r="D291" s="11" t="s">
        <v>310</v>
      </c>
      <c r="E291" s="11" t="s">
        <v>35</v>
      </c>
      <c r="F291" s="11" t="s">
        <v>104</v>
      </c>
      <c r="G291" s="11" t="s">
        <v>104</v>
      </c>
      <c r="H291" s="11" t="s">
        <v>58</v>
      </c>
      <c r="I291" s="11" t="s">
        <v>39</v>
      </c>
      <c r="J291" s="11" t="s">
        <v>165</v>
      </c>
      <c r="K291" s="25">
        <v>3</v>
      </c>
      <c r="L291" s="25">
        <v>35000</v>
      </c>
      <c r="M291" s="29">
        <v>0.05</v>
      </c>
      <c r="N291" s="25">
        <v>99750</v>
      </c>
      <c r="O291" s="25">
        <v>76619.67</v>
      </c>
      <c r="P291" s="25">
        <v>23130.33</v>
      </c>
      <c r="Q291" s="21">
        <v>23.19</v>
      </c>
      <c r="R291" s="11" t="s">
        <v>61</v>
      </c>
      <c r="S291" s="11" t="s">
        <v>74</v>
      </c>
      <c r="T291" s="11" t="s">
        <v>118</v>
      </c>
      <c r="U291" s="11" t="s">
        <v>198</v>
      </c>
      <c r="V291" s="11">
        <v>2025</v>
      </c>
      <c r="W291" s="11" t="s">
        <v>134</v>
      </c>
      <c r="X291" s="11">
        <v>8</v>
      </c>
      <c r="Y291" s="10" t="s">
        <v>910</v>
      </c>
      <c r="Z291" s="11" t="s">
        <v>47</v>
      </c>
      <c r="AA291" s="11" t="s">
        <v>48</v>
      </c>
      <c r="AB291" s="11" t="s">
        <v>49</v>
      </c>
      <c r="AC291" s="11" t="s">
        <v>50</v>
      </c>
      <c r="AD291" s="11">
        <v>4</v>
      </c>
      <c r="AE291" s="11" t="s">
        <v>2213</v>
      </c>
      <c r="AF291" s="11" t="s">
        <v>2219</v>
      </c>
      <c r="AG291" s="25"/>
      <c r="AH291" s="11"/>
      <c r="AI291" s="11"/>
      <c r="AJ291" s="11"/>
      <c r="AK291" s="11"/>
      <c r="AL291" s="11"/>
      <c r="AM291" s="11" t="str">
        <f t="shared" si="24"/>
        <v>Needs Improvement</v>
      </c>
      <c r="AN291" s="11" t="str" cm="1">
        <f t="array" ref="AN291">_xlfn.IFS(N291&lt;10000,"Low",N291&lt;30000,"Medium",N291&gt;=30000,"High")</f>
        <v>High</v>
      </c>
      <c r="AO291" s="11" t="str">
        <f t="shared" si="25"/>
        <v>Yes</v>
      </c>
      <c r="AP291" s="11" t="str">
        <f t="shared" si="26"/>
        <v>Yes</v>
      </c>
      <c r="AQ291" s="11">
        <f t="shared" si="27"/>
        <v>0.23188300751879701</v>
      </c>
      <c r="AR291" s="33"/>
      <c r="AS291" s="33"/>
      <c r="AT291" s="33"/>
      <c r="AU291" s="33"/>
      <c r="AV291" s="33"/>
      <c r="AW291" s="33"/>
      <c r="AX291" s="33" t="str">
        <f t="shared" si="28"/>
        <v>Excellent</v>
      </c>
    </row>
    <row r="292" spans="1:50">
      <c r="A292" s="9" t="s">
        <v>922</v>
      </c>
      <c r="B292" s="10">
        <v>45789</v>
      </c>
      <c r="C292" s="11" t="s">
        <v>923</v>
      </c>
      <c r="D292" s="11" t="s">
        <v>924</v>
      </c>
      <c r="E292" s="11" t="s">
        <v>103</v>
      </c>
      <c r="F292" s="11" t="s">
        <v>131</v>
      </c>
      <c r="G292" s="11" t="s">
        <v>132</v>
      </c>
      <c r="H292" s="11" t="s">
        <v>171</v>
      </c>
      <c r="I292" s="11" t="s">
        <v>39</v>
      </c>
      <c r="J292" s="11" t="s">
        <v>165</v>
      </c>
      <c r="K292" s="25">
        <v>1</v>
      </c>
      <c r="L292" s="25">
        <v>22000</v>
      </c>
      <c r="M292" s="29">
        <v>0.05</v>
      </c>
      <c r="N292" s="25">
        <v>20900</v>
      </c>
      <c r="O292" s="25">
        <v>13539.29</v>
      </c>
      <c r="P292" s="25">
        <v>7360.71</v>
      </c>
      <c r="Q292" s="21">
        <v>35.22</v>
      </c>
      <c r="R292" s="11" t="s">
        <v>61</v>
      </c>
      <c r="S292" s="11" t="s">
        <v>42</v>
      </c>
      <c r="T292" s="11" t="s">
        <v>75</v>
      </c>
      <c r="U292" s="11" t="s">
        <v>64</v>
      </c>
      <c r="V292" s="11">
        <v>2025</v>
      </c>
      <c r="W292" s="11" t="s">
        <v>194</v>
      </c>
      <c r="X292" s="11">
        <v>6</v>
      </c>
      <c r="Y292" s="10">
        <v>45973</v>
      </c>
      <c r="Z292" s="11" t="s">
        <v>110</v>
      </c>
      <c r="AA292" s="11" t="s">
        <v>48</v>
      </c>
      <c r="AB292" s="11" t="s">
        <v>78</v>
      </c>
      <c r="AC292" s="11" t="s">
        <v>50</v>
      </c>
      <c r="AD292" s="11">
        <v>4</v>
      </c>
      <c r="AE292" s="11" t="s">
        <v>2221</v>
      </c>
      <c r="AF292" s="11" t="s">
        <v>2235</v>
      </c>
      <c r="AG292" s="25"/>
      <c r="AH292" s="11"/>
      <c r="AI292" s="11"/>
      <c r="AJ292" s="11"/>
      <c r="AK292" s="11"/>
      <c r="AL292" s="11"/>
      <c r="AM292" s="11" t="str">
        <f t="shared" si="24"/>
        <v>Good</v>
      </c>
      <c r="AN292" s="11" t="str" cm="1">
        <f t="array" ref="AN292">_xlfn.IFS(N292&lt;10000,"Low",N292&lt;30000,"Medium",N292&gt;=30000,"High")</f>
        <v>Medium</v>
      </c>
      <c r="AO292" s="11" t="str">
        <f t="shared" si="25"/>
        <v>No</v>
      </c>
      <c r="AP292" s="11" t="str">
        <f t="shared" si="26"/>
        <v>Yes</v>
      </c>
      <c r="AQ292" s="11">
        <f t="shared" si="27"/>
        <v>0.35218708133971294</v>
      </c>
      <c r="AR292" s="33"/>
      <c r="AS292" s="33"/>
      <c r="AT292" s="33"/>
      <c r="AU292" s="33"/>
      <c r="AV292" s="33"/>
      <c r="AW292" s="33"/>
      <c r="AX292" s="33" t="str">
        <f t="shared" si="28"/>
        <v>Average</v>
      </c>
    </row>
    <row r="293" spans="1:50">
      <c r="A293" s="9" t="s">
        <v>1000</v>
      </c>
      <c r="B293" s="10">
        <v>45789</v>
      </c>
      <c r="C293" s="11" t="s">
        <v>1001</v>
      </c>
      <c r="D293" s="11" t="s">
        <v>1002</v>
      </c>
      <c r="E293" s="11" t="s">
        <v>55</v>
      </c>
      <c r="F293" s="11" t="s">
        <v>149</v>
      </c>
      <c r="G293" s="11" t="s">
        <v>150</v>
      </c>
      <c r="H293" s="11" t="s">
        <v>58</v>
      </c>
      <c r="I293" s="11" t="s">
        <v>39</v>
      </c>
      <c r="J293" s="11" t="s">
        <v>356</v>
      </c>
      <c r="K293" s="25">
        <v>10</v>
      </c>
      <c r="L293" s="25">
        <v>50000</v>
      </c>
      <c r="M293" s="29">
        <v>0.15</v>
      </c>
      <c r="N293" s="25">
        <v>425000</v>
      </c>
      <c r="O293" s="25">
        <v>276368</v>
      </c>
      <c r="P293" s="25">
        <v>148632</v>
      </c>
      <c r="Q293" s="21">
        <v>34.97</v>
      </c>
      <c r="R293" s="11" t="s">
        <v>41</v>
      </c>
      <c r="S293" s="11" t="s">
        <v>62</v>
      </c>
      <c r="T293" s="11" t="s">
        <v>43</v>
      </c>
      <c r="U293" s="11" t="s">
        <v>64</v>
      </c>
      <c r="V293" s="11">
        <v>2025</v>
      </c>
      <c r="W293" s="11" t="s">
        <v>194</v>
      </c>
      <c r="X293" s="11">
        <v>10</v>
      </c>
      <c r="Y293" s="10" t="s">
        <v>602</v>
      </c>
      <c r="Z293" s="11" t="s">
        <v>47</v>
      </c>
      <c r="AA293" s="11" t="s">
        <v>90</v>
      </c>
      <c r="AB293" s="11" t="s">
        <v>78</v>
      </c>
      <c r="AC293" s="11" t="s">
        <v>121</v>
      </c>
      <c r="AD293" s="11">
        <v>5</v>
      </c>
      <c r="AE293" s="11" t="s">
        <v>2213</v>
      </c>
      <c r="AF293" s="11" t="s">
        <v>2222</v>
      </c>
      <c r="AG293" s="25"/>
      <c r="AH293" s="11"/>
      <c r="AI293" s="11"/>
      <c r="AJ293" s="11"/>
      <c r="AK293" s="11"/>
      <c r="AL293" s="11"/>
      <c r="AM293" s="11" t="str">
        <f t="shared" si="24"/>
        <v>Good</v>
      </c>
      <c r="AN293" s="11" t="str" cm="1">
        <f t="array" ref="AN293">_xlfn.IFS(N293&lt;10000,"Low",N293&lt;30000,"Medium",N293&gt;=30000,"High")</f>
        <v>High</v>
      </c>
      <c r="AO293" s="11" t="str">
        <f t="shared" si="25"/>
        <v>Yes</v>
      </c>
      <c r="AP293" s="11" t="str">
        <f t="shared" si="26"/>
        <v>No</v>
      </c>
      <c r="AQ293" s="11">
        <f t="shared" si="27"/>
        <v>0.34972235294117648</v>
      </c>
      <c r="AR293" s="33"/>
      <c r="AS293" s="33"/>
      <c r="AT293" s="33"/>
      <c r="AU293" s="33"/>
      <c r="AV293" s="33"/>
      <c r="AW293" s="33"/>
      <c r="AX293" s="33" t="str">
        <f t="shared" si="28"/>
        <v>Excellent</v>
      </c>
    </row>
    <row r="294" spans="1:50">
      <c r="A294" s="9" t="s">
        <v>1587</v>
      </c>
      <c r="B294" s="10">
        <v>45789</v>
      </c>
      <c r="C294" s="11" t="s">
        <v>1588</v>
      </c>
      <c r="D294" s="11" t="s">
        <v>1480</v>
      </c>
      <c r="E294" s="11" t="s">
        <v>55</v>
      </c>
      <c r="F294" s="11" t="s">
        <v>36</v>
      </c>
      <c r="G294" s="11" t="s">
        <v>37</v>
      </c>
      <c r="H294" s="11" t="s">
        <v>58</v>
      </c>
      <c r="I294" s="11" t="s">
        <v>39</v>
      </c>
      <c r="J294" s="11" t="s">
        <v>40</v>
      </c>
      <c r="K294" s="25">
        <v>2</v>
      </c>
      <c r="L294" s="25">
        <v>15000</v>
      </c>
      <c r="M294" s="29">
        <v>0.1</v>
      </c>
      <c r="N294" s="25">
        <v>27000</v>
      </c>
      <c r="O294" s="25">
        <v>16817.66</v>
      </c>
      <c r="P294" s="25">
        <v>10182.34</v>
      </c>
      <c r="Q294" s="21">
        <v>37.71</v>
      </c>
      <c r="R294" s="11" t="s">
        <v>73</v>
      </c>
      <c r="S294" s="11" t="s">
        <v>62</v>
      </c>
      <c r="T294" s="11" t="s">
        <v>118</v>
      </c>
      <c r="U294" s="11" t="s">
        <v>64</v>
      </c>
      <c r="V294" s="11">
        <v>2025</v>
      </c>
      <c r="W294" s="11" t="s">
        <v>194</v>
      </c>
      <c r="X294" s="11">
        <v>10</v>
      </c>
      <c r="Y294" s="10" t="s">
        <v>602</v>
      </c>
      <c r="Z294" s="11" t="s">
        <v>110</v>
      </c>
      <c r="AA294" s="11" t="s">
        <v>48</v>
      </c>
      <c r="AB294" s="11" t="s">
        <v>78</v>
      </c>
      <c r="AC294" s="11" t="s">
        <v>50</v>
      </c>
      <c r="AD294" s="11">
        <v>1</v>
      </c>
      <c r="AE294" s="11" t="s">
        <v>2233</v>
      </c>
      <c r="AF294" s="11" t="s">
        <v>2249</v>
      </c>
      <c r="AG294" s="25"/>
      <c r="AH294" s="11"/>
      <c r="AI294" s="11"/>
      <c r="AJ294" s="11"/>
      <c r="AK294" s="11"/>
      <c r="AL294" s="11"/>
      <c r="AM294" s="11" t="str">
        <f t="shared" si="24"/>
        <v>Good</v>
      </c>
      <c r="AN294" s="11" t="str" cm="1">
        <f t="array" ref="AN294">_xlfn.IFS(N294&lt;10000,"Low",N294&lt;30000,"Medium",N294&gt;=30000,"High")</f>
        <v>Medium</v>
      </c>
      <c r="AO294" s="11" t="str">
        <f t="shared" si="25"/>
        <v>No</v>
      </c>
      <c r="AP294" s="11" t="str">
        <f t="shared" si="26"/>
        <v>No</v>
      </c>
      <c r="AQ294" s="11">
        <f t="shared" si="27"/>
        <v>0.37712370370370368</v>
      </c>
      <c r="AR294" s="33"/>
      <c r="AS294" s="33"/>
      <c r="AT294" s="33"/>
      <c r="AU294" s="33"/>
      <c r="AV294" s="33"/>
      <c r="AW294" s="33"/>
      <c r="AX294" s="33" t="str">
        <f t="shared" si="28"/>
        <v>Good</v>
      </c>
    </row>
    <row r="295" spans="1:50">
      <c r="A295" s="9" t="s">
        <v>1990</v>
      </c>
      <c r="B295" s="10">
        <v>45789</v>
      </c>
      <c r="C295" s="11" t="s">
        <v>980</v>
      </c>
      <c r="D295" s="11" t="s">
        <v>810</v>
      </c>
      <c r="E295" s="11" t="s">
        <v>35</v>
      </c>
      <c r="F295" s="11" t="s">
        <v>36</v>
      </c>
      <c r="G295" s="11" t="s">
        <v>37</v>
      </c>
      <c r="H295" s="11" t="s">
        <v>38</v>
      </c>
      <c r="I295" s="11" t="s">
        <v>95</v>
      </c>
      <c r="J295" s="11" t="s">
        <v>184</v>
      </c>
      <c r="K295" s="25">
        <v>5</v>
      </c>
      <c r="L295" s="25">
        <v>9000</v>
      </c>
      <c r="M295" s="29">
        <v>0.05</v>
      </c>
      <c r="N295" s="25">
        <v>42750</v>
      </c>
      <c r="O295" s="25">
        <v>28980.53</v>
      </c>
      <c r="P295" s="25">
        <v>13769.47</v>
      </c>
      <c r="Q295" s="21">
        <v>32.21</v>
      </c>
      <c r="R295" s="11" t="s">
        <v>166</v>
      </c>
      <c r="S295" s="11" t="s">
        <v>74</v>
      </c>
      <c r="T295" s="11" t="s">
        <v>173</v>
      </c>
      <c r="U295" s="11" t="s">
        <v>64</v>
      </c>
      <c r="V295" s="11">
        <v>2025</v>
      </c>
      <c r="W295" s="11" t="s">
        <v>194</v>
      </c>
      <c r="X295" s="11">
        <v>2</v>
      </c>
      <c r="Y295" s="10">
        <v>45850</v>
      </c>
      <c r="Z295" s="11" t="s">
        <v>47</v>
      </c>
      <c r="AA295" s="11" t="s">
        <v>90</v>
      </c>
      <c r="AB295" s="11" t="s">
        <v>49</v>
      </c>
      <c r="AC295" s="11" t="s">
        <v>121</v>
      </c>
      <c r="AD295" s="11">
        <v>2</v>
      </c>
      <c r="AE295" s="11" t="s">
        <v>2248</v>
      </c>
      <c r="AF295" s="11" t="s">
        <v>2236</v>
      </c>
      <c r="AG295" s="25"/>
      <c r="AH295" s="11"/>
      <c r="AI295" s="11"/>
      <c r="AJ295" s="11"/>
      <c r="AK295" s="11"/>
      <c r="AL295" s="11"/>
      <c r="AM295" s="11" t="str">
        <f t="shared" si="24"/>
        <v>Good</v>
      </c>
      <c r="AN295" s="11" t="str" cm="1">
        <f t="array" ref="AN295">_xlfn.IFS(N295&lt;10000,"Low",N295&lt;30000,"Medium",N295&gt;=30000,"High")</f>
        <v>High</v>
      </c>
      <c r="AO295" s="11" t="str">
        <f t="shared" si="25"/>
        <v>Yes</v>
      </c>
      <c r="AP295" s="11" t="str">
        <f t="shared" si="26"/>
        <v>Yes</v>
      </c>
      <c r="AQ295" s="11">
        <f t="shared" si="27"/>
        <v>0.322092865497076</v>
      </c>
      <c r="AR295" s="33"/>
      <c r="AS295" s="33"/>
      <c r="AT295" s="33"/>
      <c r="AU295" s="33"/>
      <c r="AV295" s="33"/>
      <c r="AW295" s="33"/>
      <c r="AX295" s="33" t="str">
        <f t="shared" si="28"/>
        <v>Good</v>
      </c>
    </row>
    <row r="296" spans="1:50">
      <c r="A296" s="9" t="s">
        <v>972</v>
      </c>
      <c r="B296" s="10">
        <v>45809</v>
      </c>
      <c r="C296" s="11" t="s">
        <v>619</v>
      </c>
      <c r="D296" s="11" t="s">
        <v>548</v>
      </c>
      <c r="E296" s="11" t="s">
        <v>35</v>
      </c>
      <c r="F296" s="11" t="s">
        <v>116</v>
      </c>
      <c r="G296" s="11" t="s">
        <v>37</v>
      </c>
      <c r="H296" s="11" t="s">
        <v>38</v>
      </c>
      <c r="I296" s="11" t="s">
        <v>84</v>
      </c>
      <c r="J296" s="11" t="s">
        <v>217</v>
      </c>
      <c r="K296" s="25">
        <v>7</v>
      </c>
      <c r="L296" s="25">
        <v>350</v>
      </c>
      <c r="M296" s="29">
        <v>0.15</v>
      </c>
      <c r="N296" s="25">
        <v>2082.5</v>
      </c>
      <c r="O296" s="25">
        <v>1688.27</v>
      </c>
      <c r="P296" s="25">
        <v>394.23</v>
      </c>
      <c r="Q296" s="21">
        <v>18.93</v>
      </c>
      <c r="R296" s="11" t="s">
        <v>73</v>
      </c>
      <c r="S296" s="11" t="s">
        <v>42</v>
      </c>
      <c r="T296" s="11" t="s">
        <v>159</v>
      </c>
      <c r="U296" s="11" t="s">
        <v>76</v>
      </c>
      <c r="V296" s="11">
        <v>2025</v>
      </c>
      <c r="W296" s="11" t="s">
        <v>126</v>
      </c>
      <c r="X296" s="11">
        <v>10</v>
      </c>
      <c r="Y296" s="10" t="s">
        <v>776</v>
      </c>
      <c r="Z296" s="11" t="s">
        <v>89</v>
      </c>
      <c r="AA296" s="11" t="s">
        <v>48</v>
      </c>
      <c r="AB296" s="11" t="s">
        <v>111</v>
      </c>
      <c r="AC296" s="11" t="s">
        <v>121</v>
      </c>
      <c r="AD296" s="11">
        <v>2</v>
      </c>
      <c r="AE296" s="11" t="s">
        <v>2248</v>
      </c>
      <c r="AF296" s="11" t="s">
        <v>2222</v>
      </c>
      <c r="AG296" s="25"/>
      <c r="AH296" s="11"/>
      <c r="AI296" s="11"/>
      <c r="AJ296" s="11"/>
      <c r="AK296" s="11"/>
      <c r="AL296" s="11"/>
      <c r="AM296" s="11" t="str">
        <f t="shared" si="24"/>
        <v>Needs Improvement</v>
      </c>
      <c r="AN296" s="11" t="str" cm="1">
        <f t="array" ref="AN296">_xlfn.IFS(N296&lt;10000,"Low",N296&lt;30000,"Medium",N296&gt;=30000,"High")</f>
        <v>Low</v>
      </c>
      <c r="AO296" s="11" t="str">
        <f t="shared" si="25"/>
        <v>No</v>
      </c>
      <c r="AP296" s="11" t="str">
        <f t="shared" si="26"/>
        <v>Yes</v>
      </c>
      <c r="AQ296" s="11">
        <f t="shared" si="27"/>
        <v>0.1893061224489796</v>
      </c>
      <c r="AR296" s="33"/>
      <c r="AS296" s="33"/>
      <c r="AT296" s="33"/>
      <c r="AU296" s="33"/>
      <c r="AV296" s="33"/>
      <c r="AW296" s="33"/>
      <c r="AX296" s="33" t="str">
        <f t="shared" si="28"/>
        <v>Low</v>
      </c>
    </row>
    <row r="297" spans="1:50">
      <c r="A297" s="9" t="s">
        <v>613</v>
      </c>
      <c r="B297" s="10">
        <v>45812</v>
      </c>
      <c r="C297" s="11" t="s">
        <v>614</v>
      </c>
      <c r="D297" s="11" t="s">
        <v>512</v>
      </c>
      <c r="E297" s="11" t="s">
        <v>103</v>
      </c>
      <c r="F297" s="11" t="s">
        <v>144</v>
      </c>
      <c r="G297" s="11" t="s">
        <v>145</v>
      </c>
      <c r="H297" s="11" t="s">
        <v>94</v>
      </c>
      <c r="I297" s="11" t="s">
        <v>59</v>
      </c>
      <c r="J297" s="11" t="s">
        <v>133</v>
      </c>
      <c r="K297" s="25">
        <v>6</v>
      </c>
      <c r="L297" s="25">
        <v>500</v>
      </c>
      <c r="M297" s="29">
        <v>0.1</v>
      </c>
      <c r="N297" s="25">
        <v>2700</v>
      </c>
      <c r="O297" s="25">
        <v>1744.39</v>
      </c>
      <c r="P297" s="25">
        <v>955.61</v>
      </c>
      <c r="Q297" s="21">
        <v>35.39</v>
      </c>
      <c r="R297" s="11" t="s">
        <v>106</v>
      </c>
      <c r="S297" s="11" t="s">
        <v>42</v>
      </c>
      <c r="T297" s="11" t="s">
        <v>159</v>
      </c>
      <c r="U297" s="11" t="s">
        <v>44</v>
      </c>
      <c r="V297" s="11">
        <v>2025</v>
      </c>
      <c r="W297" s="11" t="s">
        <v>45</v>
      </c>
      <c r="X297" s="11">
        <v>8</v>
      </c>
      <c r="Y297" s="10" t="s">
        <v>615</v>
      </c>
      <c r="Z297" s="11" t="s">
        <v>47</v>
      </c>
      <c r="AA297" s="11" t="s">
        <v>90</v>
      </c>
      <c r="AB297" s="11" t="s">
        <v>111</v>
      </c>
      <c r="AC297" s="11" t="s">
        <v>121</v>
      </c>
      <c r="AD297" s="11">
        <v>1</v>
      </c>
      <c r="AE297" s="11" t="s">
        <v>2221</v>
      </c>
      <c r="AF297" s="11" t="s">
        <v>2222</v>
      </c>
      <c r="AG297" s="25"/>
      <c r="AH297" s="11"/>
      <c r="AI297" s="11"/>
      <c r="AJ297" s="11"/>
      <c r="AK297" s="11"/>
      <c r="AL297" s="11"/>
      <c r="AM297" s="11" t="str">
        <f t="shared" si="24"/>
        <v>Good</v>
      </c>
      <c r="AN297" s="11" t="str" cm="1">
        <f t="array" ref="AN297">_xlfn.IFS(N297&lt;10000,"Low",N297&lt;30000,"Medium",N297&gt;=30000,"High")</f>
        <v>Low</v>
      </c>
      <c r="AO297" s="11" t="str">
        <f t="shared" si="25"/>
        <v>No</v>
      </c>
      <c r="AP297" s="11" t="str">
        <f t="shared" si="26"/>
        <v>Yes</v>
      </c>
      <c r="AQ297" s="11">
        <f t="shared" si="27"/>
        <v>0.35392962962962965</v>
      </c>
      <c r="AR297" s="33"/>
      <c r="AS297" s="33"/>
      <c r="AT297" s="33"/>
      <c r="AU297" s="33"/>
      <c r="AV297" s="33"/>
      <c r="AW297" s="33"/>
      <c r="AX297" s="33" t="str">
        <f t="shared" si="28"/>
        <v>Low</v>
      </c>
    </row>
    <row r="298" spans="1:50">
      <c r="A298" s="9" t="s">
        <v>654</v>
      </c>
      <c r="B298" s="10">
        <v>45812</v>
      </c>
      <c r="C298" s="11" t="s">
        <v>655</v>
      </c>
      <c r="D298" s="11" t="s">
        <v>542</v>
      </c>
      <c r="E298" s="11" t="s">
        <v>35</v>
      </c>
      <c r="F298" s="11" t="s">
        <v>245</v>
      </c>
      <c r="G298" s="11" t="s">
        <v>246</v>
      </c>
      <c r="H298" s="11" t="s">
        <v>94</v>
      </c>
      <c r="I298" s="11" t="s">
        <v>71</v>
      </c>
      <c r="J298" s="11" t="s">
        <v>240</v>
      </c>
      <c r="K298" s="25">
        <v>3</v>
      </c>
      <c r="L298" s="25">
        <v>1200</v>
      </c>
      <c r="M298" s="29">
        <v>0.1</v>
      </c>
      <c r="N298" s="25">
        <v>3240</v>
      </c>
      <c r="O298" s="25">
        <v>2539.16</v>
      </c>
      <c r="P298" s="25">
        <v>700.84</v>
      </c>
      <c r="Q298" s="21">
        <v>21.63</v>
      </c>
      <c r="R298" s="11" t="s">
        <v>41</v>
      </c>
      <c r="S298" s="11" t="s">
        <v>42</v>
      </c>
      <c r="T298" s="11" t="s">
        <v>138</v>
      </c>
      <c r="U298" s="11" t="s">
        <v>44</v>
      </c>
      <c r="V298" s="11">
        <v>2025</v>
      </c>
      <c r="W298" s="11" t="s">
        <v>45</v>
      </c>
      <c r="X298" s="11">
        <v>10</v>
      </c>
      <c r="Y298" s="10" t="s">
        <v>656</v>
      </c>
      <c r="Z298" s="11" t="s">
        <v>47</v>
      </c>
      <c r="AA298" s="11" t="s">
        <v>67</v>
      </c>
      <c r="AB298" s="11" t="s">
        <v>111</v>
      </c>
      <c r="AC298" s="11" t="s">
        <v>50</v>
      </c>
      <c r="AD298" s="11">
        <v>4</v>
      </c>
      <c r="AE298" s="11" t="s">
        <v>2220</v>
      </c>
      <c r="AF298" s="11" t="s">
        <v>2222</v>
      </c>
      <c r="AG298" s="25"/>
      <c r="AH298" s="11"/>
      <c r="AI298" s="11"/>
      <c r="AJ298" s="11"/>
      <c r="AK298" s="11"/>
      <c r="AL298" s="11"/>
      <c r="AM298" s="11" t="str">
        <f t="shared" si="24"/>
        <v>Needs Improvement</v>
      </c>
      <c r="AN298" s="11" t="str" cm="1">
        <f t="array" ref="AN298">_xlfn.IFS(N298&lt;10000,"Low",N298&lt;30000,"Medium",N298&gt;=30000,"High")</f>
        <v>Low</v>
      </c>
      <c r="AO298" s="11" t="str">
        <f t="shared" si="25"/>
        <v>No</v>
      </c>
      <c r="AP298" s="11" t="str">
        <f t="shared" si="26"/>
        <v>Yes</v>
      </c>
      <c r="AQ298" s="11">
        <f t="shared" si="27"/>
        <v>0.21630864197530866</v>
      </c>
      <c r="AR298" s="33"/>
      <c r="AS298" s="33"/>
      <c r="AT298" s="33"/>
      <c r="AU298" s="33"/>
      <c r="AV298" s="33"/>
      <c r="AW298" s="33"/>
      <c r="AX298" s="33" t="str">
        <f t="shared" si="28"/>
        <v>Low</v>
      </c>
    </row>
    <row r="299" spans="1:50">
      <c r="A299" s="9" t="s">
        <v>962</v>
      </c>
      <c r="B299" s="10">
        <v>45812</v>
      </c>
      <c r="C299" s="11" t="s">
        <v>946</v>
      </c>
      <c r="D299" s="11" t="s">
        <v>963</v>
      </c>
      <c r="E299" s="11" t="s">
        <v>35</v>
      </c>
      <c r="F299" s="11" t="s">
        <v>149</v>
      </c>
      <c r="G299" s="11" t="s">
        <v>150</v>
      </c>
      <c r="H299" s="11" t="s">
        <v>171</v>
      </c>
      <c r="I299" s="11" t="s">
        <v>71</v>
      </c>
      <c r="J299" s="11" t="s">
        <v>240</v>
      </c>
      <c r="K299" s="25">
        <v>6</v>
      </c>
      <c r="L299" s="25">
        <v>2500</v>
      </c>
      <c r="M299" s="29">
        <v>0.1</v>
      </c>
      <c r="N299" s="25">
        <v>13500</v>
      </c>
      <c r="O299" s="25">
        <v>7903</v>
      </c>
      <c r="P299" s="25">
        <v>5597</v>
      </c>
      <c r="Q299" s="21">
        <v>41.46</v>
      </c>
      <c r="R299" s="11" t="s">
        <v>73</v>
      </c>
      <c r="S299" s="11" t="s">
        <v>42</v>
      </c>
      <c r="T299" s="11" t="s">
        <v>75</v>
      </c>
      <c r="U299" s="11" t="s">
        <v>44</v>
      </c>
      <c r="V299" s="11">
        <v>2025</v>
      </c>
      <c r="W299" s="11" t="s">
        <v>45</v>
      </c>
      <c r="X299" s="11">
        <v>3</v>
      </c>
      <c r="Y299" s="10">
        <v>45904</v>
      </c>
      <c r="Z299" s="11" t="s">
        <v>89</v>
      </c>
      <c r="AA299" s="11" t="s">
        <v>67</v>
      </c>
      <c r="AB299" s="11" t="s">
        <v>49</v>
      </c>
      <c r="AC299" s="11" t="s">
        <v>121</v>
      </c>
      <c r="AD299" s="11">
        <v>2</v>
      </c>
      <c r="AE299" s="11" t="s">
        <v>2213</v>
      </c>
      <c r="AF299" s="11" t="s">
        <v>2217</v>
      </c>
      <c r="AG299" s="25"/>
      <c r="AH299" s="11"/>
      <c r="AI299" s="11"/>
      <c r="AJ299" s="11"/>
      <c r="AK299" s="11"/>
      <c r="AL299" s="11"/>
      <c r="AM299" s="11" t="str">
        <f t="shared" si="24"/>
        <v>Good</v>
      </c>
      <c r="AN299" s="11" t="str" cm="1">
        <f t="array" ref="AN299">_xlfn.IFS(N299&lt;10000,"Low",N299&lt;30000,"Medium",N299&gt;=30000,"High")</f>
        <v>Medium</v>
      </c>
      <c r="AO299" s="11" t="str">
        <f t="shared" si="25"/>
        <v>No</v>
      </c>
      <c r="AP299" s="11" t="str">
        <f t="shared" si="26"/>
        <v>Yes</v>
      </c>
      <c r="AQ299" s="11">
        <f t="shared" si="27"/>
        <v>0.41459259259259257</v>
      </c>
      <c r="AR299" s="33"/>
      <c r="AS299" s="33"/>
      <c r="AT299" s="33"/>
      <c r="AU299" s="33"/>
      <c r="AV299" s="33"/>
      <c r="AW299" s="33"/>
      <c r="AX299" s="33" t="str">
        <f t="shared" si="28"/>
        <v>Average</v>
      </c>
    </row>
    <row r="300" spans="1:50">
      <c r="A300" s="9" t="s">
        <v>1401</v>
      </c>
      <c r="B300" s="10">
        <v>45812</v>
      </c>
      <c r="C300" s="11" t="s">
        <v>749</v>
      </c>
      <c r="D300" s="11" t="s">
        <v>1402</v>
      </c>
      <c r="E300" s="11" t="s">
        <v>55</v>
      </c>
      <c r="F300" s="11" t="s">
        <v>104</v>
      </c>
      <c r="G300" s="11" t="s">
        <v>104</v>
      </c>
      <c r="H300" s="11" t="s">
        <v>58</v>
      </c>
      <c r="I300" s="11" t="s">
        <v>71</v>
      </c>
      <c r="J300" s="11" t="s">
        <v>172</v>
      </c>
      <c r="K300" s="25">
        <v>10</v>
      </c>
      <c r="L300" s="25">
        <v>1800</v>
      </c>
      <c r="M300" s="29">
        <v>0.15</v>
      </c>
      <c r="N300" s="25">
        <v>15300</v>
      </c>
      <c r="O300" s="25">
        <v>10104.379999999999</v>
      </c>
      <c r="P300" s="25">
        <v>5195.62</v>
      </c>
      <c r="Q300" s="21">
        <v>33.96</v>
      </c>
      <c r="R300" s="11" t="s">
        <v>73</v>
      </c>
      <c r="S300" s="11" t="s">
        <v>62</v>
      </c>
      <c r="T300" s="11" t="s">
        <v>86</v>
      </c>
      <c r="U300" s="11" t="s">
        <v>44</v>
      </c>
      <c r="V300" s="11">
        <v>2025</v>
      </c>
      <c r="W300" s="11" t="s">
        <v>45</v>
      </c>
      <c r="X300" s="11">
        <v>8</v>
      </c>
      <c r="Y300" s="10" t="s">
        <v>615</v>
      </c>
      <c r="Z300" s="11" t="s">
        <v>110</v>
      </c>
      <c r="AA300" s="11" t="s">
        <v>67</v>
      </c>
      <c r="AB300" s="11" t="s">
        <v>111</v>
      </c>
      <c r="AC300" s="11" t="s">
        <v>121</v>
      </c>
      <c r="AD300" s="11">
        <v>3</v>
      </c>
      <c r="AE300" s="11" t="s">
        <v>2216</v>
      </c>
      <c r="AF300" s="11" t="s">
        <v>2228</v>
      </c>
      <c r="AG300" s="25"/>
      <c r="AH300" s="11"/>
      <c r="AI300" s="11"/>
      <c r="AJ300" s="11"/>
      <c r="AK300" s="11"/>
      <c r="AL300" s="11"/>
      <c r="AM300" s="11" t="str">
        <f t="shared" si="24"/>
        <v>Good</v>
      </c>
      <c r="AN300" s="11" t="str" cm="1">
        <f t="array" ref="AN300">_xlfn.IFS(N300&lt;10000,"Low",N300&lt;30000,"Medium",N300&gt;=30000,"High")</f>
        <v>Medium</v>
      </c>
      <c r="AO300" s="11" t="str">
        <f t="shared" si="25"/>
        <v>No</v>
      </c>
      <c r="AP300" s="11" t="str">
        <f t="shared" si="26"/>
        <v>No</v>
      </c>
      <c r="AQ300" s="11">
        <f t="shared" si="27"/>
        <v>0.3395830065359477</v>
      </c>
      <c r="AR300" s="33"/>
      <c r="AS300" s="33"/>
      <c r="AT300" s="33"/>
      <c r="AU300" s="33"/>
      <c r="AV300" s="33"/>
      <c r="AW300" s="33"/>
      <c r="AX300" s="33" t="str">
        <f t="shared" si="28"/>
        <v>Average</v>
      </c>
    </row>
    <row r="301" spans="1:50">
      <c r="A301" s="9" t="s">
        <v>1886</v>
      </c>
      <c r="B301" s="10">
        <v>45813</v>
      </c>
      <c r="C301" s="11" t="s">
        <v>1618</v>
      </c>
      <c r="D301" s="11" t="s">
        <v>1887</v>
      </c>
      <c r="E301" s="11" t="s">
        <v>103</v>
      </c>
      <c r="F301" s="11" t="s">
        <v>82</v>
      </c>
      <c r="G301" s="11" t="s">
        <v>83</v>
      </c>
      <c r="H301" s="11" t="s">
        <v>58</v>
      </c>
      <c r="I301" s="11" t="s">
        <v>71</v>
      </c>
      <c r="J301" s="11" t="s">
        <v>158</v>
      </c>
      <c r="K301" s="25">
        <v>10</v>
      </c>
      <c r="L301" s="25">
        <v>1200</v>
      </c>
      <c r="M301" s="29">
        <v>0.15</v>
      </c>
      <c r="N301" s="25">
        <v>10200</v>
      </c>
      <c r="O301" s="25">
        <v>6395.83</v>
      </c>
      <c r="P301" s="25">
        <v>3804.17</v>
      </c>
      <c r="Q301" s="21">
        <v>37.299999999999997</v>
      </c>
      <c r="R301" s="11" t="s">
        <v>106</v>
      </c>
      <c r="S301" s="11" t="s">
        <v>74</v>
      </c>
      <c r="T301" s="11" t="s">
        <v>63</v>
      </c>
      <c r="U301" s="11" t="s">
        <v>119</v>
      </c>
      <c r="V301" s="11">
        <v>2025</v>
      </c>
      <c r="W301" s="11" t="s">
        <v>109</v>
      </c>
      <c r="X301" s="11">
        <v>9</v>
      </c>
      <c r="Y301" s="10" t="s">
        <v>261</v>
      </c>
      <c r="Z301" s="11" t="s">
        <v>89</v>
      </c>
      <c r="AA301" s="11" t="s">
        <v>90</v>
      </c>
      <c r="AB301" s="11" t="s">
        <v>49</v>
      </c>
      <c r="AC301" s="11" t="s">
        <v>50</v>
      </c>
      <c r="AD301" s="11">
        <v>1</v>
      </c>
      <c r="AE301" s="11" t="s">
        <v>2213</v>
      </c>
      <c r="AF301" s="11" t="s">
        <v>2224</v>
      </c>
      <c r="AG301" s="25"/>
      <c r="AH301" s="11"/>
      <c r="AI301" s="11"/>
      <c r="AJ301" s="11"/>
      <c r="AK301" s="11"/>
      <c r="AL301" s="11"/>
      <c r="AM301" s="11" t="str">
        <f t="shared" si="24"/>
        <v>Good</v>
      </c>
      <c r="AN301" s="11" t="str" cm="1">
        <f t="array" ref="AN301">_xlfn.IFS(N301&lt;10000,"Low",N301&lt;30000,"Medium",N301&gt;=30000,"High")</f>
        <v>Medium</v>
      </c>
      <c r="AO301" s="11" t="str">
        <f t="shared" si="25"/>
        <v>No</v>
      </c>
      <c r="AP301" s="11" t="str">
        <f t="shared" si="26"/>
        <v>Yes</v>
      </c>
      <c r="AQ301" s="11">
        <f t="shared" si="27"/>
        <v>0.37295784313725489</v>
      </c>
      <c r="AR301" s="33"/>
      <c r="AS301" s="33"/>
      <c r="AT301" s="33"/>
      <c r="AU301" s="33"/>
      <c r="AV301" s="33"/>
      <c r="AW301" s="33"/>
      <c r="AX301" s="33" t="str">
        <f t="shared" si="28"/>
        <v>Low</v>
      </c>
    </row>
    <row r="302" spans="1:50">
      <c r="A302" s="9" t="s">
        <v>1981</v>
      </c>
      <c r="B302" s="10">
        <v>45813</v>
      </c>
      <c r="C302" s="11" t="s">
        <v>368</v>
      </c>
      <c r="D302" s="11" t="s">
        <v>289</v>
      </c>
      <c r="E302" s="11" t="s">
        <v>55</v>
      </c>
      <c r="F302" s="11" t="s">
        <v>149</v>
      </c>
      <c r="G302" s="11" t="s">
        <v>150</v>
      </c>
      <c r="H302" s="11" t="s">
        <v>94</v>
      </c>
      <c r="I302" s="11" t="s">
        <v>84</v>
      </c>
      <c r="J302" s="11" t="s">
        <v>290</v>
      </c>
      <c r="K302" s="25">
        <v>7</v>
      </c>
      <c r="L302" s="25">
        <v>350</v>
      </c>
      <c r="M302" s="29">
        <v>0.05</v>
      </c>
      <c r="N302" s="25">
        <v>2327.5</v>
      </c>
      <c r="O302" s="25">
        <v>1848.73</v>
      </c>
      <c r="P302" s="25">
        <v>478.77</v>
      </c>
      <c r="Q302" s="21">
        <v>20.57</v>
      </c>
      <c r="R302" s="11" t="s">
        <v>73</v>
      </c>
      <c r="S302" s="11" t="s">
        <v>42</v>
      </c>
      <c r="T302" s="11" t="s">
        <v>107</v>
      </c>
      <c r="U302" s="11" t="s">
        <v>119</v>
      </c>
      <c r="V302" s="11">
        <v>2025</v>
      </c>
      <c r="W302" s="11" t="s">
        <v>109</v>
      </c>
      <c r="X302" s="11">
        <v>4</v>
      </c>
      <c r="Y302" s="10">
        <v>45935</v>
      </c>
      <c r="Z302" s="11" t="s">
        <v>110</v>
      </c>
      <c r="AA302" s="11" t="s">
        <v>48</v>
      </c>
      <c r="AB302" s="11" t="s">
        <v>49</v>
      </c>
      <c r="AC302" s="11" t="s">
        <v>121</v>
      </c>
      <c r="AD302" s="11">
        <v>3</v>
      </c>
      <c r="AE302" s="11" t="s">
        <v>2213</v>
      </c>
      <c r="AF302" s="11" t="s">
        <v>2235</v>
      </c>
      <c r="AG302" s="25"/>
      <c r="AH302" s="11"/>
      <c r="AI302" s="11"/>
      <c r="AJ302" s="11"/>
      <c r="AK302" s="11"/>
      <c r="AL302" s="11"/>
      <c r="AM302" s="11" t="str">
        <f t="shared" si="24"/>
        <v>Needs Improvement</v>
      </c>
      <c r="AN302" s="11" t="str" cm="1">
        <f t="array" ref="AN302">_xlfn.IFS(N302&lt;10000,"Low",N302&lt;30000,"Medium",N302&gt;=30000,"High")</f>
        <v>Low</v>
      </c>
      <c r="AO302" s="11" t="str">
        <f t="shared" si="25"/>
        <v>No</v>
      </c>
      <c r="AP302" s="11" t="str">
        <f t="shared" si="26"/>
        <v>Yes</v>
      </c>
      <c r="AQ302" s="11">
        <f t="shared" si="27"/>
        <v>0.20570139634801288</v>
      </c>
      <c r="AR302" s="33"/>
      <c r="AS302" s="33"/>
      <c r="AT302" s="33"/>
      <c r="AU302" s="33"/>
      <c r="AV302" s="33"/>
      <c r="AW302" s="33"/>
      <c r="AX302" s="33" t="str">
        <f t="shared" si="28"/>
        <v>Low</v>
      </c>
    </row>
    <row r="303" spans="1:50">
      <c r="A303" s="9" t="s">
        <v>1881</v>
      </c>
      <c r="B303" s="10">
        <v>45814</v>
      </c>
      <c r="C303" s="11" t="s">
        <v>640</v>
      </c>
      <c r="D303" s="11" t="s">
        <v>1043</v>
      </c>
      <c r="E303" s="11" t="s">
        <v>35</v>
      </c>
      <c r="F303" s="11" t="s">
        <v>131</v>
      </c>
      <c r="G303" s="11" t="s">
        <v>132</v>
      </c>
      <c r="H303" s="11" t="s">
        <v>38</v>
      </c>
      <c r="I303" s="11" t="s">
        <v>84</v>
      </c>
      <c r="J303" s="11" t="s">
        <v>229</v>
      </c>
      <c r="K303" s="25">
        <v>7</v>
      </c>
      <c r="L303" s="25">
        <v>500</v>
      </c>
      <c r="M303" s="29">
        <v>0</v>
      </c>
      <c r="N303" s="25">
        <v>3500</v>
      </c>
      <c r="O303" s="25">
        <v>1947.22</v>
      </c>
      <c r="P303" s="25">
        <v>1552.78</v>
      </c>
      <c r="Q303" s="21">
        <v>44.37</v>
      </c>
      <c r="R303" s="11" t="s">
        <v>41</v>
      </c>
      <c r="S303" s="11" t="s">
        <v>74</v>
      </c>
      <c r="T303" s="11" t="s">
        <v>86</v>
      </c>
      <c r="U303" s="11" t="s">
        <v>160</v>
      </c>
      <c r="V303" s="11">
        <v>2025</v>
      </c>
      <c r="W303" s="11" t="s">
        <v>194</v>
      </c>
      <c r="X303" s="11">
        <v>5</v>
      </c>
      <c r="Y303" s="10">
        <v>45967</v>
      </c>
      <c r="Z303" s="11" t="s">
        <v>110</v>
      </c>
      <c r="AA303" s="11" t="s">
        <v>90</v>
      </c>
      <c r="AB303" s="11" t="s">
        <v>111</v>
      </c>
      <c r="AC303" s="11" t="s">
        <v>50</v>
      </c>
      <c r="AD303" s="11">
        <v>1</v>
      </c>
      <c r="AE303" s="11" t="s">
        <v>2240</v>
      </c>
      <c r="AF303" s="11" t="s">
        <v>2224</v>
      </c>
      <c r="AG303" s="25"/>
      <c r="AH303" s="11"/>
      <c r="AI303" s="11"/>
      <c r="AJ303" s="11"/>
      <c r="AK303" s="11"/>
      <c r="AL303" s="11"/>
      <c r="AM303" s="11" t="str">
        <f t="shared" si="24"/>
        <v>Good</v>
      </c>
      <c r="AN303" s="11" t="str" cm="1">
        <f t="array" ref="AN303">_xlfn.IFS(N303&lt;10000,"Low",N303&lt;30000,"Medium",N303&gt;=30000,"High")</f>
        <v>Low</v>
      </c>
      <c r="AO303" s="11" t="str">
        <f t="shared" si="25"/>
        <v>No</v>
      </c>
      <c r="AP303" s="11" t="str">
        <f t="shared" si="26"/>
        <v>Yes</v>
      </c>
      <c r="AQ303" s="11">
        <f t="shared" si="27"/>
        <v>0.44365142857142859</v>
      </c>
      <c r="AR303" s="33"/>
      <c r="AS303" s="33"/>
      <c r="AT303" s="33"/>
      <c r="AU303" s="33"/>
      <c r="AV303" s="33"/>
      <c r="AW303" s="33"/>
      <c r="AX303" s="33" t="str">
        <f t="shared" si="28"/>
        <v>Low</v>
      </c>
    </row>
    <row r="304" spans="1:50">
      <c r="A304" s="9" t="s">
        <v>291</v>
      </c>
      <c r="B304" s="10">
        <v>45815</v>
      </c>
      <c r="C304" s="11" t="s">
        <v>292</v>
      </c>
      <c r="D304" s="11" t="s">
        <v>293</v>
      </c>
      <c r="E304" s="11" t="s">
        <v>55</v>
      </c>
      <c r="F304" s="11" t="s">
        <v>36</v>
      </c>
      <c r="G304" s="11" t="s">
        <v>37</v>
      </c>
      <c r="H304" s="11" t="s">
        <v>171</v>
      </c>
      <c r="I304" s="11" t="s">
        <v>71</v>
      </c>
      <c r="J304" s="11" t="s">
        <v>240</v>
      </c>
      <c r="K304" s="25">
        <v>7</v>
      </c>
      <c r="L304" s="25">
        <v>1800</v>
      </c>
      <c r="M304" s="29">
        <v>0.2</v>
      </c>
      <c r="N304" s="25">
        <v>10080</v>
      </c>
      <c r="O304" s="25">
        <v>5762.93</v>
      </c>
      <c r="P304" s="25">
        <v>4317.07</v>
      </c>
      <c r="Q304" s="21">
        <v>42.83</v>
      </c>
      <c r="R304" s="11" t="s">
        <v>106</v>
      </c>
      <c r="S304" s="11" t="s">
        <v>74</v>
      </c>
      <c r="T304" s="11" t="s">
        <v>86</v>
      </c>
      <c r="U304" s="11" t="s">
        <v>151</v>
      </c>
      <c r="V304" s="11">
        <v>2025</v>
      </c>
      <c r="W304" s="11" t="s">
        <v>45</v>
      </c>
      <c r="X304" s="11">
        <v>8</v>
      </c>
      <c r="Y304" s="10" t="s">
        <v>294</v>
      </c>
      <c r="Z304" s="11" t="s">
        <v>110</v>
      </c>
      <c r="AA304" s="11" t="s">
        <v>48</v>
      </c>
      <c r="AB304" s="11" t="s">
        <v>111</v>
      </c>
      <c r="AC304" s="11" t="s">
        <v>121</v>
      </c>
      <c r="AD304" s="11">
        <v>3</v>
      </c>
      <c r="AE304" s="11" t="s">
        <v>2221</v>
      </c>
      <c r="AF304" s="11" t="s">
        <v>2214</v>
      </c>
      <c r="AG304" s="25"/>
      <c r="AH304" s="11"/>
      <c r="AI304" s="11"/>
      <c r="AJ304" s="11"/>
      <c r="AK304" s="11"/>
      <c r="AL304" s="11"/>
      <c r="AM304" s="11" t="str">
        <f t="shared" si="24"/>
        <v>Good</v>
      </c>
      <c r="AN304" s="11" t="str" cm="1">
        <f t="array" ref="AN304">_xlfn.IFS(N304&lt;10000,"Low",N304&lt;30000,"Medium",N304&gt;=30000,"High")</f>
        <v>Medium</v>
      </c>
      <c r="AO304" s="11" t="str">
        <f t="shared" si="25"/>
        <v>No</v>
      </c>
      <c r="AP304" s="11" t="str">
        <f t="shared" si="26"/>
        <v>Yes</v>
      </c>
      <c r="AQ304" s="11">
        <f t="shared" si="27"/>
        <v>0.42828075396825394</v>
      </c>
      <c r="AR304" s="33"/>
      <c r="AS304" s="33"/>
      <c r="AT304" s="33"/>
      <c r="AU304" s="33"/>
      <c r="AV304" s="33"/>
      <c r="AW304" s="33"/>
      <c r="AX304" s="33" t="str">
        <f t="shared" si="28"/>
        <v>Low</v>
      </c>
    </row>
    <row r="305" spans="1:50">
      <c r="A305" s="9" t="s">
        <v>976</v>
      </c>
      <c r="B305" s="10">
        <v>45815</v>
      </c>
      <c r="C305" s="11" t="s">
        <v>977</v>
      </c>
      <c r="D305" s="11" t="s">
        <v>594</v>
      </c>
      <c r="E305" s="11" t="s">
        <v>35</v>
      </c>
      <c r="F305" s="11" t="s">
        <v>156</v>
      </c>
      <c r="G305" s="11" t="s">
        <v>157</v>
      </c>
      <c r="H305" s="11" t="s">
        <v>171</v>
      </c>
      <c r="I305" s="11" t="s">
        <v>59</v>
      </c>
      <c r="J305" s="11" t="s">
        <v>372</v>
      </c>
      <c r="K305" s="25">
        <v>5</v>
      </c>
      <c r="L305" s="25">
        <v>1200</v>
      </c>
      <c r="M305" s="29">
        <v>0.15</v>
      </c>
      <c r="N305" s="25">
        <v>5100</v>
      </c>
      <c r="O305" s="25">
        <v>3413.44</v>
      </c>
      <c r="P305" s="25">
        <v>1686.56</v>
      </c>
      <c r="Q305" s="21">
        <v>33.07</v>
      </c>
      <c r="R305" s="11" t="s">
        <v>106</v>
      </c>
      <c r="S305" s="11" t="s">
        <v>74</v>
      </c>
      <c r="T305" s="11" t="s">
        <v>107</v>
      </c>
      <c r="U305" s="11" t="s">
        <v>151</v>
      </c>
      <c r="V305" s="11">
        <v>2025</v>
      </c>
      <c r="W305" s="11" t="s">
        <v>45</v>
      </c>
      <c r="X305" s="11">
        <v>4</v>
      </c>
      <c r="Y305" s="10">
        <v>45937</v>
      </c>
      <c r="Z305" s="11" t="s">
        <v>47</v>
      </c>
      <c r="AA305" s="11" t="s">
        <v>90</v>
      </c>
      <c r="AB305" s="11" t="s">
        <v>78</v>
      </c>
      <c r="AC305" s="11" t="s">
        <v>50</v>
      </c>
      <c r="AD305" s="11">
        <v>4</v>
      </c>
      <c r="AE305" s="11" t="s">
        <v>2221</v>
      </c>
      <c r="AF305" s="11" t="s">
        <v>2228</v>
      </c>
      <c r="AG305" s="25"/>
      <c r="AH305" s="11"/>
      <c r="AI305" s="11"/>
      <c r="AJ305" s="11"/>
      <c r="AK305" s="11"/>
      <c r="AL305" s="11"/>
      <c r="AM305" s="11" t="str">
        <f t="shared" si="24"/>
        <v>Good</v>
      </c>
      <c r="AN305" s="11" t="str" cm="1">
        <f t="array" ref="AN305">_xlfn.IFS(N305&lt;10000,"Low",N305&lt;30000,"Medium",N305&gt;=30000,"High")</f>
        <v>Low</v>
      </c>
      <c r="AO305" s="11" t="str">
        <f t="shared" si="25"/>
        <v>No</v>
      </c>
      <c r="AP305" s="11" t="str">
        <f t="shared" si="26"/>
        <v>Yes</v>
      </c>
      <c r="AQ305" s="11">
        <f t="shared" si="27"/>
        <v>0.33069803921568625</v>
      </c>
      <c r="AR305" s="33"/>
      <c r="AS305" s="33"/>
      <c r="AT305" s="33"/>
      <c r="AU305" s="33"/>
      <c r="AV305" s="33"/>
      <c r="AW305" s="33"/>
      <c r="AX305" s="33" t="str">
        <f t="shared" si="28"/>
        <v>Low</v>
      </c>
    </row>
    <row r="306" spans="1:50">
      <c r="A306" s="9" t="s">
        <v>2055</v>
      </c>
      <c r="B306" s="10">
        <v>45815</v>
      </c>
      <c r="C306" s="11" t="s">
        <v>1410</v>
      </c>
      <c r="D306" s="11" t="s">
        <v>791</v>
      </c>
      <c r="E306" s="11" t="s">
        <v>35</v>
      </c>
      <c r="F306" s="11" t="s">
        <v>131</v>
      </c>
      <c r="G306" s="11" t="s">
        <v>132</v>
      </c>
      <c r="H306" s="11" t="s">
        <v>58</v>
      </c>
      <c r="I306" s="11" t="s">
        <v>71</v>
      </c>
      <c r="J306" s="11" t="s">
        <v>158</v>
      </c>
      <c r="K306" s="25">
        <v>7</v>
      </c>
      <c r="L306" s="25">
        <v>2500</v>
      </c>
      <c r="M306" s="29">
        <v>0.05</v>
      </c>
      <c r="N306" s="25">
        <v>16625</v>
      </c>
      <c r="O306" s="25">
        <v>13335.81</v>
      </c>
      <c r="P306" s="25">
        <v>3289.19</v>
      </c>
      <c r="Q306" s="21">
        <v>19.78</v>
      </c>
      <c r="R306" s="11" t="s">
        <v>166</v>
      </c>
      <c r="S306" s="11" t="s">
        <v>62</v>
      </c>
      <c r="T306" s="11" t="s">
        <v>63</v>
      </c>
      <c r="U306" s="11" t="s">
        <v>151</v>
      </c>
      <c r="V306" s="11">
        <v>2025</v>
      </c>
      <c r="W306" s="11" t="s">
        <v>45</v>
      </c>
      <c r="X306" s="11">
        <v>3</v>
      </c>
      <c r="Y306" s="10">
        <v>45907</v>
      </c>
      <c r="Z306" s="11" t="s">
        <v>47</v>
      </c>
      <c r="AA306" s="11" t="s">
        <v>48</v>
      </c>
      <c r="AB306" s="11" t="s">
        <v>78</v>
      </c>
      <c r="AC306" s="11" t="s">
        <v>50</v>
      </c>
      <c r="AD306" s="11">
        <v>5</v>
      </c>
      <c r="AE306" s="11" t="s">
        <v>2225</v>
      </c>
      <c r="AF306" s="11" t="s">
        <v>2223</v>
      </c>
      <c r="AG306" s="25"/>
      <c r="AH306" s="11"/>
      <c r="AI306" s="11"/>
      <c r="AJ306" s="11"/>
      <c r="AK306" s="11"/>
      <c r="AL306" s="11"/>
      <c r="AM306" s="11" t="str">
        <f t="shared" si="24"/>
        <v>Needs Improvement</v>
      </c>
      <c r="AN306" s="11" t="str" cm="1">
        <f t="array" ref="AN306">_xlfn.IFS(N306&lt;10000,"Low",N306&lt;30000,"Medium",N306&gt;=30000,"High")</f>
        <v>Medium</v>
      </c>
      <c r="AO306" s="11" t="str">
        <f t="shared" si="25"/>
        <v>No</v>
      </c>
      <c r="AP306" s="11" t="str">
        <f t="shared" si="26"/>
        <v>No</v>
      </c>
      <c r="AQ306" s="11">
        <f t="shared" si="27"/>
        <v>0.197846015037594</v>
      </c>
      <c r="AR306" s="33"/>
      <c r="AS306" s="33"/>
      <c r="AT306" s="33"/>
      <c r="AU306" s="33"/>
      <c r="AV306" s="33"/>
      <c r="AW306" s="33"/>
      <c r="AX306" s="33" t="str">
        <f t="shared" si="28"/>
        <v>Low</v>
      </c>
    </row>
    <row r="307" spans="1:50">
      <c r="A307" s="9" t="s">
        <v>1819</v>
      </c>
      <c r="B307" s="10">
        <v>45816</v>
      </c>
      <c r="C307" s="11" t="s">
        <v>296</v>
      </c>
      <c r="D307" s="11" t="s">
        <v>293</v>
      </c>
      <c r="E307" s="11" t="s">
        <v>35</v>
      </c>
      <c r="F307" s="11" t="s">
        <v>56</v>
      </c>
      <c r="G307" s="11" t="s">
        <v>57</v>
      </c>
      <c r="H307" s="11" t="s">
        <v>94</v>
      </c>
      <c r="I307" s="11" t="s">
        <v>95</v>
      </c>
      <c r="J307" s="11" t="s">
        <v>344</v>
      </c>
      <c r="K307" s="25">
        <v>6</v>
      </c>
      <c r="L307" s="25">
        <v>2500</v>
      </c>
      <c r="M307" s="29">
        <v>0.1</v>
      </c>
      <c r="N307" s="25">
        <v>13500</v>
      </c>
      <c r="O307" s="25">
        <v>10026.120000000001</v>
      </c>
      <c r="P307" s="25">
        <v>3473.88</v>
      </c>
      <c r="Q307" s="21">
        <v>25.73</v>
      </c>
      <c r="R307" s="11" t="s">
        <v>73</v>
      </c>
      <c r="S307" s="11" t="s">
        <v>42</v>
      </c>
      <c r="T307" s="11" t="s">
        <v>138</v>
      </c>
      <c r="U307" s="11" t="s">
        <v>218</v>
      </c>
      <c r="V307" s="11">
        <v>2025</v>
      </c>
      <c r="W307" s="11" t="s">
        <v>134</v>
      </c>
      <c r="X307" s="11">
        <v>5</v>
      </c>
      <c r="Y307" s="10">
        <v>45969</v>
      </c>
      <c r="Z307" s="11" t="s">
        <v>47</v>
      </c>
      <c r="AA307" s="11" t="s">
        <v>67</v>
      </c>
      <c r="AB307" s="11" t="s">
        <v>111</v>
      </c>
      <c r="AC307" s="11" t="s">
        <v>50</v>
      </c>
      <c r="AD307" s="11">
        <v>3</v>
      </c>
      <c r="AE307" s="11" t="s">
        <v>2221</v>
      </c>
      <c r="AF307" s="11" t="s">
        <v>2214</v>
      </c>
      <c r="AG307" s="25"/>
      <c r="AH307" s="11"/>
      <c r="AI307" s="11"/>
      <c r="AJ307" s="11"/>
      <c r="AK307" s="11"/>
      <c r="AL307" s="11"/>
      <c r="AM307" s="11" t="str">
        <f t="shared" si="24"/>
        <v>Needs Improvement</v>
      </c>
      <c r="AN307" s="11" t="str" cm="1">
        <f t="array" ref="AN307">_xlfn.IFS(N307&lt;10000,"Low",N307&lt;30000,"Medium",N307&gt;=30000,"High")</f>
        <v>Medium</v>
      </c>
      <c r="AO307" s="11" t="str">
        <f t="shared" si="25"/>
        <v>No</v>
      </c>
      <c r="AP307" s="11" t="str">
        <f t="shared" si="26"/>
        <v>Yes</v>
      </c>
      <c r="AQ307" s="11">
        <f t="shared" si="27"/>
        <v>0.25732444444444447</v>
      </c>
      <c r="AR307" s="33"/>
      <c r="AS307" s="33"/>
      <c r="AT307" s="33"/>
      <c r="AU307" s="33"/>
      <c r="AV307" s="33"/>
      <c r="AW307" s="33"/>
      <c r="AX307" s="33" t="str">
        <f t="shared" si="28"/>
        <v>Low</v>
      </c>
    </row>
    <row r="308" spans="1:50">
      <c r="A308" s="9" t="s">
        <v>2052</v>
      </c>
      <c r="B308" s="10">
        <v>45816</v>
      </c>
      <c r="C308" s="11" t="s">
        <v>889</v>
      </c>
      <c r="D308" s="11" t="s">
        <v>164</v>
      </c>
      <c r="E308" s="11" t="s">
        <v>35</v>
      </c>
      <c r="F308" s="11" t="s">
        <v>82</v>
      </c>
      <c r="G308" s="11" t="s">
        <v>83</v>
      </c>
      <c r="H308" s="11" t="s">
        <v>171</v>
      </c>
      <c r="I308" s="11" t="s">
        <v>59</v>
      </c>
      <c r="J308" s="11" t="s">
        <v>133</v>
      </c>
      <c r="K308" s="25">
        <v>2</v>
      </c>
      <c r="L308" s="25">
        <v>1200</v>
      </c>
      <c r="M308" s="29">
        <v>0.15</v>
      </c>
      <c r="N308" s="25">
        <v>2040</v>
      </c>
      <c r="O308" s="25">
        <v>1409.98</v>
      </c>
      <c r="P308" s="25">
        <v>630.02</v>
      </c>
      <c r="Q308" s="21">
        <v>30.88</v>
      </c>
      <c r="R308" s="11" t="s">
        <v>41</v>
      </c>
      <c r="S308" s="11" t="s">
        <v>62</v>
      </c>
      <c r="T308" s="11" t="s">
        <v>138</v>
      </c>
      <c r="U308" s="11" t="s">
        <v>218</v>
      </c>
      <c r="V308" s="11">
        <v>2025</v>
      </c>
      <c r="W308" s="11" t="s">
        <v>134</v>
      </c>
      <c r="X308" s="11">
        <v>3</v>
      </c>
      <c r="Y308" s="10">
        <v>45908</v>
      </c>
      <c r="Z308" s="11" t="s">
        <v>47</v>
      </c>
      <c r="AA308" s="11" t="s">
        <v>48</v>
      </c>
      <c r="AB308" s="11" t="s">
        <v>49</v>
      </c>
      <c r="AC308" s="11" t="s">
        <v>50</v>
      </c>
      <c r="AD308" s="11">
        <v>2</v>
      </c>
      <c r="AE308" s="11" t="s">
        <v>2237</v>
      </c>
      <c r="AF308" s="11" t="s">
        <v>2249</v>
      </c>
      <c r="AG308" s="25"/>
      <c r="AH308" s="11"/>
      <c r="AI308" s="11"/>
      <c r="AJ308" s="11"/>
      <c r="AK308" s="11"/>
      <c r="AL308" s="11"/>
      <c r="AM308" s="11" t="str">
        <f t="shared" si="24"/>
        <v>Good</v>
      </c>
      <c r="AN308" s="11" t="str" cm="1">
        <f t="array" ref="AN308">_xlfn.IFS(N308&lt;10000,"Low",N308&lt;30000,"Medium",N308&gt;=30000,"High")</f>
        <v>Low</v>
      </c>
      <c r="AO308" s="11" t="str">
        <f t="shared" si="25"/>
        <v>No</v>
      </c>
      <c r="AP308" s="11" t="str">
        <f t="shared" si="26"/>
        <v>No</v>
      </c>
      <c r="AQ308" s="11">
        <f t="shared" si="27"/>
        <v>0.30883333333333335</v>
      </c>
      <c r="AR308" s="33"/>
      <c r="AS308" s="33"/>
      <c r="AT308" s="33"/>
      <c r="AU308" s="33"/>
      <c r="AV308" s="33"/>
      <c r="AW308" s="33"/>
      <c r="AX308" s="33" t="str">
        <f t="shared" si="28"/>
        <v>Low</v>
      </c>
    </row>
    <row r="309" spans="1:50">
      <c r="A309" s="9" t="s">
        <v>1932</v>
      </c>
      <c r="B309" s="10">
        <v>45817</v>
      </c>
      <c r="C309" s="11" t="s">
        <v>619</v>
      </c>
      <c r="D309" s="11" t="s">
        <v>1465</v>
      </c>
      <c r="E309" s="11" t="s">
        <v>55</v>
      </c>
      <c r="F309" s="11" t="s">
        <v>131</v>
      </c>
      <c r="G309" s="11" t="s">
        <v>132</v>
      </c>
      <c r="H309" s="11" t="s">
        <v>171</v>
      </c>
      <c r="I309" s="11" t="s">
        <v>71</v>
      </c>
      <c r="J309" s="11" t="s">
        <v>117</v>
      </c>
      <c r="K309" s="25">
        <v>1</v>
      </c>
      <c r="L309" s="25">
        <v>1200</v>
      </c>
      <c r="M309" s="29">
        <v>0</v>
      </c>
      <c r="N309" s="25">
        <v>1200</v>
      </c>
      <c r="O309" s="25">
        <v>697.43</v>
      </c>
      <c r="P309" s="25">
        <v>502.57</v>
      </c>
      <c r="Q309" s="21">
        <v>41.88</v>
      </c>
      <c r="R309" s="11" t="s">
        <v>106</v>
      </c>
      <c r="S309" s="11" t="s">
        <v>62</v>
      </c>
      <c r="T309" s="11" t="s">
        <v>138</v>
      </c>
      <c r="U309" s="11" t="s">
        <v>108</v>
      </c>
      <c r="V309" s="11">
        <v>2025</v>
      </c>
      <c r="W309" s="11" t="s">
        <v>65</v>
      </c>
      <c r="X309" s="11">
        <v>6</v>
      </c>
      <c r="Y309" s="10">
        <v>46000</v>
      </c>
      <c r="Z309" s="11" t="s">
        <v>47</v>
      </c>
      <c r="AA309" s="11" t="s">
        <v>90</v>
      </c>
      <c r="AB309" s="11" t="s">
        <v>49</v>
      </c>
      <c r="AC309" s="11" t="s">
        <v>121</v>
      </c>
      <c r="AD309" s="11">
        <v>4</v>
      </c>
      <c r="AE309" s="11" t="s">
        <v>118</v>
      </c>
      <c r="AF309" s="11" t="s">
        <v>2223</v>
      </c>
      <c r="AG309" s="25"/>
      <c r="AH309" s="11"/>
      <c r="AI309" s="11"/>
      <c r="AJ309" s="11"/>
      <c r="AK309" s="11"/>
      <c r="AL309" s="11"/>
      <c r="AM309" s="11" t="str">
        <f t="shared" si="24"/>
        <v>Good</v>
      </c>
      <c r="AN309" s="11" t="str" cm="1">
        <f t="array" ref="AN309">_xlfn.IFS(N309&lt;10000,"Low",N309&lt;30000,"Medium",N309&gt;=30000,"High")</f>
        <v>Low</v>
      </c>
      <c r="AO309" s="11" t="str">
        <f t="shared" si="25"/>
        <v>No</v>
      </c>
      <c r="AP309" s="11" t="str">
        <f t="shared" si="26"/>
        <v>No</v>
      </c>
      <c r="AQ309" s="11">
        <f t="shared" si="27"/>
        <v>0.41880833333333334</v>
      </c>
      <c r="AR309" s="33"/>
      <c r="AS309" s="33"/>
      <c r="AT309" s="33"/>
      <c r="AU309" s="33"/>
      <c r="AV309" s="33"/>
      <c r="AW309" s="33"/>
      <c r="AX309" s="33" t="str">
        <f t="shared" si="28"/>
        <v>Low</v>
      </c>
    </row>
    <row r="310" spans="1:50">
      <c r="A310" s="9" t="s">
        <v>2106</v>
      </c>
      <c r="B310" s="10">
        <v>45817</v>
      </c>
      <c r="C310" s="11" t="s">
        <v>1849</v>
      </c>
      <c r="D310" s="11" t="s">
        <v>1342</v>
      </c>
      <c r="E310" s="11" t="s">
        <v>55</v>
      </c>
      <c r="F310" s="11" t="s">
        <v>245</v>
      </c>
      <c r="G310" s="11" t="s">
        <v>246</v>
      </c>
      <c r="H310" s="11" t="s">
        <v>94</v>
      </c>
      <c r="I310" s="11" t="s">
        <v>59</v>
      </c>
      <c r="J310" s="11" t="s">
        <v>133</v>
      </c>
      <c r="K310" s="25">
        <v>10</v>
      </c>
      <c r="L310" s="25">
        <v>1200</v>
      </c>
      <c r="M310" s="29">
        <v>0.05</v>
      </c>
      <c r="N310" s="25">
        <v>11400</v>
      </c>
      <c r="O310" s="25">
        <v>9051.93</v>
      </c>
      <c r="P310" s="25">
        <v>2348.0700000000002</v>
      </c>
      <c r="Q310" s="21">
        <v>20.6</v>
      </c>
      <c r="R310" s="11" t="s">
        <v>106</v>
      </c>
      <c r="S310" s="11" t="s">
        <v>62</v>
      </c>
      <c r="T310" s="11" t="s">
        <v>43</v>
      </c>
      <c r="U310" s="11" t="s">
        <v>108</v>
      </c>
      <c r="V310" s="11">
        <v>2025</v>
      </c>
      <c r="W310" s="11" t="s">
        <v>65</v>
      </c>
      <c r="X310" s="11">
        <v>7</v>
      </c>
      <c r="Y310" s="10" t="s">
        <v>1423</v>
      </c>
      <c r="Z310" s="11" t="s">
        <v>89</v>
      </c>
      <c r="AA310" s="11" t="s">
        <v>48</v>
      </c>
      <c r="AB310" s="11" t="s">
        <v>78</v>
      </c>
      <c r="AC310" s="11" t="s">
        <v>121</v>
      </c>
      <c r="AD310" s="11">
        <v>1</v>
      </c>
      <c r="AE310" s="11" t="s">
        <v>2239</v>
      </c>
      <c r="AF310" s="11" t="s">
        <v>2214</v>
      </c>
      <c r="AG310" s="25"/>
      <c r="AH310" s="11"/>
      <c r="AI310" s="11"/>
      <c r="AJ310" s="11"/>
      <c r="AK310" s="11"/>
      <c r="AL310" s="11"/>
      <c r="AM310" s="11" t="str">
        <f t="shared" si="24"/>
        <v>Needs Improvement</v>
      </c>
      <c r="AN310" s="11" t="str" cm="1">
        <f t="array" ref="AN310">_xlfn.IFS(N310&lt;10000,"Low",N310&lt;30000,"Medium",N310&gt;=30000,"High")</f>
        <v>Medium</v>
      </c>
      <c r="AO310" s="11" t="str">
        <f t="shared" si="25"/>
        <v>No</v>
      </c>
      <c r="AP310" s="11" t="str">
        <f t="shared" si="26"/>
        <v>No</v>
      </c>
      <c r="AQ310" s="11">
        <f t="shared" si="27"/>
        <v>0.20597105263157897</v>
      </c>
      <c r="AR310" s="33"/>
      <c r="AS310" s="33"/>
      <c r="AT310" s="33"/>
      <c r="AU310" s="33"/>
      <c r="AV310" s="33"/>
      <c r="AW310" s="33"/>
      <c r="AX310" s="33" t="str">
        <f t="shared" si="28"/>
        <v>Low</v>
      </c>
    </row>
    <row r="311" spans="1:50">
      <c r="A311" s="9" t="s">
        <v>1076</v>
      </c>
      <c r="B311" s="10">
        <v>45818</v>
      </c>
      <c r="C311" s="11" t="s">
        <v>495</v>
      </c>
      <c r="D311" s="11" t="s">
        <v>1077</v>
      </c>
      <c r="E311" s="11" t="s">
        <v>103</v>
      </c>
      <c r="F311" s="11" t="s">
        <v>149</v>
      </c>
      <c r="G311" s="11" t="s">
        <v>150</v>
      </c>
      <c r="H311" s="11" t="s">
        <v>171</v>
      </c>
      <c r="I311" s="11" t="s">
        <v>95</v>
      </c>
      <c r="J311" s="11" t="s">
        <v>96</v>
      </c>
      <c r="K311" s="25">
        <v>1</v>
      </c>
      <c r="L311" s="25">
        <v>2500</v>
      </c>
      <c r="M311" s="29">
        <v>0.2</v>
      </c>
      <c r="N311" s="25">
        <v>2000</v>
      </c>
      <c r="O311" s="25">
        <v>1361.18</v>
      </c>
      <c r="P311" s="25">
        <v>638.82000000000005</v>
      </c>
      <c r="Q311" s="21">
        <v>31.94</v>
      </c>
      <c r="R311" s="11" t="s">
        <v>61</v>
      </c>
      <c r="S311" s="11" t="s">
        <v>42</v>
      </c>
      <c r="T311" s="11" t="s">
        <v>63</v>
      </c>
      <c r="U311" s="11" t="s">
        <v>87</v>
      </c>
      <c r="V311" s="11">
        <v>2025</v>
      </c>
      <c r="W311" s="11" t="s">
        <v>126</v>
      </c>
      <c r="X311" s="11">
        <v>9</v>
      </c>
      <c r="Y311" s="10" t="s">
        <v>88</v>
      </c>
      <c r="Z311" s="11" t="s">
        <v>47</v>
      </c>
      <c r="AA311" s="11" t="s">
        <v>48</v>
      </c>
      <c r="AB311" s="11" t="s">
        <v>78</v>
      </c>
      <c r="AC311" s="11" t="s">
        <v>121</v>
      </c>
      <c r="AD311" s="11">
        <v>5</v>
      </c>
      <c r="AE311" s="11" t="s">
        <v>2218</v>
      </c>
      <c r="AF311" s="11" t="s">
        <v>2223</v>
      </c>
      <c r="AG311" s="25"/>
      <c r="AH311" s="11"/>
      <c r="AI311" s="11"/>
      <c r="AJ311" s="11"/>
      <c r="AK311" s="11"/>
      <c r="AL311" s="11"/>
      <c r="AM311" s="11" t="str">
        <f t="shared" si="24"/>
        <v>Good</v>
      </c>
      <c r="AN311" s="11" t="str" cm="1">
        <f t="array" ref="AN311">_xlfn.IFS(N311&lt;10000,"Low",N311&lt;30000,"Medium",N311&gt;=30000,"High")</f>
        <v>Low</v>
      </c>
      <c r="AO311" s="11" t="str">
        <f t="shared" si="25"/>
        <v>No</v>
      </c>
      <c r="AP311" s="11" t="str">
        <f t="shared" si="26"/>
        <v>Yes</v>
      </c>
      <c r="AQ311" s="11">
        <f t="shared" si="27"/>
        <v>0.31941000000000003</v>
      </c>
      <c r="AR311" s="33"/>
      <c r="AS311" s="33"/>
      <c r="AT311" s="33"/>
      <c r="AU311" s="33"/>
      <c r="AV311" s="33"/>
      <c r="AW311" s="33"/>
      <c r="AX311" s="33" t="str">
        <f t="shared" si="28"/>
        <v>Low</v>
      </c>
    </row>
    <row r="312" spans="1:50">
      <c r="A312" s="9" t="s">
        <v>1834</v>
      </c>
      <c r="B312" s="10">
        <v>45819</v>
      </c>
      <c r="C312" s="11" t="s">
        <v>1824</v>
      </c>
      <c r="D312" s="11" t="s">
        <v>692</v>
      </c>
      <c r="E312" s="11" t="s">
        <v>55</v>
      </c>
      <c r="F312" s="11" t="s">
        <v>156</v>
      </c>
      <c r="G312" s="11" t="s">
        <v>157</v>
      </c>
      <c r="H312" s="11" t="s">
        <v>58</v>
      </c>
      <c r="I312" s="11" t="s">
        <v>95</v>
      </c>
      <c r="J312" s="11" t="s">
        <v>344</v>
      </c>
      <c r="K312" s="25">
        <v>5</v>
      </c>
      <c r="L312" s="25">
        <v>2500</v>
      </c>
      <c r="M312" s="29">
        <v>0.05</v>
      </c>
      <c r="N312" s="25">
        <v>11875</v>
      </c>
      <c r="O312" s="25">
        <v>9696.09</v>
      </c>
      <c r="P312" s="25">
        <v>2178.91</v>
      </c>
      <c r="Q312" s="21">
        <v>18.350000000000001</v>
      </c>
      <c r="R312" s="11" t="s">
        <v>73</v>
      </c>
      <c r="S312" s="11" t="s">
        <v>74</v>
      </c>
      <c r="T312" s="11" t="s">
        <v>63</v>
      </c>
      <c r="U312" s="11" t="s">
        <v>198</v>
      </c>
      <c r="V312" s="11">
        <v>2025</v>
      </c>
      <c r="W312" s="11" t="s">
        <v>139</v>
      </c>
      <c r="X312" s="11">
        <v>6</v>
      </c>
      <c r="Y312" s="10">
        <v>46002</v>
      </c>
      <c r="Z312" s="11" t="s">
        <v>47</v>
      </c>
      <c r="AA312" s="11" t="s">
        <v>90</v>
      </c>
      <c r="AB312" s="11" t="s">
        <v>111</v>
      </c>
      <c r="AC312" s="11" t="s">
        <v>50</v>
      </c>
      <c r="AD312" s="11">
        <v>4</v>
      </c>
      <c r="AE312" s="11" t="s">
        <v>159</v>
      </c>
      <c r="AF312" s="11" t="s">
        <v>2230</v>
      </c>
      <c r="AG312" s="25"/>
      <c r="AH312" s="11"/>
      <c r="AI312" s="11"/>
      <c r="AJ312" s="11"/>
      <c r="AK312" s="11"/>
      <c r="AL312" s="11"/>
      <c r="AM312" s="11" t="str">
        <f t="shared" si="24"/>
        <v>Needs Improvement</v>
      </c>
      <c r="AN312" s="11" t="str" cm="1">
        <f t="array" ref="AN312">_xlfn.IFS(N312&lt;10000,"Low",N312&lt;30000,"Medium",N312&gt;=30000,"High")</f>
        <v>Medium</v>
      </c>
      <c r="AO312" s="11" t="str">
        <f t="shared" si="25"/>
        <v>No</v>
      </c>
      <c r="AP312" s="11" t="str">
        <f t="shared" si="26"/>
        <v>Yes</v>
      </c>
      <c r="AQ312" s="11">
        <f t="shared" si="27"/>
        <v>0.18348715789473682</v>
      </c>
      <c r="AR312" s="33"/>
      <c r="AS312" s="33"/>
      <c r="AT312" s="33"/>
      <c r="AU312" s="33"/>
      <c r="AV312" s="33"/>
      <c r="AW312" s="33"/>
      <c r="AX312" s="33" t="str">
        <f t="shared" si="28"/>
        <v>Low</v>
      </c>
    </row>
    <row r="313" spans="1:50">
      <c r="A313" s="9" t="s">
        <v>1116</v>
      </c>
      <c r="B313" s="10">
        <v>45840</v>
      </c>
      <c r="C313" s="11" t="s">
        <v>1117</v>
      </c>
      <c r="D313" s="11" t="s">
        <v>1118</v>
      </c>
      <c r="E313" s="11" t="s">
        <v>103</v>
      </c>
      <c r="F313" s="11" t="s">
        <v>116</v>
      </c>
      <c r="G313" s="11" t="s">
        <v>37</v>
      </c>
      <c r="H313" s="11" t="s">
        <v>38</v>
      </c>
      <c r="I313" s="11" t="s">
        <v>39</v>
      </c>
      <c r="J313" s="11" t="s">
        <v>105</v>
      </c>
      <c r="K313" s="25">
        <v>7</v>
      </c>
      <c r="L313" s="25">
        <v>50000</v>
      </c>
      <c r="M313" s="29">
        <v>0.2</v>
      </c>
      <c r="N313" s="25">
        <v>280000</v>
      </c>
      <c r="O313" s="25">
        <v>184696.07</v>
      </c>
      <c r="P313" s="25">
        <v>95303.93</v>
      </c>
      <c r="Q313" s="21">
        <v>34.04</v>
      </c>
      <c r="R313" s="11" t="s">
        <v>166</v>
      </c>
      <c r="S313" s="11" t="s">
        <v>74</v>
      </c>
      <c r="T313" s="11" t="s">
        <v>86</v>
      </c>
      <c r="U313" s="11" t="s">
        <v>98</v>
      </c>
      <c r="V313" s="11">
        <v>2025</v>
      </c>
      <c r="W313" s="11" t="s">
        <v>194</v>
      </c>
      <c r="X313" s="11">
        <v>6</v>
      </c>
      <c r="Y313" s="10" t="s">
        <v>1119</v>
      </c>
      <c r="Z313" s="11" t="s">
        <v>110</v>
      </c>
      <c r="AA313" s="11" t="s">
        <v>48</v>
      </c>
      <c r="AB313" s="11" t="s">
        <v>78</v>
      </c>
      <c r="AC313" s="11" t="s">
        <v>50</v>
      </c>
      <c r="AD313" s="11">
        <v>4</v>
      </c>
      <c r="AE313" s="11" t="s">
        <v>2240</v>
      </c>
      <c r="AF313" s="11" t="s">
        <v>2212</v>
      </c>
      <c r="AG313" s="25"/>
      <c r="AH313" s="11"/>
      <c r="AI313" s="11"/>
      <c r="AJ313" s="11"/>
      <c r="AK313" s="11"/>
      <c r="AL313" s="11"/>
      <c r="AM313" s="11" t="str">
        <f t="shared" si="24"/>
        <v>Good</v>
      </c>
      <c r="AN313" s="11" t="str" cm="1">
        <f t="array" ref="AN313">_xlfn.IFS(N313&lt;10000,"Low",N313&lt;30000,"Medium",N313&gt;=30000,"High")</f>
        <v>High</v>
      </c>
      <c r="AO313" s="11" t="str">
        <f t="shared" si="25"/>
        <v>Yes</v>
      </c>
      <c r="AP313" s="11" t="str">
        <f t="shared" si="26"/>
        <v>Yes</v>
      </c>
      <c r="AQ313" s="11">
        <f t="shared" si="27"/>
        <v>0.34037117857142857</v>
      </c>
      <c r="AR313" s="33"/>
      <c r="AS313" s="33"/>
      <c r="AT313" s="33"/>
      <c r="AU313" s="33"/>
      <c r="AV313" s="33"/>
      <c r="AW313" s="33"/>
      <c r="AX313" s="33" t="str">
        <f t="shared" si="28"/>
        <v>Excellent</v>
      </c>
    </row>
    <row r="314" spans="1:50">
      <c r="A314" s="9" t="s">
        <v>237</v>
      </c>
      <c r="B314" s="10">
        <v>45841</v>
      </c>
      <c r="C314" s="11" t="s">
        <v>238</v>
      </c>
      <c r="D314" s="11" t="s">
        <v>239</v>
      </c>
      <c r="E314" s="11" t="s">
        <v>35</v>
      </c>
      <c r="F314" s="11" t="s">
        <v>149</v>
      </c>
      <c r="G314" s="11" t="s">
        <v>150</v>
      </c>
      <c r="H314" s="11" t="s">
        <v>58</v>
      </c>
      <c r="I314" s="11" t="s">
        <v>71</v>
      </c>
      <c r="J314" s="11" t="s">
        <v>240</v>
      </c>
      <c r="K314" s="25">
        <v>6</v>
      </c>
      <c r="L314" s="25">
        <v>2500</v>
      </c>
      <c r="M314" s="29">
        <v>0.1</v>
      </c>
      <c r="N314" s="25">
        <v>13500</v>
      </c>
      <c r="O314" s="25">
        <v>9139.27</v>
      </c>
      <c r="P314" s="25">
        <v>4360.7299999999996</v>
      </c>
      <c r="Q314" s="21">
        <v>32.299999999999997</v>
      </c>
      <c r="R314" s="11" t="s">
        <v>106</v>
      </c>
      <c r="S314" s="11" t="s">
        <v>74</v>
      </c>
      <c r="T314" s="11" t="s">
        <v>86</v>
      </c>
      <c r="U314" s="11" t="s">
        <v>178</v>
      </c>
      <c r="V314" s="11">
        <v>2025</v>
      </c>
      <c r="W314" s="11" t="s">
        <v>194</v>
      </c>
      <c r="X314" s="11">
        <v>5</v>
      </c>
      <c r="Y314" s="10">
        <v>45994</v>
      </c>
      <c r="Z314" s="11" t="s">
        <v>47</v>
      </c>
      <c r="AA314" s="11" t="s">
        <v>90</v>
      </c>
      <c r="AB314" s="11" t="s">
        <v>49</v>
      </c>
      <c r="AC314" s="11" t="s">
        <v>121</v>
      </c>
      <c r="AD314" s="11">
        <v>2</v>
      </c>
      <c r="AE314" s="11" t="s">
        <v>2226</v>
      </c>
      <c r="AF314" s="11" t="s">
        <v>2236</v>
      </c>
      <c r="AG314" s="25"/>
      <c r="AH314" s="11"/>
      <c r="AI314" s="11"/>
      <c r="AJ314" s="11"/>
      <c r="AK314" s="11"/>
      <c r="AL314" s="11"/>
      <c r="AM314" s="11" t="str">
        <f t="shared" si="24"/>
        <v>Good</v>
      </c>
      <c r="AN314" s="11" t="str" cm="1">
        <f t="array" ref="AN314">_xlfn.IFS(N314&lt;10000,"Low",N314&lt;30000,"Medium",N314&gt;=30000,"High")</f>
        <v>Medium</v>
      </c>
      <c r="AO314" s="11" t="str">
        <f t="shared" si="25"/>
        <v>No</v>
      </c>
      <c r="AP314" s="11" t="str">
        <f t="shared" si="26"/>
        <v>Yes</v>
      </c>
      <c r="AQ314" s="11">
        <f t="shared" si="27"/>
        <v>0.32301703703703699</v>
      </c>
      <c r="AR314" s="33"/>
      <c r="AS314" s="33"/>
      <c r="AT314" s="33"/>
      <c r="AU314" s="33"/>
      <c r="AV314" s="33"/>
      <c r="AW314" s="33"/>
      <c r="AX314" s="33" t="str">
        <f t="shared" si="28"/>
        <v>Low</v>
      </c>
    </row>
    <row r="315" spans="1:50">
      <c r="A315" s="9" t="s">
        <v>1529</v>
      </c>
      <c r="B315" s="10">
        <v>45841</v>
      </c>
      <c r="C315" s="11" t="s">
        <v>781</v>
      </c>
      <c r="D315" s="11" t="s">
        <v>515</v>
      </c>
      <c r="E315" s="11" t="s">
        <v>103</v>
      </c>
      <c r="F315" s="11" t="s">
        <v>82</v>
      </c>
      <c r="G315" s="11" t="s">
        <v>83</v>
      </c>
      <c r="H315" s="11" t="s">
        <v>38</v>
      </c>
      <c r="I315" s="11" t="s">
        <v>95</v>
      </c>
      <c r="J315" s="11" t="s">
        <v>184</v>
      </c>
      <c r="K315" s="25">
        <v>8</v>
      </c>
      <c r="L315" s="25">
        <v>4000</v>
      </c>
      <c r="M315" s="29">
        <v>0.2</v>
      </c>
      <c r="N315" s="25">
        <v>25600</v>
      </c>
      <c r="O315" s="25">
        <v>19801.900000000001</v>
      </c>
      <c r="P315" s="25">
        <v>5798.1</v>
      </c>
      <c r="Q315" s="21">
        <v>22.65</v>
      </c>
      <c r="R315" s="11" t="s">
        <v>166</v>
      </c>
      <c r="S315" s="11" t="s">
        <v>42</v>
      </c>
      <c r="T315" s="11" t="s">
        <v>43</v>
      </c>
      <c r="U315" s="11" t="s">
        <v>178</v>
      </c>
      <c r="V315" s="11">
        <v>2025</v>
      </c>
      <c r="W315" s="11" t="s">
        <v>194</v>
      </c>
      <c r="X315" s="11">
        <v>4</v>
      </c>
      <c r="Y315" s="10">
        <v>45964</v>
      </c>
      <c r="Z315" s="11" t="s">
        <v>47</v>
      </c>
      <c r="AA315" s="11" t="s">
        <v>48</v>
      </c>
      <c r="AB315" s="11" t="s">
        <v>78</v>
      </c>
      <c r="AC315" s="11" t="s">
        <v>50</v>
      </c>
      <c r="AD315" s="11">
        <v>1</v>
      </c>
      <c r="AE315" s="11" t="s">
        <v>2233</v>
      </c>
      <c r="AF315" s="11" t="s">
        <v>2224</v>
      </c>
      <c r="AG315" s="25"/>
      <c r="AH315" s="11"/>
      <c r="AI315" s="11"/>
      <c r="AJ315" s="11"/>
      <c r="AK315" s="11"/>
      <c r="AL315" s="11"/>
      <c r="AM315" s="11" t="str">
        <f t="shared" si="24"/>
        <v>Needs Improvement</v>
      </c>
      <c r="AN315" s="11" t="str" cm="1">
        <f t="array" ref="AN315">_xlfn.IFS(N315&lt;10000,"Low",N315&lt;30000,"Medium",N315&gt;=30000,"High")</f>
        <v>Medium</v>
      </c>
      <c r="AO315" s="11" t="str">
        <f t="shared" si="25"/>
        <v>No</v>
      </c>
      <c r="AP315" s="11" t="str">
        <f t="shared" si="26"/>
        <v>Yes</v>
      </c>
      <c r="AQ315" s="11">
        <f t="shared" si="27"/>
        <v>0.22648828125000001</v>
      </c>
      <c r="AR315" s="33"/>
      <c r="AS315" s="33"/>
      <c r="AT315" s="33"/>
      <c r="AU315" s="33"/>
      <c r="AV315" s="33"/>
      <c r="AW315" s="33"/>
      <c r="AX315" s="33" t="str">
        <f t="shared" si="28"/>
        <v>Average</v>
      </c>
    </row>
    <row r="316" spans="1:50">
      <c r="A316" s="9" t="s">
        <v>1804</v>
      </c>
      <c r="B316" s="10">
        <v>45841</v>
      </c>
      <c r="C316" s="11" t="s">
        <v>1395</v>
      </c>
      <c r="D316" s="11" t="s">
        <v>609</v>
      </c>
      <c r="E316" s="11" t="s">
        <v>55</v>
      </c>
      <c r="F316" s="11" t="s">
        <v>144</v>
      </c>
      <c r="G316" s="11" t="s">
        <v>145</v>
      </c>
      <c r="H316" s="11" t="s">
        <v>171</v>
      </c>
      <c r="I316" s="11" t="s">
        <v>59</v>
      </c>
      <c r="J316" s="11" t="s">
        <v>60</v>
      </c>
      <c r="K316" s="25">
        <v>4</v>
      </c>
      <c r="L316" s="25">
        <v>2000</v>
      </c>
      <c r="M316" s="29">
        <v>0.15</v>
      </c>
      <c r="N316" s="25">
        <v>6800</v>
      </c>
      <c r="O316" s="25">
        <v>5328.45</v>
      </c>
      <c r="P316" s="25">
        <v>1471.55</v>
      </c>
      <c r="Q316" s="21">
        <v>21.64</v>
      </c>
      <c r="R316" s="11" t="s">
        <v>166</v>
      </c>
      <c r="S316" s="11" t="s">
        <v>42</v>
      </c>
      <c r="T316" s="11" t="s">
        <v>159</v>
      </c>
      <c r="U316" s="11" t="s">
        <v>178</v>
      </c>
      <c r="V316" s="11">
        <v>2025</v>
      </c>
      <c r="W316" s="11" t="s">
        <v>194</v>
      </c>
      <c r="X316" s="11">
        <v>1</v>
      </c>
      <c r="Y316" s="10">
        <v>45872</v>
      </c>
      <c r="Z316" s="11" t="s">
        <v>47</v>
      </c>
      <c r="AA316" s="11" t="s">
        <v>67</v>
      </c>
      <c r="AB316" s="11" t="s">
        <v>49</v>
      </c>
      <c r="AC316" s="11" t="s">
        <v>121</v>
      </c>
      <c r="AD316" s="11">
        <v>1</v>
      </c>
      <c r="AE316" s="11" t="s">
        <v>2225</v>
      </c>
      <c r="AF316" s="11" t="s">
        <v>2230</v>
      </c>
      <c r="AG316" s="25"/>
      <c r="AH316" s="11"/>
      <c r="AI316" s="11"/>
      <c r="AJ316" s="11"/>
      <c r="AK316" s="11"/>
      <c r="AL316" s="11"/>
      <c r="AM316" s="11" t="str">
        <f t="shared" si="24"/>
        <v>Needs Improvement</v>
      </c>
      <c r="AN316" s="11" t="str" cm="1">
        <f t="array" ref="AN316">_xlfn.IFS(N316&lt;10000,"Low",N316&lt;30000,"Medium",N316&gt;=30000,"High")</f>
        <v>Low</v>
      </c>
      <c r="AO316" s="11" t="str">
        <f t="shared" si="25"/>
        <v>No</v>
      </c>
      <c r="AP316" s="11" t="str">
        <f t="shared" si="26"/>
        <v>Yes</v>
      </c>
      <c r="AQ316" s="11">
        <f t="shared" si="27"/>
        <v>0.21640441176470587</v>
      </c>
      <c r="AR316" s="33"/>
      <c r="AS316" s="33"/>
      <c r="AT316" s="33"/>
      <c r="AU316" s="33"/>
      <c r="AV316" s="33"/>
      <c r="AW316" s="33"/>
      <c r="AX316" s="33" t="str">
        <f t="shared" si="28"/>
        <v>Low</v>
      </c>
    </row>
    <row r="317" spans="1:50">
      <c r="A317" s="9" t="s">
        <v>1884</v>
      </c>
      <c r="B317" s="10">
        <v>45842</v>
      </c>
      <c r="C317" s="11" t="s">
        <v>626</v>
      </c>
      <c r="D317" s="11" t="s">
        <v>782</v>
      </c>
      <c r="E317" s="11" t="s">
        <v>55</v>
      </c>
      <c r="F317" s="11" t="s">
        <v>149</v>
      </c>
      <c r="G317" s="11" t="s">
        <v>150</v>
      </c>
      <c r="H317" s="11" t="s">
        <v>38</v>
      </c>
      <c r="I317" s="11" t="s">
        <v>84</v>
      </c>
      <c r="J317" s="11" t="s">
        <v>229</v>
      </c>
      <c r="K317" s="25">
        <v>7</v>
      </c>
      <c r="L317" s="25">
        <v>100</v>
      </c>
      <c r="M317" s="29">
        <v>0.1</v>
      </c>
      <c r="N317" s="25">
        <v>630</v>
      </c>
      <c r="O317" s="25">
        <v>449.13</v>
      </c>
      <c r="P317" s="25">
        <v>180.87</v>
      </c>
      <c r="Q317" s="21">
        <v>28.71</v>
      </c>
      <c r="R317" s="11" t="s">
        <v>73</v>
      </c>
      <c r="S317" s="11" t="s">
        <v>74</v>
      </c>
      <c r="T317" s="11" t="s">
        <v>43</v>
      </c>
      <c r="U317" s="11" t="s">
        <v>44</v>
      </c>
      <c r="V317" s="11">
        <v>2025</v>
      </c>
      <c r="W317" s="11" t="s">
        <v>126</v>
      </c>
      <c r="X317" s="11">
        <v>1</v>
      </c>
      <c r="Y317" s="10">
        <v>45873</v>
      </c>
      <c r="Z317" s="11" t="s">
        <v>110</v>
      </c>
      <c r="AA317" s="11" t="s">
        <v>67</v>
      </c>
      <c r="AB317" s="11" t="s">
        <v>49</v>
      </c>
      <c r="AC317" s="11" t="s">
        <v>121</v>
      </c>
      <c r="AD317" s="11">
        <v>2</v>
      </c>
      <c r="AE317" s="11" t="s">
        <v>2227</v>
      </c>
      <c r="AF317" s="11" t="s">
        <v>2238</v>
      </c>
      <c r="AG317" s="25"/>
      <c r="AH317" s="11"/>
      <c r="AI317" s="11"/>
      <c r="AJ317" s="11"/>
      <c r="AK317" s="11"/>
      <c r="AL317" s="11"/>
      <c r="AM317" s="11" t="str">
        <f t="shared" si="24"/>
        <v>Needs Improvement</v>
      </c>
      <c r="AN317" s="11" t="str" cm="1">
        <f t="array" ref="AN317">_xlfn.IFS(N317&lt;10000,"Low",N317&lt;30000,"Medium",N317&gt;=30000,"High")</f>
        <v>Low</v>
      </c>
      <c r="AO317" s="11" t="str">
        <f t="shared" si="25"/>
        <v>No</v>
      </c>
      <c r="AP317" s="11" t="str">
        <f t="shared" si="26"/>
        <v>Yes</v>
      </c>
      <c r="AQ317" s="11">
        <f t="shared" si="27"/>
        <v>0.28709523809523813</v>
      </c>
      <c r="AR317" s="33"/>
      <c r="AS317" s="33"/>
      <c r="AT317" s="33"/>
      <c r="AU317" s="33"/>
      <c r="AV317" s="33"/>
      <c r="AW317" s="33"/>
      <c r="AX317" s="33" t="str">
        <f t="shared" si="28"/>
        <v>Low</v>
      </c>
    </row>
    <row r="318" spans="1:50">
      <c r="A318" s="9" t="s">
        <v>1338</v>
      </c>
      <c r="B318" s="10">
        <v>45843</v>
      </c>
      <c r="C318" s="11" t="s">
        <v>53</v>
      </c>
      <c r="D318" s="11" t="s">
        <v>669</v>
      </c>
      <c r="E318" s="11" t="s">
        <v>103</v>
      </c>
      <c r="F318" s="11" t="s">
        <v>36</v>
      </c>
      <c r="G318" s="11" t="s">
        <v>37</v>
      </c>
      <c r="H318" s="11" t="s">
        <v>38</v>
      </c>
      <c r="I318" s="11" t="s">
        <v>59</v>
      </c>
      <c r="J318" s="11" t="s">
        <v>60</v>
      </c>
      <c r="K318" s="25">
        <v>2</v>
      </c>
      <c r="L318" s="25">
        <v>500</v>
      </c>
      <c r="M318" s="29">
        <v>0.15</v>
      </c>
      <c r="N318" s="25">
        <v>850</v>
      </c>
      <c r="O318" s="25">
        <v>597.34</v>
      </c>
      <c r="P318" s="25">
        <v>252.66</v>
      </c>
      <c r="Q318" s="21">
        <v>29.72</v>
      </c>
      <c r="R318" s="11" t="s">
        <v>73</v>
      </c>
      <c r="S318" s="11" t="s">
        <v>42</v>
      </c>
      <c r="T318" s="11" t="s">
        <v>138</v>
      </c>
      <c r="U318" s="11" t="s">
        <v>119</v>
      </c>
      <c r="V318" s="11">
        <v>2025</v>
      </c>
      <c r="W318" s="11" t="s">
        <v>134</v>
      </c>
      <c r="X318" s="11">
        <v>10</v>
      </c>
      <c r="Y318" s="10" t="s">
        <v>1204</v>
      </c>
      <c r="Z318" s="11" t="s">
        <v>47</v>
      </c>
      <c r="AA318" s="11" t="s">
        <v>67</v>
      </c>
      <c r="AB318" s="11" t="s">
        <v>111</v>
      </c>
      <c r="AC318" s="11" t="s">
        <v>50</v>
      </c>
      <c r="AD318" s="11">
        <v>2</v>
      </c>
      <c r="AE318" s="11" t="s">
        <v>118</v>
      </c>
      <c r="AF318" s="11" t="s">
        <v>2219</v>
      </c>
      <c r="AG318" s="25"/>
      <c r="AH318" s="11"/>
      <c r="AI318" s="11"/>
      <c r="AJ318" s="11"/>
      <c r="AK318" s="11"/>
      <c r="AL318" s="11"/>
      <c r="AM318" s="11" t="str">
        <f t="shared" si="24"/>
        <v>Needs Improvement</v>
      </c>
      <c r="AN318" s="11" t="str" cm="1">
        <f t="array" ref="AN318">_xlfn.IFS(N318&lt;10000,"Low",N318&lt;30000,"Medium",N318&gt;=30000,"High")</f>
        <v>Low</v>
      </c>
      <c r="AO318" s="11" t="str">
        <f t="shared" si="25"/>
        <v>No</v>
      </c>
      <c r="AP318" s="11" t="str">
        <f t="shared" si="26"/>
        <v>Yes</v>
      </c>
      <c r="AQ318" s="11">
        <f t="shared" si="27"/>
        <v>0.29724705882352942</v>
      </c>
      <c r="AR318" s="33"/>
      <c r="AS318" s="33"/>
      <c r="AT318" s="33"/>
      <c r="AU318" s="33"/>
      <c r="AV318" s="33"/>
      <c r="AW318" s="33"/>
      <c r="AX318" s="33" t="str">
        <f t="shared" si="28"/>
        <v>Low</v>
      </c>
    </row>
    <row r="319" spans="1:50">
      <c r="A319" s="9" t="s">
        <v>1527</v>
      </c>
      <c r="B319" s="10">
        <v>45843</v>
      </c>
      <c r="C319" s="11" t="s">
        <v>585</v>
      </c>
      <c r="D319" s="11" t="s">
        <v>1337</v>
      </c>
      <c r="E319" s="11" t="s">
        <v>103</v>
      </c>
      <c r="F319" s="11" t="s">
        <v>245</v>
      </c>
      <c r="G319" s="11" t="s">
        <v>246</v>
      </c>
      <c r="H319" s="11" t="s">
        <v>38</v>
      </c>
      <c r="I319" s="11" t="s">
        <v>71</v>
      </c>
      <c r="J319" s="11" t="s">
        <v>240</v>
      </c>
      <c r="K319" s="25">
        <v>6</v>
      </c>
      <c r="L319" s="25">
        <v>2500</v>
      </c>
      <c r="M319" s="29">
        <v>0.15</v>
      </c>
      <c r="N319" s="25">
        <v>12750</v>
      </c>
      <c r="O319" s="25">
        <v>9744.1299999999992</v>
      </c>
      <c r="P319" s="25">
        <v>3005.87</v>
      </c>
      <c r="Q319" s="21">
        <v>23.58</v>
      </c>
      <c r="R319" s="11" t="s">
        <v>166</v>
      </c>
      <c r="S319" s="11" t="s">
        <v>62</v>
      </c>
      <c r="T319" s="11" t="s">
        <v>107</v>
      </c>
      <c r="U319" s="11" t="s">
        <v>119</v>
      </c>
      <c r="V319" s="11">
        <v>2025</v>
      </c>
      <c r="W319" s="11" t="s">
        <v>134</v>
      </c>
      <c r="X319" s="11">
        <v>7</v>
      </c>
      <c r="Y319" s="10" t="s">
        <v>1307</v>
      </c>
      <c r="Z319" s="11" t="s">
        <v>89</v>
      </c>
      <c r="AA319" s="11" t="s">
        <v>67</v>
      </c>
      <c r="AB319" s="11" t="s">
        <v>111</v>
      </c>
      <c r="AC319" s="11" t="s">
        <v>50</v>
      </c>
      <c r="AD319" s="11">
        <v>5</v>
      </c>
      <c r="AE319" s="11" t="s">
        <v>2233</v>
      </c>
      <c r="AF319" s="11" t="s">
        <v>2238</v>
      </c>
      <c r="AG319" s="25"/>
      <c r="AH319" s="11"/>
      <c r="AI319" s="11"/>
      <c r="AJ319" s="11"/>
      <c r="AK319" s="11"/>
      <c r="AL319" s="11"/>
      <c r="AM319" s="11" t="str">
        <f t="shared" si="24"/>
        <v>Needs Improvement</v>
      </c>
      <c r="AN319" s="11" t="str" cm="1">
        <f t="array" ref="AN319">_xlfn.IFS(N319&lt;10000,"Low",N319&lt;30000,"Medium",N319&gt;=30000,"High")</f>
        <v>Medium</v>
      </c>
      <c r="AO319" s="11" t="str">
        <f t="shared" si="25"/>
        <v>No</v>
      </c>
      <c r="AP319" s="11" t="str">
        <f t="shared" si="26"/>
        <v>No</v>
      </c>
      <c r="AQ319" s="11">
        <f t="shared" si="27"/>
        <v>0.23575450980392157</v>
      </c>
      <c r="AR319" s="33"/>
      <c r="AS319" s="33"/>
      <c r="AT319" s="33"/>
      <c r="AU319" s="33"/>
      <c r="AV319" s="33"/>
      <c r="AW319" s="33"/>
      <c r="AX319" s="33" t="str">
        <f t="shared" si="28"/>
        <v>Low</v>
      </c>
    </row>
    <row r="320" spans="1:50">
      <c r="A320" s="9" t="s">
        <v>1231</v>
      </c>
      <c r="B320" s="10">
        <v>45845</v>
      </c>
      <c r="C320" s="11" t="s">
        <v>33</v>
      </c>
      <c r="D320" s="11" t="s">
        <v>1232</v>
      </c>
      <c r="E320" s="11" t="s">
        <v>35</v>
      </c>
      <c r="F320" s="11" t="s">
        <v>56</v>
      </c>
      <c r="G320" s="11" t="s">
        <v>57</v>
      </c>
      <c r="H320" s="11" t="s">
        <v>94</v>
      </c>
      <c r="I320" s="11" t="s">
        <v>71</v>
      </c>
      <c r="J320" s="11" t="s">
        <v>172</v>
      </c>
      <c r="K320" s="25">
        <v>5</v>
      </c>
      <c r="L320" s="25">
        <v>3500</v>
      </c>
      <c r="M320" s="29">
        <v>0.1</v>
      </c>
      <c r="N320" s="25">
        <v>15750</v>
      </c>
      <c r="O320" s="25">
        <v>12713.35</v>
      </c>
      <c r="P320" s="25">
        <v>3036.65</v>
      </c>
      <c r="Q320" s="21">
        <v>19.28</v>
      </c>
      <c r="R320" s="11" t="s">
        <v>166</v>
      </c>
      <c r="S320" s="11" t="s">
        <v>62</v>
      </c>
      <c r="T320" s="11" t="s">
        <v>75</v>
      </c>
      <c r="U320" s="11" t="s">
        <v>151</v>
      </c>
      <c r="V320" s="11">
        <v>2025</v>
      </c>
      <c r="W320" s="11" t="s">
        <v>126</v>
      </c>
      <c r="X320" s="11">
        <v>9</v>
      </c>
      <c r="Y320" s="10" t="s">
        <v>212</v>
      </c>
      <c r="Z320" s="11" t="s">
        <v>47</v>
      </c>
      <c r="AA320" s="11" t="s">
        <v>67</v>
      </c>
      <c r="AB320" s="11" t="s">
        <v>78</v>
      </c>
      <c r="AC320" s="11" t="s">
        <v>121</v>
      </c>
      <c r="AD320" s="11">
        <v>1</v>
      </c>
      <c r="AE320" s="11" t="s">
        <v>2221</v>
      </c>
      <c r="AF320" s="11" t="s">
        <v>2230</v>
      </c>
      <c r="AG320" s="25"/>
      <c r="AH320" s="11"/>
      <c r="AI320" s="11"/>
      <c r="AJ320" s="11"/>
      <c r="AK320" s="11"/>
      <c r="AL320" s="11"/>
      <c r="AM320" s="11" t="str">
        <f t="shared" si="24"/>
        <v>Needs Improvement</v>
      </c>
      <c r="AN320" s="11" t="str" cm="1">
        <f t="array" ref="AN320">_xlfn.IFS(N320&lt;10000,"Low",N320&lt;30000,"Medium",N320&gt;=30000,"High")</f>
        <v>Medium</v>
      </c>
      <c r="AO320" s="11" t="str">
        <f t="shared" si="25"/>
        <v>No</v>
      </c>
      <c r="AP320" s="11" t="str">
        <f t="shared" si="26"/>
        <v>No</v>
      </c>
      <c r="AQ320" s="11">
        <f t="shared" si="27"/>
        <v>0.19280317460317462</v>
      </c>
      <c r="AR320" s="33"/>
      <c r="AS320" s="33"/>
      <c r="AT320" s="33"/>
      <c r="AU320" s="33"/>
      <c r="AV320" s="33"/>
      <c r="AW320" s="33"/>
      <c r="AX320" s="33" t="str">
        <f t="shared" si="28"/>
        <v>Low</v>
      </c>
    </row>
    <row r="321" spans="1:50">
      <c r="A321" s="9" t="s">
        <v>1893</v>
      </c>
      <c r="B321" s="10">
        <v>45845</v>
      </c>
      <c r="C321" s="11" t="s">
        <v>698</v>
      </c>
      <c r="D321" s="11" t="s">
        <v>512</v>
      </c>
      <c r="E321" s="11" t="s">
        <v>103</v>
      </c>
      <c r="F321" s="11" t="s">
        <v>56</v>
      </c>
      <c r="G321" s="11" t="s">
        <v>57</v>
      </c>
      <c r="H321" s="11" t="s">
        <v>94</v>
      </c>
      <c r="I321" s="11" t="s">
        <v>59</v>
      </c>
      <c r="J321" s="11" t="s">
        <v>206</v>
      </c>
      <c r="K321" s="25">
        <v>6</v>
      </c>
      <c r="L321" s="25">
        <v>1200</v>
      </c>
      <c r="M321" s="29">
        <v>0.2</v>
      </c>
      <c r="N321" s="25">
        <v>5760</v>
      </c>
      <c r="O321" s="25">
        <v>4311.38</v>
      </c>
      <c r="P321" s="25">
        <v>1448.62</v>
      </c>
      <c r="Q321" s="21">
        <v>25.15</v>
      </c>
      <c r="R321" s="11" t="s">
        <v>61</v>
      </c>
      <c r="S321" s="11" t="s">
        <v>62</v>
      </c>
      <c r="T321" s="11" t="s">
        <v>97</v>
      </c>
      <c r="U321" s="11" t="s">
        <v>151</v>
      </c>
      <c r="V321" s="11">
        <v>2025</v>
      </c>
      <c r="W321" s="11" t="s">
        <v>126</v>
      </c>
      <c r="X321" s="11">
        <v>3</v>
      </c>
      <c r="Y321" s="10">
        <v>45937</v>
      </c>
      <c r="Z321" s="11" t="s">
        <v>47</v>
      </c>
      <c r="AA321" s="11" t="s">
        <v>67</v>
      </c>
      <c r="AB321" s="11" t="s">
        <v>49</v>
      </c>
      <c r="AC321" s="11" t="s">
        <v>50</v>
      </c>
      <c r="AD321" s="11">
        <v>5</v>
      </c>
      <c r="AE321" s="11" t="s">
        <v>2221</v>
      </c>
      <c r="AF321" s="11" t="s">
        <v>2222</v>
      </c>
      <c r="AG321" s="25"/>
      <c r="AH321" s="11"/>
      <c r="AI321" s="11"/>
      <c r="AJ321" s="11"/>
      <c r="AK321" s="11"/>
      <c r="AL321" s="11"/>
      <c r="AM321" s="11" t="str">
        <f t="shared" si="24"/>
        <v>Needs Improvement</v>
      </c>
      <c r="AN321" s="11" t="str" cm="1">
        <f t="array" ref="AN321">_xlfn.IFS(N321&lt;10000,"Low",N321&lt;30000,"Medium",N321&gt;=30000,"High")</f>
        <v>Low</v>
      </c>
      <c r="AO321" s="11" t="str">
        <f t="shared" si="25"/>
        <v>No</v>
      </c>
      <c r="AP321" s="11" t="str">
        <f t="shared" si="26"/>
        <v>No</v>
      </c>
      <c r="AQ321" s="11">
        <f t="shared" si="27"/>
        <v>0.25149652777777776</v>
      </c>
      <c r="AR321" s="33"/>
      <c r="AS321" s="33"/>
      <c r="AT321" s="33"/>
      <c r="AU321" s="33"/>
      <c r="AV321" s="33"/>
      <c r="AW321" s="33"/>
      <c r="AX321" s="33" t="str">
        <f t="shared" si="28"/>
        <v>Low</v>
      </c>
    </row>
    <row r="322" spans="1:50">
      <c r="A322" s="9" t="s">
        <v>1238</v>
      </c>
      <c r="B322" s="10">
        <v>45846</v>
      </c>
      <c r="C322" s="11" t="s">
        <v>596</v>
      </c>
      <c r="D322" s="11" t="s">
        <v>1239</v>
      </c>
      <c r="E322" s="11" t="s">
        <v>103</v>
      </c>
      <c r="F322" s="11" t="s">
        <v>104</v>
      </c>
      <c r="G322" s="11" t="s">
        <v>104</v>
      </c>
      <c r="H322" s="11" t="s">
        <v>38</v>
      </c>
      <c r="I322" s="11" t="s">
        <v>71</v>
      </c>
      <c r="J322" s="11" t="s">
        <v>172</v>
      </c>
      <c r="K322" s="25">
        <v>1</v>
      </c>
      <c r="L322" s="25">
        <v>1800</v>
      </c>
      <c r="M322" s="29">
        <v>0.15</v>
      </c>
      <c r="N322" s="25">
        <v>1530</v>
      </c>
      <c r="O322" s="25">
        <v>1078.02</v>
      </c>
      <c r="P322" s="25">
        <v>451.98</v>
      </c>
      <c r="Q322" s="21">
        <v>29.54</v>
      </c>
      <c r="R322" s="11" t="s">
        <v>61</v>
      </c>
      <c r="S322" s="11" t="s">
        <v>62</v>
      </c>
      <c r="T322" s="11" t="s">
        <v>107</v>
      </c>
      <c r="U322" s="11" t="s">
        <v>218</v>
      </c>
      <c r="V322" s="11">
        <v>2025</v>
      </c>
      <c r="W322" s="11" t="s">
        <v>139</v>
      </c>
      <c r="X322" s="11">
        <v>7</v>
      </c>
      <c r="Y322" s="10" t="s">
        <v>1240</v>
      </c>
      <c r="Z322" s="11" t="s">
        <v>47</v>
      </c>
      <c r="AA322" s="11" t="s">
        <v>48</v>
      </c>
      <c r="AB322" s="11" t="s">
        <v>78</v>
      </c>
      <c r="AC322" s="11" t="s">
        <v>121</v>
      </c>
      <c r="AD322" s="11">
        <v>5</v>
      </c>
      <c r="AE322" s="11" t="s">
        <v>2209</v>
      </c>
      <c r="AF322" s="11" t="s">
        <v>2214</v>
      </c>
      <c r="AG322" s="25"/>
      <c r="AH322" s="11"/>
      <c r="AI322" s="11"/>
      <c r="AJ322" s="11"/>
      <c r="AK322" s="11"/>
      <c r="AL322" s="11"/>
      <c r="AM322" s="11" t="str">
        <f t="shared" ref="AM322:AM385" si="29">IF(Q322&gt;=30,"Good","Needs Improvement")</f>
        <v>Needs Improvement</v>
      </c>
      <c r="AN322" s="11" t="str" cm="1">
        <f t="array" ref="AN322">_xlfn.IFS(N322&lt;10000,"Low",N322&lt;30000,"Medium",N322&gt;=30000,"High")</f>
        <v>Low</v>
      </c>
      <c r="AO322" s="11" t="str">
        <f t="shared" ref="AO322:AO385" si="30">IF(AND(N322&gt;=30000,P322&gt;=10000),"Yes","No")</f>
        <v>No</v>
      </c>
      <c r="AP322" s="11" t="str">
        <f t="shared" ref="AP322:AP385" si="31">IF(OR(S322="Online",S322="Marketplace"),"Yes","No")</f>
        <v>No</v>
      </c>
      <c r="AQ322" s="11">
        <f t="shared" ref="AQ322:AQ385" si="32">IFERROR(P322/N322,"No Error")</f>
        <v>0.29541176470588237</v>
      </c>
      <c r="AR322" s="33"/>
      <c r="AS322" s="33"/>
      <c r="AT322" s="33"/>
      <c r="AU322" s="33"/>
      <c r="AV322" s="33"/>
      <c r="AW322" s="33"/>
      <c r="AX322" s="33" t="str">
        <f t="shared" ref="AX322:AX385" si="33">IF(P322&gt;=20000,"Excellent",IF(P322&gt;=10000,"Good",IF(P322&gt;=5000,"Average","Low")))</f>
        <v>Low</v>
      </c>
    </row>
    <row r="323" spans="1:50">
      <c r="A323" s="9" t="s">
        <v>2078</v>
      </c>
      <c r="B323" s="10">
        <v>45846</v>
      </c>
      <c r="C323" s="11" t="s">
        <v>1124</v>
      </c>
      <c r="D323" s="11" t="s">
        <v>855</v>
      </c>
      <c r="E323" s="11" t="s">
        <v>103</v>
      </c>
      <c r="F323" s="11" t="s">
        <v>149</v>
      </c>
      <c r="G323" s="11" t="s">
        <v>150</v>
      </c>
      <c r="H323" s="11" t="s">
        <v>58</v>
      </c>
      <c r="I323" s="11" t="s">
        <v>95</v>
      </c>
      <c r="J323" s="11" t="s">
        <v>440</v>
      </c>
      <c r="K323" s="25">
        <v>5</v>
      </c>
      <c r="L323" s="25">
        <v>4000</v>
      </c>
      <c r="M323" s="29">
        <v>0</v>
      </c>
      <c r="N323" s="25">
        <v>20000</v>
      </c>
      <c r="O323" s="25">
        <v>15673.34</v>
      </c>
      <c r="P323" s="25">
        <v>4326.66</v>
      </c>
      <c r="Q323" s="21">
        <v>21.63</v>
      </c>
      <c r="R323" s="11" t="s">
        <v>73</v>
      </c>
      <c r="S323" s="11" t="s">
        <v>62</v>
      </c>
      <c r="T323" s="11" t="s">
        <v>63</v>
      </c>
      <c r="U323" s="11" t="s">
        <v>218</v>
      </c>
      <c r="V323" s="11">
        <v>2025</v>
      </c>
      <c r="W323" s="11" t="s">
        <v>139</v>
      </c>
      <c r="X323" s="11">
        <v>6</v>
      </c>
      <c r="Y323" s="10" t="s">
        <v>1344</v>
      </c>
      <c r="Z323" s="11" t="s">
        <v>47</v>
      </c>
      <c r="AA323" s="11" t="s">
        <v>48</v>
      </c>
      <c r="AB323" s="11" t="s">
        <v>78</v>
      </c>
      <c r="AC323" s="11" t="s">
        <v>121</v>
      </c>
      <c r="AD323" s="11">
        <v>2</v>
      </c>
      <c r="AE323" s="11" t="s">
        <v>2220</v>
      </c>
      <c r="AF323" s="11" t="s">
        <v>2249</v>
      </c>
      <c r="AG323" s="25"/>
      <c r="AH323" s="11"/>
      <c r="AI323" s="11"/>
      <c r="AJ323" s="11"/>
      <c r="AK323" s="11"/>
      <c r="AL323" s="11"/>
      <c r="AM323" s="11" t="str">
        <f t="shared" si="29"/>
        <v>Needs Improvement</v>
      </c>
      <c r="AN323" s="11" t="str" cm="1">
        <f t="array" ref="AN323">_xlfn.IFS(N323&lt;10000,"Low",N323&lt;30000,"Medium",N323&gt;=30000,"High")</f>
        <v>Medium</v>
      </c>
      <c r="AO323" s="11" t="str">
        <f t="shared" si="30"/>
        <v>No</v>
      </c>
      <c r="AP323" s="11" t="str">
        <f t="shared" si="31"/>
        <v>No</v>
      </c>
      <c r="AQ323" s="11">
        <f t="shared" si="32"/>
        <v>0.216333</v>
      </c>
      <c r="AR323" s="33"/>
      <c r="AS323" s="33"/>
      <c r="AT323" s="33"/>
      <c r="AU323" s="33"/>
      <c r="AV323" s="33"/>
      <c r="AW323" s="33"/>
      <c r="AX323" s="33" t="str">
        <f t="shared" si="33"/>
        <v>Low</v>
      </c>
    </row>
    <row r="324" spans="1:50">
      <c r="A324" s="9" t="s">
        <v>790</v>
      </c>
      <c r="B324" s="10">
        <v>45847</v>
      </c>
      <c r="C324" s="11" t="s">
        <v>677</v>
      </c>
      <c r="D324" s="11" t="s">
        <v>791</v>
      </c>
      <c r="E324" s="11" t="s">
        <v>55</v>
      </c>
      <c r="F324" s="11" t="s">
        <v>131</v>
      </c>
      <c r="G324" s="11" t="s">
        <v>132</v>
      </c>
      <c r="H324" s="11" t="s">
        <v>171</v>
      </c>
      <c r="I324" s="11" t="s">
        <v>39</v>
      </c>
      <c r="J324" s="11" t="s">
        <v>356</v>
      </c>
      <c r="K324" s="25">
        <v>8</v>
      </c>
      <c r="L324" s="25">
        <v>12000</v>
      </c>
      <c r="M324" s="29">
        <v>0.05</v>
      </c>
      <c r="N324" s="25">
        <v>91200</v>
      </c>
      <c r="O324" s="25">
        <v>56374.86</v>
      </c>
      <c r="P324" s="25">
        <v>34825.14</v>
      </c>
      <c r="Q324" s="21">
        <v>38.19</v>
      </c>
      <c r="R324" s="11" t="s">
        <v>166</v>
      </c>
      <c r="S324" s="11" t="s">
        <v>62</v>
      </c>
      <c r="T324" s="11" t="s">
        <v>86</v>
      </c>
      <c r="U324" s="11" t="s">
        <v>108</v>
      </c>
      <c r="V324" s="11">
        <v>2025</v>
      </c>
      <c r="W324" s="11" t="s">
        <v>45</v>
      </c>
      <c r="X324" s="11">
        <v>1</v>
      </c>
      <c r="Y324" s="10">
        <v>45878</v>
      </c>
      <c r="Z324" s="11" t="s">
        <v>47</v>
      </c>
      <c r="AA324" s="11" t="s">
        <v>67</v>
      </c>
      <c r="AB324" s="11" t="s">
        <v>78</v>
      </c>
      <c r="AC324" s="11" t="s">
        <v>50</v>
      </c>
      <c r="AD324" s="11">
        <v>5</v>
      </c>
      <c r="AE324" s="11" t="s">
        <v>2225</v>
      </c>
      <c r="AF324" s="11" t="s">
        <v>2223</v>
      </c>
      <c r="AG324" s="25"/>
      <c r="AH324" s="11"/>
      <c r="AI324" s="11"/>
      <c r="AJ324" s="11"/>
      <c r="AK324" s="11"/>
      <c r="AL324" s="11"/>
      <c r="AM324" s="11" t="str">
        <f t="shared" si="29"/>
        <v>Good</v>
      </c>
      <c r="AN324" s="11" t="str" cm="1">
        <f t="array" ref="AN324">_xlfn.IFS(N324&lt;10000,"Low",N324&lt;30000,"Medium",N324&gt;=30000,"High")</f>
        <v>High</v>
      </c>
      <c r="AO324" s="11" t="str">
        <f t="shared" si="30"/>
        <v>Yes</v>
      </c>
      <c r="AP324" s="11" t="str">
        <f t="shared" si="31"/>
        <v>No</v>
      </c>
      <c r="AQ324" s="11">
        <f t="shared" si="32"/>
        <v>0.3818546052631579</v>
      </c>
      <c r="AR324" s="33"/>
      <c r="AS324" s="33"/>
      <c r="AT324" s="33"/>
      <c r="AU324" s="33"/>
      <c r="AV324" s="33"/>
      <c r="AW324" s="33"/>
      <c r="AX324" s="33" t="str">
        <f t="shared" si="33"/>
        <v>Excellent</v>
      </c>
    </row>
    <row r="325" spans="1:50">
      <c r="A325" s="9" t="s">
        <v>964</v>
      </c>
      <c r="B325" s="10">
        <v>45848</v>
      </c>
      <c r="C325" s="11" t="s">
        <v>965</v>
      </c>
      <c r="D325" s="11" t="s">
        <v>268</v>
      </c>
      <c r="E325" s="11" t="s">
        <v>103</v>
      </c>
      <c r="F325" s="11" t="s">
        <v>56</v>
      </c>
      <c r="G325" s="11" t="s">
        <v>57</v>
      </c>
      <c r="H325" s="11" t="s">
        <v>58</v>
      </c>
      <c r="I325" s="11" t="s">
        <v>39</v>
      </c>
      <c r="J325" s="11" t="s">
        <v>105</v>
      </c>
      <c r="K325" s="25">
        <v>7</v>
      </c>
      <c r="L325" s="25">
        <v>22000</v>
      </c>
      <c r="M325" s="29">
        <v>0.05</v>
      </c>
      <c r="N325" s="25">
        <v>146300</v>
      </c>
      <c r="O325" s="25">
        <v>108927.85</v>
      </c>
      <c r="P325" s="25">
        <v>37372.15</v>
      </c>
      <c r="Q325" s="21">
        <v>25.54</v>
      </c>
      <c r="R325" s="11" t="s">
        <v>166</v>
      </c>
      <c r="S325" s="11" t="s">
        <v>74</v>
      </c>
      <c r="T325" s="11" t="s">
        <v>118</v>
      </c>
      <c r="U325" s="11" t="s">
        <v>87</v>
      </c>
      <c r="V325" s="11">
        <v>2025</v>
      </c>
      <c r="W325" s="11" t="s">
        <v>109</v>
      </c>
      <c r="X325" s="11">
        <v>9</v>
      </c>
      <c r="Y325" s="10" t="s">
        <v>453</v>
      </c>
      <c r="Z325" s="11" t="s">
        <v>89</v>
      </c>
      <c r="AA325" s="11" t="s">
        <v>90</v>
      </c>
      <c r="AB325" s="11" t="s">
        <v>49</v>
      </c>
      <c r="AC325" s="11" t="s">
        <v>50</v>
      </c>
      <c r="AD325" s="11">
        <v>4</v>
      </c>
      <c r="AE325" s="11" t="s">
        <v>2218</v>
      </c>
      <c r="AF325" s="11" t="s">
        <v>2228</v>
      </c>
      <c r="AG325" s="25"/>
      <c r="AH325" s="11"/>
      <c r="AI325" s="11"/>
      <c r="AJ325" s="11"/>
      <c r="AK325" s="11"/>
      <c r="AL325" s="11"/>
      <c r="AM325" s="11" t="str">
        <f t="shared" si="29"/>
        <v>Needs Improvement</v>
      </c>
      <c r="AN325" s="11" t="str" cm="1">
        <f t="array" ref="AN325">_xlfn.IFS(N325&lt;10000,"Low",N325&lt;30000,"Medium",N325&gt;=30000,"High")</f>
        <v>High</v>
      </c>
      <c r="AO325" s="11" t="str">
        <f t="shared" si="30"/>
        <v>Yes</v>
      </c>
      <c r="AP325" s="11" t="str">
        <f t="shared" si="31"/>
        <v>Yes</v>
      </c>
      <c r="AQ325" s="11">
        <f t="shared" si="32"/>
        <v>0.25544873547505126</v>
      </c>
      <c r="AR325" s="33"/>
      <c r="AS325" s="33"/>
      <c r="AT325" s="33"/>
      <c r="AU325" s="33"/>
      <c r="AV325" s="33"/>
      <c r="AW325" s="33"/>
      <c r="AX325" s="33" t="str">
        <f t="shared" si="33"/>
        <v>Excellent</v>
      </c>
    </row>
    <row r="326" spans="1:50">
      <c r="A326" s="9" t="s">
        <v>1649</v>
      </c>
      <c r="B326" s="10">
        <v>45848</v>
      </c>
      <c r="C326" s="11" t="s">
        <v>1509</v>
      </c>
      <c r="D326" s="11" t="s">
        <v>1063</v>
      </c>
      <c r="E326" s="11" t="s">
        <v>35</v>
      </c>
      <c r="F326" s="11" t="s">
        <v>116</v>
      </c>
      <c r="G326" s="11" t="s">
        <v>37</v>
      </c>
      <c r="H326" s="11" t="s">
        <v>58</v>
      </c>
      <c r="I326" s="11" t="s">
        <v>84</v>
      </c>
      <c r="J326" s="11" t="s">
        <v>229</v>
      </c>
      <c r="K326" s="25">
        <v>8</v>
      </c>
      <c r="L326" s="25">
        <v>200</v>
      </c>
      <c r="M326" s="29">
        <v>0.05</v>
      </c>
      <c r="N326" s="25">
        <v>1520</v>
      </c>
      <c r="O326" s="25">
        <v>1193.56</v>
      </c>
      <c r="P326" s="25">
        <v>326.44</v>
      </c>
      <c r="Q326" s="21">
        <v>21.48</v>
      </c>
      <c r="R326" s="11" t="s">
        <v>73</v>
      </c>
      <c r="S326" s="11" t="s">
        <v>42</v>
      </c>
      <c r="T326" s="11" t="s">
        <v>107</v>
      </c>
      <c r="U326" s="11" t="s">
        <v>87</v>
      </c>
      <c r="V326" s="11">
        <v>2025</v>
      </c>
      <c r="W326" s="11" t="s">
        <v>109</v>
      </c>
      <c r="X326" s="11">
        <v>3</v>
      </c>
      <c r="Y326" s="10">
        <v>45940</v>
      </c>
      <c r="Z326" s="11" t="s">
        <v>47</v>
      </c>
      <c r="AA326" s="11" t="s">
        <v>67</v>
      </c>
      <c r="AB326" s="11" t="s">
        <v>111</v>
      </c>
      <c r="AC326" s="11" t="s">
        <v>50</v>
      </c>
      <c r="AD326" s="11">
        <v>1</v>
      </c>
      <c r="AE326" s="11" t="s">
        <v>2226</v>
      </c>
      <c r="AF326" s="11" t="s">
        <v>2212</v>
      </c>
      <c r="AG326" s="25"/>
      <c r="AH326" s="11"/>
      <c r="AI326" s="11"/>
      <c r="AJ326" s="11"/>
      <c r="AK326" s="11"/>
      <c r="AL326" s="11"/>
      <c r="AM326" s="11" t="str">
        <f t="shared" si="29"/>
        <v>Needs Improvement</v>
      </c>
      <c r="AN326" s="11" t="str" cm="1">
        <f t="array" ref="AN326">_xlfn.IFS(N326&lt;10000,"Low",N326&lt;30000,"Medium",N326&gt;=30000,"High")</f>
        <v>Low</v>
      </c>
      <c r="AO326" s="11" t="str">
        <f t="shared" si="30"/>
        <v>No</v>
      </c>
      <c r="AP326" s="11" t="str">
        <f t="shared" si="31"/>
        <v>Yes</v>
      </c>
      <c r="AQ326" s="11">
        <f t="shared" si="32"/>
        <v>0.21476315789473685</v>
      </c>
      <c r="AR326" s="33"/>
      <c r="AS326" s="33"/>
      <c r="AT326" s="33"/>
      <c r="AU326" s="33"/>
      <c r="AV326" s="33"/>
      <c r="AW326" s="33"/>
      <c r="AX326" s="33" t="str">
        <f t="shared" si="33"/>
        <v>Low</v>
      </c>
    </row>
    <row r="327" spans="1:50">
      <c r="A327" s="9" t="s">
        <v>1657</v>
      </c>
      <c r="B327" s="10">
        <v>45848</v>
      </c>
      <c r="C327" s="11" t="s">
        <v>382</v>
      </c>
      <c r="D327" s="11" t="s">
        <v>782</v>
      </c>
      <c r="E327" s="11" t="s">
        <v>35</v>
      </c>
      <c r="F327" s="11" t="s">
        <v>36</v>
      </c>
      <c r="G327" s="11" t="s">
        <v>37</v>
      </c>
      <c r="H327" s="11" t="s">
        <v>94</v>
      </c>
      <c r="I327" s="11" t="s">
        <v>39</v>
      </c>
      <c r="J327" s="11" t="s">
        <v>105</v>
      </c>
      <c r="K327" s="25">
        <v>10</v>
      </c>
      <c r="L327" s="25">
        <v>35000</v>
      </c>
      <c r="M327" s="29">
        <v>0.2</v>
      </c>
      <c r="N327" s="25">
        <v>280000</v>
      </c>
      <c r="O327" s="25">
        <v>194745.93</v>
      </c>
      <c r="P327" s="25">
        <v>85254.07</v>
      </c>
      <c r="Q327" s="21">
        <v>30.45</v>
      </c>
      <c r="R327" s="11" t="s">
        <v>41</v>
      </c>
      <c r="S327" s="11" t="s">
        <v>42</v>
      </c>
      <c r="T327" s="11" t="s">
        <v>138</v>
      </c>
      <c r="U327" s="11" t="s">
        <v>87</v>
      </c>
      <c r="V327" s="11">
        <v>2025</v>
      </c>
      <c r="W327" s="11" t="s">
        <v>109</v>
      </c>
      <c r="X327" s="11">
        <v>9</v>
      </c>
      <c r="Y327" s="10" t="s">
        <v>453</v>
      </c>
      <c r="Z327" s="11" t="s">
        <v>110</v>
      </c>
      <c r="AA327" s="11" t="s">
        <v>67</v>
      </c>
      <c r="AB327" s="11" t="s">
        <v>78</v>
      </c>
      <c r="AC327" s="11" t="s">
        <v>121</v>
      </c>
      <c r="AD327" s="11">
        <v>5</v>
      </c>
      <c r="AE327" s="11" t="s">
        <v>2227</v>
      </c>
      <c r="AF327" s="11" t="s">
        <v>2238</v>
      </c>
      <c r="AG327" s="25"/>
      <c r="AH327" s="11"/>
      <c r="AI327" s="11"/>
      <c r="AJ327" s="11"/>
      <c r="AK327" s="11"/>
      <c r="AL327" s="11"/>
      <c r="AM327" s="11" t="str">
        <f t="shared" si="29"/>
        <v>Good</v>
      </c>
      <c r="AN327" s="11" t="str" cm="1">
        <f t="array" ref="AN327">_xlfn.IFS(N327&lt;10000,"Low",N327&lt;30000,"Medium",N327&gt;=30000,"High")</f>
        <v>High</v>
      </c>
      <c r="AO327" s="11" t="str">
        <f t="shared" si="30"/>
        <v>Yes</v>
      </c>
      <c r="AP327" s="11" t="str">
        <f t="shared" si="31"/>
        <v>Yes</v>
      </c>
      <c r="AQ327" s="11">
        <f t="shared" si="32"/>
        <v>0.30447882142857147</v>
      </c>
      <c r="AR327" s="33"/>
      <c r="AS327" s="33"/>
      <c r="AT327" s="33"/>
      <c r="AU327" s="33"/>
      <c r="AV327" s="33"/>
      <c r="AW327" s="33"/>
      <c r="AX327" s="33" t="str">
        <f t="shared" si="33"/>
        <v>Excellent</v>
      </c>
    </row>
    <row r="328" spans="1:50">
      <c r="A328" s="9" t="s">
        <v>1669</v>
      </c>
      <c r="B328" s="10">
        <v>45849</v>
      </c>
      <c r="C328" s="11" t="s">
        <v>334</v>
      </c>
      <c r="D328" s="11" t="s">
        <v>348</v>
      </c>
      <c r="E328" s="11" t="s">
        <v>35</v>
      </c>
      <c r="F328" s="11" t="s">
        <v>156</v>
      </c>
      <c r="G328" s="11" t="s">
        <v>157</v>
      </c>
      <c r="H328" s="11" t="s">
        <v>38</v>
      </c>
      <c r="I328" s="11" t="s">
        <v>39</v>
      </c>
      <c r="J328" s="11" t="s">
        <v>165</v>
      </c>
      <c r="K328" s="25">
        <v>6</v>
      </c>
      <c r="L328" s="25">
        <v>12000</v>
      </c>
      <c r="M328" s="29">
        <v>0.2</v>
      </c>
      <c r="N328" s="25">
        <v>57600</v>
      </c>
      <c r="O328" s="25">
        <v>35504.449999999997</v>
      </c>
      <c r="P328" s="25">
        <v>22095.55</v>
      </c>
      <c r="Q328" s="21">
        <v>38.36</v>
      </c>
      <c r="R328" s="11" t="s">
        <v>61</v>
      </c>
      <c r="S328" s="11" t="s">
        <v>62</v>
      </c>
      <c r="T328" s="11" t="s">
        <v>118</v>
      </c>
      <c r="U328" s="11" t="s">
        <v>198</v>
      </c>
      <c r="V328" s="11">
        <v>2025</v>
      </c>
      <c r="W328" s="11" t="s">
        <v>194</v>
      </c>
      <c r="X328" s="11">
        <v>1</v>
      </c>
      <c r="Y328" s="10">
        <v>45880</v>
      </c>
      <c r="Z328" s="11" t="s">
        <v>47</v>
      </c>
      <c r="AA328" s="11" t="s">
        <v>67</v>
      </c>
      <c r="AB328" s="11" t="s">
        <v>49</v>
      </c>
      <c r="AC328" s="11" t="s">
        <v>50</v>
      </c>
      <c r="AD328" s="11">
        <v>3</v>
      </c>
      <c r="AE328" s="11" t="s">
        <v>118</v>
      </c>
      <c r="AF328" s="11" t="s">
        <v>2217</v>
      </c>
      <c r="AG328" s="25"/>
      <c r="AH328" s="11"/>
      <c r="AI328" s="11"/>
      <c r="AJ328" s="11"/>
      <c r="AK328" s="11"/>
      <c r="AL328" s="11"/>
      <c r="AM328" s="11" t="str">
        <f t="shared" si="29"/>
        <v>Good</v>
      </c>
      <c r="AN328" s="11" t="str" cm="1">
        <f t="array" ref="AN328">_xlfn.IFS(N328&lt;10000,"Low",N328&lt;30000,"Medium",N328&gt;=30000,"High")</f>
        <v>High</v>
      </c>
      <c r="AO328" s="11" t="str">
        <f t="shared" si="30"/>
        <v>Yes</v>
      </c>
      <c r="AP328" s="11" t="str">
        <f t="shared" si="31"/>
        <v>No</v>
      </c>
      <c r="AQ328" s="11">
        <f t="shared" si="32"/>
        <v>0.38360329861111109</v>
      </c>
      <c r="AR328" s="33"/>
      <c r="AS328" s="33"/>
      <c r="AT328" s="33"/>
      <c r="AU328" s="33"/>
      <c r="AV328" s="33"/>
      <c r="AW328" s="33"/>
      <c r="AX328" s="33" t="str">
        <f t="shared" si="33"/>
        <v>Excellent</v>
      </c>
    </row>
    <row r="329" spans="1:50">
      <c r="A329" s="9" t="s">
        <v>1910</v>
      </c>
      <c r="B329" s="10">
        <v>45849</v>
      </c>
      <c r="C329" s="11" t="s">
        <v>342</v>
      </c>
      <c r="D329" s="11" t="s">
        <v>1311</v>
      </c>
      <c r="E329" s="11" t="s">
        <v>103</v>
      </c>
      <c r="F329" s="11" t="s">
        <v>56</v>
      </c>
      <c r="G329" s="11" t="s">
        <v>57</v>
      </c>
      <c r="H329" s="11" t="s">
        <v>58</v>
      </c>
      <c r="I329" s="11" t="s">
        <v>71</v>
      </c>
      <c r="J329" s="11" t="s">
        <v>172</v>
      </c>
      <c r="K329" s="25">
        <v>9</v>
      </c>
      <c r="L329" s="25">
        <v>3500</v>
      </c>
      <c r="M329" s="29">
        <v>0.2</v>
      </c>
      <c r="N329" s="25">
        <v>25200</v>
      </c>
      <c r="O329" s="25">
        <v>17053.310000000001</v>
      </c>
      <c r="P329" s="25">
        <v>8146.69</v>
      </c>
      <c r="Q329" s="21">
        <v>32.33</v>
      </c>
      <c r="R329" s="11" t="s">
        <v>61</v>
      </c>
      <c r="S329" s="11" t="s">
        <v>42</v>
      </c>
      <c r="T329" s="11" t="s">
        <v>159</v>
      </c>
      <c r="U329" s="11" t="s">
        <v>198</v>
      </c>
      <c r="V329" s="11">
        <v>2025</v>
      </c>
      <c r="W329" s="11" t="s">
        <v>194</v>
      </c>
      <c r="X329" s="11">
        <v>10</v>
      </c>
      <c r="Y329" s="10" t="s">
        <v>207</v>
      </c>
      <c r="Z329" s="11" t="s">
        <v>47</v>
      </c>
      <c r="AA329" s="11" t="s">
        <v>67</v>
      </c>
      <c r="AB329" s="11" t="s">
        <v>78</v>
      </c>
      <c r="AC329" s="11" t="s">
        <v>121</v>
      </c>
      <c r="AD329" s="11">
        <v>3</v>
      </c>
      <c r="AE329" s="11" t="s">
        <v>2220</v>
      </c>
      <c r="AF329" s="11" t="s">
        <v>2236</v>
      </c>
      <c r="AG329" s="25"/>
      <c r="AH329" s="11"/>
      <c r="AI329" s="11"/>
      <c r="AJ329" s="11"/>
      <c r="AK329" s="11"/>
      <c r="AL329" s="11"/>
      <c r="AM329" s="11" t="str">
        <f t="shared" si="29"/>
        <v>Good</v>
      </c>
      <c r="AN329" s="11" t="str" cm="1">
        <f t="array" ref="AN329">_xlfn.IFS(N329&lt;10000,"Low",N329&lt;30000,"Medium",N329&gt;=30000,"High")</f>
        <v>Medium</v>
      </c>
      <c r="AO329" s="11" t="str">
        <f t="shared" si="30"/>
        <v>No</v>
      </c>
      <c r="AP329" s="11" t="str">
        <f t="shared" si="31"/>
        <v>Yes</v>
      </c>
      <c r="AQ329" s="11">
        <f t="shared" si="32"/>
        <v>0.32328134920634921</v>
      </c>
      <c r="AR329" s="33"/>
      <c r="AS329" s="33"/>
      <c r="AT329" s="33"/>
      <c r="AU329" s="33"/>
      <c r="AV329" s="33"/>
      <c r="AW329" s="33"/>
      <c r="AX329" s="33" t="str">
        <f t="shared" si="33"/>
        <v>Average</v>
      </c>
    </row>
    <row r="330" spans="1:50">
      <c r="A330" s="9" t="s">
        <v>2103</v>
      </c>
      <c r="B330" s="10">
        <v>45849</v>
      </c>
      <c r="C330" s="11" t="s">
        <v>880</v>
      </c>
      <c r="D330" s="11" t="s">
        <v>876</v>
      </c>
      <c r="E330" s="11" t="s">
        <v>55</v>
      </c>
      <c r="F330" s="11" t="s">
        <v>245</v>
      </c>
      <c r="G330" s="11" t="s">
        <v>246</v>
      </c>
      <c r="H330" s="11" t="s">
        <v>94</v>
      </c>
      <c r="I330" s="11" t="s">
        <v>39</v>
      </c>
      <c r="J330" s="11" t="s">
        <v>356</v>
      </c>
      <c r="K330" s="25">
        <v>7</v>
      </c>
      <c r="L330" s="25">
        <v>8000</v>
      </c>
      <c r="M330" s="29">
        <v>0.05</v>
      </c>
      <c r="N330" s="25">
        <v>53200</v>
      </c>
      <c r="O330" s="25">
        <v>30625.7</v>
      </c>
      <c r="P330" s="25">
        <v>22574.3</v>
      </c>
      <c r="Q330" s="21">
        <v>42.43</v>
      </c>
      <c r="R330" s="11" t="s">
        <v>73</v>
      </c>
      <c r="S330" s="11" t="s">
        <v>74</v>
      </c>
      <c r="T330" s="11" t="s">
        <v>173</v>
      </c>
      <c r="U330" s="11" t="s">
        <v>198</v>
      </c>
      <c r="V330" s="11">
        <v>2025</v>
      </c>
      <c r="W330" s="11" t="s">
        <v>194</v>
      </c>
      <c r="X330" s="11">
        <v>1</v>
      </c>
      <c r="Y330" s="10">
        <v>45880</v>
      </c>
      <c r="Z330" s="11" t="s">
        <v>47</v>
      </c>
      <c r="AA330" s="11" t="s">
        <v>67</v>
      </c>
      <c r="AB330" s="11" t="s">
        <v>49</v>
      </c>
      <c r="AC330" s="11" t="s">
        <v>50</v>
      </c>
      <c r="AD330" s="11">
        <v>5</v>
      </c>
      <c r="AE330" s="11" t="s">
        <v>2237</v>
      </c>
      <c r="AF330" s="11" t="s">
        <v>2212</v>
      </c>
      <c r="AG330" s="25"/>
      <c r="AH330" s="11"/>
      <c r="AI330" s="11"/>
      <c r="AJ330" s="11"/>
      <c r="AK330" s="11"/>
      <c r="AL330" s="11"/>
      <c r="AM330" s="11" t="str">
        <f t="shared" si="29"/>
        <v>Good</v>
      </c>
      <c r="AN330" s="11" t="str" cm="1">
        <f t="array" ref="AN330">_xlfn.IFS(N330&lt;10000,"Low",N330&lt;30000,"Medium",N330&gt;=30000,"High")</f>
        <v>High</v>
      </c>
      <c r="AO330" s="11" t="str">
        <f t="shared" si="30"/>
        <v>Yes</v>
      </c>
      <c r="AP330" s="11" t="str">
        <f t="shared" si="31"/>
        <v>Yes</v>
      </c>
      <c r="AQ330" s="11">
        <f t="shared" si="32"/>
        <v>0.42432894736842103</v>
      </c>
      <c r="AR330" s="33"/>
      <c r="AS330" s="33"/>
      <c r="AT330" s="33"/>
      <c r="AU330" s="33"/>
      <c r="AV330" s="33"/>
      <c r="AW330" s="33"/>
      <c r="AX330" s="33" t="str">
        <f t="shared" si="33"/>
        <v>Excellent</v>
      </c>
    </row>
    <row r="331" spans="1:50">
      <c r="A331" s="9" t="s">
        <v>2050</v>
      </c>
      <c r="B331" s="10">
        <v>45870</v>
      </c>
      <c r="C331" s="11" t="s">
        <v>2051</v>
      </c>
      <c r="D331" s="11" t="s">
        <v>548</v>
      </c>
      <c r="E331" s="11" t="s">
        <v>35</v>
      </c>
      <c r="F331" s="11" t="s">
        <v>56</v>
      </c>
      <c r="G331" s="11" t="s">
        <v>57</v>
      </c>
      <c r="H331" s="11" t="s">
        <v>171</v>
      </c>
      <c r="I331" s="11" t="s">
        <v>95</v>
      </c>
      <c r="J331" s="11" t="s">
        <v>440</v>
      </c>
      <c r="K331" s="25">
        <v>9</v>
      </c>
      <c r="L331" s="25">
        <v>4000</v>
      </c>
      <c r="M331" s="29">
        <v>0</v>
      </c>
      <c r="N331" s="25">
        <v>36000</v>
      </c>
      <c r="O331" s="25">
        <v>25054.83</v>
      </c>
      <c r="P331" s="25">
        <v>10945.17</v>
      </c>
      <c r="Q331" s="21">
        <v>30.4</v>
      </c>
      <c r="R331" s="11" t="s">
        <v>61</v>
      </c>
      <c r="S331" s="11" t="s">
        <v>42</v>
      </c>
      <c r="T331" s="11" t="s">
        <v>118</v>
      </c>
      <c r="U331" s="11" t="s">
        <v>76</v>
      </c>
      <c r="V331" s="11">
        <v>2025</v>
      </c>
      <c r="W331" s="11" t="s">
        <v>134</v>
      </c>
      <c r="X331" s="11">
        <v>1</v>
      </c>
      <c r="Y331" s="10">
        <v>45901</v>
      </c>
      <c r="Z331" s="11" t="s">
        <v>110</v>
      </c>
      <c r="AA331" s="11" t="s">
        <v>90</v>
      </c>
      <c r="AB331" s="11" t="s">
        <v>78</v>
      </c>
      <c r="AC331" s="11" t="s">
        <v>50</v>
      </c>
      <c r="AD331" s="11">
        <v>1</v>
      </c>
      <c r="AE331" s="11" t="s">
        <v>2248</v>
      </c>
      <c r="AF331" s="11" t="s">
        <v>2222</v>
      </c>
      <c r="AG331" s="25"/>
      <c r="AH331" s="11"/>
      <c r="AI331" s="11"/>
      <c r="AJ331" s="11"/>
      <c r="AK331" s="11"/>
      <c r="AL331" s="11"/>
      <c r="AM331" s="11" t="str">
        <f t="shared" si="29"/>
        <v>Good</v>
      </c>
      <c r="AN331" s="11" t="str" cm="1">
        <f t="array" ref="AN331">_xlfn.IFS(N331&lt;10000,"Low",N331&lt;30000,"Medium",N331&gt;=30000,"High")</f>
        <v>High</v>
      </c>
      <c r="AO331" s="11" t="str">
        <f t="shared" si="30"/>
        <v>Yes</v>
      </c>
      <c r="AP331" s="11" t="str">
        <f t="shared" si="31"/>
        <v>Yes</v>
      </c>
      <c r="AQ331" s="11">
        <f t="shared" si="32"/>
        <v>0.30403249999999998</v>
      </c>
      <c r="AR331" s="33"/>
      <c r="AS331" s="33"/>
      <c r="AT331" s="33"/>
      <c r="AU331" s="33"/>
      <c r="AV331" s="33"/>
      <c r="AW331" s="33"/>
      <c r="AX331" s="33" t="str">
        <f t="shared" si="33"/>
        <v>Good</v>
      </c>
    </row>
    <row r="332" spans="1:50">
      <c r="A332" s="9" t="s">
        <v>1440</v>
      </c>
      <c r="B332" s="10">
        <v>45871</v>
      </c>
      <c r="C332" s="11" t="s">
        <v>1441</v>
      </c>
      <c r="D332" s="11" t="s">
        <v>650</v>
      </c>
      <c r="E332" s="11" t="s">
        <v>55</v>
      </c>
      <c r="F332" s="11" t="s">
        <v>104</v>
      </c>
      <c r="G332" s="11" t="s">
        <v>104</v>
      </c>
      <c r="H332" s="11" t="s">
        <v>58</v>
      </c>
      <c r="I332" s="11" t="s">
        <v>59</v>
      </c>
      <c r="J332" s="11" t="s">
        <v>60</v>
      </c>
      <c r="K332" s="25">
        <v>8</v>
      </c>
      <c r="L332" s="25">
        <v>2000</v>
      </c>
      <c r="M332" s="29">
        <v>0.15</v>
      </c>
      <c r="N332" s="25">
        <v>13600</v>
      </c>
      <c r="O332" s="25">
        <v>9277.6299999999992</v>
      </c>
      <c r="P332" s="25">
        <v>4322.37</v>
      </c>
      <c r="Q332" s="21">
        <v>31.78</v>
      </c>
      <c r="R332" s="11" t="s">
        <v>106</v>
      </c>
      <c r="S332" s="11" t="s">
        <v>62</v>
      </c>
      <c r="T332" s="11" t="s">
        <v>63</v>
      </c>
      <c r="U332" s="11" t="s">
        <v>98</v>
      </c>
      <c r="V332" s="11">
        <v>2025</v>
      </c>
      <c r="W332" s="11" t="s">
        <v>65</v>
      </c>
      <c r="X332" s="11">
        <v>6</v>
      </c>
      <c r="Y332" s="10" t="s">
        <v>934</v>
      </c>
      <c r="Z332" s="11" t="s">
        <v>110</v>
      </c>
      <c r="AA332" s="11" t="s">
        <v>90</v>
      </c>
      <c r="AB332" s="11" t="s">
        <v>49</v>
      </c>
      <c r="AC332" s="11" t="s">
        <v>50</v>
      </c>
      <c r="AD332" s="11">
        <v>3</v>
      </c>
      <c r="AE332" s="11" t="s">
        <v>2229</v>
      </c>
      <c r="AF332" s="11" t="s">
        <v>2224</v>
      </c>
      <c r="AG332" s="25"/>
      <c r="AH332" s="11"/>
      <c r="AI332" s="11"/>
      <c r="AJ332" s="11"/>
      <c r="AK332" s="11"/>
      <c r="AL332" s="11"/>
      <c r="AM332" s="11" t="str">
        <f t="shared" si="29"/>
        <v>Good</v>
      </c>
      <c r="AN332" s="11" t="str" cm="1">
        <f t="array" ref="AN332">_xlfn.IFS(N332&lt;10000,"Low",N332&lt;30000,"Medium",N332&gt;=30000,"High")</f>
        <v>Medium</v>
      </c>
      <c r="AO332" s="11" t="str">
        <f t="shared" si="30"/>
        <v>No</v>
      </c>
      <c r="AP332" s="11" t="str">
        <f t="shared" si="31"/>
        <v>No</v>
      </c>
      <c r="AQ332" s="11">
        <f t="shared" si="32"/>
        <v>0.31782132352941178</v>
      </c>
      <c r="AR332" s="33"/>
      <c r="AS332" s="33"/>
      <c r="AT332" s="33"/>
      <c r="AU332" s="33"/>
      <c r="AV332" s="33"/>
      <c r="AW332" s="33"/>
      <c r="AX332" s="33" t="str">
        <f t="shared" si="33"/>
        <v>Low</v>
      </c>
    </row>
    <row r="333" spans="1:50">
      <c r="A333" s="9" t="s">
        <v>1593</v>
      </c>
      <c r="B333" s="10">
        <v>45872</v>
      </c>
      <c r="C333" s="11" t="s">
        <v>192</v>
      </c>
      <c r="D333" s="11" t="s">
        <v>1055</v>
      </c>
      <c r="E333" s="11" t="s">
        <v>103</v>
      </c>
      <c r="F333" s="11" t="s">
        <v>56</v>
      </c>
      <c r="G333" s="11" t="s">
        <v>57</v>
      </c>
      <c r="H333" s="11" t="s">
        <v>94</v>
      </c>
      <c r="I333" s="11" t="s">
        <v>84</v>
      </c>
      <c r="J333" s="11" t="s">
        <v>229</v>
      </c>
      <c r="K333" s="25">
        <v>2</v>
      </c>
      <c r="L333" s="25">
        <v>100</v>
      </c>
      <c r="M333" s="29">
        <v>0.15</v>
      </c>
      <c r="N333" s="25">
        <v>170</v>
      </c>
      <c r="O333" s="25">
        <v>102.2</v>
      </c>
      <c r="P333" s="25">
        <v>67.8</v>
      </c>
      <c r="Q333" s="21">
        <v>39.880000000000003</v>
      </c>
      <c r="R333" s="11" t="s">
        <v>41</v>
      </c>
      <c r="S333" s="11" t="s">
        <v>62</v>
      </c>
      <c r="T333" s="11" t="s">
        <v>173</v>
      </c>
      <c r="U333" s="11" t="s">
        <v>178</v>
      </c>
      <c r="V333" s="11">
        <v>2025</v>
      </c>
      <c r="W333" s="11" t="s">
        <v>65</v>
      </c>
      <c r="X333" s="11">
        <v>4</v>
      </c>
      <c r="Y333" s="10">
        <v>45994</v>
      </c>
      <c r="Z333" s="11" t="s">
        <v>47</v>
      </c>
      <c r="AA333" s="11" t="s">
        <v>48</v>
      </c>
      <c r="AB333" s="11" t="s">
        <v>49</v>
      </c>
      <c r="AC333" s="11" t="s">
        <v>121</v>
      </c>
      <c r="AD333" s="11">
        <v>1</v>
      </c>
      <c r="AE333" s="11" t="s">
        <v>2234</v>
      </c>
      <c r="AF333" s="11" t="s">
        <v>2228</v>
      </c>
      <c r="AG333" s="25"/>
      <c r="AH333" s="11"/>
      <c r="AI333" s="11"/>
      <c r="AJ333" s="11"/>
      <c r="AK333" s="11"/>
      <c r="AL333" s="11"/>
      <c r="AM333" s="11" t="str">
        <f t="shared" si="29"/>
        <v>Good</v>
      </c>
      <c r="AN333" s="11" t="str" cm="1">
        <f t="array" ref="AN333">_xlfn.IFS(N333&lt;10000,"Low",N333&lt;30000,"Medium",N333&gt;=30000,"High")</f>
        <v>Low</v>
      </c>
      <c r="AO333" s="11" t="str">
        <f t="shared" si="30"/>
        <v>No</v>
      </c>
      <c r="AP333" s="11" t="str">
        <f t="shared" si="31"/>
        <v>No</v>
      </c>
      <c r="AQ333" s="11">
        <f t="shared" si="32"/>
        <v>0.39882352941176469</v>
      </c>
      <c r="AR333" s="33"/>
      <c r="AS333" s="33"/>
      <c r="AT333" s="33"/>
      <c r="AU333" s="33"/>
      <c r="AV333" s="33"/>
      <c r="AW333" s="33"/>
      <c r="AX333" s="33" t="str">
        <f t="shared" si="33"/>
        <v>Low</v>
      </c>
    </row>
    <row r="334" spans="1:50">
      <c r="A334" s="9" t="s">
        <v>1289</v>
      </c>
      <c r="B334" s="10">
        <v>45873</v>
      </c>
      <c r="C334" s="11" t="s">
        <v>752</v>
      </c>
      <c r="D334" s="11" t="s">
        <v>343</v>
      </c>
      <c r="E334" s="11" t="s">
        <v>35</v>
      </c>
      <c r="F334" s="11" t="s">
        <v>116</v>
      </c>
      <c r="G334" s="11" t="s">
        <v>37</v>
      </c>
      <c r="H334" s="11" t="s">
        <v>58</v>
      </c>
      <c r="I334" s="11" t="s">
        <v>59</v>
      </c>
      <c r="J334" s="11" t="s">
        <v>328</v>
      </c>
      <c r="K334" s="25">
        <v>6</v>
      </c>
      <c r="L334" s="25">
        <v>500</v>
      </c>
      <c r="M334" s="29">
        <v>0.2</v>
      </c>
      <c r="N334" s="25">
        <v>2400</v>
      </c>
      <c r="O334" s="25">
        <v>1403.8</v>
      </c>
      <c r="P334" s="25">
        <v>996.2</v>
      </c>
      <c r="Q334" s="21">
        <v>41.51</v>
      </c>
      <c r="R334" s="11" t="s">
        <v>41</v>
      </c>
      <c r="S334" s="11" t="s">
        <v>42</v>
      </c>
      <c r="T334" s="11" t="s">
        <v>75</v>
      </c>
      <c r="U334" s="11" t="s">
        <v>44</v>
      </c>
      <c r="V334" s="11">
        <v>2025</v>
      </c>
      <c r="W334" s="11" t="s">
        <v>109</v>
      </c>
      <c r="X334" s="11">
        <v>6</v>
      </c>
      <c r="Y334" s="10" t="s">
        <v>615</v>
      </c>
      <c r="Z334" s="11" t="s">
        <v>89</v>
      </c>
      <c r="AA334" s="11" t="s">
        <v>90</v>
      </c>
      <c r="AB334" s="11" t="s">
        <v>78</v>
      </c>
      <c r="AC334" s="11" t="s">
        <v>50</v>
      </c>
      <c r="AD334" s="11">
        <v>2</v>
      </c>
      <c r="AE334" s="11" t="s">
        <v>2218</v>
      </c>
      <c r="AF334" s="11" t="s">
        <v>2236</v>
      </c>
      <c r="AG334" s="25"/>
      <c r="AH334" s="11"/>
      <c r="AI334" s="11"/>
      <c r="AJ334" s="11"/>
      <c r="AK334" s="11"/>
      <c r="AL334" s="11"/>
      <c r="AM334" s="11" t="str">
        <f t="shared" si="29"/>
        <v>Good</v>
      </c>
      <c r="AN334" s="11" t="str" cm="1">
        <f t="array" ref="AN334">_xlfn.IFS(N334&lt;10000,"Low",N334&lt;30000,"Medium",N334&gt;=30000,"High")</f>
        <v>Low</v>
      </c>
      <c r="AO334" s="11" t="str">
        <f t="shared" si="30"/>
        <v>No</v>
      </c>
      <c r="AP334" s="11" t="str">
        <f t="shared" si="31"/>
        <v>Yes</v>
      </c>
      <c r="AQ334" s="11">
        <f t="shared" si="32"/>
        <v>0.41508333333333336</v>
      </c>
      <c r="AR334" s="33"/>
      <c r="AS334" s="33"/>
      <c r="AT334" s="33"/>
      <c r="AU334" s="33"/>
      <c r="AV334" s="33"/>
      <c r="AW334" s="33"/>
      <c r="AX334" s="33" t="str">
        <f t="shared" si="33"/>
        <v>Low</v>
      </c>
    </row>
    <row r="335" spans="1:50">
      <c r="A335" s="9" t="s">
        <v>1592</v>
      </c>
      <c r="B335" s="10">
        <v>45873</v>
      </c>
      <c r="C335" s="11" t="s">
        <v>553</v>
      </c>
      <c r="D335" s="11" t="s">
        <v>623</v>
      </c>
      <c r="E335" s="11" t="s">
        <v>55</v>
      </c>
      <c r="F335" s="11" t="s">
        <v>56</v>
      </c>
      <c r="G335" s="11" t="s">
        <v>57</v>
      </c>
      <c r="H335" s="11" t="s">
        <v>38</v>
      </c>
      <c r="I335" s="11" t="s">
        <v>95</v>
      </c>
      <c r="J335" s="11" t="s">
        <v>184</v>
      </c>
      <c r="K335" s="25">
        <v>1</v>
      </c>
      <c r="L335" s="25">
        <v>9000</v>
      </c>
      <c r="M335" s="29">
        <v>0.2</v>
      </c>
      <c r="N335" s="25">
        <v>7200</v>
      </c>
      <c r="O335" s="25">
        <v>4190.03</v>
      </c>
      <c r="P335" s="25">
        <v>3009.97</v>
      </c>
      <c r="Q335" s="21">
        <v>41.81</v>
      </c>
      <c r="R335" s="11" t="s">
        <v>73</v>
      </c>
      <c r="S335" s="11" t="s">
        <v>62</v>
      </c>
      <c r="T335" s="11" t="s">
        <v>107</v>
      </c>
      <c r="U335" s="11" t="s">
        <v>44</v>
      </c>
      <c r="V335" s="11">
        <v>2025</v>
      </c>
      <c r="W335" s="11" t="s">
        <v>109</v>
      </c>
      <c r="X335" s="11">
        <v>6</v>
      </c>
      <c r="Y335" s="10" t="s">
        <v>615</v>
      </c>
      <c r="Z335" s="11" t="s">
        <v>47</v>
      </c>
      <c r="AA335" s="11" t="s">
        <v>67</v>
      </c>
      <c r="AB335" s="11" t="s">
        <v>111</v>
      </c>
      <c r="AC335" s="11" t="s">
        <v>50</v>
      </c>
      <c r="AD335" s="11">
        <v>1</v>
      </c>
      <c r="AE335" s="11" t="s">
        <v>2237</v>
      </c>
      <c r="AF335" s="11" t="s">
        <v>2236</v>
      </c>
      <c r="AG335" s="25"/>
      <c r="AH335" s="11"/>
      <c r="AI335" s="11"/>
      <c r="AJ335" s="11"/>
      <c r="AK335" s="11"/>
      <c r="AL335" s="11"/>
      <c r="AM335" s="11" t="str">
        <f t="shared" si="29"/>
        <v>Good</v>
      </c>
      <c r="AN335" s="11" t="str" cm="1">
        <f t="array" ref="AN335">_xlfn.IFS(N335&lt;10000,"Low",N335&lt;30000,"Medium",N335&gt;=30000,"High")</f>
        <v>Low</v>
      </c>
      <c r="AO335" s="11" t="str">
        <f t="shared" si="30"/>
        <v>No</v>
      </c>
      <c r="AP335" s="11" t="str">
        <f t="shared" si="31"/>
        <v>No</v>
      </c>
      <c r="AQ335" s="11">
        <f t="shared" si="32"/>
        <v>0.41805138888888888</v>
      </c>
      <c r="AR335" s="33"/>
      <c r="AS335" s="33"/>
      <c r="AT335" s="33"/>
      <c r="AU335" s="33"/>
      <c r="AV335" s="33"/>
      <c r="AW335" s="33"/>
      <c r="AX335" s="33" t="str">
        <f t="shared" si="33"/>
        <v>Low</v>
      </c>
    </row>
    <row r="336" spans="1:50">
      <c r="A336" s="9" t="s">
        <v>1081</v>
      </c>
      <c r="B336" s="10">
        <v>45874</v>
      </c>
      <c r="C336" s="11" t="s">
        <v>1082</v>
      </c>
      <c r="D336" s="11" t="s">
        <v>1083</v>
      </c>
      <c r="E336" s="11" t="s">
        <v>55</v>
      </c>
      <c r="F336" s="11" t="s">
        <v>82</v>
      </c>
      <c r="G336" s="11" t="s">
        <v>83</v>
      </c>
      <c r="H336" s="11" t="s">
        <v>58</v>
      </c>
      <c r="I336" s="11" t="s">
        <v>84</v>
      </c>
      <c r="J336" s="11" t="s">
        <v>290</v>
      </c>
      <c r="K336" s="25">
        <v>8</v>
      </c>
      <c r="L336" s="25">
        <v>100</v>
      </c>
      <c r="M336" s="29">
        <v>0.05</v>
      </c>
      <c r="N336" s="25">
        <v>760</v>
      </c>
      <c r="O336" s="25">
        <v>601.04999999999995</v>
      </c>
      <c r="P336" s="25">
        <v>158.94999999999999</v>
      </c>
      <c r="Q336" s="21">
        <v>20.91</v>
      </c>
      <c r="R336" s="11" t="s">
        <v>41</v>
      </c>
      <c r="S336" s="11" t="s">
        <v>62</v>
      </c>
      <c r="T336" s="11" t="s">
        <v>63</v>
      </c>
      <c r="U336" s="11" t="s">
        <v>119</v>
      </c>
      <c r="V336" s="11">
        <v>2025</v>
      </c>
      <c r="W336" s="11" t="s">
        <v>139</v>
      </c>
      <c r="X336" s="11">
        <v>3</v>
      </c>
      <c r="Y336" s="10">
        <v>45966</v>
      </c>
      <c r="Z336" s="11" t="s">
        <v>110</v>
      </c>
      <c r="AA336" s="11" t="s">
        <v>48</v>
      </c>
      <c r="AB336" s="11" t="s">
        <v>111</v>
      </c>
      <c r="AC336" s="11" t="s">
        <v>50</v>
      </c>
      <c r="AD336" s="11">
        <v>5</v>
      </c>
      <c r="AE336" s="11" t="s">
        <v>2216</v>
      </c>
      <c r="AF336" s="11" t="s">
        <v>2219</v>
      </c>
      <c r="AG336" s="25"/>
      <c r="AH336" s="11"/>
      <c r="AI336" s="11"/>
      <c r="AJ336" s="11"/>
      <c r="AK336" s="11"/>
      <c r="AL336" s="11"/>
      <c r="AM336" s="11" t="str">
        <f t="shared" si="29"/>
        <v>Needs Improvement</v>
      </c>
      <c r="AN336" s="11" t="str" cm="1">
        <f t="array" ref="AN336">_xlfn.IFS(N336&lt;10000,"Low",N336&lt;30000,"Medium",N336&gt;=30000,"High")</f>
        <v>Low</v>
      </c>
      <c r="AO336" s="11" t="str">
        <f t="shared" si="30"/>
        <v>No</v>
      </c>
      <c r="AP336" s="11" t="str">
        <f t="shared" si="31"/>
        <v>No</v>
      </c>
      <c r="AQ336" s="11">
        <f t="shared" si="32"/>
        <v>0.20914473684210524</v>
      </c>
      <c r="AR336" s="33"/>
      <c r="AS336" s="33"/>
      <c r="AT336" s="33"/>
      <c r="AU336" s="33"/>
      <c r="AV336" s="33"/>
      <c r="AW336" s="33"/>
      <c r="AX336" s="33" t="str">
        <f t="shared" si="33"/>
        <v>Low</v>
      </c>
    </row>
    <row r="337" spans="1:50">
      <c r="A337" s="9" t="s">
        <v>1126</v>
      </c>
      <c r="B337" s="10">
        <v>45874</v>
      </c>
      <c r="C337" s="11" t="s">
        <v>430</v>
      </c>
      <c r="D337" s="11" t="s">
        <v>1127</v>
      </c>
      <c r="E337" s="11" t="s">
        <v>103</v>
      </c>
      <c r="F337" s="11" t="s">
        <v>104</v>
      </c>
      <c r="G337" s="11" t="s">
        <v>104</v>
      </c>
      <c r="H337" s="11" t="s">
        <v>58</v>
      </c>
      <c r="I337" s="11" t="s">
        <v>59</v>
      </c>
      <c r="J337" s="11" t="s">
        <v>133</v>
      </c>
      <c r="K337" s="25">
        <v>6</v>
      </c>
      <c r="L337" s="25">
        <v>500</v>
      </c>
      <c r="M337" s="29">
        <v>0.2</v>
      </c>
      <c r="N337" s="25">
        <v>2400</v>
      </c>
      <c r="O337" s="25">
        <v>1793.16</v>
      </c>
      <c r="P337" s="25">
        <v>606.84</v>
      </c>
      <c r="Q337" s="21">
        <v>25.29</v>
      </c>
      <c r="R337" s="11" t="s">
        <v>41</v>
      </c>
      <c r="S337" s="11" t="s">
        <v>42</v>
      </c>
      <c r="T337" s="11" t="s">
        <v>173</v>
      </c>
      <c r="U337" s="11" t="s">
        <v>119</v>
      </c>
      <c r="V337" s="11">
        <v>2025</v>
      </c>
      <c r="W337" s="11" t="s">
        <v>139</v>
      </c>
      <c r="X337" s="11">
        <v>2</v>
      </c>
      <c r="Y337" s="10">
        <v>45935</v>
      </c>
      <c r="Z337" s="11" t="s">
        <v>47</v>
      </c>
      <c r="AA337" s="11" t="s">
        <v>90</v>
      </c>
      <c r="AB337" s="11" t="s">
        <v>78</v>
      </c>
      <c r="AC337" s="11" t="s">
        <v>121</v>
      </c>
      <c r="AD337" s="11">
        <v>5</v>
      </c>
      <c r="AE337" s="11" t="s">
        <v>2225</v>
      </c>
      <c r="AF337" s="11" t="s">
        <v>2219</v>
      </c>
      <c r="AG337" s="25"/>
      <c r="AH337" s="11"/>
      <c r="AI337" s="11"/>
      <c r="AJ337" s="11"/>
      <c r="AK337" s="11"/>
      <c r="AL337" s="11"/>
      <c r="AM337" s="11" t="str">
        <f t="shared" si="29"/>
        <v>Needs Improvement</v>
      </c>
      <c r="AN337" s="11" t="str" cm="1">
        <f t="array" ref="AN337">_xlfn.IFS(N337&lt;10000,"Low",N337&lt;30000,"Medium",N337&gt;=30000,"High")</f>
        <v>Low</v>
      </c>
      <c r="AO337" s="11" t="str">
        <f t="shared" si="30"/>
        <v>No</v>
      </c>
      <c r="AP337" s="11" t="str">
        <f t="shared" si="31"/>
        <v>Yes</v>
      </c>
      <c r="AQ337" s="11">
        <f t="shared" si="32"/>
        <v>0.25285000000000002</v>
      </c>
      <c r="AR337" s="33"/>
      <c r="AS337" s="33"/>
      <c r="AT337" s="33"/>
      <c r="AU337" s="33"/>
      <c r="AV337" s="33"/>
      <c r="AW337" s="33"/>
      <c r="AX337" s="33" t="str">
        <f t="shared" si="33"/>
        <v>Low</v>
      </c>
    </row>
    <row r="338" spans="1:50">
      <c r="A338" s="9" t="s">
        <v>1610</v>
      </c>
      <c r="B338" s="10">
        <v>45875</v>
      </c>
      <c r="C338" s="11" t="s">
        <v>249</v>
      </c>
      <c r="D338" s="11" t="s">
        <v>1449</v>
      </c>
      <c r="E338" s="11" t="s">
        <v>55</v>
      </c>
      <c r="F338" s="11" t="s">
        <v>36</v>
      </c>
      <c r="G338" s="11" t="s">
        <v>37</v>
      </c>
      <c r="H338" s="11" t="s">
        <v>38</v>
      </c>
      <c r="I338" s="11" t="s">
        <v>95</v>
      </c>
      <c r="J338" s="11" t="s">
        <v>96</v>
      </c>
      <c r="K338" s="25">
        <v>5</v>
      </c>
      <c r="L338" s="25">
        <v>4000</v>
      </c>
      <c r="M338" s="29">
        <v>0.2</v>
      </c>
      <c r="N338" s="25">
        <v>16000</v>
      </c>
      <c r="O338" s="25">
        <v>11482.24</v>
      </c>
      <c r="P338" s="25">
        <v>4517.76</v>
      </c>
      <c r="Q338" s="21">
        <v>28.24</v>
      </c>
      <c r="R338" s="11" t="s">
        <v>166</v>
      </c>
      <c r="S338" s="11" t="s">
        <v>42</v>
      </c>
      <c r="T338" s="11" t="s">
        <v>43</v>
      </c>
      <c r="U338" s="11" t="s">
        <v>160</v>
      </c>
      <c r="V338" s="11">
        <v>2025</v>
      </c>
      <c r="W338" s="11" t="s">
        <v>45</v>
      </c>
      <c r="X338" s="11">
        <v>6</v>
      </c>
      <c r="Y338" s="10" t="s">
        <v>1611</v>
      </c>
      <c r="Z338" s="11" t="s">
        <v>47</v>
      </c>
      <c r="AA338" s="11" t="s">
        <v>67</v>
      </c>
      <c r="AB338" s="11" t="s">
        <v>111</v>
      </c>
      <c r="AC338" s="11" t="s">
        <v>50</v>
      </c>
      <c r="AD338" s="11">
        <v>1</v>
      </c>
      <c r="AE338" s="11" t="s">
        <v>2218</v>
      </c>
      <c r="AF338" s="11" t="s">
        <v>2231</v>
      </c>
      <c r="AG338" s="25"/>
      <c r="AH338" s="11"/>
      <c r="AI338" s="11"/>
      <c r="AJ338" s="11"/>
      <c r="AK338" s="11"/>
      <c r="AL338" s="11"/>
      <c r="AM338" s="11" t="str">
        <f t="shared" si="29"/>
        <v>Needs Improvement</v>
      </c>
      <c r="AN338" s="11" t="str" cm="1">
        <f t="array" ref="AN338">_xlfn.IFS(N338&lt;10000,"Low",N338&lt;30000,"Medium",N338&gt;=30000,"High")</f>
        <v>Medium</v>
      </c>
      <c r="AO338" s="11" t="str">
        <f t="shared" si="30"/>
        <v>No</v>
      </c>
      <c r="AP338" s="11" t="str">
        <f t="shared" si="31"/>
        <v>Yes</v>
      </c>
      <c r="AQ338" s="11">
        <f t="shared" si="32"/>
        <v>0.28236</v>
      </c>
      <c r="AR338" s="33"/>
      <c r="AS338" s="33"/>
      <c r="AT338" s="33"/>
      <c r="AU338" s="33"/>
      <c r="AV338" s="33"/>
      <c r="AW338" s="33"/>
      <c r="AX338" s="33" t="str">
        <f t="shared" si="33"/>
        <v>Low</v>
      </c>
    </row>
    <row r="339" spans="1:50">
      <c r="A339" s="9" t="s">
        <v>2054</v>
      </c>
      <c r="B339" s="10">
        <v>45875</v>
      </c>
      <c r="C339" s="11" t="s">
        <v>1285</v>
      </c>
      <c r="D339" s="11" t="s">
        <v>130</v>
      </c>
      <c r="E339" s="11" t="s">
        <v>103</v>
      </c>
      <c r="F339" s="11" t="s">
        <v>116</v>
      </c>
      <c r="G339" s="11" t="s">
        <v>37</v>
      </c>
      <c r="H339" s="11" t="s">
        <v>94</v>
      </c>
      <c r="I339" s="11" t="s">
        <v>95</v>
      </c>
      <c r="J339" s="11" t="s">
        <v>184</v>
      </c>
      <c r="K339" s="25">
        <v>10</v>
      </c>
      <c r="L339" s="25">
        <v>6000</v>
      </c>
      <c r="M339" s="29">
        <v>0.2</v>
      </c>
      <c r="N339" s="25">
        <v>48000</v>
      </c>
      <c r="O339" s="25">
        <v>34788.629999999997</v>
      </c>
      <c r="P339" s="25">
        <v>13211.37</v>
      </c>
      <c r="Q339" s="21">
        <v>27.52</v>
      </c>
      <c r="R339" s="11" t="s">
        <v>106</v>
      </c>
      <c r="S339" s="11" t="s">
        <v>42</v>
      </c>
      <c r="T339" s="11" t="s">
        <v>138</v>
      </c>
      <c r="U339" s="11" t="s">
        <v>160</v>
      </c>
      <c r="V339" s="11">
        <v>2025</v>
      </c>
      <c r="W339" s="11" t="s">
        <v>45</v>
      </c>
      <c r="X339" s="11">
        <v>9</v>
      </c>
      <c r="Y339" s="10" t="s">
        <v>549</v>
      </c>
      <c r="Z339" s="11" t="s">
        <v>47</v>
      </c>
      <c r="AA339" s="11" t="s">
        <v>90</v>
      </c>
      <c r="AB339" s="11" t="s">
        <v>78</v>
      </c>
      <c r="AC339" s="11" t="s">
        <v>121</v>
      </c>
      <c r="AD339" s="11">
        <v>2</v>
      </c>
      <c r="AE339" s="11" t="s">
        <v>159</v>
      </c>
      <c r="AF339" s="11" t="s">
        <v>2219</v>
      </c>
      <c r="AG339" s="25"/>
      <c r="AH339" s="11"/>
      <c r="AI339" s="11"/>
      <c r="AJ339" s="11"/>
      <c r="AK339" s="11"/>
      <c r="AL339" s="11"/>
      <c r="AM339" s="11" t="str">
        <f t="shared" si="29"/>
        <v>Needs Improvement</v>
      </c>
      <c r="AN339" s="11" t="str" cm="1">
        <f t="array" ref="AN339">_xlfn.IFS(N339&lt;10000,"Low",N339&lt;30000,"Medium",N339&gt;=30000,"High")</f>
        <v>High</v>
      </c>
      <c r="AO339" s="11" t="str">
        <f t="shared" si="30"/>
        <v>Yes</v>
      </c>
      <c r="AP339" s="11" t="str">
        <f t="shared" si="31"/>
        <v>Yes</v>
      </c>
      <c r="AQ339" s="11">
        <f t="shared" si="32"/>
        <v>0.27523687499999999</v>
      </c>
      <c r="AR339" s="33"/>
      <c r="AS339" s="33"/>
      <c r="AT339" s="33"/>
      <c r="AU339" s="33"/>
      <c r="AV339" s="33"/>
      <c r="AW339" s="33"/>
      <c r="AX339" s="33" t="str">
        <f t="shared" si="33"/>
        <v>Good</v>
      </c>
    </row>
    <row r="340" spans="1:50">
      <c r="A340" s="9" t="s">
        <v>1681</v>
      </c>
      <c r="B340" s="10">
        <v>45879</v>
      </c>
      <c r="C340" s="11" t="s">
        <v>204</v>
      </c>
      <c r="D340" s="11" t="s">
        <v>318</v>
      </c>
      <c r="E340" s="11" t="s">
        <v>55</v>
      </c>
      <c r="F340" s="11" t="s">
        <v>104</v>
      </c>
      <c r="G340" s="11" t="s">
        <v>104</v>
      </c>
      <c r="H340" s="11" t="s">
        <v>38</v>
      </c>
      <c r="I340" s="11" t="s">
        <v>95</v>
      </c>
      <c r="J340" s="11" t="s">
        <v>184</v>
      </c>
      <c r="K340" s="25">
        <v>5</v>
      </c>
      <c r="L340" s="25">
        <v>2500</v>
      </c>
      <c r="M340" s="29">
        <v>0.05</v>
      </c>
      <c r="N340" s="25">
        <v>11875</v>
      </c>
      <c r="O340" s="25">
        <v>7404.82</v>
      </c>
      <c r="P340" s="25">
        <v>4470.18</v>
      </c>
      <c r="Q340" s="21">
        <v>37.64</v>
      </c>
      <c r="R340" s="11" t="s">
        <v>61</v>
      </c>
      <c r="S340" s="11" t="s">
        <v>74</v>
      </c>
      <c r="T340" s="11" t="s">
        <v>173</v>
      </c>
      <c r="U340" s="11" t="s">
        <v>87</v>
      </c>
      <c r="V340" s="11">
        <v>2025</v>
      </c>
      <c r="W340" s="11" t="s">
        <v>134</v>
      </c>
      <c r="X340" s="11">
        <v>4</v>
      </c>
      <c r="Y340" s="10">
        <v>46001</v>
      </c>
      <c r="Z340" s="11" t="s">
        <v>47</v>
      </c>
      <c r="AA340" s="11" t="s">
        <v>90</v>
      </c>
      <c r="AB340" s="11" t="s">
        <v>111</v>
      </c>
      <c r="AC340" s="11" t="s">
        <v>50</v>
      </c>
      <c r="AD340" s="11">
        <v>1</v>
      </c>
      <c r="AE340" s="11" t="s">
        <v>118</v>
      </c>
      <c r="AF340" s="11" t="s">
        <v>2235</v>
      </c>
      <c r="AG340" s="25"/>
      <c r="AH340" s="11"/>
      <c r="AI340" s="11"/>
      <c r="AJ340" s="11"/>
      <c r="AK340" s="11"/>
      <c r="AL340" s="11"/>
      <c r="AM340" s="11" t="str">
        <f t="shared" si="29"/>
        <v>Good</v>
      </c>
      <c r="AN340" s="11" t="str" cm="1">
        <f t="array" ref="AN340">_xlfn.IFS(N340&lt;10000,"Low",N340&lt;30000,"Medium",N340&gt;=30000,"High")</f>
        <v>Medium</v>
      </c>
      <c r="AO340" s="11" t="str">
        <f t="shared" si="30"/>
        <v>No</v>
      </c>
      <c r="AP340" s="11" t="str">
        <f t="shared" si="31"/>
        <v>Yes</v>
      </c>
      <c r="AQ340" s="11">
        <f t="shared" si="32"/>
        <v>0.37643621052631582</v>
      </c>
      <c r="AR340" s="33"/>
      <c r="AS340" s="33"/>
      <c r="AT340" s="33"/>
      <c r="AU340" s="33"/>
      <c r="AV340" s="33"/>
      <c r="AW340" s="33"/>
      <c r="AX340" s="33" t="str">
        <f t="shared" si="33"/>
        <v>Low</v>
      </c>
    </row>
    <row r="341" spans="1:50">
      <c r="A341" s="9" t="s">
        <v>909</v>
      </c>
      <c r="B341" s="10">
        <v>45880</v>
      </c>
      <c r="C341" s="11" t="s">
        <v>243</v>
      </c>
      <c r="D341" s="11" t="s">
        <v>313</v>
      </c>
      <c r="E341" s="11" t="s">
        <v>55</v>
      </c>
      <c r="F341" s="11" t="s">
        <v>245</v>
      </c>
      <c r="G341" s="11" t="s">
        <v>246</v>
      </c>
      <c r="H341" s="11" t="s">
        <v>38</v>
      </c>
      <c r="I341" s="11" t="s">
        <v>59</v>
      </c>
      <c r="J341" s="11" t="s">
        <v>133</v>
      </c>
      <c r="K341" s="25">
        <v>10</v>
      </c>
      <c r="L341" s="25">
        <v>3000</v>
      </c>
      <c r="M341" s="29">
        <v>0</v>
      </c>
      <c r="N341" s="25">
        <v>30000</v>
      </c>
      <c r="O341" s="25">
        <v>18254.41</v>
      </c>
      <c r="P341" s="25">
        <v>11745.59</v>
      </c>
      <c r="Q341" s="21">
        <v>39.15</v>
      </c>
      <c r="R341" s="11" t="s">
        <v>73</v>
      </c>
      <c r="S341" s="11" t="s">
        <v>62</v>
      </c>
      <c r="T341" s="11" t="s">
        <v>63</v>
      </c>
      <c r="U341" s="11" t="s">
        <v>198</v>
      </c>
      <c r="V341" s="11">
        <v>2025</v>
      </c>
      <c r="W341" s="11" t="s">
        <v>65</v>
      </c>
      <c r="X341" s="11">
        <v>5</v>
      </c>
      <c r="Y341" s="10" t="s">
        <v>910</v>
      </c>
      <c r="Z341" s="11" t="s">
        <v>47</v>
      </c>
      <c r="AA341" s="11" t="s">
        <v>90</v>
      </c>
      <c r="AB341" s="11" t="s">
        <v>111</v>
      </c>
      <c r="AC341" s="11" t="s">
        <v>121</v>
      </c>
      <c r="AD341" s="11">
        <v>5</v>
      </c>
      <c r="AE341" s="11" t="s">
        <v>2220</v>
      </c>
      <c r="AF341" s="11" t="s">
        <v>2217</v>
      </c>
      <c r="AG341" s="25"/>
      <c r="AH341" s="11"/>
      <c r="AI341" s="11"/>
      <c r="AJ341" s="11"/>
      <c r="AK341" s="11"/>
      <c r="AL341" s="11"/>
      <c r="AM341" s="11" t="str">
        <f t="shared" si="29"/>
        <v>Good</v>
      </c>
      <c r="AN341" s="11" t="str" cm="1">
        <f t="array" ref="AN341">_xlfn.IFS(N341&lt;10000,"Low",N341&lt;30000,"Medium",N341&gt;=30000,"High")</f>
        <v>High</v>
      </c>
      <c r="AO341" s="11" t="str">
        <f t="shared" si="30"/>
        <v>Yes</v>
      </c>
      <c r="AP341" s="11" t="str">
        <f t="shared" si="31"/>
        <v>No</v>
      </c>
      <c r="AQ341" s="11">
        <f t="shared" si="32"/>
        <v>0.39151966666666665</v>
      </c>
      <c r="AR341" s="33"/>
      <c r="AS341" s="33"/>
      <c r="AT341" s="33"/>
      <c r="AU341" s="33"/>
      <c r="AV341" s="33"/>
      <c r="AW341" s="33"/>
      <c r="AX341" s="33" t="str">
        <f t="shared" si="33"/>
        <v>Good</v>
      </c>
    </row>
    <row r="342" spans="1:50">
      <c r="A342" s="9" t="s">
        <v>1970</v>
      </c>
      <c r="B342" s="10">
        <v>45881</v>
      </c>
      <c r="C342" s="11" t="s">
        <v>1490</v>
      </c>
      <c r="D342" s="11" t="s">
        <v>1411</v>
      </c>
      <c r="E342" s="11" t="s">
        <v>55</v>
      </c>
      <c r="F342" s="11" t="s">
        <v>116</v>
      </c>
      <c r="G342" s="11" t="s">
        <v>37</v>
      </c>
      <c r="H342" s="11" t="s">
        <v>58</v>
      </c>
      <c r="I342" s="11" t="s">
        <v>59</v>
      </c>
      <c r="J342" s="11" t="s">
        <v>372</v>
      </c>
      <c r="K342" s="25">
        <v>2</v>
      </c>
      <c r="L342" s="25">
        <v>3000</v>
      </c>
      <c r="M342" s="29">
        <v>0.2</v>
      </c>
      <c r="N342" s="25">
        <v>4800</v>
      </c>
      <c r="O342" s="25">
        <v>3814.59</v>
      </c>
      <c r="P342" s="25">
        <v>985.41</v>
      </c>
      <c r="Q342" s="21">
        <v>20.53</v>
      </c>
      <c r="R342" s="11" t="s">
        <v>61</v>
      </c>
      <c r="S342" s="11" t="s">
        <v>62</v>
      </c>
      <c r="T342" s="11" t="s">
        <v>173</v>
      </c>
      <c r="U342" s="11" t="s">
        <v>64</v>
      </c>
      <c r="V342" s="11">
        <v>2025</v>
      </c>
      <c r="W342" s="11" t="s">
        <v>126</v>
      </c>
      <c r="X342" s="11">
        <v>9</v>
      </c>
      <c r="Y342" s="10" t="s">
        <v>242</v>
      </c>
      <c r="Z342" s="11" t="s">
        <v>47</v>
      </c>
      <c r="AA342" s="11" t="s">
        <v>48</v>
      </c>
      <c r="AB342" s="11" t="s">
        <v>78</v>
      </c>
      <c r="AC342" s="11" t="s">
        <v>50</v>
      </c>
      <c r="AD342" s="11">
        <v>1</v>
      </c>
      <c r="AE342" s="11" t="s">
        <v>2218</v>
      </c>
      <c r="AF342" s="11" t="s">
        <v>2224</v>
      </c>
      <c r="AG342" s="25"/>
      <c r="AH342" s="11"/>
      <c r="AI342" s="11"/>
      <c r="AJ342" s="11"/>
      <c r="AK342" s="11"/>
      <c r="AL342" s="11"/>
      <c r="AM342" s="11" t="str">
        <f t="shared" si="29"/>
        <v>Needs Improvement</v>
      </c>
      <c r="AN342" s="11" t="str" cm="1">
        <f t="array" ref="AN342">_xlfn.IFS(N342&lt;10000,"Low",N342&lt;30000,"Medium",N342&gt;=30000,"High")</f>
        <v>Low</v>
      </c>
      <c r="AO342" s="11" t="str">
        <f t="shared" si="30"/>
        <v>No</v>
      </c>
      <c r="AP342" s="11" t="str">
        <f t="shared" si="31"/>
        <v>No</v>
      </c>
      <c r="AQ342" s="11">
        <f t="shared" si="32"/>
        <v>0.20529375</v>
      </c>
      <c r="AR342" s="33"/>
      <c r="AS342" s="33"/>
      <c r="AT342" s="33"/>
      <c r="AU342" s="33"/>
      <c r="AV342" s="33"/>
      <c r="AW342" s="33"/>
      <c r="AX342" s="33" t="str">
        <f t="shared" si="33"/>
        <v>Low</v>
      </c>
    </row>
    <row r="343" spans="1:50">
      <c r="A343" s="9" t="s">
        <v>1182</v>
      </c>
      <c r="B343" s="10">
        <v>45901</v>
      </c>
      <c r="C343" s="11" t="s">
        <v>1183</v>
      </c>
      <c r="D343" s="11" t="s">
        <v>177</v>
      </c>
      <c r="E343" s="11" t="s">
        <v>35</v>
      </c>
      <c r="F343" s="11" t="s">
        <v>36</v>
      </c>
      <c r="G343" s="11" t="s">
        <v>37</v>
      </c>
      <c r="H343" s="11" t="s">
        <v>38</v>
      </c>
      <c r="I343" s="11" t="s">
        <v>71</v>
      </c>
      <c r="J343" s="11" t="s">
        <v>240</v>
      </c>
      <c r="K343" s="25">
        <v>8</v>
      </c>
      <c r="L343" s="25">
        <v>3500</v>
      </c>
      <c r="M343" s="29">
        <v>0</v>
      </c>
      <c r="N343" s="25">
        <v>28000</v>
      </c>
      <c r="O343" s="25">
        <v>20300.189999999999</v>
      </c>
      <c r="P343" s="25">
        <v>7699.81</v>
      </c>
      <c r="Q343" s="21">
        <v>27.5</v>
      </c>
      <c r="R343" s="11" t="s">
        <v>61</v>
      </c>
      <c r="S343" s="11" t="s">
        <v>74</v>
      </c>
      <c r="T343" s="11" t="s">
        <v>107</v>
      </c>
      <c r="U343" s="11" t="s">
        <v>76</v>
      </c>
      <c r="V343" s="11">
        <v>2025</v>
      </c>
      <c r="W343" s="11" t="s">
        <v>139</v>
      </c>
      <c r="X343" s="11">
        <v>6</v>
      </c>
      <c r="Y343" s="10" t="s">
        <v>77</v>
      </c>
      <c r="Z343" s="11" t="s">
        <v>47</v>
      </c>
      <c r="AA343" s="11" t="s">
        <v>90</v>
      </c>
      <c r="AB343" s="11" t="s">
        <v>111</v>
      </c>
      <c r="AC343" s="11" t="s">
        <v>50</v>
      </c>
      <c r="AD343" s="11">
        <v>5</v>
      </c>
      <c r="AE343" s="11" t="s">
        <v>2240</v>
      </c>
      <c r="AF343" s="11" t="s">
        <v>2214</v>
      </c>
      <c r="AG343" s="25"/>
      <c r="AH343" s="11"/>
      <c r="AI343" s="11"/>
      <c r="AJ343" s="11"/>
      <c r="AK343" s="11"/>
      <c r="AL343" s="11"/>
      <c r="AM343" s="11" t="str">
        <f t="shared" si="29"/>
        <v>Needs Improvement</v>
      </c>
      <c r="AN343" s="11" t="str" cm="1">
        <f t="array" ref="AN343">_xlfn.IFS(N343&lt;10000,"Low",N343&lt;30000,"Medium",N343&gt;=30000,"High")</f>
        <v>Medium</v>
      </c>
      <c r="AO343" s="11" t="str">
        <f t="shared" si="30"/>
        <v>No</v>
      </c>
      <c r="AP343" s="11" t="str">
        <f t="shared" si="31"/>
        <v>Yes</v>
      </c>
      <c r="AQ343" s="11">
        <f t="shared" si="32"/>
        <v>0.27499321428571433</v>
      </c>
      <c r="AR343" s="33"/>
      <c r="AS343" s="33"/>
      <c r="AT343" s="33"/>
      <c r="AU343" s="33"/>
      <c r="AV343" s="33"/>
      <c r="AW343" s="33"/>
      <c r="AX343" s="33" t="str">
        <f t="shared" si="33"/>
        <v>Average</v>
      </c>
    </row>
    <row r="344" spans="1:50">
      <c r="A344" s="9" t="s">
        <v>91</v>
      </c>
      <c r="B344" s="10">
        <v>45902</v>
      </c>
      <c r="C344" s="11" t="s">
        <v>92</v>
      </c>
      <c r="D344" s="11" t="s">
        <v>93</v>
      </c>
      <c r="E344" s="11" t="s">
        <v>55</v>
      </c>
      <c r="F344" s="11" t="s">
        <v>36</v>
      </c>
      <c r="G344" s="11" t="s">
        <v>37</v>
      </c>
      <c r="H344" s="11" t="s">
        <v>94</v>
      </c>
      <c r="I344" s="11" t="s">
        <v>95</v>
      </c>
      <c r="J344" s="11" t="s">
        <v>96</v>
      </c>
      <c r="K344" s="25">
        <v>6</v>
      </c>
      <c r="L344" s="25">
        <v>4000</v>
      </c>
      <c r="M344" s="29">
        <v>0.15</v>
      </c>
      <c r="N344" s="25">
        <v>20400</v>
      </c>
      <c r="O344" s="25">
        <v>12678.96</v>
      </c>
      <c r="P344" s="25">
        <v>7721.04</v>
      </c>
      <c r="Q344" s="21">
        <v>37.85</v>
      </c>
      <c r="R344" s="11" t="s">
        <v>41</v>
      </c>
      <c r="S344" s="11" t="s">
        <v>62</v>
      </c>
      <c r="T344" s="11" t="s">
        <v>97</v>
      </c>
      <c r="U344" s="11" t="s">
        <v>98</v>
      </c>
      <c r="V344" s="11">
        <v>2025</v>
      </c>
      <c r="W344" s="11" t="s">
        <v>45</v>
      </c>
      <c r="X344" s="11">
        <v>8</v>
      </c>
      <c r="Y344" s="10" t="s">
        <v>99</v>
      </c>
      <c r="Z344" s="11" t="s">
        <v>47</v>
      </c>
      <c r="AA344" s="11" t="s">
        <v>90</v>
      </c>
      <c r="AB344" s="11" t="s">
        <v>49</v>
      </c>
      <c r="AC344" s="11" t="s">
        <v>50</v>
      </c>
      <c r="AD344" s="11">
        <v>1</v>
      </c>
      <c r="AE344" s="11" t="s">
        <v>2240</v>
      </c>
      <c r="AF344" s="11" t="s">
        <v>2210</v>
      </c>
      <c r="AG344" s="25"/>
      <c r="AH344" s="11"/>
      <c r="AI344" s="11"/>
      <c r="AJ344" s="11"/>
      <c r="AK344" s="11"/>
      <c r="AL344" s="11"/>
      <c r="AM344" s="11" t="str">
        <f t="shared" si="29"/>
        <v>Good</v>
      </c>
      <c r="AN344" s="11" t="str" cm="1">
        <f t="array" ref="AN344">_xlfn.IFS(N344&lt;10000,"Low",N344&lt;30000,"Medium",N344&gt;=30000,"High")</f>
        <v>Medium</v>
      </c>
      <c r="AO344" s="11" t="str">
        <f t="shared" si="30"/>
        <v>No</v>
      </c>
      <c r="AP344" s="11" t="str">
        <f t="shared" si="31"/>
        <v>No</v>
      </c>
      <c r="AQ344" s="11">
        <f t="shared" si="32"/>
        <v>0.37848235294117649</v>
      </c>
      <c r="AR344" s="33"/>
      <c r="AS344" s="33"/>
      <c r="AT344" s="33"/>
      <c r="AU344" s="33"/>
      <c r="AV344" s="33"/>
      <c r="AW344" s="33"/>
      <c r="AX344" s="33" t="str">
        <f t="shared" si="33"/>
        <v>Average</v>
      </c>
    </row>
    <row r="345" spans="1:50">
      <c r="A345" s="9" t="s">
        <v>1680</v>
      </c>
      <c r="B345" s="10">
        <v>45902</v>
      </c>
      <c r="C345" s="11" t="s">
        <v>1399</v>
      </c>
      <c r="D345" s="11" t="s">
        <v>379</v>
      </c>
      <c r="E345" s="11" t="s">
        <v>35</v>
      </c>
      <c r="F345" s="11" t="s">
        <v>149</v>
      </c>
      <c r="G345" s="11" t="s">
        <v>150</v>
      </c>
      <c r="H345" s="11" t="s">
        <v>38</v>
      </c>
      <c r="I345" s="11" t="s">
        <v>84</v>
      </c>
      <c r="J345" s="11" t="s">
        <v>217</v>
      </c>
      <c r="K345" s="25">
        <v>4</v>
      </c>
      <c r="L345" s="25">
        <v>200</v>
      </c>
      <c r="M345" s="29">
        <v>0.2</v>
      </c>
      <c r="N345" s="25">
        <v>640</v>
      </c>
      <c r="O345" s="25">
        <v>490.46</v>
      </c>
      <c r="P345" s="25">
        <v>149.54</v>
      </c>
      <c r="Q345" s="21">
        <v>23.37</v>
      </c>
      <c r="R345" s="11" t="s">
        <v>106</v>
      </c>
      <c r="S345" s="11" t="s">
        <v>74</v>
      </c>
      <c r="T345" s="11" t="s">
        <v>43</v>
      </c>
      <c r="U345" s="11" t="s">
        <v>98</v>
      </c>
      <c r="V345" s="11">
        <v>2025</v>
      </c>
      <c r="W345" s="11" t="s">
        <v>45</v>
      </c>
      <c r="X345" s="11">
        <v>4</v>
      </c>
      <c r="Y345" s="10" t="s">
        <v>1119</v>
      </c>
      <c r="Z345" s="11" t="s">
        <v>47</v>
      </c>
      <c r="AA345" s="11" t="s">
        <v>48</v>
      </c>
      <c r="AB345" s="11" t="s">
        <v>49</v>
      </c>
      <c r="AC345" s="11" t="s">
        <v>50</v>
      </c>
      <c r="AD345" s="11">
        <v>4</v>
      </c>
      <c r="AE345" s="11" t="s">
        <v>2216</v>
      </c>
      <c r="AF345" s="11" t="s">
        <v>2223</v>
      </c>
      <c r="AG345" s="25"/>
      <c r="AH345" s="11"/>
      <c r="AI345" s="11"/>
      <c r="AJ345" s="11"/>
      <c r="AK345" s="11"/>
      <c r="AL345" s="11"/>
      <c r="AM345" s="11" t="str">
        <f t="shared" si="29"/>
        <v>Needs Improvement</v>
      </c>
      <c r="AN345" s="11" t="str" cm="1">
        <f t="array" ref="AN345">_xlfn.IFS(N345&lt;10000,"Low",N345&lt;30000,"Medium",N345&gt;=30000,"High")</f>
        <v>Low</v>
      </c>
      <c r="AO345" s="11" t="str">
        <f t="shared" si="30"/>
        <v>No</v>
      </c>
      <c r="AP345" s="11" t="str">
        <f t="shared" si="31"/>
        <v>Yes</v>
      </c>
      <c r="AQ345" s="11">
        <f t="shared" si="32"/>
        <v>0.23365624999999998</v>
      </c>
      <c r="AR345" s="33"/>
      <c r="AS345" s="33"/>
      <c r="AT345" s="33"/>
      <c r="AU345" s="33"/>
      <c r="AV345" s="33"/>
      <c r="AW345" s="33"/>
      <c r="AX345" s="33" t="str">
        <f t="shared" si="33"/>
        <v>Low</v>
      </c>
    </row>
    <row r="346" spans="1:50">
      <c r="A346" s="9" t="s">
        <v>854</v>
      </c>
      <c r="B346" s="10">
        <v>45907</v>
      </c>
      <c r="C346" s="11" t="s">
        <v>350</v>
      </c>
      <c r="D346" s="11" t="s">
        <v>855</v>
      </c>
      <c r="E346" s="11" t="s">
        <v>103</v>
      </c>
      <c r="F346" s="11" t="s">
        <v>144</v>
      </c>
      <c r="G346" s="11" t="s">
        <v>145</v>
      </c>
      <c r="H346" s="11" t="s">
        <v>94</v>
      </c>
      <c r="I346" s="11" t="s">
        <v>84</v>
      </c>
      <c r="J346" s="11" t="s">
        <v>229</v>
      </c>
      <c r="K346" s="25">
        <v>3</v>
      </c>
      <c r="L346" s="25">
        <v>200</v>
      </c>
      <c r="M346" s="29">
        <v>0.2</v>
      </c>
      <c r="N346" s="25">
        <v>480</v>
      </c>
      <c r="O346" s="25">
        <v>362.6</v>
      </c>
      <c r="P346" s="25">
        <v>117.4</v>
      </c>
      <c r="Q346" s="21">
        <v>24.46</v>
      </c>
      <c r="R346" s="11" t="s">
        <v>41</v>
      </c>
      <c r="S346" s="11" t="s">
        <v>62</v>
      </c>
      <c r="T346" s="11" t="s">
        <v>75</v>
      </c>
      <c r="U346" s="11" t="s">
        <v>151</v>
      </c>
      <c r="V346" s="11">
        <v>2025</v>
      </c>
      <c r="W346" s="11" t="s">
        <v>134</v>
      </c>
      <c r="X346" s="11">
        <v>6</v>
      </c>
      <c r="Y346" s="10" t="s">
        <v>209</v>
      </c>
      <c r="Z346" s="11" t="s">
        <v>47</v>
      </c>
      <c r="AA346" s="11" t="s">
        <v>90</v>
      </c>
      <c r="AB346" s="11" t="s">
        <v>111</v>
      </c>
      <c r="AC346" s="11" t="s">
        <v>121</v>
      </c>
      <c r="AD346" s="11">
        <v>1</v>
      </c>
      <c r="AE346" s="11" t="s">
        <v>2220</v>
      </c>
      <c r="AF346" s="11" t="s">
        <v>2249</v>
      </c>
      <c r="AG346" s="25"/>
      <c r="AH346" s="11"/>
      <c r="AI346" s="11"/>
      <c r="AJ346" s="11"/>
      <c r="AK346" s="11"/>
      <c r="AL346" s="11"/>
      <c r="AM346" s="11" t="str">
        <f t="shared" si="29"/>
        <v>Needs Improvement</v>
      </c>
      <c r="AN346" s="11" t="str" cm="1">
        <f t="array" ref="AN346">_xlfn.IFS(N346&lt;10000,"Low",N346&lt;30000,"Medium",N346&gt;=30000,"High")</f>
        <v>Low</v>
      </c>
      <c r="AO346" s="11" t="str">
        <f t="shared" si="30"/>
        <v>No</v>
      </c>
      <c r="AP346" s="11" t="str">
        <f t="shared" si="31"/>
        <v>No</v>
      </c>
      <c r="AQ346" s="11">
        <f t="shared" si="32"/>
        <v>0.24458333333333335</v>
      </c>
      <c r="AR346" s="33"/>
      <c r="AS346" s="33"/>
      <c r="AT346" s="33"/>
      <c r="AU346" s="33"/>
      <c r="AV346" s="33"/>
      <c r="AW346" s="33"/>
      <c r="AX346" s="33" t="str">
        <f t="shared" si="33"/>
        <v>Low</v>
      </c>
    </row>
    <row r="347" spans="1:50">
      <c r="A347" s="9" t="s">
        <v>1561</v>
      </c>
      <c r="B347" s="10">
        <v>45907</v>
      </c>
      <c r="C347" s="11" t="s">
        <v>312</v>
      </c>
      <c r="D347" s="11" t="s">
        <v>924</v>
      </c>
      <c r="E347" s="11" t="s">
        <v>55</v>
      </c>
      <c r="F347" s="11" t="s">
        <v>156</v>
      </c>
      <c r="G347" s="11" t="s">
        <v>157</v>
      </c>
      <c r="H347" s="11" t="s">
        <v>58</v>
      </c>
      <c r="I347" s="11" t="s">
        <v>84</v>
      </c>
      <c r="J347" s="11" t="s">
        <v>85</v>
      </c>
      <c r="K347" s="25">
        <v>9</v>
      </c>
      <c r="L347" s="25">
        <v>800</v>
      </c>
      <c r="M347" s="29">
        <v>0.05</v>
      </c>
      <c r="N347" s="25">
        <v>6840</v>
      </c>
      <c r="O347" s="25">
        <v>4288.3900000000003</v>
      </c>
      <c r="P347" s="25">
        <v>2551.61</v>
      </c>
      <c r="Q347" s="21">
        <v>37.299999999999997</v>
      </c>
      <c r="R347" s="11" t="s">
        <v>106</v>
      </c>
      <c r="S347" s="11" t="s">
        <v>74</v>
      </c>
      <c r="T347" s="11" t="s">
        <v>173</v>
      </c>
      <c r="U347" s="11" t="s">
        <v>151</v>
      </c>
      <c r="V347" s="11">
        <v>2025</v>
      </c>
      <c r="W347" s="11" t="s">
        <v>134</v>
      </c>
      <c r="X347" s="11">
        <v>7</v>
      </c>
      <c r="Y347" s="10" t="s">
        <v>212</v>
      </c>
      <c r="Z347" s="11" t="s">
        <v>110</v>
      </c>
      <c r="AA347" s="11" t="s">
        <v>48</v>
      </c>
      <c r="AB347" s="11" t="s">
        <v>49</v>
      </c>
      <c r="AC347" s="11" t="s">
        <v>50</v>
      </c>
      <c r="AD347" s="11">
        <v>1</v>
      </c>
      <c r="AE347" s="11" t="s">
        <v>2221</v>
      </c>
      <c r="AF347" s="11" t="s">
        <v>2235</v>
      </c>
      <c r="AG347" s="25"/>
      <c r="AH347" s="11"/>
      <c r="AI347" s="11"/>
      <c r="AJ347" s="11"/>
      <c r="AK347" s="11"/>
      <c r="AL347" s="11"/>
      <c r="AM347" s="11" t="str">
        <f t="shared" si="29"/>
        <v>Good</v>
      </c>
      <c r="AN347" s="11" t="str" cm="1">
        <f t="array" ref="AN347">_xlfn.IFS(N347&lt;10000,"Low",N347&lt;30000,"Medium",N347&gt;=30000,"High")</f>
        <v>Low</v>
      </c>
      <c r="AO347" s="11" t="str">
        <f t="shared" si="30"/>
        <v>No</v>
      </c>
      <c r="AP347" s="11" t="str">
        <f t="shared" si="31"/>
        <v>Yes</v>
      </c>
      <c r="AQ347" s="11">
        <f t="shared" si="32"/>
        <v>0.37304239766081876</v>
      </c>
      <c r="AR347" s="33"/>
      <c r="AS347" s="33"/>
      <c r="AT347" s="33"/>
      <c r="AU347" s="33"/>
      <c r="AV347" s="33"/>
      <c r="AW347" s="33"/>
      <c r="AX347" s="33" t="str">
        <f t="shared" si="33"/>
        <v>Low</v>
      </c>
    </row>
    <row r="348" spans="1:50">
      <c r="A348" s="9" t="s">
        <v>472</v>
      </c>
      <c r="B348" s="10">
        <v>45909</v>
      </c>
      <c r="C348" s="11" t="s">
        <v>473</v>
      </c>
      <c r="D348" s="11" t="s">
        <v>221</v>
      </c>
      <c r="E348" s="11" t="s">
        <v>103</v>
      </c>
      <c r="F348" s="11" t="s">
        <v>36</v>
      </c>
      <c r="G348" s="11" t="s">
        <v>37</v>
      </c>
      <c r="H348" s="11" t="s">
        <v>171</v>
      </c>
      <c r="I348" s="11" t="s">
        <v>39</v>
      </c>
      <c r="J348" s="11" t="s">
        <v>40</v>
      </c>
      <c r="K348" s="25">
        <v>5</v>
      </c>
      <c r="L348" s="25">
        <v>15000</v>
      </c>
      <c r="M348" s="29">
        <v>0.15</v>
      </c>
      <c r="N348" s="25">
        <v>63750</v>
      </c>
      <c r="O348" s="25">
        <v>46935.08</v>
      </c>
      <c r="P348" s="25">
        <v>16814.919999999998</v>
      </c>
      <c r="Q348" s="21">
        <v>26.38</v>
      </c>
      <c r="R348" s="11" t="s">
        <v>41</v>
      </c>
      <c r="S348" s="11" t="s">
        <v>62</v>
      </c>
      <c r="T348" s="11" t="s">
        <v>159</v>
      </c>
      <c r="U348" s="11" t="s">
        <v>108</v>
      </c>
      <c r="V348" s="11">
        <v>2025</v>
      </c>
      <c r="W348" s="11" t="s">
        <v>109</v>
      </c>
      <c r="X348" s="11">
        <v>7</v>
      </c>
      <c r="Y348" s="10" t="s">
        <v>474</v>
      </c>
      <c r="Z348" s="11" t="s">
        <v>47</v>
      </c>
      <c r="AA348" s="11" t="s">
        <v>48</v>
      </c>
      <c r="AB348" s="11" t="s">
        <v>49</v>
      </c>
      <c r="AC348" s="11" t="s">
        <v>121</v>
      </c>
      <c r="AD348" s="11">
        <v>4</v>
      </c>
      <c r="AE348" s="11" t="s">
        <v>2239</v>
      </c>
      <c r="AF348" s="11" t="s">
        <v>2231</v>
      </c>
      <c r="AG348" s="25"/>
      <c r="AH348" s="11"/>
      <c r="AI348" s="11"/>
      <c r="AJ348" s="11"/>
      <c r="AK348" s="11"/>
      <c r="AL348" s="11"/>
      <c r="AM348" s="11" t="str">
        <f t="shared" si="29"/>
        <v>Needs Improvement</v>
      </c>
      <c r="AN348" s="11" t="str" cm="1">
        <f t="array" ref="AN348">_xlfn.IFS(N348&lt;10000,"Low",N348&lt;30000,"Medium",N348&gt;=30000,"High")</f>
        <v>High</v>
      </c>
      <c r="AO348" s="11" t="str">
        <f t="shared" si="30"/>
        <v>Yes</v>
      </c>
      <c r="AP348" s="11" t="str">
        <f t="shared" si="31"/>
        <v>No</v>
      </c>
      <c r="AQ348" s="11">
        <f t="shared" si="32"/>
        <v>0.26376345098039211</v>
      </c>
      <c r="AR348" s="33"/>
      <c r="AS348" s="33"/>
      <c r="AT348" s="33"/>
      <c r="AU348" s="33"/>
      <c r="AV348" s="33"/>
      <c r="AW348" s="33"/>
      <c r="AX348" s="33" t="str">
        <f t="shared" si="33"/>
        <v>Good</v>
      </c>
    </row>
    <row r="349" spans="1:50">
      <c r="A349" s="9" t="s">
        <v>915</v>
      </c>
      <c r="B349" s="10">
        <v>45909</v>
      </c>
      <c r="C349" s="11" t="s">
        <v>916</v>
      </c>
      <c r="D349" s="11" t="s">
        <v>917</v>
      </c>
      <c r="E349" s="11" t="s">
        <v>55</v>
      </c>
      <c r="F349" s="11" t="s">
        <v>131</v>
      </c>
      <c r="G349" s="11" t="s">
        <v>132</v>
      </c>
      <c r="H349" s="11" t="s">
        <v>171</v>
      </c>
      <c r="I349" s="11" t="s">
        <v>39</v>
      </c>
      <c r="J349" s="11" t="s">
        <v>356</v>
      </c>
      <c r="K349" s="25">
        <v>8</v>
      </c>
      <c r="L349" s="25">
        <v>50000</v>
      </c>
      <c r="M349" s="29">
        <v>0.05</v>
      </c>
      <c r="N349" s="25">
        <v>380000</v>
      </c>
      <c r="O349" s="25">
        <v>301029.01</v>
      </c>
      <c r="P349" s="25">
        <v>78970.990000000005</v>
      </c>
      <c r="Q349" s="21">
        <v>20.78</v>
      </c>
      <c r="R349" s="11" t="s">
        <v>106</v>
      </c>
      <c r="S349" s="11" t="s">
        <v>42</v>
      </c>
      <c r="T349" s="11" t="s">
        <v>107</v>
      </c>
      <c r="U349" s="11" t="s">
        <v>108</v>
      </c>
      <c r="V349" s="11">
        <v>2025</v>
      </c>
      <c r="W349" s="11" t="s">
        <v>109</v>
      </c>
      <c r="X349" s="11">
        <v>9</v>
      </c>
      <c r="Y349" s="10" t="s">
        <v>748</v>
      </c>
      <c r="Z349" s="11" t="s">
        <v>47</v>
      </c>
      <c r="AA349" s="11" t="s">
        <v>67</v>
      </c>
      <c r="AB349" s="11" t="s">
        <v>49</v>
      </c>
      <c r="AC349" s="11" t="s">
        <v>50</v>
      </c>
      <c r="AD349" s="11">
        <v>4</v>
      </c>
      <c r="AE349" s="11" t="s">
        <v>2221</v>
      </c>
      <c r="AF349" s="11" t="s">
        <v>2210</v>
      </c>
      <c r="AG349" s="25"/>
      <c r="AH349" s="11"/>
      <c r="AI349" s="11"/>
      <c r="AJ349" s="11"/>
      <c r="AK349" s="11"/>
      <c r="AL349" s="11"/>
      <c r="AM349" s="11" t="str">
        <f t="shared" si="29"/>
        <v>Needs Improvement</v>
      </c>
      <c r="AN349" s="11" t="str" cm="1">
        <f t="array" ref="AN349">_xlfn.IFS(N349&lt;10000,"Low",N349&lt;30000,"Medium",N349&gt;=30000,"High")</f>
        <v>High</v>
      </c>
      <c r="AO349" s="11" t="str">
        <f t="shared" si="30"/>
        <v>Yes</v>
      </c>
      <c r="AP349" s="11" t="str">
        <f t="shared" si="31"/>
        <v>Yes</v>
      </c>
      <c r="AQ349" s="11">
        <f t="shared" si="32"/>
        <v>0.20781839473684213</v>
      </c>
      <c r="AR349" s="33"/>
      <c r="AS349" s="33"/>
      <c r="AT349" s="33"/>
      <c r="AU349" s="33"/>
      <c r="AV349" s="33"/>
      <c r="AW349" s="33"/>
      <c r="AX349" s="33" t="str">
        <f t="shared" si="33"/>
        <v>Excellent</v>
      </c>
    </row>
    <row r="350" spans="1:50">
      <c r="A350" s="9" t="s">
        <v>1072</v>
      </c>
      <c r="B350" s="10">
        <v>45909</v>
      </c>
      <c r="C350" s="11" t="s">
        <v>338</v>
      </c>
      <c r="D350" s="11" t="s">
        <v>834</v>
      </c>
      <c r="E350" s="11" t="s">
        <v>35</v>
      </c>
      <c r="F350" s="11" t="s">
        <v>104</v>
      </c>
      <c r="G350" s="11" t="s">
        <v>104</v>
      </c>
      <c r="H350" s="11" t="s">
        <v>38</v>
      </c>
      <c r="I350" s="11" t="s">
        <v>84</v>
      </c>
      <c r="J350" s="11" t="s">
        <v>390</v>
      </c>
      <c r="K350" s="25">
        <v>3</v>
      </c>
      <c r="L350" s="25">
        <v>100</v>
      </c>
      <c r="M350" s="29">
        <v>0.2</v>
      </c>
      <c r="N350" s="25">
        <v>240</v>
      </c>
      <c r="O350" s="25">
        <v>191.64</v>
      </c>
      <c r="P350" s="25">
        <v>48.36</v>
      </c>
      <c r="Q350" s="21">
        <v>20.149999999999999</v>
      </c>
      <c r="R350" s="11" t="s">
        <v>61</v>
      </c>
      <c r="S350" s="11" t="s">
        <v>42</v>
      </c>
      <c r="T350" s="11" t="s">
        <v>63</v>
      </c>
      <c r="U350" s="11" t="s">
        <v>108</v>
      </c>
      <c r="V350" s="11">
        <v>2025</v>
      </c>
      <c r="W350" s="11" t="s">
        <v>109</v>
      </c>
      <c r="X350" s="11">
        <v>5</v>
      </c>
      <c r="Y350" s="10" t="s">
        <v>1073</v>
      </c>
      <c r="Z350" s="11" t="s">
        <v>47</v>
      </c>
      <c r="AA350" s="11" t="s">
        <v>48</v>
      </c>
      <c r="AB350" s="11" t="s">
        <v>111</v>
      </c>
      <c r="AC350" s="11" t="s">
        <v>121</v>
      </c>
      <c r="AD350" s="11">
        <v>4</v>
      </c>
      <c r="AE350" s="11" t="s">
        <v>2209</v>
      </c>
      <c r="AF350" s="11" t="s">
        <v>2223</v>
      </c>
      <c r="AG350" s="25"/>
      <c r="AH350" s="11"/>
      <c r="AI350" s="11"/>
      <c r="AJ350" s="11"/>
      <c r="AK350" s="11"/>
      <c r="AL350" s="11"/>
      <c r="AM350" s="11" t="str">
        <f t="shared" si="29"/>
        <v>Needs Improvement</v>
      </c>
      <c r="AN350" s="11" t="str" cm="1">
        <f t="array" ref="AN350">_xlfn.IFS(N350&lt;10000,"Low",N350&lt;30000,"Medium",N350&gt;=30000,"High")</f>
        <v>Low</v>
      </c>
      <c r="AO350" s="11" t="str">
        <f t="shared" si="30"/>
        <v>No</v>
      </c>
      <c r="AP350" s="11" t="str">
        <f t="shared" si="31"/>
        <v>Yes</v>
      </c>
      <c r="AQ350" s="11">
        <f t="shared" si="32"/>
        <v>0.20149999999999998</v>
      </c>
      <c r="AR350" s="33"/>
      <c r="AS350" s="33"/>
      <c r="AT350" s="33"/>
      <c r="AU350" s="33"/>
      <c r="AV350" s="33"/>
      <c r="AW350" s="33"/>
      <c r="AX350" s="33" t="str">
        <f t="shared" si="33"/>
        <v>Low</v>
      </c>
    </row>
    <row r="351" spans="1:50">
      <c r="A351" s="9" t="s">
        <v>2132</v>
      </c>
      <c r="B351" s="10">
        <v>45909</v>
      </c>
      <c r="C351" s="11" t="s">
        <v>284</v>
      </c>
      <c r="D351" s="11" t="s">
        <v>913</v>
      </c>
      <c r="E351" s="11" t="s">
        <v>103</v>
      </c>
      <c r="F351" s="11" t="s">
        <v>131</v>
      </c>
      <c r="G351" s="11" t="s">
        <v>132</v>
      </c>
      <c r="H351" s="11" t="s">
        <v>171</v>
      </c>
      <c r="I351" s="11" t="s">
        <v>95</v>
      </c>
      <c r="J351" s="11" t="s">
        <v>96</v>
      </c>
      <c r="K351" s="25">
        <v>6</v>
      </c>
      <c r="L351" s="25">
        <v>2500</v>
      </c>
      <c r="M351" s="29">
        <v>0.15</v>
      </c>
      <c r="N351" s="25">
        <v>12750</v>
      </c>
      <c r="O351" s="25">
        <v>8562.7800000000007</v>
      </c>
      <c r="P351" s="25">
        <v>4187.22</v>
      </c>
      <c r="Q351" s="21">
        <v>32.840000000000003</v>
      </c>
      <c r="R351" s="11" t="s">
        <v>73</v>
      </c>
      <c r="S351" s="11" t="s">
        <v>42</v>
      </c>
      <c r="T351" s="11" t="s">
        <v>63</v>
      </c>
      <c r="U351" s="11" t="s">
        <v>108</v>
      </c>
      <c r="V351" s="11">
        <v>2025</v>
      </c>
      <c r="W351" s="11" t="s">
        <v>109</v>
      </c>
      <c r="X351" s="11">
        <v>10</v>
      </c>
      <c r="Y351" s="10" t="s">
        <v>984</v>
      </c>
      <c r="Z351" s="11" t="s">
        <v>47</v>
      </c>
      <c r="AA351" s="11" t="s">
        <v>90</v>
      </c>
      <c r="AB351" s="11" t="s">
        <v>49</v>
      </c>
      <c r="AC351" s="11" t="s">
        <v>50</v>
      </c>
      <c r="AD351" s="11">
        <v>5</v>
      </c>
      <c r="AE351" s="11" t="s">
        <v>2209</v>
      </c>
      <c r="AF351" s="11" t="s">
        <v>2231</v>
      </c>
      <c r="AG351" s="25"/>
      <c r="AH351" s="11"/>
      <c r="AI351" s="11"/>
      <c r="AJ351" s="11"/>
      <c r="AK351" s="11"/>
      <c r="AL351" s="11"/>
      <c r="AM351" s="11" t="str">
        <f t="shared" si="29"/>
        <v>Good</v>
      </c>
      <c r="AN351" s="11" t="str" cm="1">
        <f t="array" ref="AN351">_xlfn.IFS(N351&lt;10000,"Low",N351&lt;30000,"Medium",N351&gt;=30000,"High")</f>
        <v>Medium</v>
      </c>
      <c r="AO351" s="11" t="str">
        <f t="shared" si="30"/>
        <v>No</v>
      </c>
      <c r="AP351" s="11" t="str">
        <f t="shared" si="31"/>
        <v>Yes</v>
      </c>
      <c r="AQ351" s="11">
        <f t="shared" si="32"/>
        <v>0.32840941176470589</v>
      </c>
      <c r="AR351" s="33"/>
      <c r="AS351" s="33"/>
      <c r="AT351" s="33"/>
      <c r="AU351" s="33"/>
      <c r="AV351" s="33"/>
      <c r="AW351" s="33"/>
      <c r="AX351" s="33" t="str">
        <f t="shared" si="33"/>
        <v>Low</v>
      </c>
    </row>
    <row r="352" spans="1:50">
      <c r="A352" s="9" t="s">
        <v>608</v>
      </c>
      <c r="B352" s="10">
        <v>45912</v>
      </c>
      <c r="C352" s="11" t="s">
        <v>147</v>
      </c>
      <c r="D352" s="11" t="s">
        <v>609</v>
      </c>
      <c r="E352" s="11" t="s">
        <v>103</v>
      </c>
      <c r="F352" s="11" t="s">
        <v>144</v>
      </c>
      <c r="G352" s="11" t="s">
        <v>145</v>
      </c>
      <c r="H352" s="11" t="s">
        <v>58</v>
      </c>
      <c r="I352" s="11" t="s">
        <v>39</v>
      </c>
      <c r="J352" s="11" t="s">
        <v>165</v>
      </c>
      <c r="K352" s="25">
        <v>1</v>
      </c>
      <c r="L352" s="25">
        <v>12000</v>
      </c>
      <c r="M352" s="29">
        <v>0.05</v>
      </c>
      <c r="N352" s="25">
        <v>11400</v>
      </c>
      <c r="O352" s="25">
        <v>7104.43</v>
      </c>
      <c r="P352" s="25">
        <v>4295.57</v>
      </c>
      <c r="Q352" s="21">
        <v>37.68</v>
      </c>
      <c r="R352" s="11" t="s">
        <v>73</v>
      </c>
      <c r="S352" s="11" t="s">
        <v>62</v>
      </c>
      <c r="T352" s="11" t="s">
        <v>43</v>
      </c>
      <c r="U352" s="11" t="s">
        <v>64</v>
      </c>
      <c r="V352" s="11">
        <v>2025</v>
      </c>
      <c r="W352" s="11" t="s">
        <v>109</v>
      </c>
      <c r="X352" s="11">
        <v>10</v>
      </c>
      <c r="Y352" s="10" t="s">
        <v>610</v>
      </c>
      <c r="Z352" s="11" t="s">
        <v>110</v>
      </c>
      <c r="AA352" s="11" t="s">
        <v>90</v>
      </c>
      <c r="AB352" s="11" t="s">
        <v>111</v>
      </c>
      <c r="AC352" s="11" t="s">
        <v>121</v>
      </c>
      <c r="AD352" s="11">
        <v>4</v>
      </c>
      <c r="AE352" s="11" t="s">
        <v>2225</v>
      </c>
      <c r="AF352" s="11" t="s">
        <v>2230</v>
      </c>
      <c r="AG352" s="25"/>
      <c r="AH352" s="11"/>
      <c r="AI352" s="11"/>
      <c r="AJ352" s="11"/>
      <c r="AK352" s="11"/>
      <c r="AL352" s="11"/>
      <c r="AM352" s="11" t="str">
        <f t="shared" si="29"/>
        <v>Good</v>
      </c>
      <c r="AN352" s="11" t="str" cm="1">
        <f t="array" ref="AN352">_xlfn.IFS(N352&lt;10000,"Low",N352&lt;30000,"Medium",N352&gt;=30000,"High")</f>
        <v>Medium</v>
      </c>
      <c r="AO352" s="11" t="str">
        <f t="shared" si="30"/>
        <v>No</v>
      </c>
      <c r="AP352" s="11" t="str">
        <f t="shared" si="31"/>
        <v>No</v>
      </c>
      <c r="AQ352" s="11">
        <f t="shared" si="32"/>
        <v>0.37680438596491228</v>
      </c>
      <c r="AR352" s="33"/>
      <c r="AS352" s="33"/>
      <c r="AT352" s="33"/>
      <c r="AU352" s="33"/>
      <c r="AV352" s="33"/>
      <c r="AW352" s="33"/>
      <c r="AX352" s="33" t="str">
        <f t="shared" si="33"/>
        <v>Low</v>
      </c>
    </row>
    <row r="353" spans="1:50">
      <c r="A353" s="9" t="s">
        <v>1948</v>
      </c>
      <c r="B353" s="10">
        <v>45931</v>
      </c>
      <c r="C353" s="11" t="s">
        <v>557</v>
      </c>
      <c r="D353" s="11" t="s">
        <v>343</v>
      </c>
      <c r="E353" s="11" t="s">
        <v>35</v>
      </c>
      <c r="F353" s="11" t="s">
        <v>104</v>
      </c>
      <c r="G353" s="11" t="s">
        <v>104</v>
      </c>
      <c r="H353" s="11" t="s">
        <v>58</v>
      </c>
      <c r="I353" s="11" t="s">
        <v>71</v>
      </c>
      <c r="J353" s="11" t="s">
        <v>117</v>
      </c>
      <c r="K353" s="25">
        <v>1</v>
      </c>
      <c r="L353" s="25">
        <v>1200</v>
      </c>
      <c r="M353" s="29">
        <v>0.1</v>
      </c>
      <c r="N353" s="25">
        <v>1080</v>
      </c>
      <c r="O353" s="25">
        <v>619.52</v>
      </c>
      <c r="P353" s="25">
        <v>460.48</v>
      </c>
      <c r="Q353" s="21">
        <v>42.64</v>
      </c>
      <c r="R353" s="11" t="s">
        <v>41</v>
      </c>
      <c r="S353" s="11" t="s">
        <v>74</v>
      </c>
      <c r="T353" s="11" t="s">
        <v>43</v>
      </c>
      <c r="U353" s="11" t="s">
        <v>76</v>
      </c>
      <c r="V353" s="11">
        <v>2025</v>
      </c>
      <c r="W353" s="11" t="s">
        <v>194</v>
      </c>
      <c r="X353" s="11">
        <v>6</v>
      </c>
      <c r="Y353" s="10" t="s">
        <v>776</v>
      </c>
      <c r="Z353" s="11" t="s">
        <v>89</v>
      </c>
      <c r="AA353" s="11" t="s">
        <v>48</v>
      </c>
      <c r="AB353" s="11" t="s">
        <v>49</v>
      </c>
      <c r="AC353" s="11" t="s">
        <v>121</v>
      </c>
      <c r="AD353" s="11">
        <v>2</v>
      </c>
      <c r="AE353" s="11" t="s">
        <v>2218</v>
      </c>
      <c r="AF353" s="11" t="s">
        <v>2236</v>
      </c>
      <c r="AG353" s="25"/>
      <c r="AH353" s="11"/>
      <c r="AI353" s="11"/>
      <c r="AJ353" s="11"/>
      <c r="AK353" s="11"/>
      <c r="AL353" s="11"/>
      <c r="AM353" s="11" t="str">
        <f t="shared" si="29"/>
        <v>Good</v>
      </c>
      <c r="AN353" s="11" t="str" cm="1">
        <f t="array" ref="AN353">_xlfn.IFS(N353&lt;10000,"Low",N353&lt;30000,"Medium",N353&gt;=30000,"High")</f>
        <v>Low</v>
      </c>
      <c r="AO353" s="11" t="str">
        <f t="shared" si="30"/>
        <v>No</v>
      </c>
      <c r="AP353" s="11" t="str">
        <f t="shared" si="31"/>
        <v>Yes</v>
      </c>
      <c r="AQ353" s="11">
        <f t="shared" si="32"/>
        <v>0.4263703703703704</v>
      </c>
      <c r="AR353" s="33"/>
      <c r="AS353" s="33"/>
      <c r="AT353" s="33"/>
      <c r="AU353" s="33"/>
      <c r="AV353" s="33"/>
      <c r="AW353" s="33"/>
      <c r="AX353" s="33" t="str">
        <f t="shared" si="33"/>
        <v>Low</v>
      </c>
    </row>
    <row r="354" spans="1:50">
      <c r="A354" s="9" t="s">
        <v>2089</v>
      </c>
      <c r="B354" s="10">
        <v>45931</v>
      </c>
      <c r="C354" s="11" t="s">
        <v>1392</v>
      </c>
      <c r="D354" s="11" t="s">
        <v>535</v>
      </c>
      <c r="E354" s="11" t="s">
        <v>35</v>
      </c>
      <c r="F354" s="11" t="s">
        <v>149</v>
      </c>
      <c r="G354" s="11" t="s">
        <v>150</v>
      </c>
      <c r="H354" s="11" t="s">
        <v>171</v>
      </c>
      <c r="I354" s="11" t="s">
        <v>71</v>
      </c>
      <c r="J354" s="11" t="s">
        <v>240</v>
      </c>
      <c r="K354" s="25">
        <v>9</v>
      </c>
      <c r="L354" s="25">
        <v>1800</v>
      </c>
      <c r="M354" s="29">
        <v>0.2</v>
      </c>
      <c r="N354" s="25">
        <v>12960</v>
      </c>
      <c r="O354" s="25">
        <v>9796.39</v>
      </c>
      <c r="P354" s="25">
        <v>3163.61</v>
      </c>
      <c r="Q354" s="21">
        <v>24.41</v>
      </c>
      <c r="R354" s="11" t="s">
        <v>106</v>
      </c>
      <c r="S354" s="11" t="s">
        <v>42</v>
      </c>
      <c r="T354" s="11" t="s">
        <v>118</v>
      </c>
      <c r="U354" s="11" t="s">
        <v>76</v>
      </c>
      <c r="V354" s="11">
        <v>2025</v>
      </c>
      <c r="W354" s="11" t="s">
        <v>194</v>
      </c>
      <c r="X354" s="11">
        <v>7</v>
      </c>
      <c r="Y354" s="10" t="s">
        <v>778</v>
      </c>
      <c r="Z354" s="11" t="s">
        <v>47</v>
      </c>
      <c r="AA354" s="11" t="s">
        <v>90</v>
      </c>
      <c r="AB354" s="11" t="s">
        <v>49</v>
      </c>
      <c r="AC354" s="11" t="s">
        <v>50</v>
      </c>
      <c r="AD354" s="11">
        <v>1</v>
      </c>
      <c r="AE354" s="11" t="s">
        <v>86</v>
      </c>
      <c r="AF354" s="11" t="s">
        <v>2217</v>
      </c>
      <c r="AG354" s="25"/>
      <c r="AH354" s="11"/>
      <c r="AI354" s="11"/>
      <c r="AJ354" s="11"/>
      <c r="AK354" s="11"/>
      <c r="AL354" s="11"/>
      <c r="AM354" s="11" t="str">
        <f t="shared" si="29"/>
        <v>Needs Improvement</v>
      </c>
      <c r="AN354" s="11" t="str" cm="1">
        <f t="array" ref="AN354">_xlfn.IFS(N354&lt;10000,"Low",N354&lt;30000,"Medium",N354&gt;=30000,"High")</f>
        <v>Medium</v>
      </c>
      <c r="AO354" s="11" t="str">
        <f t="shared" si="30"/>
        <v>No</v>
      </c>
      <c r="AP354" s="11" t="str">
        <f t="shared" si="31"/>
        <v>Yes</v>
      </c>
      <c r="AQ354" s="11">
        <f t="shared" si="32"/>
        <v>0.24410570987654323</v>
      </c>
      <c r="AR354" s="33"/>
      <c r="AS354" s="33"/>
      <c r="AT354" s="33"/>
      <c r="AU354" s="33"/>
      <c r="AV354" s="33"/>
      <c r="AW354" s="33"/>
      <c r="AX354" s="33" t="str">
        <f t="shared" si="33"/>
        <v>Low</v>
      </c>
    </row>
    <row r="355" spans="1:50">
      <c r="A355" s="9" t="s">
        <v>1789</v>
      </c>
      <c r="B355" s="10">
        <v>45932</v>
      </c>
      <c r="C355" s="11" t="s">
        <v>622</v>
      </c>
      <c r="D355" s="11" t="s">
        <v>448</v>
      </c>
      <c r="E355" s="11" t="s">
        <v>103</v>
      </c>
      <c r="F355" s="11" t="s">
        <v>245</v>
      </c>
      <c r="G355" s="11" t="s">
        <v>246</v>
      </c>
      <c r="H355" s="11" t="s">
        <v>94</v>
      </c>
      <c r="I355" s="11" t="s">
        <v>39</v>
      </c>
      <c r="J355" s="11" t="s">
        <v>105</v>
      </c>
      <c r="K355" s="25">
        <v>1</v>
      </c>
      <c r="L355" s="25">
        <v>12000</v>
      </c>
      <c r="M355" s="29">
        <v>0.05</v>
      </c>
      <c r="N355" s="25">
        <v>11400</v>
      </c>
      <c r="O355" s="25">
        <v>8030.88</v>
      </c>
      <c r="P355" s="25">
        <v>3369.12</v>
      </c>
      <c r="Q355" s="21">
        <v>29.55</v>
      </c>
      <c r="R355" s="11" t="s">
        <v>166</v>
      </c>
      <c r="S355" s="11" t="s">
        <v>74</v>
      </c>
      <c r="T355" s="11" t="s">
        <v>138</v>
      </c>
      <c r="U355" s="11" t="s">
        <v>98</v>
      </c>
      <c r="V355" s="11">
        <v>2025</v>
      </c>
      <c r="W355" s="11" t="s">
        <v>126</v>
      </c>
      <c r="X355" s="11">
        <v>6</v>
      </c>
      <c r="Y355" s="10" t="s">
        <v>1333</v>
      </c>
      <c r="Z355" s="11" t="s">
        <v>47</v>
      </c>
      <c r="AA355" s="11" t="s">
        <v>48</v>
      </c>
      <c r="AB355" s="11" t="s">
        <v>78</v>
      </c>
      <c r="AC355" s="11" t="s">
        <v>50</v>
      </c>
      <c r="AD355" s="11">
        <v>1</v>
      </c>
      <c r="AE355" s="11" t="s">
        <v>159</v>
      </c>
      <c r="AF355" s="11" t="s">
        <v>2212</v>
      </c>
      <c r="AG355" s="25"/>
      <c r="AH355" s="11"/>
      <c r="AI355" s="11"/>
      <c r="AJ355" s="11"/>
      <c r="AK355" s="11"/>
      <c r="AL355" s="11"/>
      <c r="AM355" s="11" t="str">
        <f t="shared" si="29"/>
        <v>Needs Improvement</v>
      </c>
      <c r="AN355" s="11" t="str" cm="1">
        <f t="array" ref="AN355">_xlfn.IFS(N355&lt;10000,"Low",N355&lt;30000,"Medium",N355&gt;=30000,"High")</f>
        <v>Medium</v>
      </c>
      <c r="AO355" s="11" t="str">
        <f t="shared" si="30"/>
        <v>No</v>
      </c>
      <c r="AP355" s="11" t="str">
        <f t="shared" si="31"/>
        <v>Yes</v>
      </c>
      <c r="AQ355" s="11">
        <f t="shared" si="32"/>
        <v>0.29553684210526315</v>
      </c>
      <c r="AR355" s="33"/>
      <c r="AS355" s="33"/>
      <c r="AT355" s="33"/>
      <c r="AU355" s="33"/>
      <c r="AV355" s="33"/>
      <c r="AW355" s="33"/>
      <c r="AX355" s="33" t="str">
        <f t="shared" si="33"/>
        <v>Low</v>
      </c>
    </row>
    <row r="356" spans="1:50">
      <c r="A356" s="9" t="s">
        <v>1882</v>
      </c>
      <c r="B356" s="10">
        <v>45932</v>
      </c>
      <c r="C356" s="11" t="s">
        <v>1883</v>
      </c>
      <c r="D356" s="11" t="s">
        <v>1055</v>
      </c>
      <c r="E356" s="11" t="s">
        <v>55</v>
      </c>
      <c r="F356" s="11" t="s">
        <v>82</v>
      </c>
      <c r="G356" s="11" t="s">
        <v>83</v>
      </c>
      <c r="H356" s="11" t="s">
        <v>171</v>
      </c>
      <c r="I356" s="11" t="s">
        <v>39</v>
      </c>
      <c r="J356" s="11" t="s">
        <v>165</v>
      </c>
      <c r="K356" s="25">
        <v>6</v>
      </c>
      <c r="L356" s="25">
        <v>35000</v>
      </c>
      <c r="M356" s="29">
        <v>0.05</v>
      </c>
      <c r="N356" s="25">
        <v>199500</v>
      </c>
      <c r="O356" s="25">
        <v>138609.03</v>
      </c>
      <c r="P356" s="25">
        <v>60890.97</v>
      </c>
      <c r="Q356" s="21">
        <v>30.52</v>
      </c>
      <c r="R356" s="11" t="s">
        <v>41</v>
      </c>
      <c r="S356" s="11" t="s">
        <v>62</v>
      </c>
      <c r="T356" s="11" t="s">
        <v>118</v>
      </c>
      <c r="U356" s="11" t="s">
        <v>98</v>
      </c>
      <c r="V356" s="11">
        <v>2025</v>
      </c>
      <c r="W356" s="11" t="s">
        <v>126</v>
      </c>
      <c r="X356" s="11">
        <v>4</v>
      </c>
      <c r="Y356" s="10" t="s">
        <v>934</v>
      </c>
      <c r="Z356" s="11" t="s">
        <v>47</v>
      </c>
      <c r="AA356" s="11" t="s">
        <v>90</v>
      </c>
      <c r="AB356" s="11" t="s">
        <v>111</v>
      </c>
      <c r="AC356" s="11" t="s">
        <v>50</v>
      </c>
      <c r="AD356" s="11">
        <v>3</v>
      </c>
      <c r="AE356" s="11" t="s">
        <v>2234</v>
      </c>
      <c r="AF356" s="11" t="s">
        <v>2228</v>
      </c>
      <c r="AG356" s="25"/>
      <c r="AH356" s="11"/>
      <c r="AI356" s="11"/>
      <c r="AJ356" s="11"/>
      <c r="AK356" s="11"/>
      <c r="AL356" s="11"/>
      <c r="AM356" s="11" t="str">
        <f t="shared" si="29"/>
        <v>Good</v>
      </c>
      <c r="AN356" s="11" t="str" cm="1">
        <f t="array" ref="AN356">_xlfn.IFS(N356&lt;10000,"Low",N356&lt;30000,"Medium",N356&gt;=30000,"High")</f>
        <v>High</v>
      </c>
      <c r="AO356" s="11" t="str">
        <f t="shared" si="30"/>
        <v>Yes</v>
      </c>
      <c r="AP356" s="11" t="str">
        <f t="shared" si="31"/>
        <v>No</v>
      </c>
      <c r="AQ356" s="11">
        <f t="shared" si="32"/>
        <v>0.30521789473684213</v>
      </c>
      <c r="AR356" s="33"/>
      <c r="AS356" s="33"/>
      <c r="AT356" s="33"/>
      <c r="AU356" s="33"/>
      <c r="AV356" s="33"/>
      <c r="AW356" s="33"/>
      <c r="AX356" s="33" t="str">
        <f t="shared" si="33"/>
        <v>Excellent</v>
      </c>
    </row>
    <row r="357" spans="1:50">
      <c r="A357" s="9" t="s">
        <v>1442</v>
      </c>
      <c r="B357" s="10">
        <v>45933</v>
      </c>
      <c r="C357" s="11" t="s">
        <v>406</v>
      </c>
      <c r="D357" s="11" t="s">
        <v>864</v>
      </c>
      <c r="E357" s="11" t="s">
        <v>103</v>
      </c>
      <c r="F357" s="11" t="s">
        <v>82</v>
      </c>
      <c r="G357" s="11" t="s">
        <v>83</v>
      </c>
      <c r="H357" s="11" t="s">
        <v>38</v>
      </c>
      <c r="I357" s="11" t="s">
        <v>59</v>
      </c>
      <c r="J357" s="11" t="s">
        <v>133</v>
      </c>
      <c r="K357" s="25">
        <v>6</v>
      </c>
      <c r="L357" s="25">
        <v>500</v>
      </c>
      <c r="M357" s="29">
        <v>0.15</v>
      </c>
      <c r="N357" s="25">
        <v>2550</v>
      </c>
      <c r="O357" s="25">
        <v>1731.41</v>
      </c>
      <c r="P357" s="25">
        <v>818.59</v>
      </c>
      <c r="Q357" s="21">
        <v>32.1</v>
      </c>
      <c r="R357" s="11" t="s">
        <v>61</v>
      </c>
      <c r="S357" s="11" t="s">
        <v>42</v>
      </c>
      <c r="T357" s="11" t="s">
        <v>138</v>
      </c>
      <c r="U357" s="11" t="s">
        <v>178</v>
      </c>
      <c r="V357" s="11">
        <v>2025</v>
      </c>
      <c r="W357" s="11" t="s">
        <v>126</v>
      </c>
      <c r="X357" s="11">
        <v>4</v>
      </c>
      <c r="Y357" s="10" t="s">
        <v>1443</v>
      </c>
      <c r="Z357" s="11" t="s">
        <v>47</v>
      </c>
      <c r="AA357" s="11" t="s">
        <v>48</v>
      </c>
      <c r="AB357" s="11" t="s">
        <v>49</v>
      </c>
      <c r="AC357" s="11" t="s">
        <v>50</v>
      </c>
      <c r="AD357" s="11">
        <v>2</v>
      </c>
      <c r="AE357" s="11" t="s">
        <v>2232</v>
      </c>
      <c r="AF357" s="11" t="s">
        <v>2214</v>
      </c>
      <c r="AG357" s="25"/>
      <c r="AH357" s="11"/>
      <c r="AI357" s="11"/>
      <c r="AJ357" s="11"/>
      <c r="AK357" s="11"/>
      <c r="AL357" s="11"/>
      <c r="AM357" s="11" t="str">
        <f t="shared" si="29"/>
        <v>Good</v>
      </c>
      <c r="AN357" s="11" t="str" cm="1">
        <f t="array" ref="AN357">_xlfn.IFS(N357&lt;10000,"Low",N357&lt;30000,"Medium",N357&gt;=30000,"High")</f>
        <v>Low</v>
      </c>
      <c r="AO357" s="11" t="str">
        <f t="shared" si="30"/>
        <v>No</v>
      </c>
      <c r="AP357" s="11" t="str">
        <f t="shared" si="31"/>
        <v>Yes</v>
      </c>
      <c r="AQ357" s="11">
        <f t="shared" si="32"/>
        <v>0.32101568627450983</v>
      </c>
      <c r="AR357" s="33"/>
      <c r="AS357" s="33"/>
      <c r="AT357" s="33"/>
      <c r="AU357" s="33"/>
      <c r="AV357" s="33"/>
      <c r="AW357" s="33"/>
      <c r="AX357" s="33" t="str">
        <f t="shared" si="33"/>
        <v>Low</v>
      </c>
    </row>
    <row r="358" spans="1:50">
      <c r="A358" s="9" t="s">
        <v>552</v>
      </c>
      <c r="B358" s="10">
        <v>45934</v>
      </c>
      <c r="C358" s="11" t="s">
        <v>553</v>
      </c>
      <c r="D358" s="11" t="s">
        <v>554</v>
      </c>
      <c r="E358" s="11" t="s">
        <v>103</v>
      </c>
      <c r="F358" s="11" t="s">
        <v>144</v>
      </c>
      <c r="G358" s="11" t="s">
        <v>145</v>
      </c>
      <c r="H358" s="11" t="s">
        <v>38</v>
      </c>
      <c r="I358" s="11" t="s">
        <v>95</v>
      </c>
      <c r="J358" s="11" t="s">
        <v>319</v>
      </c>
      <c r="K358" s="25">
        <v>3</v>
      </c>
      <c r="L358" s="25">
        <v>9000</v>
      </c>
      <c r="M358" s="29">
        <v>0.05</v>
      </c>
      <c r="N358" s="25">
        <v>25650</v>
      </c>
      <c r="O358" s="25">
        <v>16987.439999999999</v>
      </c>
      <c r="P358" s="25">
        <v>8662.56</v>
      </c>
      <c r="Q358" s="21">
        <v>33.770000000000003</v>
      </c>
      <c r="R358" s="11" t="s">
        <v>73</v>
      </c>
      <c r="S358" s="11" t="s">
        <v>42</v>
      </c>
      <c r="T358" s="11" t="s">
        <v>63</v>
      </c>
      <c r="U358" s="11" t="s">
        <v>44</v>
      </c>
      <c r="V358" s="11">
        <v>2025</v>
      </c>
      <c r="W358" s="11" t="s">
        <v>139</v>
      </c>
      <c r="X358" s="11">
        <v>10</v>
      </c>
      <c r="Y358" s="10" t="s">
        <v>555</v>
      </c>
      <c r="Z358" s="11" t="s">
        <v>47</v>
      </c>
      <c r="AA358" s="11" t="s">
        <v>90</v>
      </c>
      <c r="AB358" s="11" t="s">
        <v>111</v>
      </c>
      <c r="AC358" s="11" t="s">
        <v>50</v>
      </c>
      <c r="AD358" s="11">
        <v>5</v>
      </c>
      <c r="AE358" s="11" t="s">
        <v>2220</v>
      </c>
      <c r="AF358" s="11" t="s">
        <v>2238</v>
      </c>
      <c r="AG358" s="25"/>
      <c r="AH358" s="11"/>
      <c r="AI358" s="11"/>
      <c r="AJ358" s="11"/>
      <c r="AK358" s="11"/>
      <c r="AL358" s="11"/>
      <c r="AM358" s="11" t="str">
        <f t="shared" si="29"/>
        <v>Good</v>
      </c>
      <c r="AN358" s="11" t="str" cm="1">
        <f t="array" ref="AN358">_xlfn.IFS(N358&lt;10000,"Low",N358&lt;30000,"Medium",N358&gt;=30000,"High")</f>
        <v>Medium</v>
      </c>
      <c r="AO358" s="11" t="str">
        <f t="shared" si="30"/>
        <v>No</v>
      </c>
      <c r="AP358" s="11" t="str">
        <f t="shared" si="31"/>
        <v>Yes</v>
      </c>
      <c r="AQ358" s="11">
        <f t="shared" si="32"/>
        <v>0.33772163742690059</v>
      </c>
      <c r="AR358" s="33"/>
      <c r="AS358" s="33"/>
      <c r="AT358" s="33"/>
      <c r="AU358" s="33"/>
      <c r="AV358" s="33"/>
      <c r="AW358" s="33"/>
      <c r="AX358" s="33" t="str">
        <f t="shared" si="33"/>
        <v>Average</v>
      </c>
    </row>
    <row r="359" spans="1:50">
      <c r="A359" s="9" t="s">
        <v>1089</v>
      </c>
      <c r="B359" s="10">
        <v>45935</v>
      </c>
      <c r="C359" s="11" t="s">
        <v>1090</v>
      </c>
      <c r="D359" s="11" t="s">
        <v>743</v>
      </c>
      <c r="E359" s="11" t="s">
        <v>103</v>
      </c>
      <c r="F359" s="11" t="s">
        <v>104</v>
      </c>
      <c r="G359" s="11" t="s">
        <v>104</v>
      </c>
      <c r="H359" s="11" t="s">
        <v>38</v>
      </c>
      <c r="I359" s="11" t="s">
        <v>71</v>
      </c>
      <c r="J359" s="11" t="s">
        <v>172</v>
      </c>
      <c r="K359" s="25">
        <v>3</v>
      </c>
      <c r="L359" s="25">
        <v>1200</v>
      </c>
      <c r="M359" s="29">
        <v>0.1</v>
      </c>
      <c r="N359" s="25">
        <v>3240</v>
      </c>
      <c r="O359" s="25">
        <v>2460.44</v>
      </c>
      <c r="P359" s="25">
        <v>779.56</v>
      </c>
      <c r="Q359" s="21">
        <v>24.06</v>
      </c>
      <c r="R359" s="11" t="s">
        <v>73</v>
      </c>
      <c r="S359" s="11" t="s">
        <v>42</v>
      </c>
      <c r="T359" s="11" t="s">
        <v>43</v>
      </c>
      <c r="U359" s="11" t="s">
        <v>119</v>
      </c>
      <c r="V359" s="11">
        <v>2025</v>
      </c>
      <c r="W359" s="11" t="s">
        <v>65</v>
      </c>
      <c r="X359" s="11">
        <v>9</v>
      </c>
      <c r="Y359" s="10" t="s">
        <v>1091</v>
      </c>
      <c r="Z359" s="11" t="s">
        <v>47</v>
      </c>
      <c r="AA359" s="11" t="s">
        <v>67</v>
      </c>
      <c r="AB359" s="11" t="s">
        <v>78</v>
      </c>
      <c r="AC359" s="11" t="s">
        <v>121</v>
      </c>
      <c r="AD359" s="11">
        <v>1</v>
      </c>
      <c r="AE359" s="11" t="s">
        <v>2209</v>
      </c>
      <c r="AF359" s="11" t="s">
        <v>2217</v>
      </c>
      <c r="AG359" s="25"/>
      <c r="AH359" s="11"/>
      <c r="AI359" s="11"/>
      <c r="AJ359" s="11"/>
      <c r="AK359" s="11"/>
      <c r="AL359" s="11"/>
      <c r="AM359" s="11" t="str">
        <f t="shared" si="29"/>
        <v>Needs Improvement</v>
      </c>
      <c r="AN359" s="11" t="str" cm="1">
        <f t="array" ref="AN359">_xlfn.IFS(N359&lt;10000,"Low",N359&lt;30000,"Medium",N359&gt;=30000,"High")</f>
        <v>Low</v>
      </c>
      <c r="AO359" s="11" t="str">
        <f t="shared" si="30"/>
        <v>No</v>
      </c>
      <c r="AP359" s="11" t="str">
        <f t="shared" si="31"/>
        <v>Yes</v>
      </c>
      <c r="AQ359" s="11">
        <f t="shared" si="32"/>
        <v>0.24060493827160492</v>
      </c>
      <c r="AR359" s="33"/>
      <c r="AS359" s="33"/>
      <c r="AT359" s="33"/>
      <c r="AU359" s="33"/>
      <c r="AV359" s="33"/>
      <c r="AW359" s="33"/>
      <c r="AX359" s="33" t="str">
        <f t="shared" si="33"/>
        <v>Low</v>
      </c>
    </row>
    <row r="360" spans="1:50">
      <c r="A360" s="9" t="s">
        <v>2099</v>
      </c>
      <c r="B360" s="10">
        <v>45937</v>
      </c>
      <c r="C360" s="11" t="s">
        <v>629</v>
      </c>
      <c r="D360" s="11" t="s">
        <v>252</v>
      </c>
      <c r="E360" s="11" t="s">
        <v>35</v>
      </c>
      <c r="F360" s="11" t="s">
        <v>116</v>
      </c>
      <c r="G360" s="11" t="s">
        <v>37</v>
      </c>
      <c r="H360" s="11" t="s">
        <v>171</v>
      </c>
      <c r="I360" s="11" t="s">
        <v>39</v>
      </c>
      <c r="J360" s="11" t="s">
        <v>356</v>
      </c>
      <c r="K360" s="25">
        <v>5</v>
      </c>
      <c r="L360" s="25">
        <v>35000</v>
      </c>
      <c r="M360" s="29">
        <v>0.05</v>
      </c>
      <c r="N360" s="25">
        <v>166250</v>
      </c>
      <c r="O360" s="25">
        <v>128269.82</v>
      </c>
      <c r="P360" s="25">
        <v>37980.18</v>
      </c>
      <c r="Q360" s="21">
        <v>22.85</v>
      </c>
      <c r="R360" s="11" t="s">
        <v>73</v>
      </c>
      <c r="S360" s="11" t="s">
        <v>42</v>
      </c>
      <c r="T360" s="11" t="s">
        <v>173</v>
      </c>
      <c r="U360" s="11" t="s">
        <v>151</v>
      </c>
      <c r="V360" s="11">
        <v>2025</v>
      </c>
      <c r="W360" s="11" t="s">
        <v>139</v>
      </c>
      <c r="X360" s="11">
        <v>9</v>
      </c>
      <c r="Y360" s="10" t="s">
        <v>2031</v>
      </c>
      <c r="Z360" s="11" t="s">
        <v>47</v>
      </c>
      <c r="AA360" s="11" t="s">
        <v>67</v>
      </c>
      <c r="AB360" s="11" t="s">
        <v>49</v>
      </c>
      <c r="AC360" s="11" t="s">
        <v>121</v>
      </c>
      <c r="AD360" s="11">
        <v>3</v>
      </c>
      <c r="AE360" s="11" t="s">
        <v>2225</v>
      </c>
      <c r="AF360" s="11" t="s">
        <v>2249</v>
      </c>
      <c r="AG360" s="25"/>
      <c r="AH360" s="11"/>
      <c r="AI360" s="11"/>
      <c r="AJ360" s="11"/>
      <c r="AK360" s="11"/>
      <c r="AL360" s="11"/>
      <c r="AM360" s="11" t="str">
        <f t="shared" si="29"/>
        <v>Needs Improvement</v>
      </c>
      <c r="AN360" s="11" t="str" cm="1">
        <f t="array" ref="AN360">_xlfn.IFS(N360&lt;10000,"Low",N360&lt;30000,"Medium",N360&gt;=30000,"High")</f>
        <v>High</v>
      </c>
      <c r="AO360" s="11" t="str">
        <f t="shared" si="30"/>
        <v>Yes</v>
      </c>
      <c r="AP360" s="11" t="str">
        <f t="shared" si="31"/>
        <v>Yes</v>
      </c>
      <c r="AQ360" s="11">
        <f t="shared" si="32"/>
        <v>0.22845221052631579</v>
      </c>
      <c r="AR360" s="33"/>
      <c r="AS360" s="33"/>
      <c r="AT360" s="33"/>
      <c r="AU360" s="33"/>
      <c r="AV360" s="33"/>
      <c r="AW360" s="33"/>
      <c r="AX360" s="33" t="str">
        <f t="shared" si="33"/>
        <v>Excellent</v>
      </c>
    </row>
    <row r="361" spans="1:50">
      <c r="A361" s="9" t="s">
        <v>950</v>
      </c>
      <c r="B361" s="10">
        <v>45938</v>
      </c>
      <c r="C361" s="11" t="s">
        <v>951</v>
      </c>
      <c r="D361" s="11" t="s">
        <v>847</v>
      </c>
      <c r="E361" s="11" t="s">
        <v>103</v>
      </c>
      <c r="F361" s="11" t="s">
        <v>131</v>
      </c>
      <c r="G361" s="11" t="s">
        <v>132</v>
      </c>
      <c r="H361" s="11" t="s">
        <v>38</v>
      </c>
      <c r="I361" s="11" t="s">
        <v>95</v>
      </c>
      <c r="J361" s="11" t="s">
        <v>440</v>
      </c>
      <c r="K361" s="25">
        <v>6</v>
      </c>
      <c r="L361" s="25">
        <v>6000</v>
      </c>
      <c r="M361" s="29">
        <v>0.05</v>
      </c>
      <c r="N361" s="25">
        <v>34200</v>
      </c>
      <c r="O361" s="25">
        <v>27555.69</v>
      </c>
      <c r="P361" s="25">
        <v>6644.31</v>
      </c>
      <c r="Q361" s="21">
        <v>19.43</v>
      </c>
      <c r="R361" s="11" t="s">
        <v>73</v>
      </c>
      <c r="S361" s="11" t="s">
        <v>42</v>
      </c>
      <c r="T361" s="11" t="s">
        <v>86</v>
      </c>
      <c r="U361" s="11" t="s">
        <v>218</v>
      </c>
      <c r="V361" s="11">
        <v>2025</v>
      </c>
      <c r="W361" s="11" t="s">
        <v>45</v>
      </c>
      <c r="X361" s="11">
        <v>5</v>
      </c>
      <c r="Y361" s="10" t="s">
        <v>952</v>
      </c>
      <c r="Z361" s="11" t="s">
        <v>47</v>
      </c>
      <c r="AA361" s="11" t="s">
        <v>67</v>
      </c>
      <c r="AB361" s="11" t="s">
        <v>49</v>
      </c>
      <c r="AC361" s="11" t="s">
        <v>121</v>
      </c>
      <c r="AD361" s="11">
        <v>2</v>
      </c>
      <c r="AE361" s="11" t="s">
        <v>86</v>
      </c>
      <c r="AF361" s="11" t="s">
        <v>2219</v>
      </c>
      <c r="AG361" s="25"/>
      <c r="AH361" s="11"/>
      <c r="AI361" s="11"/>
      <c r="AJ361" s="11"/>
      <c r="AK361" s="11"/>
      <c r="AL361" s="11"/>
      <c r="AM361" s="11" t="str">
        <f t="shared" si="29"/>
        <v>Needs Improvement</v>
      </c>
      <c r="AN361" s="11" t="str" cm="1">
        <f t="array" ref="AN361">_xlfn.IFS(N361&lt;10000,"Low",N361&lt;30000,"Medium",N361&gt;=30000,"High")</f>
        <v>High</v>
      </c>
      <c r="AO361" s="11" t="str">
        <f t="shared" si="30"/>
        <v>No</v>
      </c>
      <c r="AP361" s="11" t="str">
        <f t="shared" si="31"/>
        <v>Yes</v>
      </c>
      <c r="AQ361" s="11">
        <f t="shared" si="32"/>
        <v>0.19427807017543861</v>
      </c>
      <c r="AR361" s="33"/>
      <c r="AS361" s="33"/>
      <c r="AT361" s="33"/>
      <c r="AU361" s="33"/>
      <c r="AV361" s="33"/>
      <c r="AW361" s="33"/>
      <c r="AX361" s="33" t="str">
        <f t="shared" si="33"/>
        <v>Average</v>
      </c>
    </row>
    <row r="362" spans="1:50">
      <c r="A362" s="9" t="s">
        <v>1854</v>
      </c>
      <c r="B362" s="10">
        <v>45938</v>
      </c>
      <c r="C362" s="11" t="s">
        <v>1129</v>
      </c>
      <c r="D362" s="11" t="s">
        <v>1465</v>
      </c>
      <c r="E362" s="11" t="s">
        <v>35</v>
      </c>
      <c r="F362" s="11" t="s">
        <v>82</v>
      </c>
      <c r="G362" s="11" t="s">
        <v>83</v>
      </c>
      <c r="H362" s="11" t="s">
        <v>171</v>
      </c>
      <c r="I362" s="11" t="s">
        <v>59</v>
      </c>
      <c r="J362" s="11" t="s">
        <v>328</v>
      </c>
      <c r="K362" s="25">
        <v>3</v>
      </c>
      <c r="L362" s="25">
        <v>3000</v>
      </c>
      <c r="M362" s="29">
        <v>0</v>
      </c>
      <c r="N362" s="25">
        <v>9000</v>
      </c>
      <c r="O362" s="25">
        <v>5875.03</v>
      </c>
      <c r="P362" s="25">
        <v>3124.97</v>
      </c>
      <c r="Q362" s="21">
        <v>34.72</v>
      </c>
      <c r="R362" s="11" t="s">
        <v>166</v>
      </c>
      <c r="S362" s="11" t="s">
        <v>62</v>
      </c>
      <c r="T362" s="11" t="s">
        <v>97</v>
      </c>
      <c r="U362" s="11" t="s">
        <v>218</v>
      </c>
      <c r="V362" s="11">
        <v>2025</v>
      </c>
      <c r="W362" s="11" t="s">
        <v>45</v>
      </c>
      <c r="X362" s="11">
        <v>1</v>
      </c>
      <c r="Y362" s="10">
        <v>45969</v>
      </c>
      <c r="Z362" s="11" t="s">
        <v>47</v>
      </c>
      <c r="AA362" s="11" t="s">
        <v>48</v>
      </c>
      <c r="AB362" s="11" t="s">
        <v>78</v>
      </c>
      <c r="AC362" s="11" t="s">
        <v>50</v>
      </c>
      <c r="AD362" s="11">
        <v>3</v>
      </c>
      <c r="AE362" s="11" t="s">
        <v>118</v>
      </c>
      <c r="AF362" s="11" t="s">
        <v>2223</v>
      </c>
      <c r="AG362" s="25"/>
      <c r="AH362" s="11"/>
      <c r="AI362" s="11"/>
      <c r="AJ362" s="11"/>
      <c r="AK362" s="11"/>
      <c r="AL362" s="11"/>
      <c r="AM362" s="11" t="str">
        <f t="shared" si="29"/>
        <v>Good</v>
      </c>
      <c r="AN362" s="11" t="str" cm="1">
        <f t="array" ref="AN362">_xlfn.IFS(N362&lt;10000,"Low",N362&lt;30000,"Medium",N362&gt;=30000,"High")</f>
        <v>Low</v>
      </c>
      <c r="AO362" s="11" t="str">
        <f t="shared" si="30"/>
        <v>No</v>
      </c>
      <c r="AP362" s="11" t="str">
        <f t="shared" si="31"/>
        <v>No</v>
      </c>
      <c r="AQ362" s="11">
        <f t="shared" si="32"/>
        <v>0.34721888888888885</v>
      </c>
      <c r="AR362" s="33"/>
      <c r="AS362" s="33"/>
      <c r="AT362" s="33"/>
      <c r="AU362" s="33"/>
      <c r="AV362" s="33"/>
      <c r="AW362" s="33"/>
      <c r="AX362" s="33" t="str">
        <f t="shared" si="33"/>
        <v>Low</v>
      </c>
    </row>
    <row r="363" spans="1:50">
      <c r="A363" s="9" t="s">
        <v>1745</v>
      </c>
      <c r="B363" s="10">
        <v>45939</v>
      </c>
      <c r="C363" s="11" t="s">
        <v>1746</v>
      </c>
      <c r="D363" s="11" t="s">
        <v>864</v>
      </c>
      <c r="E363" s="11" t="s">
        <v>35</v>
      </c>
      <c r="F363" s="11" t="s">
        <v>56</v>
      </c>
      <c r="G363" s="11" t="s">
        <v>57</v>
      </c>
      <c r="H363" s="11" t="s">
        <v>94</v>
      </c>
      <c r="I363" s="11" t="s">
        <v>95</v>
      </c>
      <c r="J363" s="11" t="s">
        <v>319</v>
      </c>
      <c r="K363" s="25">
        <v>8</v>
      </c>
      <c r="L363" s="25">
        <v>15000</v>
      </c>
      <c r="M363" s="29">
        <v>0</v>
      </c>
      <c r="N363" s="25">
        <v>120000</v>
      </c>
      <c r="O363" s="25">
        <v>73933.58</v>
      </c>
      <c r="P363" s="25">
        <v>46066.42</v>
      </c>
      <c r="Q363" s="21">
        <v>38.39</v>
      </c>
      <c r="R363" s="11" t="s">
        <v>41</v>
      </c>
      <c r="S363" s="11" t="s">
        <v>62</v>
      </c>
      <c r="T363" s="11" t="s">
        <v>75</v>
      </c>
      <c r="U363" s="11" t="s">
        <v>108</v>
      </c>
      <c r="V363" s="11">
        <v>2025</v>
      </c>
      <c r="W363" s="11" t="s">
        <v>134</v>
      </c>
      <c r="X363" s="11">
        <v>6</v>
      </c>
      <c r="Y363" s="10" t="s">
        <v>474</v>
      </c>
      <c r="Z363" s="11" t="s">
        <v>47</v>
      </c>
      <c r="AA363" s="11" t="s">
        <v>90</v>
      </c>
      <c r="AB363" s="11" t="s">
        <v>78</v>
      </c>
      <c r="AC363" s="11" t="s">
        <v>50</v>
      </c>
      <c r="AD363" s="11">
        <v>5</v>
      </c>
      <c r="AE363" s="11" t="s">
        <v>2232</v>
      </c>
      <c r="AF363" s="11" t="s">
        <v>2214</v>
      </c>
      <c r="AG363" s="25"/>
      <c r="AH363" s="11"/>
      <c r="AI363" s="11"/>
      <c r="AJ363" s="11"/>
      <c r="AK363" s="11"/>
      <c r="AL363" s="11"/>
      <c r="AM363" s="11" t="str">
        <f t="shared" si="29"/>
        <v>Good</v>
      </c>
      <c r="AN363" s="11" t="str" cm="1">
        <f t="array" ref="AN363">_xlfn.IFS(N363&lt;10000,"Low",N363&lt;30000,"Medium",N363&gt;=30000,"High")</f>
        <v>High</v>
      </c>
      <c r="AO363" s="11" t="str">
        <f t="shared" si="30"/>
        <v>Yes</v>
      </c>
      <c r="AP363" s="11" t="str">
        <f t="shared" si="31"/>
        <v>No</v>
      </c>
      <c r="AQ363" s="11">
        <f t="shared" si="32"/>
        <v>0.38388683333333334</v>
      </c>
      <c r="AR363" s="33"/>
      <c r="AS363" s="33"/>
      <c r="AT363" s="33"/>
      <c r="AU363" s="33"/>
      <c r="AV363" s="33"/>
      <c r="AW363" s="33"/>
      <c r="AX363" s="33" t="str">
        <f t="shared" si="33"/>
        <v>Excellent</v>
      </c>
    </row>
    <row r="364" spans="1:50">
      <c r="A364" s="9" t="s">
        <v>407</v>
      </c>
      <c r="B364" s="10">
        <v>45940</v>
      </c>
      <c r="C364" s="11" t="s">
        <v>408</v>
      </c>
      <c r="D364" s="11" t="s">
        <v>409</v>
      </c>
      <c r="E364" s="11" t="s">
        <v>103</v>
      </c>
      <c r="F364" s="11" t="s">
        <v>82</v>
      </c>
      <c r="G364" s="11" t="s">
        <v>83</v>
      </c>
      <c r="H364" s="11" t="s">
        <v>38</v>
      </c>
      <c r="I364" s="11" t="s">
        <v>95</v>
      </c>
      <c r="J364" s="11" t="s">
        <v>184</v>
      </c>
      <c r="K364" s="25">
        <v>3</v>
      </c>
      <c r="L364" s="25">
        <v>2500</v>
      </c>
      <c r="M364" s="29">
        <v>0.2</v>
      </c>
      <c r="N364" s="25">
        <v>6000</v>
      </c>
      <c r="O364" s="25">
        <v>4126.12</v>
      </c>
      <c r="P364" s="25">
        <v>1873.88</v>
      </c>
      <c r="Q364" s="21">
        <v>31.23</v>
      </c>
      <c r="R364" s="11" t="s">
        <v>73</v>
      </c>
      <c r="S364" s="11" t="s">
        <v>74</v>
      </c>
      <c r="T364" s="11" t="s">
        <v>118</v>
      </c>
      <c r="U364" s="11" t="s">
        <v>87</v>
      </c>
      <c r="V364" s="11">
        <v>2025</v>
      </c>
      <c r="W364" s="11" t="s">
        <v>194</v>
      </c>
      <c r="X364" s="11">
        <v>2</v>
      </c>
      <c r="Y364" s="10">
        <v>46001</v>
      </c>
      <c r="Z364" s="11" t="s">
        <v>89</v>
      </c>
      <c r="AA364" s="11" t="s">
        <v>67</v>
      </c>
      <c r="AB364" s="11" t="s">
        <v>49</v>
      </c>
      <c r="AC364" s="11" t="s">
        <v>121</v>
      </c>
      <c r="AD364" s="11">
        <v>5</v>
      </c>
      <c r="AE364" s="11" t="s">
        <v>159</v>
      </c>
      <c r="AF364" s="11" t="s">
        <v>2214</v>
      </c>
      <c r="AG364" s="25"/>
      <c r="AH364" s="11"/>
      <c r="AI364" s="11"/>
      <c r="AJ364" s="11"/>
      <c r="AK364" s="11"/>
      <c r="AL364" s="11"/>
      <c r="AM364" s="11" t="str">
        <f t="shared" si="29"/>
        <v>Good</v>
      </c>
      <c r="AN364" s="11" t="str" cm="1">
        <f t="array" ref="AN364">_xlfn.IFS(N364&lt;10000,"Low",N364&lt;30000,"Medium",N364&gt;=30000,"High")</f>
        <v>Low</v>
      </c>
      <c r="AO364" s="11" t="str">
        <f t="shared" si="30"/>
        <v>No</v>
      </c>
      <c r="AP364" s="11" t="str">
        <f t="shared" si="31"/>
        <v>Yes</v>
      </c>
      <c r="AQ364" s="11">
        <f t="shared" si="32"/>
        <v>0.31231333333333333</v>
      </c>
      <c r="AR364" s="33"/>
      <c r="AS364" s="33"/>
      <c r="AT364" s="33"/>
      <c r="AU364" s="33"/>
      <c r="AV364" s="33"/>
      <c r="AW364" s="33"/>
      <c r="AX364" s="33" t="str">
        <f t="shared" si="33"/>
        <v>Low</v>
      </c>
    </row>
    <row r="365" spans="1:50">
      <c r="A365" s="9" t="s">
        <v>948</v>
      </c>
      <c r="B365" s="10">
        <v>45940</v>
      </c>
      <c r="C365" s="11" t="s">
        <v>619</v>
      </c>
      <c r="D365" s="11" t="s">
        <v>361</v>
      </c>
      <c r="E365" s="11" t="s">
        <v>103</v>
      </c>
      <c r="F365" s="11" t="s">
        <v>104</v>
      </c>
      <c r="G365" s="11" t="s">
        <v>104</v>
      </c>
      <c r="H365" s="11" t="s">
        <v>58</v>
      </c>
      <c r="I365" s="11" t="s">
        <v>71</v>
      </c>
      <c r="J365" s="11" t="s">
        <v>72</v>
      </c>
      <c r="K365" s="25">
        <v>5</v>
      </c>
      <c r="L365" s="25">
        <v>700</v>
      </c>
      <c r="M365" s="29">
        <v>0.15</v>
      </c>
      <c r="N365" s="25">
        <v>2975</v>
      </c>
      <c r="O365" s="25">
        <v>2278.98</v>
      </c>
      <c r="P365" s="25">
        <v>696.02</v>
      </c>
      <c r="Q365" s="21">
        <v>23.4</v>
      </c>
      <c r="R365" s="11" t="s">
        <v>61</v>
      </c>
      <c r="S365" s="11" t="s">
        <v>74</v>
      </c>
      <c r="T365" s="11" t="s">
        <v>159</v>
      </c>
      <c r="U365" s="11" t="s">
        <v>87</v>
      </c>
      <c r="V365" s="11">
        <v>2025</v>
      </c>
      <c r="W365" s="11" t="s">
        <v>194</v>
      </c>
      <c r="X365" s="11">
        <v>4</v>
      </c>
      <c r="Y365" s="10" t="s">
        <v>949</v>
      </c>
      <c r="Z365" s="11" t="s">
        <v>47</v>
      </c>
      <c r="AA365" s="11" t="s">
        <v>90</v>
      </c>
      <c r="AB365" s="11" t="s">
        <v>78</v>
      </c>
      <c r="AC365" s="11" t="s">
        <v>50</v>
      </c>
      <c r="AD365" s="11">
        <v>1</v>
      </c>
      <c r="AE365" s="11" t="s">
        <v>159</v>
      </c>
      <c r="AF365" s="11" t="s">
        <v>2210</v>
      </c>
      <c r="AG365" s="25"/>
      <c r="AH365" s="11"/>
      <c r="AI365" s="11"/>
      <c r="AJ365" s="11"/>
      <c r="AK365" s="11"/>
      <c r="AL365" s="11"/>
      <c r="AM365" s="11" t="str">
        <f t="shared" si="29"/>
        <v>Needs Improvement</v>
      </c>
      <c r="AN365" s="11" t="str" cm="1">
        <f t="array" ref="AN365">_xlfn.IFS(N365&lt;10000,"Low",N365&lt;30000,"Medium",N365&gt;=30000,"High")</f>
        <v>Low</v>
      </c>
      <c r="AO365" s="11" t="str">
        <f t="shared" si="30"/>
        <v>No</v>
      </c>
      <c r="AP365" s="11" t="str">
        <f t="shared" si="31"/>
        <v>Yes</v>
      </c>
      <c r="AQ365" s="11">
        <f t="shared" si="32"/>
        <v>0.23395630252100841</v>
      </c>
      <c r="AR365" s="33"/>
      <c r="AS365" s="33"/>
      <c r="AT365" s="33"/>
      <c r="AU365" s="33"/>
      <c r="AV365" s="33"/>
      <c r="AW365" s="33"/>
      <c r="AX365" s="33" t="str">
        <f t="shared" si="33"/>
        <v>Low</v>
      </c>
    </row>
    <row r="366" spans="1:50">
      <c r="A366" s="9" t="s">
        <v>1728</v>
      </c>
      <c r="B366" s="10">
        <v>45940</v>
      </c>
      <c r="C366" s="11" t="s">
        <v>883</v>
      </c>
      <c r="D366" s="11" t="s">
        <v>1342</v>
      </c>
      <c r="E366" s="11" t="s">
        <v>103</v>
      </c>
      <c r="F366" s="11" t="s">
        <v>245</v>
      </c>
      <c r="G366" s="11" t="s">
        <v>246</v>
      </c>
      <c r="H366" s="11" t="s">
        <v>38</v>
      </c>
      <c r="I366" s="11" t="s">
        <v>39</v>
      </c>
      <c r="J366" s="11" t="s">
        <v>165</v>
      </c>
      <c r="K366" s="25">
        <v>2</v>
      </c>
      <c r="L366" s="25">
        <v>12000</v>
      </c>
      <c r="M366" s="29">
        <v>0.05</v>
      </c>
      <c r="N366" s="25">
        <v>22800</v>
      </c>
      <c r="O366" s="25">
        <v>18035.560000000001</v>
      </c>
      <c r="P366" s="25">
        <v>4764.4399999999996</v>
      </c>
      <c r="Q366" s="21">
        <v>20.9</v>
      </c>
      <c r="R366" s="11" t="s">
        <v>41</v>
      </c>
      <c r="S366" s="11" t="s">
        <v>42</v>
      </c>
      <c r="T366" s="11" t="s">
        <v>138</v>
      </c>
      <c r="U366" s="11" t="s">
        <v>87</v>
      </c>
      <c r="V366" s="11">
        <v>2025</v>
      </c>
      <c r="W366" s="11" t="s">
        <v>194</v>
      </c>
      <c r="X366" s="11">
        <v>8</v>
      </c>
      <c r="Y366" s="10" t="s">
        <v>1729</v>
      </c>
      <c r="Z366" s="11" t="s">
        <v>110</v>
      </c>
      <c r="AA366" s="11" t="s">
        <v>90</v>
      </c>
      <c r="AB366" s="11" t="s">
        <v>49</v>
      </c>
      <c r="AC366" s="11" t="s">
        <v>50</v>
      </c>
      <c r="AD366" s="11">
        <v>3</v>
      </c>
      <c r="AE366" s="11" t="s">
        <v>2239</v>
      </c>
      <c r="AF366" s="11" t="s">
        <v>2214</v>
      </c>
      <c r="AG366" s="25"/>
      <c r="AH366" s="11"/>
      <c r="AI366" s="11"/>
      <c r="AJ366" s="11"/>
      <c r="AK366" s="11"/>
      <c r="AL366" s="11"/>
      <c r="AM366" s="11" t="str">
        <f t="shared" si="29"/>
        <v>Needs Improvement</v>
      </c>
      <c r="AN366" s="11" t="str" cm="1">
        <f t="array" ref="AN366">_xlfn.IFS(N366&lt;10000,"Low",N366&lt;30000,"Medium",N366&gt;=30000,"High")</f>
        <v>Medium</v>
      </c>
      <c r="AO366" s="11" t="str">
        <f t="shared" si="30"/>
        <v>No</v>
      </c>
      <c r="AP366" s="11" t="str">
        <f t="shared" si="31"/>
        <v>Yes</v>
      </c>
      <c r="AQ366" s="11">
        <f t="shared" si="32"/>
        <v>0.20896666666666666</v>
      </c>
      <c r="AR366" s="33"/>
      <c r="AS366" s="33"/>
      <c r="AT366" s="33"/>
      <c r="AU366" s="33"/>
      <c r="AV366" s="33"/>
      <c r="AW366" s="33"/>
      <c r="AX366" s="33" t="str">
        <f t="shared" si="33"/>
        <v>Low</v>
      </c>
    </row>
    <row r="367" spans="1:50">
      <c r="A367" s="9" t="s">
        <v>1041</v>
      </c>
      <c r="B367" s="10">
        <v>45941</v>
      </c>
      <c r="C367" s="11" t="s">
        <v>716</v>
      </c>
      <c r="D367" s="11" t="s">
        <v>859</v>
      </c>
      <c r="E367" s="11" t="s">
        <v>103</v>
      </c>
      <c r="F367" s="11" t="s">
        <v>56</v>
      </c>
      <c r="G367" s="11" t="s">
        <v>57</v>
      </c>
      <c r="H367" s="11" t="s">
        <v>171</v>
      </c>
      <c r="I367" s="11" t="s">
        <v>59</v>
      </c>
      <c r="J367" s="11" t="s">
        <v>206</v>
      </c>
      <c r="K367" s="25">
        <v>1</v>
      </c>
      <c r="L367" s="25">
        <v>2000</v>
      </c>
      <c r="M367" s="29">
        <v>0.2</v>
      </c>
      <c r="N367" s="25">
        <v>1600</v>
      </c>
      <c r="O367" s="25">
        <v>990.36</v>
      </c>
      <c r="P367" s="25">
        <v>609.64</v>
      </c>
      <c r="Q367" s="21">
        <v>38.1</v>
      </c>
      <c r="R367" s="11" t="s">
        <v>106</v>
      </c>
      <c r="S367" s="11" t="s">
        <v>62</v>
      </c>
      <c r="T367" s="11" t="s">
        <v>43</v>
      </c>
      <c r="U367" s="11" t="s">
        <v>198</v>
      </c>
      <c r="V367" s="11">
        <v>2025</v>
      </c>
      <c r="W367" s="11" t="s">
        <v>126</v>
      </c>
      <c r="X367" s="11">
        <v>9</v>
      </c>
      <c r="Y367" s="10" t="s">
        <v>399</v>
      </c>
      <c r="Z367" s="11" t="s">
        <v>47</v>
      </c>
      <c r="AA367" s="11" t="s">
        <v>90</v>
      </c>
      <c r="AB367" s="11" t="s">
        <v>78</v>
      </c>
      <c r="AC367" s="11" t="s">
        <v>50</v>
      </c>
      <c r="AD367" s="11">
        <v>3</v>
      </c>
      <c r="AE367" s="11" t="s">
        <v>2218</v>
      </c>
      <c r="AF367" s="11" t="s">
        <v>2212</v>
      </c>
      <c r="AG367" s="25"/>
      <c r="AH367" s="11"/>
      <c r="AI367" s="11"/>
      <c r="AJ367" s="11"/>
      <c r="AK367" s="11"/>
      <c r="AL367" s="11"/>
      <c r="AM367" s="11" t="str">
        <f t="shared" si="29"/>
        <v>Good</v>
      </c>
      <c r="AN367" s="11" t="str" cm="1">
        <f t="array" ref="AN367">_xlfn.IFS(N367&lt;10000,"Low",N367&lt;30000,"Medium",N367&gt;=30000,"High")</f>
        <v>Low</v>
      </c>
      <c r="AO367" s="11" t="str">
        <f t="shared" si="30"/>
        <v>No</v>
      </c>
      <c r="AP367" s="11" t="str">
        <f t="shared" si="31"/>
        <v>No</v>
      </c>
      <c r="AQ367" s="11">
        <f t="shared" si="32"/>
        <v>0.381025</v>
      </c>
      <c r="AR367" s="33"/>
      <c r="AS367" s="33"/>
      <c r="AT367" s="33"/>
      <c r="AU367" s="33"/>
      <c r="AV367" s="33"/>
      <c r="AW367" s="33"/>
      <c r="AX367" s="33" t="str">
        <f t="shared" si="33"/>
        <v>Low</v>
      </c>
    </row>
    <row r="368" spans="1:50">
      <c r="A368" s="9" t="s">
        <v>219</v>
      </c>
      <c r="B368" s="10">
        <v>45964</v>
      </c>
      <c r="C368" s="11" t="s">
        <v>220</v>
      </c>
      <c r="D368" s="11" t="s">
        <v>221</v>
      </c>
      <c r="E368" s="11" t="s">
        <v>103</v>
      </c>
      <c r="F368" s="11" t="s">
        <v>56</v>
      </c>
      <c r="G368" s="11" t="s">
        <v>57</v>
      </c>
      <c r="H368" s="11" t="s">
        <v>38</v>
      </c>
      <c r="I368" s="11" t="s">
        <v>71</v>
      </c>
      <c r="J368" s="11" t="s">
        <v>117</v>
      </c>
      <c r="K368" s="25">
        <v>3</v>
      </c>
      <c r="L368" s="25">
        <v>700</v>
      </c>
      <c r="M368" s="29">
        <v>0</v>
      </c>
      <c r="N368" s="25">
        <v>2100</v>
      </c>
      <c r="O368" s="25">
        <v>1610.93</v>
      </c>
      <c r="P368" s="25">
        <v>489.07</v>
      </c>
      <c r="Q368" s="21">
        <v>23.29</v>
      </c>
      <c r="R368" s="11" t="s">
        <v>106</v>
      </c>
      <c r="S368" s="11" t="s">
        <v>62</v>
      </c>
      <c r="T368" s="11" t="s">
        <v>118</v>
      </c>
      <c r="U368" s="11" t="s">
        <v>178</v>
      </c>
      <c r="V368" s="11">
        <v>2025</v>
      </c>
      <c r="W368" s="11" t="s">
        <v>109</v>
      </c>
      <c r="X368" s="11">
        <v>4</v>
      </c>
      <c r="Y368" s="10" t="s">
        <v>222</v>
      </c>
      <c r="Z368" s="11" t="s">
        <v>47</v>
      </c>
      <c r="AA368" s="11" t="s">
        <v>67</v>
      </c>
      <c r="AB368" s="11" t="s">
        <v>111</v>
      </c>
      <c r="AC368" s="11" t="s">
        <v>50</v>
      </c>
      <c r="AD368" s="11">
        <v>4</v>
      </c>
      <c r="AE368" s="11" t="s">
        <v>2239</v>
      </c>
      <c r="AF368" s="11" t="s">
        <v>2231</v>
      </c>
      <c r="AG368" s="25"/>
      <c r="AH368" s="11"/>
      <c r="AI368" s="11"/>
      <c r="AJ368" s="11"/>
      <c r="AK368" s="11"/>
      <c r="AL368" s="11"/>
      <c r="AM368" s="11" t="str">
        <f t="shared" si="29"/>
        <v>Needs Improvement</v>
      </c>
      <c r="AN368" s="11" t="str" cm="1">
        <f t="array" ref="AN368">_xlfn.IFS(N368&lt;10000,"Low",N368&lt;30000,"Medium",N368&gt;=30000,"High")</f>
        <v>Low</v>
      </c>
      <c r="AO368" s="11" t="str">
        <f t="shared" si="30"/>
        <v>No</v>
      </c>
      <c r="AP368" s="11" t="str">
        <f t="shared" si="31"/>
        <v>No</v>
      </c>
      <c r="AQ368" s="11">
        <f t="shared" si="32"/>
        <v>0.23289047619047618</v>
      </c>
      <c r="AR368" s="33"/>
      <c r="AS368" s="33"/>
      <c r="AT368" s="33"/>
      <c r="AU368" s="33"/>
      <c r="AV368" s="33"/>
      <c r="AW368" s="33"/>
      <c r="AX368" s="33" t="str">
        <f t="shared" si="33"/>
        <v>Low</v>
      </c>
    </row>
    <row r="369" spans="1:50">
      <c r="A369" s="9" t="s">
        <v>662</v>
      </c>
      <c r="B369" s="10">
        <v>45964</v>
      </c>
      <c r="C369" s="11" t="s">
        <v>33</v>
      </c>
      <c r="D369" s="11" t="s">
        <v>155</v>
      </c>
      <c r="E369" s="11" t="s">
        <v>55</v>
      </c>
      <c r="F369" s="11" t="s">
        <v>82</v>
      </c>
      <c r="G369" s="11" t="s">
        <v>83</v>
      </c>
      <c r="H369" s="11" t="s">
        <v>58</v>
      </c>
      <c r="I369" s="11" t="s">
        <v>59</v>
      </c>
      <c r="J369" s="11" t="s">
        <v>328</v>
      </c>
      <c r="K369" s="25">
        <v>8</v>
      </c>
      <c r="L369" s="25">
        <v>3000</v>
      </c>
      <c r="M369" s="29">
        <v>0.05</v>
      </c>
      <c r="N369" s="25">
        <v>22800</v>
      </c>
      <c r="O369" s="25">
        <v>14372.7</v>
      </c>
      <c r="P369" s="25">
        <v>8427.2999999999993</v>
      </c>
      <c r="Q369" s="21">
        <v>36.96</v>
      </c>
      <c r="R369" s="11" t="s">
        <v>166</v>
      </c>
      <c r="S369" s="11" t="s">
        <v>74</v>
      </c>
      <c r="T369" s="11" t="s">
        <v>86</v>
      </c>
      <c r="U369" s="11" t="s">
        <v>178</v>
      </c>
      <c r="V369" s="11">
        <v>2025</v>
      </c>
      <c r="W369" s="11" t="s">
        <v>109</v>
      </c>
      <c r="X369" s="11">
        <v>2</v>
      </c>
      <c r="Y369" s="10" t="s">
        <v>663</v>
      </c>
      <c r="Z369" s="11" t="s">
        <v>47</v>
      </c>
      <c r="AA369" s="11" t="s">
        <v>90</v>
      </c>
      <c r="AB369" s="11" t="s">
        <v>111</v>
      </c>
      <c r="AC369" s="11" t="s">
        <v>50</v>
      </c>
      <c r="AD369" s="11">
        <v>5</v>
      </c>
      <c r="AE369" s="11" t="s">
        <v>2239</v>
      </c>
      <c r="AF369" s="11" t="s">
        <v>2228</v>
      </c>
      <c r="AG369" s="25"/>
      <c r="AH369" s="11"/>
      <c r="AI369" s="11"/>
      <c r="AJ369" s="11"/>
      <c r="AK369" s="11"/>
      <c r="AL369" s="11"/>
      <c r="AM369" s="11" t="str">
        <f t="shared" si="29"/>
        <v>Good</v>
      </c>
      <c r="AN369" s="11" t="str" cm="1">
        <f t="array" ref="AN369">_xlfn.IFS(N369&lt;10000,"Low",N369&lt;30000,"Medium",N369&gt;=30000,"High")</f>
        <v>Medium</v>
      </c>
      <c r="AO369" s="11" t="str">
        <f t="shared" si="30"/>
        <v>No</v>
      </c>
      <c r="AP369" s="11" t="str">
        <f t="shared" si="31"/>
        <v>Yes</v>
      </c>
      <c r="AQ369" s="11">
        <f t="shared" si="32"/>
        <v>0.36961842105263154</v>
      </c>
      <c r="AR369" s="33"/>
      <c r="AS369" s="33"/>
      <c r="AT369" s="33"/>
      <c r="AU369" s="33"/>
      <c r="AV369" s="33"/>
      <c r="AW369" s="33"/>
      <c r="AX369" s="33" t="str">
        <f t="shared" si="33"/>
        <v>Average</v>
      </c>
    </row>
    <row r="370" spans="1:50">
      <c r="A370" s="9" t="s">
        <v>1408</v>
      </c>
      <c r="B370" s="10">
        <v>45964</v>
      </c>
      <c r="C370" s="11" t="s">
        <v>334</v>
      </c>
      <c r="D370" s="11" t="s">
        <v>1094</v>
      </c>
      <c r="E370" s="11" t="s">
        <v>35</v>
      </c>
      <c r="F370" s="11" t="s">
        <v>104</v>
      </c>
      <c r="G370" s="11" t="s">
        <v>104</v>
      </c>
      <c r="H370" s="11" t="s">
        <v>38</v>
      </c>
      <c r="I370" s="11" t="s">
        <v>71</v>
      </c>
      <c r="J370" s="11" t="s">
        <v>240</v>
      </c>
      <c r="K370" s="25">
        <v>6</v>
      </c>
      <c r="L370" s="25">
        <v>1200</v>
      </c>
      <c r="M370" s="29">
        <v>0.15</v>
      </c>
      <c r="N370" s="25">
        <v>6120</v>
      </c>
      <c r="O370" s="25">
        <v>3861.12</v>
      </c>
      <c r="P370" s="25">
        <v>2258.88</v>
      </c>
      <c r="Q370" s="21">
        <v>36.909999999999997</v>
      </c>
      <c r="R370" s="11" t="s">
        <v>73</v>
      </c>
      <c r="S370" s="11" t="s">
        <v>62</v>
      </c>
      <c r="T370" s="11" t="s">
        <v>63</v>
      </c>
      <c r="U370" s="11" t="s">
        <v>178</v>
      </c>
      <c r="V370" s="11">
        <v>2025</v>
      </c>
      <c r="W370" s="11" t="s">
        <v>109</v>
      </c>
      <c r="X370" s="11">
        <v>7</v>
      </c>
      <c r="Y370" s="10" t="s">
        <v>1374</v>
      </c>
      <c r="Z370" s="11" t="s">
        <v>89</v>
      </c>
      <c r="AA370" s="11" t="s">
        <v>48</v>
      </c>
      <c r="AB370" s="11" t="s">
        <v>111</v>
      </c>
      <c r="AC370" s="11" t="s">
        <v>50</v>
      </c>
      <c r="AD370" s="11">
        <v>4</v>
      </c>
      <c r="AE370" s="11" t="s">
        <v>2232</v>
      </c>
      <c r="AF370" s="11" t="s">
        <v>2249</v>
      </c>
      <c r="AG370" s="25"/>
      <c r="AH370" s="11"/>
      <c r="AI370" s="11"/>
      <c r="AJ370" s="11"/>
      <c r="AK370" s="11"/>
      <c r="AL370" s="11"/>
      <c r="AM370" s="11" t="str">
        <f t="shared" si="29"/>
        <v>Good</v>
      </c>
      <c r="AN370" s="11" t="str" cm="1">
        <f t="array" ref="AN370">_xlfn.IFS(N370&lt;10000,"Low",N370&lt;30000,"Medium",N370&gt;=30000,"High")</f>
        <v>Low</v>
      </c>
      <c r="AO370" s="11" t="str">
        <f t="shared" si="30"/>
        <v>No</v>
      </c>
      <c r="AP370" s="11" t="str">
        <f t="shared" si="31"/>
        <v>No</v>
      </c>
      <c r="AQ370" s="11">
        <f t="shared" si="32"/>
        <v>0.36909803921568629</v>
      </c>
      <c r="AR370" s="33"/>
      <c r="AS370" s="33"/>
      <c r="AT370" s="33"/>
      <c r="AU370" s="33"/>
      <c r="AV370" s="33"/>
      <c r="AW370" s="33"/>
      <c r="AX370" s="33" t="str">
        <f t="shared" si="33"/>
        <v>Low</v>
      </c>
    </row>
    <row r="371" spans="1:50">
      <c r="A371" s="9" t="s">
        <v>2098</v>
      </c>
      <c r="B371" s="10">
        <v>45964</v>
      </c>
      <c r="C371" s="11" t="s">
        <v>114</v>
      </c>
      <c r="D371" s="11" t="s">
        <v>1220</v>
      </c>
      <c r="E371" s="11" t="s">
        <v>35</v>
      </c>
      <c r="F371" s="11" t="s">
        <v>104</v>
      </c>
      <c r="G371" s="11" t="s">
        <v>104</v>
      </c>
      <c r="H371" s="11" t="s">
        <v>58</v>
      </c>
      <c r="I371" s="11" t="s">
        <v>39</v>
      </c>
      <c r="J371" s="11" t="s">
        <v>356</v>
      </c>
      <c r="K371" s="25">
        <v>5</v>
      </c>
      <c r="L371" s="25">
        <v>22000</v>
      </c>
      <c r="M371" s="29">
        <v>0.15</v>
      </c>
      <c r="N371" s="25">
        <v>93500</v>
      </c>
      <c r="O371" s="25">
        <v>75788.47</v>
      </c>
      <c r="P371" s="25">
        <v>17711.53</v>
      </c>
      <c r="Q371" s="21">
        <v>18.940000000000001</v>
      </c>
      <c r="R371" s="11" t="s">
        <v>106</v>
      </c>
      <c r="S371" s="11" t="s">
        <v>62</v>
      </c>
      <c r="T371" s="11" t="s">
        <v>63</v>
      </c>
      <c r="U371" s="11" t="s">
        <v>178</v>
      </c>
      <c r="V371" s="11">
        <v>2025</v>
      </c>
      <c r="W371" s="11" t="s">
        <v>109</v>
      </c>
      <c r="X371" s="11">
        <v>2</v>
      </c>
      <c r="Y371" s="10" t="s">
        <v>663</v>
      </c>
      <c r="Z371" s="11" t="s">
        <v>47</v>
      </c>
      <c r="AA371" s="11" t="s">
        <v>67</v>
      </c>
      <c r="AB371" s="11" t="s">
        <v>111</v>
      </c>
      <c r="AC371" s="11" t="s">
        <v>50</v>
      </c>
      <c r="AD371" s="11">
        <v>1</v>
      </c>
      <c r="AE371" s="11" t="s">
        <v>2229</v>
      </c>
      <c r="AF371" s="11" t="s">
        <v>2231</v>
      </c>
      <c r="AG371" s="25"/>
      <c r="AH371" s="11"/>
      <c r="AI371" s="11"/>
      <c r="AJ371" s="11"/>
      <c r="AK371" s="11"/>
      <c r="AL371" s="11"/>
      <c r="AM371" s="11" t="str">
        <f t="shared" si="29"/>
        <v>Needs Improvement</v>
      </c>
      <c r="AN371" s="11" t="str" cm="1">
        <f t="array" ref="AN371">_xlfn.IFS(N371&lt;10000,"Low",N371&lt;30000,"Medium",N371&gt;=30000,"High")</f>
        <v>High</v>
      </c>
      <c r="AO371" s="11" t="str">
        <f t="shared" si="30"/>
        <v>Yes</v>
      </c>
      <c r="AP371" s="11" t="str">
        <f t="shared" si="31"/>
        <v>No</v>
      </c>
      <c r="AQ371" s="11">
        <f t="shared" si="32"/>
        <v>0.18942812834224598</v>
      </c>
      <c r="AR371" s="33"/>
      <c r="AS371" s="33"/>
      <c r="AT371" s="33"/>
      <c r="AU371" s="33"/>
      <c r="AV371" s="33"/>
      <c r="AW371" s="33"/>
      <c r="AX371" s="33" t="str">
        <f t="shared" si="33"/>
        <v>Good</v>
      </c>
    </row>
    <row r="372" spans="1:50">
      <c r="A372" s="9" t="s">
        <v>2122</v>
      </c>
      <c r="B372" s="10">
        <v>45964</v>
      </c>
      <c r="C372" s="11" t="s">
        <v>188</v>
      </c>
      <c r="D372" s="11" t="s">
        <v>225</v>
      </c>
      <c r="E372" s="11" t="s">
        <v>55</v>
      </c>
      <c r="F372" s="11" t="s">
        <v>82</v>
      </c>
      <c r="G372" s="11" t="s">
        <v>83</v>
      </c>
      <c r="H372" s="11" t="s">
        <v>94</v>
      </c>
      <c r="I372" s="11" t="s">
        <v>95</v>
      </c>
      <c r="J372" s="11" t="s">
        <v>319</v>
      </c>
      <c r="K372" s="25">
        <v>9</v>
      </c>
      <c r="L372" s="25">
        <v>15000</v>
      </c>
      <c r="M372" s="29">
        <v>0</v>
      </c>
      <c r="N372" s="25">
        <v>135000</v>
      </c>
      <c r="O372" s="25">
        <v>105489.01</v>
      </c>
      <c r="P372" s="25">
        <v>29510.99</v>
      </c>
      <c r="Q372" s="21">
        <v>21.86</v>
      </c>
      <c r="R372" s="11" t="s">
        <v>73</v>
      </c>
      <c r="S372" s="11" t="s">
        <v>42</v>
      </c>
      <c r="T372" s="11" t="s">
        <v>118</v>
      </c>
      <c r="U372" s="11" t="s">
        <v>178</v>
      </c>
      <c r="V372" s="11">
        <v>2025</v>
      </c>
      <c r="W372" s="11" t="s">
        <v>109</v>
      </c>
      <c r="X372" s="11">
        <v>3</v>
      </c>
      <c r="Y372" s="10" t="s">
        <v>1443</v>
      </c>
      <c r="Z372" s="11" t="s">
        <v>47</v>
      </c>
      <c r="AA372" s="11" t="s">
        <v>67</v>
      </c>
      <c r="AB372" s="11" t="s">
        <v>78</v>
      </c>
      <c r="AC372" s="11" t="s">
        <v>50</v>
      </c>
      <c r="AD372" s="11">
        <v>1</v>
      </c>
      <c r="AE372" s="11" t="s">
        <v>2225</v>
      </c>
      <c r="AF372" s="11" t="s">
        <v>2238</v>
      </c>
      <c r="AG372" s="25"/>
      <c r="AH372" s="11"/>
      <c r="AI372" s="11"/>
      <c r="AJ372" s="11"/>
      <c r="AK372" s="11"/>
      <c r="AL372" s="11"/>
      <c r="AM372" s="11" t="str">
        <f t="shared" si="29"/>
        <v>Needs Improvement</v>
      </c>
      <c r="AN372" s="11" t="str" cm="1">
        <f t="array" ref="AN372">_xlfn.IFS(N372&lt;10000,"Low",N372&lt;30000,"Medium",N372&gt;=30000,"High")</f>
        <v>High</v>
      </c>
      <c r="AO372" s="11" t="str">
        <f t="shared" si="30"/>
        <v>Yes</v>
      </c>
      <c r="AP372" s="11" t="str">
        <f t="shared" si="31"/>
        <v>Yes</v>
      </c>
      <c r="AQ372" s="11">
        <f t="shared" si="32"/>
        <v>0.21859992592592595</v>
      </c>
      <c r="AR372" s="33"/>
      <c r="AS372" s="33"/>
      <c r="AT372" s="33"/>
      <c r="AU372" s="33"/>
      <c r="AV372" s="33"/>
      <c r="AW372" s="33"/>
      <c r="AX372" s="33" t="str">
        <f t="shared" si="33"/>
        <v>Excellent</v>
      </c>
    </row>
    <row r="373" spans="1:50">
      <c r="A373" s="9" t="s">
        <v>1658</v>
      </c>
      <c r="B373" s="10">
        <v>45965</v>
      </c>
      <c r="C373" s="11" t="s">
        <v>484</v>
      </c>
      <c r="D373" s="11" t="s">
        <v>383</v>
      </c>
      <c r="E373" s="11" t="s">
        <v>35</v>
      </c>
      <c r="F373" s="11" t="s">
        <v>116</v>
      </c>
      <c r="G373" s="11" t="s">
        <v>37</v>
      </c>
      <c r="H373" s="11" t="s">
        <v>171</v>
      </c>
      <c r="I373" s="11" t="s">
        <v>95</v>
      </c>
      <c r="J373" s="11" t="s">
        <v>184</v>
      </c>
      <c r="K373" s="25">
        <v>4</v>
      </c>
      <c r="L373" s="25">
        <v>6000</v>
      </c>
      <c r="M373" s="29">
        <v>0.05</v>
      </c>
      <c r="N373" s="25">
        <v>22800</v>
      </c>
      <c r="O373" s="25">
        <v>16806.560000000001</v>
      </c>
      <c r="P373" s="25">
        <v>5993.44</v>
      </c>
      <c r="Q373" s="21">
        <v>26.29</v>
      </c>
      <c r="R373" s="11" t="s">
        <v>41</v>
      </c>
      <c r="S373" s="11" t="s">
        <v>42</v>
      </c>
      <c r="T373" s="11" t="s">
        <v>173</v>
      </c>
      <c r="U373" s="11" t="s">
        <v>44</v>
      </c>
      <c r="V373" s="11">
        <v>2025</v>
      </c>
      <c r="W373" s="11" t="s">
        <v>194</v>
      </c>
      <c r="X373" s="11">
        <v>6</v>
      </c>
      <c r="Y373" s="10" t="s">
        <v>416</v>
      </c>
      <c r="Z373" s="11" t="s">
        <v>47</v>
      </c>
      <c r="AA373" s="11" t="s">
        <v>67</v>
      </c>
      <c r="AB373" s="11" t="s">
        <v>111</v>
      </c>
      <c r="AC373" s="11" t="s">
        <v>50</v>
      </c>
      <c r="AD373" s="11">
        <v>5</v>
      </c>
      <c r="AE373" s="11" t="s">
        <v>2221</v>
      </c>
      <c r="AF373" s="11" t="s">
        <v>2236</v>
      </c>
      <c r="AG373" s="25"/>
      <c r="AH373" s="11"/>
      <c r="AI373" s="11"/>
      <c r="AJ373" s="11"/>
      <c r="AK373" s="11"/>
      <c r="AL373" s="11"/>
      <c r="AM373" s="11" t="str">
        <f t="shared" si="29"/>
        <v>Needs Improvement</v>
      </c>
      <c r="AN373" s="11" t="str" cm="1">
        <f t="array" ref="AN373">_xlfn.IFS(N373&lt;10000,"Low",N373&lt;30000,"Medium",N373&gt;=30000,"High")</f>
        <v>Medium</v>
      </c>
      <c r="AO373" s="11" t="str">
        <f t="shared" si="30"/>
        <v>No</v>
      </c>
      <c r="AP373" s="11" t="str">
        <f t="shared" si="31"/>
        <v>Yes</v>
      </c>
      <c r="AQ373" s="11">
        <f t="shared" si="32"/>
        <v>0.26287017543859648</v>
      </c>
      <c r="AR373" s="33"/>
      <c r="AS373" s="33"/>
      <c r="AT373" s="33"/>
      <c r="AU373" s="33"/>
      <c r="AV373" s="33"/>
      <c r="AW373" s="33"/>
      <c r="AX373" s="33" t="str">
        <f t="shared" si="33"/>
        <v>Average</v>
      </c>
    </row>
    <row r="374" spans="1:50">
      <c r="A374" s="9" t="s">
        <v>1874</v>
      </c>
      <c r="B374" s="10">
        <v>45965</v>
      </c>
      <c r="C374" s="11" t="s">
        <v>354</v>
      </c>
      <c r="D374" s="11" t="s">
        <v>660</v>
      </c>
      <c r="E374" s="11" t="s">
        <v>103</v>
      </c>
      <c r="F374" s="11" t="s">
        <v>245</v>
      </c>
      <c r="G374" s="11" t="s">
        <v>246</v>
      </c>
      <c r="H374" s="11" t="s">
        <v>38</v>
      </c>
      <c r="I374" s="11" t="s">
        <v>59</v>
      </c>
      <c r="J374" s="11" t="s">
        <v>133</v>
      </c>
      <c r="K374" s="25">
        <v>6</v>
      </c>
      <c r="L374" s="25">
        <v>500</v>
      </c>
      <c r="M374" s="29">
        <v>0.1</v>
      </c>
      <c r="N374" s="25">
        <v>2700</v>
      </c>
      <c r="O374" s="25">
        <v>1999.89</v>
      </c>
      <c r="P374" s="25">
        <v>700.11</v>
      </c>
      <c r="Q374" s="21">
        <v>25.93</v>
      </c>
      <c r="R374" s="11" t="s">
        <v>61</v>
      </c>
      <c r="S374" s="11" t="s">
        <v>74</v>
      </c>
      <c r="T374" s="11" t="s">
        <v>173</v>
      </c>
      <c r="U374" s="11" t="s">
        <v>44</v>
      </c>
      <c r="V374" s="11">
        <v>2025</v>
      </c>
      <c r="W374" s="11" t="s">
        <v>194</v>
      </c>
      <c r="X374" s="11">
        <v>5</v>
      </c>
      <c r="Y374" s="10" t="s">
        <v>656</v>
      </c>
      <c r="Z374" s="11" t="s">
        <v>47</v>
      </c>
      <c r="AA374" s="11" t="s">
        <v>90</v>
      </c>
      <c r="AB374" s="11" t="s">
        <v>78</v>
      </c>
      <c r="AC374" s="11" t="s">
        <v>50</v>
      </c>
      <c r="AD374" s="11">
        <v>3</v>
      </c>
      <c r="AE374" s="11" t="s">
        <v>2218</v>
      </c>
      <c r="AF374" s="11" t="s">
        <v>2222</v>
      </c>
      <c r="AG374" s="25"/>
      <c r="AH374" s="11"/>
      <c r="AI374" s="11"/>
      <c r="AJ374" s="11"/>
      <c r="AK374" s="11"/>
      <c r="AL374" s="11"/>
      <c r="AM374" s="11" t="str">
        <f t="shared" si="29"/>
        <v>Needs Improvement</v>
      </c>
      <c r="AN374" s="11" t="str" cm="1">
        <f t="array" ref="AN374">_xlfn.IFS(N374&lt;10000,"Low",N374&lt;30000,"Medium",N374&gt;=30000,"High")</f>
        <v>Low</v>
      </c>
      <c r="AO374" s="11" t="str">
        <f t="shared" si="30"/>
        <v>No</v>
      </c>
      <c r="AP374" s="11" t="str">
        <f t="shared" si="31"/>
        <v>Yes</v>
      </c>
      <c r="AQ374" s="11">
        <f t="shared" si="32"/>
        <v>0.25930000000000003</v>
      </c>
      <c r="AR374" s="33"/>
      <c r="AS374" s="33"/>
      <c r="AT374" s="33"/>
      <c r="AU374" s="33"/>
      <c r="AV374" s="33"/>
      <c r="AW374" s="33"/>
      <c r="AX374" s="33" t="str">
        <f t="shared" si="33"/>
        <v>Low</v>
      </c>
    </row>
    <row r="375" spans="1:50">
      <c r="A375" s="9" t="s">
        <v>1304</v>
      </c>
      <c r="B375" s="10">
        <v>45966</v>
      </c>
      <c r="C375" s="11" t="s">
        <v>375</v>
      </c>
      <c r="D375" s="11" t="s">
        <v>1305</v>
      </c>
      <c r="E375" s="11" t="s">
        <v>55</v>
      </c>
      <c r="F375" s="11" t="s">
        <v>156</v>
      </c>
      <c r="G375" s="11" t="s">
        <v>157</v>
      </c>
      <c r="H375" s="11" t="s">
        <v>94</v>
      </c>
      <c r="I375" s="11" t="s">
        <v>39</v>
      </c>
      <c r="J375" s="11" t="s">
        <v>356</v>
      </c>
      <c r="K375" s="25">
        <v>3</v>
      </c>
      <c r="L375" s="25">
        <v>12000</v>
      </c>
      <c r="M375" s="29">
        <v>0.15</v>
      </c>
      <c r="N375" s="25">
        <v>30600</v>
      </c>
      <c r="O375" s="25">
        <v>23933.64</v>
      </c>
      <c r="P375" s="25">
        <v>6666.36</v>
      </c>
      <c r="Q375" s="21">
        <v>21.79</v>
      </c>
      <c r="R375" s="11" t="s">
        <v>106</v>
      </c>
      <c r="S375" s="11" t="s">
        <v>62</v>
      </c>
      <c r="T375" s="11" t="s">
        <v>43</v>
      </c>
      <c r="U375" s="11" t="s">
        <v>119</v>
      </c>
      <c r="V375" s="11">
        <v>2025</v>
      </c>
      <c r="W375" s="11" t="s">
        <v>45</v>
      </c>
      <c r="X375" s="11">
        <v>8</v>
      </c>
      <c r="Y375" s="10" t="s">
        <v>1091</v>
      </c>
      <c r="Z375" s="11" t="s">
        <v>47</v>
      </c>
      <c r="AA375" s="11" t="s">
        <v>90</v>
      </c>
      <c r="AB375" s="11" t="s">
        <v>111</v>
      </c>
      <c r="AC375" s="11" t="s">
        <v>50</v>
      </c>
      <c r="AD375" s="11">
        <v>4</v>
      </c>
      <c r="AE375" s="11" t="s">
        <v>2213</v>
      </c>
      <c r="AF375" s="11" t="s">
        <v>2212</v>
      </c>
      <c r="AG375" s="25"/>
      <c r="AH375" s="11"/>
      <c r="AI375" s="11"/>
      <c r="AJ375" s="11"/>
      <c r="AK375" s="11"/>
      <c r="AL375" s="11"/>
      <c r="AM375" s="11" t="str">
        <f t="shared" si="29"/>
        <v>Needs Improvement</v>
      </c>
      <c r="AN375" s="11" t="str" cm="1">
        <f t="array" ref="AN375">_xlfn.IFS(N375&lt;10000,"Low",N375&lt;30000,"Medium",N375&gt;=30000,"High")</f>
        <v>High</v>
      </c>
      <c r="AO375" s="11" t="str">
        <f t="shared" si="30"/>
        <v>No</v>
      </c>
      <c r="AP375" s="11" t="str">
        <f t="shared" si="31"/>
        <v>No</v>
      </c>
      <c r="AQ375" s="11">
        <f t="shared" si="32"/>
        <v>0.2178549019607843</v>
      </c>
      <c r="AR375" s="33"/>
      <c r="AS375" s="33"/>
      <c r="AT375" s="33"/>
      <c r="AU375" s="33"/>
      <c r="AV375" s="33"/>
      <c r="AW375" s="33"/>
      <c r="AX375" s="33" t="str">
        <f t="shared" si="33"/>
        <v>Average</v>
      </c>
    </row>
    <row r="376" spans="1:50">
      <c r="A376" s="9" t="s">
        <v>547</v>
      </c>
      <c r="B376" s="10">
        <v>45967</v>
      </c>
      <c r="C376" s="11" t="s">
        <v>378</v>
      </c>
      <c r="D376" s="11" t="s">
        <v>548</v>
      </c>
      <c r="E376" s="11" t="s">
        <v>55</v>
      </c>
      <c r="F376" s="11" t="s">
        <v>144</v>
      </c>
      <c r="G376" s="11" t="s">
        <v>145</v>
      </c>
      <c r="H376" s="11" t="s">
        <v>171</v>
      </c>
      <c r="I376" s="11" t="s">
        <v>95</v>
      </c>
      <c r="J376" s="11" t="s">
        <v>319</v>
      </c>
      <c r="K376" s="25">
        <v>10</v>
      </c>
      <c r="L376" s="25">
        <v>9000</v>
      </c>
      <c r="M376" s="29">
        <v>0.15</v>
      </c>
      <c r="N376" s="25">
        <v>76500</v>
      </c>
      <c r="O376" s="25">
        <v>50354.21</v>
      </c>
      <c r="P376" s="25">
        <v>26145.79</v>
      </c>
      <c r="Q376" s="21">
        <v>34.18</v>
      </c>
      <c r="R376" s="11" t="s">
        <v>73</v>
      </c>
      <c r="S376" s="11" t="s">
        <v>74</v>
      </c>
      <c r="T376" s="11" t="s">
        <v>159</v>
      </c>
      <c r="U376" s="11" t="s">
        <v>160</v>
      </c>
      <c r="V376" s="11">
        <v>2025</v>
      </c>
      <c r="W376" s="11" t="s">
        <v>134</v>
      </c>
      <c r="X376" s="11">
        <v>6</v>
      </c>
      <c r="Y376" s="10" t="s">
        <v>549</v>
      </c>
      <c r="Z376" s="11" t="s">
        <v>47</v>
      </c>
      <c r="AA376" s="11" t="s">
        <v>67</v>
      </c>
      <c r="AB376" s="11" t="s">
        <v>49</v>
      </c>
      <c r="AC376" s="11" t="s">
        <v>50</v>
      </c>
      <c r="AD376" s="11">
        <v>3</v>
      </c>
      <c r="AE376" s="11" t="s">
        <v>2248</v>
      </c>
      <c r="AF376" s="11" t="s">
        <v>2222</v>
      </c>
      <c r="AG376" s="25"/>
      <c r="AH376" s="11"/>
      <c r="AI376" s="11"/>
      <c r="AJ376" s="11"/>
      <c r="AK376" s="11"/>
      <c r="AL376" s="11"/>
      <c r="AM376" s="11" t="str">
        <f t="shared" si="29"/>
        <v>Good</v>
      </c>
      <c r="AN376" s="11" t="str" cm="1">
        <f t="array" ref="AN376">_xlfn.IFS(N376&lt;10000,"Low",N376&lt;30000,"Medium",N376&gt;=30000,"High")</f>
        <v>High</v>
      </c>
      <c r="AO376" s="11" t="str">
        <f t="shared" si="30"/>
        <v>Yes</v>
      </c>
      <c r="AP376" s="11" t="str">
        <f t="shared" si="31"/>
        <v>Yes</v>
      </c>
      <c r="AQ376" s="11">
        <f t="shared" si="32"/>
        <v>0.34177503267973858</v>
      </c>
      <c r="AR376" s="33"/>
      <c r="AS376" s="33"/>
      <c r="AT376" s="33"/>
      <c r="AU376" s="33"/>
      <c r="AV376" s="33"/>
      <c r="AW376" s="33"/>
      <c r="AX376" s="33" t="str">
        <f t="shared" si="33"/>
        <v>Excellent</v>
      </c>
    </row>
    <row r="377" spans="1:50">
      <c r="A377" s="9" t="s">
        <v>1725</v>
      </c>
      <c r="B377" s="10">
        <v>45967</v>
      </c>
      <c r="C377" s="11" t="s">
        <v>565</v>
      </c>
      <c r="D377" s="11" t="s">
        <v>1449</v>
      </c>
      <c r="E377" s="11" t="s">
        <v>35</v>
      </c>
      <c r="F377" s="11" t="s">
        <v>245</v>
      </c>
      <c r="G377" s="11" t="s">
        <v>246</v>
      </c>
      <c r="H377" s="11" t="s">
        <v>94</v>
      </c>
      <c r="I377" s="11" t="s">
        <v>39</v>
      </c>
      <c r="J377" s="11" t="s">
        <v>40</v>
      </c>
      <c r="K377" s="25">
        <v>10</v>
      </c>
      <c r="L377" s="25">
        <v>15000</v>
      </c>
      <c r="M377" s="29">
        <v>0.05</v>
      </c>
      <c r="N377" s="25">
        <v>142500</v>
      </c>
      <c r="O377" s="25">
        <v>95107.32</v>
      </c>
      <c r="P377" s="25">
        <v>47392.68</v>
      </c>
      <c r="Q377" s="21">
        <v>33.26</v>
      </c>
      <c r="R377" s="11" t="s">
        <v>166</v>
      </c>
      <c r="S377" s="11" t="s">
        <v>62</v>
      </c>
      <c r="T377" s="11" t="s">
        <v>43</v>
      </c>
      <c r="U377" s="11" t="s">
        <v>160</v>
      </c>
      <c r="V377" s="11">
        <v>2025</v>
      </c>
      <c r="W377" s="11" t="s">
        <v>134</v>
      </c>
      <c r="X377" s="11">
        <v>10</v>
      </c>
      <c r="Y377" s="10" t="s">
        <v>1726</v>
      </c>
      <c r="Z377" s="11" t="s">
        <v>110</v>
      </c>
      <c r="AA377" s="11" t="s">
        <v>48</v>
      </c>
      <c r="AB377" s="11" t="s">
        <v>111</v>
      </c>
      <c r="AC377" s="11" t="s">
        <v>50</v>
      </c>
      <c r="AD377" s="11">
        <v>3</v>
      </c>
      <c r="AE377" s="11" t="s">
        <v>2218</v>
      </c>
      <c r="AF377" s="11" t="s">
        <v>2231</v>
      </c>
      <c r="AG377" s="25"/>
      <c r="AH377" s="11"/>
      <c r="AI377" s="11"/>
      <c r="AJ377" s="11"/>
      <c r="AK377" s="11"/>
      <c r="AL377" s="11"/>
      <c r="AM377" s="11" t="str">
        <f t="shared" si="29"/>
        <v>Good</v>
      </c>
      <c r="AN377" s="11" t="str" cm="1">
        <f t="array" ref="AN377">_xlfn.IFS(N377&lt;10000,"Low",N377&lt;30000,"Medium",N377&gt;=30000,"High")</f>
        <v>High</v>
      </c>
      <c r="AO377" s="11" t="str">
        <f t="shared" si="30"/>
        <v>Yes</v>
      </c>
      <c r="AP377" s="11" t="str">
        <f t="shared" si="31"/>
        <v>No</v>
      </c>
      <c r="AQ377" s="11">
        <f t="shared" si="32"/>
        <v>0.33258021052631581</v>
      </c>
      <c r="AR377" s="33"/>
      <c r="AS377" s="33"/>
      <c r="AT377" s="33"/>
      <c r="AU377" s="33"/>
      <c r="AV377" s="33"/>
      <c r="AW377" s="33"/>
      <c r="AX377" s="33" t="str">
        <f t="shared" si="33"/>
        <v>Excellent</v>
      </c>
    </row>
    <row r="378" spans="1:50">
      <c r="A378" s="9" t="s">
        <v>1818</v>
      </c>
      <c r="B378" s="10">
        <v>45969</v>
      </c>
      <c r="C378" s="11" t="s">
        <v>749</v>
      </c>
      <c r="D378" s="11" t="s">
        <v>1243</v>
      </c>
      <c r="E378" s="11" t="s">
        <v>35</v>
      </c>
      <c r="F378" s="11" t="s">
        <v>149</v>
      </c>
      <c r="G378" s="11" t="s">
        <v>150</v>
      </c>
      <c r="H378" s="11" t="s">
        <v>38</v>
      </c>
      <c r="I378" s="11" t="s">
        <v>84</v>
      </c>
      <c r="J378" s="11" t="s">
        <v>217</v>
      </c>
      <c r="K378" s="25">
        <v>4</v>
      </c>
      <c r="L378" s="25">
        <v>500</v>
      </c>
      <c r="M378" s="29">
        <v>0.1</v>
      </c>
      <c r="N378" s="25">
        <v>1800</v>
      </c>
      <c r="O378" s="25">
        <v>1290.74</v>
      </c>
      <c r="P378" s="25">
        <v>509.26</v>
      </c>
      <c r="Q378" s="21">
        <v>28.29</v>
      </c>
      <c r="R378" s="11" t="s">
        <v>106</v>
      </c>
      <c r="S378" s="11" t="s">
        <v>42</v>
      </c>
      <c r="T378" s="11" t="s">
        <v>138</v>
      </c>
      <c r="U378" s="11" t="s">
        <v>218</v>
      </c>
      <c r="V378" s="11">
        <v>2025</v>
      </c>
      <c r="W378" s="11" t="s">
        <v>126</v>
      </c>
      <c r="X378" s="11">
        <v>1</v>
      </c>
      <c r="Y378" s="10">
        <v>45999</v>
      </c>
      <c r="Z378" s="11" t="s">
        <v>110</v>
      </c>
      <c r="AA378" s="11" t="s">
        <v>48</v>
      </c>
      <c r="AB378" s="11" t="s">
        <v>111</v>
      </c>
      <c r="AC378" s="11" t="s">
        <v>121</v>
      </c>
      <c r="AD378" s="11">
        <v>3</v>
      </c>
      <c r="AE378" s="11" t="s">
        <v>2229</v>
      </c>
      <c r="AF378" s="11" t="s">
        <v>2223</v>
      </c>
      <c r="AG378" s="25"/>
      <c r="AH378" s="11"/>
      <c r="AI378" s="11"/>
      <c r="AJ378" s="11"/>
      <c r="AK378" s="11"/>
      <c r="AL378" s="11"/>
      <c r="AM378" s="11" t="str">
        <f t="shared" si="29"/>
        <v>Needs Improvement</v>
      </c>
      <c r="AN378" s="11" t="str" cm="1">
        <f t="array" ref="AN378">_xlfn.IFS(N378&lt;10000,"Low",N378&lt;30000,"Medium",N378&gt;=30000,"High")</f>
        <v>Low</v>
      </c>
      <c r="AO378" s="11" t="str">
        <f t="shared" si="30"/>
        <v>No</v>
      </c>
      <c r="AP378" s="11" t="str">
        <f t="shared" si="31"/>
        <v>Yes</v>
      </c>
      <c r="AQ378" s="11">
        <f t="shared" si="32"/>
        <v>0.28292222222222224</v>
      </c>
      <c r="AR378" s="33"/>
      <c r="AS378" s="33"/>
      <c r="AT378" s="33"/>
      <c r="AU378" s="33"/>
      <c r="AV378" s="33"/>
      <c r="AW378" s="33"/>
      <c r="AX378" s="33" t="str">
        <f t="shared" si="33"/>
        <v>Low</v>
      </c>
    </row>
    <row r="379" spans="1:50">
      <c r="A379" s="9" t="s">
        <v>1416</v>
      </c>
      <c r="B379" s="10">
        <v>45970</v>
      </c>
      <c r="C379" s="11" t="s">
        <v>1174</v>
      </c>
      <c r="D379" s="11" t="s">
        <v>263</v>
      </c>
      <c r="E379" s="11" t="s">
        <v>55</v>
      </c>
      <c r="F379" s="11" t="s">
        <v>149</v>
      </c>
      <c r="G379" s="11" t="s">
        <v>150</v>
      </c>
      <c r="H379" s="11" t="s">
        <v>58</v>
      </c>
      <c r="I379" s="11" t="s">
        <v>39</v>
      </c>
      <c r="J379" s="11" t="s">
        <v>105</v>
      </c>
      <c r="K379" s="25">
        <v>8</v>
      </c>
      <c r="L379" s="25">
        <v>8000</v>
      </c>
      <c r="M379" s="29">
        <v>0.15</v>
      </c>
      <c r="N379" s="25">
        <v>54400</v>
      </c>
      <c r="O379" s="25">
        <v>34750.76</v>
      </c>
      <c r="P379" s="25">
        <v>19649.240000000002</v>
      </c>
      <c r="Q379" s="21">
        <v>36.119999999999997</v>
      </c>
      <c r="R379" s="11" t="s">
        <v>106</v>
      </c>
      <c r="S379" s="11" t="s">
        <v>62</v>
      </c>
      <c r="T379" s="11" t="s">
        <v>138</v>
      </c>
      <c r="U379" s="11" t="s">
        <v>108</v>
      </c>
      <c r="V379" s="11">
        <v>2025</v>
      </c>
      <c r="W379" s="11" t="s">
        <v>139</v>
      </c>
      <c r="X379" s="11">
        <v>4</v>
      </c>
      <c r="Y379" s="10" t="s">
        <v>793</v>
      </c>
      <c r="Z379" s="11" t="s">
        <v>89</v>
      </c>
      <c r="AA379" s="11" t="s">
        <v>67</v>
      </c>
      <c r="AB379" s="11" t="s">
        <v>111</v>
      </c>
      <c r="AC379" s="11" t="s">
        <v>50</v>
      </c>
      <c r="AD379" s="11">
        <v>4</v>
      </c>
      <c r="AE379" s="11" t="s">
        <v>2220</v>
      </c>
      <c r="AF379" s="11" t="s">
        <v>2219</v>
      </c>
      <c r="AG379" s="25"/>
      <c r="AH379" s="11"/>
      <c r="AI379" s="11"/>
      <c r="AJ379" s="11"/>
      <c r="AK379" s="11"/>
      <c r="AL379" s="11"/>
      <c r="AM379" s="11" t="str">
        <f t="shared" si="29"/>
        <v>Good</v>
      </c>
      <c r="AN379" s="11" t="str" cm="1">
        <f t="array" ref="AN379">_xlfn.IFS(N379&lt;10000,"Low",N379&lt;30000,"Medium",N379&gt;=30000,"High")</f>
        <v>High</v>
      </c>
      <c r="AO379" s="11" t="str">
        <f t="shared" si="30"/>
        <v>Yes</v>
      </c>
      <c r="AP379" s="11" t="str">
        <f t="shared" si="31"/>
        <v>No</v>
      </c>
      <c r="AQ379" s="11">
        <f t="shared" si="32"/>
        <v>0.36119926470588237</v>
      </c>
      <c r="AR379" s="33"/>
      <c r="AS379" s="33"/>
      <c r="AT379" s="33"/>
      <c r="AU379" s="33"/>
      <c r="AV379" s="33"/>
      <c r="AW379" s="33"/>
      <c r="AX379" s="33" t="str">
        <f t="shared" si="33"/>
        <v>Good</v>
      </c>
    </row>
    <row r="380" spans="1:50">
      <c r="A380" s="9" t="s">
        <v>203</v>
      </c>
      <c r="B380" s="10">
        <v>45972</v>
      </c>
      <c r="C380" s="11" t="s">
        <v>204</v>
      </c>
      <c r="D380" s="11" t="s">
        <v>205</v>
      </c>
      <c r="E380" s="11" t="s">
        <v>55</v>
      </c>
      <c r="F380" s="11" t="s">
        <v>131</v>
      </c>
      <c r="G380" s="11" t="s">
        <v>132</v>
      </c>
      <c r="H380" s="11" t="s">
        <v>94</v>
      </c>
      <c r="I380" s="11" t="s">
        <v>59</v>
      </c>
      <c r="J380" s="11" t="s">
        <v>206</v>
      </c>
      <c r="K380" s="25">
        <v>6</v>
      </c>
      <c r="L380" s="25">
        <v>2000</v>
      </c>
      <c r="M380" s="29">
        <v>0</v>
      </c>
      <c r="N380" s="25">
        <v>12000</v>
      </c>
      <c r="O380" s="25">
        <v>7617.09</v>
      </c>
      <c r="P380" s="25">
        <v>4382.91</v>
      </c>
      <c r="Q380" s="21">
        <v>36.520000000000003</v>
      </c>
      <c r="R380" s="11" t="s">
        <v>61</v>
      </c>
      <c r="S380" s="11" t="s">
        <v>62</v>
      </c>
      <c r="T380" s="11" t="s">
        <v>159</v>
      </c>
      <c r="U380" s="11" t="s">
        <v>198</v>
      </c>
      <c r="V380" s="11">
        <v>2025</v>
      </c>
      <c r="W380" s="11" t="s">
        <v>109</v>
      </c>
      <c r="X380" s="11">
        <v>6</v>
      </c>
      <c r="Y380" s="10" t="s">
        <v>207</v>
      </c>
      <c r="Z380" s="11" t="s">
        <v>89</v>
      </c>
      <c r="AA380" s="11" t="s">
        <v>48</v>
      </c>
      <c r="AB380" s="11" t="s">
        <v>49</v>
      </c>
      <c r="AC380" s="11" t="s">
        <v>121</v>
      </c>
      <c r="AD380" s="11">
        <v>4</v>
      </c>
      <c r="AE380" s="11" t="s">
        <v>2218</v>
      </c>
      <c r="AF380" s="11" t="s">
        <v>2210</v>
      </c>
      <c r="AG380" s="25"/>
      <c r="AH380" s="11"/>
      <c r="AI380" s="11"/>
      <c r="AJ380" s="11"/>
      <c r="AK380" s="11"/>
      <c r="AL380" s="11"/>
      <c r="AM380" s="11" t="str">
        <f t="shared" si="29"/>
        <v>Good</v>
      </c>
      <c r="AN380" s="11" t="str" cm="1">
        <f t="array" ref="AN380">_xlfn.IFS(N380&lt;10000,"Low",N380&lt;30000,"Medium",N380&gt;=30000,"High")</f>
        <v>Medium</v>
      </c>
      <c r="AO380" s="11" t="str">
        <f t="shared" si="30"/>
        <v>No</v>
      </c>
      <c r="AP380" s="11" t="str">
        <f t="shared" si="31"/>
        <v>No</v>
      </c>
      <c r="AQ380" s="11">
        <f t="shared" si="32"/>
        <v>0.36524249999999997</v>
      </c>
      <c r="AR380" s="33"/>
      <c r="AS380" s="33"/>
      <c r="AT380" s="33"/>
      <c r="AU380" s="33"/>
      <c r="AV380" s="33"/>
      <c r="AW380" s="33"/>
      <c r="AX380" s="33" t="str">
        <f t="shared" si="33"/>
        <v>Low</v>
      </c>
    </row>
    <row r="381" spans="1:50">
      <c r="A381" s="9" t="s">
        <v>2129</v>
      </c>
      <c r="B381" s="10">
        <v>45972</v>
      </c>
      <c r="C381" s="11" t="s">
        <v>1085</v>
      </c>
      <c r="D381" s="11" t="s">
        <v>535</v>
      </c>
      <c r="E381" s="11" t="s">
        <v>103</v>
      </c>
      <c r="F381" s="11" t="s">
        <v>36</v>
      </c>
      <c r="G381" s="11" t="s">
        <v>37</v>
      </c>
      <c r="H381" s="11" t="s">
        <v>94</v>
      </c>
      <c r="I381" s="11" t="s">
        <v>71</v>
      </c>
      <c r="J381" s="11" t="s">
        <v>158</v>
      </c>
      <c r="K381" s="25">
        <v>7</v>
      </c>
      <c r="L381" s="25">
        <v>1200</v>
      </c>
      <c r="M381" s="29">
        <v>0.05</v>
      </c>
      <c r="N381" s="25">
        <v>7980</v>
      </c>
      <c r="O381" s="25">
        <v>5443.21</v>
      </c>
      <c r="P381" s="25">
        <v>2536.79</v>
      </c>
      <c r="Q381" s="21">
        <v>31.79</v>
      </c>
      <c r="R381" s="11" t="s">
        <v>73</v>
      </c>
      <c r="S381" s="11" t="s">
        <v>74</v>
      </c>
      <c r="T381" s="11" t="s">
        <v>138</v>
      </c>
      <c r="U381" s="11" t="s">
        <v>198</v>
      </c>
      <c r="V381" s="11">
        <v>2025</v>
      </c>
      <c r="W381" s="11" t="s">
        <v>109</v>
      </c>
      <c r="X381" s="11">
        <v>5</v>
      </c>
      <c r="Y381" s="10" t="s">
        <v>1979</v>
      </c>
      <c r="Z381" s="11" t="s">
        <v>47</v>
      </c>
      <c r="AA381" s="11" t="s">
        <v>67</v>
      </c>
      <c r="AB381" s="11" t="s">
        <v>111</v>
      </c>
      <c r="AC381" s="11" t="s">
        <v>121</v>
      </c>
      <c r="AD381" s="11">
        <v>5</v>
      </c>
      <c r="AE381" s="11" t="s">
        <v>86</v>
      </c>
      <c r="AF381" s="11" t="s">
        <v>2217</v>
      </c>
      <c r="AG381" s="25"/>
      <c r="AH381" s="11"/>
      <c r="AI381" s="11"/>
      <c r="AJ381" s="11"/>
      <c r="AK381" s="11"/>
      <c r="AL381" s="11"/>
      <c r="AM381" s="11" t="str">
        <f t="shared" si="29"/>
        <v>Good</v>
      </c>
      <c r="AN381" s="11" t="str" cm="1">
        <f t="array" ref="AN381">_xlfn.IFS(N381&lt;10000,"Low",N381&lt;30000,"Medium",N381&gt;=30000,"High")</f>
        <v>Low</v>
      </c>
      <c r="AO381" s="11" t="str">
        <f t="shared" si="30"/>
        <v>No</v>
      </c>
      <c r="AP381" s="11" t="str">
        <f t="shared" si="31"/>
        <v>Yes</v>
      </c>
      <c r="AQ381" s="11">
        <f t="shared" si="32"/>
        <v>0.31789348370927317</v>
      </c>
      <c r="AR381" s="33"/>
      <c r="AS381" s="33"/>
      <c r="AT381" s="33"/>
      <c r="AU381" s="33"/>
      <c r="AV381" s="33"/>
      <c r="AW381" s="33"/>
      <c r="AX381" s="33" t="str">
        <f t="shared" si="33"/>
        <v>Low</v>
      </c>
    </row>
    <row r="382" spans="1:50">
      <c r="A382" s="9" t="s">
        <v>887</v>
      </c>
      <c r="B382" s="10">
        <v>45973</v>
      </c>
      <c r="C382" s="11" t="s">
        <v>842</v>
      </c>
      <c r="D382" s="11" t="s">
        <v>379</v>
      </c>
      <c r="E382" s="11" t="s">
        <v>35</v>
      </c>
      <c r="F382" s="11" t="s">
        <v>82</v>
      </c>
      <c r="G382" s="11" t="s">
        <v>83</v>
      </c>
      <c r="H382" s="11" t="s">
        <v>58</v>
      </c>
      <c r="I382" s="11" t="s">
        <v>71</v>
      </c>
      <c r="J382" s="11" t="s">
        <v>158</v>
      </c>
      <c r="K382" s="25">
        <v>6</v>
      </c>
      <c r="L382" s="25">
        <v>3500</v>
      </c>
      <c r="M382" s="29">
        <v>0.1</v>
      </c>
      <c r="N382" s="25">
        <v>18900</v>
      </c>
      <c r="O382" s="25">
        <v>13281.01</v>
      </c>
      <c r="P382" s="25">
        <v>5618.99</v>
      </c>
      <c r="Q382" s="21">
        <v>29.73</v>
      </c>
      <c r="R382" s="11" t="s">
        <v>61</v>
      </c>
      <c r="S382" s="11" t="s">
        <v>74</v>
      </c>
      <c r="T382" s="11" t="s">
        <v>86</v>
      </c>
      <c r="U382" s="11" t="s">
        <v>64</v>
      </c>
      <c r="V382" s="11">
        <v>2025</v>
      </c>
      <c r="W382" s="11" t="s">
        <v>139</v>
      </c>
      <c r="X382" s="11">
        <v>10</v>
      </c>
      <c r="Y382" s="10" t="s">
        <v>401</v>
      </c>
      <c r="Z382" s="11" t="s">
        <v>47</v>
      </c>
      <c r="AA382" s="11" t="s">
        <v>48</v>
      </c>
      <c r="AB382" s="11" t="s">
        <v>111</v>
      </c>
      <c r="AC382" s="11" t="s">
        <v>50</v>
      </c>
      <c r="AD382" s="11">
        <v>3</v>
      </c>
      <c r="AE382" s="11" t="s">
        <v>2216</v>
      </c>
      <c r="AF382" s="11" t="s">
        <v>2223</v>
      </c>
      <c r="AG382" s="25"/>
      <c r="AH382" s="11"/>
      <c r="AI382" s="11"/>
      <c r="AJ382" s="11"/>
      <c r="AK382" s="11"/>
      <c r="AL382" s="11"/>
      <c r="AM382" s="11" t="str">
        <f t="shared" si="29"/>
        <v>Needs Improvement</v>
      </c>
      <c r="AN382" s="11" t="str" cm="1">
        <f t="array" ref="AN382">_xlfn.IFS(N382&lt;10000,"Low",N382&lt;30000,"Medium",N382&gt;=30000,"High")</f>
        <v>Medium</v>
      </c>
      <c r="AO382" s="11" t="str">
        <f t="shared" si="30"/>
        <v>No</v>
      </c>
      <c r="AP382" s="11" t="str">
        <f t="shared" si="31"/>
        <v>Yes</v>
      </c>
      <c r="AQ382" s="11">
        <f t="shared" si="32"/>
        <v>0.29730105820105818</v>
      </c>
      <c r="AR382" s="33"/>
      <c r="AS382" s="33"/>
      <c r="AT382" s="33"/>
      <c r="AU382" s="33"/>
      <c r="AV382" s="33"/>
      <c r="AW382" s="33"/>
      <c r="AX382" s="33" t="str">
        <f t="shared" si="33"/>
        <v>Average</v>
      </c>
    </row>
    <row r="383" spans="1:50">
      <c r="A383" s="9" t="s">
        <v>1074</v>
      </c>
      <c r="B383" s="10">
        <v>45992</v>
      </c>
      <c r="C383" s="11" t="s">
        <v>553</v>
      </c>
      <c r="D383" s="11" t="s">
        <v>695</v>
      </c>
      <c r="E383" s="11" t="s">
        <v>55</v>
      </c>
      <c r="F383" s="11" t="s">
        <v>144</v>
      </c>
      <c r="G383" s="11" t="s">
        <v>145</v>
      </c>
      <c r="H383" s="11" t="s">
        <v>38</v>
      </c>
      <c r="I383" s="11" t="s">
        <v>84</v>
      </c>
      <c r="J383" s="11" t="s">
        <v>390</v>
      </c>
      <c r="K383" s="25">
        <v>2</v>
      </c>
      <c r="L383" s="25">
        <v>350</v>
      </c>
      <c r="M383" s="29">
        <v>0.1</v>
      </c>
      <c r="N383" s="25">
        <v>630</v>
      </c>
      <c r="O383" s="25">
        <v>475.51</v>
      </c>
      <c r="P383" s="25">
        <v>154.49</v>
      </c>
      <c r="Q383" s="21">
        <v>24.52</v>
      </c>
      <c r="R383" s="11" t="s">
        <v>106</v>
      </c>
      <c r="S383" s="11" t="s">
        <v>42</v>
      </c>
      <c r="T383" s="11" t="s">
        <v>159</v>
      </c>
      <c r="U383" s="11" t="s">
        <v>76</v>
      </c>
      <c r="V383" s="11">
        <v>2025</v>
      </c>
      <c r="W383" s="11" t="s">
        <v>45</v>
      </c>
      <c r="X383" s="11">
        <v>7</v>
      </c>
      <c r="Y383" s="10" t="s">
        <v>1075</v>
      </c>
      <c r="Z383" s="11" t="s">
        <v>47</v>
      </c>
      <c r="AA383" s="11" t="s">
        <v>67</v>
      </c>
      <c r="AB383" s="11" t="s">
        <v>111</v>
      </c>
      <c r="AC383" s="11" t="s">
        <v>50</v>
      </c>
      <c r="AD383" s="11">
        <v>5</v>
      </c>
      <c r="AE383" s="11" t="s">
        <v>2237</v>
      </c>
      <c r="AF383" s="11" t="s">
        <v>2228</v>
      </c>
      <c r="AG383" s="25"/>
      <c r="AH383" s="11"/>
      <c r="AI383" s="11"/>
      <c r="AJ383" s="11"/>
      <c r="AK383" s="11"/>
      <c r="AL383" s="11"/>
      <c r="AM383" s="11" t="str">
        <f t="shared" si="29"/>
        <v>Needs Improvement</v>
      </c>
      <c r="AN383" s="11" t="str" cm="1">
        <f t="array" ref="AN383">_xlfn.IFS(N383&lt;10000,"Low",N383&lt;30000,"Medium",N383&gt;=30000,"High")</f>
        <v>Low</v>
      </c>
      <c r="AO383" s="11" t="str">
        <f t="shared" si="30"/>
        <v>No</v>
      </c>
      <c r="AP383" s="11" t="str">
        <f t="shared" si="31"/>
        <v>Yes</v>
      </c>
      <c r="AQ383" s="11">
        <f t="shared" si="32"/>
        <v>0.24522222222222223</v>
      </c>
      <c r="AR383" s="33"/>
      <c r="AS383" s="33"/>
      <c r="AT383" s="33"/>
      <c r="AU383" s="33"/>
      <c r="AV383" s="33"/>
      <c r="AW383" s="33"/>
      <c r="AX383" s="33" t="str">
        <f t="shared" si="33"/>
        <v>Low</v>
      </c>
    </row>
    <row r="384" spans="1:50">
      <c r="A384" s="9" t="s">
        <v>2032</v>
      </c>
      <c r="B384" s="10">
        <v>45994</v>
      </c>
      <c r="C384" s="11" t="s">
        <v>2033</v>
      </c>
      <c r="D384" s="11" t="s">
        <v>323</v>
      </c>
      <c r="E384" s="11" t="s">
        <v>55</v>
      </c>
      <c r="F384" s="11" t="s">
        <v>156</v>
      </c>
      <c r="G384" s="11" t="s">
        <v>157</v>
      </c>
      <c r="H384" s="11" t="s">
        <v>58</v>
      </c>
      <c r="I384" s="11" t="s">
        <v>39</v>
      </c>
      <c r="J384" s="11" t="s">
        <v>105</v>
      </c>
      <c r="K384" s="25">
        <v>1</v>
      </c>
      <c r="L384" s="25">
        <v>35000</v>
      </c>
      <c r="M384" s="29">
        <v>0.15</v>
      </c>
      <c r="N384" s="25">
        <v>29750</v>
      </c>
      <c r="O384" s="25">
        <v>22519.34</v>
      </c>
      <c r="P384" s="25">
        <v>7230.66</v>
      </c>
      <c r="Q384" s="21">
        <v>24.3</v>
      </c>
      <c r="R384" s="11" t="s">
        <v>61</v>
      </c>
      <c r="S384" s="11" t="s">
        <v>74</v>
      </c>
      <c r="T384" s="11" t="s">
        <v>159</v>
      </c>
      <c r="U384" s="11" t="s">
        <v>178</v>
      </c>
      <c r="V384" s="11">
        <v>2025</v>
      </c>
      <c r="W384" s="11" t="s">
        <v>134</v>
      </c>
      <c r="X384" s="11">
        <v>2</v>
      </c>
      <c r="Y384" s="10" t="s">
        <v>1443</v>
      </c>
      <c r="Z384" s="11" t="s">
        <v>47</v>
      </c>
      <c r="AA384" s="11" t="s">
        <v>67</v>
      </c>
      <c r="AB384" s="11" t="s">
        <v>111</v>
      </c>
      <c r="AC384" s="11" t="s">
        <v>121</v>
      </c>
      <c r="AD384" s="11">
        <v>2</v>
      </c>
      <c r="AE384" s="11" t="s">
        <v>2216</v>
      </c>
      <c r="AF384" s="11" t="s">
        <v>2249</v>
      </c>
      <c r="AG384" s="25"/>
      <c r="AH384" s="11"/>
      <c r="AI384" s="11"/>
      <c r="AJ384" s="11"/>
      <c r="AK384" s="11"/>
      <c r="AL384" s="11"/>
      <c r="AM384" s="11" t="str">
        <f t="shared" si="29"/>
        <v>Needs Improvement</v>
      </c>
      <c r="AN384" s="11" t="str" cm="1">
        <f t="array" ref="AN384">_xlfn.IFS(N384&lt;10000,"Low",N384&lt;30000,"Medium",N384&gt;=30000,"High")</f>
        <v>Medium</v>
      </c>
      <c r="AO384" s="11" t="str">
        <f t="shared" si="30"/>
        <v>No</v>
      </c>
      <c r="AP384" s="11" t="str">
        <f t="shared" si="31"/>
        <v>Yes</v>
      </c>
      <c r="AQ384" s="11">
        <f t="shared" si="32"/>
        <v>0.24304739495798319</v>
      </c>
      <c r="AR384" s="33"/>
      <c r="AS384" s="33"/>
      <c r="AT384" s="33"/>
      <c r="AU384" s="33"/>
      <c r="AV384" s="33"/>
      <c r="AW384" s="33"/>
      <c r="AX384" s="33" t="str">
        <f t="shared" si="33"/>
        <v>Average</v>
      </c>
    </row>
    <row r="385" spans="1:50">
      <c r="A385" s="9" t="s">
        <v>1715</v>
      </c>
      <c r="B385" s="10">
        <v>45995</v>
      </c>
      <c r="C385" s="11" t="s">
        <v>1716</v>
      </c>
      <c r="D385" s="11" t="s">
        <v>313</v>
      </c>
      <c r="E385" s="11" t="s">
        <v>35</v>
      </c>
      <c r="F385" s="11" t="s">
        <v>56</v>
      </c>
      <c r="G385" s="11" t="s">
        <v>57</v>
      </c>
      <c r="H385" s="11" t="s">
        <v>171</v>
      </c>
      <c r="I385" s="11" t="s">
        <v>59</v>
      </c>
      <c r="J385" s="11" t="s">
        <v>206</v>
      </c>
      <c r="K385" s="25">
        <v>1</v>
      </c>
      <c r="L385" s="25">
        <v>2000</v>
      </c>
      <c r="M385" s="29">
        <v>0.2</v>
      </c>
      <c r="N385" s="25">
        <v>1600</v>
      </c>
      <c r="O385" s="25">
        <v>1180.02</v>
      </c>
      <c r="P385" s="25">
        <v>419.98</v>
      </c>
      <c r="Q385" s="21">
        <v>26.25</v>
      </c>
      <c r="R385" s="11" t="s">
        <v>61</v>
      </c>
      <c r="S385" s="11" t="s">
        <v>42</v>
      </c>
      <c r="T385" s="11" t="s">
        <v>97</v>
      </c>
      <c r="U385" s="11" t="s">
        <v>44</v>
      </c>
      <c r="V385" s="11">
        <v>2025</v>
      </c>
      <c r="W385" s="11" t="s">
        <v>65</v>
      </c>
      <c r="X385" s="11">
        <v>10</v>
      </c>
      <c r="Y385" s="10" t="s">
        <v>1648</v>
      </c>
      <c r="Z385" s="11" t="s">
        <v>89</v>
      </c>
      <c r="AA385" s="11" t="s">
        <v>67</v>
      </c>
      <c r="AB385" s="11" t="s">
        <v>111</v>
      </c>
      <c r="AC385" s="11" t="s">
        <v>50</v>
      </c>
      <c r="AD385" s="11">
        <v>3</v>
      </c>
      <c r="AE385" s="11" t="s">
        <v>2220</v>
      </c>
      <c r="AF385" s="11" t="s">
        <v>2217</v>
      </c>
      <c r="AG385" s="25"/>
      <c r="AH385" s="11"/>
      <c r="AI385" s="11"/>
      <c r="AJ385" s="11"/>
      <c r="AK385" s="11"/>
      <c r="AL385" s="11"/>
      <c r="AM385" s="11" t="str">
        <f t="shared" si="29"/>
        <v>Needs Improvement</v>
      </c>
      <c r="AN385" s="11" t="str" cm="1">
        <f t="array" ref="AN385">_xlfn.IFS(N385&lt;10000,"Low",N385&lt;30000,"Medium",N385&gt;=30000,"High")</f>
        <v>Low</v>
      </c>
      <c r="AO385" s="11" t="str">
        <f t="shared" si="30"/>
        <v>No</v>
      </c>
      <c r="AP385" s="11" t="str">
        <f t="shared" si="31"/>
        <v>Yes</v>
      </c>
      <c r="AQ385" s="11">
        <f t="shared" si="32"/>
        <v>0.26248749999999998</v>
      </c>
      <c r="AR385" s="33"/>
      <c r="AS385" s="33"/>
      <c r="AT385" s="33"/>
      <c r="AU385" s="33"/>
      <c r="AV385" s="33"/>
      <c r="AW385" s="33"/>
      <c r="AX385" s="33" t="str">
        <f t="shared" si="33"/>
        <v>Low</v>
      </c>
    </row>
    <row r="386" spans="1:50">
      <c r="A386" s="9" t="s">
        <v>1957</v>
      </c>
      <c r="B386" s="10">
        <v>45995</v>
      </c>
      <c r="C386" s="11" t="s">
        <v>724</v>
      </c>
      <c r="D386" s="11" t="s">
        <v>821</v>
      </c>
      <c r="E386" s="11" t="s">
        <v>35</v>
      </c>
      <c r="F386" s="11" t="s">
        <v>104</v>
      </c>
      <c r="G386" s="11" t="s">
        <v>104</v>
      </c>
      <c r="H386" s="11" t="s">
        <v>94</v>
      </c>
      <c r="I386" s="11" t="s">
        <v>71</v>
      </c>
      <c r="J386" s="11" t="s">
        <v>172</v>
      </c>
      <c r="K386" s="25">
        <v>9</v>
      </c>
      <c r="L386" s="25">
        <v>1800</v>
      </c>
      <c r="M386" s="29">
        <v>0.2</v>
      </c>
      <c r="N386" s="25">
        <v>12960</v>
      </c>
      <c r="O386" s="25">
        <v>8291.85</v>
      </c>
      <c r="P386" s="25">
        <v>4668.1499999999996</v>
      </c>
      <c r="Q386" s="21">
        <v>36.020000000000003</v>
      </c>
      <c r="R386" s="11" t="s">
        <v>166</v>
      </c>
      <c r="S386" s="11" t="s">
        <v>62</v>
      </c>
      <c r="T386" s="11" t="s">
        <v>63</v>
      </c>
      <c r="U386" s="11" t="s">
        <v>44</v>
      </c>
      <c r="V386" s="11">
        <v>2025</v>
      </c>
      <c r="W386" s="11" t="s">
        <v>65</v>
      </c>
      <c r="X386" s="11">
        <v>1</v>
      </c>
      <c r="Y386" s="10" t="s">
        <v>1059</v>
      </c>
      <c r="Z386" s="11" t="s">
        <v>47</v>
      </c>
      <c r="AA386" s="11" t="s">
        <v>48</v>
      </c>
      <c r="AB386" s="11" t="s">
        <v>49</v>
      </c>
      <c r="AC386" s="11" t="s">
        <v>50</v>
      </c>
      <c r="AD386" s="11">
        <v>5</v>
      </c>
      <c r="AE386" s="11" t="s">
        <v>2229</v>
      </c>
      <c r="AF386" s="11" t="s">
        <v>2235</v>
      </c>
      <c r="AG386" s="25"/>
      <c r="AH386" s="11"/>
      <c r="AI386" s="11"/>
      <c r="AJ386" s="11"/>
      <c r="AK386" s="11"/>
      <c r="AL386" s="11"/>
      <c r="AM386" s="11" t="str">
        <f t="shared" ref="AM386:AM449" si="34">IF(Q386&gt;=30,"Good","Needs Improvement")</f>
        <v>Good</v>
      </c>
      <c r="AN386" s="11" t="str" cm="1">
        <f t="array" ref="AN386">_xlfn.IFS(N386&lt;10000,"Low",N386&lt;30000,"Medium",N386&gt;=30000,"High")</f>
        <v>Medium</v>
      </c>
      <c r="AO386" s="11" t="str">
        <f t="shared" ref="AO386:AO449" si="35">IF(AND(N386&gt;=30000,P386&gt;=10000),"Yes","No")</f>
        <v>No</v>
      </c>
      <c r="AP386" s="11" t="str">
        <f t="shared" ref="AP386:AP449" si="36">IF(OR(S386="Online",S386="Marketplace"),"Yes","No")</f>
        <v>No</v>
      </c>
      <c r="AQ386" s="11">
        <f t="shared" ref="AQ386:AQ449" si="37">IFERROR(P386/N386,"No Error")</f>
        <v>0.36019675925925926</v>
      </c>
      <c r="AR386" s="33"/>
      <c r="AS386" s="33"/>
      <c r="AT386" s="33"/>
      <c r="AU386" s="33"/>
      <c r="AV386" s="33"/>
      <c r="AW386" s="33"/>
      <c r="AX386" s="33" t="str">
        <f t="shared" ref="AX386:AX449" si="38">IF(P386&gt;=20000,"Excellent",IF(P386&gt;=10000,"Good",IF(P386&gt;=5000,"Average","Low")))</f>
        <v>Low</v>
      </c>
    </row>
    <row r="387" spans="1:50">
      <c r="A387" s="9" t="s">
        <v>2125</v>
      </c>
      <c r="B387" s="10">
        <v>45997</v>
      </c>
      <c r="C387" s="11" t="s">
        <v>801</v>
      </c>
      <c r="D387" s="11" t="s">
        <v>720</v>
      </c>
      <c r="E387" s="11" t="s">
        <v>35</v>
      </c>
      <c r="F387" s="11" t="s">
        <v>104</v>
      </c>
      <c r="G387" s="11" t="s">
        <v>104</v>
      </c>
      <c r="H387" s="11" t="s">
        <v>38</v>
      </c>
      <c r="I387" s="11" t="s">
        <v>59</v>
      </c>
      <c r="J387" s="11" t="s">
        <v>328</v>
      </c>
      <c r="K387" s="25">
        <v>2</v>
      </c>
      <c r="L387" s="25">
        <v>2000</v>
      </c>
      <c r="M387" s="29">
        <v>0.2</v>
      </c>
      <c r="N387" s="25">
        <v>3200</v>
      </c>
      <c r="O387" s="25">
        <v>2374.2800000000002</v>
      </c>
      <c r="P387" s="25">
        <v>825.72</v>
      </c>
      <c r="Q387" s="21">
        <v>25.8</v>
      </c>
      <c r="R387" s="11" t="s">
        <v>41</v>
      </c>
      <c r="S387" s="11" t="s">
        <v>42</v>
      </c>
      <c r="T387" s="11" t="s">
        <v>97</v>
      </c>
      <c r="U387" s="11" t="s">
        <v>160</v>
      </c>
      <c r="V387" s="11">
        <v>2025</v>
      </c>
      <c r="W387" s="11" t="s">
        <v>139</v>
      </c>
      <c r="X387" s="11">
        <v>7</v>
      </c>
      <c r="Y387" s="10" t="s">
        <v>1214</v>
      </c>
      <c r="Z387" s="11" t="s">
        <v>110</v>
      </c>
      <c r="AA387" s="11" t="s">
        <v>67</v>
      </c>
      <c r="AB387" s="11" t="s">
        <v>49</v>
      </c>
      <c r="AC387" s="11" t="s">
        <v>50</v>
      </c>
      <c r="AD387" s="11">
        <v>4</v>
      </c>
      <c r="AE387" s="11" t="s">
        <v>2233</v>
      </c>
      <c r="AF387" s="11" t="s">
        <v>2212</v>
      </c>
      <c r="AG387" s="25"/>
      <c r="AH387" s="11"/>
      <c r="AI387" s="11"/>
      <c r="AJ387" s="11"/>
      <c r="AK387" s="11"/>
      <c r="AL387" s="11"/>
      <c r="AM387" s="11" t="str">
        <f t="shared" si="34"/>
        <v>Needs Improvement</v>
      </c>
      <c r="AN387" s="11" t="str" cm="1">
        <f t="array" ref="AN387">_xlfn.IFS(N387&lt;10000,"Low",N387&lt;30000,"Medium",N387&gt;=30000,"High")</f>
        <v>Low</v>
      </c>
      <c r="AO387" s="11" t="str">
        <f t="shared" si="35"/>
        <v>No</v>
      </c>
      <c r="AP387" s="11" t="str">
        <f t="shared" si="36"/>
        <v>Yes</v>
      </c>
      <c r="AQ387" s="11">
        <f t="shared" si="37"/>
        <v>0.25803750000000003</v>
      </c>
      <c r="AR387" s="33"/>
      <c r="AS387" s="33"/>
      <c r="AT387" s="33"/>
      <c r="AU387" s="33"/>
      <c r="AV387" s="33"/>
      <c r="AW387" s="33"/>
      <c r="AX387" s="33" t="str">
        <f t="shared" si="38"/>
        <v>Low</v>
      </c>
    </row>
    <row r="388" spans="1:50">
      <c r="A388" s="9" t="s">
        <v>572</v>
      </c>
      <c r="B388" s="10">
        <v>45999</v>
      </c>
      <c r="C388" s="11" t="s">
        <v>573</v>
      </c>
      <c r="D388" s="11" t="s">
        <v>574</v>
      </c>
      <c r="E388" s="11" t="s">
        <v>55</v>
      </c>
      <c r="F388" s="11" t="s">
        <v>149</v>
      </c>
      <c r="G388" s="11" t="s">
        <v>150</v>
      </c>
      <c r="H388" s="11" t="s">
        <v>38</v>
      </c>
      <c r="I388" s="11" t="s">
        <v>39</v>
      </c>
      <c r="J388" s="11" t="s">
        <v>105</v>
      </c>
      <c r="K388" s="25">
        <v>9</v>
      </c>
      <c r="L388" s="25">
        <v>15000</v>
      </c>
      <c r="M388" s="29">
        <v>0.05</v>
      </c>
      <c r="N388" s="25">
        <v>128250</v>
      </c>
      <c r="O388" s="25">
        <v>91241.89</v>
      </c>
      <c r="P388" s="25">
        <v>37008.11</v>
      </c>
      <c r="Q388" s="21">
        <v>28.86</v>
      </c>
      <c r="R388" s="11" t="s">
        <v>41</v>
      </c>
      <c r="S388" s="11" t="s">
        <v>74</v>
      </c>
      <c r="T388" s="11" t="s">
        <v>75</v>
      </c>
      <c r="U388" s="11" t="s">
        <v>218</v>
      </c>
      <c r="V388" s="11">
        <v>2025</v>
      </c>
      <c r="W388" s="11" t="s">
        <v>109</v>
      </c>
      <c r="X388" s="11">
        <v>6</v>
      </c>
      <c r="Y388" s="10" t="s">
        <v>575</v>
      </c>
      <c r="Z388" s="11" t="s">
        <v>89</v>
      </c>
      <c r="AA388" s="11" t="s">
        <v>67</v>
      </c>
      <c r="AB388" s="11" t="s">
        <v>78</v>
      </c>
      <c r="AC388" s="11" t="s">
        <v>121</v>
      </c>
      <c r="AD388" s="11">
        <v>5</v>
      </c>
      <c r="AE388" s="11" t="s">
        <v>2216</v>
      </c>
      <c r="AF388" s="11" t="s">
        <v>2212</v>
      </c>
      <c r="AG388" s="25"/>
      <c r="AH388" s="11"/>
      <c r="AI388" s="11"/>
      <c r="AJ388" s="11"/>
      <c r="AK388" s="11"/>
      <c r="AL388" s="11"/>
      <c r="AM388" s="11" t="str">
        <f t="shared" si="34"/>
        <v>Needs Improvement</v>
      </c>
      <c r="AN388" s="11" t="str" cm="1">
        <f t="array" ref="AN388">_xlfn.IFS(N388&lt;10000,"Low",N388&lt;30000,"Medium",N388&gt;=30000,"High")</f>
        <v>High</v>
      </c>
      <c r="AO388" s="11" t="str">
        <f t="shared" si="35"/>
        <v>Yes</v>
      </c>
      <c r="AP388" s="11" t="str">
        <f t="shared" si="36"/>
        <v>Yes</v>
      </c>
      <c r="AQ388" s="11">
        <f t="shared" si="37"/>
        <v>0.28856226120857698</v>
      </c>
      <c r="AR388" s="33"/>
      <c r="AS388" s="33"/>
      <c r="AT388" s="33"/>
      <c r="AU388" s="33"/>
      <c r="AV388" s="33"/>
      <c r="AW388" s="33"/>
      <c r="AX388" s="33" t="str">
        <f t="shared" si="38"/>
        <v>Excellent</v>
      </c>
    </row>
    <row r="389" spans="1:50">
      <c r="A389" s="9" t="s">
        <v>2084</v>
      </c>
      <c r="B389" s="10">
        <v>46000</v>
      </c>
      <c r="C389" s="11" t="s">
        <v>301</v>
      </c>
      <c r="D389" s="11" t="s">
        <v>1187</v>
      </c>
      <c r="E389" s="11" t="s">
        <v>35</v>
      </c>
      <c r="F389" s="11" t="s">
        <v>56</v>
      </c>
      <c r="G389" s="11" t="s">
        <v>57</v>
      </c>
      <c r="H389" s="11" t="s">
        <v>58</v>
      </c>
      <c r="I389" s="11" t="s">
        <v>71</v>
      </c>
      <c r="J389" s="11" t="s">
        <v>158</v>
      </c>
      <c r="K389" s="25">
        <v>3</v>
      </c>
      <c r="L389" s="25">
        <v>700</v>
      </c>
      <c r="M389" s="29">
        <v>0</v>
      </c>
      <c r="N389" s="25">
        <v>2100</v>
      </c>
      <c r="O389" s="25">
        <v>1218.9100000000001</v>
      </c>
      <c r="P389" s="25">
        <v>881.09</v>
      </c>
      <c r="Q389" s="21">
        <v>41.96</v>
      </c>
      <c r="R389" s="11" t="s">
        <v>106</v>
      </c>
      <c r="S389" s="11" t="s">
        <v>42</v>
      </c>
      <c r="T389" s="11" t="s">
        <v>43</v>
      </c>
      <c r="U389" s="11" t="s">
        <v>108</v>
      </c>
      <c r="V389" s="11">
        <v>2025</v>
      </c>
      <c r="W389" s="11" t="s">
        <v>194</v>
      </c>
      <c r="X389" s="11">
        <v>2</v>
      </c>
      <c r="Y389" s="10" t="s">
        <v>1073</v>
      </c>
      <c r="Z389" s="11" t="s">
        <v>47</v>
      </c>
      <c r="AA389" s="11" t="s">
        <v>67</v>
      </c>
      <c r="AB389" s="11" t="s">
        <v>49</v>
      </c>
      <c r="AC389" s="11" t="s">
        <v>50</v>
      </c>
      <c r="AD389" s="11">
        <v>5</v>
      </c>
      <c r="AE389" s="11" t="s">
        <v>2209</v>
      </c>
      <c r="AF389" s="11" t="s">
        <v>2222</v>
      </c>
      <c r="AG389" s="25"/>
      <c r="AH389" s="11"/>
      <c r="AI389" s="11"/>
      <c r="AJ389" s="11"/>
      <c r="AK389" s="11"/>
      <c r="AL389" s="11"/>
      <c r="AM389" s="11" t="str">
        <f t="shared" si="34"/>
        <v>Good</v>
      </c>
      <c r="AN389" s="11" t="str" cm="1">
        <f t="array" ref="AN389">_xlfn.IFS(N389&lt;10000,"Low",N389&lt;30000,"Medium",N389&gt;=30000,"High")</f>
        <v>Low</v>
      </c>
      <c r="AO389" s="11" t="str">
        <f t="shared" si="35"/>
        <v>No</v>
      </c>
      <c r="AP389" s="11" t="str">
        <f t="shared" si="36"/>
        <v>Yes</v>
      </c>
      <c r="AQ389" s="11">
        <f t="shared" si="37"/>
        <v>0.4195666666666667</v>
      </c>
      <c r="AR389" s="33"/>
      <c r="AS389" s="33"/>
      <c r="AT389" s="33"/>
      <c r="AU389" s="33"/>
      <c r="AV389" s="33"/>
      <c r="AW389" s="33"/>
      <c r="AX389" s="33" t="str">
        <f t="shared" si="38"/>
        <v>Low</v>
      </c>
    </row>
    <row r="390" spans="1:50">
      <c r="A390" s="9" t="s">
        <v>79</v>
      </c>
      <c r="B390" s="10">
        <v>46001</v>
      </c>
      <c r="C390" s="11" t="s">
        <v>80</v>
      </c>
      <c r="D390" s="11" t="s">
        <v>81</v>
      </c>
      <c r="E390" s="13" t="s">
        <v>55</v>
      </c>
      <c r="F390" s="11" t="s">
        <v>82</v>
      </c>
      <c r="G390" s="11" t="s">
        <v>83</v>
      </c>
      <c r="H390" s="11" t="s">
        <v>38</v>
      </c>
      <c r="I390" s="11" t="s">
        <v>84</v>
      </c>
      <c r="J390" s="11" t="s">
        <v>85</v>
      </c>
      <c r="K390" s="25">
        <v>5</v>
      </c>
      <c r="L390" s="25">
        <v>100</v>
      </c>
      <c r="M390" s="29">
        <v>0.2</v>
      </c>
      <c r="N390" s="25">
        <v>400</v>
      </c>
      <c r="O390" s="25">
        <v>298.75</v>
      </c>
      <c r="P390" s="25">
        <v>101.25</v>
      </c>
      <c r="Q390" s="21">
        <v>25.31</v>
      </c>
      <c r="R390" s="11" t="s">
        <v>61</v>
      </c>
      <c r="S390" s="11" t="s">
        <v>74</v>
      </c>
      <c r="T390" s="11" t="s">
        <v>86</v>
      </c>
      <c r="U390" s="11" t="s">
        <v>87</v>
      </c>
      <c r="V390" s="11">
        <v>2025</v>
      </c>
      <c r="W390" s="11" t="s">
        <v>45</v>
      </c>
      <c r="X390" s="11">
        <v>3</v>
      </c>
      <c r="Y390" s="10" t="s">
        <v>88</v>
      </c>
      <c r="Z390" s="11" t="s">
        <v>89</v>
      </c>
      <c r="AA390" s="11" t="s">
        <v>90</v>
      </c>
      <c r="AB390" s="11" t="s">
        <v>78</v>
      </c>
      <c r="AC390" s="11" t="s">
        <v>50</v>
      </c>
      <c r="AD390" s="11">
        <v>3</v>
      </c>
      <c r="AE390" s="11" t="s">
        <v>2239</v>
      </c>
      <c r="AF390" s="11" t="s">
        <v>2223</v>
      </c>
      <c r="AG390" s="25"/>
      <c r="AH390" s="11"/>
      <c r="AI390" s="11"/>
      <c r="AJ390" s="11"/>
      <c r="AK390" s="11"/>
      <c r="AL390" s="11"/>
      <c r="AM390" s="11" t="str">
        <f t="shared" si="34"/>
        <v>Needs Improvement</v>
      </c>
      <c r="AN390" s="11" t="str" cm="1">
        <f t="array" ref="AN390">_xlfn.IFS(N390&lt;10000,"Low",N390&lt;30000,"Medium",N390&gt;=30000,"High")</f>
        <v>Low</v>
      </c>
      <c r="AO390" s="11" t="str">
        <f t="shared" si="35"/>
        <v>No</v>
      </c>
      <c r="AP390" s="11" t="str">
        <f t="shared" si="36"/>
        <v>Yes</v>
      </c>
      <c r="AQ390" s="11">
        <f t="shared" si="37"/>
        <v>0.25312499999999999</v>
      </c>
      <c r="AR390" s="33"/>
      <c r="AS390" s="33"/>
      <c r="AT390" s="33"/>
      <c r="AU390" s="33"/>
      <c r="AV390" s="33"/>
      <c r="AW390" s="33"/>
      <c r="AX390" s="33" t="str">
        <f t="shared" si="38"/>
        <v>Low</v>
      </c>
    </row>
    <row r="391" spans="1:50">
      <c r="A391" s="9" t="s">
        <v>1978</v>
      </c>
      <c r="B391" s="10">
        <v>46002</v>
      </c>
      <c r="C391" s="11" t="s">
        <v>1646</v>
      </c>
      <c r="D391" s="11" t="s">
        <v>193</v>
      </c>
      <c r="E391" s="11" t="s">
        <v>55</v>
      </c>
      <c r="F391" s="11" t="s">
        <v>149</v>
      </c>
      <c r="G391" s="11" t="s">
        <v>150</v>
      </c>
      <c r="H391" s="11" t="s">
        <v>58</v>
      </c>
      <c r="I391" s="11" t="s">
        <v>95</v>
      </c>
      <c r="J391" s="11" t="s">
        <v>319</v>
      </c>
      <c r="K391" s="25">
        <v>7</v>
      </c>
      <c r="L391" s="25">
        <v>6000</v>
      </c>
      <c r="M391" s="29">
        <v>0.05</v>
      </c>
      <c r="N391" s="25">
        <v>39900</v>
      </c>
      <c r="O391" s="25">
        <v>27212.07</v>
      </c>
      <c r="P391" s="25">
        <v>12687.93</v>
      </c>
      <c r="Q391" s="21">
        <v>31.8</v>
      </c>
      <c r="R391" s="11" t="s">
        <v>166</v>
      </c>
      <c r="S391" s="11" t="s">
        <v>62</v>
      </c>
      <c r="T391" s="11" t="s">
        <v>118</v>
      </c>
      <c r="U391" s="11" t="s">
        <v>198</v>
      </c>
      <c r="V391" s="11">
        <v>2025</v>
      </c>
      <c r="W391" s="11" t="s">
        <v>134</v>
      </c>
      <c r="X391" s="11">
        <v>4</v>
      </c>
      <c r="Y391" s="10" t="s">
        <v>1979</v>
      </c>
      <c r="Z391" s="11" t="s">
        <v>110</v>
      </c>
      <c r="AA391" s="11" t="s">
        <v>90</v>
      </c>
      <c r="AB391" s="11" t="s">
        <v>49</v>
      </c>
      <c r="AC391" s="11" t="s">
        <v>50</v>
      </c>
      <c r="AD391" s="11">
        <v>5</v>
      </c>
      <c r="AE391" s="11" t="s">
        <v>2221</v>
      </c>
      <c r="AF391" s="11" t="s">
        <v>2231</v>
      </c>
      <c r="AG391" s="25"/>
      <c r="AH391" s="11"/>
      <c r="AI391" s="11"/>
      <c r="AJ391" s="11"/>
      <c r="AK391" s="11"/>
      <c r="AL391" s="11"/>
      <c r="AM391" s="11" t="str">
        <f t="shared" si="34"/>
        <v>Good</v>
      </c>
      <c r="AN391" s="11" t="str" cm="1">
        <f t="array" ref="AN391">_xlfn.IFS(N391&lt;10000,"Low",N391&lt;30000,"Medium",N391&gt;=30000,"High")</f>
        <v>High</v>
      </c>
      <c r="AO391" s="11" t="str">
        <f t="shared" si="35"/>
        <v>Yes</v>
      </c>
      <c r="AP391" s="11" t="str">
        <f t="shared" si="36"/>
        <v>No</v>
      </c>
      <c r="AQ391" s="11">
        <f t="shared" si="37"/>
        <v>0.31799323308270677</v>
      </c>
      <c r="AR391" s="33"/>
      <c r="AS391" s="33"/>
      <c r="AT391" s="33"/>
      <c r="AU391" s="33"/>
      <c r="AV391" s="33"/>
      <c r="AW391" s="33"/>
      <c r="AX391" s="33" t="str">
        <f t="shared" si="38"/>
        <v>Good</v>
      </c>
    </row>
    <row r="392" spans="1:50">
      <c r="A392" s="9" t="s">
        <v>696</v>
      </c>
      <c r="B392" s="10" t="s">
        <v>697</v>
      </c>
      <c r="C392" s="11" t="s">
        <v>698</v>
      </c>
      <c r="D392" s="11" t="s">
        <v>699</v>
      </c>
      <c r="E392" s="11" t="s">
        <v>103</v>
      </c>
      <c r="F392" s="11" t="s">
        <v>144</v>
      </c>
      <c r="G392" s="11" t="s">
        <v>145</v>
      </c>
      <c r="H392" s="11" t="s">
        <v>171</v>
      </c>
      <c r="I392" s="11" t="s">
        <v>59</v>
      </c>
      <c r="J392" s="11" t="s">
        <v>328</v>
      </c>
      <c r="K392" s="25">
        <v>5</v>
      </c>
      <c r="L392" s="25">
        <v>800</v>
      </c>
      <c r="M392" s="29">
        <v>0</v>
      </c>
      <c r="N392" s="25">
        <v>4000</v>
      </c>
      <c r="O392" s="25">
        <v>2376.94</v>
      </c>
      <c r="P392" s="25">
        <v>1623.06</v>
      </c>
      <c r="Q392" s="21">
        <v>40.58</v>
      </c>
      <c r="R392" s="11" t="s">
        <v>73</v>
      </c>
      <c r="S392" s="11" t="s">
        <v>62</v>
      </c>
      <c r="T392" s="11" t="s">
        <v>118</v>
      </c>
      <c r="U392" s="11" t="s">
        <v>76</v>
      </c>
      <c r="V392" s="11">
        <v>2024</v>
      </c>
      <c r="W392" s="11" t="s">
        <v>65</v>
      </c>
      <c r="X392" s="11">
        <v>3</v>
      </c>
      <c r="Y392" s="10" t="s">
        <v>367</v>
      </c>
      <c r="Z392" s="11" t="s">
        <v>47</v>
      </c>
      <c r="AA392" s="11" t="s">
        <v>48</v>
      </c>
      <c r="AB392" s="11" t="s">
        <v>78</v>
      </c>
      <c r="AC392" s="11" t="s">
        <v>121</v>
      </c>
      <c r="AD392" s="11">
        <v>1</v>
      </c>
      <c r="AE392" s="11" t="s">
        <v>2227</v>
      </c>
      <c r="AF392" s="11" t="s">
        <v>2210</v>
      </c>
      <c r="AG392" s="25"/>
      <c r="AH392" s="11"/>
      <c r="AI392" s="11"/>
      <c r="AJ392" s="11"/>
      <c r="AK392" s="11"/>
      <c r="AL392" s="11"/>
      <c r="AM392" s="11" t="str">
        <f t="shared" si="34"/>
        <v>Good</v>
      </c>
      <c r="AN392" s="11" t="str" cm="1">
        <f t="array" ref="AN392">_xlfn.IFS(N392&lt;10000,"Low",N392&lt;30000,"Medium",N392&gt;=30000,"High")</f>
        <v>Low</v>
      </c>
      <c r="AO392" s="11" t="str">
        <f t="shared" si="35"/>
        <v>No</v>
      </c>
      <c r="AP392" s="11" t="str">
        <f t="shared" si="36"/>
        <v>No</v>
      </c>
      <c r="AQ392" s="11">
        <f t="shared" si="37"/>
        <v>0.40576499999999999</v>
      </c>
      <c r="AR392" s="33"/>
      <c r="AS392" s="33"/>
      <c r="AT392" s="33"/>
      <c r="AU392" s="33"/>
      <c r="AV392" s="33"/>
      <c r="AW392" s="33"/>
      <c r="AX392" s="33" t="str">
        <f t="shared" si="38"/>
        <v>Low</v>
      </c>
    </row>
    <row r="393" spans="1:50">
      <c r="A393" s="9" t="s">
        <v>1137</v>
      </c>
      <c r="B393" s="10" t="s">
        <v>697</v>
      </c>
      <c r="C393" s="11" t="s">
        <v>1138</v>
      </c>
      <c r="D393" s="11" t="s">
        <v>994</v>
      </c>
      <c r="E393" s="11" t="s">
        <v>35</v>
      </c>
      <c r="F393" s="11" t="s">
        <v>156</v>
      </c>
      <c r="G393" s="11" t="s">
        <v>157</v>
      </c>
      <c r="H393" s="11" t="s">
        <v>58</v>
      </c>
      <c r="I393" s="11" t="s">
        <v>71</v>
      </c>
      <c r="J393" s="11" t="s">
        <v>240</v>
      </c>
      <c r="K393" s="25">
        <v>3</v>
      </c>
      <c r="L393" s="25">
        <v>3500</v>
      </c>
      <c r="M393" s="29">
        <v>0.15</v>
      </c>
      <c r="N393" s="25">
        <v>8925</v>
      </c>
      <c r="O393" s="25">
        <v>5829.28</v>
      </c>
      <c r="P393" s="25">
        <v>3095.72</v>
      </c>
      <c r="Q393" s="21">
        <v>34.69</v>
      </c>
      <c r="R393" s="11" t="s">
        <v>41</v>
      </c>
      <c r="S393" s="11" t="s">
        <v>42</v>
      </c>
      <c r="T393" s="11" t="s">
        <v>97</v>
      </c>
      <c r="U393" s="11" t="s">
        <v>76</v>
      </c>
      <c r="V393" s="11">
        <v>2024</v>
      </c>
      <c r="W393" s="11" t="s">
        <v>65</v>
      </c>
      <c r="X393" s="11">
        <v>5</v>
      </c>
      <c r="Y393" s="10" t="s">
        <v>521</v>
      </c>
      <c r="Z393" s="11" t="s">
        <v>110</v>
      </c>
      <c r="AA393" s="11" t="s">
        <v>67</v>
      </c>
      <c r="AB393" s="11" t="s">
        <v>111</v>
      </c>
      <c r="AC393" s="11" t="s">
        <v>50</v>
      </c>
      <c r="AD393" s="11">
        <v>3</v>
      </c>
      <c r="AE393" s="11" t="s">
        <v>2227</v>
      </c>
      <c r="AF393" s="11" t="s">
        <v>2235</v>
      </c>
      <c r="AG393" s="25"/>
      <c r="AH393" s="11"/>
      <c r="AI393" s="11"/>
      <c r="AJ393" s="11"/>
      <c r="AK393" s="11"/>
      <c r="AL393" s="11"/>
      <c r="AM393" s="11" t="str">
        <f t="shared" si="34"/>
        <v>Good</v>
      </c>
      <c r="AN393" s="11" t="str" cm="1">
        <f t="array" ref="AN393">_xlfn.IFS(N393&lt;10000,"Low",N393&lt;30000,"Medium",N393&gt;=30000,"High")</f>
        <v>Low</v>
      </c>
      <c r="AO393" s="11" t="str">
        <f t="shared" si="35"/>
        <v>No</v>
      </c>
      <c r="AP393" s="11" t="str">
        <f t="shared" si="36"/>
        <v>Yes</v>
      </c>
      <c r="AQ393" s="11">
        <f t="shared" si="37"/>
        <v>0.34685938375350139</v>
      </c>
      <c r="AR393" s="33"/>
      <c r="AS393" s="33"/>
      <c r="AT393" s="33"/>
      <c r="AU393" s="33"/>
      <c r="AV393" s="33"/>
      <c r="AW393" s="33"/>
      <c r="AX393" s="33" t="str">
        <f t="shared" si="38"/>
        <v>Low</v>
      </c>
    </row>
    <row r="394" spans="1:50">
      <c r="A394" s="9" t="s">
        <v>1198</v>
      </c>
      <c r="B394" s="10" t="s">
        <v>697</v>
      </c>
      <c r="C394" s="11" t="s">
        <v>570</v>
      </c>
      <c r="D394" s="11" t="s">
        <v>1043</v>
      </c>
      <c r="E394" s="11" t="s">
        <v>35</v>
      </c>
      <c r="F394" s="11" t="s">
        <v>156</v>
      </c>
      <c r="G394" s="11" t="s">
        <v>157</v>
      </c>
      <c r="H394" s="11" t="s">
        <v>94</v>
      </c>
      <c r="I394" s="11" t="s">
        <v>95</v>
      </c>
      <c r="J394" s="11" t="s">
        <v>440</v>
      </c>
      <c r="K394" s="25">
        <v>6</v>
      </c>
      <c r="L394" s="25">
        <v>9000</v>
      </c>
      <c r="M394" s="29">
        <v>0.1</v>
      </c>
      <c r="N394" s="25">
        <v>48600</v>
      </c>
      <c r="O394" s="25">
        <v>31340.48</v>
      </c>
      <c r="P394" s="25">
        <v>17259.52</v>
      </c>
      <c r="Q394" s="21">
        <v>35.51</v>
      </c>
      <c r="R394" s="11" t="s">
        <v>166</v>
      </c>
      <c r="S394" s="11" t="s">
        <v>62</v>
      </c>
      <c r="T394" s="11" t="s">
        <v>159</v>
      </c>
      <c r="U394" s="11" t="s">
        <v>76</v>
      </c>
      <c r="V394" s="11">
        <v>2024</v>
      </c>
      <c r="W394" s="11" t="s">
        <v>65</v>
      </c>
      <c r="X394" s="11">
        <v>5</v>
      </c>
      <c r="Y394" s="10" t="s">
        <v>521</v>
      </c>
      <c r="Z394" s="11" t="s">
        <v>47</v>
      </c>
      <c r="AA394" s="11" t="s">
        <v>90</v>
      </c>
      <c r="AB394" s="11" t="s">
        <v>111</v>
      </c>
      <c r="AC394" s="11" t="s">
        <v>50</v>
      </c>
      <c r="AD394" s="11">
        <v>4</v>
      </c>
      <c r="AE394" s="11" t="s">
        <v>2240</v>
      </c>
      <c r="AF394" s="11" t="s">
        <v>2224</v>
      </c>
      <c r="AG394" s="25"/>
      <c r="AH394" s="11"/>
      <c r="AI394" s="11"/>
      <c r="AJ394" s="11"/>
      <c r="AK394" s="11"/>
      <c r="AL394" s="11"/>
      <c r="AM394" s="11" t="str">
        <f t="shared" si="34"/>
        <v>Good</v>
      </c>
      <c r="AN394" s="11" t="str" cm="1">
        <f t="array" ref="AN394">_xlfn.IFS(N394&lt;10000,"Low",N394&lt;30000,"Medium",N394&gt;=30000,"High")</f>
        <v>High</v>
      </c>
      <c r="AO394" s="11" t="str">
        <f t="shared" si="35"/>
        <v>Yes</v>
      </c>
      <c r="AP394" s="11" t="str">
        <f t="shared" si="36"/>
        <v>No</v>
      </c>
      <c r="AQ394" s="11">
        <f t="shared" si="37"/>
        <v>0.35513415637860085</v>
      </c>
      <c r="AR394" s="33"/>
      <c r="AS394" s="33"/>
      <c r="AT394" s="33"/>
      <c r="AU394" s="33"/>
      <c r="AV394" s="33"/>
      <c r="AW394" s="33"/>
      <c r="AX394" s="33" t="str">
        <f t="shared" si="38"/>
        <v>Good</v>
      </c>
    </row>
    <row r="395" spans="1:50">
      <c r="A395" s="9" t="s">
        <v>1684</v>
      </c>
      <c r="B395" s="10" t="s">
        <v>1685</v>
      </c>
      <c r="C395" s="11" t="s">
        <v>1093</v>
      </c>
      <c r="D395" s="11" t="s">
        <v>546</v>
      </c>
      <c r="E395" s="11" t="s">
        <v>103</v>
      </c>
      <c r="F395" s="11" t="s">
        <v>149</v>
      </c>
      <c r="G395" s="11" t="s">
        <v>150</v>
      </c>
      <c r="H395" s="11" t="s">
        <v>58</v>
      </c>
      <c r="I395" s="11" t="s">
        <v>59</v>
      </c>
      <c r="J395" s="11" t="s">
        <v>328</v>
      </c>
      <c r="K395" s="25">
        <v>7</v>
      </c>
      <c r="L395" s="25">
        <v>800</v>
      </c>
      <c r="M395" s="29">
        <v>0.15</v>
      </c>
      <c r="N395" s="25">
        <v>4760</v>
      </c>
      <c r="O395" s="25">
        <v>2758.02</v>
      </c>
      <c r="P395" s="25">
        <v>2001.98</v>
      </c>
      <c r="Q395" s="21">
        <v>42.06</v>
      </c>
      <c r="R395" s="11" t="s">
        <v>106</v>
      </c>
      <c r="S395" s="11" t="s">
        <v>42</v>
      </c>
      <c r="T395" s="11" t="s">
        <v>118</v>
      </c>
      <c r="U395" s="11" t="s">
        <v>76</v>
      </c>
      <c r="V395" s="11">
        <v>2025</v>
      </c>
      <c r="W395" s="11" t="s">
        <v>126</v>
      </c>
      <c r="X395" s="11">
        <v>8</v>
      </c>
      <c r="Y395" s="10" t="s">
        <v>1453</v>
      </c>
      <c r="Z395" s="11" t="s">
        <v>89</v>
      </c>
      <c r="AA395" s="11" t="s">
        <v>90</v>
      </c>
      <c r="AB395" s="11" t="s">
        <v>78</v>
      </c>
      <c r="AC395" s="11" t="s">
        <v>121</v>
      </c>
      <c r="AD395" s="11">
        <v>1</v>
      </c>
      <c r="AE395" s="11" t="s">
        <v>2216</v>
      </c>
      <c r="AF395" s="11" t="s">
        <v>2222</v>
      </c>
      <c r="AG395" s="25"/>
      <c r="AH395" s="11"/>
      <c r="AI395" s="11"/>
      <c r="AJ395" s="11"/>
      <c r="AK395" s="11"/>
      <c r="AL395" s="11"/>
      <c r="AM395" s="11" t="str">
        <f t="shared" si="34"/>
        <v>Good</v>
      </c>
      <c r="AN395" s="11" t="str" cm="1">
        <f t="array" ref="AN395">_xlfn.IFS(N395&lt;10000,"Low",N395&lt;30000,"Medium",N395&gt;=30000,"High")</f>
        <v>Low</v>
      </c>
      <c r="AO395" s="11" t="str">
        <f t="shared" si="35"/>
        <v>No</v>
      </c>
      <c r="AP395" s="11" t="str">
        <f t="shared" si="36"/>
        <v>Yes</v>
      </c>
      <c r="AQ395" s="11">
        <f t="shared" si="37"/>
        <v>0.42058403361344537</v>
      </c>
      <c r="AR395" s="33"/>
      <c r="AS395" s="33"/>
      <c r="AT395" s="33"/>
      <c r="AU395" s="33"/>
      <c r="AV395" s="33"/>
      <c r="AW395" s="33"/>
      <c r="AX395" s="33" t="str">
        <f t="shared" si="38"/>
        <v>Low</v>
      </c>
    </row>
    <row r="396" spans="1:50">
      <c r="A396" s="9" t="s">
        <v>1591</v>
      </c>
      <c r="B396" s="10" t="s">
        <v>1119</v>
      </c>
      <c r="C396" s="11" t="s">
        <v>557</v>
      </c>
      <c r="D396" s="11" t="s">
        <v>115</v>
      </c>
      <c r="E396" s="11" t="s">
        <v>103</v>
      </c>
      <c r="F396" s="11" t="s">
        <v>82</v>
      </c>
      <c r="G396" s="11" t="s">
        <v>83</v>
      </c>
      <c r="H396" s="11" t="s">
        <v>58</v>
      </c>
      <c r="I396" s="11" t="s">
        <v>71</v>
      </c>
      <c r="J396" s="11" t="s">
        <v>158</v>
      </c>
      <c r="K396" s="25">
        <v>10</v>
      </c>
      <c r="L396" s="25">
        <v>3500</v>
      </c>
      <c r="M396" s="29">
        <v>0.05</v>
      </c>
      <c r="N396" s="25">
        <v>33250</v>
      </c>
      <c r="O396" s="25">
        <v>20781.79</v>
      </c>
      <c r="P396" s="25">
        <v>12468.21</v>
      </c>
      <c r="Q396" s="21">
        <v>37.5</v>
      </c>
      <c r="R396" s="11" t="s">
        <v>73</v>
      </c>
      <c r="S396" s="11" t="s">
        <v>62</v>
      </c>
      <c r="T396" s="11" t="s">
        <v>173</v>
      </c>
      <c r="U396" s="11" t="s">
        <v>98</v>
      </c>
      <c r="V396" s="11">
        <v>2025</v>
      </c>
      <c r="W396" s="11" t="s">
        <v>139</v>
      </c>
      <c r="X396" s="11">
        <v>4</v>
      </c>
      <c r="Y396" s="10" t="s">
        <v>99</v>
      </c>
      <c r="Z396" s="11" t="s">
        <v>47</v>
      </c>
      <c r="AA396" s="11" t="s">
        <v>48</v>
      </c>
      <c r="AB396" s="11" t="s">
        <v>49</v>
      </c>
      <c r="AC396" s="11" t="s">
        <v>121</v>
      </c>
      <c r="AD396" s="11">
        <v>1</v>
      </c>
      <c r="AE396" s="11" t="s">
        <v>2218</v>
      </c>
      <c r="AF396" s="11" t="s">
        <v>2217</v>
      </c>
      <c r="AG396" s="25"/>
      <c r="AH396" s="11"/>
      <c r="AI396" s="11"/>
      <c r="AJ396" s="11"/>
      <c r="AK396" s="11"/>
      <c r="AL396" s="11"/>
      <c r="AM396" s="11" t="str">
        <f t="shared" si="34"/>
        <v>Good</v>
      </c>
      <c r="AN396" s="11" t="str" cm="1">
        <f t="array" ref="AN396">_xlfn.IFS(N396&lt;10000,"Low",N396&lt;30000,"Medium",N396&gt;=30000,"High")</f>
        <v>High</v>
      </c>
      <c r="AO396" s="11" t="str">
        <f t="shared" si="35"/>
        <v>Yes</v>
      </c>
      <c r="AP396" s="11" t="str">
        <f t="shared" si="36"/>
        <v>No</v>
      </c>
      <c r="AQ396" s="11">
        <f t="shared" si="37"/>
        <v>0.37498375939849621</v>
      </c>
      <c r="AR396" s="33"/>
      <c r="AS396" s="33"/>
      <c r="AT396" s="33"/>
      <c r="AU396" s="33"/>
      <c r="AV396" s="33"/>
      <c r="AW396" s="33"/>
      <c r="AX396" s="33" t="str">
        <f t="shared" si="38"/>
        <v>Good</v>
      </c>
    </row>
    <row r="397" spans="1:50">
      <c r="A397" s="9" t="s">
        <v>1863</v>
      </c>
      <c r="B397" s="10" t="s">
        <v>1119</v>
      </c>
      <c r="C397" s="11" t="s">
        <v>1111</v>
      </c>
      <c r="D397" s="11" t="s">
        <v>548</v>
      </c>
      <c r="E397" s="11" t="s">
        <v>103</v>
      </c>
      <c r="F397" s="11" t="s">
        <v>156</v>
      </c>
      <c r="G397" s="11" t="s">
        <v>157</v>
      </c>
      <c r="H397" s="11" t="s">
        <v>38</v>
      </c>
      <c r="I397" s="11" t="s">
        <v>39</v>
      </c>
      <c r="J397" s="11" t="s">
        <v>105</v>
      </c>
      <c r="K397" s="25">
        <v>6</v>
      </c>
      <c r="L397" s="25">
        <v>22000</v>
      </c>
      <c r="M397" s="29">
        <v>0.05</v>
      </c>
      <c r="N397" s="25">
        <v>125400</v>
      </c>
      <c r="O397" s="25">
        <v>83677.279999999999</v>
      </c>
      <c r="P397" s="25">
        <v>41722.720000000001</v>
      </c>
      <c r="Q397" s="21">
        <v>33.270000000000003</v>
      </c>
      <c r="R397" s="11" t="s">
        <v>73</v>
      </c>
      <c r="S397" s="11" t="s">
        <v>74</v>
      </c>
      <c r="T397" s="11" t="s">
        <v>43</v>
      </c>
      <c r="U397" s="11" t="s">
        <v>98</v>
      </c>
      <c r="V397" s="11">
        <v>2025</v>
      </c>
      <c r="W397" s="11" t="s">
        <v>139</v>
      </c>
      <c r="X397" s="11">
        <v>6</v>
      </c>
      <c r="Y397" s="10" t="s">
        <v>871</v>
      </c>
      <c r="Z397" s="11" t="s">
        <v>47</v>
      </c>
      <c r="AA397" s="11" t="s">
        <v>67</v>
      </c>
      <c r="AB397" s="11" t="s">
        <v>78</v>
      </c>
      <c r="AC397" s="11" t="s">
        <v>121</v>
      </c>
      <c r="AD397" s="11">
        <v>3</v>
      </c>
      <c r="AE397" s="11" t="s">
        <v>2248</v>
      </c>
      <c r="AF397" s="11" t="s">
        <v>2222</v>
      </c>
      <c r="AG397" s="25"/>
      <c r="AH397" s="11"/>
      <c r="AI397" s="11"/>
      <c r="AJ397" s="11"/>
      <c r="AK397" s="11"/>
      <c r="AL397" s="11"/>
      <c r="AM397" s="11" t="str">
        <f t="shared" si="34"/>
        <v>Good</v>
      </c>
      <c r="AN397" s="11" t="str" cm="1">
        <f t="array" ref="AN397">_xlfn.IFS(N397&lt;10000,"Low",N397&lt;30000,"Medium",N397&gt;=30000,"High")</f>
        <v>High</v>
      </c>
      <c r="AO397" s="11" t="str">
        <f t="shared" si="35"/>
        <v>Yes</v>
      </c>
      <c r="AP397" s="11" t="str">
        <f t="shared" si="36"/>
        <v>Yes</v>
      </c>
      <c r="AQ397" s="11">
        <f t="shared" si="37"/>
        <v>0.33271706539074963</v>
      </c>
      <c r="AR397" s="33"/>
      <c r="AS397" s="33"/>
      <c r="AT397" s="33"/>
      <c r="AU397" s="33"/>
      <c r="AV397" s="33"/>
      <c r="AW397" s="33"/>
      <c r="AX397" s="33" t="str">
        <f t="shared" si="38"/>
        <v>Excellent</v>
      </c>
    </row>
    <row r="398" spans="1:50">
      <c r="A398" s="9" t="s">
        <v>1546</v>
      </c>
      <c r="B398" s="10" t="s">
        <v>1547</v>
      </c>
      <c r="C398" s="11" t="s">
        <v>773</v>
      </c>
      <c r="D398" s="11" t="s">
        <v>225</v>
      </c>
      <c r="E398" s="11" t="s">
        <v>55</v>
      </c>
      <c r="F398" s="11" t="s">
        <v>36</v>
      </c>
      <c r="G398" s="11" t="s">
        <v>37</v>
      </c>
      <c r="H398" s="11" t="s">
        <v>38</v>
      </c>
      <c r="I398" s="11" t="s">
        <v>84</v>
      </c>
      <c r="J398" s="11" t="s">
        <v>217</v>
      </c>
      <c r="K398" s="25">
        <v>6</v>
      </c>
      <c r="L398" s="25">
        <v>350</v>
      </c>
      <c r="M398" s="29">
        <v>0</v>
      </c>
      <c r="N398" s="25">
        <v>2100</v>
      </c>
      <c r="O398" s="25">
        <v>1301.25</v>
      </c>
      <c r="P398" s="25">
        <v>798.75</v>
      </c>
      <c r="Q398" s="21">
        <v>38.04</v>
      </c>
      <c r="R398" s="11" t="s">
        <v>106</v>
      </c>
      <c r="S398" s="11" t="s">
        <v>42</v>
      </c>
      <c r="T398" s="11" t="s">
        <v>138</v>
      </c>
      <c r="U398" s="11" t="s">
        <v>178</v>
      </c>
      <c r="V398" s="11">
        <v>2024</v>
      </c>
      <c r="W398" s="11" t="s">
        <v>134</v>
      </c>
      <c r="X398" s="11">
        <v>3</v>
      </c>
      <c r="Y398" s="10" t="s">
        <v>483</v>
      </c>
      <c r="Z398" s="11" t="s">
        <v>110</v>
      </c>
      <c r="AA398" s="11" t="s">
        <v>90</v>
      </c>
      <c r="AB398" s="11" t="s">
        <v>78</v>
      </c>
      <c r="AC398" s="11" t="s">
        <v>50</v>
      </c>
      <c r="AD398" s="11">
        <v>4</v>
      </c>
      <c r="AE398" s="11" t="s">
        <v>2225</v>
      </c>
      <c r="AF398" s="11" t="s">
        <v>2238</v>
      </c>
      <c r="AG398" s="25"/>
      <c r="AH398" s="11"/>
      <c r="AI398" s="11"/>
      <c r="AJ398" s="11"/>
      <c r="AK398" s="11"/>
      <c r="AL398" s="11"/>
      <c r="AM398" s="11" t="str">
        <f t="shared" si="34"/>
        <v>Good</v>
      </c>
      <c r="AN398" s="11" t="str" cm="1">
        <f t="array" ref="AN398">_xlfn.IFS(N398&lt;10000,"Low",N398&lt;30000,"Medium",N398&gt;=30000,"High")</f>
        <v>Low</v>
      </c>
      <c r="AO398" s="11" t="str">
        <f t="shared" si="35"/>
        <v>No</v>
      </c>
      <c r="AP398" s="11" t="str">
        <f t="shared" si="36"/>
        <v>Yes</v>
      </c>
      <c r="AQ398" s="11">
        <f t="shared" si="37"/>
        <v>0.38035714285714284</v>
      </c>
      <c r="AR398" s="33"/>
      <c r="AS398" s="33"/>
      <c r="AT398" s="33"/>
      <c r="AU398" s="33"/>
      <c r="AV398" s="33"/>
      <c r="AW398" s="33"/>
      <c r="AX398" s="33" t="str">
        <f t="shared" si="38"/>
        <v>Low</v>
      </c>
    </row>
    <row r="399" spans="1:50">
      <c r="A399" s="9" t="s">
        <v>760</v>
      </c>
      <c r="B399" s="10" t="s">
        <v>663</v>
      </c>
      <c r="C399" s="11" t="s">
        <v>114</v>
      </c>
      <c r="D399" s="11" t="s">
        <v>761</v>
      </c>
      <c r="E399" s="11" t="s">
        <v>35</v>
      </c>
      <c r="F399" s="11" t="s">
        <v>131</v>
      </c>
      <c r="G399" s="11" t="s">
        <v>132</v>
      </c>
      <c r="H399" s="11" t="s">
        <v>58</v>
      </c>
      <c r="I399" s="11" t="s">
        <v>71</v>
      </c>
      <c r="J399" s="11" t="s">
        <v>117</v>
      </c>
      <c r="K399" s="25">
        <v>1</v>
      </c>
      <c r="L399" s="25">
        <v>1800</v>
      </c>
      <c r="M399" s="29">
        <v>0</v>
      </c>
      <c r="N399" s="25">
        <v>1800</v>
      </c>
      <c r="O399" s="25">
        <v>1390.41</v>
      </c>
      <c r="P399" s="25">
        <v>409.59</v>
      </c>
      <c r="Q399" s="21">
        <v>22.75</v>
      </c>
      <c r="R399" s="11" t="s">
        <v>106</v>
      </c>
      <c r="S399" s="11" t="s">
        <v>74</v>
      </c>
      <c r="T399" s="11" t="s">
        <v>118</v>
      </c>
      <c r="U399" s="11" t="s">
        <v>178</v>
      </c>
      <c r="V399" s="11">
        <v>2025</v>
      </c>
      <c r="W399" s="11" t="s">
        <v>139</v>
      </c>
      <c r="X399" s="11">
        <v>2</v>
      </c>
      <c r="Y399" s="10" t="s">
        <v>222</v>
      </c>
      <c r="Z399" s="11" t="s">
        <v>47</v>
      </c>
      <c r="AA399" s="11" t="s">
        <v>48</v>
      </c>
      <c r="AB399" s="11" t="s">
        <v>78</v>
      </c>
      <c r="AC399" s="11" t="s">
        <v>121</v>
      </c>
      <c r="AD399" s="11">
        <v>4</v>
      </c>
      <c r="AE399" s="11" t="s">
        <v>2234</v>
      </c>
      <c r="AF399" s="11" t="s">
        <v>2219</v>
      </c>
      <c r="AG399" s="25"/>
      <c r="AH399" s="11"/>
      <c r="AI399" s="11"/>
      <c r="AJ399" s="11"/>
      <c r="AK399" s="11"/>
      <c r="AL399" s="11"/>
      <c r="AM399" s="11" t="str">
        <f t="shared" si="34"/>
        <v>Needs Improvement</v>
      </c>
      <c r="AN399" s="11" t="str" cm="1">
        <f t="array" ref="AN399">_xlfn.IFS(N399&lt;10000,"Low",N399&lt;30000,"Medium",N399&gt;=30000,"High")</f>
        <v>Low</v>
      </c>
      <c r="AO399" s="11" t="str">
        <f t="shared" si="35"/>
        <v>No</v>
      </c>
      <c r="AP399" s="11" t="str">
        <f t="shared" si="36"/>
        <v>Yes</v>
      </c>
      <c r="AQ399" s="11">
        <f t="shared" si="37"/>
        <v>0.22754999999999997</v>
      </c>
      <c r="AR399" s="33"/>
      <c r="AS399" s="33"/>
      <c r="AT399" s="33"/>
      <c r="AU399" s="33"/>
      <c r="AV399" s="33"/>
      <c r="AW399" s="33"/>
      <c r="AX399" s="33" t="str">
        <f t="shared" si="38"/>
        <v>Low</v>
      </c>
    </row>
    <row r="400" spans="1:50">
      <c r="A400" s="9" t="s">
        <v>1524</v>
      </c>
      <c r="B400" s="10" t="s">
        <v>663</v>
      </c>
      <c r="C400" s="11" t="s">
        <v>417</v>
      </c>
      <c r="D400" s="11" t="s">
        <v>1071</v>
      </c>
      <c r="E400" s="11" t="s">
        <v>103</v>
      </c>
      <c r="F400" s="11" t="s">
        <v>156</v>
      </c>
      <c r="G400" s="11" t="s">
        <v>157</v>
      </c>
      <c r="H400" s="11" t="s">
        <v>94</v>
      </c>
      <c r="I400" s="11" t="s">
        <v>95</v>
      </c>
      <c r="J400" s="11" t="s">
        <v>344</v>
      </c>
      <c r="K400" s="25">
        <v>4</v>
      </c>
      <c r="L400" s="25">
        <v>2500</v>
      </c>
      <c r="M400" s="29">
        <v>0.05</v>
      </c>
      <c r="N400" s="25">
        <v>9500</v>
      </c>
      <c r="O400" s="25">
        <v>6131.24</v>
      </c>
      <c r="P400" s="25">
        <v>3368.76</v>
      </c>
      <c r="Q400" s="21">
        <v>35.46</v>
      </c>
      <c r="R400" s="11" t="s">
        <v>106</v>
      </c>
      <c r="S400" s="11" t="s">
        <v>62</v>
      </c>
      <c r="T400" s="11" t="s">
        <v>118</v>
      </c>
      <c r="U400" s="11" t="s">
        <v>178</v>
      </c>
      <c r="V400" s="11">
        <v>2025</v>
      </c>
      <c r="W400" s="11" t="s">
        <v>139</v>
      </c>
      <c r="X400" s="11">
        <v>7</v>
      </c>
      <c r="Y400" s="10" t="s">
        <v>756</v>
      </c>
      <c r="Z400" s="11" t="s">
        <v>47</v>
      </c>
      <c r="AA400" s="11" t="s">
        <v>90</v>
      </c>
      <c r="AB400" s="11" t="s">
        <v>49</v>
      </c>
      <c r="AC400" s="11" t="s">
        <v>121</v>
      </c>
      <c r="AD400" s="11">
        <v>3</v>
      </c>
      <c r="AE400" s="11" t="s">
        <v>2213</v>
      </c>
      <c r="AF400" s="11" t="s">
        <v>2230</v>
      </c>
      <c r="AG400" s="25"/>
      <c r="AH400" s="11"/>
      <c r="AI400" s="11"/>
      <c r="AJ400" s="11"/>
      <c r="AK400" s="11"/>
      <c r="AL400" s="11"/>
      <c r="AM400" s="11" t="str">
        <f t="shared" si="34"/>
        <v>Good</v>
      </c>
      <c r="AN400" s="11" t="str" cm="1">
        <f t="array" ref="AN400">_xlfn.IFS(N400&lt;10000,"Low",N400&lt;30000,"Medium",N400&gt;=30000,"High")</f>
        <v>Low</v>
      </c>
      <c r="AO400" s="11" t="str">
        <f t="shared" si="35"/>
        <v>No</v>
      </c>
      <c r="AP400" s="11" t="str">
        <f t="shared" si="36"/>
        <v>No</v>
      </c>
      <c r="AQ400" s="11">
        <f t="shared" si="37"/>
        <v>0.35460631578947371</v>
      </c>
      <c r="AR400" s="33"/>
      <c r="AS400" s="33"/>
      <c r="AT400" s="33"/>
      <c r="AU400" s="33"/>
      <c r="AV400" s="33"/>
      <c r="AW400" s="33"/>
      <c r="AX400" s="33" t="str">
        <f t="shared" si="38"/>
        <v>Low</v>
      </c>
    </row>
    <row r="401" spans="1:50">
      <c r="A401" s="9" t="s">
        <v>2107</v>
      </c>
      <c r="B401" s="10" t="s">
        <v>663</v>
      </c>
      <c r="C401" s="11" t="s">
        <v>1441</v>
      </c>
      <c r="D401" s="11" t="s">
        <v>1002</v>
      </c>
      <c r="E401" s="11" t="s">
        <v>55</v>
      </c>
      <c r="F401" s="11" t="s">
        <v>116</v>
      </c>
      <c r="G401" s="11" t="s">
        <v>37</v>
      </c>
      <c r="H401" s="11" t="s">
        <v>171</v>
      </c>
      <c r="I401" s="11" t="s">
        <v>39</v>
      </c>
      <c r="J401" s="11" t="s">
        <v>165</v>
      </c>
      <c r="K401" s="25">
        <v>7</v>
      </c>
      <c r="L401" s="25">
        <v>8000</v>
      </c>
      <c r="M401" s="29">
        <v>0.1</v>
      </c>
      <c r="N401" s="25">
        <v>50400</v>
      </c>
      <c r="O401" s="25">
        <v>39961.58</v>
      </c>
      <c r="P401" s="25">
        <v>10438.42</v>
      </c>
      <c r="Q401" s="21">
        <v>20.71</v>
      </c>
      <c r="R401" s="11" t="s">
        <v>41</v>
      </c>
      <c r="S401" s="11" t="s">
        <v>42</v>
      </c>
      <c r="T401" s="11" t="s">
        <v>86</v>
      </c>
      <c r="U401" s="11" t="s">
        <v>178</v>
      </c>
      <c r="V401" s="11">
        <v>2025</v>
      </c>
      <c r="W401" s="11" t="s">
        <v>139</v>
      </c>
      <c r="X401" s="11">
        <v>1</v>
      </c>
      <c r="Y401" s="10" t="s">
        <v>1443</v>
      </c>
      <c r="Z401" s="11" t="s">
        <v>110</v>
      </c>
      <c r="AA401" s="11" t="s">
        <v>67</v>
      </c>
      <c r="AB401" s="11" t="s">
        <v>111</v>
      </c>
      <c r="AC401" s="11" t="s">
        <v>50</v>
      </c>
      <c r="AD401" s="11">
        <v>3</v>
      </c>
      <c r="AE401" s="11" t="s">
        <v>2213</v>
      </c>
      <c r="AF401" s="11" t="s">
        <v>2222</v>
      </c>
      <c r="AG401" s="25"/>
      <c r="AH401" s="11"/>
      <c r="AI401" s="11"/>
      <c r="AJ401" s="11"/>
      <c r="AK401" s="11"/>
      <c r="AL401" s="11"/>
      <c r="AM401" s="11" t="str">
        <f t="shared" si="34"/>
        <v>Needs Improvement</v>
      </c>
      <c r="AN401" s="11" t="str" cm="1">
        <f t="array" ref="AN401">_xlfn.IFS(N401&lt;10000,"Low",N401&lt;30000,"Medium",N401&gt;=30000,"High")</f>
        <v>High</v>
      </c>
      <c r="AO401" s="11" t="str">
        <f t="shared" si="35"/>
        <v>Yes</v>
      </c>
      <c r="AP401" s="11" t="str">
        <f t="shared" si="36"/>
        <v>Yes</v>
      </c>
      <c r="AQ401" s="11">
        <f t="shared" si="37"/>
        <v>0.20711150793650793</v>
      </c>
      <c r="AR401" s="33"/>
      <c r="AS401" s="33"/>
      <c r="AT401" s="33"/>
      <c r="AU401" s="33"/>
      <c r="AV401" s="33"/>
      <c r="AW401" s="33"/>
      <c r="AX401" s="33" t="str">
        <f t="shared" si="38"/>
        <v>Good</v>
      </c>
    </row>
    <row r="402" spans="1:50">
      <c r="A402" s="9" t="s">
        <v>1935</v>
      </c>
      <c r="B402" s="10" t="s">
        <v>357</v>
      </c>
      <c r="C402" s="11" t="s">
        <v>1936</v>
      </c>
      <c r="D402" s="11" t="s">
        <v>1476</v>
      </c>
      <c r="E402" s="11" t="s">
        <v>103</v>
      </c>
      <c r="F402" s="11" t="s">
        <v>82</v>
      </c>
      <c r="G402" s="11" t="s">
        <v>83</v>
      </c>
      <c r="H402" s="11" t="s">
        <v>171</v>
      </c>
      <c r="I402" s="11" t="s">
        <v>95</v>
      </c>
      <c r="J402" s="11" t="s">
        <v>184</v>
      </c>
      <c r="K402" s="25">
        <v>9</v>
      </c>
      <c r="L402" s="25">
        <v>4000</v>
      </c>
      <c r="M402" s="29">
        <v>0</v>
      </c>
      <c r="N402" s="25">
        <v>36000</v>
      </c>
      <c r="O402" s="25">
        <v>22420.6</v>
      </c>
      <c r="P402" s="25">
        <v>13579.4</v>
      </c>
      <c r="Q402" s="21">
        <v>37.72</v>
      </c>
      <c r="R402" s="11" t="s">
        <v>106</v>
      </c>
      <c r="S402" s="11" t="s">
        <v>62</v>
      </c>
      <c r="T402" s="11" t="s">
        <v>75</v>
      </c>
      <c r="U402" s="11" t="s">
        <v>44</v>
      </c>
      <c r="V402" s="11">
        <v>2024</v>
      </c>
      <c r="W402" s="11" t="s">
        <v>65</v>
      </c>
      <c r="X402" s="11">
        <v>3</v>
      </c>
      <c r="Y402" s="10" t="s">
        <v>1937</v>
      </c>
      <c r="Z402" s="11" t="s">
        <v>89</v>
      </c>
      <c r="AA402" s="11" t="s">
        <v>67</v>
      </c>
      <c r="AB402" s="11" t="s">
        <v>111</v>
      </c>
      <c r="AC402" s="11" t="s">
        <v>50</v>
      </c>
      <c r="AD402" s="11">
        <v>3</v>
      </c>
      <c r="AE402" s="11" t="s">
        <v>2227</v>
      </c>
      <c r="AF402" s="11" t="s">
        <v>2212</v>
      </c>
      <c r="AG402" s="25"/>
      <c r="AH402" s="11"/>
      <c r="AI402" s="11"/>
      <c r="AJ402" s="11"/>
      <c r="AK402" s="11"/>
      <c r="AL402" s="11"/>
      <c r="AM402" s="11" t="str">
        <f t="shared" si="34"/>
        <v>Good</v>
      </c>
      <c r="AN402" s="11" t="str" cm="1">
        <f t="array" ref="AN402">_xlfn.IFS(N402&lt;10000,"Low",N402&lt;30000,"Medium",N402&gt;=30000,"High")</f>
        <v>High</v>
      </c>
      <c r="AO402" s="11" t="str">
        <f t="shared" si="35"/>
        <v>Yes</v>
      </c>
      <c r="AP402" s="11" t="str">
        <f t="shared" si="36"/>
        <v>No</v>
      </c>
      <c r="AQ402" s="11">
        <f t="shared" si="37"/>
        <v>0.37720555555555557</v>
      </c>
      <c r="AR402" s="33"/>
      <c r="AS402" s="33"/>
      <c r="AT402" s="33"/>
      <c r="AU402" s="33"/>
      <c r="AV402" s="33"/>
      <c r="AW402" s="33"/>
      <c r="AX402" s="33" t="str">
        <f t="shared" si="38"/>
        <v>Good</v>
      </c>
    </row>
    <row r="403" spans="1:50">
      <c r="A403" s="9" t="s">
        <v>1058</v>
      </c>
      <c r="B403" s="10" t="s">
        <v>1059</v>
      </c>
      <c r="C403" s="11" t="s">
        <v>1060</v>
      </c>
      <c r="D403" s="11" t="s">
        <v>339</v>
      </c>
      <c r="E403" s="11" t="s">
        <v>55</v>
      </c>
      <c r="F403" s="11" t="s">
        <v>36</v>
      </c>
      <c r="G403" s="11" t="s">
        <v>37</v>
      </c>
      <c r="H403" s="11" t="s">
        <v>171</v>
      </c>
      <c r="I403" s="11" t="s">
        <v>95</v>
      </c>
      <c r="J403" s="11" t="s">
        <v>440</v>
      </c>
      <c r="K403" s="25">
        <v>10</v>
      </c>
      <c r="L403" s="25">
        <v>9000</v>
      </c>
      <c r="M403" s="29">
        <v>0.1</v>
      </c>
      <c r="N403" s="25">
        <v>81000</v>
      </c>
      <c r="O403" s="25">
        <v>53404.44</v>
      </c>
      <c r="P403" s="25">
        <v>27595.56</v>
      </c>
      <c r="Q403" s="21">
        <v>34.07</v>
      </c>
      <c r="R403" s="11" t="s">
        <v>166</v>
      </c>
      <c r="S403" s="11" t="s">
        <v>42</v>
      </c>
      <c r="T403" s="11" t="s">
        <v>63</v>
      </c>
      <c r="U403" s="11" t="s">
        <v>44</v>
      </c>
      <c r="V403" s="11">
        <v>2025</v>
      </c>
      <c r="W403" s="11" t="s">
        <v>45</v>
      </c>
      <c r="X403" s="11">
        <v>4</v>
      </c>
      <c r="Y403" s="10" t="s">
        <v>416</v>
      </c>
      <c r="Z403" s="11" t="s">
        <v>110</v>
      </c>
      <c r="AA403" s="11" t="s">
        <v>48</v>
      </c>
      <c r="AB403" s="11" t="s">
        <v>111</v>
      </c>
      <c r="AC403" s="11" t="s">
        <v>121</v>
      </c>
      <c r="AD403" s="11">
        <v>5</v>
      </c>
      <c r="AE403" s="11" t="s">
        <v>2234</v>
      </c>
      <c r="AF403" s="11" t="s">
        <v>2214</v>
      </c>
      <c r="AG403" s="25"/>
      <c r="AH403" s="11"/>
      <c r="AI403" s="11"/>
      <c r="AJ403" s="11"/>
      <c r="AK403" s="11"/>
      <c r="AL403" s="11"/>
      <c r="AM403" s="11" t="str">
        <f t="shared" si="34"/>
        <v>Good</v>
      </c>
      <c r="AN403" s="11" t="str" cm="1">
        <f t="array" ref="AN403">_xlfn.IFS(N403&lt;10000,"Low",N403&lt;30000,"Medium",N403&gt;=30000,"High")</f>
        <v>High</v>
      </c>
      <c r="AO403" s="11" t="str">
        <f t="shared" si="35"/>
        <v>Yes</v>
      </c>
      <c r="AP403" s="11" t="str">
        <f t="shared" si="36"/>
        <v>Yes</v>
      </c>
      <c r="AQ403" s="11">
        <f t="shared" si="37"/>
        <v>0.34068592592592595</v>
      </c>
      <c r="AR403" s="33"/>
      <c r="AS403" s="33"/>
      <c r="AT403" s="33"/>
      <c r="AU403" s="33"/>
      <c r="AV403" s="33"/>
      <c r="AW403" s="33"/>
      <c r="AX403" s="33" t="str">
        <f t="shared" si="38"/>
        <v>Excellent</v>
      </c>
    </row>
    <row r="404" spans="1:50">
      <c r="A404" s="9" t="s">
        <v>1743</v>
      </c>
      <c r="B404" s="10" t="s">
        <v>1059</v>
      </c>
      <c r="C404" s="11" t="s">
        <v>1145</v>
      </c>
      <c r="D404" s="11" t="s">
        <v>546</v>
      </c>
      <c r="E404" s="11" t="s">
        <v>55</v>
      </c>
      <c r="F404" s="11" t="s">
        <v>144</v>
      </c>
      <c r="G404" s="11" t="s">
        <v>145</v>
      </c>
      <c r="H404" s="11" t="s">
        <v>58</v>
      </c>
      <c r="I404" s="11" t="s">
        <v>71</v>
      </c>
      <c r="J404" s="11" t="s">
        <v>172</v>
      </c>
      <c r="K404" s="25">
        <v>9</v>
      </c>
      <c r="L404" s="25">
        <v>1200</v>
      </c>
      <c r="M404" s="29">
        <v>0.05</v>
      </c>
      <c r="N404" s="25">
        <v>10260</v>
      </c>
      <c r="O404" s="25">
        <v>6128.37</v>
      </c>
      <c r="P404" s="25">
        <v>4131.63</v>
      </c>
      <c r="Q404" s="21">
        <v>40.270000000000003</v>
      </c>
      <c r="R404" s="11" t="s">
        <v>106</v>
      </c>
      <c r="S404" s="11" t="s">
        <v>74</v>
      </c>
      <c r="T404" s="11" t="s">
        <v>63</v>
      </c>
      <c r="U404" s="11" t="s">
        <v>44</v>
      </c>
      <c r="V404" s="11">
        <v>2025</v>
      </c>
      <c r="W404" s="11" t="s">
        <v>45</v>
      </c>
      <c r="X404" s="11">
        <v>6</v>
      </c>
      <c r="Y404" s="10" t="s">
        <v>1744</v>
      </c>
      <c r="Z404" s="11" t="s">
        <v>47</v>
      </c>
      <c r="AA404" s="11" t="s">
        <v>67</v>
      </c>
      <c r="AB404" s="11" t="s">
        <v>78</v>
      </c>
      <c r="AC404" s="11" t="s">
        <v>121</v>
      </c>
      <c r="AD404" s="11">
        <v>5</v>
      </c>
      <c r="AE404" s="11" t="s">
        <v>2216</v>
      </c>
      <c r="AF404" s="11" t="s">
        <v>2222</v>
      </c>
      <c r="AG404" s="25"/>
      <c r="AH404" s="11"/>
      <c r="AI404" s="11"/>
      <c r="AJ404" s="11"/>
      <c r="AK404" s="11"/>
      <c r="AL404" s="11"/>
      <c r="AM404" s="11" t="str">
        <f t="shared" si="34"/>
        <v>Good</v>
      </c>
      <c r="AN404" s="11" t="str" cm="1">
        <f t="array" ref="AN404">_xlfn.IFS(N404&lt;10000,"Low",N404&lt;30000,"Medium",N404&gt;=30000,"High")</f>
        <v>Medium</v>
      </c>
      <c r="AO404" s="11" t="str">
        <f t="shared" si="35"/>
        <v>No</v>
      </c>
      <c r="AP404" s="11" t="str">
        <f t="shared" si="36"/>
        <v>Yes</v>
      </c>
      <c r="AQ404" s="11">
        <f t="shared" si="37"/>
        <v>0.40269298245614038</v>
      </c>
      <c r="AR404" s="33"/>
      <c r="AS404" s="33"/>
      <c r="AT404" s="33"/>
      <c r="AU404" s="33"/>
      <c r="AV404" s="33"/>
      <c r="AW404" s="33"/>
      <c r="AX404" s="33" t="str">
        <f t="shared" si="38"/>
        <v>Low</v>
      </c>
    </row>
    <row r="405" spans="1:50">
      <c r="A405" s="9" t="s">
        <v>501</v>
      </c>
      <c r="B405" s="10" t="s">
        <v>502</v>
      </c>
      <c r="C405" s="11" t="s">
        <v>503</v>
      </c>
      <c r="D405" s="11" t="s">
        <v>310</v>
      </c>
      <c r="E405" s="11" t="s">
        <v>35</v>
      </c>
      <c r="F405" s="11" t="s">
        <v>144</v>
      </c>
      <c r="G405" s="11" t="s">
        <v>145</v>
      </c>
      <c r="H405" s="11" t="s">
        <v>171</v>
      </c>
      <c r="I405" s="11" t="s">
        <v>95</v>
      </c>
      <c r="J405" s="11" t="s">
        <v>184</v>
      </c>
      <c r="K405" s="25">
        <v>6</v>
      </c>
      <c r="L405" s="25">
        <v>6000</v>
      </c>
      <c r="M405" s="29">
        <v>0.15</v>
      </c>
      <c r="N405" s="25">
        <v>30600</v>
      </c>
      <c r="O405" s="25">
        <v>21470.36</v>
      </c>
      <c r="P405" s="25">
        <v>9129.64</v>
      </c>
      <c r="Q405" s="21">
        <v>29.84</v>
      </c>
      <c r="R405" s="11" t="s">
        <v>166</v>
      </c>
      <c r="S405" s="11" t="s">
        <v>74</v>
      </c>
      <c r="T405" s="11" t="s">
        <v>118</v>
      </c>
      <c r="U405" s="11" t="s">
        <v>119</v>
      </c>
      <c r="V405" s="11">
        <v>2024</v>
      </c>
      <c r="W405" s="11" t="s">
        <v>126</v>
      </c>
      <c r="X405" s="11">
        <v>6</v>
      </c>
      <c r="Y405" s="10" t="s">
        <v>504</v>
      </c>
      <c r="Z405" s="11" t="s">
        <v>89</v>
      </c>
      <c r="AA405" s="11" t="s">
        <v>90</v>
      </c>
      <c r="AB405" s="11" t="s">
        <v>49</v>
      </c>
      <c r="AC405" s="11" t="s">
        <v>50</v>
      </c>
      <c r="AD405" s="11">
        <v>4</v>
      </c>
      <c r="AE405" s="11" t="s">
        <v>2213</v>
      </c>
      <c r="AF405" s="11" t="s">
        <v>2219</v>
      </c>
      <c r="AG405" s="25"/>
      <c r="AH405" s="11"/>
      <c r="AI405" s="11"/>
      <c r="AJ405" s="11"/>
      <c r="AK405" s="11"/>
      <c r="AL405" s="11"/>
      <c r="AM405" s="11" t="str">
        <f t="shared" si="34"/>
        <v>Needs Improvement</v>
      </c>
      <c r="AN405" s="11" t="str" cm="1">
        <f t="array" ref="AN405">_xlfn.IFS(N405&lt;10000,"Low",N405&lt;30000,"Medium",N405&gt;=30000,"High")</f>
        <v>High</v>
      </c>
      <c r="AO405" s="11" t="str">
        <f t="shared" si="35"/>
        <v>No</v>
      </c>
      <c r="AP405" s="11" t="str">
        <f t="shared" si="36"/>
        <v>Yes</v>
      </c>
      <c r="AQ405" s="11">
        <f t="shared" si="37"/>
        <v>0.29835424836601304</v>
      </c>
      <c r="AR405" s="33"/>
      <c r="AS405" s="33"/>
      <c r="AT405" s="33"/>
      <c r="AU405" s="33"/>
      <c r="AV405" s="33"/>
      <c r="AW405" s="33"/>
      <c r="AX405" s="33" t="str">
        <f t="shared" si="38"/>
        <v>Average</v>
      </c>
    </row>
    <row r="406" spans="1:50">
      <c r="A406" s="9" t="s">
        <v>1098</v>
      </c>
      <c r="B406" s="10" t="s">
        <v>502</v>
      </c>
      <c r="C406" s="11" t="s">
        <v>338</v>
      </c>
      <c r="D406" s="11" t="s">
        <v>834</v>
      </c>
      <c r="E406" s="11" t="s">
        <v>35</v>
      </c>
      <c r="F406" s="11" t="s">
        <v>116</v>
      </c>
      <c r="G406" s="11" t="s">
        <v>37</v>
      </c>
      <c r="H406" s="11" t="s">
        <v>58</v>
      </c>
      <c r="I406" s="11" t="s">
        <v>59</v>
      </c>
      <c r="J406" s="11" t="s">
        <v>60</v>
      </c>
      <c r="K406" s="25">
        <v>9</v>
      </c>
      <c r="L406" s="25">
        <v>2000</v>
      </c>
      <c r="M406" s="29">
        <v>0</v>
      </c>
      <c r="N406" s="25">
        <v>18000</v>
      </c>
      <c r="O406" s="25">
        <v>14290</v>
      </c>
      <c r="P406" s="25">
        <v>3710</v>
      </c>
      <c r="Q406" s="21">
        <v>20.61</v>
      </c>
      <c r="R406" s="11" t="s">
        <v>166</v>
      </c>
      <c r="S406" s="11" t="s">
        <v>62</v>
      </c>
      <c r="T406" s="11" t="s">
        <v>118</v>
      </c>
      <c r="U406" s="11" t="s">
        <v>119</v>
      </c>
      <c r="V406" s="11">
        <v>2024</v>
      </c>
      <c r="W406" s="11" t="s">
        <v>126</v>
      </c>
      <c r="X406" s="11">
        <v>1</v>
      </c>
      <c r="Y406" s="10" t="s">
        <v>1099</v>
      </c>
      <c r="Z406" s="11" t="s">
        <v>110</v>
      </c>
      <c r="AA406" s="11" t="s">
        <v>48</v>
      </c>
      <c r="AB406" s="11" t="s">
        <v>111</v>
      </c>
      <c r="AC406" s="11" t="s">
        <v>50</v>
      </c>
      <c r="AD406" s="11">
        <v>5</v>
      </c>
      <c r="AE406" s="11" t="s">
        <v>2209</v>
      </c>
      <c r="AF406" s="11" t="s">
        <v>2223</v>
      </c>
      <c r="AG406" s="25"/>
      <c r="AH406" s="11"/>
      <c r="AI406" s="11"/>
      <c r="AJ406" s="11"/>
      <c r="AK406" s="11"/>
      <c r="AL406" s="11"/>
      <c r="AM406" s="11" t="str">
        <f t="shared" si="34"/>
        <v>Needs Improvement</v>
      </c>
      <c r="AN406" s="11" t="str" cm="1">
        <f t="array" ref="AN406">_xlfn.IFS(N406&lt;10000,"Low",N406&lt;30000,"Medium",N406&gt;=30000,"High")</f>
        <v>Medium</v>
      </c>
      <c r="AO406" s="11" t="str">
        <f t="shared" si="35"/>
        <v>No</v>
      </c>
      <c r="AP406" s="11" t="str">
        <f t="shared" si="36"/>
        <v>No</v>
      </c>
      <c r="AQ406" s="11">
        <f t="shared" si="37"/>
        <v>0.20611111111111111</v>
      </c>
      <c r="AR406" s="33"/>
      <c r="AS406" s="33"/>
      <c r="AT406" s="33"/>
      <c r="AU406" s="33"/>
      <c r="AV406" s="33"/>
      <c r="AW406" s="33"/>
      <c r="AX406" s="33" t="str">
        <f t="shared" si="38"/>
        <v>Low</v>
      </c>
    </row>
    <row r="407" spans="1:50">
      <c r="A407" s="9" t="s">
        <v>1270</v>
      </c>
      <c r="B407" s="10" t="s">
        <v>502</v>
      </c>
      <c r="C407" s="11" t="s">
        <v>1271</v>
      </c>
      <c r="D407" s="11" t="s">
        <v>758</v>
      </c>
      <c r="E407" s="11" t="s">
        <v>35</v>
      </c>
      <c r="F407" s="11" t="s">
        <v>149</v>
      </c>
      <c r="G407" s="11" t="s">
        <v>150</v>
      </c>
      <c r="H407" s="11" t="s">
        <v>94</v>
      </c>
      <c r="I407" s="11" t="s">
        <v>95</v>
      </c>
      <c r="J407" s="11" t="s">
        <v>184</v>
      </c>
      <c r="K407" s="25">
        <v>5</v>
      </c>
      <c r="L407" s="25">
        <v>9000</v>
      </c>
      <c r="M407" s="29">
        <v>0.15</v>
      </c>
      <c r="N407" s="25">
        <v>38250</v>
      </c>
      <c r="O407" s="25">
        <v>27234.85</v>
      </c>
      <c r="P407" s="25">
        <v>11015.15</v>
      </c>
      <c r="Q407" s="21">
        <v>28.8</v>
      </c>
      <c r="R407" s="11" t="s">
        <v>73</v>
      </c>
      <c r="S407" s="11" t="s">
        <v>74</v>
      </c>
      <c r="T407" s="11" t="s">
        <v>159</v>
      </c>
      <c r="U407" s="11" t="s">
        <v>119</v>
      </c>
      <c r="V407" s="11">
        <v>2024</v>
      </c>
      <c r="W407" s="11" t="s">
        <v>126</v>
      </c>
      <c r="X407" s="11">
        <v>7</v>
      </c>
      <c r="Y407" s="10" t="s">
        <v>1272</v>
      </c>
      <c r="Z407" s="11" t="s">
        <v>47</v>
      </c>
      <c r="AA407" s="11" t="s">
        <v>67</v>
      </c>
      <c r="AB407" s="11" t="s">
        <v>49</v>
      </c>
      <c r="AC407" s="11" t="s">
        <v>50</v>
      </c>
      <c r="AD407" s="11">
        <v>2</v>
      </c>
      <c r="AE407" s="11" t="s">
        <v>86</v>
      </c>
      <c r="AF407" s="11" t="s">
        <v>2223</v>
      </c>
      <c r="AG407" s="25"/>
      <c r="AH407" s="11"/>
      <c r="AI407" s="11"/>
      <c r="AJ407" s="11"/>
      <c r="AK407" s="11"/>
      <c r="AL407" s="11"/>
      <c r="AM407" s="11" t="str">
        <f t="shared" si="34"/>
        <v>Needs Improvement</v>
      </c>
      <c r="AN407" s="11" t="str" cm="1">
        <f t="array" ref="AN407">_xlfn.IFS(N407&lt;10000,"Low",N407&lt;30000,"Medium",N407&gt;=30000,"High")</f>
        <v>High</v>
      </c>
      <c r="AO407" s="11" t="str">
        <f t="shared" si="35"/>
        <v>Yes</v>
      </c>
      <c r="AP407" s="11" t="str">
        <f t="shared" si="36"/>
        <v>Yes</v>
      </c>
      <c r="AQ407" s="11">
        <f t="shared" si="37"/>
        <v>0.28797777777777778</v>
      </c>
      <c r="AR407" s="33"/>
      <c r="AS407" s="33"/>
      <c r="AT407" s="33"/>
      <c r="AU407" s="33"/>
      <c r="AV407" s="33"/>
      <c r="AW407" s="33"/>
      <c r="AX407" s="33" t="str">
        <f t="shared" si="38"/>
        <v>Good</v>
      </c>
    </row>
    <row r="408" spans="1:50">
      <c r="A408" s="9" t="s">
        <v>856</v>
      </c>
      <c r="B408" s="10" t="s">
        <v>857</v>
      </c>
      <c r="C408" s="11" t="s">
        <v>858</v>
      </c>
      <c r="D408" s="11" t="s">
        <v>859</v>
      </c>
      <c r="E408" s="11" t="s">
        <v>103</v>
      </c>
      <c r="F408" s="11" t="s">
        <v>156</v>
      </c>
      <c r="G408" s="11" t="s">
        <v>157</v>
      </c>
      <c r="H408" s="11" t="s">
        <v>58</v>
      </c>
      <c r="I408" s="11" t="s">
        <v>95</v>
      </c>
      <c r="J408" s="11" t="s">
        <v>344</v>
      </c>
      <c r="K408" s="25">
        <v>1</v>
      </c>
      <c r="L408" s="25">
        <v>4000</v>
      </c>
      <c r="M408" s="29">
        <v>0.1</v>
      </c>
      <c r="N408" s="25">
        <v>3600</v>
      </c>
      <c r="O408" s="25">
        <v>2122.33</v>
      </c>
      <c r="P408" s="25">
        <v>1477.67</v>
      </c>
      <c r="Q408" s="21">
        <v>41.05</v>
      </c>
      <c r="R408" s="11" t="s">
        <v>61</v>
      </c>
      <c r="S408" s="11" t="s">
        <v>62</v>
      </c>
      <c r="T408" s="11" t="s">
        <v>173</v>
      </c>
      <c r="U408" s="11" t="s">
        <v>160</v>
      </c>
      <c r="V408" s="11">
        <v>2024</v>
      </c>
      <c r="W408" s="11" t="s">
        <v>139</v>
      </c>
      <c r="X408" s="11">
        <v>5</v>
      </c>
      <c r="Y408" s="10" t="s">
        <v>860</v>
      </c>
      <c r="Z408" s="11" t="s">
        <v>47</v>
      </c>
      <c r="AA408" s="11" t="s">
        <v>48</v>
      </c>
      <c r="AB408" s="11" t="s">
        <v>111</v>
      </c>
      <c r="AC408" s="11" t="s">
        <v>121</v>
      </c>
      <c r="AD408" s="11">
        <v>5</v>
      </c>
      <c r="AE408" s="11" t="s">
        <v>2218</v>
      </c>
      <c r="AF408" s="11" t="s">
        <v>2212</v>
      </c>
      <c r="AG408" s="25"/>
      <c r="AH408" s="11"/>
      <c r="AI408" s="11"/>
      <c r="AJ408" s="11"/>
      <c r="AK408" s="11"/>
      <c r="AL408" s="11"/>
      <c r="AM408" s="11" t="str">
        <f t="shared" si="34"/>
        <v>Good</v>
      </c>
      <c r="AN408" s="11" t="str" cm="1">
        <f t="array" ref="AN408">_xlfn.IFS(N408&lt;10000,"Low",N408&lt;30000,"Medium",N408&gt;=30000,"High")</f>
        <v>Low</v>
      </c>
      <c r="AO408" s="11" t="str">
        <f t="shared" si="35"/>
        <v>No</v>
      </c>
      <c r="AP408" s="11" t="str">
        <f t="shared" si="36"/>
        <v>No</v>
      </c>
      <c r="AQ408" s="11">
        <f t="shared" si="37"/>
        <v>0.41046388888888891</v>
      </c>
      <c r="AR408" s="33"/>
      <c r="AS408" s="33"/>
      <c r="AT408" s="33"/>
      <c r="AU408" s="33"/>
      <c r="AV408" s="33"/>
      <c r="AW408" s="33"/>
      <c r="AX408" s="33" t="str">
        <f t="shared" si="38"/>
        <v>Low</v>
      </c>
    </row>
    <row r="409" spans="1:50">
      <c r="A409" s="9" t="s">
        <v>1459</v>
      </c>
      <c r="B409" s="10" t="s">
        <v>857</v>
      </c>
      <c r="C409" s="11" t="s">
        <v>1460</v>
      </c>
      <c r="D409" s="11" t="s">
        <v>1209</v>
      </c>
      <c r="E409" s="11" t="s">
        <v>55</v>
      </c>
      <c r="F409" s="11" t="s">
        <v>149</v>
      </c>
      <c r="G409" s="11" t="s">
        <v>150</v>
      </c>
      <c r="H409" s="11" t="s">
        <v>58</v>
      </c>
      <c r="I409" s="11" t="s">
        <v>95</v>
      </c>
      <c r="J409" s="11" t="s">
        <v>344</v>
      </c>
      <c r="K409" s="25">
        <v>2</v>
      </c>
      <c r="L409" s="25">
        <v>9000</v>
      </c>
      <c r="M409" s="29">
        <v>0</v>
      </c>
      <c r="N409" s="25">
        <v>18000</v>
      </c>
      <c r="O409" s="25">
        <v>13624.26</v>
      </c>
      <c r="P409" s="25">
        <v>4375.74</v>
      </c>
      <c r="Q409" s="21">
        <v>24.31</v>
      </c>
      <c r="R409" s="11" t="s">
        <v>73</v>
      </c>
      <c r="S409" s="11" t="s">
        <v>42</v>
      </c>
      <c r="T409" s="11" t="s">
        <v>138</v>
      </c>
      <c r="U409" s="11" t="s">
        <v>160</v>
      </c>
      <c r="V409" s="11">
        <v>2024</v>
      </c>
      <c r="W409" s="11" t="s">
        <v>139</v>
      </c>
      <c r="X409" s="11">
        <v>6</v>
      </c>
      <c r="Y409" s="10" t="s">
        <v>637</v>
      </c>
      <c r="Z409" s="11" t="s">
        <v>110</v>
      </c>
      <c r="AA409" s="11" t="s">
        <v>90</v>
      </c>
      <c r="AB409" s="11" t="s">
        <v>111</v>
      </c>
      <c r="AC409" s="11" t="s">
        <v>50</v>
      </c>
      <c r="AD409" s="11">
        <v>2</v>
      </c>
      <c r="AE409" s="11" t="s">
        <v>2225</v>
      </c>
      <c r="AF409" s="11" t="s">
        <v>2235</v>
      </c>
      <c r="AG409" s="25"/>
      <c r="AH409" s="11"/>
      <c r="AI409" s="11"/>
      <c r="AJ409" s="11"/>
      <c r="AK409" s="11"/>
      <c r="AL409" s="11"/>
      <c r="AM409" s="11" t="str">
        <f t="shared" si="34"/>
        <v>Needs Improvement</v>
      </c>
      <c r="AN409" s="11" t="str" cm="1">
        <f t="array" ref="AN409">_xlfn.IFS(N409&lt;10000,"Low",N409&lt;30000,"Medium",N409&gt;=30000,"High")</f>
        <v>Medium</v>
      </c>
      <c r="AO409" s="11" t="str">
        <f t="shared" si="35"/>
        <v>No</v>
      </c>
      <c r="AP409" s="11" t="str">
        <f t="shared" si="36"/>
        <v>Yes</v>
      </c>
      <c r="AQ409" s="11">
        <f t="shared" si="37"/>
        <v>0.24309666666666666</v>
      </c>
      <c r="AR409" s="33"/>
      <c r="AS409" s="33"/>
      <c r="AT409" s="33"/>
      <c r="AU409" s="33"/>
      <c r="AV409" s="33"/>
      <c r="AW409" s="33"/>
      <c r="AX409" s="33" t="str">
        <f t="shared" si="38"/>
        <v>Low</v>
      </c>
    </row>
    <row r="410" spans="1:50">
      <c r="A410" s="9" t="s">
        <v>1571</v>
      </c>
      <c r="B410" s="10" t="s">
        <v>857</v>
      </c>
      <c r="C410" s="11" t="s">
        <v>706</v>
      </c>
      <c r="D410" s="11" t="s">
        <v>821</v>
      </c>
      <c r="E410" s="11" t="s">
        <v>103</v>
      </c>
      <c r="F410" s="11" t="s">
        <v>36</v>
      </c>
      <c r="G410" s="11" t="s">
        <v>37</v>
      </c>
      <c r="H410" s="11" t="s">
        <v>58</v>
      </c>
      <c r="I410" s="11" t="s">
        <v>95</v>
      </c>
      <c r="J410" s="11" t="s">
        <v>440</v>
      </c>
      <c r="K410" s="25">
        <v>7</v>
      </c>
      <c r="L410" s="25">
        <v>6000</v>
      </c>
      <c r="M410" s="29">
        <v>0.15</v>
      </c>
      <c r="N410" s="25">
        <v>35700</v>
      </c>
      <c r="O410" s="25">
        <v>19732.740000000002</v>
      </c>
      <c r="P410" s="25">
        <v>15967.26</v>
      </c>
      <c r="Q410" s="21">
        <v>44.73</v>
      </c>
      <c r="R410" s="11" t="s">
        <v>106</v>
      </c>
      <c r="S410" s="11" t="s">
        <v>62</v>
      </c>
      <c r="T410" s="11" t="s">
        <v>97</v>
      </c>
      <c r="U410" s="11" t="s">
        <v>160</v>
      </c>
      <c r="V410" s="11">
        <v>2024</v>
      </c>
      <c r="W410" s="11" t="s">
        <v>139</v>
      </c>
      <c r="X410" s="11">
        <v>3</v>
      </c>
      <c r="Y410" s="10" t="s">
        <v>1519</v>
      </c>
      <c r="Z410" s="11" t="s">
        <v>47</v>
      </c>
      <c r="AA410" s="11" t="s">
        <v>67</v>
      </c>
      <c r="AB410" s="11" t="s">
        <v>111</v>
      </c>
      <c r="AC410" s="11" t="s">
        <v>121</v>
      </c>
      <c r="AD410" s="11">
        <v>2</v>
      </c>
      <c r="AE410" s="11" t="s">
        <v>2229</v>
      </c>
      <c r="AF410" s="11" t="s">
        <v>2235</v>
      </c>
      <c r="AG410" s="25"/>
      <c r="AH410" s="11"/>
      <c r="AI410" s="11"/>
      <c r="AJ410" s="11"/>
      <c r="AK410" s="11"/>
      <c r="AL410" s="11"/>
      <c r="AM410" s="11" t="str">
        <f t="shared" si="34"/>
        <v>Good</v>
      </c>
      <c r="AN410" s="11" t="str" cm="1">
        <f t="array" ref="AN410">_xlfn.IFS(N410&lt;10000,"Low",N410&lt;30000,"Medium",N410&gt;=30000,"High")</f>
        <v>High</v>
      </c>
      <c r="AO410" s="11" t="str">
        <f t="shared" si="35"/>
        <v>Yes</v>
      </c>
      <c r="AP410" s="11" t="str">
        <f t="shared" si="36"/>
        <v>No</v>
      </c>
      <c r="AQ410" s="11">
        <f t="shared" si="37"/>
        <v>0.44726218487394959</v>
      </c>
      <c r="AR410" s="33"/>
      <c r="AS410" s="33"/>
      <c r="AT410" s="33"/>
      <c r="AU410" s="33"/>
      <c r="AV410" s="33"/>
      <c r="AW410" s="33"/>
      <c r="AX410" s="33" t="str">
        <f t="shared" si="38"/>
        <v>Good</v>
      </c>
    </row>
    <row r="411" spans="1:50">
      <c r="A411" s="9" t="s">
        <v>1787</v>
      </c>
      <c r="B411" s="10" t="s">
        <v>1788</v>
      </c>
      <c r="C411" s="11" t="s">
        <v>912</v>
      </c>
      <c r="D411" s="11" t="s">
        <v>379</v>
      </c>
      <c r="E411" s="11" t="s">
        <v>55</v>
      </c>
      <c r="F411" s="11" t="s">
        <v>245</v>
      </c>
      <c r="G411" s="11" t="s">
        <v>246</v>
      </c>
      <c r="H411" s="11" t="s">
        <v>38</v>
      </c>
      <c r="I411" s="11" t="s">
        <v>84</v>
      </c>
      <c r="J411" s="11" t="s">
        <v>229</v>
      </c>
      <c r="K411" s="25">
        <v>8</v>
      </c>
      <c r="L411" s="25">
        <v>800</v>
      </c>
      <c r="M411" s="29">
        <v>0.2</v>
      </c>
      <c r="N411" s="25">
        <v>5120</v>
      </c>
      <c r="O411" s="25">
        <v>3866.48</v>
      </c>
      <c r="P411" s="25">
        <v>1253.52</v>
      </c>
      <c r="Q411" s="21">
        <v>24.48</v>
      </c>
      <c r="R411" s="11" t="s">
        <v>41</v>
      </c>
      <c r="S411" s="11" t="s">
        <v>42</v>
      </c>
      <c r="T411" s="11" t="s">
        <v>43</v>
      </c>
      <c r="U411" s="11" t="s">
        <v>160</v>
      </c>
      <c r="V411" s="11">
        <v>2025</v>
      </c>
      <c r="W411" s="11" t="s">
        <v>194</v>
      </c>
      <c r="X411" s="11">
        <v>10</v>
      </c>
      <c r="Y411" s="10" t="s">
        <v>1294</v>
      </c>
      <c r="Z411" s="11" t="s">
        <v>47</v>
      </c>
      <c r="AA411" s="11" t="s">
        <v>48</v>
      </c>
      <c r="AB411" s="11" t="s">
        <v>78</v>
      </c>
      <c r="AC411" s="11" t="s">
        <v>121</v>
      </c>
      <c r="AD411" s="11">
        <v>2</v>
      </c>
      <c r="AE411" s="11" t="s">
        <v>2216</v>
      </c>
      <c r="AF411" s="11" t="s">
        <v>2223</v>
      </c>
      <c r="AG411" s="25"/>
      <c r="AH411" s="11"/>
      <c r="AI411" s="11"/>
      <c r="AJ411" s="11"/>
      <c r="AK411" s="11"/>
      <c r="AL411" s="11"/>
      <c r="AM411" s="11" t="str">
        <f t="shared" si="34"/>
        <v>Needs Improvement</v>
      </c>
      <c r="AN411" s="11" t="str" cm="1">
        <f t="array" ref="AN411">_xlfn.IFS(N411&lt;10000,"Low",N411&lt;30000,"Medium",N411&gt;=30000,"High")</f>
        <v>Low</v>
      </c>
      <c r="AO411" s="11" t="str">
        <f t="shared" si="35"/>
        <v>No</v>
      </c>
      <c r="AP411" s="11" t="str">
        <f t="shared" si="36"/>
        <v>Yes</v>
      </c>
      <c r="AQ411" s="11">
        <f t="shared" si="37"/>
        <v>0.24482812500000001</v>
      </c>
      <c r="AR411" s="33"/>
      <c r="AS411" s="33"/>
      <c r="AT411" s="33"/>
      <c r="AU411" s="33"/>
      <c r="AV411" s="33"/>
      <c r="AW411" s="33"/>
      <c r="AX411" s="33" t="str">
        <f t="shared" si="38"/>
        <v>Low</v>
      </c>
    </row>
    <row r="412" spans="1:50">
      <c r="A412" s="9" t="s">
        <v>1629</v>
      </c>
      <c r="B412" s="10" t="s">
        <v>1630</v>
      </c>
      <c r="C412" s="11" t="s">
        <v>1441</v>
      </c>
      <c r="D412" s="11" t="s">
        <v>770</v>
      </c>
      <c r="E412" s="11" t="s">
        <v>35</v>
      </c>
      <c r="F412" s="11" t="s">
        <v>104</v>
      </c>
      <c r="G412" s="11" t="s">
        <v>104</v>
      </c>
      <c r="H412" s="11" t="s">
        <v>38</v>
      </c>
      <c r="I412" s="11" t="s">
        <v>95</v>
      </c>
      <c r="J412" s="11" t="s">
        <v>344</v>
      </c>
      <c r="K412" s="25">
        <v>6</v>
      </c>
      <c r="L412" s="25">
        <v>9000</v>
      </c>
      <c r="M412" s="29">
        <v>0.2</v>
      </c>
      <c r="N412" s="25">
        <v>43200</v>
      </c>
      <c r="O412" s="25">
        <v>25921.39</v>
      </c>
      <c r="P412" s="25">
        <v>17278.61</v>
      </c>
      <c r="Q412" s="21">
        <v>40</v>
      </c>
      <c r="R412" s="11" t="s">
        <v>41</v>
      </c>
      <c r="S412" s="11" t="s">
        <v>62</v>
      </c>
      <c r="T412" s="11" t="s">
        <v>107</v>
      </c>
      <c r="U412" s="11" t="s">
        <v>151</v>
      </c>
      <c r="V412" s="11">
        <v>2025</v>
      </c>
      <c r="W412" s="11" t="s">
        <v>45</v>
      </c>
      <c r="X412" s="11">
        <v>2</v>
      </c>
      <c r="Y412" s="10" t="s">
        <v>209</v>
      </c>
      <c r="Z412" s="11" t="s">
        <v>47</v>
      </c>
      <c r="AA412" s="11" t="s">
        <v>67</v>
      </c>
      <c r="AB412" s="11" t="s">
        <v>78</v>
      </c>
      <c r="AC412" s="11" t="s">
        <v>121</v>
      </c>
      <c r="AD412" s="11">
        <v>1</v>
      </c>
      <c r="AE412" s="11" t="s">
        <v>2227</v>
      </c>
      <c r="AF412" s="11" t="s">
        <v>2219</v>
      </c>
      <c r="AG412" s="25"/>
      <c r="AH412" s="11"/>
      <c r="AI412" s="11"/>
      <c r="AJ412" s="11"/>
      <c r="AK412" s="11"/>
      <c r="AL412" s="11"/>
      <c r="AM412" s="11" t="str">
        <f t="shared" si="34"/>
        <v>Good</v>
      </c>
      <c r="AN412" s="11" t="str" cm="1">
        <f t="array" ref="AN412">_xlfn.IFS(N412&lt;10000,"Low",N412&lt;30000,"Medium",N412&gt;=30000,"High")</f>
        <v>High</v>
      </c>
      <c r="AO412" s="11" t="str">
        <f t="shared" si="35"/>
        <v>Yes</v>
      </c>
      <c r="AP412" s="11" t="str">
        <f t="shared" si="36"/>
        <v>No</v>
      </c>
      <c r="AQ412" s="11">
        <f t="shared" si="37"/>
        <v>0.39996782407407411</v>
      </c>
      <c r="AR412" s="33"/>
      <c r="AS412" s="33"/>
      <c r="AT412" s="33"/>
      <c r="AU412" s="33"/>
      <c r="AV412" s="33"/>
      <c r="AW412" s="33"/>
      <c r="AX412" s="33" t="str">
        <f t="shared" si="38"/>
        <v>Good</v>
      </c>
    </row>
    <row r="413" spans="1:50">
      <c r="A413" s="9" t="s">
        <v>657</v>
      </c>
      <c r="B413" s="10" t="s">
        <v>658</v>
      </c>
      <c r="C413" s="11" t="s">
        <v>659</v>
      </c>
      <c r="D413" s="11" t="s">
        <v>660</v>
      </c>
      <c r="E413" s="11" t="s">
        <v>55</v>
      </c>
      <c r="F413" s="11" t="s">
        <v>56</v>
      </c>
      <c r="G413" s="11" t="s">
        <v>57</v>
      </c>
      <c r="H413" s="11" t="s">
        <v>94</v>
      </c>
      <c r="I413" s="11" t="s">
        <v>71</v>
      </c>
      <c r="J413" s="11" t="s">
        <v>117</v>
      </c>
      <c r="K413" s="25">
        <v>2</v>
      </c>
      <c r="L413" s="25">
        <v>3500</v>
      </c>
      <c r="M413" s="29">
        <v>0</v>
      </c>
      <c r="N413" s="25">
        <v>7000</v>
      </c>
      <c r="O413" s="25">
        <v>4369.47</v>
      </c>
      <c r="P413" s="25">
        <v>2630.53</v>
      </c>
      <c r="Q413" s="21">
        <v>37.58</v>
      </c>
      <c r="R413" s="11" t="s">
        <v>41</v>
      </c>
      <c r="S413" s="11" t="s">
        <v>42</v>
      </c>
      <c r="T413" s="11" t="s">
        <v>173</v>
      </c>
      <c r="U413" s="11" t="s">
        <v>218</v>
      </c>
      <c r="V413" s="11">
        <v>2024</v>
      </c>
      <c r="W413" s="11" t="s">
        <v>109</v>
      </c>
      <c r="X413" s="11">
        <v>5</v>
      </c>
      <c r="Y413" s="10" t="s">
        <v>661</v>
      </c>
      <c r="Z413" s="11" t="s">
        <v>47</v>
      </c>
      <c r="AA413" s="11" t="s">
        <v>48</v>
      </c>
      <c r="AB413" s="11" t="s">
        <v>49</v>
      </c>
      <c r="AC413" s="11" t="s">
        <v>50</v>
      </c>
      <c r="AD413" s="11">
        <v>5</v>
      </c>
      <c r="AE413" s="11" t="s">
        <v>2218</v>
      </c>
      <c r="AF413" s="11" t="s">
        <v>2222</v>
      </c>
      <c r="AG413" s="25"/>
      <c r="AH413" s="11"/>
      <c r="AI413" s="11"/>
      <c r="AJ413" s="11"/>
      <c r="AK413" s="11"/>
      <c r="AL413" s="11"/>
      <c r="AM413" s="11" t="str">
        <f t="shared" si="34"/>
        <v>Good</v>
      </c>
      <c r="AN413" s="11" t="str" cm="1">
        <f t="array" ref="AN413">_xlfn.IFS(N413&lt;10000,"Low",N413&lt;30000,"Medium",N413&gt;=30000,"High")</f>
        <v>Low</v>
      </c>
      <c r="AO413" s="11" t="str">
        <f t="shared" si="35"/>
        <v>No</v>
      </c>
      <c r="AP413" s="11" t="str">
        <f t="shared" si="36"/>
        <v>Yes</v>
      </c>
      <c r="AQ413" s="11">
        <f t="shared" si="37"/>
        <v>0.37579000000000001</v>
      </c>
      <c r="AR413" s="33"/>
      <c r="AS413" s="33"/>
      <c r="AT413" s="33"/>
      <c r="AU413" s="33"/>
      <c r="AV413" s="33"/>
      <c r="AW413" s="33"/>
      <c r="AX413" s="33" t="str">
        <f t="shared" si="38"/>
        <v>Low</v>
      </c>
    </row>
    <row r="414" spans="1:50">
      <c r="A414" s="9" t="s">
        <v>879</v>
      </c>
      <c r="B414" s="10" t="s">
        <v>658</v>
      </c>
      <c r="C414" s="11" t="s">
        <v>880</v>
      </c>
      <c r="D414" s="11" t="s">
        <v>335</v>
      </c>
      <c r="E414" s="11" t="s">
        <v>35</v>
      </c>
      <c r="F414" s="11" t="s">
        <v>156</v>
      </c>
      <c r="G414" s="11" t="s">
        <v>157</v>
      </c>
      <c r="H414" s="11" t="s">
        <v>171</v>
      </c>
      <c r="I414" s="11" t="s">
        <v>71</v>
      </c>
      <c r="J414" s="11" t="s">
        <v>72</v>
      </c>
      <c r="K414" s="25">
        <v>8</v>
      </c>
      <c r="L414" s="25">
        <v>1200</v>
      </c>
      <c r="M414" s="29">
        <v>0.2</v>
      </c>
      <c r="N414" s="25">
        <v>7680</v>
      </c>
      <c r="O414" s="25">
        <v>5876.18</v>
      </c>
      <c r="P414" s="25">
        <v>1803.82</v>
      </c>
      <c r="Q414" s="21">
        <v>23.49</v>
      </c>
      <c r="R414" s="11" t="s">
        <v>61</v>
      </c>
      <c r="S414" s="11" t="s">
        <v>74</v>
      </c>
      <c r="T414" s="11" t="s">
        <v>107</v>
      </c>
      <c r="U414" s="11" t="s">
        <v>218</v>
      </c>
      <c r="V414" s="11">
        <v>2024</v>
      </c>
      <c r="W414" s="11" t="s">
        <v>109</v>
      </c>
      <c r="X414" s="11">
        <v>3</v>
      </c>
      <c r="Y414" s="10" t="s">
        <v>564</v>
      </c>
      <c r="Z414" s="11" t="s">
        <v>110</v>
      </c>
      <c r="AA414" s="11" t="s">
        <v>48</v>
      </c>
      <c r="AB414" s="11" t="s">
        <v>49</v>
      </c>
      <c r="AC414" s="11" t="s">
        <v>121</v>
      </c>
      <c r="AD414" s="11">
        <v>1</v>
      </c>
      <c r="AE414" s="11" t="s">
        <v>2218</v>
      </c>
      <c r="AF414" s="11" t="s">
        <v>2235</v>
      </c>
      <c r="AG414" s="25"/>
      <c r="AH414" s="11"/>
      <c r="AI414" s="11"/>
      <c r="AJ414" s="11"/>
      <c r="AK414" s="11"/>
      <c r="AL414" s="11"/>
      <c r="AM414" s="11" t="str">
        <f t="shared" si="34"/>
        <v>Needs Improvement</v>
      </c>
      <c r="AN414" s="11" t="str" cm="1">
        <f t="array" ref="AN414">_xlfn.IFS(N414&lt;10000,"Low",N414&lt;30000,"Medium",N414&gt;=30000,"High")</f>
        <v>Low</v>
      </c>
      <c r="AO414" s="11" t="str">
        <f t="shared" si="35"/>
        <v>No</v>
      </c>
      <c r="AP414" s="11" t="str">
        <f t="shared" si="36"/>
        <v>Yes</v>
      </c>
      <c r="AQ414" s="11">
        <f t="shared" si="37"/>
        <v>0.23487239583333333</v>
      </c>
      <c r="AR414" s="33"/>
      <c r="AS414" s="33"/>
      <c r="AT414" s="33"/>
      <c r="AU414" s="33"/>
      <c r="AV414" s="33"/>
      <c r="AW414" s="33"/>
      <c r="AX414" s="33" t="str">
        <f t="shared" si="38"/>
        <v>Low</v>
      </c>
    </row>
    <row r="415" spans="1:50">
      <c r="A415" s="9" t="s">
        <v>1427</v>
      </c>
      <c r="B415" s="10" t="s">
        <v>658</v>
      </c>
      <c r="C415" s="11" t="s">
        <v>1428</v>
      </c>
      <c r="D415" s="11" t="s">
        <v>917</v>
      </c>
      <c r="E415" s="11" t="s">
        <v>35</v>
      </c>
      <c r="F415" s="11" t="s">
        <v>104</v>
      </c>
      <c r="G415" s="11" t="s">
        <v>104</v>
      </c>
      <c r="H415" s="11" t="s">
        <v>171</v>
      </c>
      <c r="I415" s="11" t="s">
        <v>39</v>
      </c>
      <c r="J415" s="11" t="s">
        <v>40</v>
      </c>
      <c r="K415" s="25">
        <v>4</v>
      </c>
      <c r="L415" s="25">
        <v>50000</v>
      </c>
      <c r="M415" s="29">
        <v>0</v>
      </c>
      <c r="N415" s="25">
        <v>200000</v>
      </c>
      <c r="O415" s="25">
        <v>149096.62</v>
      </c>
      <c r="P415" s="25">
        <v>50903.38</v>
      </c>
      <c r="Q415" s="21">
        <v>25.45</v>
      </c>
      <c r="R415" s="11" t="s">
        <v>61</v>
      </c>
      <c r="S415" s="11" t="s">
        <v>42</v>
      </c>
      <c r="T415" s="11" t="s">
        <v>86</v>
      </c>
      <c r="U415" s="11" t="s">
        <v>218</v>
      </c>
      <c r="V415" s="11">
        <v>2024</v>
      </c>
      <c r="W415" s="11" t="s">
        <v>109</v>
      </c>
      <c r="X415" s="11">
        <v>2</v>
      </c>
      <c r="Y415" s="10" t="s">
        <v>728</v>
      </c>
      <c r="Z415" s="11" t="s">
        <v>47</v>
      </c>
      <c r="AA415" s="11" t="s">
        <v>48</v>
      </c>
      <c r="AB415" s="11" t="s">
        <v>49</v>
      </c>
      <c r="AC415" s="11" t="s">
        <v>50</v>
      </c>
      <c r="AD415" s="11">
        <v>4</v>
      </c>
      <c r="AE415" s="11" t="s">
        <v>2221</v>
      </c>
      <c r="AF415" s="11" t="s">
        <v>2210</v>
      </c>
      <c r="AG415" s="25"/>
      <c r="AH415" s="11"/>
      <c r="AI415" s="11"/>
      <c r="AJ415" s="11"/>
      <c r="AK415" s="11"/>
      <c r="AL415" s="11"/>
      <c r="AM415" s="11" t="str">
        <f t="shared" si="34"/>
        <v>Needs Improvement</v>
      </c>
      <c r="AN415" s="11" t="str" cm="1">
        <f t="array" ref="AN415">_xlfn.IFS(N415&lt;10000,"Low",N415&lt;30000,"Medium",N415&gt;=30000,"High")</f>
        <v>High</v>
      </c>
      <c r="AO415" s="11" t="str">
        <f t="shared" si="35"/>
        <v>Yes</v>
      </c>
      <c r="AP415" s="11" t="str">
        <f t="shared" si="36"/>
        <v>Yes</v>
      </c>
      <c r="AQ415" s="11">
        <f t="shared" si="37"/>
        <v>0.25451689999999999</v>
      </c>
      <c r="AR415" s="33"/>
      <c r="AS415" s="33"/>
      <c r="AT415" s="33"/>
      <c r="AU415" s="33"/>
      <c r="AV415" s="33"/>
      <c r="AW415" s="33"/>
      <c r="AX415" s="33" t="str">
        <f t="shared" si="38"/>
        <v>Excellent</v>
      </c>
    </row>
    <row r="416" spans="1:50">
      <c r="A416" s="9" t="s">
        <v>2029</v>
      </c>
      <c r="B416" s="10" t="s">
        <v>658</v>
      </c>
      <c r="C416" s="11" t="s">
        <v>129</v>
      </c>
      <c r="D416" s="11" t="s">
        <v>1071</v>
      </c>
      <c r="E416" s="11" t="s">
        <v>103</v>
      </c>
      <c r="F416" s="11" t="s">
        <v>149</v>
      </c>
      <c r="G416" s="11" t="s">
        <v>150</v>
      </c>
      <c r="H416" s="11" t="s">
        <v>38</v>
      </c>
      <c r="I416" s="11" t="s">
        <v>84</v>
      </c>
      <c r="J416" s="11" t="s">
        <v>217</v>
      </c>
      <c r="K416" s="25">
        <v>4</v>
      </c>
      <c r="L416" s="25">
        <v>800</v>
      </c>
      <c r="M416" s="29">
        <v>0.2</v>
      </c>
      <c r="N416" s="25">
        <v>2560</v>
      </c>
      <c r="O416" s="25">
        <v>2035.51</v>
      </c>
      <c r="P416" s="25">
        <v>524.49</v>
      </c>
      <c r="Q416" s="21">
        <v>20.49</v>
      </c>
      <c r="R416" s="11" t="s">
        <v>41</v>
      </c>
      <c r="S416" s="11" t="s">
        <v>74</v>
      </c>
      <c r="T416" s="11" t="s">
        <v>159</v>
      </c>
      <c r="U416" s="11" t="s">
        <v>218</v>
      </c>
      <c r="V416" s="11">
        <v>2024</v>
      </c>
      <c r="W416" s="11" t="s">
        <v>109</v>
      </c>
      <c r="X416" s="11">
        <v>6</v>
      </c>
      <c r="Y416" s="10" t="s">
        <v>1123</v>
      </c>
      <c r="Z416" s="11" t="s">
        <v>89</v>
      </c>
      <c r="AA416" s="11" t="s">
        <v>90</v>
      </c>
      <c r="AB416" s="11" t="s">
        <v>78</v>
      </c>
      <c r="AC416" s="11" t="s">
        <v>50</v>
      </c>
      <c r="AD416" s="11">
        <v>1</v>
      </c>
      <c r="AE416" s="11" t="s">
        <v>2213</v>
      </c>
      <c r="AF416" s="11" t="s">
        <v>2230</v>
      </c>
      <c r="AG416" s="25"/>
      <c r="AH416" s="11"/>
      <c r="AI416" s="11"/>
      <c r="AJ416" s="11"/>
      <c r="AK416" s="11"/>
      <c r="AL416" s="11"/>
      <c r="AM416" s="11" t="str">
        <f t="shared" si="34"/>
        <v>Needs Improvement</v>
      </c>
      <c r="AN416" s="11" t="str" cm="1">
        <f t="array" ref="AN416">_xlfn.IFS(N416&lt;10000,"Low",N416&lt;30000,"Medium",N416&gt;=30000,"High")</f>
        <v>Low</v>
      </c>
      <c r="AO416" s="11" t="str">
        <f t="shared" si="35"/>
        <v>No</v>
      </c>
      <c r="AP416" s="11" t="str">
        <f t="shared" si="36"/>
        <v>Yes</v>
      </c>
      <c r="AQ416" s="11">
        <f t="shared" si="37"/>
        <v>0.20487890624999999</v>
      </c>
      <c r="AR416" s="33"/>
      <c r="AS416" s="33"/>
      <c r="AT416" s="33"/>
      <c r="AU416" s="33"/>
      <c r="AV416" s="33"/>
      <c r="AW416" s="33"/>
      <c r="AX416" s="33" t="str">
        <f t="shared" si="38"/>
        <v>Low</v>
      </c>
    </row>
    <row r="417" spans="1:50">
      <c r="A417" s="9" t="s">
        <v>1343</v>
      </c>
      <c r="B417" s="10" t="s">
        <v>1344</v>
      </c>
      <c r="C417" s="11" t="s">
        <v>1345</v>
      </c>
      <c r="D417" s="11" t="s">
        <v>900</v>
      </c>
      <c r="E417" s="11" t="s">
        <v>35</v>
      </c>
      <c r="F417" s="11" t="s">
        <v>36</v>
      </c>
      <c r="G417" s="11" t="s">
        <v>37</v>
      </c>
      <c r="H417" s="11" t="s">
        <v>58</v>
      </c>
      <c r="I417" s="11" t="s">
        <v>59</v>
      </c>
      <c r="J417" s="11" t="s">
        <v>328</v>
      </c>
      <c r="K417" s="25">
        <v>4</v>
      </c>
      <c r="L417" s="25">
        <v>3000</v>
      </c>
      <c r="M417" s="29">
        <v>0.2</v>
      </c>
      <c r="N417" s="25">
        <v>9600</v>
      </c>
      <c r="O417" s="25">
        <v>6632.39</v>
      </c>
      <c r="P417" s="25">
        <v>2967.61</v>
      </c>
      <c r="Q417" s="21">
        <v>30.91</v>
      </c>
      <c r="R417" s="11" t="s">
        <v>41</v>
      </c>
      <c r="S417" s="11" t="s">
        <v>74</v>
      </c>
      <c r="T417" s="11" t="s">
        <v>43</v>
      </c>
      <c r="U417" s="11" t="s">
        <v>218</v>
      </c>
      <c r="V417" s="11">
        <v>2025</v>
      </c>
      <c r="W417" s="11" t="s">
        <v>134</v>
      </c>
      <c r="X417" s="11">
        <v>1</v>
      </c>
      <c r="Y417" s="10" t="s">
        <v>1240</v>
      </c>
      <c r="Z417" s="11" t="s">
        <v>89</v>
      </c>
      <c r="AA417" s="11" t="s">
        <v>67</v>
      </c>
      <c r="AB417" s="11" t="s">
        <v>49</v>
      </c>
      <c r="AC417" s="11" t="s">
        <v>121</v>
      </c>
      <c r="AD417" s="11">
        <v>5</v>
      </c>
      <c r="AE417" s="11" t="s">
        <v>2227</v>
      </c>
      <c r="AF417" s="11" t="s">
        <v>2230</v>
      </c>
      <c r="AG417" s="25"/>
      <c r="AH417" s="11"/>
      <c r="AI417" s="11"/>
      <c r="AJ417" s="11"/>
      <c r="AK417" s="11"/>
      <c r="AL417" s="11"/>
      <c r="AM417" s="11" t="str">
        <f t="shared" si="34"/>
        <v>Good</v>
      </c>
      <c r="AN417" s="11" t="str" cm="1">
        <f t="array" ref="AN417">_xlfn.IFS(N417&lt;10000,"Low",N417&lt;30000,"Medium",N417&gt;=30000,"High")</f>
        <v>Low</v>
      </c>
      <c r="AO417" s="11" t="str">
        <f t="shared" si="35"/>
        <v>No</v>
      </c>
      <c r="AP417" s="11" t="str">
        <f t="shared" si="36"/>
        <v>Yes</v>
      </c>
      <c r="AQ417" s="11">
        <f t="shared" si="37"/>
        <v>0.30912604166666668</v>
      </c>
      <c r="AR417" s="33"/>
      <c r="AS417" s="33"/>
      <c r="AT417" s="33"/>
      <c r="AU417" s="33"/>
      <c r="AV417" s="33"/>
      <c r="AW417" s="33"/>
      <c r="AX417" s="33" t="str">
        <f t="shared" si="38"/>
        <v>Low</v>
      </c>
    </row>
    <row r="418" spans="1:50">
      <c r="A418" s="9" t="s">
        <v>1147</v>
      </c>
      <c r="B418" s="10" t="s">
        <v>1148</v>
      </c>
      <c r="C418" s="11" t="s">
        <v>1149</v>
      </c>
      <c r="D418" s="11" t="s">
        <v>1150</v>
      </c>
      <c r="E418" s="11" t="s">
        <v>35</v>
      </c>
      <c r="F418" s="11" t="s">
        <v>116</v>
      </c>
      <c r="G418" s="11" t="s">
        <v>37</v>
      </c>
      <c r="H418" s="11" t="s">
        <v>94</v>
      </c>
      <c r="I418" s="11" t="s">
        <v>39</v>
      </c>
      <c r="J418" s="11" t="s">
        <v>356</v>
      </c>
      <c r="K418" s="25">
        <v>2</v>
      </c>
      <c r="L418" s="25">
        <v>8000</v>
      </c>
      <c r="M418" s="29">
        <v>0.2</v>
      </c>
      <c r="N418" s="25">
        <v>12800</v>
      </c>
      <c r="O418" s="25">
        <v>10138.35</v>
      </c>
      <c r="P418" s="25">
        <v>2661.65</v>
      </c>
      <c r="Q418" s="21">
        <v>20.79</v>
      </c>
      <c r="R418" s="11" t="s">
        <v>61</v>
      </c>
      <c r="S418" s="11" t="s">
        <v>74</v>
      </c>
      <c r="T418" s="11" t="s">
        <v>97</v>
      </c>
      <c r="U418" s="11" t="s">
        <v>108</v>
      </c>
      <c r="V418" s="11">
        <v>2024</v>
      </c>
      <c r="W418" s="11" t="s">
        <v>194</v>
      </c>
      <c r="X418" s="11">
        <v>8</v>
      </c>
      <c r="Y418" s="10" t="s">
        <v>788</v>
      </c>
      <c r="Z418" s="11" t="s">
        <v>47</v>
      </c>
      <c r="AA418" s="11" t="s">
        <v>67</v>
      </c>
      <c r="AB418" s="11" t="s">
        <v>111</v>
      </c>
      <c r="AC418" s="11" t="s">
        <v>121</v>
      </c>
      <c r="AD418" s="11">
        <v>5</v>
      </c>
      <c r="AE418" s="11" t="s">
        <v>2232</v>
      </c>
      <c r="AF418" s="11" t="s">
        <v>2230</v>
      </c>
      <c r="AG418" s="25"/>
      <c r="AH418" s="11"/>
      <c r="AI418" s="11"/>
      <c r="AJ418" s="11"/>
      <c r="AK418" s="11"/>
      <c r="AL418" s="11"/>
      <c r="AM418" s="11" t="str">
        <f t="shared" si="34"/>
        <v>Needs Improvement</v>
      </c>
      <c r="AN418" s="11" t="str" cm="1">
        <f t="array" ref="AN418">_xlfn.IFS(N418&lt;10000,"Low",N418&lt;30000,"Medium",N418&gt;=30000,"High")</f>
        <v>Medium</v>
      </c>
      <c r="AO418" s="11" t="str">
        <f t="shared" si="35"/>
        <v>No</v>
      </c>
      <c r="AP418" s="11" t="str">
        <f t="shared" si="36"/>
        <v>Yes</v>
      </c>
      <c r="AQ418" s="11">
        <f t="shared" si="37"/>
        <v>0.20794140625000002</v>
      </c>
      <c r="AR418" s="33"/>
      <c r="AS418" s="33"/>
      <c r="AT418" s="33"/>
      <c r="AU418" s="33"/>
      <c r="AV418" s="33"/>
      <c r="AW418" s="33"/>
      <c r="AX418" s="33" t="str">
        <f t="shared" si="38"/>
        <v>Low</v>
      </c>
    </row>
    <row r="419" spans="1:50">
      <c r="A419" s="9" t="s">
        <v>1422</v>
      </c>
      <c r="B419" s="10" t="s">
        <v>1423</v>
      </c>
      <c r="C419" s="11" t="s">
        <v>812</v>
      </c>
      <c r="D419" s="11" t="s">
        <v>1424</v>
      </c>
      <c r="E419" s="11" t="s">
        <v>35</v>
      </c>
      <c r="F419" s="11" t="s">
        <v>245</v>
      </c>
      <c r="G419" s="11" t="s">
        <v>246</v>
      </c>
      <c r="H419" s="11" t="s">
        <v>58</v>
      </c>
      <c r="I419" s="11" t="s">
        <v>71</v>
      </c>
      <c r="J419" s="11" t="s">
        <v>240</v>
      </c>
      <c r="K419" s="25">
        <v>3</v>
      </c>
      <c r="L419" s="25">
        <v>1200</v>
      </c>
      <c r="M419" s="29">
        <v>0</v>
      </c>
      <c r="N419" s="25">
        <v>3600</v>
      </c>
      <c r="O419" s="25">
        <v>2265.91</v>
      </c>
      <c r="P419" s="25">
        <v>1334.09</v>
      </c>
      <c r="Q419" s="21">
        <v>37.06</v>
      </c>
      <c r="R419" s="11" t="s">
        <v>61</v>
      </c>
      <c r="S419" s="11" t="s">
        <v>74</v>
      </c>
      <c r="T419" s="11" t="s">
        <v>138</v>
      </c>
      <c r="U419" s="11" t="s">
        <v>108</v>
      </c>
      <c r="V419" s="11">
        <v>2025</v>
      </c>
      <c r="W419" s="11" t="s">
        <v>65</v>
      </c>
      <c r="X419" s="11">
        <v>2</v>
      </c>
      <c r="Y419" s="10" t="s">
        <v>793</v>
      </c>
      <c r="Z419" s="11" t="s">
        <v>47</v>
      </c>
      <c r="AA419" s="11" t="s">
        <v>67</v>
      </c>
      <c r="AB419" s="11" t="s">
        <v>49</v>
      </c>
      <c r="AC419" s="11" t="s">
        <v>121</v>
      </c>
      <c r="AD419" s="11">
        <v>1</v>
      </c>
      <c r="AE419" s="11" t="s">
        <v>118</v>
      </c>
      <c r="AF419" s="11" t="s">
        <v>2222</v>
      </c>
      <c r="AG419" s="25"/>
      <c r="AH419" s="11"/>
      <c r="AI419" s="11"/>
      <c r="AJ419" s="11"/>
      <c r="AK419" s="11"/>
      <c r="AL419" s="11"/>
      <c r="AM419" s="11" t="str">
        <f t="shared" si="34"/>
        <v>Good</v>
      </c>
      <c r="AN419" s="11" t="str" cm="1">
        <f t="array" ref="AN419">_xlfn.IFS(N419&lt;10000,"Low",N419&lt;30000,"Medium",N419&gt;=30000,"High")</f>
        <v>Low</v>
      </c>
      <c r="AO419" s="11" t="str">
        <f t="shared" si="35"/>
        <v>No</v>
      </c>
      <c r="AP419" s="11" t="str">
        <f t="shared" si="36"/>
        <v>Yes</v>
      </c>
      <c r="AQ419" s="11">
        <f t="shared" si="37"/>
        <v>0.37058055555555552</v>
      </c>
      <c r="AR419" s="33"/>
      <c r="AS419" s="33"/>
      <c r="AT419" s="33"/>
      <c r="AU419" s="33"/>
      <c r="AV419" s="33"/>
      <c r="AW419" s="33"/>
      <c r="AX419" s="33" t="str">
        <f t="shared" si="38"/>
        <v>Low</v>
      </c>
    </row>
    <row r="420" spans="1:50">
      <c r="A420" s="9" t="s">
        <v>1324</v>
      </c>
      <c r="B420" s="10" t="s">
        <v>1325</v>
      </c>
      <c r="C420" s="11" t="s">
        <v>301</v>
      </c>
      <c r="D420" s="11" t="s">
        <v>393</v>
      </c>
      <c r="E420" s="11" t="s">
        <v>35</v>
      </c>
      <c r="F420" s="11" t="s">
        <v>156</v>
      </c>
      <c r="G420" s="11" t="s">
        <v>157</v>
      </c>
      <c r="H420" s="11" t="s">
        <v>94</v>
      </c>
      <c r="I420" s="11" t="s">
        <v>59</v>
      </c>
      <c r="J420" s="11" t="s">
        <v>60</v>
      </c>
      <c r="K420" s="25">
        <v>6</v>
      </c>
      <c r="L420" s="25">
        <v>1200</v>
      </c>
      <c r="M420" s="29">
        <v>0</v>
      </c>
      <c r="N420" s="25">
        <v>7200</v>
      </c>
      <c r="O420" s="25">
        <v>5749.36</v>
      </c>
      <c r="P420" s="25">
        <v>1450.64</v>
      </c>
      <c r="Q420" s="21">
        <v>20.149999999999999</v>
      </c>
      <c r="R420" s="11" t="s">
        <v>61</v>
      </c>
      <c r="S420" s="11" t="s">
        <v>42</v>
      </c>
      <c r="T420" s="11" t="s">
        <v>75</v>
      </c>
      <c r="U420" s="11" t="s">
        <v>87</v>
      </c>
      <c r="V420" s="11">
        <v>2024</v>
      </c>
      <c r="W420" s="11" t="s">
        <v>45</v>
      </c>
      <c r="X420" s="11">
        <v>9</v>
      </c>
      <c r="Y420" s="10" t="s">
        <v>1040</v>
      </c>
      <c r="Z420" s="11" t="s">
        <v>89</v>
      </c>
      <c r="AA420" s="11" t="s">
        <v>90</v>
      </c>
      <c r="AB420" s="11" t="s">
        <v>78</v>
      </c>
      <c r="AC420" s="11" t="s">
        <v>121</v>
      </c>
      <c r="AD420" s="11">
        <v>1</v>
      </c>
      <c r="AE420" s="11" t="s">
        <v>2239</v>
      </c>
      <c r="AF420" s="11" t="s">
        <v>2235</v>
      </c>
      <c r="AG420" s="25"/>
      <c r="AH420" s="11"/>
      <c r="AI420" s="11"/>
      <c r="AJ420" s="11"/>
      <c r="AK420" s="11"/>
      <c r="AL420" s="11"/>
      <c r="AM420" s="11" t="str">
        <f t="shared" si="34"/>
        <v>Needs Improvement</v>
      </c>
      <c r="AN420" s="11" t="str" cm="1">
        <f t="array" ref="AN420">_xlfn.IFS(N420&lt;10000,"Low",N420&lt;30000,"Medium",N420&gt;=30000,"High")</f>
        <v>Low</v>
      </c>
      <c r="AO420" s="11" t="str">
        <f t="shared" si="35"/>
        <v>No</v>
      </c>
      <c r="AP420" s="11" t="str">
        <f t="shared" si="36"/>
        <v>Yes</v>
      </c>
      <c r="AQ420" s="11">
        <f t="shared" si="37"/>
        <v>0.20147777777777778</v>
      </c>
      <c r="AR420" s="33"/>
      <c r="AS420" s="33"/>
      <c r="AT420" s="33"/>
      <c r="AU420" s="33"/>
      <c r="AV420" s="33"/>
      <c r="AW420" s="33"/>
      <c r="AX420" s="33" t="str">
        <f t="shared" si="38"/>
        <v>Low</v>
      </c>
    </row>
    <row r="421" spans="1:50">
      <c r="A421" s="9" t="s">
        <v>466</v>
      </c>
      <c r="B421" s="10" t="s">
        <v>467</v>
      </c>
      <c r="C421" s="11" t="s">
        <v>288</v>
      </c>
      <c r="D421" s="11" t="s">
        <v>468</v>
      </c>
      <c r="E421" s="11" t="s">
        <v>35</v>
      </c>
      <c r="F421" s="11" t="s">
        <v>116</v>
      </c>
      <c r="G421" s="11" t="s">
        <v>37</v>
      </c>
      <c r="H421" s="11" t="s">
        <v>38</v>
      </c>
      <c r="I421" s="11" t="s">
        <v>95</v>
      </c>
      <c r="J421" s="11" t="s">
        <v>344</v>
      </c>
      <c r="K421" s="25">
        <v>4</v>
      </c>
      <c r="L421" s="25">
        <v>2500</v>
      </c>
      <c r="M421" s="29">
        <v>0.1</v>
      </c>
      <c r="N421" s="25">
        <v>9000</v>
      </c>
      <c r="O421" s="25">
        <v>7353.57</v>
      </c>
      <c r="P421" s="25">
        <v>1646.43</v>
      </c>
      <c r="Q421" s="21">
        <v>18.29</v>
      </c>
      <c r="R421" s="11" t="s">
        <v>61</v>
      </c>
      <c r="S421" s="11" t="s">
        <v>62</v>
      </c>
      <c r="T421" s="11" t="s">
        <v>43</v>
      </c>
      <c r="U421" s="11" t="s">
        <v>198</v>
      </c>
      <c r="V421" s="11">
        <v>2024</v>
      </c>
      <c r="W421" s="11" t="s">
        <v>134</v>
      </c>
      <c r="X421" s="11">
        <v>9</v>
      </c>
      <c r="Y421" s="10" t="s">
        <v>469</v>
      </c>
      <c r="Z421" s="11" t="s">
        <v>110</v>
      </c>
      <c r="AA421" s="11" t="s">
        <v>48</v>
      </c>
      <c r="AB421" s="11" t="s">
        <v>78</v>
      </c>
      <c r="AC421" s="11" t="s">
        <v>50</v>
      </c>
      <c r="AD421" s="11">
        <v>1</v>
      </c>
      <c r="AE421" s="11" t="s">
        <v>2220</v>
      </c>
      <c r="AF421" s="11" t="s">
        <v>2228</v>
      </c>
      <c r="AG421" s="25"/>
      <c r="AH421" s="11"/>
      <c r="AI421" s="11"/>
      <c r="AJ421" s="11"/>
      <c r="AK421" s="11"/>
      <c r="AL421" s="11"/>
      <c r="AM421" s="11" t="str">
        <f t="shared" si="34"/>
        <v>Needs Improvement</v>
      </c>
      <c r="AN421" s="11" t="str" cm="1">
        <f t="array" ref="AN421">_xlfn.IFS(N421&lt;10000,"Low",N421&lt;30000,"Medium",N421&gt;=30000,"High")</f>
        <v>Low</v>
      </c>
      <c r="AO421" s="11" t="str">
        <f t="shared" si="35"/>
        <v>No</v>
      </c>
      <c r="AP421" s="11" t="str">
        <f t="shared" si="36"/>
        <v>No</v>
      </c>
      <c r="AQ421" s="11">
        <f t="shared" si="37"/>
        <v>0.18293666666666666</v>
      </c>
      <c r="AR421" s="33"/>
      <c r="AS421" s="33"/>
      <c r="AT421" s="33"/>
      <c r="AU421" s="33"/>
      <c r="AV421" s="33"/>
      <c r="AW421" s="33"/>
      <c r="AX421" s="33" t="str">
        <f t="shared" si="38"/>
        <v>Low</v>
      </c>
    </row>
    <row r="422" spans="1:50">
      <c r="A422" s="9" t="s">
        <v>1982</v>
      </c>
      <c r="B422" s="10" t="s">
        <v>467</v>
      </c>
      <c r="C422" s="11" t="s">
        <v>1159</v>
      </c>
      <c r="D422" s="11" t="s">
        <v>1071</v>
      </c>
      <c r="E422" s="11" t="s">
        <v>55</v>
      </c>
      <c r="F422" s="11" t="s">
        <v>82</v>
      </c>
      <c r="G422" s="11" t="s">
        <v>83</v>
      </c>
      <c r="H422" s="11" t="s">
        <v>171</v>
      </c>
      <c r="I422" s="11" t="s">
        <v>59</v>
      </c>
      <c r="J422" s="11" t="s">
        <v>60</v>
      </c>
      <c r="K422" s="25">
        <v>2</v>
      </c>
      <c r="L422" s="25">
        <v>1200</v>
      </c>
      <c r="M422" s="29">
        <v>0.2</v>
      </c>
      <c r="N422" s="25">
        <v>1920</v>
      </c>
      <c r="O422" s="25">
        <v>1088.6400000000001</v>
      </c>
      <c r="P422" s="25">
        <v>831.36</v>
      </c>
      <c r="Q422" s="21">
        <v>43.3</v>
      </c>
      <c r="R422" s="11" t="s">
        <v>73</v>
      </c>
      <c r="S422" s="11" t="s">
        <v>42</v>
      </c>
      <c r="T422" s="11" t="s">
        <v>107</v>
      </c>
      <c r="U422" s="11" t="s">
        <v>198</v>
      </c>
      <c r="V422" s="11">
        <v>2024</v>
      </c>
      <c r="W422" s="11" t="s">
        <v>134</v>
      </c>
      <c r="X422" s="11">
        <v>7</v>
      </c>
      <c r="Y422" s="10" t="s">
        <v>509</v>
      </c>
      <c r="Z422" s="11" t="s">
        <v>47</v>
      </c>
      <c r="AA422" s="11" t="s">
        <v>48</v>
      </c>
      <c r="AB422" s="11" t="s">
        <v>111</v>
      </c>
      <c r="AC422" s="11" t="s">
        <v>121</v>
      </c>
      <c r="AD422" s="11">
        <v>4</v>
      </c>
      <c r="AE422" s="11" t="s">
        <v>2213</v>
      </c>
      <c r="AF422" s="11" t="s">
        <v>2230</v>
      </c>
      <c r="AG422" s="25"/>
      <c r="AH422" s="11"/>
      <c r="AI422" s="11"/>
      <c r="AJ422" s="11"/>
      <c r="AK422" s="11"/>
      <c r="AL422" s="11"/>
      <c r="AM422" s="11" t="str">
        <f t="shared" si="34"/>
        <v>Good</v>
      </c>
      <c r="AN422" s="11" t="str" cm="1">
        <f t="array" ref="AN422">_xlfn.IFS(N422&lt;10000,"Low",N422&lt;30000,"Medium",N422&gt;=30000,"High")</f>
        <v>Low</v>
      </c>
      <c r="AO422" s="11" t="str">
        <f t="shared" si="35"/>
        <v>No</v>
      </c>
      <c r="AP422" s="11" t="str">
        <f t="shared" si="36"/>
        <v>Yes</v>
      </c>
      <c r="AQ422" s="11">
        <f t="shared" si="37"/>
        <v>0.433</v>
      </c>
      <c r="AR422" s="33"/>
      <c r="AS422" s="33"/>
      <c r="AT422" s="33"/>
      <c r="AU422" s="33"/>
      <c r="AV422" s="33"/>
      <c r="AW422" s="33"/>
      <c r="AX422" s="33" t="str">
        <f t="shared" si="38"/>
        <v>Low</v>
      </c>
    </row>
    <row r="423" spans="1:50">
      <c r="A423" s="9" t="s">
        <v>2165</v>
      </c>
      <c r="B423" s="10" t="s">
        <v>2166</v>
      </c>
      <c r="C423" s="11" t="s">
        <v>1288</v>
      </c>
      <c r="D423" s="11" t="s">
        <v>717</v>
      </c>
      <c r="E423" s="11" t="s">
        <v>35</v>
      </c>
      <c r="F423" s="11" t="s">
        <v>131</v>
      </c>
      <c r="G423" s="11" t="s">
        <v>132</v>
      </c>
      <c r="H423" s="11" t="s">
        <v>38</v>
      </c>
      <c r="I423" s="11" t="s">
        <v>71</v>
      </c>
      <c r="J423" s="11" t="s">
        <v>158</v>
      </c>
      <c r="K423" s="25">
        <v>8</v>
      </c>
      <c r="L423" s="25">
        <v>1800</v>
      </c>
      <c r="M423" s="29">
        <v>0</v>
      </c>
      <c r="N423" s="25">
        <v>14400</v>
      </c>
      <c r="O423" s="25">
        <v>9867.7099999999991</v>
      </c>
      <c r="P423" s="25">
        <v>4532.29</v>
      </c>
      <c r="Q423" s="21">
        <v>31.47</v>
      </c>
      <c r="R423" s="11" t="s">
        <v>41</v>
      </c>
      <c r="S423" s="11" t="s">
        <v>62</v>
      </c>
      <c r="T423" s="11" t="s">
        <v>159</v>
      </c>
      <c r="U423" s="11" t="s">
        <v>64</v>
      </c>
      <c r="V423" s="11">
        <v>2025</v>
      </c>
      <c r="W423" s="11" t="s">
        <v>65</v>
      </c>
      <c r="X423" s="11">
        <v>4</v>
      </c>
      <c r="Y423" s="10" t="s">
        <v>242</v>
      </c>
      <c r="Z423" s="11" t="s">
        <v>110</v>
      </c>
      <c r="AA423" s="11" t="s">
        <v>48</v>
      </c>
      <c r="AB423" s="11" t="s">
        <v>111</v>
      </c>
      <c r="AC423" s="11" t="s">
        <v>50</v>
      </c>
      <c r="AD423" s="11">
        <v>2</v>
      </c>
      <c r="AE423" s="11" t="s">
        <v>2233</v>
      </c>
      <c r="AF423" s="11" t="s">
        <v>2214</v>
      </c>
      <c r="AG423" s="25"/>
      <c r="AH423" s="11"/>
      <c r="AI423" s="11"/>
      <c r="AJ423" s="11"/>
      <c r="AK423" s="11"/>
      <c r="AL423" s="11"/>
      <c r="AM423" s="11" t="str">
        <f t="shared" si="34"/>
        <v>Good</v>
      </c>
      <c r="AN423" s="11" t="str" cm="1">
        <f t="array" ref="AN423">_xlfn.IFS(N423&lt;10000,"Low",N423&lt;30000,"Medium",N423&gt;=30000,"High")</f>
        <v>Medium</v>
      </c>
      <c r="AO423" s="11" t="str">
        <f t="shared" si="35"/>
        <v>No</v>
      </c>
      <c r="AP423" s="11" t="str">
        <f t="shared" si="36"/>
        <v>No</v>
      </c>
      <c r="AQ423" s="11">
        <f t="shared" si="37"/>
        <v>0.31474236111111109</v>
      </c>
      <c r="AR423" s="33"/>
      <c r="AS423" s="33"/>
      <c r="AT423" s="33"/>
      <c r="AU423" s="33"/>
      <c r="AV423" s="33"/>
      <c r="AW423" s="33"/>
      <c r="AX423" s="33" t="str">
        <f t="shared" si="38"/>
        <v>Low</v>
      </c>
    </row>
    <row r="424" spans="1:50">
      <c r="A424" s="9" t="s">
        <v>1300</v>
      </c>
      <c r="B424" s="10" t="s">
        <v>1301</v>
      </c>
      <c r="C424" s="11" t="s">
        <v>498</v>
      </c>
      <c r="D424" s="11" t="s">
        <v>339</v>
      </c>
      <c r="E424" s="11" t="s">
        <v>55</v>
      </c>
      <c r="F424" s="11" t="s">
        <v>156</v>
      </c>
      <c r="G424" s="11" t="s">
        <v>157</v>
      </c>
      <c r="H424" s="11" t="s">
        <v>171</v>
      </c>
      <c r="I424" s="11" t="s">
        <v>59</v>
      </c>
      <c r="J424" s="11" t="s">
        <v>328</v>
      </c>
      <c r="K424" s="25">
        <v>1</v>
      </c>
      <c r="L424" s="25">
        <v>2000</v>
      </c>
      <c r="M424" s="29">
        <v>0</v>
      </c>
      <c r="N424" s="25">
        <v>2000</v>
      </c>
      <c r="O424" s="25">
        <v>1348.49</v>
      </c>
      <c r="P424" s="25">
        <v>651.51</v>
      </c>
      <c r="Q424" s="21">
        <v>32.58</v>
      </c>
      <c r="R424" s="11" t="s">
        <v>41</v>
      </c>
      <c r="S424" s="11" t="s">
        <v>42</v>
      </c>
      <c r="T424" s="11" t="s">
        <v>97</v>
      </c>
      <c r="U424" s="11" t="s">
        <v>76</v>
      </c>
      <c r="V424" s="11">
        <v>2024</v>
      </c>
      <c r="W424" s="11" t="s">
        <v>45</v>
      </c>
      <c r="X424" s="11">
        <v>3</v>
      </c>
      <c r="Y424" s="10" t="s">
        <v>592</v>
      </c>
      <c r="Z424" s="11" t="s">
        <v>110</v>
      </c>
      <c r="AA424" s="11" t="s">
        <v>48</v>
      </c>
      <c r="AB424" s="11" t="s">
        <v>111</v>
      </c>
      <c r="AC424" s="11" t="s">
        <v>50</v>
      </c>
      <c r="AD424" s="11">
        <v>3</v>
      </c>
      <c r="AE424" s="11" t="s">
        <v>2234</v>
      </c>
      <c r="AF424" s="11" t="s">
        <v>2214</v>
      </c>
      <c r="AG424" s="25"/>
      <c r="AH424" s="11"/>
      <c r="AI424" s="11"/>
      <c r="AJ424" s="11"/>
      <c r="AK424" s="11"/>
      <c r="AL424" s="11"/>
      <c r="AM424" s="11" t="str">
        <f t="shared" si="34"/>
        <v>Good</v>
      </c>
      <c r="AN424" s="11" t="str" cm="1">
        <f t="array" ref="AN424">_xlfn.IFS(N424&lt;10000,"Low",N424&lt;30000,"Medium",N424&gt;=30000,"High")</f>
        <v>Low</v>
      </c>
      <c r="AO424" s="11" t="str">
        <f t="shared" si="35"/>
        <v>No</v>
      </c>
      <c r="AP424" s="11" t="str">
        <f t="shared" si="36"/>
        <v>Yes</v>
      </c>
      <c r="AQ424" s="11">
        <f t="shared" si="37"/>
        <v>0.32575500000000002</v>
      </c>
      <c r="AR424" s="33"/>
      <c r="AS424" s="33"/>
      <c r="AT424" s="33"/>
      <c r="AU424" s="33"/>
      <c r="AV424" s="33"/>
      <c r="AW424" s="33"/>
      <c r="AX424" s="33" t="str">
        <f t="shared" si="38"/>
        <v>Low</v>
      </c>
    </row>
    <row r="425" spans="1:50">
      <c r="A425" s="9" t="s">
        <v>2094</v>
      </c>
      <c r="B425" s="10" t="s">
        <v>1301</v>
      </c>
      <c r="C425" s="11" t="s">
        <v>1341</v>
      </c>
      <c r="D425" s="11" t="s">
        <v>130</v>
      </c>
      <c r="E425" s="11" t="s">
        <v>35</v>
      </c>
      <c r="F425" s="11" t="s">
        <v>56</v>
      </c>
      <c r="G425" s="11" t="s">
        <v>57</v>
      </c>
      <c r="H425" s="11" t="s">
        <v>38</v>
      </c>
      <c r="I425" s="11" t="s">
        <v>95</v>
      </c>
      <c r="J425" s="11" t="s">
        <v>440</v>
      </c>
      <c r="K425" s="25">
        <v>9</v>
      </c>
      <c r="L425" s="25">
        <v>2500</v>
      </c>
      <c r="M425" s="29">
        <v>0.2</v>
      </c>
      <c r="N425" s="25">
        <v>18000</v>
      </c>
      <c r="O425" s="25">
        <v>13847.95</v>
      </c>
      <c r="P425" s="25">
        <v>4152.05</v>
      </c>
      <c r="Q425" s="21">
        <v>23.07</v>
      </c>
      <c r="R425" s="11" t="s">
        <v>41</v>
      </c>
      <c r="S425" s="11" t="s">
        <v>74</v>
      </c>
      <c r="T425" s="11" t="s">
        <v>173</v>
      </c>
      <c r="U425" s="11" t="s">
        <v>76</v>
      </c>
      <c r="V425" s="11">
        <v>2024</v>
      </c>
      <c r="W425" s="11" t="s">
        <v>45</v>
      </c>
      <c r="X425" s="11">
        <v>9</v>
      </c>
      <c r="Y425" s="10" t="s">
        <v>337</v>
      </c>
      <c r="Z425" s="11" t="s">
        <v>47</v>
      </c>
      <c r="AA425" s="11" t="s">
        <v>67</v>
      </c>
      <c r="AB425" s="11" t="s">
        <v>111</v>
      </c>
      <c r="AC425" s="11" t="s">
        <v>121</v>
      </c>
      <c r="AD425" s="11">
        <v>4</v>
      </c>
      <c r="AE425" s="11" t="s">
        <v>159</v>
      </c>
      <c r="AF425" s="11" t="s">
        <v>2219</v>
      </c>
      <c r="AG425" s="25"/>
      <c r="AH425" s="11"/>
      <c r="AI425" s="11"/>
      <c r="AJ425" s="11"/>
      <c r="AK425" s="11"/>
      <c r="AL425" s="11"/>
      <c r="AM425" s="11" t="str">
        <f t="shared" si="34"/>
        <v>Needs Improvement</v>
      </c>
      <c r="AN425" s="11" t="str" cm="1">
        <f t="array" ref="AN425">_xlfn.IFS(N425&lt;10000,"Low",N425&lt;30000,"Medium",N425&gt;=30000,"High")</f>
        <v>Medium</v>
      </c>
      <c r="AO425" s="11" t="str">
        <f t="shared" si="35"/>
        <v>No</v>
      </c>
      <c r="AP425" s="11" t="str">
        <f t="shared" si="36"/>
        <v>Yes</v>
      </c>
      <c r="AQ425" s="11">
        <f t="shared" si="37"/>
        <v>0.23066944444444445</v>
      </c>
      <c r="AR425" s="33"/>
      <c r="AS425" s="33"/>
      <c r="AT425" s="33"/>
      <c r="AU425" s="33"/>
      <c r="AV425" s="33"/>
      <c r="AW425" s="33"/>
      <c r="AX425" s="33" t="str">
        <f t="shared" si="38"/>
        <v>Low</v>
      </c>
    </row>
    <row r="426" spans="1:50">
      <c r="A426" s="9" t="s">
        <v>925</v>
      </c>
      <c r="B426" s="10" t="s">
        <v>926</v>
      </c>
      <c r="C426" s="11" t="s">
        <v>589</v>
      </c>
      <c r="D426" s="11" t="s">
        <v>927</v>
      </c>
      <c r="E426" s="11" t="s">
        <v>103</v>
      </c>
      <c r="F426" s="11" t="s">
        <v>149</v>
      </c>
      <c r="G426" s="11" t="s">
        <v>150</v>
      </c>
      <c r="H426" s="11" t="s">
        <v>94</v>
      </c>
      <c r="I426" s="11" t="s">
        <v>71</v>
      </c>
      <c r="J426" s="11" t="s">
        <v>172</v>
      </c>
      <c r="K426" s="25">
        <v>9</v>
      </c>
      <c r="L426" s="25">
        <v>2500</v>
      </c>
      <c r="M426" s="29">
        <v>0.05</v>
      </c>
      <c r="N426" s="25">
        <v>21375</v>
      </c>
      <c r="O426" s="25">
        <v>14548.15</v>
      </c>
      <c r="P426" s="25">
        <v>6826.85</v>
      </c>
      <c r="Q426" s="21">
        <v>31.94</v>
      </c>
      <c r="R426" s="11" t="s">
        <v>73</v>
      </c>
      <c r="S426" s="11" t="s">
        <v>42</v>
      </c>
      <c r="T426" s="11" t="s">
        <v>173</v>
      </c>
      <c r="U426" s="11" t="s">
        <v>76</v>
      </c>
      <c r="V426" s="11">
        <v>2025</v>
      </c>
      <c r="W426" s="11" t="s">
        <v>109</v>
      </c>
      <c r="X426" s="11">
        <v>9</v>
      </c>
      <c r="Y426" s="10" t="s">
        <v>928</v>
      </c>
      <c r="Z426" s="11" t="s">
        <v>89</v>
      </c>
      <c r="AA426" s="11" t="s">
        <v>48</v>
      </c>
      <c r="AB426" s="11" t="s">
        <v>49</v>
      </c>
      <c r="AC426" s="11" t="s">
        <v>50</v>
      </c>
      <c r="AD426" s="11">
        <v>2</v>
      </c>
      <c r="AE426" s="11" t="s">
        <v>2229</v>
      </c>
      <c r="AF426" s="11" t="s">
        <v>2236</v>
      </c>
      <c r="AG426" s="25"/>
      <c r="AH426" s="11"/>
      <c r="AI426" s="11"/>
      <c r="AJ426" s="11"/>
      <c r="AK426" s="11"/>
      <c r="AL426" s="11"/>
      <c r="AM426" s="11" t="str">
        <f t="shared" si="34"/>
        <v>Good</v>
      </c>
      <c r="AN426" s="11" t="str" cm="1">
        <f t="array" ref="AN426">_xlfn.IFS(N426&lt;10000,"Low",N426&lt;30000,"Medium",N426&gt;=30000,"High")</f>
        <v>Medium</v>
      </c>
      <c r="AO426" s="11" t="str">
        <f t="shared" si="35"/>
        <v>No</v>
      </c>
      <c r="AP426" s="11" t="str">
        <f t="shared" si="36"/>
        <v>Yes</v>
      </c>
      <c r="AQ426" s="11">
        <f t="shared" si="37"/>
        <v>0.31938479532163744</v>
      </c>
      <c r="AR426" s="33"/>
      <c r="AS426" s="33"/>
      <c r="AT426" s="33"/>
      <c r="AU426" s="33"/>
      <c r="AV426" s="33"/>
      <c r="AW426" s="33"/>
      <c r="AX426" s="33" t="str">
        <f t="shared" si="38"/>
        <v>Average</v>
      </c>
    </row>
    <row r="427" spans="1:50">
      <c r="A427" s="9" t="s">
        <v>2142</v>
      </c>
      <c r="B427" s="10" t="s">
        <v>926</v>
      </c>
      <c r="C427" s="11" t="s">
        <v>354</v>
      </c>
      <c r="D427" s="11" t="s">
        <v>164</v>
      </c>
      <c r="E427" s="11" t="s">
        <v>55</v>
      </c>
      <c r="F427" s="11" t="s">
        <v>131</v>
      </c>
      <c r="G427" s="11" t="s">
        <v>132</v>
      </c>
      <c r="H427" s="11" t="s">
        <v>94</v>
      </c>
      <c r="I427" s="11" t="s">
        <v>71</v>
      </c>
      <c r="J427" s="11" t="s">
        <v>172</v>
      </c>
      <c r="K427" s="25">
        <v>2</v>
      </c>
      <c r="L427" s="25">
        <v>1800</v>
      </c>
      <c r="M427" s="29">
        <v>0</v>
      </c>
      <c r="N427" s="25">
        <v>3600</v>
      </c>
      <c r="O427" s="25">
        <v>2155.5500000000002</v>
      </c>
      <c r="P427" s="25">
        <v>1444.45</v>
      </c>
      <c r="Q427" s="21">
        <v>40.119999999999997</v>
      </c>
      <c r="R427" s="11" t="s">
        <v>106</v>
      </c>
      <c r="S427" s="11" t="s">
        <v>42</v>
      </c>
      <c r="T427" s="11" t="s">
        <v>63</v>
      </c>
      <c r="U427" s="11" t="s">
        <v>76</v>
      </c>
      <c r="V427" s="11">
        <v>2025</v>
      </c>
      <c r="W427" s="11" t="s">
        <v>109</v>
      </c>
      <c r="X427" s="11">
        <v>10</v>
      </c>
      <c r="Y427" s="10" t="s">
        <v>588</v>
      </c>
      <c r="Z427" s="11" t="s">
        <v>110</v>
      </c>
      <c r="AA427" s="11" t="s">
        <v>90</v>
      </c>
      <c r="AB427" s="11" t="s">
        <v>49</v>
      </c>
      <c r="AC427" s="11" t="s">
        <v>121</v>
      </c>
      <c r="AD427" s="11">
        <v>1</v>
      </c>
      <c r="AE427" s="11" t="s">
        <v>2237</v>
      </c>
      <c r="AF427" s="11" t="s">
        <v>2249</v>
      </c>
      <c r="AG427" s="25"/>
      <c r="AH427" s="11"/>
      <c r="AI427" s="11"/>
      <c r="AJ427" s="11"/>
      <c r="AK427" s="11"/>
      <c r="AL427" s="11"/>
      <c r="AM427" s="11" t="str">
        <f t="shared" si="34"/>
        <v>Good</v>
      </c>
      <c r="AN427" s="11" t="str" cm="1">
        <f t="array" ref="AN427">_xlfn.IFS(N427&lt;10000,"Low",N427&lt;30000,"Medium",N427&gt;=30000,"High")</f>
        <v>Low</v>
      </c>
      <c r="AO427" s="11" t="str">
        <f t="shared" si="35"/>
        <v>No</v>
      </c>
      <c r="AP427" s="11" t="str">
        <f t="shared" si="36"/>
        <v>Yes</v>
      </c>
      <c r="AQ427" s="11">
        <f t="shared" si="37"/>
        <v>0.40123611111111113</v>
      </c>
      <c r="AR427" s="33"/>
      <c r="AS427" s="33"/>
      <c r="AT427" s="33"/>
      <c r="AU427" s="33"/>
      <c r="AV427" s="33"/>
      <c r="AW427" s="33"/>
      <c r="AX427" s="33" t="str">
        <f t="shared" si="38"/>
        <v>Low</v>
      </c>
    </row>
    <row r="428" spans="1:50">
      <c r="A428" s="9" t="s">
        <v>1012</v>
      </c>
      <c r="B428" s="10" t="s">
        <v>345</v>
      </c>
      <c r="C428" s="11" t="s">
        <v>1013</v>
      </c>
      <c r="D428" s="11" t="s">
        <v>1014</v>
      </c>
      <c r="E428" s="11" t="s">
        <v>35</v>
      </c>
      <c r="F428" s="11" t="s">
        <v>156</v>
      </c>
      <c r="G428" s="11" t="s">
        <v>157</v>
      </c>
      <c r="H428" s="11" t="s">
        <v>58</v>
      </c>
      <c r="I428" s="11" t="s">
        <v>84</v>
      </c>
      <c r="J428" s="11" t="s">
        <v>390</v>
      </c>
      <c r="K428" s="25">
        <v>2</v>
      </c>
      <c r="L428" s="25">
        <v>800</v>
      </c>
      <c r="M428" s="29">
        <v>0</v>
      </c>
      <c r="N428" s="25">
        <v>1600</v>
      </c>
      <c r="O428" s="25">
        <v>1257.3499999999999</v>
      </c>
      <c r="P428" s="25">
        <v>342.65</v>
      </c>
      <c r="Q428" s="21">
        <v>21.42</v>
      </c>
      <c r="R428" s="11" t="s">
        <v>106</v>
      </c>
      <c r="S428" s="11" t="s">
        <v>42</v>
      </c>
      <c r="T428" s="11" t="s">
        <v>75</v>
      </c>
      <c r="U428" s="11" t="s">
        <v>98</v>
      </c>
      <c r="V428" s="11">
        <v>2024</v>
      </c>
      <c r="W428" s="11" t="s">
        <v>134</v>
      </c>
      <c r="X428" s="11">
        <v>3</v>
      </c>
      <c r="Y428" s="10" t="s">
        <v>1015</v>
      </c>
      <c r="Z428" s="11" t="s">
        <v>47</v>
      </c>
      <c r="AA428" s="11" t="s">
        <v>48</v>
      </c>
      <c r="AB428" s="11" t="s">
        <v>78</v>
      </c>
      <c r="AC428" s="11" t="s">
        <v>50</v>
      </c>
      <c r="AD428" s="11">
        <v>1</v>
      </c>
      <c r="AE428" s="11" t="s">
        <v>2209</v>
      </c>
      <c r="AF428" s="11" t="s">
        <v>2219</v>
      </c>
      <c r="AG428" s="25"/>
      <c r="AH428" s="11"/>
      <c r="AI428" s="11"/>
      <c r="AJ428" s="11"/>
      <c r="AK428" s="11"/>
      <c r="AL428" s="11"/>
      <c r="AM428" s="11" t="str">
        <f t="shared" si="34"/>
        <v>Needs Improvement</v>
      </c>
      <c r="AN428" s="11" t="str" cm="1">
        <f t="array" ref="AN428">_xlfn.IFS(N428&lt;10000,"Low",N428&lt;30000,"Medium",N428&gt;=30000,"High")</f>
        <v>Low</v>
      </c>
      <c r="AO428" s="11" t="str">
        <f t="shared" si="35"/>
        <v>No</v>
      </c>
      <c r="AP428" s="11" t="str">
        <f t="shared" si="36"/>
        <v>Yes</v>
      </c>
      <c r="AQ428" s="11">
        <f t="shared" si="37"/>
        <v>0.21415624999999999</v>
      </c>
      <c r="AR428" s="33"/>
      <c r="AS428" s="33"/>
      <c r="AT428" s="33"/>
      <c r="AU428" s="33"/>
      <c r="AV428" s="33"/>
      <c r="AW428" s="33"/>
      <c r="AX428" s="33" t="str">
        <f t="shared" si="38"/>
        <v>Low</v>
      </c>
    </row>
    <row r="429" spans="1:50">
      <c r="A429" s="9" t="s">
        <v>933</v>
      </c>
      <c r="B429" s="10" t="s">
        <v>934</v>
      </c>
      <c r="C429" s="11" t="s">
        <v>665</v>
      </c>
      <c r="D429" s="11" t="s">
        <v>935</v>
      </c>
      <c r="E429" s="11" t="s">
        <v>35</v>
      </c>
      <c r="F429" s="11" t="s">
        <v>82</v>
      </c>
      <c r="G429" s="11" t="s">
        <v>83</v>
      </c>
      <c r="H429" s="11" t="s">
        <v>94</v>
      </c>
      <c r="I429" s="11" t="s">
        <v>39</v>
      </c>
      <c r="J429" s="11" t="s">
        <v>165</v>
      </c>
      <c r="K429" s="25">
        <v>1</v>
      </c>
      <c r="L429" s="25">
        <v>50000</v>
      </c>
      <c r="M429" s="29">
        <v>0.15</v>
      </c>
      <c r="N429" s="25">
        <v>42500</v>
      </c>
      <c r="O429" s="25">
        <v>26662.23</v>
      </c>
      <c r="P429" s="25">
        <v>15837.77</v>
      </c>
      <c r="Q429" s="21">
        <v>37.270000000000003</v>
      </c>
      <c r="R429" s="11" t="s">
        <v>166</v>
      </c>
      <c r="S429" s="11" t="s">
        <v>74</v>
      </c>
      <c r="T429" s="11" t="s">
        <v>86</v>
      </c>
      <c r="U429" s="11" t="s">
        <v>98</v>
      </c>
      <c r="V429" s="11">
        <v>2025</v>
      </c>
      <c r="W429" s="11" t="s">
        <v>194</v>
      </c>
      <c r="X429" s="11">
        <v>10</v>
      </c>
      <c r="Y429" s="10" t="s">
        <v>316</v>
      </c>
      <c r="Z429" s="11" t="s">
        <v>89</v>
      </c>
      <c r="AA429" s="11" t="s">
        <v>48</v>
      </c>
      <c r="AB429" s="11" t="s">
        <v>111</v>
      </c>
      <c r="AC429" s="11" t="s">
        <v>50</v>
      </c>
      <c r="AD429" s="11">
        <v>2</v>
      </c>
      <c r="AE429" s="11" t="s">
        <v>2226</v>
      </c>
      <c r="AF429" s="11" t="s">
        <v>2238</v>
      </c>
      <c r="AG429" s="25"/>
      <c r="AH429" s="11"/>
      <c r="AI429" s="11"/>
      <c r="AJ429" s="11"/>
      <c r="AK429" s="11"/>
      <c r="AL429" s="11"/>
      <c r="AM429" s="11" t="str">
        <f t="shared" si="34"/>
        <v>Good</v>
      </c>
      <c r="AN429" s="11" t="str" cm="1">
        <f t="array" ref="AN429">_xlfn.IFS(N429&lt;10000,"Low",N429&lt;30000,"Medium",N429&gt;=30000,"High")</f>
        <v>High</v>
      </c>
      <c r="AO429" s="11" t="str">
        <f t="shared" si="35"/>
        <v>Yes</v>
      </c>
      <c r="AP429" s="11" t="str">
        <f t="shared" si="36"/>
        <v>Yes</v>
      </c>
      <c r="AQ429" s="11">
        <f t="shared" si="37"/>
        <v>0.3726534117647059</v>
      </c>
      <c r="AR429" s="33"/>
      <c r="AS429" s="33"/>
      <c r="AT429" s="33"/>
      <c r="AU429" s="33"/>
      <c r="AV429" s="33"/>
      <c r="AW429" s="33"/>
      <c r="AX429" s="33" t="str">
        <f t="shared" si="38"/>
        <v>Good</v>
      </c>
    </row>
    <row r="430" spans="1:50">
      <c r="A430" s="9" t="s">
        <v>1227</v>
      </c>
      <c r="B430" s="10" t="s">
        <v>934</v>
      </c>
      <c r="C430" s="11" t="s">
        <v>1037</v>
      </c>
      <c r="D430" s="11" t="s">
        <v>623</v>
      </c>
      <c r="E430" s="11" t="s">
        <v>35</v>
      </c>
      <c r="F430" s="11" t="s">
        <v>56</v>
      </c>
      <c r="G430" s="11" t="s">
        <v>57</v>
      </c>
      <c r="H430" s="11" t="s">
        <v>171</v>
      </c>
      <c r="I430" s="11" t="s">
        <v>59</v>
      </c>
      <c r="J430" s="11" t="s">
        <v>328</v>
      </c>
      <c r="K430" s="25">
        <v>2</v>
      </c>
      <c r="L430" s="25">
        <v>800</v>
      </c>
      <c r="M430" s="29">
        <v>0.15</v>
      </c>
      <c r="N430" s="25">
        <v>1360</v>
      </c>
      <c r="O430" s="25">
        <v>1020.25</v>
      </c>
      <c r="P430" s="25">
        <v>339.75</v>
      </c>
      <c r="Q430" s="21">
        <v>24.98</v>
      </c>
      <c r="R430" s="11" t="s">
        <v>73</v>
      </c>
      <c r="S430" s="11" t="s">
        <v>42</v>
      </c>
      <c r="T430" s="11" t="s">
        <v>75</v>
      </c>
      <c r="U430" s="11" t="s">
        <v>98</v>
      </c>
      <c r="V430" s="11">
        <v>2025</v>
      </c>
      <c r="W430" s="11" t="s">
        <v>194</v>
      </c>
      <c r="X430" s="11">
        <v>10</v>
      </c>
      <c r="Y430" s="10" t="s">
        <v>316</v>
      </c>
      <c r="Z430" s="11" t="s">
        <v>47</v>
      </c>
      <c r="AA430" s="11" t="s">
        <v>90</v>
      </c>
      <c r="AB430" s="11" t="s">
        <v>49</v>
      </c>
      <c r="AC430" s="11" t="s">
        <v>50</v>
      </c>
      <c r="AD430" s="11">
        <v>4</v>
      </c>
      <c r="AE430" s="11" t="s">
        <v>2237</v>
      </c>
      <c r="AF430" s="11" t="s">
        <v>2236</v>
      </c>
      <c r="AG430" s="25"/>
      <c r="AH430" s="11"/>
      <c r="AI430" s="11"/>
      <c r="AJ430" s="11"/>
      <c r="AK430" s="11"/>
      <c r="AL430" s="11"/>
      <c r="AM430" s="11" t="str">
        <f t="shared" si="34"/>
        <v>Needs Improvement</v>
      </c>
      <c r="AN430" s="11" t="str" cm="1">
        <f t="array" ref="AN430">_xlfn.IFS(N430&lt;10000,"Low",N430&lt;30000,"Medium",N430&gt;=30000,"High")</f>
        <v>Low</v>
      </c>
      <c r="AO430" s="11" t="str">
        <f t="shared" si="35"/>
        <v>No</v>
      </c>
      <c r="AP430" s="11" t="str">
        <f t="shared" si="36"/>
        <v>Yes</v>
      </c>
      <c r="AQ430" s="11">
        <f t="shared" si="37"/>
        <v>0.24981617647058824</v>
      </c>
      <c r="AR430" s="33"/>
      <c r="AS430" s="33"/>
      <c r="AT430" s="33"/>
      <c r="AU430" s="33"/>
      <c r="AV430" s="33"/>
      <c r="AW430" s="33"/>
      <c r="AX430" s="33" t="str">
        <f t="shared" si="38"/>
        <v>Low</v>
      </c>
    </row>
    <row r="431" spans="1:50">
      <c r="A431" s="9" t="s">
        <v>1796</v>
      </c>
      <c r="B431" s="10" t="s">
        <v>934</v>
      </c>
      <c r="C431" s="11" t="s">
        <v>1259</v>
      </c>
      <c r="D431" s="11" t="s">
        <v>263</v>
      </c>
      <c r="E431" s="11" t="s">
        <v>55</v>
      </c>
      <c r="F431" s="11" t="s">
        <v>131</v>
      </c>
      <c r="G431" s="11" t="s">
        <v>132</v>
      </c>
      <c r="H431" s="11" t="s">
        <v>38</v>
      </c>
      <c r="I431" s="11" t="s">
        <v>59</v>
      </c>
      <c r="J431" s="11" t="s">
        <v>133</v>
      </c>
      <c r="K431" s="25">
        <v>4</v>
      </c>
      <c r="L431" s="25">
        <v>1200</v>
      </c>
      <c r="M431" s="29">
        <v>0</v>
      </c>
      <c r="N431" s="25">
        <v>4800</v>
      </c>
      <c r="O431" s="25">
        <v>3807.64</v>
      </c>
      <c r="P431" s="25">
        <v>992.36</v>
      </c>
      <c r="Q431" s="21">
        <v>20.67</v>
      </c>
      <c r="R431" s="11" t="s">
        <v>61</v>
      </c>
      <c r="S431" s="11" t="s">
        <v>74</v>
      </c>
      <c r="T431" s="11" t="s">
        <v>173</v>
      </c>
      <c r="U431" s="11" t="s">
        <v>98</v>
      </c>
      <c r="V431" s="11">
        <v>2025</v>
      </c>
      <c r="W431" s="11" t="s">
        <v>194</v>
      </c>
      <c r="X431" s="11">
        <v>5</v>
      </c>
      <c r="Y431" s="10" t="s">
        <v>871</v>
      </c>
      <c r="Z431" s="11" t="s">
        <v>110</v>
      </c>
      <c r="AA431" s="11" t="s">
        <v>67</v>
      </c>
      <c r="AB431" s="11" t="s">
        <v>111</v>
      </c>
      <c r="AC431" s="11" t="s">
        <v>50</v>
      </c>
      <c r="AD431" s="11">
        <v>2</v>
      </c>
      <c r="AE431" s="11" t="s">
        <v>2220</v>
      </c>
      <c r="AF431" s="11" t="s">
        <v>2219</v>
      </c>
      <c r="AG431" s="25"/>
      <c r="AH431" s="11"/>
      <c r="AI431" s="11"/>
      <c r="AJ431" s="11"/>
      <c r="AK431" s="11"/>
      <c r="AL431" s="11"/>
      <c r="AM431" s="11" t="str">
        <f t="shared" si="34"/>
        <v>Needs Improvement</v>
      </c>
      <c r="AN431" s="11" t="str" cm="1">
        <f t="array" ref="AN431">_xlfn.IFS(N431&lt;10000,"Low",N431&lt;30000,"Medium",N431&gt;=30000,"High")</f>
        <v>Low</v>
      </c>
      <c r="AO431" s="11" t="str">
        <f t="shared" si="35"/>
        <v>No</v>
      </c>
      <c r="AP431" s="11" t="str">
        <f t="shared" si="36"/>
        <v>Yes</v>
      </c>
      <c r="AQ431" s="11">
        <f t="shared" si="37"/>
        <v>0.20674166666666666</v>
      </c>
      <c r="AR431" s="33"/>
      <c r="AS431" s="33"/>
      <c r="AT431" s="33"/>
      <c r="AU431" s="33"/>
      <c r="AV431" s="33"/>
      <c r="AW431" s="33"/>
      <c r="AX431" s="33" t="str">
        <f t="shared" si="38"/>
        <v>Low</v>
      </c>
    </row>
    <row r="432" spans="1:50">
      <c r="A432" s="9" t="s">
        <v>1808</v>
      </c>
      <c r="B432" s="10" t="s">
        <v>934</v>
      </c>
      <c r="C432" s="11" t="s">
        <v>1001</v>
      </c>
      <c r="D432" s="11" t="s">
        <v>870</v>
      </c>
      <c r="E432" s="11" t="s">
        <v>103</v>
      </c>
      <c r="F432" s="11" t="s">
        <v>116</v>
      </c>
      <c r="G432" s="11" t="s">
        <v>37</v>
      </c>
      <c r="H432" s="11" t="s">
        <v>38</v>
      </c>
      <c r="I432" s="11" t="s">
        <v>95</v>
      </c>
      <c r="J432" s="11" t="s">
        <v>319</v>
      </c>
      <c r="K432" s="25">
        <v>9</v>
      </c>
      <c r="L432" s="25">
        <v>15000</v>
      </c>
      <c r="M432" s="29">
        <v>0.1</v>
      </c>
      <c r="N432" s="25">
        <v>121500</v>
      </c>
      <c r="O432" s="25">
        <v>94536.03</v>
      </c>
      <c r="P432" s="25">
        <v>26963.97</v>
      </c>
      <c r="Q432" s="21">
        <v>22.19</v>
      </c>
      <c r="R432" s="11" t="s">
        <v>61</v>
      </c>
      <c r="S432" s="11" t="s">
        <v>62</v>
      </c>
      <c r="T432" s="11" t="s">
        <v>173</v>
      </c>
      <c r="U432" s="11" t="s">
        <v>98</v>
      </c>
      <c r="V432" s="11">
        <v>2025</v>
      </c>
      <c r="W432" s="11" t="s">
        <v>194</v>
      </c>
      <c r="X432" s="11">
        <v>6</v>
      </c>
      <c r="Y432" s="10" t="s">
        <v>780</v>
      </c>
      <c r="Z432" s="11" t="s">
        <v>47</v>
      </c>
      <c r="AA432" s="11" t="s">
        <v>48</v>
      </c>
      <c r="AB432" s="11" t="s">
        <v>49</v>
      </c>
      <c r="AC432" s="11" t="s">
        <v>50</v>
      </c>
      <c r="AD432" s="11">
        <v>3</v>
      </c>
      <c r="AE432" s="11" t="s">
        <v>2216</v>
      </c>
      <c r="AF432" s="11" t="s">
        <v>2236</v>
      </c>
      <c r="AG432" s="25"/>
      <c r="AH432" s="11"/>
      <c r="AI432" s="11"/>
      <c r="AJ432" s="11"/>
      <c r="AK432" s="11"/>
      <c r="AL432" s="11"/>
      <c r="AM432" s="11" t="str">
        <f t="shared" si="34"/>
        <v>Needs Improvement</v>
      </c>
      <c r="AN432" s="11" t="str" cm="1">
        <f t="array" ref="AN432">_xlfn.IFS(N432&lt;10000,"Low",N432&lt;30000,"Medium",N432&gt;=30000,"High")</f>
        <v>High</v>
      </c>
      <c r="AO432" s="11" t="str">
        <f t="shared" si="35"/>
        <v>Yes</v>
      </c>
      <c r="AP432" s="11" t="str">
        <f t="shared" si="36"/>
        <v>No</v>
      </c>
      <c r="AQ432" s="11">
        <f t="shared" si="37"/>
        <v>0.22192567901234569</v>
      </c>
      <c r="AR432" s="33"/>
      <c r="AS432" s="33"/>
      <c r="AT432" s="33"/>
      <c r="AU432" s="33"/>
      <c r="AV432" s="33"/>
      <c r="AW432" s="33"/>
      <c r="AX432" s="33" t="str">
        <f t="shared" si="38"/>
        <v>Excellent</v>
      </c>
    </row>
    <row r="433" spans="1:50">
      <c r="A433" s="9" t="s">
        <v>1720</v>
      </c>
      <c r="B433" s="10" t="s">
        <v>1323</v>
      </c>
      <c r="C433" s="11" t="s">
        <v>334</v>
      </c>
      <c r="D433" s="11" t="s">
        <v>1721</v>
      </c>
      <c r="E433" s="11" t="s">
        <v>103</v>
      </c>
      <c r="F433" s="11" t="s">
        <v>82</v>
      </c>
      <c r="G433" s="11" t="s">
        <v>83</v>
      </c>
      <c r="H433" s="11" t="s">
        <v>38</v>
      </c>
      <c r="I433" s="11" t="s">
        <v>84</v>
      </c>
      <c r="J433" s="11" t="s">
        <v>290</v>
      </c>
      <c r="K433" s="25">
        <v>10</v>
      </c>
      <c r="L433" s="25">
        <v>500</v>
      </c>
      <c r="M433" s="29">
        <v>0.2</v>
      </c>
      <c r="N433" s="25">
        <v>4000</v>
      </c>
      <c r="O433" s="25">
        <v>2923.47</v>
      </c>
      <c r="P433" s="25">
        <v>1076.53</v>
      </c>
      <c r="Q433" s="21">
        <v>26.91</v>
      </c>
      <c r="R433" s="11" t="s">
        <v>73</v>
      </c>
      <c r="S433" s="11" t="s">
        <v>62</v>
      </c>
      <c r="T433" s="11" t="s">
        <v>97</v>
      </c>
      <c r="U433" s="11" t="s">
        <v>178</v>
      </c>
      <c r="V433" s="11">
        <v>2024</v>
      </c>
      <c r="W433" s="11" t="s">
        <v>139</v>
      </c>
      <c r="X433" s="11">
        <v>6</v>
      </c>
      <c r="Y433" s="10" t="s">
        <v>433</v>
      </c>
      <c r="Z433" s="11" t="s">
        <v>110</v>
      </c>
      <c r="AA433" s="11" t="s">
        <v>67</v>
      </c>
      <c r="AB433" s="11" t="s">
        <v>111</v>
      </c>
      <c r="AC433" s="11" t="s">
        <v>121</v>
      </c>
      <c r="AD433" s="11">
        <v>5</v>
      </c>
      <c r="AE433" s="11" t="s">
        <v>2232</v>
      </c>
      <c r="AF433" s="11" t="s">
        <v>2212</v>
      </c>
      <c r="AG433" s="25"/>
      <c r="AH433" s="11"/>
      <c r="AI433" s="11"/>
      <c r="AJ433" s="11"/>
      <c r="AK433" s="11"/>
      <c r="AL433" s="11"/>
      <c r="AM433" s="11" t="str">
        <f t="shared" si="34"/>
        <v>Needs Improvement</v>
      </c>
      <c r="AN433" s="11" t="str" cm="1">
        <f t="array" ref="AN433">_xlfn.IFS(N433&lt;10000,"Low",N433&lt;30000,"Medium",N433&gt;=30000,"High")</f>
        <v>Low</v>
      </c>
      <c r="AO433" s="11" t="str">
        <f t="shared" si="35"/>
        <v>No</v>
      </c>
      <c r="AP433" s="11" t="str">
        <f t="shared" si="36"/>
        <v>No</v>
      </c>
      <c r="AQ433" s="11">
        <f t="shared" si="37"/>
        <v>0.2691325</v>
      </c>
      <c r="AR433" s="33"/>
      <c r="AS433" s="33"/>
      <c r="AT433" s="33"/>
      <c r="AU433" s="33"/>
      <c r="AV433" s="33"/>
      <c r="AW433" s="33"/>
      <c r="AX433" s="33" t="str">
        <f t="shared" si="38"/>
        <v>Low</v>
      </c>
    </row>
    <row r="434" spans="1:50">
      <c r="A434" s="9" t="s">
        <v>31</v>
      </c>
      <c r="B434" s="10" t="s">
        <v>32</v>
      </c>
      <c r="C434" s="11" t="s">
        <v>33</v>
      </c>
      <c r="D434" s="11" t="s">
        <v>34</v>
      </c>
      <c r="E434" s="11" t="s">
        <v>35</v>
      </c>
      <c r="F434" s="11" t="s">
        <v>36</v>
      </c>
      <c r="G434" s="11" t="s">
        <v>37</v>
      </c>
      <c r="H434" s="11" t="s">
        <v>38</v>
      </c>
      <c r="I434" s="11" t="s">
        <v>39</v>
      </c>
      <c r="J434" s="11" t="s">
        <v>40</v>
      </c>
      <c r="K434" s="25">
        <v>4</v>
      </c>
      <c r="L434" s="25">
        <v>12000</v>
      </c>
      <c r="M434" s="29">
        <v>0.05</v>
      </c>
      <c r="N434" s="25">
        <v>45600</v>
      </c>
      <c r="O434" s="25">
        <v>32350.14</v>
      </c>
      <c r="P434" s="25">
        <v>13249.86</v>
      </c>
      <c r="Q434" s="21">
        <v>29.06</v>
      </c>
      <c r="R434" s="11" t="s">
        <v>41</v>
      </c>
      <c r="S434" s="11" t="s">
        <v>42</v>
      </c>
      <c r="T434" s="11" t="s">
        <v>43</v>
      </c>
      <c r="U434" s="11" t="s">
        <v>44</v>
      </c>
      <c r="V434" s="11">
        <v>2024</v>
      </c>
      <c r="W434" s="11" t="s">
        <v>45</v>
      </c>
      <c r="X434" s="11">
        <v>9</v>
      </c>
      <c r="Y434" s="10" t="s">
        <v>46</v>
      </c>
      <c r="Z434" s="11" t="s">
        <v>47</v>
      </c>
      <c r="AA434" s="11" t="s">
        <v>48</v>
      </c>
      <c r="AB434" s="11" t="s">
        <v>49</v>
      </c>
      <c r="AC434" s="11" t="s">
        <v>50</v>
      </c>
      <c r="AD434" s="11">
        <v>2</v>
      </c>
      <c r="AE434" s="11" t="s">
        <v>2232</v>
      </c>
      <c r="AF434" s="11" t="s">
        <v>2224</v>
      </c>
      <c r="AG434" s="25"/>
      <c r="AH434" s="11"/>
      <c r="AI434" s="11"/>
      <c r="AJ434" s="11"/>
      <c r="AK434" s="11"/>
      <c r="AL434" s="11"/>
      <c r="AM434" s="11" t="str">
        <f t="shared" si="34"/>
        <v>Needs Improvement</v>
      </c>
      <c r="AN434" s="11" t="str" cm="1">
        <f t="array" ref="AN434">_xlfn.IFS(N434&lt;10000,"Low",N434&lt;30000,"Medium",N434&gt;=30000,"High")</f>
        <v>High</v>
      </c>
      <c r="AO434" s="11" t="str">
        <f t="shared" si="35"/>
        <v>Yes</v>
      </c>
      <c r="AP434" s="11" t="str">
        <f t="shared" si="36"/>
        <v>Yes</v>
      </c>
      <c r="AQ434" s="11">
        <f t="shared" si="37"/>
        <v>0.29056710526315793</v>
      </c>
      <c r="AR434" s="33"/>
      <c r="AS434" s="33"/>
      <c r="AT434" s="33"/>
      <c r="AU434" s="33"/>
      <c r="AV434" s="33"/>
      <c r="AW434" s="33"/>
      <c r="AX434" s="33" t="str">
        <f t="shared" si="38"/>
        <v>Good</v>
      </c>
    </row>
    <row r="435" spans="1:50">
      <c r="A435" s="9" t="s">
        <v>1432</v>
      </c>
      <c r="B435" s="10" t="s">
        <v>32</v>
      </c>
      <c r="C435" s="11" t="s">
        <v>378</v>
      </c>
      <c r="D435" s="11" t="s">
        <v>1362</v>
      </c>
      <c r="E435" s="11" t="s">
        <v>103</v>
      </c>
      <c r="F435" s="11" t="s">
        <v>36</v>
      </c>
      <c r="G435" s="11" t="s">
        <v>37</v>
      </c>
      <c r="H435" s="11" t="s">
        <v>94</v>
      </c>
      <c r="I435" s="11" t="s">
        <v>95</v>
      </c>
      <c r="J435" s="11" t="s">
        <v>440</v>
      </c>
      <c r="K435" s="25">
        <v>5</v>
      </c>
      <c r="L435" s="25">
        <v>15000</v>
      </c>
      <c r="M435" s="29">
        <v>0.15</v>
      </c>
      <c r="N435" s="25">
        <v>63750</v>
      </c>
      <c r="O435" s="25">
        <v>38013.74</v>
      </c>
      <c r="P435" s="25">
        <v>25736.26</v>
      </c>
      <c r="Q435" s="21">
        <v>40.369999999999997</v>
      </c>
      <c r="R435" s="11" t="s">
        <v>73</v>
      </c>
      <c r="S435" s="11" t="s">
        <v>62</v>
      </c>
      <c r="T435" s="11" t="s">
        <v>118</v>
      </c>
      <c r="U435" s="11" t="s">
        <v>44</v>
      </c>
      <c r="V435" s="11">
        <v>2024</v>
      </c>
      <c r="W435" s="11" t="s">
        <v>45</v>
      </c>
      <c r="X435" s="11">
        <v>9</v>
      </c>
      <c r="Y435" s="10" t="s">
        <v>46</v>
      </c>
      <c r="Z435" s="11" t="s">
        <v>89</v>
      </c>
      <c r="AA435" s="11" t="s">
        <v>48</v>
      </c>
      <c r="AB435" s="11" t="s">
        <v>111</v>
      </c>
      <c r="AC435" s="11" t="s">
        <v>50</v>
      </c>
      <c r="AD435" s="11">
        <v>4</v>
      </c>
      <c r="AE435" s="11" t="s">
        <v>2234</v>
      </c>
      <c r="AF435" s="11" t="s">
        <v>2236</v>
      </c>
      <c r="AG435" s="25"/>
      <c r="AH435" s="11"/>
      <c r="AI435" s="11"/>
      <c r="AJ435" s="11"/>
      <c r="AK435" s="11"/>
      <c r="AL435" s="11"/>
      <c r="AM435" s="11" t="str">
        <f t="shared" si="34"/>
        <v>Good</v>
      </c>
      <c r="AN435" s="11" t="str" cm="1">
        <f t="array" ref="AN435">_xlfn.IFS(N435&lt;10000,"Low",N435&lt;30000,"Medium",N435&gt;=30000,"High")</f>
        <v>High</v>
      </c>
      <c r="AO435" s="11" t="str">
        <f t="shared" si="35"/>
        <v>Yes</v>
      </c>
      <c r="AP435" s="11" t="str">
        <f t="shared" si="36"/>
        <v>No</v>
      </c>
      <c r="AQ435" s="11">
        <f t="shared" si="37"/>
        <v>0.40370603921568626</v>
      </c>
      <c r="AR435" s="33"/>
      <c r="AS435" s="33"/>
      <c r="AT435" s="33"/>
      <c r="AU435" s="33"/>
      <c r="AV435" s="33"/>
      <c r="AW435" s="33"/>
      <c r="AX435" s="33" t="str">
        <f t="shared" si="38"/>
        <v>Excellent</v>
      </c>
    </row>
    <row r="436" spans="1:50">
      <c r="A436" s="9" t="s">
        <v>2045</v>
      </c>
      <c r="B436" s="10" t="s">
        <v>32</v>
      </c>
      <c r="C436" s="11" t="s">
        <v>652</v>
      </c>
      <c r="D436" s="11" t="s">
        <v>1342</v>
      </c>
      <c r="E436" s="11" t="s">
        <v>55</v>
      </c>
      <c r="F436" s="11" t="s">
        <v>116</v>
      </c>
      <c r="G436" s="11" t="s">
        <v>37</v>
      </c>
      <c r="H436" s="11" t="s">
        <v>38</v>
      </c>
      <c r="I436" s="11" t="s">
        <v>39</v>
      </c>
      <c r="J436" s="11" t="s">
        <v>105</v>
      </c>
      <c r="K436" s="25">
        <v>8</v>
      </c>
      <c r="L436" s="25">
        <v>12000</v>
      </c>
      <c r="M436" s="29">
        <v>0.1</v>
      </c>
      <c r="N436" s="25">
        <v>86400</v>
      </c>
      <c r="O436" s="25">
        <v>59981.39</v>
      </c>
      <c r="P436" s="25">
        <v>26418.61</v>
      </c>
      <c r="Q436" s="21">
        <v>30.58</v>
      </c>
      <c r="R436" s="11" t="s">
        <v>73</v>
      </c>
      <c r="S436" s="11" t="s">
        <v>74</v>
      </c>
      <c r="T436" s="11" t="s">
        <v>43</v>
      </c>
      <c r="U436" s="11" t="s">
        <v>44</v>
      </c>
      <c r="V436" s="11">
        <v>2024</v>
      </c>
      <c r="W436" s="11" t="s">
        <v>45</v>
      </c>
      <c r="X436" s="11">
        <v>7</v>
      </c>
      <c r="Y436" s="10" t="s">
        <v>200</v>
      </c>
      <c r="Z436" s="11" t="s">
        <v>110</v>
      </c>
      <c r="AA436" s="11" t="s">
        <v>90</v>
      </c>
      <c r="AB436" s="11" t="s">
        <v>111</v>
      </c>
      <c r="AC436" s="11" t="s">
        <v>121</v>
      </c>
      <c r="AD436" s="11">
        <v>4</v>
      </c>
      <c r="AE436" s="11" t="s">
        <v>2239</v>
      </c>
      <c r="AF436" s="11" t="s">
        <v>2214</v>
      </c>
      <c r="AG436" s="25"/>
      <c r="AH436" s="11"/>
      <c r="AI436" s="11"/>
      <c r="AJ436" s="11"/>
      <c r="AK436" s="11"/>
      <c r="AL436" s="11"/>
      <c r="AM436" s="11" t="str">
        <f t="shared" si="34"/>
        <v>Good</v>
      </c>
      <c r="AN436" s="11" t="str" cm="1">
        <f t="array" ref="AN436">_xlfn.IFS(N436&lt;10000,"Low",N436&lt;30000,"Medium",N436&gt;=30000,"High")</f>
        <v>High</v>
      </c>
      <c r="AO436" s="11" t="str">
        <f t="shared" si="35"/>
        <v>Yes</v>
      </c>
      <c r="AP436" s="11" t="str">
        <f t="shared" si="36"/>
        <v>Yes</v>
      </c>
      <c r="AQ436" s="11">
        <f t="shared" si="37"/>
        <v>0.30577094907407409</v>
      </c>
      <c r="AR436" s="33"/>
      <c r="AS436" s="33"/>
      <c r="AT436" s="33"/>
      <c r="AU436" s="33"/>
      <c r="AV436" s="33"/>
      <c r="AW436" s="33"/>
      <c r="AX436" s="33" t="str">
        <f t="shared" si="38"/>
        <v>Excellent</v>
      </c>
    </row>
    <row r="437" spans="1:50">
      <c r="A437" s="9" t="s">
        <v>2095</v>
      </c>
      <c r="B437" s="10" t="s">
        <v>32</v>
      </c>
      <c r="C437" s="11" t="s">
        <v>681</v>
      </c>
      <c r="D437" s="11" t="s">
        <v>137</v>
      </c>
      <c r="E437" s="11" t="s">
        <v>35</v>
      </c>
      <c r="F437" s="11" t="s">
        <v>36</v>
      </c>
      <c r="G437" s="11" t="s">
        <v>37</v>
      </c>
      <c r="H437" s="11" t="s">
        <v>171</v>
      </c>
      <c r="I437" s="11" t="s">
        <v>95</v>
      </c>
      <c r="J437" s="11" t="s">
        <v>96</v>
      </c>
      <c r="K437" s="25">
        <v>1</v>
      </c>
      <c r="L437" s="25">
        <v>9000</v>
      </c>
      <c r="M437" s="29">
        <v>0.15</v>
      </c>
      <c r="N437" s="25">
        <v>7650</v>
      </c>
      <c r="O437" s="25">
        <v>5161.6499999999996</v>
      </c>
      <c r="P437" s="25">
        <v>2488.35</v>
      </c>
      <c r="Q437" s="21">
        <v>32.53</v>
      </c>
      <c r="R437" s="11" t="s">
        <v>61</v>
      </c>
      <c r="S437" s="11" t="s">
        <v>42</v>
      </c>
      <c r="T437" s="11" t="s">
        <v>159</v>
      </c>
      <c r="U437" s="11" t="s">
        <v>44</v>
      </c>
      <c r="V437" s="11">
        <v>2024</v>
      </c>
      <c r="W437" s="11" t="s">
        <v>45</v>
      </c>
      <c r="X437" s="11">
        <v>4</v>
      </c>
      <c r="Y437" s="10" t="s">
        <v>723</v>
      </c>
      <c r="Z437" s="11" t="s">
        <v>47</v>
      </c>
      <c r="AA437" s="11" t="s">
        <v>67</v>
      </c>
      <c r="AB437" s="11" t="s">
        <v>78</v>
      </c>
      <c r="AC437" s="11" t="s">
        <v>121</v>
      </c>
      <c r="AD437" s="11">
        <v>4</v>
      </c>
      <c r="AE437" s="11" t="s">
        <v>2216</v>
      </c>
      <c r="AF437" s="11" t="s">
        <v>2224</v>
      </c>
      <c r="AG437" s="25"/>
      <c r="AH437" s="11"/>
      <c r="AI437" s="11"/>
      <c r="AJ437" s="11"/>
      <c r="AK437" s="11"/>
      <c r="AL437" s="11"/>
      <c r="AM437" s="11" t="str">
        <f t="shared" si="34"/>
        <v>Good</v>
      </c>
      <c r="AN437" s="11" t="str" cm="1">
        <f t="array" ref="AN437">_xlfn.IFS(N437&lt;10000,"Low",N437&lt;30000,"Medium",N437&gt;=30000,"High")</f>
        <v>Low</v>
      </c>
      <c r="AO437" s="11" t="str">
        <f t="shared" si="35"/>
        <v>No</v>
      </c>
      <c r="AP437" s="11" t="str">
        <f t="shared" si="36"/>
        <v>Yes</v>
      </c>
      <c r="AQ437" s="11">
        <f t="shared" si="37"/>
        <v>0.32527450980392153</v>
      </c>
      <c r="AR437" s="33"/>
      <c r="AS437" s="33"/>
      <c r="AT437" s="33"/>
      <c r="AU437" s="33"/>
      <c r="AV437" s="33"/>
      <c r="AW437" s="33"/>
      <c r="AX437" s="33" t="str">
        <f t="shared" si="38"/>
        <v>Low</v>
      </c>
    </row>
    <row r="438" spans="1:50">
      <c r="A438" s="9" t="s">
        <v>2152</v>
      </c>
      <c r="B438" s="10" t="s">
        <v>1099</v>
      </c>
      <c r="C438" s="11" t="s">
        <v>309</v>
      </c>
      <c r="D438" s="11" t="s">
        <v>834</v>
      </c>
      <c r="E438" s="11" t="s">
        <v>103</v>
      </c>
      <c r="F438" s="11" t="s">
        <v>144</v>
      </c>
      <c r="G438" s="11" t="s">
        <v>145</v>
      </c>
      <c r="H438" s="11" t="s">
        <v>58</v>
      </c>
      <c r="I438" s="11" t="s">
        <v>59</v>
      </c>
      <c r="J438" s="11" t="s">
        <v>372</v>
      </c>
      <c r="K438" s="25">
        <v>4</v>
      </c>
      <c r="L438" s="25">
        <v>2000</v>
      </c>
      <c r="M438" s="29">
        <v>0.1</v>
      </c>
      <c r="N438" s="25">
        <v>7200</v>
      </c>
      <c r="O438" s="25">
        <v>4502.43</v>
      </c>
      <c r="P438" s="25">
        <v>2697.57</v>
      </c>
      <c r="Q438" s="21">
        <v>37.47</v>
      </c>
      <c r="R438" s="11" t="s">
        <v>41</v>
      </c>
      <c r="S438" s="11" t="s">
        <v>42</v>
      </c>
      <c r="T438" s="11" t="s">
        <v>107</v>
      </c>
      <c r="U438" s="11" t="s">
        <v>119</v>
      </c>
      <c r="V438" s="11">
        <v>2024</v>
      </c>
      <c r="W438" s="11" t="s">
        <v>109</v>
      </c>
      <c r="X438" s="11">
        <v>10</v>
      </c>
      <c r="Y438" s="10" t="s">
        <v>1586</v>
      </c>
      <c r="Z438" s="11" t="s">
        <v>47</v>
      </c>
      <c r="AA438" s="11" t="s">
        <v>90</v>
      </c>
      <c r="AB438" s="11" t="s">
        <v>78</v>
      </c>
      <c r="AC438" s="11" t="s">
        <v>121</v>
      </c>
      <c r="AD438" s="11">
        <v>3</v>
      </c>
      <c r="AE438" s="11" t="s">
        <v>2209</v>
      </c>
      <c r="AF438" s="11" t="s">
        <v>2223</v>
      </c>
      <c r="AG438" s="25"/>
      <c r="AH438" s="11"/>
      <c r="AI438" s="11"/>
      <c r="AJ438" s="11"/>
      <c r="AK438" s="11"/>
      <c r="AL438" s="11"/>
      <c r="AM438" s="11" t="str">
        <f t="shared" si="34"/>
        <v>Good</v>
      </c>
      <c r="AN438" s="11" t="str" cm="1">
        <f t="array" ref="AN438">_xlfn.IFS(N438&lt;10000,"Low",N438&lt;30000,"Medium",N438&gt;=30000,"High")</f>
        <v>Low</v>
      </c>
      <c r="AO438" s="11" t="str">
        <f t="shared" si="35"/>
        <v>No</v>
      </c>
      <c r="AP438" s="11" t="str">
        <f t="shared" si="36"/>
        <v>Yes</v>
      </c>
      <c r="AQ438" s="11">
        <f t="shared" si="37"/>
        <v>0.37466250000000001</v>
      </c>
      <c r="AR438" s="33"/>
      <c r="AS438" s="33"/>
      <c r="AT438" s="33"/>
      <c r="AU438" s="33"/>
      <c r="AV438" s="33"/>
      <c r="AW438" s="33"/>
      <c r="AX438" s="33" t="str">
        <f t="shared" si="38"/>
        <v>Low</v>
      </c>
    </row>
    <row r="439" spans="1:50">
      <c r="A439" s="9" t="s">
        <v>1306</v>
      </c>
      <c r="B439" s="10" t="s">
        <v>1307</v>
      </c>
      <c r="C439" s="11" t="s">
        <v>830</v>
      </c>
      <c r="D439" s="11" t="s">
        <v>1308</v>
      </c>
      <c r="E439" s="11" t="s">
        <v>103</v>
      </c>
      <c r="F439" s="11" t="s">
        <v>56</v>
      </c>
      <c r="G439" s="11" t="s">
        <v>57</v>
      </c>
      <c r="H439" s="11" t="s">
        <v>58</v>
      </c>
      <c r="I439" s="11" t="s">
        <v>59</v>
      </c>
      <c r="J439" s="11" t="s">
        <v>372</v>
      </c>
      <c r="K439" s="25">
        <v>9</v>
      </c>
      <c r="L439" s="25">
        <v>1200</v>
      </c>
      <c r="M439" s="29">
        <v>0</v>
      </c>
      <c r="N439" s="25">
        <v>10800</v>
      </c>
      <c r="O439" s="25">
        <v>7436.95</v>
      </c>
      <c r="P439" s="25">
        <v>3363.05</v>
      </c>
      <c r="Q439" s="21">
        <v>31.14</v>
      </c>
      <c r="R439" s="11" t="s">
        <v>41</v>
      </c>
      <c r="S439" s="11" t="s">
        <v>74</v>
      </c>
      <c r="T439" s="11" t="s">
        <v>75</v>
      </c>
      <c r="U439" s="11" t="s">
        <v>119</v>
      </c>
      <c r="V439" s="11">
        <v>2025</v>
      </c>
      <c r="W439" s="11" t="s">
        <v>134</v>
      </c>
      <c r="X439" s="11">
        <v>7</v>
      </c>
      <c r="Y439" s="10" t="s">
        <v>1309</v>
      </c>
      <c r="Z439" s="11" t="s">
        <v>110</v>
      </c>
      <c r="AA439" s="11" t="s">
        <v>48</v>
      </c>
      <c r="AB439" s="11" t="s">
        <v>78</v>
      </c>
      <c r="AC439" s="11" t="s">
        <v>121</v>
      </c>
      <c r="AD439" s="11">
        <v>3</v>
      </c>
      <c r="AE439" s="11" t="s">
        <v>2220</v>
      </c>
      <c r="AF439" s="11" t="s">
        <v>2212</v>
      </c>
      <c r="AG439" s="25"/>
      <c r="AH439" s="11"/>
      <c r="AI439" s="11"/>
      <c r="AJ439" s="11"/>
      <c r="AK439" s="11"/>
      <c r="AL439" s="11"/>
      <c r="AM439" s="11" t="str">
        <f t="shared" si="34"/>
        <v>Good</v>
      </c>
      <c r="AN439" s="11" t="str" cm="1">
        <f t="array" ref="AN439">_xlfn.IFS(N439&lt;10000,"Low",N439&lt;30000,"Medium",N439&gt;=30000,"High")</f>
        <v>Medium</v>
      </c>
      <c r="AO439" s="11" t="str">
        <f t="shared" si="35"/>
        <v>No</v>
      </c>
      <c r="AP439" s="11" t="str">
        <f t="shared" si="36"/>
        <v>Yes</v>
      </c>
      <c r="AQ439" s="11">
        <f t="shared" si="37"/>
        <v>0.31139351851851854</v>
      </c>
      <c r="AR439" s="33"/>
      <c r="AS439" s="33"/>
      <c r="AT439" s="33"/>
      <c r="AU439" s="33"/>
      <c r="AV439" s="33"/>
      <c r="AW439" s="33"/>
      <c r="AX439" s="33" t="str">
        <f t="shared" si="38"/>
        <v>Low</v>
      </c>
    </row>
    <row r="440" spans="1:50">
      <c r="A440" s="9" t="s">
        <v>1575</v>
      </c>
      <c r="B440" s="10" t="s">
        <v>1307</v>
      </c>
      <c r="C440" s="11" t="s">
        <v>392</v>
      </c>
      <c r="D440" s="11" t="s">
        <v>323</v>
      </c>
      <c r="E440" s="11" t="s">
        <v>35</v>
      </c>
      <c r="F440" s="11" t="s">
        <v>36</v>
      </c>
      <c r="G440" s="11" t="s">
        <v>37</v>
      </c>
      <c r="H440" s="11" t="s">
        <v>94</v>
      </c>
      <c r="I440" s="11" t="s">
        <v>59</v>
      </c>
      <c r="J440" s="11" t="s">
        <v>372</v>
      </c>
      <c r="K440" s="25">
        <v>5</v>
      </c>
      <c r="L440" s="25">
        <v>800</v>
      </c>
      <c r="M440" s="29">
        <v>0.05</v>
      </c>
      <c r="N440" s="25">
        <v>3800</v>
      </c>
      <c r="O440" s="25">
        <v>2524.75</v>
      </c>
      <c r="P440" s="25">
        <v>1275.25</v>
      </c>
      <c r="Q440" s="21">
        <v>33.56</v>
      </c>
      <c r="R440" s="11" t="s">
        <v>166</v>
      </c>
      <c r="S440" s="11" t="s">
        <v>74</v>
      </c>
      <c r="T440" s="11" t="s">
        <v>63</v>
      </c>
      <c r="U440" s="11" t="s">
        <v>119</v>
      </c>
      <c r="V440" s="11">
        <v>2025</v>
      </c>
      <c r="W440" s="11" t="s">
        <v>134</v>
      </c>
      <c r="X440" s="11">
        <v>7</v>
      </c>
      <c r="Y440" s="10" t="s">
        <v>1309</v>
      </c>
      <c r="Z440" s="11" t="s">
        <v>110</v>
      </c>
      <c r="AA440" s="11" t="s">
        <v>67</v>
      </c>
      <c r="AB440" s="11" t="s">
        <v>78</v>
      </c>
      <c r="AC440" s="11" t="s">
        <v>121</v>
      </c>
      <c r="AD440" s="11">
        <v>4</v>
      </c>
      <c r="AE440" s="11" t="s">
        <v>2216</v>
      </c>
      <c r="AF440" s="11" t="s">
        <v>2249</v>
      </c>
      <c r="AG440" s="25"/>
      <c r="AH440" s="11"/>
      <c r="AI440" s="11"/>
      <c r="AJ440" s="11"/>
      <c r="AK440" s="11"/>
      <c r="AL440" s="11"/>
      <c r="AM440" s="11" t="str">
        <f t="shared" si="34"/>
        <v>Good</v>
      </c>
      <c r="AN440" s="11" t="str" cm="1">
        <f t="array" ref="AN440">_xlfn.IFS(N440&lt;10000,"Low",N440&lt;30000,"Medium",N440&gt;=30000,"High")</f>
        <v>Low</v>
      </c>
      <c r="AO440" s="11" t="str">
        <f t="shared" si="35"/>
        <v>No</v>
      </c>
      <c r="AP440" s="11" t="str">
        <f t="shared" si="36"/>
        <v>Yes</v>
      </c>
      <c r="AQ440" s="11">
        <f t="shared" si="37"/>
        <v>0.33559210526315791</v>
      </c>
      <c r="AR440" s="33"/>
      <c r="AS440" s="33"/>
      <c r="AT440" s="33"/>
      <c r="AU440" s="33"/>
      <c r="AV440" s="33"/>
      <c r="AW440" s="33"/>
      <c r="AX440" s="33" t="str">
        <f t="shared" si="38"/>
        <v>Low</v>
      </c>
    </row>
    <row r="441" spans="1:50">
      <c r="A441" s="9" t="s">
        <v>2144</v>
      </c>
      <c r="B441" s="10" t="s">
        <v>1307</v>
      </c>
      <c r="C441" s="11" t="s">
        <v>147</v>
      </c>
      <c r="D441" s="11" t="s">
        <v>725</v>
      </c>
      <c r="E441" s="11" t="s">
        <v>103</v>
      </c>
      <c r="F441" s="11" t="s">
        <v>56</v>
      </c>
      <c r="G441" s="11" t="s">
        <v>57</v>
      </c>
      <c r="H441" s="11" t="s">
        <v>38</v>
      </c>
      <c r="I441" s="11" t="s">
        <v>71</v>
      </c>
      <c r="J441" s="11" t="s">
        <v>158</v>
      </c>
      <c r="K441" s="25">
        <v>5</v>
      </c>
      <c r="L441" s="25">
        <v>700</v>
      </c>
      <c r="M441" s="29">
        <v>0.05</v>
      </c>
      <c r="N441" s="25">
        <v>3325</v>
      </c>
      <c r="O441" s="25">
        <v>2369.31</v>
      </c>
      <c r="P441" s="25">
        <v>955.69</v>
      </c>
      <c r="Q441" s="21">
        <v>28.74</v>
      </c>
      <c r="R441" s="11" t="s">
        <v>61</v>
      </c>
      <c r="S441" s="11" t="s">
        <v>74</v>
      </c>
      <c r="T441" s="11" t="s">
        <v>63</v>
      </c>
      <c r="U441" s="11" t="s">
        <v>119</v>
      </c>
      <c r="V441" s="11">
        <v>2025</v>
      </c>
      <c r="W441" s="11" t="s">
        <v>134</v>
      </c>
      <c r="X441" s="11">
        <v>5</v>
      </c>
      <c r="Y441" s="10" t="s">
        <v>1091</v>
      </c>
      <c r="Z441" s="11" t="s">
        <v>110</v>
      </c>
      <c r="AA441" s="11" t="s">
        <v>48</v>
      </c>
      <c r="AB441" s="11" t="s">
        <v>111</v>
      </c>
      <c r="AC441" s="11" t="s">
        <v>50</v>
      </c>
      <c r="AD441" s="11">
        <v>2</v>
      </c>
      <c r="AE441" s="11" t="s">
        <v>2209</v>
      </c>
      <c r="AF441" s="11" t="s">
        <v>2210</v>
      </c>
      <c r="AG441" s="25"/>
      <c r="AH441" s="11"/>
      <c r="AI441" s="11"/>
      <c r="AJ441" s="11"/>
      <c r="AK441" s="11"/>
      <c r="AL441" s="11"/>
      <c r="AM441" s="11" t="str">
        <f t="shared" si="34"/>
        <v>Needs Improvement</v>
      </c>
      <c r="AN441" s="11" t="str" cm="1">
        <f t="array" ref="AN441">_xlfn.IFS(N441&lt;10000,"Low",N441&lt;30000,"Medium",N441&gt;=30000,"High")</f>
        <v>Low</v>
      </c>
      <c r="AO441" s="11" t="str">
        <f t="shared" si="35"/>
        <v>No</v>
      </c>
      <c r="AP441" s="11" t="str">
        <f t="shared" si="36"/>
        <v>Yes</v>
      </c>
      <c r="AQ441" s="11">
        <f t="shared" si="37"/>
        <v>0.28742556390977447</v>
      </c>
      <c r="AR441" s="33"/>
      <c r="AS441" s="33"/>
      <c r="AT441" s="33"/>
      <c r="AU441" s="33"/>
      <c r="AV441" s="33"/>
      <c r="AW441" s="33"/>
      <c r="AX441" s="33" t="str">
        <f t="shared" si="38"/>
        <v>Low</v>
      </c>
    </row>
    <row r="442" spans="1:50">
      <c r="A442" s="9" t="s">
        <v>492</v>
      </c>
      <c r="B442" s="10" t="s">
        <v>493</v>
      </c>
      <c r="C442" s="11" t="s">
        <v>220</v>
      </c>
      <c r="D442" s="11" t="s">
        <v>115</v>
      </c>
      <c r="E442" s="11" t="s">
        <v>35</v>
      </c>
      <c r="F442" s="11" t="s">
        <v>104</v>
      </c>
      <c r="G442" s="11" t="s">
        <v>104</v>
      </c>
      <c r="H442" s="11" t="s">
        <v>171</v>
      </c>
      <c r="I442" s="11" t="s">
        <v>39</v>
      </c>
      <c r="J442" s="11" t="s">
        <v>165</v>
      </c>
      <c r="K442" s="25">
        <v>3</v>
      </c>
      <c r="L442" s="25">
        <v>15000</v>
      </c>
      <c r="M442" s="29">
        <v>0.05</v>
      </c>
      <c r="N442" s="25">
        <v>42750</v>
      </c>
      <c r="O442" s="25">
        <v>27506.47</v>
      </c>
      <c r="P442" s="25">
        <v>15243.53</v>
      </c>
      <c r="Q442" s="21">
        <v>35.659999999999997</v>
      </c>
      <c r="R442" s="11" t="s">
        <v>73</v>
      </c>
      <c r="S442" s="11" t="s">
        <v>42</v>
      </c>
      <c r="T442" s="11" t="s">
        <v>107</v>
      </c>
      <c r="U442" s="11" t="s">
        <v>160</v>
      </c>
      <c r="V442" s="11">
        <v>2024</v>
      </c>
      <c r="W442" s="11" t="s">
        <v>194</v>
      </c>
      <c r="X442" s="11">
        <v>6</v>
      </c>
      <c r="Y442" s="10" t="s">
        <v>394</v>
      </c>
      <c r="Z442" s="11" t="s">
        <v>47</v>
      </c>
      <c r="AA442" s="11" t="s">
        <v>67</v>
      </c>
      <c r="AB442" s="11" t="s">
        <v>49</v>
      </c>
      <c r="AC442" s="11" t="s">
        <v>50</v>
      </c>
      <c r="AD442" s="11">
        <v>5</v>
      </c>
      <c r="AE442" s="11" t="s">
        <v>2218</v>
      </c>
      <c r="AF442" s="11" t="s">
        <v>2217</v>
      </c>
      <c r="AG442" s="25"/>
      <c r="AH442" s="11"/>
      <c r="AI442" s="11"/>
      <c r="AJ442" s="11"/>
      <c r="AK442" s="11"/>
      <c r="AL442" s="11"/>
      <c r="AM442" s="11" t="str">
        <f t="shared" si="34"/>
        <v>Good</v>
      </c>
      <c r="AN442" s="11" t="str" cm="1">
        <f t="array" ref="AN442">_xlfn.IFS(N442&lt;10000,"Low",N442&lt;30000,"Medium",N442&gt;=30000,"High")</f>
        <v>High</v>
      </c>
      <c r="AO442" s="11" t="str">
        <f t="shared" si="35"/>
        <v>Yes</v>
      </c>
      <c r="AP442" s="11" t="str">
        <f t="shared" si="36"/>
        <v>Yes</v>
      </c>
      <c r="AQ442" s="11">
        <f t="shared" si="37"/>
        <v>0.35657380116959064</v>
      </c>
      <c r="AR442" s="33"/>
      <c r="AS442" s="33"/>
      <c r="AT442" s="33"/>
      <c r="AU442" s="33"/>
      <c r="AV442" s="33"/>
      <c r="AW442" s="33"/>
      <c r="AX442" s="33" t="str">
        <f t="shared" si="38"/>
        <v>Good</v>
      </c>
    </row>
    <row r="443" spans="1:50">
      <c r="A443" s="9" t="s">
        <v>907</v>
      </c>
      <c r="B443" s="10" t="s">
        <v>493</v>
      </c>
      <c r="C443" s="11" t="s">
        <v>908</v>
      </c>
      <c r="D443" s="11" t="s">
        <v>211</v>
      </c>
      <c r="E443" s="11" t="s">
        <v>35</v>
      </c>
      <c r="F443" s="11" t="s">
        <v>36</v>
      </c>
      <c r="G443" s="11" t="s">
        <v>37</v>
      </c>
      <c r="H443" s="11" t="s">
        <v>38</v>
      </c>
      <c r="I443" s="11" t="s">
        <v>71</v>
      </c>
      <c r="J443" s="11" t="s">
        <v>158</v>
      </c>
      <c r="K443" s="25">
        <v>8</v>
      </c>
      <c r="L443" s="25">
        <v>1200</v>
      </c>
      <c r="M443" s="29">
        <v>0.2</v>
      </c>
      <c r="N443" s="25">
        <v>7680</v>
      </c>
      <c r="O443" s="25">
        <v>4729.2700000000004</v>
      </c>
      <c r="P443" s="25">
        <v>2950.73</v>
      </c>
      <c r="Q443" s="21">
        <v>38.42</v>
      </c>
      <c r="R443" s="11" t="s">
        <v>41</v>
      </c>
      <c r="S443" s="11" t="s">
        <v>74</v>
      </c>
      <c r="T443" s="11" t="s">
        <v>63</v>
      </c>
      <c r="U443" s="11" t="s">
        <v>160</v>
      </c>
      <c r="V443" s="11">
        <v>2024</v>
      </c>
      <c r="W443" s="11" t="s">
        <v>194</v>
      </c>
      <c r="X443" s="11">
        <v>7</v>
      </c>
      <c r="Y443" s="10" t="s">
        <v>731</v>
      </c>
      <c r="Z443" s="11" t="s">
        <v>47</v>
      </c>
      <c r="AA443" s="11" t="s">
        <v>90</v>
      </c>
      <c r="AB443" s="11" t="s">
        <v>49</v>
      </c>
      <c r="AC443" s="11" t="s">
        <v>121</v>
      </c>
      <c r="AD443" s="11">
        <v>3</v>
      </c>
      <c r="AE443" s="11" t="s">
        <v>2229</v>
      </c>
      <c r="AF443" s="11" t="s">
        <v>2249</v>
      </c>
      <c r="AG443" s="25"/>
      <c r="AH443" s="11"/>
      <c r="AI443" s="11"/>
      <c r="AJ443" s="11"/>
      <c r="AK443" s="11"/>
      <c r="AL443" s="11"/>
      <c r="AM443" s="11" t="str">
        <f t="shared" si="34"/>
        <v>Good</v>
      </c>
      <c r="AN443" s="11" t="str" cm="1">
        <f t="array" ref="AN443">_xlfn.IFS(N443&lt;10000,"Low",N443&lt;30000,"Medium",N443&gt;=30000,"High")</f>
        <v>Low</v>
      </c>
      <c r="AO443" s="11" t="str">
        <f t="shared" si="35"/>
        <v>No</v>
      </c>
      <c r="AP443" s="11" t="str">
        <f t="shared" si="36"/>
        <v>Yes</v>
      </c>
      <c r="AQ443" s="11">
        <f t="shared" si="37"/>
        <v>0.38420963541666669</v>
      </c>
      <c r="AR443" s="33"/>
      <c r="AS443" s="33"/>
      <c r="AT443" s="33"/>
      <c r="AU443" s="33"/>
      <c r="AV443" s="33"/>
      <c r="AW443" s="33"/>
      <c r="AX443" s="33" t="str">
        <f t="shared" si="38"/>
        <v>Low</v>
      </c>
    </row>
    <row r="444" spans="1:50">
      <c r="A444" s="9" t="s">
        <v>1192</v>
      </c>
      <c r="B444" s="10" t="s">
        <v>493</v>
      </c>
      <c r="C444" s="11" t="s">
        <v>1051</v>
      </c>
      <c r="D444" s="11" t="s">
        <v>1193</v>
      </c>
      <c r="E444" s="11" t="s">
        <v>55</v>
      </c>
      <c r="F444" s="11" t="s">
        <v>245</v>
      </c>
      <c r="G444" s="11" t="s">
        <v>246</v>
      </c>
      <c r="H444" s="11" t="s">
        <v>171</v>
      </c>
      <c r="I444" s="11" t="s">
        <v>59</v>
      </c>
      <c r="J444" s="11" t="s">
        <v>60</v>
      </c>
      <c r="K444" s="25">
        <v>3</v>
      </c>
      <c r="L444" s="25">
        <v>800</v>
      </c>
      <c r="M444" s="29">
        <v>0.05</v>
      </c>
      <c r="N444" s="25">
        <v>2280</v>
      </c>
      <c r="O444" s="25">
        <v>1279.33</v>
      </c>
      <c r="P444" s="25">
        <v>1000.67</v>
      </c>
      <c r="Q444" s="21">
        <v>43.89</v>
      </c>
      <c r="R444" s="11" t="s">
        <v>61</v>
      </c>
      <c r="S444" s="11" t="s">
        <v>74</v>
      </c>
      <c r="T444" s="11" t="s">
        <v>86</v>
      </c>
      <c r="U444" s="11" t="s">
        <v>160</v>
      </c>
      <c r="V444" s="11">
        <v>2024</v>
      </c>
      <c r="W444" s="11" t="s">
        <v>194</v>
      </c>
      <c r="X444" s="11">
        <v>4</v>
      </c>
      <c r="Y444" s="10" t="s">
        <v>860</v>
      </c>
      <c r="Z444" s="11" t="s">
        <v>47</v>
      </c>
      <c r="AA444" s="11" t="s">
        <v>48</v>
      </c>
      <c r="AB444" s="11" t="s">
        <v>111</v>
      </c>
      <c r="AC444" s="11" t="s">
        <v>121</v>
      </c>
      <c r="AD444" s="11">
        <v>3</v>
      </c>
      <c r="AE444" s="11" t="s">
        <v>2229</v>
      </c>
      <c r="AF444" s="11" t="s">
        <v>2222</v>
      </c>
      <c r="AG444" s="25"/>
      <c r="AH444" s="11"/>
      <c r="AI444" s="11"/>
      <c r="AJ444" s="11"/>
      <c r="AK444" s="11"/>
      <c r="AL444" s="11"/>
      <c r="AM444" s="11" t="str">
        <f t="shared" si="34"/>
        <v>Good</v>
      </c>
      <c r="AN444" s="11" t="str" cm="1">
        <f t="array" ref="AN444">_xlfn.IFS(N444&lt;10000,"Low",N444&lt;30000,"Medium",N444&gt;=30000,"High")</f>
        <v>Low</v>
      </c>
      <c r="AO444" s="11" t="str">
        <f t="shared" si="35"/>
        <v>No</v>
      </c>
      <c r="AP444" s="11" t="str">
        <f t="shared" si="36"/>
        <v>Yes</v>
      </c>
      <c r="AQ444" s="11">
        <f t="shared" si="37"/>
        <v>0.43889035087719297</v>
      </c>
      <c r="AR444" s="33"/>
      <c r="AS444" s="33"/>
      <c r="AT444" s="33"/>
      <c r="AU444" s="33"/>
      <c r="AV444" s="33"/>
      <c r="AW444" s="33"/>
      <c r="AX444" s="33" t="str">
        <f t="shared" si="38"/>
        <v>Low</v>
      </c>
    </row>
    <row r="445" spans="1:50">
      <c r="A445" s="9" t="s">
        <v>1499</v>
      </c>
      <c r="B445" s="10" t="s">
        <v>493</v>
      </c>
      <c r="C445" s="11" t="s">
        <v>1426</v>
      </c>
      <c r="D445" s="11" t="s">
        <v>692</v>
      </c>
      <c r="E445" s="11" t="s">
        <v>103</v>
      </c>
      <c r="F445" s="11" t="s">
        <v>245</v>
      </c>
      <c r="G445" s="11" t="s">
        <v>246</v>
      </c>
      <c r="H445" s="11" t="s">
        <v>38</v>
      </c>
      <c r="I445" s="11" t="s">
        <v>59</v>
      </c>
      <c r="J445" s="11" t="s">
        <v>60</v>
      </c>
      <c r="K445" s="25">
        <v>2</v>
      </c>
      <c r="L445" s="25">
        <v>2000</v>
      </c>
      <c r="M445" s="29">
        <v>0.15</v>
      </c>
      <c r="N445" s="25">
        <v>3400</v>
      </c>
      <c r="O445" s="25">
        <v>2555.83</v>
      </c>
      <c r="P445" s="25">
        <v>844.17</v>
      </c>
      <c r="Q445" s="21">
        <v>24.83</v>
      </c>
      <c r="R445" s="11" t="s">
        <v>106</v>
      </c>
      <c r="S445" s="11" t="s">
        <v>74</v>
      </c>
      <c r="T445" s="11" t="s">
        <v>159</v>
      </c>
      <c r="U445" s="11" t="s">
        <v>160</v>
      </c>
      <c r="V445" s="11">
        <v>2024</v>
      </c>
      <c r="W445" s="11" t="s">
        <v>194</v>
      </c>
      <c r="X445" s="11">
        <v>3</v>
      </c>
      <c r="Y445" s="10" t="s">
        <v>153</v>
      </c>
      <c r="Z445" s="11" t="s">
        <v>47</v>
      </c>
      <c r="AA445" s="11" t="s">
        <v>90</v>
      </c>
      <c r="AB445" s="11" t="s">
        <v>49</v>
      </c>
      <c r="AC445" s="11" t="s">
        <v>50</v>
      </c>
      <c r="AD445" s="11">
        <v>4</v>
      </c>
      <c r="AE445" s="11" t="s">
        <v>159</v>
      </c>
      <c r="AF445" s="11" t="s">
        <v>2230</v>
      </c>
      <c r="AG445" s="25"/>
      <c r="AH445" s="11"/>
      <c r="AI445" s="11"/>
      <c r="AJ445" s="11"/>
      <c r="AK445" s="11"/>
      <c r="AL445" s="11"/>
      <c r="AM445" s="11" t="str">
        <f t="shared" si="34"/>
        <v>Needs Improvement</v>
      </c>
      <c r="AN445" s="11" t="str" cm="1">
        <f t="array" ref="AN445">_xlfn.IFS(N445&lt;10000,"Low",N445&lt;30000,"Medium",N445&gt;=30000,"High")</f>
        <v>Low</v>
      </c>
      <c r="AO445" s="11" t="str">
        <f t="shared" si="35"/>
        <v>No</v>
      </c>
      <c r="AP445" s="11" t="str">
        <f t="shared" si="36"/>
        <v>Yes</v>
      </c>
      <c r="AQ445" s="11">
        <f t="shared" si="37"/>
        <v>0.24828529411764705</v>
      </c>
      <c r="AR445" s="33"/>
      <c r="AS445" s="33"/>
      <c r="AT445" s="33"/>
      <c r="AU445" s="33"/>
      <c r="AV445" s="33"/>
      <c r="AW445" s="33"/>
      <c r="AX445" s="33" t="str">
        <f t="shared" si="38"/>
        <v>Low</v>
      </c>
    </row>
    <row r="446" spans="1:50">
      <c r="A446" s="9" t="s">
        <v>1632</v>
      </c>
      <c r="B446" s="10" t="s">
        <v>1611</v>
      </c>
      <c r="C446" s="11" t="s">
        <v>281</v>
      </c>
      <c r="D446" s="11" t="s">
        <v>707</v>
      </c>
      <c r="E446" s="11" t="s">
        <v>103</v>
      </c>
      <c r="F446" s="11" t="s">
        <v>245</v>
      </c>
      <c r="G446" s="11" t="s">
        <v>246</v>
      </c>
      <c r="H446" s="11" t="s">
        <v>58</v>
      </c>
      <c r="I446" s="11" t="s">
        <v>84</v>
      </c>
      <c r="J446" s="11" t="s">
        <v>390</v>
      </c>
      <c r="K446" s="25">
        <v>9</v>
      </c>
      <c r="L446" s="25">
        <v>800</v>
      </c>
      <c r="M446" s="29">
        <v>0.05</v>
      </c>
      <c r="N446" s="25">
        <v>6840</v>
      </c>
      <c r="O446" s="25">
        <v>4338.6400000000003</v>
      </c>
      <c r="P446" s="25">
        <v>2501.36</v>
      </c>
      <c r="Q446" s="21">
        <v>36.57</v>
      </c>
      <c r="R446" s="11" t="s">
        <v>41</v>
      </c>
      <c r="S446" s="11" t="s">
        <v>62</v>
      </c>
      <c r="T446" s="11" t="s">
        <v>159</v>
      </c>
      <c r="U446" s="11" t="s">
        <v>160</v>
      </c>
      <c r="V446" s="11">
        <v>2025</v>
      </c>
      <c r="W446" s="11" t="s">
        <v>65</v>
      </c>
      <c r="X446" s="11">
        <v>10</v>
      </c>
      <c r="Y446" s="10" t="s">
        <v>648</v>
      </c>
      <c r="Z446" s="11" t="s">
        <v>89</v>
      </c>
      <c r="AA446" s="11" t="s">
        <v>48</v>
      </c>
      <c r="AB446" s="11" t="s">
        <v>49</v>
      </c>
      <c r="AC446" s="11" t="s">
        <v>121</v>
      </c>
      <c r="AD446" s="11">
        <v>3</v>
      </c>
      <c r="AE446" s="11" t="s">
        <v>2226</v>
      </c>
      <c r="AF446" s="11" t="s">
        <v>2210</v>
      </c>
      <c r="AG446" s="25"/>
      <c r="AH446" s="11"/>
      <c r="AI446" s="11"/>
      <c r="AJ446" s="11"/>
      <c r="AK446" s="11"/>
      <c r="AL446" s="11"/>
      <c r="AM446" s="11" t="str">
        <f t="shared" si="34"/>
        <v>Good</v>
      </c>
      <c r="AN446" s="11" t="str" cm="1">
        <f t="array" ref="AN446">_xlfn.IFS(N446&lt;10000,"Low",N446&lt;30000,"Medium",N446&gt;=30000,"High")</f>
        <v>Low</v>
      </c>
      <c r="AO446" s="11" t="str">
        <f t="shared" si="35"/>
        <v>No</v>
      </c>
      <c r="AP446" s="11" t="str">
        <f t="shared" si="36"/>
        <v>No</v>
      </c>
      <c r="AQ446" s="11">
        <f t="shared" si="37"/>
        <v>0.36569590643274857</v>
      </c>
      <c r="AR446" s="33"/>
      <c r="AS446" s="33"/>
      <c r="AT446" s="33"/>
      <c r="AU446" s="33"/>
      <c r="AV446" s="33"/>
      <c r="AW446" s="33"/>
      <c r="AX446" s="33" t="str">
        <f t="shared" si="38"/>
        <v>Low</v>
      </c>
    </row>
    <row r="447" spans="1:50">
      <c r="A447" s="9" t="s">
        <v>1840</v>
      </c>
      <c r="B447" s="10" t="s">
        <v>1611</v>
      </c>
      <c r="C447" s="11" t="s">
        <v>1037</v>
      </c>
      <c r="D447" s="11" t="s">
        <v>870</v>
      </c>
      <c r="E447" s="11" t="s">
        <v>35</v>
      </c>
      <c r="F447" s="11" t="s">
        <v>131</v>
      </c>
      <c r="G447" s="11" t="s">
        <v>132</v>
      </c>
      <c r="H447" s="11" t="s">
        <v>38</v>
      </c>
      <c r="I447" s="11" t="s">
        <v>84</v>
      </c>
      <c r="J447" s="11" t="s">
        <v>390</v>
      </c>
      <c r="K447" s="25">
        <v>2</v>
      </c>
      <c r="L447" s="25">
        <v>100</v>
      </c>
      <c r="M447" s="29">
        <v>0.15</v>
      </c>
      <c r="N447" s="25">
        <v>170</v>
      </c>
      <c r="O447" s="25">
        <v>121.89</v>
      </c>
      <c r="P447" s="25">
        <v>48.11</v>
      </c>
      <c r="Q447" s="21">
        <v>28.3</v>
      </c>
      <c r="R447" s="11" t="s">
        <v>106</v>
      </c>
      <c r="S447" s="11" t="s">
        <v>42</v>
      </c>
      <c r="T447" s="11" t="s">
        <v>86</v>
      </c>
      <c r="U447" s="11" t="s">
        <v>160</v>
      </c>
      <c r="V447" s="11">
        <v>2025</v>
      </c>
      <c r="W447" s="11" t="s">
        <v>65</v>
      </c>
      <c r="X447" s="11">
        <v>9</v>
      </c>
      <c r="Y447" s="10" t="s">
        <v>1294</v>
      </c>
      <c r="Z447" s="11" t="s">
        <v>47</v>
      </c>
      <c r="AA447" s="11" t="s">
        <v>90</v>
      </c>
      <c r="AB447" s="11" t="s">
        <v>78</v>
      </c>
      <c r="AC447" s="11" t="s">
        <v>121</v>
      </c>
      <c r="AD447" s="11">
        <v>5</v>
      </c>
      <c r="AE447" s="11" t="s">
        <v>2216</v>
      </c>
      <c r="AF447" s="11" t="s">
        <v>2236</v>
      </c>
      <c r="AG447" s="25"/>
      <c r="AH447" s="11"/>
      <c r="AI447" s="11"/>
      <c r="AJ447" s="11"/>
      <c r="AK447" s="11"/>
      <c r="AL447" s="11"/>
      <c r="AM447" s="11" t="str">
        <f t="shared" si="34"/>
        <v>Needs Improvement</v>
      </c>
      <c r="AN447" s="11" t="str" cm="1">
        <f t="array" ref="AN447">_xlfn.IFS(N447&lt;10000,"Low",N447&lt;30000,"Medium",N447&gt;=30000,"High")</f>
        <v>Low</v>
      </c>
      <c r="AO447" s="11" t="str">
        <f t="shared" si="35"/>
        <v>No</v>
      </c>
      <c r="AP447" s="11" t="str">
        <f t="shared" si="36"/>
        <v>Yes</v>
      </c>
      <c r="AQ447" s="11">
        <f t="shared" si="37"/>
        <v>0.28299999999999997</v>
      </c>
      <c r="AR447" s="33"/>
      <c r="AS447" s="33"/>
      <c r="AT447" s="33"/>
      <c r="AU447" s="33"/>
      <c r="AV447" s="33"/>
      <c r="AW447" s="33"/>
      <c r="AX447" s="33" t="str">
        <f t="shared" si="38"/>
        <v>Low</v>
      </c>
    </row>
    <row r="448" spans="1:50">
      <c r="A448" s="9" t="s">
        <v>370</v>
      </c>
      <c r="B448" s="10" t="s">
        <v>371</v>
      </c>
      <c r="C448" s="11" t="s">
        <v>312</v>
      </c>
      <c r="D448" s="11" t="s">
        <v>102</v>
      </c>
      <c r="E448" s="11" t="s">
        <v>55</v>
      </c>
      <c r="F448" s="11" t="s">
        <v>82</v>
      </c>
      <c r="G448" s="11" t="s">
        <v>83</v>
      </c>
      <c r="H448" s="11" t="s">
        <v>58</v>
      </c>
      <c r="I448" s="11" t="s">
        <v>59</v>
      </c>
      <c r="J448" s="11" t="s">
        <v>372</v>
      </c>
      <c r="K448" s="25">
        <v>2</v>
      </c>
      <c r="L448" s="25">
        <v>2000</v>
      </c>
      <c r="M448" s="29">
        <v>0.2</v>
      </c>
      <c r="N448" s="25">
        <v>3200</v>
      </c>
      <c r="O448" s="25">
        <v>2388.34</v>
      </c>
      <c r="P448" s="25">
        <v>811.66</v>
      </c>
      <c r="Q448" s="21">
        <v>25.36</v>
      </c>
      <c r="R448" s="11" t="s">
        <v>106</v>
      </c>
      <c r="S448" s="11" t="s">
        <v>62</v>
      </c>
      <c r="T448" s="11" t="s">
        <v>75</v>
      </c>
      <c r="U448" s="11" t="s">
        <v>218</v>
      </c>
      <c r="V448" s="11">
        <v>2024</v>
      </c>
      <c r="W448" s="11" t="s">
        <v>134</v>
      </c>
      <c r="X448" s="11">
        <v>10</v>
      </c>
      <c r="Y448" s="10" t="s">
        <v>373</v>
      </c>
      <c r="Z448" s="11" t="s">
        <v>47</v>
      </c>
      <c r="AA448" s="11" t="s">
        <v>67</v>
      </c>
      <c r="AB448" s="11" t="s">
        <v>111</v>
      </c>
      <c r="AC448" s="11" t="s">
        <v>121</v>
      </c>
      <c r="AD448" s="11">
        <v>4</v>
      </c>
      <c r="AE448" s="11" t="s">
        <v>2227</v>
      </c>
      <c r="AF448" s="11" t="s">
        <v>2228</v>
      </c>
      <c r="AG448" s="25"/>
      <c r="AH448" s="11"/>
      <c r="AI448" s="11"/>
      <c r="AJ448" s="11"/>
      <c r="AK448" s="11"/>
      <c r="AL448" s="11"/>
      <c r="AM448" s="11" t="str">
        <f t="shared" si="34"/>
        <v>Needs Improvement</v>
      </c>
      <c r="AN448" s="11" t="str" cm="1">
        <f t="array" ref="AN448">_xlfn.IFS(N448&lt;10000,"Low",N448&lt;30000,"Medium",N448&gt;=30000,"High")</f>
        <v>Low</v>
      </c>
      <c r="AO448" s="11" t="str">
        <f t="shared" si="35"/>
        <v>No</v>
      </c>
      <c r="AP448" s="11" t="str">
        <f t="shared" si="36"/>
        <v>No</v>
      </c>
      <c r="AQ448" s="11">
        <f t="shared" si="37"/>
        <v>0.25364375</v>
      </c>
      <c r="AR448" s="33"/>
      <c r="AS448" s="33"/>
      <c r="AT448" s="33"/>
      <c r="AU448" s="33"/>
      <c r="AV448" s="33"/>
      <c r="AW448" s="33"/>
      <c r="AX448" s="33" t="str">
        <f t="shared" si="38"/>
        <v>Low</v>
      </c>
    </row>
    <row r="449" spans="1:50">
      <c r="A449" s="9" t="s">
        <v>1760</v>
      </c>
      <c r="B449" s="10" t="s">
        <v>1761</v>
      </c>
      <c r="C449" s="11" t="s">
        <v>809</v>
      </c>
      <c r="D449" s="11" t="s">
        <v>810</v>
      </c>
      <c r="E449" s="11" t="s">
        <v>103</v>
      </c>
      <c r="F449" s="11" t="s">
        <v>56</v>
      </c>
      <c r="G449" s="11" t="s">
        <v>57</v>
      </c>
      <c r="H449" s="11" t="s">
        <v>94</v>
      </c>
      <c r="I449" s="11" t="s">
        <v>95</v>
      </c>
      <c r="J449" s="11" t="s">
        <v>96</v>
      </c>
      <c r="K449" s="25">
        <v>10</v>
      </c>
      <c r="L449" s="25">
        <v>9000</v>
      </c>
      <c r="M449" s="29">
        <v>0</v>
      </c>
      <c r="N449" s="25">
        <v>90000</v>
      </c>
      <c r="O449" s="25">
        <v>56079.06</v>
      </c>
      <c r="P449" s="25">
        <v>33920.94</v>
      </c>
      <c r="Q449" s="21">
        <v>37.69</v>
      </c>
      <c r="R449" s="11" t="s">
        <v>41</v>
      </c>
      <c r="S449" s="11" t="s">
        <v>62</v>
      </c>
      <c r="T449" s="11" t="s">
        <v>159</v>
      </c>
      <c r="U449" s="11" t="s">
        <v>108</v>
      </c>
      <c r="V449" s="11">
        <v>2024</v>
      </c>
      <c r="W449" s="11" t="s">
        <v>65</v>
      </c>
      <c r="X449" s="11">
        <v>7</v>
      </c>
      <c r="Y449" s="10" t="s">
        <v>788</v>
      </c>
      <c r="Z449" s="11" t="s">
        <v>89</v>
      </c>
      <c r="AA449" s="11" t="s">
        <v>67</v>
      </c>
      <c r="AB449" s="11" t="s">
        <v>111</v>
      </c>
      <c r="AC449" s="11" t="s">
        <v>121</v>
      </c>
      <c r="AD449" s="11">
        <v>3</v>
      </c>
      <c r="AE449" s="11" t="s">
        <v>2248</v>
      </c>
      <c r="AF449" s="11" t="s">
        <v>2236</v>
      </c>
      <c r="AG449" s="25"/>
      <c r="AH449" s="11"/>
      <c r="AI449" s="11"/>
      <c r="AJ449" s="11"/>
      <c r="AK449" s="11"/>
      <c r="AL449" s="11"/>
      <c r="AM449" s="11" t="str">
        <f t="shared" si="34"/>
        <v>Good</v>
      </c>
      <c r="AN449" s="11" t="str" cm="1">
        <f t="array" ref="AN449">_xlfn.IFS(N449&lt;10000,"Low",N449&lt;30000,"Medium",N449&gt;=30000,"High")</f>
        <v>High</v>
      </c>
      <c r="AO449" s="11" t="str">
        <f t="shared" si="35"/>
        <v>Yes</v>
      </c>
      <c r="AP449" s="11" t="str">
        <f t="shared" si="36"/>
        <v>No</v>
      </c>
      <c r="AQ449" s="11">
        <f t="shared" si="37"/>
        <v>0.37689933333333336</v>
      </c>
      <c r="AR449" s="33"/>
      <c r="AS449" s="33"/>
      <c r="AT449" s="33"/>
      <c r="AU449" s="33"/>
      <c r="AV449" s="33"/>
      <c r="AW449" s="33"/>
      <c r="AX449" s="33" t="str">
        <f t="shared" si="38"/>
        <v>Excellent</v>
      </c>
    </row>
    <row r="450" spans="1:50">
      <c r="A450" s="9" t="s">
        <v>1589</v>
      </c>
      <c r="B450" s="10" t="s">
        <v>298</v>
      </c>
      <c r="C450" s="11" t="s">
        <v>154</v>
      </c>
      <c r="D450" s="11" t="s">
        <v>560</v>
      </c>
      <c r="E450" s="11" t="s">
        <v>35</v>
      </c>
      <c r="F450" s="11" t="s">
        <v>131</v>
      </c>
      <c r="G450" s="11" t="s">
        <v>132</v>
      </c>
      <c r="H450" s="11" t="s">
        <v>171</v>
      </c>
      <c r="I450" s="11" t="s">
        <v>59</v>
      </c>
      <c r="J450" s="11" t="s">
        <v>206</v>
      </c>
      <c r="K450" s="25">
        <v>10</v>
      </c>
      <c r="L450" s="25">
        <v>2000</v>
      </c>
      <c r="M450" s="29">
        <v>0.15</v>
      </c>
      <c r="N450" s="25">
        <v>17000</v>
      </c>
      <c r="O450" s="25">
        <v>10386.56</v>
      </c>
      <c r="P450" s="25">
        <v>6613.44</v>
      </c>
      <c r="Q450" s="21">
        <v>38.9</v>
      </c>
      <c r="R450" s="11" t="s">
        <v>41</v>
      </c>
      <c r="S450" s="11" t="s">
        <v>74</v>
      </c>
      <c r="T450" s="11" t="s">
        <v>86</v>
      </c>
      <c r="U450" s="11" t="s">
        <v>87</v>
      </c>
      <c r="V450" s="11">
        <v>2024</v>
      </c>
      <c r="W450" s="11" t="s">
        <v>126</v>
      </c>
      <c r="X450" s="11">
        <v>6</v>
      </c>
      <c r="Y450" s="10" t="s">
        <v>970</v>
      </c>
      <c r="Z450" s="11" t="s">
        <v>110</v>
      </c>
      <c r="AA450" s="11" t="s">
        <v>48</v>
      </c>
      <c r="AB450" s="11" t="s">
        <v>49</v>
      </c>
      <c r="AC450" s="11" t="s">
        <v>121</v>
      </c>
      <c r="AD450" s="11">
        <v>4</v>
      </c>
      <c r="AE450" s="11" t="s">
        <v>2218</v>
      </c>
      <c r="AF450" s="11" t="s">
        <v>2214</v>
      </c>
      <c r="AG450" s="25"/>
      <c r="AH450" s="11"/>
      <c r="AI450" s="11"/>
      <c r="AJ450" s="11"/>
      <c r="AK450" s="11"/>
      <c r="AL450" s="11"/>
      <c r="AM450" s="11" t="str">
        <f t="shared" ref="AM450:AM513" si="39">IF(Q450&gt;=30,"Good","Needs Improvement")</f>
        <v>Good</v>
      </c>
      <c r="AN450" s="11" t="str" cm="1">
        <f t="array" ref="AN450">_xlfn.IFS(N450&lt;10000,"Low",N450&lt;30000,"Medium",N450&gt;=30000,"High")</f>
        <v>Medium</v>
      </c>
      <c r="AO450" s="11" t="str">
        <f t="shared" ref="AO450:AO513" si="40">IF(AND(N450&gt;=30000,P450&gt;=10000),"Yes","No")</f>
        <v>No</v>
      </c>
      <c r="AP450" s="11" t="str">
        <f t="shared" ref="AP450:AP513" si="41">IF(OR(S450="Online",S450="Marketplace"),"Yes","No")</f>
        <v>Yes</v>
      </c>
      <c r="AQ450" s="11">
        <f t="shared" ref="AQ450:AQ513" si="42">IFERROR(P450/N450,"No Error")</f>
        <v>0.38902588235294117</v>
      </c>
      <c r="AR450" s="33"/>
      <c r="AS450" s="33"/>
      <c r="AT450" s="33"/>
      <c r="AU450" s="33"/>
      <c r="AV450" s="33"/>
      <c r="AW450" s="33"/>
      <c r="AX450" s="33" t="str">
        <f t="shared" ref="AX450:AX513" si="43">IF(P450&gt;=20000,"Excellent",IF(P450&gt;=10000,"Good",IF(P450&gt;=5000,"Average","Low")))</f>
        <v>Average</v>
      </c>
    </row>
    <row r="451" spans="1:50">
      <c r="A451" s="9" t="s">
        <v>2038</v>
      </c>
      <c r="B451" s="10" t="s">
        <v>949</v>
      </c>
      <c r="C451" s="11" t="s">
        <v>1574</v>
      </c>
      <c r="D451" s="11" t="s">
        <v>508</v>
      </c>
      <c r="E451" s="11" t="s">
        <v>103</v>
      </c>
      <c r="F451" s="11" t="s">
        <v>56</v>
      </c>
      <c r="G451" s="11" t="s">
        <v>57</v>
      </c>
      <c r="H451" s="11" t="s">
        <v>171</v>
      </c>
      <c r="I451" s="11" t="s">
        <v>71</v>
      </c>
      <c r="J451" s="11" t="s">
        <v>117</v>
      </c>
      <c r="K451" s="25">
        <v>1</v>
      </c>
      <c r="L451" s="25">
        <v>1800</v>
      </c>
      <c r="M451" s="29">
        <v>0.05</v>
      </c>
      <c r="N451" s="25">
        <v>1710</v>
      </c>
      <c r="O451" s="25">
        <v>948.26</v>
      </c>
      <c r="P451" s="25">
        <v>761.74</v>
      </c>
      <c r="Q451" s="21">
        <v>44.55</v>
      </c>
      <c r="R451" s="11" t="s">
        <v>166</v>
      </c>
      <c r="S451" s="11" t="s">
        <v>74</v>
      </c>
      <c r="T451" s="11" t="s">
        <v>43</v>
      </c>
      <c r="U451" s="11" t="s">
        <v>87</v>
      </c>
      <c r="V451" s="11">
        <v>2025</v>
      </c>
      <c r="W451" s="11" t="s">
        <v>109</v>
      </c>
      <c r="X451" s="11">
        <v>5</v>
      </c>
      <c r="Y451" s="10" t="s">
        <v>2039</v>
      </c>
      <c r="Z451" s="11" t="s">
        <v>47</v>
      </c>
      <c r="AA451" s="11" t="s">
        <v>48</v>
      </c>
      <c r="AB451" s="11" t="s">
        <v>78</v>
      </c>
      <c r="AC451" s="11" t="s">
        <v>121</v>
      </c>
      <c r="AD451" s="11">
        <v>4</v>
      </c>
      <c r="AE451" s="11" t="s">
        <v>2239</v>
      </c>
      <c r="AF451" s="11" t="s">
        <v>2219</v>
      </c>
      <c r="AG451" s="25"/>
      <c r="AH451" s="11"/>
      <c r="AI451" s="11"/>
      <c r="AJ451" s="11"/>
      <c r="AK451" s="11"/>
      <c r="AL451" s="11"/>
      <c r="AM451" s="11" t="str">
        <f t="shared" si="39"/>
        <v>Good</v>
      </c>
      <c r="AN451" s="11" t="str" cm="1">
        <f t="array" ref="AN451">_xlfn.IFS(N451&lt;10000,"Low",N451&lt;30000,"Medium",N451&gt;=30000,"High")</f>
        <v>Low</v>
      </c>
      <c r="AO451" s="11" t="str">
        <f t="shared" si="40"/>
        <v>No</v>
      </c>
      <c r="AP451" s="11" t="str">
        <f t="shared" si="41"/>
        <v>Yes</v>
      </c>
      <c r="AQ451" s="11">
        <f t="shared" si="42"/>
        <v>0.44546198830409356</v>
      </c>
      <c r="AR451" s="33"/>
      <c r="AS451" s="33"/>
      <c r="AT451" s="33"/>
      <c r="AU451" s="33"/>
      <c r="AV451" s="33"/>
      <c r="AW451" s="33"/>
      <c r="AX451" s="33" t="str">
        <f t="shared" si="43"/>
        <v>Low</v>
      </c>
    </row>
    <row r="452" spans="1:50">
      <c r="A452" s="9" t="s">
        <v>2081</v>
      </c>
      <c r="B452" s="10" t="s">
        <v>949</v>
      </c>
      <c r="C452" s="11" t="s">
        <v>292</v>
      </c>
      <c r="D452" s="11" t="s">
        <v>528</v>
      </c>
      <c r="E452" s="11" t="s">
        <v>55</v>
      </c>
      <c r="F452" s="11" t="s">
        <v>149</v>
      </c>
      <c r="G452" s="11" t="s">
        <v>150</v>
      </c>
      <c r="H452" s="11" t="s">
        <v>171</v>
      </c>
      <c r="I452" s="11" t="s">
        <v>84</v>
      </c>
      <c r="J452" s="11" t="s">
        <v>217</v>
      </c>
      <c r="K452" s="25">
        <v>6</v>
      </c>
      <c r="L452" s="25">
        <v>200</v>
      </c>
      <c r="M452" s="29">
        <v>0.05</v>
      </c>
      <c r="N452" s="25">
        <v>1140</v>
      </c>
      <c r="O452" s="25">
        <v>911.5</v>
      </c>
      <c r="P452" s="25">
        <v>228.5</v>
      </c>
      <c r="Q452" s="21">
        <v>20.04</v>
      </c>
      <c r="R452" s="11" t="s">
        <v>73</v>
      </c>
      <c r="S452" s="11" t="s">
        <v>62</v>
      </c>
      <c r="T452" s="11" t="s">
        <v>173</v>
      </c>
      <c r="U452" s="11" t="s">
        <v>87</v>
      </c>
      <c r="V452" s="11">
        <v>2025</v>
      </c>
      <c r="W452" s="11" t="s">
        <v>109</v>
      </c>
      <c r="X452" s="11">
        <v>9</v>
      </c>
      <c r="Y452" s="10" t="s">
        <v>1876</v>
      </c>
      <c r="Z452" s="11" t="s">
        <v>110</v>
      </c>
      <c r="AA452" s="11" t="s">
        <v>48</v>
      </c>
      <c r="AB452" s="11" t="s">
        <v>111</v>
      </c>
      <c r="AC452" s="11" t="s">
        <v>50</v>
      </c>
      <c r="AD452" s="11">
        <v>1</v>
      </c>
      <c r="AE452" s="11" t="s">
        <v>86</v>
      </c>
      <c r="AF452" s="11" t="s">
        <v>2231</v>
      </c>
      <c r="AG452" s="25"/>
      <c r="AH452" s="11"/>
      <c r="AI452" s="11"/>
      <c r="AJ452" s="11"/>
      <c r="AK452" s="11"/>
      <c r="AL452" s="11"/>
      <c r="AM452" s="11" t="str">
        <f t="shared" si="39"/>
        <v>Needs Improvement</v>
      </c>
      <c r="AN452" s="11" t="str" cm="1">
        <f t="array" ref="AN452">_xlfn.IFS(N452&lt;10000,"Low",N452&lt;30000,"Medium",N452&gt;=30000,"High")</f>
        <v>Low</v>
      </c>
      <c r="AO452" s="11" t="str">
        <f t="shared" si="40"/>
        <v>No</v>
      </c>
      <c r="AP452" s="11" t="str">
        <f t="shared" si="41"/>
        <v>No</v>
      </c>
      <c r="AQ452" s="11">
        <f t="shared" si="42"/>
        <v>0.20043859649122808</v>
      </c>
      <c r="AR452" s="33"/>
      <c r="AS452" s="33"/>
      <c r="AT452" s="33"/>
      <c r="AU452" s="33"/>
      <c r="AV452" s="33"/>
      <c r="AW452" s="33"/>
      <c r="AX452" s="33" t="str">
        <f t="shared" si="43"/>
        <v>Low</v>
      </c>
    </row>
    <row r="453" spans="1:50">
      <c r="A453" s="9" t="s">
        <v>395</v>
      </c>
      <c r="B453" s="10" t="s">
        <v>396</v>
      </c>
      <c r="C453" s="11" t="s">
        <v>397</v>
      </c>
      <c r="D453" s="11" t="s">
        <v>398</v>
      </c>
      <c r="E453" s="11" t="s">
        <v>35</v>
      </c>
      <c r="F453" s="11" t="s">
        <v>156</v>
      </c>
      <c r="G453" s="11" t="s">
        <v>157</v>
      </c>
      <c r="H453" s="11" t="s">
        <v>171</v>
      </c>
      <c r="I453" s="11" t="s">
        <v>39</v>
      </c>
      <c r="J453" s="11" t="s">
        <v>40</v>
      </c>
      <c r="K453" s="25">
        <v>10</v>
      </c>
      <c r="L453" s="25">
        <v>22000</v>
      </c>
      <c r="M453" s="29">
        <v>0.2</v>
      </c>
      <c r="N453" s="25">
        <v>176000</v>
      </c>
      <c r="O453" s="25">
        <v>107279.03999999999</v>
      </c>
      <c r="P453" s="25">
        <v>68720.960000000006</v>
      </c>
      <c r="Q453" s="21">
        <v>39.049999999999997</v>
      </c>
      <c r="R453" s="11" t="s">
        <v>73</v>
      </c>
      <c r="S453" s="11" t="s">
        <v>74</v>
      </c>
      <c r="T453" s="11" t="s">
        <v>159</v>
      </c>
      <c r="U453" s="11" t="s">
        <v>198</v>
      </c>
      <c r="V453" s="11">
        <v>2025</v>
      </c>
      <c r="W453" s="11" t="s">
        <v>194</v>
      </c>
      <c r="X453" s="11">
        <v>5</v>
      </c>
      <c r="Y453" s="10" t="s">
        <v>399</v>
      </c>
      <c r="Z453" s="11" t="s">
        <v>47</v>
      </c>
      <c r="AA453" s="11" t="s">
        <v>67</v>
      </c>
      <c r="AB453" s="11" t="s">
        <v>78</v>
      </c>
      <c r="AC453" s="11" t="s">
        <v>121</v>
      </c>
      <c r="AD453" s="11">
        <v>1</v>
      </c>
      <c r="AE453" s="11" t="s">
        <v>2226</v>
      </c>
      <c r="AF453" s="11" t="s">
        <v>2231</v>
      </c>
      <c r="AG453" s="25"/>
      <c r="AH453" s="11"/>
      <c r="AI453" s="11"/>
      <c r="AJ453" s="11"/>
      <c r="AK453" s="11"/>
      <c r="AL453" s="11"/>
      <c r="AM453" s="11" t="str">
        <f t="shared" si="39"/>
        <v>Good</v>
      </c>
      <c r="AN453" s="11" t="str" cm="1">
        <f t="array" ref="AN453">_xlfn.IFS(N453&lt;10000,"Low",N453&lt;30000,"Medium",N453&gt;=30000,"High")</f>
        <v>High</v>
      </c>
      <c r="AO453" s="11" t="str">
        <f t="shared" si="40"/>
        <v>Yes</v>
      </c>
      <c r="AP453" s="11" t="str">
        <f t="shared" si="41"/>
        <v>Yes</v>
      </c>
      <c r="AQ453" s="11">
        <f t="shared" si="42"/>
        <v>0.39046000000000003</v>
      </c>
      <c r="AR453" s="33"/>
      <c r="AS453" s="33"/>
      <c r="AT453" s="33"/>
      <c r="AU453" s="33"/>
      <c r="AV453" s="33"/>
      <c r="AW453" s="33"/>
      <c r="AX453" s="33" t="str">
        <f t="shared" si="43"/>
        <v>Excellent</v>
      </c>
    </row>
    <row r="454" spans="1:50">
      <c r="A454" s="9" t="s">
        <v>51</v>
      </c>
      <c r="B454" s="10" t="s">
        <v>52</v>
      </c>
      <c r="C454" s="11" t="s">
        <v>53</v>
      </c>
      <c r="D454" s="11" t="s">
        <v>54</v>
      </c>
      <c r="E454" s="11" t="s">
        <v>55</v>
      </c>
      <c r="F454" s="11" t="s">
        <v>56</v>
      </c>
      <c r="G454" s="11" t="s">
        <v>57</v>
      </c>
      <c r="H454" s="11" t="s">
        <v>58</v>
      </c>
      <c r="I454" s="11" t="s">
        <v>59</v>
      </c>
      <c r="J454" s="11" t="s">
        <v>60</v>
      </c>
      <c r="K454" s="25">
        <v>1</v>
      </c>
      <c r="L454" s="25">
        <v>800</v>
      </c>
      <c r="M454" s="29">
        <v>0.15</v>
      </c>
      <c r="N454" s="25">
        <v>680</v>
      </c>
      <c r="O454" s="25">
        <v>413.53</v>
      </c>
      <c r="P454" s="25">
        <v>266.47000000000003</v>
      </c>
      <c r="Q454" s="21">
        <v>39.19</v>
      </c>
      <c r="R454" s="11" t="s">
        <v>61</v>
      </c>
      <c r="S454" s="11" t="s">
        <v>62</v>
      </c>
      <c r="T454" s="11" t="s">
        <v>63</v>
      </c>
      <c r="U454" s="11" t="s">
        <v>64</v>
      </c>
      <c r="V454" s="11">
        <v>2024</v>
      </c>
      <c r="W454" s="11" t="s">
        <v>65</v>
      </c>
      <c r="X454" s="11">
        <v>5</v>
      </c>
      <c r="Y454" s="10" t="s">
        <v>66</v>
      </c>
      <c r="Z454" s="11" t="s">
        <v>47</v>
      </c>
      <c r="AA454" s="11" t="s">
        <v>67</v>
      </c>
      <c r="AB454" s="11" t="s">
        <v>49</v>
      </c>
      <c r="AC454" s="11" t="s">
        <v>50</v>
      </c>
      <c r="AD454" s="11">
        <v>5</v>
      </c>
      <c r="AE454" s="11" t="s">
        <v>2209</v>
      </c>
      <c r="AF454" s="11" t="s">
        <v>2224</v>
      </c>
      <c r="AG454" s="25"/>
      <c r="AH454" s="11"/>
      <c r="AI454" s="11"/>
      <c r="AJ454" s="11"/>
      <c r="AK454" s="11"/>
      <c r="AL454" s="11"/>
      <c r="AM454" s="11" t="str">
        <f t="shared" si="39"/>
        <v>Good</v>
      </c>
      <c r="AN454" s="11" t="str" cm="1">
        <f t="array" ref="AN454">_xlfn.IFS(N454&lt;10000,"Low",N454&lt;30000,"Medium",N454&gt;=30000,"High")</f>
        <v>Low</v>
      </c>
      <c r="AO454" s="11" t="str">
        <f t="shared" si="40"/>
        <v>No</v>
      </c>
      <c r="AP454" s="11" t="str">
        <f t="shared" si="41"/>
        <v>No</v>
      </c>
      <c r="AQ454" s="11">
        <f t="shared" si="42"/>
        <v>0.39186764705882354</v>
      </c>
      <c r="AR454" s="33"/>
      <c r="AS454" s="33"/>
      <c r="AT454" s="33"/>
      <c r="AU454" s="33"/>
      <c r="AV454" s="33"/>
      <c r="AW454" s="33"/>
      <c r="AX454" s="33" t="str">
        <f t="shared" si="43"/>
        <v>Low</v>
      </c>
    </row>
    <row r="455" spans="1:50">
      <c r="A455" s="9" t="s">
        <v>1406</v>
      </c>
      <c r="B455" s="10" t="s">
        <v>52</v>
      </c>
      <c r="C455" s="11" t="s">
        <v>645</v>
      </c>
      <c r="D455" s="11" t="s">
        <v>1407</v>
      </c>
      <c r="E455" s="11" t="s">
        <v>55</v>
      </c>
      <c r="F455" s="11" t="s">
        <v>149</v>
      </c>
      <c r="G455" s="11" t="s">
        <v>150</v>
      </c>
      <c r="H455" s="11" t="s">
        <v>94</v>
      </c>
      <c r="I455" s="11" t="s">
        <v>59</v>
      </c>
      <c r="J455" s="11" t="s">
        <v>372</v>
      </c>
      <c r="K455" s="25">
        <v>9</v>
      </c>
      <c r="L455" s="25">
        <v>2000</v>
      </c>
      <c r="M455" s="29">
        <v>0.15</v>
      </c>
      <c r="N455" s="25">
        <v>15300</v>
      </c>
      <c r="O455" s="25">
        <v>11909.01</v>
      </c>
      <c r="P455" s="25">
        <v>3390.99</v>
      </c>
      <c r="Q455" s="21">
        <v>22.16</v>
      </c>
      <c r="R455" s="11" t="s">
        <v>41</v>
      </c>
      <c r="S455" s="11" t="s">
        <v>74</v>
      </c>
      <c r="T455" s="11" t="s">
        <v>97</v>
      </c>
      <c r="U455" s="11" t="s">
        <v>64</v>
      </c>
      <c r="V455" s="11">
        <v>2024</v>
      </c>
      <c r="W455" s="11" t="s">
        <v>65</v>
      </c>
      <c r="X455" s="11">
        <v>2</v>
      </c>
      <c r="Y455" s="10" t="s">
        <v>826</v>
      </c>
      <c r="Z455" s="11" t="s">
        <v>47</v>
      </c>
      <c r="AA455" s="11" t="s">
        <v>90</v>
      </c>
      <c r="AB455" s="11" t="s">
        <v>111</v>
      </c>
      <c r="AC455" s="11" t="s">
        <v>121</v>
      </c>
      <c r="AD455" s="11">
        <v>3</v>
      </c>
      <c r="AE455" s="11" t="s">
        <v>2221</v>
      </c>
      <c r="AF455" s="11" t="s">
        <v>2212</v>
      </c>
      <c r="AG455" s="25"/>
      <c r="AH455" s="11"/>
      <c r="AI455" s="11"/>
      <c r="AJ455" s="11"/>
      <c r="AK455" s="11"/>
      <c r="AL455" s="11"/>
      <c r="AM455" s="11" t="str">
        <f t="shared" si="39"/>
        <v>Needs Improvement</v>
      </c>
      <c r="AN455" s="11" t="str" cm="1">
        <f t="array" ref="AN455">_xlfn.IFS(N455&lt;10000,"Low",N455&lt;30000,"Medium",N455&gt;=30000,"High")</f>
        <v>Medium</v>
      </c>
      <c r="AO455" s="11" t="str">
        <f t="shared" si="40"/>
        <v>No</v>
      </c>
      <c r="AP455" s="11" t="str">
        <f t="shared" si="41"/>
        <v>Yes</v>
      </c>
      <c r="AQ455" s="11">
        <f t="shared" si="42"/>
        <v>0.22163333333333332</v>
      </c>
      <c r="AR455" s="33"/>
      <c r="AS455" s="33"/>
      <c r="AT455" s="33"/>
      <c r="AU455" s="33"/>
      <c r="AV455" s="33"/>
      <c r="AW455" s="33"/>
      <c r="AX455" s="33" t="str">
        <f t="shared" si="43"/>
        <v>Low</v>
      </c>
    </row>
    <row r="456" spans="1:50">
      <c r="A456" s="9" t="s">
        <v>1965</v>
      </c>
      <c r="B456" s="10" t="s">
        <v>52</v>
      </c>
      <c r="C456" s="11" t="s">
        <v>1219</v>
      </c>
      <c r="D456" s="11" t="s">
        <v>1431</v>
      </c>
      <c r="E456" s="11" t="s">
        <v>35</v>
      </c>
      <c r="F456" s="11" t="s">
        <v>131</v>
      </c>
      <c r="G456" s="11" t="s">
        <v>132</v>
      </c>
      <c r="H456" s="11" t="s">
        <v>38</v>
      </c>
      <c r="I456" s="11" t="s">
        <v>59</v>
      </c>
      <c r="J456" s="11" t="s">
        <v>206</v>
      </c>
      <c r="K456" s="25">
        <v>8</v>
      </c>
      <c r="L456" s="25">
        <v>1200</v>
      </c>
      <c r="M456" s="29">
        <v>0</v>
      </c>
      <c r="N456" s="25">
        <v>9600</v>
      </c>
      <c r="O456" s="25">
        <v>5548.45</v>
      </c>
      <c r="P456" s="25">
        <v>4051.55</v>
      </c>
      <c r="Q456" s="21">
        <v>42.2</v>
      </c>
      <c r="R456" s="11" t="s">
        <v>41</v>
      </c>
      <c r="S456" s="11" t="s">
        <v>42</v>
      </c>
      <c r="T456" s="11" t="s">
        <v>138</v>
      </c>
      <c r="U456" s="11" t="s">
        <v>64</v>
      </c>
      <c r="V456" s="11">
        <v>2024</v>
      </c>
      <c r="W456" s="11" t="s">
        <v>65</v>
      </c>
      <c r="X456" s="11">
        <v>7</v>
      </c>
      <c r="Y456" s="10" t="s">
        <v>185</v>
      </c>
      <c r="Z456" s="11" t="s">
        <v>110</v>
      </c>
      <c r="AA456" s="11" t="s">
        <v>48</v>
      </c>
      <c r="AB456" s="11" t="s">
        <v>111</v>
      </c>
      <c r="AC456" s="11" t="s">
        <v>121</v>
      </c>
      <c r="AD456" s="11">
        <v>2</v>
      </c>
      <c r="AE456" s="11" t="s">
        <v>118</v>
      </c>
      <c r="AF456" s="11" t="s">
        <v>2212</v>
      </c>
      <c r="AG456" s="25"/>
      <c r="AH456" s="11"/>
      <c r="AI456" s="11"/>
      <c r="AJ456" s="11"/>
      <c r="AK456" s="11"/>
      <c r="AL456" s="11"/>
      <c r="AM456" s="11" t="str">
        <f t="shared" si="39"/>
        <v>Good</v>
      </c>
      <c r="AN456" s="11" t="str" cm="1">
        <f t="array" ref="AN456">_xlfn.IFS(N456&lt;10000,"Low",N456&lt;30000,"Medium",N456&gt;=30000,"High")</f>
        <v>Low</v>
      </c>
      <c r="AO456" s="11" t="str">
        <f t="shared" si="40"/>
        <v>No</v>
      </c>
      <c r="AP456" s="11" t="str">
        <f t="shared" si="41"/>
        <v>Yes</v>
      </c>
      <c r="AQ456" s="11">
        <f t="shared" si="42"/>
        <v>0.42203645833333336</v>
      </c>
      <c r="AR456" s="33"/>
      <c r="AS456" s="33"/>
      <c r="AT456" s="33"/>
      <c r="AU456" s="33"/>
      <c r="AV456" s="33"/>
      <c r="AW456" s="33"/>
      <c r="AX456" s="33" t="str">
        <f t="shared" si="43"/>
        <v>Low</v>
      </c>
    </row>
    <row r="457" spans="1:50">
      <c r="A457" s="9" t="s">
        <v>1512</v>
      </c>
      <c r="B457" s="10" t="s">
        <v>1513</v>
      </c>
      <c r="C457" s="11" t="s">
        <v>974</v>
      </c>
      <c r="D457" s="11" t="s">
        <v>1514</v>
      </c>
      <c r="E457" s="11" t="s">
        <v>35</v>
      </c>
      <c r="F457" s="11" t="s">
        <v>245</v>
      </c>
      <c r="G457" s="11" t="s">
        <v>246</v>
      </c>
      <c r="H457" s="11" t="s">
        <v>171</v>
      </c>
      <c r="I457" s="11" t="s">
        <v>39</v>
      </c>
      <c r="J457" s="11" t="s">
        <v>105</v>
      </c>
      <c r="K457" s="25">
        <v>10</v>
      </c>
      <c r="L457" s="25">
        <v>12000</v>
      </c>
      <c r="M457" s="29">
        <v>0.2</v>
      </c>
      <c r="N457" s="25">
        <v>96000</v>
      </c>
      <c r="O457" s="25">
        <v>64605.03</v>
      </c>
      <c r="P457" s="25">
        <v>31394.97</v>
      </c>
      <c r="Q457" s="21">
        <v>32.700000000000003</v>
      </c>
      <c r="R457" s="11" t="s">
        <v>61</v>
      </c>
      <c r="S457" s="11" t="s">
        <v>42</v>
      </c>
      <c r="T457" s="11" t="s">
        <v>173</v>
      </c>
      <c r="U457" s="11" t="s">
        <v>64</v>
      </c>
      <c r="V457" s="11">
        <v>2025</v>
      </c>
      <c r="W457" s="11" t="s">
        <v>45</v>
      </c>
      <c r="X457" s="11">
        <v>1</v>
      </c>
      <c r="Y457" s="10" t="s">
        <v>602</v>
      </c>
      <c r="Z457" s="11" t="s">
        <v>89</v>
      </c>
      <c r="AA457" s="11" t="s">
        <v>90</v>
      </c>
      <c r="AB457" s="11" t="s">
        <v>49</v>
      </c>
      <c r="AC457" s="11" t="s">
        <v>121</v>
      </c>
      <c r="AD457" s="11">
        <v>5</v>
      </c>
      <c r="AE457" s="11" t="s">
        <v>2225</v>
      </c>
      <c r="AF457" s="11" t="s">
        <v>2228</v>
      </c>
      <c r="AG457" s="25"/>
      <c r="AH457" s="11"/>
      <c r="AI457" s="11"/>
      <c r="AJ457" s="11"/>
      <c r="AK457" s="11"/>
      <c r="AL457" s="11"/>
      <c r="AM457" s="11" t="str">
        <f t="shared" si="39"/>
        <v>Good</v>
      </c>
      <c r="AN457" s="11" t="str" cm="1">
        <f t="array" ref="AN457">_xlfn.IFS(N457&lt;10000,"Low",N457&lt;30000,"Medium",N457&gt;=30000,"High")</f>
        <v>High</v>
      </c>
      <c r="AO457" s="11" t="str">
        <f t="shared" si="40"/>
        <v>Yes</v>
      </c>
      <c r="AP457" s="11" t="str">
        <f t="shared" si="41"/>
        <v>Yes</v>
      </c>
      <c r="AQ457" s="11">
        <f t="shared" si="42"/>
        <v>0.32703093750000001</v>
      </c>
      <c r="AR457" s="33"/>
      <c r="AS457" s="33"/>
      <c r="AT457" s="33"/>
      <c r="AU457" s="33"/>
      <c r="AV457" s="33"/>
      <c r="AW457" s="33"/>
      <c r="AX457" s="33" t="str">
        <f t="shared" si="43"/>
        <v>Excellent</v>
      </c>
    </row>
    <row r="458" spans="1:50">
      <c r="A458" s="9" t="s">
        <v>1889</v>
      </c>
      <c r="B458" s="10" t="s">
        <v>1890</v>
      </c>
      <c r="C458" s="11" t="s">
        <v>827</v>
      </c>
      <c r="D458" s="11" t="s">
        <v>799</v>
      </c>
      <c r="E458" s="11" t="s">
        <v>103</v>
      </c>
      <c r="F458" s="11" t="s">
        <v>56</v>
      </c>
      <c r="G458" s="11" t="s">
        <v>57</v>
      </c>
      <c r="H458" s="11" t="s">
        <v>171</v>
      </c>
      <c r="I458" s="11" t="s">
        <v>95</v>
      </c>
      <c r="J458" s="11" t="s">
        <v>344</v>
      </c>
      <c r="K458" s="25">
        <v>1</v>
      </c>
      <c r="L458" s="25">
        <v>9000</v>
      </c>
      <c r="M458" s="29">
        <v>0.05</v>
      </c>
      <c r="N458" s="25">
        <v>8550</v>
      </c>
      <c r="O458" s="25">
        <v>6375.72</v>
      </c>
      <c r="P458" s="25">
        <v>2174.2800000000002</v>
      </c>
      <c r="Q458" s="21">
        <v>25.43</v>
      </c>
      <c r="R458" s="11" t="s">
        <v>61</v>
      </c>
      <c r="S458" s="11" t="s">
        <v>74</v>
      </c>
      <c r="T458" s="11" t="s">
        <v>63</v>
      </c>
      <c r="U458" s="11" t="s">
        <v>76</v>
      </c>
      <c r="V458" s="11">
        <v>2024</v>
      </c>
      <c r="W458" s="11" t="s">
        <v>126</v>
      </c>
      <c r="X458" s="11">
        <v>2</v>
      </c>
      <c r="Y458" s="10" t="s">
        <v>592</v>
      </c>
      <c r="Z458" s="11" t="s">
        <v>47</v>
      </c>
      <c r="AA458" s="11" t="s">
        <v>67</v>
      </c>
      <c r="AB458" s="11" t="s">
        <v>49</v>
      </c>
      <c r="AC458" s="11" t="s">
        <v>121</v>
      </c>
      <c r="AD458" s="11">
        <v>2</v>
      </c>
      <c r="AE458" s="11" t="s">
        <v>2229</v>
      </c>
      <c r="AF458" s="11" t="s">
        <v>2214</v>
      </c>
      <c r="AG458" s="25"/>
      <c r="AH458" s="11"/>
      <c r="AI458" s="11"/>
      <c r="AJ458" s="11"/>
      <c r="AK458" s="11"/>
      <c r="AL458" s="11"/>
      <c r="AM458" s="11" t="str">
        <f t="shared" si="39"/>
        <v>Needs Improvement</v>
      </c>
      <c r="AN458" s="11" t="str" cm="1">
        <f t="array" ref="AN458">_xlfn.IFS(N458&lt;10000,"Low",N458&lt;30000,"Medium",N458&gt;=30000,"High")</f>
        <v>Low</v>
      </c>
      <c r="AO458" s="11" t="str">
        <f t="shared" si="40"/>
        <v>No</v>
      </c>
      <c r="AP458" s="11" t="str">
        <f t="shared" si="41"/>
        <v>Yes</v>
      </c>
      <c r="AQ458" s="11">
        <f t="shared" si="42"/>
        <v>0.25430175438596492</v>
      </c>
      <c r="AR458" s="33"/>
      <c r="AS458" s="33"/>
      <c r="AT458" s="33"/>
      <c r="AU458" s="33"/>
      <c r="AV458" s="33"/>
      <c r="AW458" s="33"/>
      <c r="AX458" s="33" t="str">
        <f t="shared" si="43"/>
        <v>Low</v>
      </c>
    </row>
    <row r="459" spans="1:50">
      <c r="A459" s="9" t="s">
        <v>676</v>
      </c>
      <c r="B459" s="10" t="s">
        <v>77</v>
      </c>
      <c r="C459" s="11" t="s">
        <v>677</v>
      </c>
      <c r="D459" s="11" t="s">
        <v>678</v>
      </c>
      <c r="E459" s="11" t="s">
        <v>103</v>
      </c>
      <c r="F459" s="11" t="s">
        <v>245</v>
      </c>
      <c r="G459" s="11" t="s">
        <v>246</v>
      </c>
      <c r="H459" s="11" t="s">
        <v>58</v>
      </c>
      <c r="I459" s="11" t="s">
        <v>84</v>
      </c>
      <c r="J459" s="11" t="s">
        <v>390</v>
      </c>
      <c r="K459" s="25">
        <v>6</v>
      </c>
      <c r="L459" s="25">
        <v>350</v>
      </c>
      <c r="M459" s="29">
        <v>0</v>
      </c>
      <c r="N459" s="25">
        <v>2100</v>
      </c>
      <c r="O459" s="25">
        <v>1379.73</v>
      </c>
      <c r="P459" s="25">
        <v>720.27</v>
      </c>
      <c r="Q459" s="21">
        <v>34.299999999999997</v>
      </c>
      <c r="R459" s="11" t="s">
        <v>106</v>
      </c>
      <c r="S459" s="11" t="s">
        <v>74</v>
      </c>
      <c r="T459" s="11" t="s">
        <v>86</v>
      </c>
      <c r="U459" s="11" t="s">
        <v>76</v>
      </c>
      <c r="V459" s="11">
        <v>2025</v>
      </c>
      <c r="W459" s="11" t="s">
        <v>134</v>
      </c>
      <c r="X459" s="11">
        <v>3</v>
      </c>
      <c r="Y459" s="10" t="s">
        <v>679</v>
      </c>
      <c r="Z459" s="11" t="s">
        <v>47</v>
      </c>
      <c r="AA459" s="11" t="s">
        <v>67</v>
      </c>
      <c r="AB459" s="11" t="s">
        <v>49</v>
      </c>
      <c r="AC459" s="11" t="s">
        <v>121</v>
      </c>
      <c r="AD459" s="11">
        <v>5</v>
      </c>
      <c r="AE459" s="11" t="s">
        <v>2213</v>
      </c>
      <c r="AF459" s="11" t="s">
        <v>2223</v>
      </c>
      <c r="AG459" s="25"/>
      <c r="AH459" s="11"/>
      <c r="AI459" s="11"/>
      <c r="AJ459" s="11"/>
      <c r="AK459" s="11"/>
      <c r="AL459" s="11"/>
      <c r="AM459" s="11" t="str">
        <f t="shared" si="39"/>
        <v>Good</v>
      </c>
      <c r="AN459" s="11" t="str" cm="1">
        <f t="array" ref="AN459">_xlfn.IFS(N459&lt;10000,"Low",N459&lt;30000,"Medium",N459&gt;=30000,"High")</f>
        <v>Low</v>
      </c>
      <c r="AO459" s="11" t="str">
        <f t="shared" si="40"/>
        <v>No</v>
      </c>
      <c r="AP459" s="11" t="str">
        <f t="shared" si="41"/>
        <v>Yes</v>
      </c>
      <c r="AQ459" s="11">
        <f t="shared" si="42"/>
        <v>0.34298571428571428</v>
      </c>
      <c r="AR459" s="33"/>
      <c r="AS459" s="33"/>
      <c r="AT459" s="33"/>
      <c r="AU459" s="33"/>
      <c r="AV459" s="33"/>
      <c r="AW459" s="33"/>
      <c r="AX459" s="33" t="str">
        <f t="shared" si="43"/>
        <v>Low</v>
      </c>
    </row>
    <row r="460" spans="1:50">
      <c r="A460" s="9" t="s">
        <v>1536</v>
      </c>
      <c r="B460" s="10" t="s">
        <v>77</v>
      </c>
      <c r="C460" s="11" t="s">
        <v>754</v>
      </c>
      <c r="D460" s="11" t="s">
        <v>623</v>
      </c>
      <c r="E460" s="11" t="s">
        <v>103</v>
      </c>
      <c r="F460" s="11" t="s">
        <v>56</v>
      </c>
      <c r="G460" s="11" t="s">
        <v>57</v>
      </c>
      <c r="H460" s="11" t="s">
        <v>171</v>
      </c>
      <c r="I460" s="11" t="s">
        <v>84</v>
      </c>
      <c r="J460" s="11" t="s">
        <v>290</v>
      </c>
      <c r="K460" s="25">
        <v>7</v>
      </c>
      <c r="L460" s="25">
        <v>200</v>
      </c>
      <c r="M460" s="29">
        <v>0</v>
      </c>
      <c r="N460" s="25">
        <v>1400</v>
      </c>
      <c r="O460" s="25">
        <v>872.03</v>
      </c>
      <c r="P460" s="25">
        <v>527.97</v>
      </c>
      <c r="Q460" s="21">
        <v>37.71</v>
      </c>
      <c r="R460" s="11" t="s">
        <v>106</v>
      </c>
      <c r="S460" s="11" t="s">
        <v>74</v>
      </c>
      <c r="T460" s="11" t="s">
        <v>159</v>
      </c>
      <c r="U460" s="11" t="s">
        <v>76</v>
      </c>
      <c r="V460" s="11">
        <v>2025</v>
      </c>
      <c r="W460" s="11" t="s">
        <v>134</v>
      </c>
      <c r="X460" s="11">
        <v>7</v>
      </c>
      <c r="Y460" s="10" t="s">
        <v>1537</v>
      </c>
      <c r="Z460" s="11" t="s">
        <v>47</v>
      </c>
      <c r="AA460" s="11" t="s">
        <v>90</v>
      </c>
      <c r="AB460" s="11" t="s">
        <v>111</v>
      </c>
      <c r="AC460" s="11" t="s">
        <v>121</v>
      </c>
      <c r="AD460" s="11">
        <v>1</v>
      </c>
      <c r="AE460" s="11" t="s">
        <v>2237</v>
      </c>
      <c r="AF460" s="11" t="s">
        <v>2236</v>
      </c>
      <c r="AG460" s="25"/>
      <c r="AH460" s="11"/>
      <c r="AI460" s="11"/>
      <c r="AJ460" s="11"/>
      <c r="AK460" s="11"/>
      <c r="AL460" s="11"/>
      <c r="AM460" s="11" t="str">
        <f t="shared" si="39"/>
        <v>Good</v>
      </c>
      <c r="AN460" s="11" t="str" cm="1">
        <f t="array" ref="AN460">_xlfn.IFS(N460&lt;10000,"Low",N460&lt;30000,"Medium",N460&gt;=30000,"High")</f>
        <v>Low</v>
      </c>
      <c r="AO460" s="11" t="str">
        <f t="shared" si="40"/>
        <v>No</v>
      </c>
      <c r="AP460" s="11" t="str">
        <f t="shared" si="41"/>
        <v>Yes</v>
      </c>
      <c r="AQ460" s="11">
        <f t="shared" si="42"/>
        <v>0.37712142857142861</v>
      </c>
      <c r="AR460" s="33"/>
      <c r="AS460" s="33"/>
      <c r="AT460" s="33"/>
      <c r="AU460" s="33"/>
      <c r="AV460" s="33"/>
      <c r="AW460" s="33"/>
      <c r="AX460" s="33" t="str">
        <f t="shared" si="43"/>
        <v>Low</v>
      </c>
    </row>
    <row r="461" spans="1:50">
      <c r="A461" s="9" t="s">
        <v>2000</v>
      </c>
      <c r="B461" s="10" t="s">
        <v>1605</v>
      </c>
      <c r="C461" s="11" t="s">
        <v>1134</v>
      </c>
      <c r="D461" s="11" t="s">
        <v>678</v>
      </c>
      <c r="E461" s="11" t="s">
        <v>55</v>
      </c>
      <c r="F461" s="11" t="s">
        <v>56</v>
      </c>
      <c r="G461" s="11" t="s">
        <v>57</v>
      </c>
      <c r="H461" s="11" t="s">
        <v>171</v>
      </c>
      <c r="I461" s="11" t="s">
        <v>39</v>
      </c>
      <c r="J461" s="11" t="s">
        <v>165</v>
      </c>
      <c r="K461" s="25">
        <v>7</v>
      </c>
      <c r="L461" s="25">
        <v>22000</v>
      </c>
      <c r="M461" s="29">
        <v>0</v>
      </c>
      <c r="N461" s="25">
        <v>154000</v>
      </c>
      <c r="O461" s="25">
        <v>84816.24</v>
      </c>
      <c r="P461" s="25">
        <v>69183.759999999995</v>
      </c>
      <c r="Q461" s="21">
        <v>44.92</v>
      </c>
      <c r="R461" s="11" t="s">
        <v>106</v>
      </c>
      <c r="S461" s="11" t="s">
        <v>62</v>
      </c>
      <c r="T461" s="11" t="s">
        <v>107</v>
      </c>
      <c r="U461" s="11" t="s">
        <v>98</v>
      </c>
      <c r="V461" s="11">
        <v>2024</v>
      </c>
      <c r="W461" s="11" t="s">
        <v>139</v>
      </c>
      <c r="X461" s="11">
        <v>10</v>
      </c>
      <c r="Y461" s="10" t="s">
        <v>958</v>
      </c>
      <c r="Z461" s="11" t="s">
        <v>47</v>
      </c>
      <c r="AA461" s="11" t="s">
        <v>67</v>
      </c>
      <c r="AB461" s="11" t="s">
        <v>111</v>
      </c>
      <c r="AC461" s="11" t="s">
        <v>121</v>
      </c>
      <c r="AD461" s="11">
        <v>4</v>
      </c>
      <c r="AE461" s="11" t="s">
        <v>2213</v>
      </c>
      <c r="AF461" s="11" t="s">
        <v>2223</v>
      </c>
      <c r="AG461" s="25"/>
      <c r="AH461" s="11"/>
      <c r="AI461" s="11"/>
      <c r="AJ461" s="11"/>
      <c r="AK461" s="11"/>
      <c r="AL461" s="11"/>
      <c r="AM461" s="11" t="str">
        <f t="shared" si="39"/>
        <v>Good</v>
      </c>
      <c r="AN461" s="11" t="str" cm="1">
        <f t="array" ref="AN461">_xlfn.IFS(N461&lt;10000,"Low",N461&lt;30000,"Medium",N461&gt;=30000,"High")</f>
        <v>High</v>
      </c>
      <c r="AO461" s="11" t="str">
        <f t="shared" si="40"/>
        <v>Yes</v>
      </c>
      <c r="AP461" s="11" t="str">
        <f t="shared" si="41"/>
        <v>No</v>
      </c>
      <c r="AQ461" s="11">
        <f t="shared" si="42"/>
        <v>0.44924519480519476</v>
      </c>
      <c r="AR461" s="33"/>
      <c r="AS461" s="33"/>
      <c r="AT461" s="33"/>
      <c r="AU461" s="33"/>
      <c r="AV461" s="33"/>
      <c r="AW461" s="33"/>
      <c r="AX461" s="33" t="str">
        <f t="shared" si="43"/>
        <v>Excellent</v>
      </c>
    </row>
    <row r="462" spans="1:50">
      <c r="A462" s="9" t="s">
        <v>1377</v>
      </c>
      <c r="B462" s="10" t="s">
        <v>1378</v>
      </c>
      <c r="C462" s="11" t="s">
        <v>1379</v>
      </c>
      <c r="D462" s="11" t="s">
        <v>307</v>
      </c>
      <c r="E462" s="11" t="s">
        <v>103</v>
      </c>
      <c r="F462" s="11" t="s">
        <v>36</v>
      </c>
      <c r="G462" s="11" t="s">
        <v>37</v>
      </c>
      <c r="H462" s="11" t="s">
        <v>58</v>
      </c>
      <c r="I462" s="11" t="s">
        <v>39</v>
      </c>
      <c r="J462" s="11" t="s">
        <v>165</v>
      </c>
      <c r="K462" s="25">
        <v>1</v>
      </c>
      <c r="L462" s="25">
        <v>15000</v>
      </c>
      <c r="M462" s="29">
        <v>0.15</v>
      </c>
      <c r="N462" s="25">
        <v>12750</v>
      </c>
      <c r="O462" s="25">
        <v>9601.1299999999992</v>
      </c>
      <c r="P462" s="25">
        <v>3148.87</v>
      </c>
      <c r="Q462" s="21">
        <v>24.7</v>
      </c>
      <c r="R462" s="11" t="s">
        <v>166</v>
      </c>
      <c r="S462" s="11" t="s">
        <v>62</v>
      </c>
      <c r="T462" s="11" t="s">
        <v>138</v>
      </c>
      <c r="U462" s="11" t="s">
        <v>98</v>
      </c>
      <c r="V462" s="11">
        <v>2025</v>
      </c>
      <c r="W462" s="11" t="s">
        <v>65</v>
      </c>
      <c r="X462" s="11">
        <v>2</v>
      </c>
      <c r="Y462" s="10" t="s">
        <v>99</v>
      </c>
      <c r="Z462" s="11" t="s">
        <v>89</v>
      </c>
      <c r="AA462" s="11" t="s">
        <v>67</v>
      </c>
      <c r="AB462" s="11" t="s">
        <v>111</v>
      </c>
      <c r="AC462" s="11" t="s">
        <v>121</v>
      </c>
      <c r="AD462" s="11">
        <v>3</v>
      </c>
      <c r="AE462" s="11" t="s">
        <v>2234</v>
      </c>
      <c r="AF462" s="11" t="s">
        <v>2238</v>
      </c>
      <c r="AG462" s="25"/>
      <c r="AH462" s="11"/>
      <c r="AI462" s="11"/>
      <c r="AJ462" s="11"/>
      <c r="AK462" s="11"/>
      <c r="AL462" s="11"/>
      <c r="AM462" s="11" t="str">
        <f t="shared" si="39"/>
        <v>Needs Improvement</v>
      </c>
      <c r="AN462" s="11" t="str" cm="1">
        <f t="array" ref="AN462">_xlfn.IFS(N462&lt;10000,"Low",N462&lt;30000,"Medium",N462&gt;=30000,"High")</f>
        <v>Medium</v>
      </c>
      <c r="AO462" s="11" t="str">
        <f t="shared" si="40"/>
        <v>No</v>
      </c>
      <c r="AP462" s="11" t="str">
        <f t="shared" si="41"/>
        <v>No</v>
      </c>
      <c r="AQ462" s="11">
        <f t="shared" si="42"/>
        <v>0.24697019607843138</v>
      </c>
      <c r="AR462" s="33"/>
      <c r="AS462" s="33"/>
      <c r="AT462" s="33"/>
      <c r="AU462" s="33"/>
      <c r="AV462" s="33"/>
      <c r="AW462" s="33"/>
      <c r="AX462" s="33" t="str">
        <f t="shared" si="43"/>
        <v>Low</v>
      </c>
    </row>
    <row r="463" spans="1:50">
      <c r="A463" s="9" t="s">
        <v>1661</v>
      </c>
      <c r="B463" s="10" t="s">
        <v>1378</v>
      </c>
      <c r="C463" s="11" t="s">
        <v>514</v>
      </c>
      <c r="D463" s="11" t="s">
        <v>351</v>
      </c>
      <c r="E463" s="11" t="s">
        <v>55</v>
      </c>
      <c r="F463" s="11" t="s">
        <v>131</v>
      </c>
      <c r="G463" s="11" t="s">
        <v>132</v>
      </c>
      <c r="H463" s="11" t="s">
        <v>58</v>
      </c>
      <c r="I463" s="11" t="s">
        <v>59</v>
      </c>
      <c r="J463" s="11" t="s">
        <v>133</v>
      </c>
      <c r="K463" s="25">
        <v>7</v>
      </c>
      <c r="L463" s="25">
        <v>1200</v>
      </c>
      <c r="M463" s="29">
        <v>0.05</v>
      </c>
      <c r="N463" s="25">
        <v>7980</v>
      </c>
      <c r="O463" s="25">
        <v>5923.04</v>
      </c>
      <c r="P463" s="25">
        <v>2056.96</v>
      </c>
      <c r="Q463" s="21">
        <v>25.78</v>
      </c>
      <c r="R463" s="11" t="s">
        <v>106</v>
      </c>
      <c r="S463" s="11" t="s">
        <v>74</v>
      </c>
      <c r="T463" s="11" t="s">
        <v>97</v>
      </c>
      <c r="U463" s="11" t="s">
        <v>98</v>
      </c>
      <c r="V463" s="11">
        <v>2025</v>
      </c>
      <c r="W463" s="11" t="s">
        <v>65</v>
      </c>
      <c r="X463" s="11">
        <v>9</v>
      </c>
      <c r="Y463" s="10" t="s">
        <v>316</v>
      </c>
      <c r="Z463" s="11" t="s">
        <v>47</v>
      </c>
      <c r="AA463" s="11" t="s">
        <v>67</v>
      </c>
      <c r="AB463" s="11" t="s">
        <v>78</v>
      </c>
      <c r="AC463" s="11" t="s">
        <v>50</v>
      </c>
      <c r="AD463" s="11">
        <v>4</v>
      </c>
      <c r="AE463" s="11" t="s">
        <v>2216</v>
      </c>
      <c r="AF463" s="11" t="s">
        <v>2230</v>
      </c>
      <c r="AG463" s="25"/>
      <c r="AH463" s="11"/>
      <c r="AI463" s="11"/>
      <c r="AJ463" s="11"/>
      <c r="AK463" s="11"/>
      <c r="AL463" s="11"/>
      <c r="AM463" s="11" t="str">
        <f t="shared" si="39"/>
        <v>Needs Improvement</v>
      </c>
      <c r="AN463" s="11" t="str" cm="1">
        <f t="array" ref="AN463">_xlfn.IFS(N463&lt;10000,"Low",N463&lt;30000,"Medium",N463&gt;=30000,"High")</f>
        <v>Low</v>
      </c>
      <c r="AO463" s="11" t="str">
        <f t="shared" si="40"/>
        <v>No</v>
      </c>
      <c r="AP463" s="11" t="str">
        <f t="shared" si="41"/>
        <v>Yes</v>
      </c>
      <c r="AQ463" s="11">
        <f t="shared" si="42"/>
        <v>0.25776441102756892</v>
      </c>
      <c r="AR463" s="33"/>
      <c r="AS463" s="33"/>
      <c r="AT463" s="33"/>
      <c r="AU463" s="33"/>
      <c r="AV463" s="33"/>
      <c r="AW463" s="33"/>
      <c r="AX463" s="33" t="str">
        <f t="shared" si="43"/>
        <v>Low</v>
      </c>
    </row>
    <row r="464" spans="1:50">
      <c r="A464" s="9" t="s">
        <v>884</v>
      </c>
      <c r="B464" s="10" t="s">
        <v>179</v>
      </c>
      <c r="C464" s="11" t="s">
        <v>885</v>
      </c>
      <c r="D464" s="11" t="s">
        <v>886</v>
      </c>
      <c r="E464" s="11" t="s">
        <v>55</v>
      </c>
      <c r="F464" s="11" t="s">
        <v>245</v>
      </c>
      <c r="G464" s="11" t="s">
        <v>246</v>
      </c>
      <c r="H464" s="11" t="s">
        <v>171</v>
      </c>
      <c r="I464" s="11" t="s">
        <v>59</v>
      </c>
      <c r="J464" s="11" t="s">
        <v>328</v>
      </c>
      <c r="K464" s="25">
        <v>9</v>
      </c>
      <c r="L464" s="25">
        <v>2000</v>
      </c>
      <c r="M464" s="29">
        <v>0.2</v>
      </c>
      <c r="N464" s="25">
        <v>14400</v>
      </c>
      <c r="O464" s="25">
        <v>8894.67</v>
      </c>
      <c r="P464" s="25">
        <v>5505.33</v>
      </c>
      <c r="Q464" s="21">
        <v>38.229999999999997</v>
      </c>
      <c r="R464" s="11" t="s">
        <v>73</v>
      </c>
      <c r="S464" s="11" t="s">
        <v>42</v>
      </c>
      <c r="T464" s="11" t="s">
        <v>86</v>
      </c>
      <c r="U464" s="11" t="s">
        <v>178</v>
      </c>
      <c r="V464" s="11">
        <v>2024</v>
      </c>
      <c r="W464" s="11" t="s">
        <v>194</v>
      </c>
      <c r="X464" s="11">
        <v>5</v>
      </c>
      <c r="Y464" s="10" t="s">
        <v>433</v>
      </c>
      <c r="Z464" s="11" t="s">
        <v>47</v>
      </c>
      <c r="AA464" s="11" t="s">
        <v>90</v>
      </c>
      <c r="AB464" s="11" t="s">
        <v>78</v>
      </c>
      <c r="AC464" s="11" t="s">
        <v>121</v>
      </c>
      <c r="AD464" s="11">
        <v>2</v>
      </c>
      <c r="AE464" s="11" t="s">
        <v>2229</v>
      </c>
      <c r="AF464" s="11" t="s">
        <v>2219</v>
      </c>
      <c r="AG464" s="25"/>
      <c r="AH464" s="11"/>
      <c r="AI464" s="11"/>
      <c r="AJ464" s="11"/>
      <c r="AK464" s="11"/>
      <c r="AL464" s="11"/>
      <c r="AM464" s="11" t="str">
        <f t="shared" si="39"/>
        <v>Good</v>
      </c>
      <c r="AN464" s="11" t="str" cm="1">
        <f t="array" ref="AN464">_xlfn.IFS(N464&lt;10000,"Low",N464&lt;30000,"Medium",N464&gt;=30000,"High")</f>
        <v>Medium</v>
      </c>
      <c r="AO464" s="11" t="str">
        <f t="shared" si="40"/>
        <v>No</v>
      </c>
      <c r="AP464" s="11" t="str">
        <f t="shared" si="41"/>
        <v>Yes</v>
      </c>
      <c r="AQ464" s="11">
        <f t="shared" si="42"/>
        <v>0.38231458333333335</v>
      </c>
      <c r="AR464" s="33"/>
      <c r="AS464" s="33"/>
      <c r="AT464" s="33"/>
      <c r="AU464" s="33"/>
      <c r="AV464" s="33"/>
      <c r="AW464" s="33"/>
      <c r="AX464" s="33" t="str">
        <f t="shared" si="43"/>
        <v>Average</v>
      </c>
    </row>
    <row r="465" spans="1:50">
      <c r="A465" s="9" t="s">
        <v>1549</v>
      </c>
      <c r="B465" s="10" t="s">
        <v>179</v>
      </c>
      <c r="C465" s="11" t="s">
        <v>402</v>
      </c>
      <c r="D465" s="11" t="s">
        <v>623</v>
      </c>
      <c r="E465" s="11" t="s">
        <v>55</v>
      </c>
      <c r="F465" s="11" t="s">
        <v>36</v>
      </c>
      <c r="G465" s="11" t="s">
        <v>37</v>
      </c>
      <c r="H465" s="11" t="s">
        <v>94</v>
      </c>
      <c r="I465" s="11" t="s">
        <v>84</v>
      </c>
      <c r="J465" s="11" t="s">
        <v>290</v>
      </c>
      <c r="K465" s="25">
        <v>3</v>
      </c>
      <c r="L465" s="25">
        <v>800</v>
      </c>
      <c r="M465" s="29">
        <v>0.15</v>
      </c>
      <c r="N465" s="25">
        <v>2040</v>
      </c>
      <c r="O465" s="25">
        <v>1603.49</v>
      </c>
      <c r="P465" s="25">
        <v>436.51</v>
      </c>
      <c r="Q465" s="21">
        <v>21.4</v>
      </c>
      <c r="R465" s="11" t="s">
        <v>41</v>
      </c>
      <c r="S465" s="11" t="s">
        <v>62</v>
      </c>
      <c r="T465" s="11" t="s">
        <v>173</v>
      </c>
      <c r="U465" s="11" t="s">
        <v>178</v>
      </c>
      <c r="V465" s="11">
        <v>2024</v>
      </c>
      <c r="W465" s="11" t="s">
        <v>194</v>
      </c>
      <c r="X465" s="11">
        <v>4</v>
      </c>
      <c r="Y465" s="10" t="s">
        <v>460</v>
      </c>
      <c r="Z465" s="11" t="s">
        <v>110</v>
      </c>
      <c r="AA465" s="11" t="s">
        <v>90</v>
      </c>
      <c r="AB465" s="11" t="s">
        <v>49</v>
      </c>
      <c r="AC465" s="11" t="s">
        <v>121</v>
      </c>
      <c r="AD465" s="11">
        <v>4</v>
      </c>
      <c r="AE465" s="11" t="s">
        <v>2237</v>
      </c>
      <c r="AF465" s="11" t="s">
        <v>2236</v>
      </c>
      <c r="AG465" s="25"/>
      <c r="AH465" s="11"/>
      <c r="AI465" s="11"/>
      <c r="AJ465" s="11"/>
      <c r="AK465" s="11"/>
      <c r="AL465" s="11"/>
      <c r="AM465" s="11" t="str">
        <f t="shared" si="39"/>
        <v>Needs Improvement</v>
      </c>
      <c r="AN465" s="11" t="str" cm="1">
        <f t="array" ref="AN465">_xlfn.IFS(N465&lt;10000,"Low",N465&lt;30000,"Medium",N465&gt;=30000,"High")</f>
        <v>Low</v>
      </c>
      <c r="AO465" s="11" t="str">
        <f t="shared" si="40"/>
        <v>No</v>
      </c>
      <c r="AP465" s="11" t="str">
        <f t="shared" si="41"/>
        <v>No</v>
      </c>
      <c r="AQ465" s="11">
        <f t="shared" si="42"/>
        <v>0.21397549019607842</v>
      </c>
      <c r="AR465" s="33"/>
      <c r="AS465" s="33"/>
      <c r="AT465" s="33"/>
      <c r="AU465" s="33"/>
      <c r="AV465" s="33"/>
      <c r="AW465" s="33"/>
      <c r="AX465" s="33" t="str">
        <f t="shared" si="43"/>
        <v>Low</v>
      </c>
    </row>
    <row r="466" spans="1:50">
      <c r="A466" s="9" t="s">
        <v>2148</v>
      </c>
      <c r="B466" s="10" t="s">
        <v>179</v>
      </c>
      <c r="C466" s="11" t="s">
        <v>1399</v>
      </c>
      <c r="D466" s="11" t="s">
        <v>1405</v>
      </c>
      <c r="E466" s="11" t="s">
        <v>35</v>
      </c>
      <c r="F466" s="11" t="s">
        <v>116</v>
      </c>
      <c r="G466" s="11" t="s">
        <v>37</v>
      </c>
      <c r="H466" s="11" t="s">
        <v>58</v>
      </c>
      <c r="I466" s="11" t="s">
        <v>71</v>
      </c>
      <c r="J466" s="11" t="s">
        <v>117</v>
      </c>
      <c r="K466" s="25">
        <v>2</v>
      </c>
      <c r="L466" s="25">
        <v>1200</v>
      </c>
      <c r="M466" s="29">
        <v>0.15</v>
      </c>
      <c r="N466" s="25">
        <v>2040</v>
      </c>
      <c r="O466" s="25">
        <v>1631.05</v>
      </c>
      <c r="P466" s="25">
        <v>408.95</v>
      </c>
      <c r="Q466" s="21">
        <v>20.05</v>
      </c>
      <c r="R466" s="11" t="s">
        <v>61</v>
      </c>
      <c r="S466" s="11" t="s">
        <v>42</v>
      </c>
      <c r="T466" s="11" t="s">
        <v>43</v>
      </c>
      <c r="U466" s="11" t="s">
        <v>178</v>
      </c>
      <c r="V466" s="11">
        <v>2024</v>
      </c>
      <c r="W466" s="11" t="s">
        <v>194</v>
      </c>
      <c r="X466" s="11">
        <v>7</v>
      </c>
      <c r="Y466" s="10" t="s">
        <v>1817</v>
      </c>
      <c r="Z466" s="11" t="s">
        <v>89</v>
      </c>
      <c r="AA466" s="11" t="s">
        <v>90</v>
      </c>
      <c r="AB466" s="11" t="s">
        <v>49</v>
      </c>
      <c r="AC466" s="11" t="s">
        <v>50</v>
      </c>
      <c r="AD466" s="11">
        <v>1</v>
      </c>
      <c r="AE466" s="11" t="s">
        <v>2232</v>
      </c>
      <c r="AF466" s="11" t="s">
        <v>2219</v>
      </c>
      <c r="AG466" s="25"/>
      <c r="AH466" s="11"/>
      <c r="AI466" s="11"/>
      <c r="AJ466" s="11"/>
      <c r="AK466" s="11"/>
      <c r="AL466" s="11"/>
      <c r="AM466" s="11" t="str">
        <f t="shared" si="39"/>
        <v>Needs Improvement</v>
      </c>
      <c r="AN466" s="11" t="str" cm="1">
        <f t="array" ref="AN466">_xlfn.IFS(N466&lt;10000,"Low",N466&lt;30000,"Medium",N466&gt;=30000,"High")</f>
        <v>Low</v>
      </c>
      <c r="AO466" s="11" t="str">
        <f t="shared" si="40"/>
        <v>No</v>
      </c>
      <c r="AP466" s="11" t="str">
        <f t="shared" si="41"/>
        <v>Yes</v>
      </c>
      <c r="AQ466" s="11">
        <f t="shared" si="42"/>
        <v>0.20046568627450981</v>
      </c>
      <c r="AR466" s="33"/>
      <c r="AS466" s="33"/>
      <c r="AT466" s="33"/>
      <c r="AU466" s="33"/>
      <c r="AV466" s="33"/>
      <c r="AW466" s="33"/>
      <c r="AX466" s="33" t="str">
        <f t="shared" si="43"/>
        <v>Low</v>
      </c>
    </row>
    <row r="467" spans="1:50">
      <c r="A467" s="9" t="s">
        <v>811</v>
      </c>
      <c r="B467" s="10" t="s">
        <v>222</v>
      </c>
      <c r="C467" s="11" t="s">
        <v>812</v>
      </c>
      <c r="D467" s="11" t="s">
        <v>813</v>
      </c>
      <c r="E467" s="11" t="s">
        <v>55</v>
      </c>
      <c r="F467" s="11" t="s">
        <v>36</v>
      </c>
      <c r="G467" s="11" t="s">
        <v>37</v>
      </c>
      <c r="H467" s="11" t="s">
        <v>58</v>
      </c>
      <c r="I467" s="11" t="s">
        <v>95</v>
      </c>
      <c r="J467" s="11" t="s">
        <v>96</v>
      </c>
      <c r="K467" s="25">
        <v>7</v>
      </c>
      <c r="L467" s="25">
        <v>9000</v>
      </c>
      <c r="M467" s="29">
        <v>0.15</v>
      </c>
      <c r="N467" s="25">
        <v>53550</v>
      </c>
      <c r="O467" s="25">
        <v>29520.01</v>
      </c>
      <c r="P467" s="25">
        <v>24029.99</v>
      </c>
      <c r="Q467" s="21">
        <v>44.87</v>
      </c>
      <c r="R467" s="11" t="s">
        <v>61</v>
      </c>
      <c r="S467" s="11" t="s">
        <v>42</v>
      </c>
      <c r="T467" s="11" t="s">
        <v>86</v>
      </c>
      <c r="U467" s="11" t="s">
        <v>178</v>
      </c>
      <c r="V467" s="11">
        <v>2025</v>
      </c>
      <c r="W467" s="11" t="s">
        <v>65</v>
      </c>
      <c r="X467" s="11">
        <v>8</v>
      </c>
      <c r="Y467" s="10" t="s">
        <v>759</v>
      </c>
      <c r="Z467" s="11" t="s">
        <v>110</v>
      </c>
      <c r="AA467" s="11" t="s">
        <v>90</v>
      </c>
      <c r="AB467" s="11" t="s">
        <v>111</v>
      </c>
      <c r="AC467" s="11" t="s">
        <v>121</v>
      </c>
      <c r="AD467" s="11">
        <v>2</v>
      </c>
      <c r="AE467" s="11" t="s">
        <v>86</v>
      </c>
      <c r="AF467" s="11" t="s">
        <v>2214</v>
      </c>
      <c r="AG467" s="25"/>
      <c r="AH467" s="11"/>
      <c r="AI467" s="11"/>
      <c r="AJ467" s="11"/>
      <c r="AK467" s="11"/>
      <c r="AL467" s="11"/>
      <c r="AM467" s="11" t="str">
        <f t="shared" si="39"/>
        <v>Good</v>
      </c>
      <c r="AN467" s="11" t="str" cm="1">
        <f t="array" ref="AN467">_xlfn.IFS(N467&lt;10000,"Low",N467&lt;30000,"Medium",N467&gt;=30000,"High")</f>
        <v>High</v>
      </c>
      <c r="AO467" s="11" t="str">
        <f t="shared" si="40"/>
        <v>Yes</v>
      </c>
      <c r="AP467" s="11" t="str">
        <f t="shared" si="41"/>
        <v>Yes</v>
      </c>
      <c r="AQ467" s="11">
        <f t="shared" si="42"/>
        <v>0.44873930905695614</v>
      </c>
      <c r="AR467" s="33"/>
      <c r="AS467" s="33"/>
      <c r="AT467" s="33"/>
      <c r="AU467" s="33"/>
      <c r="AV467" s="33"/>
      <c r="AW467" s="33"/>
      <c r="AX467" s="33" t="str">
        <f t="shared" si="43"/>
        <v>Excellent</v>
      </c>
    </row>
    <row r="468" spans="1:50">
      <c r="A468" s="9" t="s">
        <v>1266</v>
      </c>
      <c r="B468" s="10" t="s">
        <v>222</v>
      </c>
      <c r="C468" s="11" t="s">
        <v>1267</v>
      </c>
      <c r="D468" s="11" t="s">
        <v>1268</v>
      </c>
      <c r="E468" s="11" t="s">
        <v>35</v>
      </c>
      <c r="F468" s="11" t="s">
        <v>149</v>
      </c>
      <c r="G468" s="11" t="s">
        <v>150</v>
      </c>
      <c r="H468" s="11" t="s">
        <v>58</v>
      </c>
      <c r="I468" s="11" t="s">
        <v>84</v>
      </c>
      <c r="J468" s="11" t="s">
        <v>85</v>
      </c>
      <c r="K468" s="25">
        <v>1</v>
      </c>
      <c r="L468" s="25">
        <v>500</v>
      </c>
      <c r="M468" s="29">
        <v>0.2</v>
      </c>
      <c r="N468" s="25">
        <v>400</v>
      </c>
      <c r="O468" s="25">
        <v>236.12</v>
      </c>
      <c r="P468" s="25">
        <v>163.88</v>
      </c>
      <c r="Q468" s="21">
        <v>40.97</v>
      </c>
      <c r="R468" s="11" t="s">
        <v>41</v>
      </c>
      <c r="S468" s="11" t="s">
        <v>62</v>
      </c>
      <c r="T468" s="11" t="s">
        <v>138</v>
      </c>
      <c r="U468" s="11" t="s">
        <v>178</v>
      </c>
      <c r="V468" s="11">
        <v>2025</v>
      </c>
      <c r="W468" s="11" t="s">
        <v>65</v>
      </c>
      <c r="X468" s="11">
        <v>10</v>
      </c>
      <c r="Y468" s="10" t="s">
        <v>1269</v>
      </c>
      <c r="Z468" s="11" t="s">
        <v>47</v>
      </c>
      <c r="AA468" s="11" t="s">
        <v>48</v>
      </c>
      <c r="AB468" s="11" t="s">
        <v>78</v>
      </c>
      <c r="AC468" s="11" t="s">
        <v>121</v>
      </c>
      <c r="AD468" s="11">
        <v>2</v>
      </c>
      <c r="AE468" s="11" t="s">
        <v>2248</v>
      </c>
      <c r="AF468" s="11" t="s">
        <v>2249</v>
      </c>
      <c r="AG468" s="25"/>
      <c r="AH468" s="11"/>
      <c r="AI468" s="11"/>
      <c r="AJ468" s="11"/>
      <c r="AK468" s="11"/>
      <c r="AL468" s="11"/>
      <c r="AM468" s="11" t="str">
        <f t="shared" si="39"/>
        <v>Good</v>
      </c>
      <c r="AN468" s="11" t="str" cm="1">
        <f t="array" ref="AN468">_xlfn.IFS(N468&lt;10000,"Low",N468&lt;30000,"Medium",N468&gt;=30000,"High")</f>
        <v>Low</v>
      </c>
      <c r="AO468" s="11" t="str">
        <f t="shared" si="40"/>
        <v>No</v>
      </c>
      <c r="AP468" s="11" t="str">
        <f t="shared" si="41"/>
        <v>No</v>
      </c>
      <c r="AQ468" s="11">
        <f t="shared" si="42"/>
        <v>0.40970000000000001</v>
      </c>
      <c r="AR468" s="33"/>
      <c r="AS468" s="33"/>
      <c r="AT468" s="33"/>
      <c r="AU468" s="33"/>
      <c r="AV468" s="33"/>
      <c r="AW468" s="33"/>
      <c r="AX468" s="33" t="str">
        <f t="shared" si="43"/>
        <v>Low</v>
      </c>
    </row>
    <row r="469" spans="1:50">
      <c r="A469" s="9" t="s">
        <v>1501</v>
      </c>
      <c r="B469" s="10" t="s">
        <v>222</v>
      </c>
      <c r="C469" s="11" t="s">
        <v>1502</v>
      </c>
      <c r="D469" s="11" t="s">
        <v>499</v>
      </c>
      <c r="E469" s="11" t="s">
        <v>35</v>
      </c>
      <c r="F469" s="11" t="s">
        <v>131</v>
      </c>
      <c r="G469" s="11" t="s">
        <v>132</v>
      </c>
      <c r="H469" s="11" t="s">
        <v>94</v>
      </c>
      <c r="I469" s="11" t="s">
        <v>39</v>
      </c>
      <c r="J469" s="11" t="s">
        <v>105</v>
      </c>
      <c r="K469" s="25">
        <v>1</v>
      </c>
      <c r="L469" s="25">
        <v>50000</v>
      </c>
      <c r="M469" s="29">
        <v>0.1</v>
      </c>
      <c r="N469" s="25">
        <v>45000</v>
      </c>
      <c r="O469" s="25">
        <v>30027.09</v>
      </c>
      <c r="P469" s="25">
        <v>14972.91</v>
      </c>
      <c r="Q469" s="21">
        <v>33.270000000000003</v>
      </c>
      <c r="R469" s="11" t="s">
        <v>73</v>
      </c>
      <c r="S469" s="11" t="s">
        <v>42</v>
      </c>
      <c r="T469" s="11" t="s">
        <v>118</v>
      </c>
      <c r="U469" s="11" t="s">
        <v>178</v>
      </c>
      <c r="V469" s="11">
        <v>2025</v>
      </c>
      <c r="W469" s="11" t="s">
        <v>65</v>
      </c>
      <c r="X469" s="11">
        <v>10</v>
      </c>
      <c r="Y469" s="10" t="s">
        <v>1269</v>
      </c>
      <c r="Z469" s="11" t="s">
        <v>47</v>
      </c>
      <c r="AA469" s="11" t="s">
        <v>48</v>
      </c>
      <c r="AB469" s="11" t="s">
        <v>111</v>
      </c>
      <c r="AC469" s="11" t="s">
        <v>121</v>
      </c>
      <c r="AD469" s="11">
        <v>2</v>
      </c>
      <c r="AE469" s="11" t="s">
        <v>2218</v>
      </c>
      <c r="AF469" s="11" t="s">
        <v>2219</v>
      </c>
      <c r="AG469" s="25"/>
      <c r="AH469" s="11"/>
      <c r="AI469" s="11"/>
      <c r="AJ469" s="11"/>
      <c r="AK469" s="11"/>
      <c r="AL469" s="11"/>
      <c r="AM469" s="11" t="str">
        <f t="shared" si="39"/>
        <v>Good</v>
      </c>
      <c r="AN469" s="11" t="str" cm="1">
        <f t="array" ref="AN469">_xlfn.IFS(N469&lt;10000,"Low",N469&lt;30000,"Medium",N469&gt;=30000,"High")</f>
        <v>High</v>
      </c>
      <c r="AO469" s="11" t="str">
        <f t="shared" si="40"/>
        <v>Yes</v>
      </c>
      <c r="AP469" s="11" t="str">
        <f t="shared" si="41"/>
        <v>Yes</v>
      </c>
      <c r="AQ469" s="11">
        <f t="shared" si="42"/>
        <v>0.33273133333333332</v>
      </c>
      <c r="AR469" s="33"/>
      <c r="AS469" s="33"/>
      <c r="AT469" s="33"/>
      <c r="AU469" s="33"/>
      <c r="AV469" s="33"/>
      <c r="AW469" s="33"/>
      <c r="AX469" s="33" t="str">
        <f t="shared" si="43"/>
        <v>Good</v>
      </c>
    </row>
    <row r="470" spans="1:50">
      <c r="A470" s="9" t="s">
        <v>838</v>
      </c>
      <c r="B470" s="10" t="s">
        <v>824</v>
      </c>
      <c r="C470" s="11" t="s">
        <v>553</v>
      </c>
      <c r="D470" s="11" t="s">
        <v>831</v>
      </c>
      <c r="E470" s="11" t="s">
        <v>35</v>
      </c>
      <c r="F470" s="11" t="s">
        <v>56</v>
      </c>
      <c r="G470" s="11" t="s">
        <v>57</v>
      </c>
      <c r="H470" s="11" t="s">
        <v>171</v>
      </c>
      <c r="I470" s="11" t="s">
        <v>71</v>
      </c>
      <c r="J470" s="11" t="s">
        <v>240</v>
      </c>
      <c r="K470" s="25">
        <v>2</v>
      </c>
      <c r="L470" s="25">
        <v>2500</v>
      </c>
      <c r="M470" s="29">
        <v>0</v>
      </c>
      <c r="N470" s="25">
        <v>5000</v>
      </c>
      <c r="O470" s="25">
        <v>2798.37</v>
      </c>
      <c r="P470" s="25">
        <v>2201.63</v>
      </c>
      <c r="Q470" s="21">
        <v>44.03</v>
      </c>
      <c r="R470" s="11" t="s">
        <v>41</v>
      </c>
      <c r="S470" s="11" t="s">
        <v>42</v>
      </c>
      <c r="T470" s="11" t="s">
        <v>86</v>
      </c>
      <c r="U470" s="11" t="s">
        <v>44</v>
      </c>
      <c r="V470" s="11">
        <v>2024</v>
      </c>
      <c r="W470" s="11" t="s">
        <v>126</v>
      </c>
      <c r="X470" s="11">
        <v>7</v>
      </c>
      <c r="Y470" s="10" t="s">
        <v>839</v>
      </c>
      <c r="Z470" s="11" t="s">
        <v>110</v>
      </c>
      <c r="AA470" s="11" t="s">
        <v>48</v>
      </c>
      <c r="AB470" s="11" t="s">
        <v>111</v>
      </c>
      <c r="AC470" s="11" t="s">
        <v>50</v>
      </c>
      <c r="AD470" s="11">
        <v>3</v>
      </c>
      <c r="AE470" s="11" t="s">
        <v>2232</v>
      </c>
      <c r="AF470" s="11" t="s">
        <v>2217</v>
      </c>
      <c r="AG470" s="25"/>
      <c r="AH470" s="11"/>
      <c r="AI470" s="11"/>
      <c r="AJ470" s="11"/>
      <c r="AK470" s="11"/>
      <c r="AL470" s="11"/>
      <c r="AM470" s="11" t="str">
        <f t="shared" si="39"/>
        <v>Good</v>
      </c>
      <c r="AN470" s="11" t="str" cm="1">
        <f t="array" ref="AN470">_xlfn.IFS(N470&lt;10000,"Low",N470&lt;30000,"Medium",N470&gt;=30000,"High")</f>
        <v>Low</v>
      </c>
      <c r="AO470" s="11" t="str">
        <f t="shared" si="40"/>
        <v>No</v>
      </c>
      <c r="AP470" s="11" t="str">
        <f t="shared" si="41"/>
        <v>Yes</v>
      </c>
      <c r="AQ470" s="11">
        <f t="shared" si="42"/>
        <v>0.440326</v>
      </c>
      <c r="AR470" s="33"/>
      <c r="AS470" s="33"/>
      <c r="AT470" s="33"/>
      <c r="AU470" s="33"/>
      <c r="AV470" s="33"/>
      <c r="AW470" s="33"/>
      <c r="AX470" s="33" t="str">
        <f t="shared" si="43"/>
        <v>Low</v>
      </c>
    </row>
    <row r="471" spans="1:50">
      <c r="A471" s="9" t="s">
        <v>1358</v>
      </c>
      <c r="B471" s="10" t="s">
        <v>1359</v>
      </c>
      <c r="C471" s="11" t="s">
        <v>1360</v>
      </c>
      <c r="D471" s="11" t="s">
        <v>1094</v>
      </c>
      <c r="E471" s="11" t="s">
        <v>55</v>
      </c>
      <c r="F471" s="11" t="s">
        <v>56</v>
      </c>
      <c r="G471" s="11" t="s">
        <v>57</v>
      </c>
      <c r="H471" s="11" t="s">
        <v>58</v>
      </c>
      <c r="I471" s="11" t="s">
        <v>84</v>
      </c>
      <c r="J471" s="11" t="s">
        <v>85</v>
      </c>
      <c r="K471" s="25">
        <v>6</v>
      </c>
      <c r="L471" s="25">
        <v>350</v>
      </c>
      <c r="M471" s="29">
        <v>0.05</v>
      </c>
      <c r="N471" s="25">
        <v>1995</v>
      </c>
      <c r="O471" s="25">
        <v>1105.8</v>
      </c>
      <c r="P471" s="25">
        <v>889.2</v>
      </c>
      <c r="Q471" s="21">
        <v>44.57</v>
      </c>
      <c r="R471" s="11" t="s">
        <v>106</v>
      </c>
      <c r="S471" s="11" t="s">
        <v>42</v>
      </c>
      <c r="T471" s="11" t="s">
        <v>118</v>
      </c>
      <c r="U471" s="11" t="s">
        <v>44</v>
      </c>
      <c r="V471" s="11">
        <v>2025</v>
      </c>
      <c r="W471" s="11" t="s">
        <v>109</v>
      </c>
      <c r="X471" s="11">
        <v>10</v>
      </c>
      <c r="Y471" s="10" t="s">
        <v>419</v>
      </c>
      <c r="Z471" s="11" t="s">
        <v>47</v>
      </c>
      <c r="AA471" s="11" t="s">
        <v>67</v>
      </c>
      <c r="AB471" s="11" t="s">
        <v>111</v>
      </c>
      <c r="AC471" s="11" t="s">
        <v>50</v>
      </c>
      <c r="AD471" s="11">
        <v>4</v>
      </c>
      <c r="AE471" s="11" t="s">
        <v>2232</v>
      </c>
      <c r="AF471" s="11" t="s">
        <v>2249</v>
      </c>
      <c r="AG471" s="25"/>
      <c r="AH471" s="11"/>
      <c r="AI471" s="11"/>
      <c r="AJ471" s="11"/>
      <c r="AK471" s="11"/>
      <c r="AL471" s="11"/>
      <c r="AM471" s="11" t="str">
        <f t="shared" si="39"/>
        <v>Good</v>
      </c>
      <c r="AN471" s="11" t="str" cm="1">
        <f t="array" ref="AN471">_xlfn.IFS(N471&lt;10000,"Low",N471&lt;30000,"Medium",N471&gt;=30000,"High")</f>
        <v>Low</v>
      </c>
      <c r="AO471" s="11" t="str">
        <f t="shared" si="40"/>
        <v>No</v>
      </c>
      <c r="AP471" s="11" t="str">
        <f t="shared" si="41"/>
        <v>Yes</v>
      </c>
      <c r="AQ471" s="11">
        <f t="shared" si="42"/>
        <v>0.44571428571428573</v>
      </c>
      <c r="AR471" s="33"/>
      <c r="AS471" s="33"/>
      <c r="AT471" s="33"/>
      <c r="AU471" s="33"/>
      <c r="AV471" s="33"/>
      <c r="AW471" s="33"/>
      <c r="AX471" s="33" t="str">
        <f t="shared" si="43"/>
        <v>Low</v>
      </c>
    </row>
    <row r="472" spans="1:50">
      <c r="A472" s="9" t="s">
        <v>260</v>
      </c>
      <c r="B472" s="10" t="s">
        <v>261</v>
      </c>
      <c r="C472" s="11" t="s">
        <v>262</v>
      </c>
      <c r="D472" s="11" t="s">
        <v>263</v>
      </c>
      <c r="E472" s="11" t="s">
        <v>35</v>
      </c>
      <c r="F472" s="11" t="s">
        <v>104</v>
      </c>
      <c r="G472" s="11" t="s">
        <v>104</v>
      </c>
      <c r="H472" s="11" t="s">
        <v>58</v>
      </c>
      <c r="I472" s="11" t="s">
        <v>59</v>
      </c>
      <c r="J472" s="11" t="s">
        <v>206</v>
      </c>
      <c r="K472" s="25">
        <v>2</v>
      </c>
      <c r="L472" s="25">
        <v>800</v>
      </c>
      <c r="M472" s="29">
        <v>0.15</v>
      </c>
      <c r="N472" s="25">
        <v>1360</v>
      </c>
      <c r="O472" s="25">
        <v>1001.59</v>
      </c>
      <c r="P472" s="25">
        <v>358.41</v>
      </c>
      <c r="Q472" s="21">
        <v>26.35</v>
      </c>
      <c r="R472" s="11" t="s">
        <v>61</v>
      </c>
      <c r="S472" s="11" t="s">
        <v>74</v>
      </c>
      <c r="T472" s="11" t="s">
        <v>75</v>
      </c>
      <c r="U472" s="11" t="s">
        <v>119</v>
      </c>
      <c r="V472" s="11">
        <v>2025</v>
      </c>
      <c r="W472" s="11" t="s">
        <v>139</v>
      </c>
      <c r="X472" s="11">
        <v>9</v>
      </c>
      <c r="Y472" s="10" t="s">
        <v>264</v>
      </c>
      <c r="Z472" s="11" t="s">
        <v>47</v>
      </c>
      <c r="AA472" s="11" t="s">
        <v>48</v>
      </c>
      <c r="AB472" s="11" t="s">
        <v>49</v>
      </c>
      <c r="AC472" s="11" t="s">
        <v>50</v>
      </c>
      <c r="AD472" s="11">
        <v>5</v>
      </c>
      <c r="AE472" s="11" t="s">
        <v>2220</v>
      </c>
      <c r="AF472" s="11" t="s">
        <v>2219</v>
      </c>
      <c r="AG472" s="25"/>
      <c r="AH472" s="11"/>
      <c r="AI472" s="11"/>
      <c r="AJ472" s="11"/>
      <c r="AK472" s="11"/>
      <c r="AL472" s="11"/>
      <c r="AM472" s="11" t="str">
        <f t="shared" si="39"/>
        <v>Needs Improvement</v>
      </c>
      <c r="AN472" s="11" t="str" cm="1">
        <f t="array" ref="AN472">_xlfn.IFS(N472&lt;10000,"Low",N472&lt;30000,"Medium",N472&gt;=30000,"High")</f>
        <v>Low</v>
      </c>
      <c r="AO472" s="11" t="str">
        <f t="shared" si="40"/>
        <v>No</v>
      </c>
      <c r="AP472" s="11" t="str">
        <f t="shared" si="41"/>
        <v>Yes</v>
      </c>
      <c r="AQ472" s="11">
        <f t="shared" si="42"/>
        <v>0.26353676470588239</v>
      </c>
      <c r="AR472" s="33"/>
      <c r="AS472" s="33"/>
      <c r="AT472" s="33"/>
      <c r="AU472" s="33"/>
      <c r="AV472" s="33"/>
      <c r="AW472" s="33"/>
      <c r="AX472" s="33" t="str">
        <f t="shared" si="43"/>
        <v>Low</v>
      </c>
    </row>
    <row r="473" spans="1:50">
      <c r="A473" s="9" t="s">
        <v>1210</v>
      </c>
      <c r="B473" s="10" t="s">
        <v>1211</v>
      </c>
      <c r="C473" s="11" t="s">
        <v>1212</v>
      </c>
      <c r="D473" s="11" t="s">
        <v>767</v>
      </c>
      <c r="E473" s="11" t="s">
        <v>103</v>
      </c>
      <c r="F473" s="11" t="s">
        <v>131</v>
      </c>
      <c r="G473" s="11" t="s">
        <v>132</v>
      </c>
      <c r="H473" s="11" t="s">
        <v>58</v>
      </c>
      <c r="I473" s="11" t="s">
        <v>84</v>
      </c>
      <c r="J473" s="11" t="s">
        <v>229</v>
      </c>
      <c r="K473" s="25">
        <v>8</v>
      </c>
      <c r="L473" s="25">
        <v>500</v>
      </c>
      <c r="M473" s="29">
        <v>0.1</v>
      </c>
      <c r="N473" s="25">
        <v>3600</v>
      </c>
      <c r="O473" s="25">
        <v>2130.23</v>
      </c>
      <c r="P473" s="25">
        <v>1469.77</v>
      </c>
      <c r="Q473" s="21">
        <v>40.83</v>
      </c>
      <c r="R473" s="11" t="s">
        <v>166</v>
      </c>
      <c r="S473" s="11" t="s">
        <v>62</v>
      </c>
      <c r="T473" s="11" t="s">
        <v>173</v>
      </c>
      <c r="U473" s="11" t="s">
        <v>160</v>
      </c>
      <c r="V473" s="11">
        <v>2024</v>
      </c>
      <c r="W473" s="11" t="s">
        <v>65</v>
      </c>
      <c r="X473" s="11">
        <v>2</v>
      </c>
      <c r="Y473" s="10" t="s">
        <v>153</v>
      </c>
      <c r="Z473" s="11" t="s">
        <v>47</v>
      </c>
      <c r="AA473" s="11" t="s">
        <v>90</v>
      </c>
      <c r="AB473" s="11" t="s">
        <v>49</v>
      </c>
      <c r="AC473" s="11" t="s">
        <v>121</v>
      </c>
      <c r="AD473" s="11">
        <v>4</v>
      </c>
      <c r="AE473" s="11" t="s">
        <v>86</v>
      </c>
      <c r="AF473" s="11" t="s">
        <v>2238</v>
      </c>
      <c r="AG473" s="25"/>
      <c r="AH473" s="11"/>
      <c r="AI473" s="11"/>
      <c r="AJ473" s="11"/>
      <c r="AK473" s="11"/>
      <c r="AL473" s="11"/>
      <c r="AM473" s="11" t="str">
        <f t="shared" si="39"/>
        <v>Good</v>
      </c>
      <c r="AN473" s="11" t="str" cm="1">
        <f t="array" ref="AN473">_xlfn.IFS(N473&lt;10000,"Low",N473&lt;30000,"Medium",N473&gt;=30000,"High")</f>
        <v>Low</v>
      </c>
      <c r="AO473" s="11" t="str">
        <f t="shared" si="40"/>
        <v>No</v>
      </c>
      <c r="AP473" s="11" t="str">
        <f t="shared" si="41"/>
        <v>No</v>
      </c>
      <c r="AQ473" s="11">
        <f t="shared" si="42"/>
        <v>0.40826944444444446</v>
      </c>
      <c r="AR473" s="33"/>
      <c r="AS473" s="33"/>
      <c r="AT473" s="33"/>
      <c r="AU473" s="33"/>
      <c r="AV473" s="33"/>
      <c r="AW473" s="33"/>
      <c r="AX473" s="33" t="str">
        <f t="shared" si="43"/>
        <v>Low</v>
      </c>
    </row>
    <row r="474" spans="1:50">
      <c r="A474" s="9" t="s">
        <v>2046</v>
      </c>
      <c r="B474" s="10" t="s">
        <v>2047</v>
      </c>
      <c r="C474" s="11" t="s">
        <v>1736</v>
      </c>
      <c r="D474" s="11" t="s">
        <v>554</v>
      </c>
      <c r="E474" s="11" t="s">
        <v>103</v>
      </c>
      <c r="F474" s="11" t="s">
        <v>144</v>
      </c>
      <c r="G474" s="11" t="s">
        <v>145</v>
      </c>
      <c r="H474" s="11" t="s">
        <v>94</v>
      </c>
      <c r="I474" s="11" t="s">
        <v>59</v>
      </c>
      <c r="J474" s="11" t="s">
        <v>206</v>
      </c>
      <c r="K474" s="25">
        <v>2</v>
      </c>
      <c r="L474" s="25">
        <v>800</v>
      </c>
      <c r="M474" s="29">
        <v>0.1</v>
      </c>
      <c r="N474" s="25">
        <v>1440</v>
      </c>
      <c r="O474" s="25">
        <v>1014.6</v>
      </c>
      <c r="P474" s="25">
        <v>425.4</v>
      </c>
      <c r="Q474" s="21">
        <v>29.54</v>
      </c>
      <c r="R474" s="11" t="s">
        <v>73</v>
      </c>
      <c r="S474" s="11" t="s">
        <v>62</v>
      </c>
      <c r="T474" s="11" t="s">
        <v>86</v>
      </c>
      <c r="U474" s="11" t="s">
        <v>160</v>
      </c>
      <c r="V474" s="11">
        <v>2025</v>
      </c>
      <c r="W474" s="11" t="s">
        <v>45</v>
      </c>
      <c r="X474" s="11">
        <v>7</v>
      </c>
      <c r="Y474" s="10" t="s">
        <v>2048</v>
      </c>
      <c r="Z474" s="11" t="s">
        <v>47</v>
      </c>
      <c r="AA474" s="11" t="s">
        <v>48</v>
      </c>
      <c r="AB474" s="11" t="s">
        <v>49</v>
      </c>
      <c r="AC474" s="11" t="s">
        <v>121</v>
      </c>
      <c r="AD474" s="11">
        <v>5</v>
      </c>
      <c r="AE474" s="11" t="s">
        <v>2220</v>
      </c>
      <c r="AF474" s="11" t="s">
        <v>2238</v>
      </c>
      <c r="AG474" s="25"/>
      <c r="AH474" s="11"/>
      <c r="AI474" s="11"/>
      <c r="AJ474" s="11"/>
      <c r="AK474" s="11"/>
      <c r="AL474" s="11"/>
      <c r="AM474" s="11" t="str">
        <f t="shared" si="39"/>
        <v>Needs Improvement</v>
      </c>
      <c r="AN474" s="11" t="str" cm="1">
        <f t="array" ref="AN474">_xlfn.IFS(N474&lt;10000,"Low",N474&lt;30000,"Medium",N474&gt;=30000,"High")</f>
        <v>Low</v>
      </c>
      <c r="AO474" s="11" t="str">
        <f t="shared" si="40"/>
        <v>No</v>
      </c>
      <c r="AP474" s="11" t="str">
        <f t="shared" si="41"/>
        <v>No</v>
      </c>
      <c r="AQ474" s="11">
        <f t="shared" si="42"/>
        <v>0.29541666666666666</v>
      </c>
      <c r="AR474" s="33"/>
      <c r="AS474" s="33"/>
      <c r="AT474" s="33"/>
      <c r="AU474" s="33"/>
      <c r="AV474" s="33"/>
      <c r="AW474" s="33"/>
      <c r="AX474" s="33" t="str">
        <f t="shared" si="43"/>
        <v>Low</v>
      </c>
    </row>
    <row r="475" spans="1:50">
      <c r="A475" s="9" t="s">
        <v>1911</v>
      </c>
      <c r="B475" s="10" t="s">
        <v>1912</v>
      </c>
      <c r="C475" s="11" t="s">
        <v>386</v>
      </c>
      <c r="D475" s="11" t="s">
        <v>252</v>
      </c>
      <c r="E475" s="11" t="s">
        <v>55</v>
      </c>
      <c r="F475" s="11" t="s">
        <v>82</v>
      </c>
      <c r="G475" s="11" t="s">
        <v>83</v>
      </c>
      <c r="H475" s="11" t="s">
        <v>38</v>
      </c>
      <c r="I475" s="11" t="s">
        <v>95</v>
      </c>
      <c r="J475" s="11" t="s">
        <v>96</v>
      </c>
      <c r="K475" s="25">
        <v>4</v>
      </c>
      <c r="L475" s="25">
        <v>6000</v>
      </c>
      <c r="M475" s="29">
        <v>0.1</v>
      </c>
      <c r="N475" s="25">
        <v>21600</v>
      </c>
      <c r="O475" s="25">
        <v>15823.02</v>
      </c>
      <c r="P475" s="25">
        <v>5776.98</v>
      </c>
      <c r="Q475" s="21">
        <v>26.75</v>
      </c>
      <c r="R475" s="11" t="s">
        <v>41</v>
      </c>
      <c r="S475" s="11" t="s">
        <v>74</v>
      </c>
      <c r="T475" s="11" t="s">
        <v>159</v>
      </c>
      <c r="U475" s="11" t="s">
        <v>151</v>
      </c>
      <c r="V475" s="11">
        <v>2024</v>
      </c>
      <c r="W475" s="11" t="s">
        <v>126</v>
      </c>
      <c r="X475" s="11">
        <v>6</v>
      </c>
      <c r="Y475" s="10" t="s">
        <v>1451</v>
      </c>
      <c r="Z475" s="11" t="s">
        <v>89</v>
      </c>
      <c r="AA475" s="11" t="s">
        <v>90</v>
      </c>
      <c r="AB475" s="11" t="s">
        <v>111</v>
      </c>
      <c r="AC475" s="11" t="s">
        <v>50</v>
      </c>
      <c r="AD475" s="11">
        <v>5</v>
      </c>
      <c r="AE475" s="11" t="s">
        <v>2225</v>
      </c>
      <c r="AF475" s="11" t="s">
        <v>2249</v>
      </c>
      <c r="AG475" s="25"/>
      <c r="AH475" s="11"/>
      <c r="AI475" s="11"/>
      <c r="AJ475" s="11"/>
      <c r="AK475" s="11"/>
      <c r="AL475" s="11"/>
      <c r="AM475" s="11" t="str">
        <f t="shared" si="39"/>
        <v>Needs Improvement</v>
      </c>
      <c r="AN475" s="11" t="str" cm="1">
        <f t="array" ref="AN475">_xlfn.IFS(N475&lt;10000,"Low",N475&lt;30000,"Medium",N475&gt;=30000,"High")</f>
        <v>Medium</v>
      </c>
      <c r="AO475" s="11" t="str">
        <f t="shared" si="40"/>
        <v>No</v>
      </c>
      <c r="AP475" s="11" t="str">
        <f t="shared" si="41"/>
        <v>Yes</v>
      </c>
      <c r="AQ475" s="11">
        <f t="shared" si="42"/>
        <v>0.26745277777777776</v>
      </c>
      <c r="AR475" s="33"/>
      <c r="AS475" s="33"/>
      <c r="AT475" s="33"/>
      <c r="AU475" s="33"/>
      <c r="AV475" s="33"/>
      <c r="AW475" s="33"/>
      <c r="AX475" s="33" t="str">
        <f t="shared" si="43"/>
        <v>Average</v>
      </c>
    </row>
    <row r="476" spans="1:50">
      <c r="A476" s="9" t="s">
        <v>208</v>
      </c>
      <c r="B476" s="10" t="s">
        <v>209</v>
      </c>
      <c r="C476" s="11" t="s">
        <v>210</v>
      </c>
      <c r="D476" s="11" t="s">
        <v>211</v>
      </c>
      <c r="E476" s="11" t="s">
        <v>103</v>
      </c>
      <c r="F476" s="11" t="s">
        <v>156</v>
      </c>
      <c r="G476" s="11" t="s">
        <v>157</v>
      </c>
      <c r="H476" s="11" t="s">
        <v>171</v>
      </c>
      <c r="I476" s="11" t="s">
        <v>95</v>
      </c>
      <c r="J476" s="11" t="s">
        <v>96</v>
      </c>
      <c r="K476" s="25">
        <v>10</v>
      </c>
      <c r="L476" s="25">
        <v>6000</v>
      </c>
      <c r="M476" s="29">
        <v>0.15</v>
      </c>
      <c r="N476" s="25">
        <v>51000</v>
      </c>
      <c r="O476" s="25">
        <v>32000.799999999999</v>
      </c>
      <c r="P476" s="25">
        <v>18999.2</v>
      </c>
      <c r="Q476" s="21">
        <v>37.25</v>
      </c>
      <c r="R476" s="11" t="s">
        <v>166</v>
      </c>
      <c r="S476" s="11" t="s">
        <v>62</v>
      </c>
      <c r="T476" s="11" t="s">
        <v>138</v>
      </c>
      <c r="U476" s="11" t="s">
        <v>151</v>
      </c>
      <c r="V476" s="11">
        <v>2025</v>
      </c>
      <c r="W476" s="11" t="s">
        <v>109</v>
      </c>
      <c r="X476" s="11">
        <v>1</v>
      </c>
      <c r="Y476" s="10" t="s">
        <v>212</v>
      </c>
      <c r="Z476" s="11" t="s">
        <v>47</v>
      </c>
      <c r="AA476" s="11" t="s">
        <v>48</v>
      </c>
      <c r="AB476" s="11" t="s">
        <v>49</v>
      </c>
      <c r="AC476" s="11" t="s">
        <v>50</v>
      </c>
      <c r="AD476" s="11">
        <v>2</v>
      </c>
      <c r="AE476" s="11" t="s">
        <v>2229</v>
      </c>
      <c r="AF476" s="11" t="s">
        <v>2249</v>
      </c>
      <c r="AG476" s="25"/>
      <c r="AH476" s="11"/>
      <c r="AI476" s="11"/>
      <c r="AJ476" s="11"/>
      <c r="AK476" s="11"/>
      <c r="AL476" s="11"/>
      <c r="AM476" s="11" t="str">
        <f t="shared" si="39"/>
        <v>Good</v>
      </c>
      <c r="AN476" s="11" t="str" cm="1">
        <f t="array" ref="AN476">_xlfn.IFS(N476&lt;10000,"Low",N476&lt;30000,"Medium",N476&gt;=30000,"High")</f>
        <v>High</v>
      </c>
      <c r="AO476" s="11" t="str">
        <f t="shared" si="40"/>
        <v>Yes</v>
      </c>
      <c r="AP476" s="11" t="str">
        <f t="shared" si="41"/>
        <v>No</v>
      </c>
      <c r="AQ476" s="11">
        <f t="shared" si="42"/>
        <v>0.37253333333333333</v>
      </c>
      <c r="AR476" s="33"/>
      <c r="AS476" s="33"/>
      <c r="AT476" s="33"/>
      <c r="AU476" s="33"/>
      <c r="AV476" s="33"/>
      <c r="AW476" s="33"/>
      <c r="AX476" s="33" t="str">
        <f t="shared" si="43"/>
        <v>Good</v>
      </c>
    </row>
    <row r="477" spans="1:50">
      <c r="A477" s="9" t="s">
        <v>973</v>
      </c>
      <c r="B477" s="10" t="s">
        <v>209</v>
      </c>
      <c r="C477" s="11" t="s">
        <v>974</v>
      </c>
      <c r="D477" s="11" t="s">
        <v>641</v>
      </c>
      <c r="E477" s="11" t="s">
        <v>55</v>
      </c>
      <c r="F477" s="11" t="s">
        <v>245</v>
      </c>
      <c r="G477" s="11" t="s">
        <v>246</v>
      </c>
      <c r="H477" s="11" t="s">
        <v>38</v>
      </c>
      <c r="I477" s="11" t="s">
        <v>71</v>
      </c>
      <c r="J477" s="11" t="s">
        <v>72</v>
      </c>
      <c r="K477" s="25">
        <v>2</v>
      </c>
      <c r="L477" s="25">
        <v>700</v>
      </c>
      <c r="M477" s="29">
        <v>0.15</v>
      </c>
      <c r="N477" s="25">
        <v>1190</v>
      </c>
      <c r="O477" s="25">
        <v>902.2</v>
      </c>
      <c r="P477" s="25">
        <v>287.8</v>
      </c>
      <c r="Q477" s="21">
        <v>24.18</v>
      </c>
      <c r="R477" s="11" t="s">
        <v>106</v>
      </c>
      <c r="S477" s="11" t="s">
        <v>42</v>
      </c>
      <c r="T477" s="11" t="s">
        <v>75</v>
      </c>
      <c r="U477" s="11" t="s">
        <v>151</v>
      </c>
      <c r="V477" s="11">
        <v>2025</v>
      </c>
      <c r="W477" s="11" t="s">
        <v>109</v>
      </c>
      <c r="X477" s="11">
        <v>1</v>
      </c>
      <c r="Y477" s="10" t="s">
        <v>212</v>
      </c>
      <c r="Z477" s="11" t="s">
        <v>47</v>
      </c>
      <c r="AA477" s="11" t="s">
        <v>67</v>
      </c>
      <c r="AB477" s="11" t="s">
        <v>49</v>
      </c>
      <c r="AC477" s="11" t="s">
        <v>121</v>
      </c>
      <c r="AD477" s="11">
        <v>3</v>
      </c>
      <c r="AE477" s="11" t="s">
        <v>2237</v>
      </c>
      <c r="AF477" s="11" t="s">
        <v>2224</v>
      </c>
      <c r="AG477" s="25"/>
      <c r="AH477" s="11"/>
      <c r="AI477" s="11"/>
      <c r="AJ477" s="11"/>
      <c r="AK477" s="11"/>
      <c r="AL477" s="11"/>
      <c r="AM477" s="11" t="str">
        <f t="shared" si="39"/>
        <v>Needs Improvement</v>
      </c>
      <c r="AN477" s="11" t="str" cm="1">
        <f t="array" ref="AN477">_xlfn.IFS(N477&lt;10000,"Low",N477&lt;30000,"Medium",N477&gt;=30000,"High")</f>
        <v>Low</v>
      </c>
      <c r="AO477" s="11" t="str">
        <f t="shared" si="40"/>
        <v>No</v>
      </c>
      <c r="AP477" s="11" t="str">
        <f t="shared" si="41"/>
        <v>Yes</v>
      </c>
      <c r="AQ477" s="11">
        <f t="shared" si="42"/>
        <v>0.24184873949579833</v>
      </c>
      <c r="AR477" s="33"/>
      <c r="AS477" s="33"/>
      <c r="AT477" s="33"/>
      <c r="AU477" s="33"/>
      <c r="AV477" s="33"/>
      <c r="AW477" s="33"/>
      <c r="AX477" s="33" t="str">
        <f t="shared" si="43"/>
        <v>Low</v>
      </c>
    </row>
    <row r="478" spans="1:50">
      <c r="A478" s="9" t="s">
        <v>727</v>
      </c>
      <c r="B478" s="10" t="s">
        <v>728</v>
      </c>
      <c r="C478" s="11" t="s">
        <v>729</v>
      </c>
      <c r="D478" s="11" t="s">
        <v>164</v>
      </c>
      <c r="E478" s="11" t="s">
        <v>103</v>
      </c>
      <c r="F478" s="11" t="s">
        <v>56</v>
      </c>
      <c r="G478" s="11" t="s">
        <v>57</v>
      </c>
      <c r="H478" s="11" t="s">
        <v>171</v>
      </c>
      <c r="I478" s="11" t="s">
        <v>39</v>
      </c>
      <c r="J478" s="11" t="s">
        <v>105</v>
      </c>
      <c r="K478" s="25">
        <v>2</v>
      </c>
      <c r="L478" s="25">
        <v>8000</v>
      </c>
      <c r="M478" s="29">
        <v>0</v>
      </c>
      <c r="N478" s="25">
        <v>16000</v>
      </c>
      <c r="O478" s="25">
        <v>12358.27</v>
      </c>
      <c r="P478" s="25">
        <v>3641.73</v>
      </c>
      <c r="Q478" s="21">
        <v>22.76</v>
      </c>
      <c r="R478" s="11" t="s">
        <v>106</v>
      </c>
      <c r="S478" s="11" t="s">
        <v>74</v>
      </c>
      <c r="T478" s="11" t="s">
        <v>173</v>
      </c>
      <c r="U478" s="11" t="s">
        <v>218</v>
      </c>
      <c r="V478" s="11">
        <v>2024</v>
      </c>
      <c r="W478" s="11" t="s">
        <v>139</v>
      </c>
      <c r="X478" s="11">
        <v>3</v>
      </c>
      <c r="Y478" s="10" t="s">
        <v>661</v>
      </c>
      <c r="Z478" s="11" t="s">
        <v>47</v>
      </c>
      <c r="AA478" s="11" t="s">
        <v>90</v>
      </c>
      <c r="AB478" s="11" t="s">
        <v>111</v>
      </c>
      <c r="AC478" s="11" t="s">
        <v>50</v>
      </c>
      <c r="AD478" s="11">
        <v>2</v>
      </c>
      <c r="AE478" s="11" t="s">
        <v>2237</v>
      </c>
      <c r="AF478" s="11" t="s">
        <v>2249</v>
      </c>
      <c r="AG478" s="25"/>
      <c r="AH478" s="11"/>
      <c r="AI478" s="11"/>
      <c r="AJ478" s="11"/>
      <c r="AK478" s="11"/>
      <c r="AL478" s="11"/>
      <c r="AM478" s="11" t="str">
        <f t="shared" si="39"/>
        <v>Needs Improvement</v>
      </c>
      <c r="AN478" s="11" t="str" cm="1">
        <f t="array" ref="AN478">_xlfn.IFS(N478&lt;10000,"Low",N478&lt;30000,"Medium",N478&gt;=30000,"High")</f>
        <v>Medium</v>
      </c>
      <c r="AO478" s="11" t="str">
        <f t="shared" si="40"/>
        <v>No</v>
      </c>
      <c r="AP478" s="11" t="str">
        <f t="shared" si="41"/>
        <v>Yes</v>
      </c>
      <c r="AQ478" s="11">
        <f t="shared" si="42"/>
        <v>0.22760812499999999</v>
      </c>
      <c r="AR478" s="33"/>
      <c r="AS478" s="33"/>
      <c r="AT478" s="33"/>
      <c r="AU478" s="33"/>
      <c r="AV478" s="33"/>
      <c r="AW478" s="33"/>
      <c r="AX478" s="33" t="str">
        <f t="shared" si="43"/>
        <v>Low</v>
      </c>
    </row>
    <row r="479" spans="1:50">
      <c r="A479" s="9" t="s">
        <v>631</v>
      </c>
      <c r="B479" s="10" t="s">
        <v>632</v>
      </c>
      <c r="C479" s="11" t="s">
        <v>633</v>
      </c>
      <c r="D479" s="11" t="s">
        <v>634</v>
      </c>
      <c r="E479" s="11" t="s">
        <v>55</v>
      </c>
      <c r="F479" s="11" t="s">
        <v>36</v>
      </c>
      <c r="G479" s="11" t="s">
        <v>37</v>
      </c>
      <c r="H479" s="11" t="s">
        <v>94</v>
      </c>
      <c r="I479" s="11" t="s">
        <v>71</v>
      </c>
      <c r="J479" s="11" t="s">
        <v>158</v>
      </c>
      <c r="K479" s="25">
        <v>3</v>
      </c>
      <c r="L479" s="25">
        <v>1800</v>
      </c>
      <c r="M479" s="29">
        <v>0.05</v>
      </c>
      <c r="N479" s="25">
        <v>5130</v>
      </c>
      <c r="O479" s="25">
        <v>3914.45</v>
      </c>
      <c r="P479" s="25">
        <v>1215.55</v>
      </c>
      <c r="Q479" s="21">
        <v>23.69</v>
      </c>
      <c r="R479" s="11" t="s">
        <v>41</v>
      </c>
      <c r="S479" s="11" t="s">
        <v>42</v>
      </c>
      <c r="T479" s="11" t="s">
        <v>75</v>
      </c>
      <c r="U479" s="11" t="s">
        <v>108</v>
      </c>
      <c r="V479" s="11">
        <v>2024</v>
      </c>
      <c r="W479" s="11" t="s">
        <v>45</v>
      </c>
      <c r="X479" s="11">
        <v>3</v>
      </c>
      <c r="Y479" s="10" t="s">
        <v>635</v>
      </c>
      <c r="Z479" s="11" t="s">
        <v>110</v>
      </c>
      <c r="AA479" s="11" t="s">
        <v>48</v>
      </c>
      <c r="AB479" s="11" t="s">
        <v>49</v>
      </c>
      <c r="AC479" s="11" t="s">
        <v>50</v>
      </c>
      <c r="AD479" s="11">
        <v>5</v>
      </c>
      <c r="AE479" s="11" t="s">
        <v>2239</v>
      </c>
      <c r="AF479" s="11" t="s">
        <v>2249</v>
      </c>
      <c r="AG479" s="25"/>
      <c r="AH479" s="11"/>
      <c r="AI479" s="11"/>
      <c r="AJ479" s="11"/>
      <c r="AK479" s="11"/>
      <c r="AL479" s="11"/>
      <c r="AM479" s="11" t="str">
        <f t="shared" si="39"/>
        <v>Needs Improvement</v>
      </c>
      <c r="AN479" s="11" t="str" cm="1">
        <f t="array" ref="AN479">_xlfn.IFS(N479&lt;10000,"Low",N479&lt;30000,"Medium",N479&gt;=30000,"High")</f>
        <v>Low</v>
      </c>
      <c r="AO479" s="11" t="str">
        <f t="shared" si="40"/>
        <v>No</v>
      </c>
      <c r="AP479" s="11" t="str">
        <f t="shared" si="41"/>
        <v>Yes</v>
      </c>
      <c r="AQ479" s="11">
        <f t="shared" si="42"/>
        <v>0.23694931773879141</v>
      </c>
      <c r="AR479" s="33"/>
      <c r="AS479" s="33"/>
      <c r="AT479" s="33"/>
      <c r="AU479" s="33"/>
      <c r="AV479" s="33"/>
      <c r="AW479" s="33"/>
      <c r="AX479" s="33" t="str">
        <f t="shared" si="43"/>
        <v>Low</v>
      </c>
    </row>
    <row r="480" spans="1:50">
      <c r="A480" s="9" t="s">
        <v>792</v>
      </c>
      <c r="B480" s="10" t="s">
        <v>793</v>
      </c>
      <c r="C480" s="11" t="s">
        <v>794</v>
      </c>
      <c r="D480" s="11" t="s">
        <v>623</v>
      </c>
      <c r="E480" s="11" t="s">
        <v>55</v>
      </c>
      <c r="F480" s="11" t="s">
        <v>36</v>
      </c>
      <c r="G480" s="11" t="s">
        <v>37</v>
      </c>
      <c r="H480" s="11" t="s">
        <v>171</v>
      </c>
      <c r="I480" s="11" t="s">
        <v>39</v>
      </c>
      <c r="J480" s="11" t="s">
        <v>165</v>
      </c>
      <c r="K480" s="25">
        <v>6</v>
      </c>
      <c r="L480" s="25">
        <v>35000</v>
      </c>
      <c r="M480" s="29">
        <v>0.2</v>
      </c>
      <c r="N480" s="25">
        <v>168000</v>
      </c>
      <c r="O480" s="25">
        <v>123444.98</v>
      </c>
      <c r="P480" s="25">
        <v>44555.02</v>
      </c>
      <c r="Q480" s="21">
        <v>26.52</v>
      </c>
      <c r="R480" s="11" t="s">
        <v>61</v>
      </c>
      <c r="S480" s="11" t="s">
        <v>62</v>
      </c>
      <c r="T480" s="11" t="s">
        <v>159</v>
      </c>
      <c r="U480" s="11" t="s">
        <v>108</v>
      </c>
      <c r="V480" s="11">
        <v>2025</v>
      </c>
      <c r="W480" s="11" t="s">
        <v>126</v>
      </c>
      <c r="X480" s="11">
        <v>5</v>
      </c>
      <c r="Y480" s="10" t="s">
        <v>795</v>
      </c>
      <c r="Z480" s="11" t="s">
        <v>47</v>
      </c>
      <c r="AA480" s="11" t="s">
        <v>90</v>
      </c>
      <c r="AB480" s="11" t="s">
        <v>49</v>
      </c>
      <c r="AC480" s="11" t="s">
        <v>121</v>
      </c>
      <c r="AD480" s="11">
        <v>1</v>
      </c>
      <c r="AE480" s="11" t="s">
        <v>2237</v>
      </c>
      <c r="AF480" s="11" t="s">
        <v>2236</v>
      </c>
      <c r="AG480" s="25"/>
      <c r="AH480" s="11"/>
      <c r="AI480" s="11"/>
      <c r="AJ480" s="11"/>
      <c r="AK480" s="11"/>
      <c r="AL480" s="11"/>
      <c r="AM480" s="11" t="str">
        <f t="shared" si="39"/>
        <v>Needs Improvement</v>
      </c>
      <c r="AN480" s="11" t="str" cm="1">
        <f t="array" ref="AN480">_xlfn.IFS(N480&lt;10000,"Low",N480&lt;30000,"Medium",N480&gt;=30000,"High")</f>
        <v>High</v>
      </c>
      <c r="AO480" s="11" t="str">
        <f t="shared" si="40"/>
        <v>Yes</v>
      </c>
      <c r="AP480" s="11" t="str">
        <f t="shared" si="41"/>
        <v>No</v>
      </c>
      <c r="AQ480" s="11">
        <f t="shared" si="42"/>
        <v>0.26520845238095236</v>
      </c>
      <c r="AR480" s="33"/>
      <c r="AS480" s="33"/>
      <c r="AT480" s="33"/>
      <c r="AU480" s="33"/>
      <c r="AV480" s="33"/>
      <c r="AW480" s="33"/>
      <c r="AX480" s="33" t="str">
        <f t="shared" si="43"/>
        <v>Excellent</v>
      </c>
    </row>
    <row r="481" spans="1:50">
      <c r="A481" s="9" t="s">
        <v>1754</v>
      </c>
      <c r="B481" s="10" t="s">
        <v>793</v>
      </c>
      <c r="C481" s="11" t="s">
        <v>675</v>
      </c>
      <c r="D481" s="11" t="s">
        <v>1166</v>
      </c>
      <c r="E481" s="11" t="s">
        <v>103</v>
      </c>
      <c r="F481" s="11" t="s">
        <v>149</v>
      </c>
      <c r="G481" s="11" t="s">
        <v>150</v>
      </c>
      <c r="H481" s="11" t="s">
        <v>58</v>
      </c>
      <c r="I481" s="11" t="s">
        <v>84</v>
      </c>
      <c r="J481" s="11" t="s">
        <v>85</v>
      </c>
      <c r="K481" s="25">
        <v>4</v>
      </c>
      <c r="L481" s="25">
        <v>200</v>
      </c>
      <c r="M481" s="29">
        <v>0.1</v>
      </c>
      <c r="N481" s="25">
        <v>720</v>
      </c>
      <c r="O481" s="25">
        <v>465.3</v>
      </c>
      <c r="P481" s="25">
        <v>254.7</v>
      </c>
      <c r="Q481" s="21">
        <v>35.380000000000003</v>
      </c>
      <c r="R481" s="11" t="s">
        <v>41</v>
      </c>
      <c r="S481" s="11" t="s">
        <v>74</v>
      </c>
      <c r="T481" s="11" t="s">
        <v>86</v>
      </c>
      <c r="U481" s="11" t="s">
        <v>108</v>
      </c>
      <c r="V481" s="11">
        <v>2025</v>
      </c>
      <c r="W481" s="11" t="s">
        <v>126</v>
      </c>
      <c r="X481" s="11">
        <v>2</v>
      </c>
      <c r="Y481" s="10" t="s">
        <v>1678</v>
      </c>
      <c r="Z481" s="11" t="s">
        <v>47</v>
      </c>
      <c r="AA481" s="11" t="s">
        <v>67</v>
      </c>
      <c r="AB481" s="11" t="s">
        <v>111</v>
      </c>
      <c r="AC481" s="11" t="s">
        <v>121</v>
      </c>
      <c r="AD481" s="11">
        <v>4</v>
      </c>
      <c r="AE481" s="11" t="s">
        <v>2229</v>
      </c>
      <c r="AF481" s="11" t="s">
        <v>2230</v>
      </c>
      <c r="AG481" s="25"/>
      <c r="AH481" s="11"/>
      <c r="AI481" s="11"/>
      <c r="AJ481" s="11"/>
      <c r="AK481" s="11"/>
      <c r="AL481" s="11"/>
      <c r="AM481" s="11" t="str">
        <f t="shared" si="39"/>
        <v>Good</v>
      </c>
      <c r="AN481" s="11" t="str" cm="1">
        <f t="array" ref="AN481">_xlfn.IFS(N481&lt;10000,"Low",N481&lt;30000,"Medium",N481&gt;=30000,"High")</f>
        <v>Low</v>
      </c>
      <c r="AO481" s="11" t="str">
        <f t="shared" si="40"/>
        <v>No</v>
      </c>
      <c r="AP481" s="11" t="str">
        <f t="shared" si="41"/>
        <v>Yes</v>
      </c>
      <c r="AQ481" s="11">
        <f t="shared" si="42"/>
        <v>0.35375000000000001</v>
      </c>
      <c r="AR481" s="33"/>
      <c r="AS481" s="33"/>
      <c r="AT481" s="33"/>
      <c r="AU481" s="33"/>
      <c r="AV481" s="33"/>
      <c r="AW481" s="33"/>
      <c r="AX481" s="33" t="str">
        <f t="shared" si="43"/>
        <v>Low</v>
      </c>
    </row>
    <row r="482" spans="1:50">
      <c r="A482" s="9" t="s">
        <v>1222</v>
      </c>
      <c r="B482" s="10" t="s">
        <v>1197</v>
      </c>
      <c r="C482" s="11" t="s">
        <v>360</v>
      </c>
      <c r="D482" s="11" t="s">
        <v>1223</v>
      </c>
      <c r="E482" s="11" t="s">
        <v>103</v>
      </c>
      <c r="F482" s="11" t="s">
        <v>144</v>
      </c>
      <c r="G482" s="11" t="s">
        <v>145</v>
      </c>
      <c r="H482" s="11" t="s">
        <v>94</v>
      </c>
      <c r="I482" s="11" t="s">
        <v>39</v>
      </c>
      <c r="J482" s="11" t="s">
        <v>165</v>
      </c>
      <c r="K482" s="25">
        <v>4</v>
      </c>
      <c r="L482" s="25">
        <v>50000</v>
      </c>
      <c r="M482" s="29">
        <v>0.05</v>
      </c>
      <c r="N482" s="25">
        <v>190000</v>
      </c>
      <c r="O482" s="25">
        <v>104722.07</v>
      </c>
      <c r="P482" s="25">
        <v>85277.93</v>
      </c>
      <c r="Q482" s="21">
        <v>44.88</v>
      </c>
      <c r="R482" s="11" t="s">
        <v>61</v>
      </c>
      <c r="S482" s="11" t="s">
        <v>42</v>
      </c>
      <c r="T482" s="11" t="s">
        <v>63</v>
      </c>
      <c r="U482" s="11" t="s">
        <v>87</v>
      </c>
      <c r="V482" s="11">
        <v>2024</v>
      </c>
      <c r="W482" s="11" t="s">
        <v>109</v>
      </c>
      <c r="X482" s="11">
        <v>3</v>
      </c>
      <c r="Y482" s="10" t="s">
        <v>274</v>
      </c>
      <c r="Z482" s="11" t="s">
        <v>89</v>
      </c>
      <c r="AA482" s="11" t="s">
        <v>90</v>
      </c>
      <c r="AB482" s="11" t="s">
        <v>78</v>
      </c>
      <c r="AC482" s="11" t="s">
        <v>121</v>
      </c>
      <c r="AD482" s="11">
        <v>2</v>
      </c>
      <c r="AE482" s="11" t="s">
        <v>86</v>
      </c>
      <c r="AF482" s="11" t="s">
        <v>2230</v>
      </c>
      <c r="AG482" s="25"/>
      <c r="AH482" s="11"/>
      <c r="AI482" s="11"/>
      <c r="AJ482" s="11"/>
      <c r="AK482" s="11"/>
      <c r="AL482" s="11"/>
      <c r="AM482" s="11" t="str">
        <f t="shared" si="39"/>
        <v>Good</v>
      </c>
      <c r="AN482" s="11" t="str" cm="1">
        <f t="array" ref="AN482">_xlfn.IFS(N482&lt;10000,"Low",N482&lt;30000,"Medium",N482&gt;=30000,"High")</f>
        <v>High</v>
      </c>
      <c r="AO482" s="11" t="str">
        <f t="shared" si="40"/>
        <v>Yes</v>
      </c>
      <c r="AP482" s="11" t="str">
        <f t="shared" si="41"/>
        <v>Yes</v>
      </c>
      <c r="AQ482" s="11">
        <f t="shared" si="42"/>
        <v>0.44883121052631575</v>
      </c>
      <c r="AR482" s="33"/>
      <c r="AS482" s="33"/>
      <c r="AT482" s="33"/>
      <c r="AU482" s="33"/>
      <c r="AV482" s="33"/>
      <c r="AW482" s="33"/>
      <c r="AX482" s="33" t="str">
        <f t="shared" si="43"/>
        <v>Excellent</v>
      </c>
    </row>
    <row r="483" spans="1:50">
      <c r="A483" s="9" t="s">
        <v>1404</v>
      </c>
      <c r="B483" s="10" t="s">
        <v>1197</v>
      </c>
      <c r="C483" s="11" t="s">
        <v>593</v>
      </c>
      <c r="D483" s="11" t="s">
        <v>1405</v>
      </c>
      <c r="E483" s="11" t="s">
        <v>103</v>
      </c>
      <c r="F483" s="11" t="s">
        <v>144</v>
      </c>
      <c r="G483" s="11" t="s">
        <v>145</v>
      </c>
      <c r="H483" s="11" t="s">
        <v>38</v>
      </c>
      <c r="I483" s="11" t="s">
        <v>95</v>
      </c>
      <c r="J483" s="11" t="s">
        <v>96</v>
      </c>
      <c r="K483" s="25">
        <v>5</v>
      </c>
      <c r="L483" s="25">
        <v>2500</v>
      </c>
      <c r="M483" s="29">
        <v>0.1</v>
      </c>
      <c r="N483" s="25">
        <v>11250</v>
      </c>
      <c r="O483" s="25">
        <v>9060.41</v>
      </c>
      <c r="P483" s="25">
        <v>2189.59</v>
      </c>
      <c r="Q483" s="21">
        <v>19.46</v>
      </c>
      <c r="R483" s="11" t="s">
        <v>166</v>
      </c>
      <c r="S483" s="11" t="s">
        <v>74</v>
      </c>
      <c r="T483" s="11" t="s">
        <v>86</v>
      </c>
      <c r="U483" s="11" t="s">
        <v>87</v>
      </c>
      <c r="V483" s="11">
        <v>2024</v>
      </c>
      <c r="W483" s="11" t="s">
        <v>109</v>
      </c>
      <c r="X483" s="11">
        <v>6</v>
      </c>
      <c r="Y483" s="10" t="s">
        <v>314</v>
      </c>
      <c r="Z483" s="11" t="s">
        <v>110</v>
      </c>
      <c r="AA483" s="11" t="s">
        <v>48</v>
      </c>
      <c r="AB483" s="11" t="s">
        <v>111</v>
      </c>
      <c r="AC483" s="11" t="s">
        <v>121</v>
      </c>
      <c r="AD483" s="11">
        <v>4</v>
      </c>
      <c r="AE483" s="11" t="s">
        <v>2232</v>
      </c>
      <c r="AF483" s="11" t="s">
        <v>2219</v>
      </c>
      <c r="AG483" s="25"/>
      <c r="AH483" s="11"/>
      <c r="AI483" s="11"/>
      <c r="AJ483" s="11"/>
      <c r="AK483" s="11"/>
      <c r="AL483" s="11"/>
      <c r="AM483" s="11" t="str">
        <f t="shared" si="39"/>
        <v>Needs Improvement</v>
      </c>
      <c r="AN483" s="11" t="str" cm="1">
        <f t="array" ref="AN483">_xlfn.IFS(N483&lt;10000,"Low",N483&lt;30000,"Medium",N483&gt;=30000,"High")</f>
        <v>Medium</v>
      </c>
      <c r="AO483" s="11" t="str">
        <f t="shared" si="40"/>
        <v>No</v>
      </c>
      <c r="AP483" s="11" t="str">
        <f t="shared" si="41"/>
        <v>Yes</v>
      </c>
      <c r="AQ483" s="11">
        <f t="shared" si="42"/>
        <v>0.19463022222222223</v>
      </c>
      <c r="AR483" s="33"/>
      <c r="AS483" s="33"/>
      <c r="AT483" s="33"/>
      <c r="AU483" s="33"/>
      <c r="AV483" s="33"/>
      <c r="AW483" s="33"/>
      <c r="AX483" s="33" t="str">
        <f t="shared" si="43"/>
        <v>Low</v>
      </c>
    </row>
    <row r="484" spans="1:50">
      <c r="A484" s="9" t="s">
        <v>1855</v>
      </c>
      <c r="B484" s="10" t="s">
        <v>1197</v>
      </c>
      <c r="C484" s="11" t="s">
        <v>1341</v>
      </c>
      <c r="D484" s="11" t="s">
        <v>485</v>
      </c>
      <c r="E484" s="11" t="s">
        <v>103</v>
      </c>
      <c r="F484" s="11" t="s">
        <v>245</v>
      </c>
      <c r="G484" s="11" t="s">
        <v>246</v>
      </c>
      <c r="H484" s="11" t="s">
        <v>171</v>
      </c>
      <c r="I484" s="11" t="s">
        <v>84</v>
      </c>
      <c r="J484" s="11" t="s">
        <v>229</v>
      </c>
      <c r="K484" s="25">
        <v>9</v>
      </c>
      <c r="L484" s="25">
        <v>200</v>
      </c>
      <c r="M484" s="29">
        <v>0.15</v>
      </c>
      <c r="N484" s="25">
        <v>1530</v>
      </c>
      <c r="O484" s="25">
        <v>1218.81</v>
      </c>
      <c r="P484" s="25">
        <v>311.19</v>
      </c>
      <c r="Q484" s="21">
        <v>20.34</v>
      </c>
      <c r="R484" s="11" t="s">
        <v>41</v>
      </c>
      <c r="S484" s="11" t="s">
        <v>74</v>
      </c>
      <c r="T484" s="11" t="s">
        <v>43</v>
      </c>
      <c r="U484" s="11" t="s">
        <v>87</v>
      </c>
      <c r="V484" s="11">
        <v>2024</v>
      </c>
      <c r="W484" s="11" t="s">
        <v>109</v>
      </c>
      <c r="X484" s="11">
        <v>5</v>
      </c>
      <c r="Y484" s="10" t="s">
        <v>970</v>
      </c>
      <c r="Z484" s="11" t="s">
        <v>47</v>
      </c>
      <c r="AA484" s="11" t="s">
        <v>90</v>
      </c>
      <c r="AB484" s="11" t="s">
        <v>49</v>
      </c>
      <c r="AC484" s="11" t="s">
        <v>121</v>
      </c>
      <c r="AD484" s="11">
        <v>1</v>
      </c>
      <c r="AE484" s="11" t="s">
        <v>2237</v>
      </c>
      <c r="AF484" s="11" t="s">
        <v>2238</v>
      </c>
      <c r="AG484" s="25"/>
      <c r="AH484" s="11"/>
      <c r="AI484" s="11"/>
      <c r="AJ484" s="11"/>
      <c r="AK484" s="11"/>
      <c r="AL484" s="11"/>
      <c r="AM484" s="11" t="str">
        <f t="shared" si="39"/>
        <v>Needs Improvement</v>
      </c>
      <c r="AN484" s="11" t="str" cm="1">
        <f t="array" ref="AN484">_xlfn.IFS(N484&lt;10000,"Low",N484&lt;30000,"Medium",N484&gt;=30000,"High")</f>
        <v>Low</v>
      </c>
      <c r="AO484" s="11" t="str">
        <f t="shared" si="40"/>
        <v>No</v>
      </c>
      <c r="AP484" s="11" t="str">
        <f t="shared" si="41"/>
        <v>Yes</v>
      </c>
      <c r="AQ484" s="11">
        <f t="shared" si="42"/>
        <v>0.20339215686274509</v>
      </c>
      <c r="AR484" s="33"/>
      <c r="AS484" s="33"/>
      <c r="AT484" s="33"/>
      <c r="AU484" s="33"/>
      <c r="AV484" s="33"/>
      <c r="AW484" s="33"/>
      <c r="AX484" s="33" t="str">
        <f t="shared" si="43"/>
        <v>Low</v>
      </c>
    </row>
    <row r="485" spans="1:50">
      <c r="A485" s="9" t="s">
        <v>990</v>
      </c>
      <c r="B485" s="10" t="s">
        <v>991</v>
      </c>
      <c r="C485" s="11" t="s">
        <v>33</v>
      </c>
      <c r="D485" s="11" t="s">
        <v>137</v>
      </c>
      <c r="E485" s="11" t="s">
        <v>35</v>
      </c>
      <c r="F485" s="11" t="s">
        <v>245</v>
      </c>
      <c r="G485" s="11" t="s">
        <v>246</v>
      </c>
      <c r="H485" s="11" t="s">
        <v>58</v>
      </c>
      <c r="I485" s="11" t="s">
        <v>39</v>
      </c>
      <c r="J485" s="11" t="s">
        <v>253</v>
      </c>
      <c r="K485" s="25">
        <v>4</v>
      </c>
      <c r="L485" s="25">
        <v>15000</v>
      </c>
      <c r="M485" s="29">
        <v>0.15</v>
      </c>
      <c r="N485" s="25">
        <v>51000</v>
      </c>
      <c r="O485" s="25">
        <v>34434.94</v>
      </c>
      <c r="P485" s="25">
        <v>16565.060000000001</v>
      </c>
      <c r="Q485" s="21">
        <v>32.479999999999997</v>
      </c>
      <c r="R485" s="11" t="s">
        <v>61</v>
      </c>
      <c r="S485" s="11" t="s">
        <v>62</v>
      </c>
      <c r="T485" s="11" t="s">
        <v>173</v>
      </c>
      <c r="U485" s="11" t="s">
        <v>198</v>
      </c>
      <c r="V485" s="11">
        <v>2024</v>
      </c>
      <c r="W485" s="11" t="s">
        <v>194</v>
      </c>
      <c r="X485" s="11">
        <v>8</v>
      </c>
      <c r="Y485" s="10" t="s">
        <v>303</v>
      </c>
      <c r="Z485" s="11" t="s">
        <v>47</v>
      </c>
      <c r="AA485" s="11" t="s">
        <v>48</v>
      </c>
      <c r="AB485" s="11" t="s">
        <v>78</v>
      </c>
      <c r="AC485" s="11" t="s">
        <v>121</v>
      </c>
      <c r="AD485" s="11">
        <v>2</v>
      </c>
      <c r="AE485" s="11" t="s">
        <v>2216</v>
      </c>
      <c r="AF485" s="11" t="s">
        <v>2224</v>
      </c>
      <c r="AG485" s="25"/>
      <c r="AH485" s="11"/>
      <c r="AI485" s="11"/>
      <c r="AJ485" s="11"/>
      <c r="AK485" s="11"/>
      <c r="AL485" s="11"/>
      <c r="AM485" s="11" t="str">
        <f t="shared" si="39"/>
        <v>Good</v>
      </c>
      <c r="AN485" s="11" t="str" cm="1">
        <f t="array" ref="AN485">_xlfn.IFS(N485&lt;10000,"Low",N485&lt;30000,"Medium",N485&gt;=30000,"High")</f>
        <v>High</v>
      </c>
      <c r="AO485" s="11" t="str">
        <f t="shared" si="40"/>
        <v>Yes</v>
      </c>
      <c r="AP485" s="11" t="str">
        <f t="shared" si="41"/>
        <v>No</v>
      </c>
      <c r="AQ485" s="11">
        <f t="shared" si="42"/>
        <v>0.3248050980392157</v>
      </c>
      <c r="AR485" s="33"/>
      <c r="AS485" s="33"/>
      <c r="AT485" s="33"/>
      <c r="AU485" s="33"/>
      <c r="AV485" s="33"/>
      <c r="AW485" s="33"/>
      <c r="AX485" s="33" t="str">
        <f t="shared" si="43"/>
        <v>Good</v>
      </c>
    </row>
    <row r="486" spans="1:50">
      <c r="A486" s="9" t="s">
        <v>255</v>
      </c>
      <c r="B486" s="10" t="s">
        <v>256</v>
      </c>
      <c r="C486" s="11" t="s">
        <v>257</v>
      </c>
      <c r="D486" s="11" t="s">
        <v>258</v>
      </c>
      <c r="E486" s="11" t="s">
        <v>35</v>
      </c>
      <c r="F486" s="11" t="s">
        <v>116</v>
      </c>
      <c r="G486" s="11" t="s">
        <v>37</v>
      </c>
      <c r="H486" s="11" t="s">
        <v>171</v>
      </c>
      <c r="I486" s="11" t="s">
        <v>71</v>
      </c>
      <c r="J486" s="11" t="s">
        <v>117</v>
      </c>
      <c r="K486" s="25">
        <v>8</v>
      </c>
      <c r="L486" s="25">
        <v>3500</v>
      </c>
      <c r="M486" s="29">
        <v>0.2</v>
      </c>
      <c r="N486" s="25">
        <v>22400</v>
      </c>
      <c r="O486" s="25">
        <v>12493.58</v>
      </c>
      <c r="P486" s="25">
        <v>9906.42</v>
      </c>
      <c r="Q486" s="21">
        <v>44.23</v>
      </c>
      <c r="R486" s="11" t="s">
        <v>61</v>
      </c>
      <c r="S486" s="11" t="s">
        <v>62</v>
      </c>
      <c r="T486" s="11" t="s">
        <v>159</v>
      </c>
      <c r="U486" s="11" t="s">
        <v>198</v>
      </c>
      <c r="V486" s="11">
        <v>2025</v>
      </c>
      <c r="W486" s="11" t="s">
        <v>65</v>
      </c>
      <c r="X486" s="11">
        <v>7</v>
      </c>
      <c r="Y486" s="10" t="s">
        <v>259</v>
      </c>
      <c r="Z486" s="11" t="s">
        <v>47</v>
      </c>
      <c r="AA486" s="11" t="s">
        <v>48</v>
      </c>
      <c r="AB486" s="11" t="s">
        <v>111</v>
      </c>
      <c r="AC486" s="11" t="s">
        <v>50</v>
      </c>
      <c r="AD486" s="11">
        <v>5</v>
      </c>
      <c r="AE486" s="11" t="s">
        <v>2248</v>
      </c>
      <c r="AF486" s="11" t="s">
        <v>2219</v>
      </c>
      <c r="AG486" s="25"/>
      <c r="AH486" s="11"/>
      <c r="AI486" s="11"/>
      <c r="AJ486" s="11"/>
      <c r="AK486" s="11"/>
      <c r="AL486" s="11"/>
      <c r="AM486" s="11" t="str">
        <f t="shared" si="39"/>
        <v>Good</v>
      </c>
      <c r="AN486" s="11" t="str" cm="1">
        <f t="array" ref="AN486">_xlfn.IFS(N486&lt;10000,"Low",N486&lt;30000,"Medium",N486&gt;=30000,"High")</f>
        <v>Medium</v>
      </c>
      <c r="AO486" s="11" t="str">
        <f t="shared" si="40"/>
        <v>No</v>
      </c>
      <c r="AP486" s="11" t="str">
        <f t="shared" si="41"/>
        <v>No</v>
      </c>
      <c r="AQ486" s="11">
        <f t="shared" si="42"/>
        <v>0.44225089285714286</v>
      </c>
      <c r="AR486" s="33"/>
      <c r="AS486" s="33"/>
      <c r="AT486" s="33"/>
      <c r="AU486" s="33"/>
      <c r="AV486" s="33"/>
      <c r="AW486" s="33"/>
      <c r="AX486" s="33" t="str">
        <f t="shared" si="43"/>
        <v>Average</v>
      </c>
    </row>
    <row r="487" spans="1:50">
      <c r="A487" s="9" t="s">
        <v>1958</v>
      </c>
      <c r="B487" s="10" t="s">
        <v>256</v>
      </c>
      <c r="C487" s="11" t="s">
        <v>1426</v>
      </c>
      <c r="D487" s="11" t="s">
        <v>1476</v>
      </c>
      <c r="E487" s="11" t="s">
        <v>35</v>
      </c>
      <c r="F487" s="11" t="s">
        <v>149</v>
      </c>
      <c r="G487" s="11" t="s">
        <v>150</v>
      </c>
      <c r="H487" s="11" t="s">
        <v>38</v>
      </c>
      <c r="I487" s="11" t="s">
        <v>71</v>
      </c>
      <c r="J487" s="11" t="s">
        <v>240</v>
      </c>
      <c r="K487" s="25">
        <v>5</v>
      </c>
      <c r="L487" s="25">
        <v>700</v>
      </c>
      <c r="M487" s="29">
        <v>0.05</v>
      </c>
      <c r="N487" s="25">
        <v>3325</v>
      </c>
      <c r="O487" s="25">
        <v>2183.19</v>
      </c>
      <c r="P487" s="25">
        <v>1141.81</v>
      </c>
      <c r="Q487" s="21">
        <v>34.340000000000003</v>
      </c>
      <c r="R487" s="11" t="s">
        <v>166</v>
      </c>
      <c r="S487" s="11" t="s">
        <v>74</v>
      </c>
      <c r="T487" s="11" t="s">
        <v>75</v>
      </c>
      <c r="U487" s="11" t="s">
        <v>198</v>
      </c>
      <c r="V487" s="11">
        <v>2025</v>
      </c>
      <c r="W487" s="11" t="s">
        <v>65</v>
      </c>
      <c r="X487" s="11">
        <v>10</v>
      </c>
      <c r="Y487" s="10" t="s">
        <v>476</v>
      </c>
      <c r="Z487" s="11" t="s">
        <v>47</v>
      </c>
      <c r="AA487" s="11" t="s">
        <v>90</v>
      </c>
      <c r="AB487" s="11" t="s">
        <v>78</v>
      </c>
      <c r="AC487" s="11" t="s">
        <v>121</v>
      </c>
      <c r="AD487" s="11">
        <v>1</v>
      </c>
      <c r="AE487" s="11" t="s">
        <v>2227</v>
      </c>
      <c r="AF487" s="11" t="s">
        <v>2212</v>
      </c>
      <c r="AG487" s="25"/>
      <c r="AH487" s="11"/>
      <c r="AI487" s="11"/>
      <c r="AJ487" s="11"/>
      <c r="AK487" s="11"/>
      <c r="AL487" s="11"/>
      <c r="AM487" s="11" t="str">
        <f t="shared" si="39"/>
        <v>Good</v>
      </c>
      <c r="AN487" s="11" t="str" cm="1">
        <f t="array" ref="AN487">_xlfn.IFS(N487&lt;10000,"Low",N487&lt;30000,"Medium",N487&gt;=30000,"High")</f>
        <v>Low</v>
      </c>
      <c r="AO487" s="11" t="str">
        <f t="shared" si="40"/>
        <v>No</v>
      </c>
      <c r="AP487" s="11" t="str">
        <f t="shared" si="41"/>
        <v>Yes</v>
      </c>
      <c r="AQ487" s="11">
        <f t="shared" si="42"/>
        <v>0.34340150375939849</v>
      </c>
      <c r="AR487" s="33"/>
      <c r="AS487" s="33"/>
      <c r="AT487" s="33"/>
      <c r="AU487" s="33"/>
      <c r="AV487" s="33"/>
      <c r="AW487" s="33"/>
      <c r="AX487" s="33" t="str">
        <f t="shared" si="43"/>
        <v>Low</v>
      </c>
    </row>
    <row r="488" spans="1:50">
      <c r="A488" s="9" t="s">
        <v>1999</v>
      </c>
      <c r="B488" s="10" t="s">
        <v>256</v>
      </c>
      <c r="C488" s="11" t="s">
        <v>296</v>
      </c>
      <c r="D488" s="11" t="s">
        <v>900</v>
      </c>
      <c r="E488" s="11" t="s">
        <v>35</v>
      </c>
      <c r="F488" s="11" t="s">
        <v>116</v>
      </c>
      <c r="G488" s="11" t="s">
        <v>37</v>
      </c>
      <c r="H488" s="11" t="s">
        <v>38</v>
      </c>
      <c r="I488" s="11" t="s">
        <v>95</v>
      </c>
      <c r="J488" s="11" t="s">
        <v>344</v>
      </c>
      <c r="K488" s="25">
        <v>9</v>
      </c>
      <c r="L488" s="25">
        <v>4000</v>
      </c>
      <c r="M488" s="29">
        <v>0.2</v>
      </c>
      <c r="N488" s="25">
        <v>28800</v>
      </c>
      <c r="O488" s="25">
        <v>19547.43</v>
      </c>
      <c r="P488" s="25">
        <v>9252.57</v>
      </c>
      <c r="Q488" s="21">
        <v>32.130000000000003</v>
      </c>
      <c r="R488" s="11" t="s">
        <v>73</v>
      </c>
      <c r="S488" s="11" t="s">
        <v>62</v>
      </c>
      <c r="T488" s="11" t="s">
        <v>107</v>
      </c>
      <c r="U488" s="11" t="s">
        <v>198</v>
      </c>
      <c r="V488" s="11">
        <v>2025</v>
      </c>
      <c r="W488" s="11" t="s">
        <v>65</v>
      </c>
      <c r="X488" s="11">
        <v>10</v>
      </c>
      <c r="Y488" s="10" t="s">
        <v>476</v>
      </c>
      <c r="Z488" s="11" t="s">
        <v>89</v>
      </c>
      <c r="AA488" s="11" t="s">
        <v>48</v>
      </c>
      <c r="AB488" s="11" t="s">
        <v>49</v>
      </c>
      <c r="AC488" s="11" t="s">
        <v>50</v>
      </c>
      <c r="AD488" s="11">
        <v>4</v>
      </c>
      <c r="AE488" s="11" t="s">
        <v>2227</v>
      </c>
      <c r="AF488" s="11" t="s">
        <v>2230</v>
      </c>
      <c r="AG488" s="25"/>
      <c r="AH488" s="11"/>
      <c r="AI488" s="11"/>
      <c r="AJ488" s="11"/>
      <c r="AK488" s="11"/>
      <c r="AL488" s="11"/>
      <c r="AM488" s="11" t="str">
        <f t="shared" si="39"/>
        <v>Good</v>
      </c>
      <c r="AN488" s="11" t="str" cm="1">
        <f t="array" ref="AN488">_xlfn.IFS(N488&lt;10000,"Low",N488&lt;30000,"Medium",N488&gt;=30000,"High")</f>
        <v>Medium</v>
      </c>
      <c r="AO488" s="11" t="str">
        <f t="shared" si="40"/>
        <v>No</v>
      </c>
      <c r="AP488" s="11" t="str">
        <f t="shared" si="41"/>
        <v>No</v>
      </c>
      <c r="AQ488" s="11">
        <f t="shared" si="42"/>
        <v>0.32126979166666664</v>
      </c>
      <c r="AR488" s="33"/>
      <c r="AS488" s="33"/>
      <c r="AT488" s="33"/>
      <c r="AU488" s="33"/>
      <c r="AV488" s="33"/>
      <c r="AW488" s="33"/>
      <c r="AX488" s="33" t="str">
        <f t="shared" si="43"/>
        <v>Average</v>
      </c>
    </row>
    <row r="489" spans="1:50">
      <c r="A489" s="9" t="s">
        <v>2139</v>
      </c>
      <c r="B489" s="10" t="s">
        <v>256</v>
      </c>
      <c r="C489" s="11" t="s">
        <v>633</v>
      </c>
      <c r="D489" s="11" t="s">
        <v>1150</v>
      </c>
      <c r="E489" s="11" t="s">
        <v>103</v>
      </c>
      <c r="F489" s="11" t="s">
        <v>36</v>
      </c>
      <c r="G489" s="11" t="s">
        <v>37</v>
      </c>
      <c r="H489" s="11" t="s">
        <v>94</v>
      </c>
      <c r="I489" s="11" t="s">
        <v>84</v>
      </c>
      <c r="J489" s="11" t="s">
        <v>390</v>
      </c>
      <c r="K489" s="25">
        <v>1</v>
      </c>
      <c r="L489" s="25">
        <v>500</v>
      </c>
      <c r="M489" s="29">
        <v>0.15</v>
      </c>
      <c r="N489" s="25">
        <v>425</v>
      </c>
      <c r="O489" s="25">
        <v>264.58</v>
      </c>
      <c r="P489" s="25">
        <v>160.41999999999999</v>
      </c>
      <c r="Q489" s="21">
        <v>37.75</v>
      </c>
      <c r="R489" s="11" t="s">
        <v>61</v>
      </c>
      <c r="S489" s="11" t="s">
        <v>62</v>
      </c>
      <c r="T489" s="11" t="s">
        <v>173</v>
      </c>
      <c r="U489" s="11" t="s">
        <v>198</v>
      </c>
      <c r="V489" s="11">
        <v>2025</v>
      </c>
      <c r="W489" s="11" t="s">
        <v>65</v>
      </c>
      <c r="X489" s="11">
        <v>7</v>
      </c>
      <c r="Y489" s="10" t="s">
        <v>259</v>
      </c>
      <c r="Z489" s="11" t="s">
        <v>110</v>
      </c>
      <c r="AA489" s="11" t="s">
        <v>48</v>
      </c>
      <c r="AB489" s="11" t="s">
        <v>49</v>
      </c>
      <c r="AC489" s="11" t="s">
        <v>121</v>
      </c>
      <c r="AD489" s="11">
        <v>3</v>
      </c>
      <c r="AE489" s="11" t="s">
        <v>2232</v>
      </c>
      <c r="AF489" s="11" t="s">
        <v>2230</v>
      </c>
      <c r="AG489" s="25"/>
      <c r="AH489" s="11"/>
      <c r="AI489" s="11"/>
      <c r="AJ489" s="11"/>
      <c r="AK489" s="11"/>
      <c r="AL489" s="11"/>
      <c r="AM489" s="11" t="str">
        <f t="shared" si="39"/>
        <v>Good</v>
      </c>
      <c r="AN489" s="11" t="str" cm="1">
        <f t="array" ref="AN489">_xlfn.IFS(N489&lt;10000,"Low",N489&lt;30000,"Medium",N489&gt;=30000,"High")</f>
        <v>Low</v>
      </c>
      <c r="AO489" s="11" t="str">
        <f t="shared" si="40"/>
        <v>No</v>
      </c>
      <c r="AP489" s="11" t="str">
        <f t="shared" si="41"/>
        <v>No</v>
      </c>
      <c r="AQ489" s="11">
        <f t="shared" si="42"/>
        <v>0.37745882352941174</v>
      </c>
      <c r="AR489" s="33"/>
      <c r="AS489" s="33"/>
      <c r="AT489" s="33"/>
      <c r="AU489" s="33"/>
      <c r="AV489" s="33"/>
      <c r="AW489" s="33"/>
      <c r="AX489" s="33" t="str">
        <f t="shared" si="43"/>
        <v>Low</v>
      </c>
    </row>
    <row r="490" spans="1:50">
      <c r="A490" s="9" t="s">
        <v>1790</v>
      </c>
      <c r="B490" s="10" t="s">
        <v>1791</v>
      </c>
      <c r="C490" s="11" t="s">
        <v>603</v>
      </c>
      <c r="D490" s="11" t="s">
        <v>1665</v>
      </c>
      <c r="E490" s="11" t="s">
        <v>103</v>
      </c>
      <c r="F490" s="11" t="s">
        <v>116</v>
      </c>
      <c r="G490" s="11" t="s">
        <v>37</v>
      </c>
      <c r="H490" s="11" t="s">
        <v>171</v>
      </c>
      <c r="I490" s="11" t="s">
        <v>59</v>
      </c>
      <c r="J490" s="11" t="s">
        <v>60</v>
      </c>
      <c r="K490" s="25">
        <v>6</v>
      </c>
      <c r="L490" s="25">
        <v>800</v>
      </c>
      <c r="M490" s="29">
        <v>0.1</v>
      </c>
      <c r="N490" s="25">
        <v>4320</v>
      </c>
      <c r="O490" s="25">
        <v>2908.25</v>
      </c>
      <c r="P490" s="25">
        <v>1411.75</v>
      </c>
      <c r="Q490" s="21">
        <v>32.68</v>
      </c>
      <c r="R490" s="11" t="s">
        <v>106</v>
      </c>
      <c r="S490" s="11" t="s">
        <v>62</v>
      </c>
      <c r="T490" s="11" t="s">
        <v>75</v>
      </c>
      <c r="U490" s="11" t="s">
        <v>64</v>
      </c>
      <c r="V490" s="11">
        <v>2024</v>
      </c>
      <c r="W490" s="11" t="s">
        <v>45</v>
      </c>
      <c r="X490" s="11">
        <v>8</v>
      </c>
      <c r="Y490" s="10" t="s">
        <v>446</v>
      </c>
      <c r="Z490" s="11" t="s">
        <v>89</v>
      </c>
      <c r="AA490" s="11" t="s">
        <v>48</v>
      </c>
      <c r="AB490" s="11" t="s">
        <v>49</v>
      </c>
      <c r="AC490" s="11" t="s">
        <v>121</v>
      </c>
      <c r="AD490" s="11">
        <v>1</v>
      </c>
      <c r="AE490" s="11" t="s">
        <v>2216</v>
      </c>
      <c r="AF490" s="11" t="s">
        <v>2238</v>
      </c>
      <c r="AG490" s="25"/>
      <c r="AH490" s="11"/>
      <c r="AI490" s="11"/>
      <c r="AJ490" s="11"/>
      <c r="AK490" s="11"/>
      <c r="AL490" s="11"/>
      <c r="AM490" s="11" t="str">
        <f t="shared" si="39"/>
        <v>Good</v>
      </c>
      <c r="AN490" s="11" t="str" cm="1">
        <f t="array" ref="AN490">_xlfn.IFS(N490&lt;10000,"Low",N490&lt;30000,"Medium",N490&gt;=30000,"High")</f>
        <v>Low</v>
      </c>
      <c r="AO490" s="11" t="str">
        <f t="shared" si="40"/>
        <v>No</v>
      </c>
      <c r="AP490" s="11" t="str">
        <f t="shared" si="41"/>
        <v>No</v>
      </c>
      <c r="AQ490" s="11">
        <f t="shared" si="42"/>
        <v>0.32679398148148148</v>
      </c>
      <c r="AR490" s="33"/>
      <c r="AS490" s="33"/>
      <c r="AT490" s="33"/>
      <c r="AU490" s="33"/>
      <c r="AV490" s="33"/>
      <c r="AW490" s="33"/>
      <c r="AX490" s="33" t="str">
        <f t="shared" si="43"/>
        <v>Low</v>
      </c>
    </row>
    <row r="491" spans="1:50">
      <c r="A491" s="9" t="s">
        <v>1802</v>
      </c>
      <c r="B491" s="10" t="s">
        <v>1791</v>
      </c>
      <c r="C491" s="11" t="s">
        <v>1803</v>
      </c>
      <c r="D491" s="11" t="s">
        <v>643</v>
      </c>
      <c r="E491" s="11" t="s">
        <v>55</v>
      </c>
      <c r="F491" s="11" t="s">
        <v>36</v>
      </c>
      <c r="G491" s="11" t="s">
        <v>37</v>
      </c>
      <c r="H491" s="11" t="s">
        <v>94</v>
      </c>
      <c r="I491" s="11" t="s">
        <v>59</v>
      </c>
      <c r="J491" s="11" t="s">
        <v>372</v>
      </c>
      <c r="K491" s="25">
        <v>8</v>
      </c>
      <c r="L491" s="25">
        <v>800</v>
      </c>
      <c r="M491" s="29">
        <v>0</v>
      </c>
      <c r="N491" s="25">
        <v>6400</v>
      </c>
      <c r="O491" s="25">
        <v>4179.2299999999996</v>
      </c>
      <c r="P491" s="25">
        <v>2220.77</v>
      </c>
      <c r="Q491" s="21">
        <v>34.700000000000003</v>
      </c>
      <c r="R491" s="11" t="s">
        <v>41</v>
      </c>
      <c r="S491" s="11" t="s">
        <v>74</v>
      </c>
      <c r="T491" s="11" t="s">
        <v>138</v>
      </c>
      <c r="U491" s="11" t="s">
        <v>64</v>
      </c>
      <c r="V491" s="11">
        <v>2024</v>
      </c>
      <c r="W491" s="11" t="s">
        <v>45</v>
      </c>
      <c r="X491" s="11">
        <v>5</v>
      </c>
      <c r="Y491" s="10" t="s">
        <v>534</v>
      </c>
      <c r="Z491" s="11" t="s">
        <v>47</v>
      </c>
      <c r="AA491" s="11" t="s">
        <v>67</v>
      </c>
      <c r="AB491" s="11" t="s">
        <v>49</v>
      </c>
      <c r="AC491" s="11" t="s">
        <v>121</v>
      </c>
      <c r="AD491" s="11">
        <v>1</v>
      </c>
      <c r="AE491" s="11" t="s">
        <v>2209</v>
      </c>
      <c r="AF491" s="11" t="s">
        <v>2235</v>
      </c>
      <c r="AG491" s="25"/>
      <c r="AH491" s="11"/>
      <c r="AI491" s="11"/>
      <c r="AJ491" s="11"/>
      <c r="AK491" s="11"/>
      <c r="AL491" s="11"/>
      <c r="AM491" s="11" t="str">
        <f t="shared" si="39"/>
        <v>Good</v>
      </c>
      <c r="AN491" s="11" t="str" cm="1">
        <f t="array" ref="AN491">_xlfn.IFS(N491&lt;10000,"Low",N491&lt;30000,"Medium",N491&gt;=30000,"High")</f>
        <v>Low</v>
      </c>
      <c r="AO491" s="11" t="str">
        <f t="shared" si="40"/>
        <v>No</v>
      </c>
      <c r="AP491" s="11" t="str">
        <f t="shared" si="41"/>
        <v>Yes</v>
      </c>
      <c r="AQ491" s="11">
        <f t="shared" si="42"/>
        <v>0.34699531249999999</v>
      </c>
      <c r="AR491" s="33"/>
      <c r="AS491" s="33"/>
      <c r="AT491" s="33"/>
      <c r="AU491" s="33"/>
      <c r="AV491" s="33"/>
      <c r="AW491" s="33"/>
      <c r="AX491" s="33" t="str">
        <f t="shared" si="43"/>
        <v>Low</v>
      </c>
    </row>
    <row r="492" spans="1:50">
      <c r="A492" s="9" t="s">
        <v>601</v>
      </c>
      <c r="B492" s="10" t="s">
        <v>602</v>
      </c>
      <c r="C492" s="11" t="s">
        <v>603</v>
      </c>
      <c r="D492" s="11" t="s">
        <v>604</v>
      </c>
      <c r="E492" s="11" t="s">
        <v>35</v>
      </c>
      <c r="F492" s="11" t="s">
        <v>131</v>
      </c>
      <c r="G492" s="11" t="s">
        <v>132</v>
      </c>
      <c r="H492" s="11" t="s">
        <v>38</v>
      </c>
      <c r="I492" s="11" t="s">
        <v>84</v>
      </c>
      <c r="J492" s="11" t="s">
        <v>217</v>
      </c>
      <c r="K492" s="25">
        <v>5</v>
      </c>
      <c r="L492" s="25">
        <v>100</v>
      </c>
      <c r="M492" s="29">
        <v>0.2</v>
      </c>
      <c r="N492" s="25">
        <v>400</v>
      </c>
      <c r="O492" s="25">
        <v>231.56</v>
      </c>
      <c r="P492" s="25">
        <v>168.44</v>
      </c>
      <c r="Q492" s="21">
        <v>42.11</v>
      </c>
      <c r="R492" s="11" t="s">
        <v>41</v>
      </c>
      <c r="S492" s="11" t="s">
        <v>42</v>
      </c>
      <c r="T492" s="11" t="s">
        <v>159</v>
      </c>
      <c r="U492" s="11" t="s">
        <v>64</v>
      </c>
      <c r="V492" s="11">
        <v>2025</v>
      </c>
      <c r="W492" s="11" t="s">
        <v>126</v>
      </c>
      <c r="X492" s="11">
        <v>7</v>
      </c>
      <c r="Y492" s="10" t="s">
        <v>247</v>
      </c>
      <c r="Z492" s="11" t="s">
        <v>47</v>
      </c>
      <c r="AA492" s="11" t="s">
        <v>67</v>
      </c>
      <c r="AB492" s="11" t="s">
        <v>78</v>
      </c>
      <c r="AC492" s="11" t="s">
        <v>50</v>
      </c>
      <c r="AD492" s="11">
        <v>1</v>
      </c>
      <c r="AE492" s="11" t="s">
        <v>2227</v>
      </c>
      <c r="AF492" s="11" t="s">
        <v>2222</v>
      </c>
      <c r="AG492" s="25"/>
      <c r="AH492" s="11"/>
      <c r="AI492" s="11"/>
      <c r="AJ492" s="11"/>
      <c r="AK492" s="11"/>
      <c r="AL492" s="11"/>
      <c r="AM492" s="11" t="str">
        <f t="shared" si="39"/>
        <v>Good</v>
      </c>
      <c r="AN492" s="11" t="str" cm="1">
        <f t="array" ref="AN492">_xlfn.IFS(N492&lt;10000,"Low",N492&lt;30000,"Medium",N492&gt;=30000,"High")</f>
        <v>Low</v>
      </c>
      <c r="AO492" s="11" t="str">
        <f t="shared" si="40"/>
        <v>No</v>
      </c>
      <c r="AP492" s="11" t="str">
        <f t="shared" si="41"/>
        <v>Yes</v>
      </c>
      <c r="AQ492" s="11">
        <f t="shared" si="42"/>
        <v>0.42109999999999997</v>
      </c>
      <c r="AR492" s="33"/>
      <c r="AS492" s="33"/>
      <c r="AT492" s="33"/>
      <c r="AU492" s="33"/>
      <c r="AV492" s="33"/>
      <c r="AW492" s="33"/>
      <c r="AX492" s="33" t="str">
        <f t="shared" si="43"/>
        <v>Low</v>
      </c>
    </row>
    <row r="493" spans="1:50">
      <c r="A493" s="9" t="s">
        <v>366</v>
      </c>
      <c r="B493" s="10" t="s">
        <v>367</v>
      </c>
      <c r="C493" s="11" t="s">
        <v>368</v>
      </c>
      <c r="D493" s="11" t="s">
        <v>273</v>
      </c>
      <c r="E493" s="11" t="s">
        <v>35</v>
      </c>
      <c r="F493" s="11" t="s">
        <v>131</v>
      </c>
      <c r="G493" s="11" t="s">
        <v>132</v>
      </c>
      <c r="H493" s="11" t="s">
        <v>38</v>
      </c>
      <c r="I493" s="11" t="s">
        <v>84</v>
      </c>
      <c r="J493" s="11" t="s">
        <v>85</v>
      </c>
      <c r="K493" s="25">
        <v>2</v>
      </c>
      <c r="L493" s="25">
        <v>100</v>
      </c>
      <c r="M493" s="29">
        <v>0.05</v>
      </c>
      <c r="N493" s="25">
        <v>190</v>
      </c>
      <c r="O493" s="25">
        <v>134.71</v>
      </c>
      <c r="P493" s="25">
        <v>55.29</v>
      </c>
      <c r="Q493" s="21">
        <v>29.1</v>
      </c>
      <c r="R493" s="11" t="s">
        <v>166</v>
      </c>
      <c r="S493" s="11" t="s">
        <v>42</v>
      </c>
      <c r="T493" s="11" t="s">
        <v>173</v>
      </c>
      <c r="U493" s="11" t="s">
        <v>76</v>
      </c>
      <c r="V493" s="11">
        <v>2024</v>
      </c>
      <c r="W493" s="11" t="s">
        <v>109</v>
      </c>
      <c r="X493" s="11">
        <v>6</v>
      </c>
      <c r="Y493" s="10" t="s">
        <v>369</v>
      </c>
      <c r="Z493" s="11" t="s">
        <v>47</v>
      </c>
      <c r="AA493" s="11" t="s">
        <v>48</v>
      </c>
      <c r="AB493" s="11" t="s">
        <v>49</v>
      </c>
      <c r="AC493" s="11" t="s">
        <v>50</v>
      </c>
      <c r="AD493" s="11">
        <v>4</v>
      </c>
      <c r="AE493" s="11" t="s">
        <v>2248</v>
      </c>
      <c r="AF493" s="11" t="s">
        <v>2228</v>
      </c>
      <c r="AG493" s="25"/>
      <c r="AH493" s="11"/>
      <c r="AI493" s="11"/>
      <c r="AJ493" s="11"/>
      <c r="AK493" s="11"/>
      <c r="AL493" s="11"/>
      <c r="AM493" s="11" t="str">
        <f t="shared" si="39"/>
        <v>Needs Improvement</v>
      </c>
      <c r="AN493" s="11" t="str" cm="1">
        <f t="array" ref="AN493">_xlfn.IFS(N493&lt;10000,"Low",N493&lt;30000,"Medium",N493&gt;=30000,"High")</f>
        <v>Low</v>
      </c>
      <c r="AO493" s="11" t="str">
        <f t="shared" si="40"/>
        <v>No</v>
      </c>
      <c r="AP493" s="11" t="str">
        <f t="shared" si="41"/>
        <v>Yes</v>
      </c>
      <c r="AQ493" s="11">
        <f t="shared" si="42"/>
        <v>0.29099999999999998</v>
      </c>
      <c r="AR493" s="33"/>
      <c r="AS493" s="33"/>
      <c r="AT493" s="33"/>
      <c r="AU493" s="33"/>
      <c r="AV493" s="33"/>
      <c r="AW493" s="33"/>
      <c r="AX493" s="33" t="str">
        <f t="shared" si="43"/>
        <v>Low</v>
      </c>
    </row>
    <row r="494" spans="1:50">
      <c r="A494" s="9" t="s">
        <v>1096</v>
      </c>
      <c r="B494" s="10" t="s">
        <v>367</v>
      </c>
      <c r="C494" s="11" t="s">
        <v>757</v>
      </c>
      <c r="D494" s="11" t="s">
        <v>981</v>
      </c>
      <c r="E494" s="11" t="s">
        <v>103</v>
      </c>
      <c r="F494" s="11" t="s">
        <v>36</v>
      </c>
      <c r="G494" s="11" t="s">
        <v>37</v>
      </c>
      <c r="H494" s="11" t="s">
        <v>171</v>
      </c>
      <c r="I494" s="11" t="s">
        <v>84</v>
      </c>
      <c r="J494" s="11" t="s">
        <v>85</v>
      </c>
      <c r="K494" s="25">
        <v>3</v>
      </c>
      <c r="L494" s="25">
        <v>350</v>
      </c>
      <c r="M494" s="29">
        <v>0</v>
      </c>
      <c r="N494" s="25">
        <v>1050</v>
      </c>
      <c r="O494" s="25">
        <v>723.24</v>
      </c>
      <c r="P494" s="25">
        <v>326.76</v>
      </c>
      <c r="Q494" s="21">
        <v>31.12</v>
      </c>
      <c r="R494" s="11" t="s">
        <v>61</v>
      </c>
      <c r="S494" s="11" t="s">
        <v>74</v>
      </c>
      <c r="T494" s="11" t="s">
        <v>159</v>
      </c>
      <c r="U494" s="11" t="s">
        <v>76</v>
      </c>
      <c r="V494" s="11">
        <v>2024</v>
      </c>
      <c r="W494" s="11" t="s">
        <v>109</v>
      </c>
      <c r="X494" s="11">
        <v>10</v>
      </c>
      <c r="Y494" s="10" t="s">
        <v>1097</v>
      </c>
      <c r="Z494" s="11" t="s">
        <v>89</v>
      </c>
      <c r="AA494" s="11" t="s">
        <v>48</v>
      </c>
      <c r="AB494" s="11" t="s">
        <v>49</v>
      </c>
      <c r="AC494" s="11" t="s">
        <v>121</v>
      </c>
      <c r="AD494" s="11">
        <v>1</v>
      </c>
      <c r="AE494" s="11" t="s">
        <v>2240</v>
      </c>
      <c r="AF494" s="11" t="s">
        <v>2236</v>
      </c>
      <c r="AG494" s="25"/>
      <c r="AH494" s="11"/>
      <c r="AI494" s="11"/>
      <c r="AJ494" s="11"/>
      <c r="AK494" s="11"/>
      <c r="AL494" s="11"/>
      <c r="AM494" s="11" t="str">
        <f t="shared" si="39"/>
        <v>Good</v>
      </c>
      <c r="AN494" s="11" t="str" cm="1">
        <f t="array" ref="AN494">_xlfn.IFS(N494&lt;10000,"Low",N494&lt;30000,"Medium",N494&gt;=30000,"High")</f>
        <v>Low</v>
      </c>
      <c r="AO494" s="11" t="str">
        <f t="shared" si="40"/>
        <v>No</v>
      </c>
      <c r="AP494" s="11" t="str">
        <f t="shared" si="41"/>
        <v>Yes</v>
      </c>
      <c r="AQ494" s="11">
        <f t="shared" si="42"/>
        <v>0.31119999999999998</v>
      </c>
      <c r="AR494" s="33"/>
      <c r="AS494" s="33"/>
      <c r="AT494" s="33"/>
      <c r="AU494" s="33"/>
      <c r="AV494" s="33"/>
      <c r="AW494" s="33"/>
      <c r="AX494" s="33" t="str">
        <f t="shared" si="43"/>
        <v>Low</v>
      </c>
    </row>
    <row r="495" spans="1:50">
      <c r="A495" s="9" t="s">
        <v>1660</v>
      </c>
      <c r="B495" s="10" t="s">
        <v>367</v>
      </c>
      <c r="C495" s="11" t="s">
        <v>363</v>
      </c>
      <c r="D495" s="11" t="s">
        <v>817</v>
      </c>
      <c r="E495" s="11" t="s">
        <v>35</v>
      </c>
      <c r="F495" s="11" t="s">
        <v>245</v>
      </c>
      <c r="G495" s="11" t="s">
        <v>246</v>
      </c>
      <c r="H495" s="11" t="s">
        <v>38</v>
      </c>
      <c r="I495" s="11" t="s">
        <v>59</v>
      </c>
      <c r="J495" s="11" t="s">
        <v>133</v>
      </c>
      <c r="K495" s="25">
        <v>4</v>
      </c>
      <c r="L495" s="25">
        <v>800</v>
      </c>
      <c r="M495" s="29">
        <v>0.15</v>
      </c>
      <c r="N495" s="25">
        <v>2720</v>
      </c>
      <c r="O495" s="25">
        <v>1803.44</v>
      </c>
      <c r="P495" s="25">
        <v>916.56</v>
      </c>
      <c r="Q495" s="21">
        <v>33.700000000000003</v>
      </c>
      <c r="R495" s="11" t="s">
        <v>106</v>
      </c>
      <c r="S495" s="11" t="s">
        <v>62</v>
      </c>
      <c r="T495" s="11" t="s">
        <v>43</v>
      </c>
      <c r="U495" s="11" t="s">
        <v>76</v>
      </c>
      <c r="V495" s="11">
        <v>2024</v>
      </c>
      <c r="W495" s="11" t="s">
        <v>109</v>
      </c>
      <c r="X495" s="11">
        <v>3</v>
      </c>
      <c r="Y495" s="10" t="s">
        <v>1045</v>
      </c>
      <c r="Z495" s="11" t="s">
        <v>47</v>
      </c>
      <c r="AA495" s="11" t="s">
        <v>48</v>
      </c>
      <c r="AB495" s="11" t="s">
        <v>49</v>
      </c>
      <c r="AC495" s="11" t="s">
        <v>121</v>
      </c>
      <c r="AD495" s="11">
        <v>2</v>
      </c>
      <c r="AE495" s="11" t="s">
        <v>2220</v>
      </c>
      <c r="AF495" s="11" t="s">
        <v>2214</v>
      </c>
      <c r="AG495" s="25"/>
      <c r="AH495" s="11"/>
      <c r="AI495" s="11"/>
      <c r="AJ495" s="11"/>
      <c r="AK495" s="11"/>
      <c r="AL495" s="11"/>
      <c r="AM495" s="11" t="str">
        <f t="shared" si="39"/>
        <v>Good</v>
      </c>
      <c r="AN495" s="11" t="str" cm="1">
        <f t="array" ref="AN495">_xlfn.IFS(N495&lt;10000,"Low",N495&lt;30000,"Medium",N495&gt;=30000,"High")</f>
        <v>Low</v>
      </c>
      <c r="AO495" s="11" t="str">
        <f t="shared" si="40"/>
        <v>No</v>
      </c>
      <c r="AP495" s="11" t="str">
        <f t="shared" si="41"/>
        <v>No</v>
      </c>
      <c r="AQ495" s="11">
        <f t="shared" si="42"/>
        <v>0.33697058823529408</v>
      </c>
      <c r="AR495" s="33"/>
      <c r="AS495" s="33"/>
      <c r="AT495" s="33"/>
      <c r="AU495" s="33"/>
      <c r="AV495" s="33"/>
      <c r="AW495" s="33"/>
      <c r="AX495" s="33" t="str">
        <f t="shared" si="43"/>
        <v>Low</v>
      </c>
    </row>
    <row r="496" spans="1:50">
      <c r="A496" s="9" t="s">
        <v>775</v>
      </c>
      <c r="B496" s="10" t="s">
        <v>776</v>
      </c>
      <c r="C496" s="11" t="s">
        <v>777</v>
      </c>
      <c r="D496" s="11" t="s">
        <v>268</v>
      </c>
      <c r="E496" s="11" t="s">
        <v>55</v>
      </c>
      <c r="F496" s="11" t="s">
        <v>156</v>
      </c>
      <c r="G496" s="11" t="s">
        <v>157</v>
      </c>
      <c r="H496" s="11" t="s">
        <v>58</v>
      </c>
      <c r="I496" s="11" t="s">
        <v>84</v>
      </c>
      <c r="J496" s="11" t="s">
        <v>85</v>
      </c>
      <c r="K496" s="25">
        <v>1</v>
      </c>
      <c r="L496" s="25">
        <v>500</v>
      </c>
      <c r="M496" s="29">
        <v>0.1</v>
      </c>
      <c r="N496" s="25">
        <v>450</v>
      </c>
      <c r="O496" s="25">
        <v>346.81</v>
      </c>
      <c r="P496" s="25">
        <v>103.19</v>
      </c>
      <c r="Q496" s="21">
        <v>22.93</v>
      </c>
      <c r="R496" s="11" t="s">
        <v>73</v>
      </c>
      <c r="S496" s="11" t="s">
        <v>74</v>
      </c>
      <c r="T496" s="11" t="s">
        <v>159</v>
      </c>
      <c r="U496" s="11" t="s">
        <v>76</v>
      </c>
      <c r="V496" s="11">
        <v>2025</v>
      </c>
      <c r="W496" s="11" t="s">
        <v>139</v>
      </c>
      <c r="X496" s="11">
        <v>1</v>
      </c>
      <c r="Y496" s="10" t="s">
        <v>778</v>
      </c>
      <c r="Z496" s="11" t="s">
        <v>47</v>
      </c>
      <c r="AA496" s="11" t="s">
        <v>48</v>
      </c>
      <c r="AB496" s="11" t="s">
        <v>78</v>
      </c>
      <c r="AC496" s="11" t="s">
        <v>50</v>
      </c>
      <c r="AD496" s="11">
        <v>3</v>
      </c>
      <c r="AE496" s="11" t="s">
        <v>2218</v>
      </c>
      <c r="AF496" s="11" t="s">
        <v>2228</v>
      </c>
      <c r="AG496" s="25"/>
      <c r="AH496" s="11"/>
      <c r="AI496" s="11"/>
      <c r="AJ496" s="11"/>
      <c r="AK496" s="11"/>
      <c r="AL496" s="11"/>
      <c r="AM496" s="11" t="str">
        <f t="shared" si="39"/>
        <v>Needs Improvement</v>
      </c>
      <c r="AN496" s="11" t="str" cm="1">
        <f t="array" ref="AN496">_xlfn.IFS(N496&lt;10000,"Low",N496&lt;30000,"Medium",N496&gt;=30000,"High")</f>
        <v>Low</v>
      </c>
      <c r="AO496" s="11" t="str">
        <f t="shared" si="40"/>
        <v>No</v>
      </c>
      <c r="AP496" s="11" t="str">
        <f t="shared" si="41"/>
        <v>Yes</v>
      </c>
      <c r="AQ496" s="11">
        <f t="shared" si="42"/>
        <v>0.2293111111111111</v>
      </c>
      <c r="AR496" s="33"/>
      <c r="AS496" s="33"/>
      <c r="AT496" s="33"/>
      <c r="AU496" s="33"/>
      <c r="AV496" s="33"/>
      <c r="AW496" s="33"/>
      <c r="AX496" s="33" t="str">
        <f t="shared" si="43"/>
        <v>Low</v>
      </c>
    </row>
    <row r="497" spans="1:50">
      <c r="A497" s="9" t="s">
        <v>2137</v>
      </c>
      <c r="B497" s="10" t="s">
        <v>776</v>
      </c>
      <c r="C497" s="11" t="s">
        <v>477</v>
      </c>
      <c r="D497" s="11" t="s">
        <v>961</v>
      </c>
      <c r="E497" s="11" t="s">
        <v>55</v>
      </c>
      <c r="F497" s="11" t="s">
        <v>36</v>
      </c>
      <c r="G497" s="11" t="s">
        <v>37</v>
      </c>
      <c r="H497" s="11" t="s">
        <v>38</v>
      </c>
      <c r="I497" s="11" t="s">
        <v>39</v>
      </c>
      <c r="J497" s="11" t="s">
        <v>165</v>
      </c>
      <c r="K497" s="25">
        <v>2</v>
      </c>
      <c r="L497" s="25">
        <v>15000</v>
      </c>
      <c r="M497" s="29">
        <v>0.05</v>
      </c>
      <c r="N497" s="25">
        <v>28500</v>
      </c>
      <c r="O497" s="25">
        <v>17897.04</v>
      </c>
      <c r="P497" s="25">
        <v>10602.96</v>
      </c>
      <c r="Q497" s="21">
        <v>37.200000000000003</v>
      </c>
      <c r="R497" s="11" t="s">
        <v>106</v>
      </c>
      <c r="S497" s="11" t="s">
        <v>42</v>
      </c>
      <c r="T497" s="11" t="s">
        <v>107</v>
      </c>
      <c r="U497" s="11" t="s">
        <v>76</v>
      </c>
      <c r="V497" s="11">
        <v>2025</v>
      </c>
      <c r="W497" s="11" t="s">
        <v>139</v>
      </c>
      <c r="X497" s="11">
        <v>7</v>
      </c>
      <c r="Y497" s="10" t="s">
        <v>928</v>
      </c>
      <c r="Z497" s="11" t="s">
        <v>47</v>
      </c>
      <c r="AA497" s="11" t="s">
        <v>90</v>
      </c>
      <c r="AB497" s="11" t="s">
        <v>78</v>
      </c>
      <c r="AC497" s="11" t="s">
        <v>50</v>
      </c>
      <c r="AD497" s="11">
        <v>4</v>
      </c>
      <c r="AE497" s="11" t="s">
        <v>2240</v>
      </c>
      <c r="AF497" s="11" t="s">
        <v>2228</v>
      </c>
      <c r="AG497" s="25"/>
      <c r="AH497" s="11"/>
      <c r="AI497" s="11"/>
      <c r="AJ497" s="11"/>
      <c r="AK497" s="11"/>
      <c r="AL497" s="11"/>
      <c r="AM497" s="11" t="str">
        <f t="shared" si="39"/>
        <v>Good</v>
      </c>
      <c r="AN497" s="11" t="str" cm="1">
        <f t="array" ref="AN497">_xlfn.IFS(N497&lt;10000,"Low",N497&lt;30000,"Medium",N497&gt;=30000,"High")</f>
        <v>Medium</v>
      </c>
      <c r="AO497" s="11" t="str">
        <f t="shared" si="40"/>
        <v>No</v>
      </c>
      <c r="AP497" s="11" t="str">
        <f t="shared" si="41"/>
        <v>Yes</v>
      </c>
      <c r="AQ497" s="11">
        <f t="shared" si="42"/>
        <v>0.37203368421052629</v>
      </c>
      <c r="AR497" s="33"/>
      <c r="AS497" s="33"/>
      <c r="AT497" s="33"/>
      <c r="AU497" s="33"/>
      <c r="AV497" s="33"/>
      <c r="AW497" s="33"/>
      <c r="AX497" s="33" t="str">
        <f t="shared" si="43"/>
        <v>Good</v>
      </c>
    </row>
    <row r="498" spans="1:50">
      <c r="A498" s="9" t="s">
        <v>1160</v>
      </c>
      <c r="B498" s="10" t="s">
        <v>874</v>
      </c>
      <c r="C498" s="11" t="s">
        <v>1161</v>
      </c>
      <c r="D498" s="11" t="s">
        <v>1162</v>
      </c>
      <c r="E498" s="11" t="s">
        <v>55</v>
      </c>
      <c r="F498" s="11" t="s">
        <v>36</v>
      </c>
      <c r="G498" s="11" t="s">
        <v>37</v>
      </c>
      <c r="H498" s="11" t="s">
        <v>38</v>
      </c>
      <c r="I498" s="11" t="s">
        <v>59</v>
      </c>
      <c r="J498" s="11" t="s">
        <v>372</v>
      </c>
      <c r="K498" s="25">
        <v>3</v>
      </c>
      <c r="L498" s="25">
        <v>1200</v>
      </c>
      <c r="M498" s="29">
        <v>0.05</v>
      </c>
      <c r="N498" s="25">
        <v>3420</v>
      </c>
      <c r="O498" s="25">
        <v>2190.8000000000002</v>
      </c>
      <c r="P498" s="25">
        <v>1229.2</v>
      </c>
      <c r="Q498" s="21">
        <v>35.94</v>
      </c>
      <c r="R498" s="11" t="s">
        <v>61</v>
      </c>
      <c r="S498" s="11" t="s">
        <v>42</v>
      </c>
      <c r="T498" s="11" t="s">
        <v>118</v>
      </c>
      <c r="U498" s="11" t="s">
        <v>98</v>
      </c>
      <c r="V498" s="11">
        <v>2024</v>
      </c>
      <c r="W498" s="11" t="s">
        <v>194</v>
      </c>
      <c r="X498" s="11">
        <v>10</v>
      </c>
      <c r="Y498" s="10" t="s">
        <v>1163</v>
      </c>
      <c r="Z498" s="11" t="s">
        <v>47</v>
      </c>
      <c r="AA498" s="11" t="s">
        <v>67</v>
      </c>
      <c r="AB498" s="11" t="s">
        <v>49</v>
      </c>
      <c r="AC498" s="11" t="s">
        <v>121</v>
      </c>
      <c r="AD498" s="11">
        <v>2</v>
      </c>
      <c r="AE498" s="11" t="s">
        <v>2225</v>
      </c>
      <c r="AF498" s="11" t="s">
        <v>2222</v>
      </c>
      <c r="AG498" s="25"/>
      <c r="AH498" s="11"/>
      <c r="AI498" s="11"/>
      <c r="AJ498" s="11"/>
      <c r="AK498" s="11"/>
      <c r="AL498" s="11"/>
      <c r="AM498" s="11" t="str">
        <f t="shared" si="39"/>
        <v>Good</v>
      </c>
      <c r="AN498" s="11" t="str" cm="1">
        <f t="array" ref="AN498">_xlfn.IFS(N498&lt;10000,"Low",N498&lt;30000,"Medium",N498&gt;=30000,"High")</f>
        <v>Low</v>
      </c>
      <c r="AO498" s="11" t="str">
        <f t="shared" si="40"/>
        <v>No</v>
      </c>
      <c r="AP498" s="11" t="str">
        <f t="shared" si="41"/>
        <v>Yes</v>
      </c>
      <c r="AQ498" s="11">
        <f t="shared" si="42"/>
        <v>0.35941520467836258</v>
      </c>
      <c r="AR498" s="33"/>
      <c r="AS498" s="33"/>
      <c r="AT498" s="33"/>
      <c r="AU498" s="33"/>
      <c r="AV498" s="33"/>
      <c r="AW498" s="33"/>
      <c r="AX498" s="33" t="str">
        <f t="shared" si="43"/>
        <v>Low</v>
      </c>
    </row>
    <row r="499" spans="1:50">
      <c r="A499" s="9" t="s">
        <v>1456</v>
      </c>
      <c r="B499" s="10" t="s">
        <v>874</v>
      </c>
      <c r="C499" s="11" t="s">
        <v>1132</v>
      </c>
      <c r="D499" s="11" t="s">
        <v>1457</v>
      </c>
      <c r="E499" s="11" t="s">
        <v>103</v>
      </c>
      <c r="F499" s="11" t="s">
        <v>156</v>
      </c>
      <c r="G499" s="11" t="s">
        <v>157</v>
      </c>
      <c r="H499" s="11" t="s">
        <v>58</v>
      </c>
      <c r="I499" s="11" t="s">
        <v>95</v>
      </c>
      <c r="J499" s="11" t="s">
        <v>344</v>
      </c>
      <c r="K499" s="25">
        <v>6</v>
      </c>
      <c r="L499" s="25">
        <v>2500</v>
      </c>
      <c r="M499" s="29">
        <v>0.1</v>
      </c>
      <c r="N499" s="25">
        <v>13500</v>
      </c>
      <c r="O499" s="25">
        <v>8276.32</v>
      </c>
      <c r="P499" s="25">
        <v>5223.68</v>
      </c>
      <c r="Q499" s="21">
        <v>38.69</v>
      </c>
      <c r="R499" s="11" t="s">
        <v>61</v>
      </c>
      <c r="S499" s="11" t="s">
        <v>62</v>
      </c>
      <c r="T499" s="11" t="s">
        <v>138</v>
      </c>
      <c r="U499" s="11" t="s">
        <v>98</v>
      </c>
      <c r="V499" s="11">
        <v>2024</v>
      </c>
      <c r="W499" s="11" t="s">
        <v>194</v>
      </c>
      <c r="X499" s="11">
        <v>6</v>
      </c>
      <c r="Y499" s="10" t="s">
        <v>1131</v>
      </c>
      <c r="Z499" s="11" t="s">
        <v>110</v>
      </c>
      <c r="AA499" s="11" t="s">
        <v>48</v>
      </c>
      <c r="AB499" s="11" t="s">
        <v>111</v>
      </c>
      <c r="AC499" s="11" t="s">
        <v>121</v>
      </c>
      <c r="AD499" s="11">
        <v>4</v>
      </c>
      <c r="AE499" s="11" t="s">
        <v>118</v>
      </c>
      <c r="AF499" s="11" t="s">
        <v>2214</v>
      </c>
      <c r="AG499" s="25"/>
      <c r="AH499" s="11"/>
      <c r="AI499" s="11"/>
      <c r="AJ499" s="11"/>
      <c r="AK499" s="11"/>
      <c r="AL499" s="11"/>
      <c r="AM499" s="11" t="str">
        <f t="shared" si="39"/>
        <v>Good</v>
      </c>
      <c r="AN499" s="11" t="str" cm="1">
        <f t="array" ref="AN499">_xlfn.IFS(N499&lt;10000,"Low",N499&lt;30000,"Medium",N499&gt;=30000,"High")</f>
        <v>Medium</v>
      </c>
      <c r="AO499" s="11" t="str">
        <f t="shared" si="40"/>
        <v>No</v>
      </c>
      <c r="AP499" s="11" t="str">
        <f t="shared" si="41"/>
        <v>No</v>
      </c>
      <c r="AQ499" s="11">
        <f t="shared" si="42"/>
        <v>0.38693925925925926</v>
      </c>
      <c r="AR499" s="33"/>
      <c r="AS499" s="33"/>
      <c r="AT499" s="33"/>
      <c r="AU499" s="33"/>
      <c r="AV499" s="33"/>
      <c r="AW499" s="33"/>
      <c r="AX499" s="33" t="str">
        <f t="shared" si="43"/>
        <v>Average</v>
      </c>
    </row>
    <row r="500" spans="1:50">
      <c r="A500" s="9" t="s">
        <v>1332</v>
      </c>
      <c r="B500" s="10" t="s">
        <v>1333</v>
      </c>
      <c r="C500" s="11" t="s">
        <v>169</v>
      </c>
      <c r="D500" s="11" t="s">
        <v>252</v>
      </c>
      <c r="E500" s="11" t="s">
        <v>55</v>
      </c>
      <c r="F500" s="11" t="s">
        <v>56</v>
      </c>
      <c r="G500" s="11" t="s">
        <v>57</v>
      </c>
      <c r="H500" s="11" t="s">
        <v>94</v>
      </c>
      <c r="I500" s="11" t="s">
        <v>95</v>
      </c>
      <c r="J500" s="11" t="s">
        <v>440</v>
      </c>
      <c r="K500" s="25">
        <v>2</v>
      </c>
      <c r="L500" s="25">
        <v>6000</v>
      </c>
      <c r="M500" s="29">
        <v>0.2</v>
      </c>
      <c r="N500" s="25">
        <v>9600</v>
      </c>
      <c r="O500" s="25">
        <v>6625.11</v>
      </c>
      <c r="P500" s="25">
        <v>2974.89</v>
      </c>
      <c r="Q500" s="21">
        <v>30.99</v>
      </c>
      <c r="R500" s="11" t="s">
        <v>166</v>
      </c>
      <c r="S500" s="11" t="s">
        <v>42</v>
      </c>
      <c r="T500" s="11" t="s">
        <v>138</v>
      </c>
      <c r="U500" s="11" t="s">
        <v>98</v>
      </c>
      <c r="V500" s="11">
        <v>2025</v>
      </c>
      <c r="W500" s="11" t="s">
        <v>45</v>
      </c>
      <c r="X500" s="11">
        <v>10</v>
      </c>
      <c r="Y500" s="10" t="s">
        <v>324</v>
      </c>
      <c r="Z500" s="11" t="s">
        <v>89</v>
      </c>
      <c r="AA500" s="11" t="s">
        <v>48</v>
      </c>
      <c r="AB500" s="11" t="s">
        <v>78</v>
      </c>
      <c r="AC500" s="11" t="s">
        <v>121</v>
      </c>
      <c r="AD500" s="11">
        <v>2</v>
      </c>
      <c r="AE500" s="11" t="s">
        <v>2225</v>
      </c>
      <c r="AF500" s="11" t="s">
        <v>2249</v>
      </c>
      <c r="AG500" s="25"/>
      <c r="AH500" s="11"/>
      <c r="AI500" s="11"/>
      <c r="AJ500" s="11"/>
      <c r="AK500" s="11"/>
      <c r="AL500" s="11"/>
      <c r="AM500" s="11" t="str">
        <f t="shared" si="39"/>
        <v>Good</v>
      </c>
      <c r="AN500" s="11" t="str" cm="1">
        <f t="array" ref="AN500">_xlfn.IFS(N500&lt;10000,"Low",N500&lt;30000,"Medium",N500&gt;=30000,"High")</f>
        <v>Low</v>
      </c>
      <c r="AO500" s="11" t="str">
        <f t="shared" si="40"/>
        <v>No</v>
      </c>
      <c r="AP500" s="11" t="str">
        <f t="shared" si="41"/>
        <v>Yes</v>
      </c>
      <c r="AQ500" s="11">
        <f t="shared" si="42"/>
        <v>0.30988437499999999</v>
      </c>
      <c r="AR500" s="33"/>
      <c r="AS500" s="33"/>
      <c r="AT500" s="33"/>
      <c r="AU500" s="33"/>
      <c r="AV500" s="33"/>
      <c r="AW500" s="33"/>
      <c r="AX500" s="33" t="str">
        <f t="shared" si="43"/>
        <v>Low</v>
      </c>
    </row>
    <row r="501" spans="1:50">
      <c r="A501" s="9" t="s">
        <v>482</v>
      </c>
      <c r="B501" s="10" t="s">
        <v>483</v>
      </c>
      <c r="C501" s="11" t="s">
        <v>484</v>
      </c>
      <c r="D501" s="11" t="s">
        <v>485</v>
      </c>
      <c r="E501" s="11" t="s">
        <v>103</v>
      </c>
      <c r="F501" s="11" t="s">
        <v>144</v>
      </c>
      <c r="G501" s="11" t="s">
        <v>145</v>
      </c>
      <c r="H501" s="11" t="s">
        <v>171</v>
      </c>
      <c r="I501" s="11" t="s">
        <v>84</v>
      </c>
      <c r="J501" s="11" t="s">
        <v>290</v>
      </c>
      <c r="K501" s="25">
        <v>4</v>
      </c>
      <c r="L501" s="25">
        <v>100</v>
      </c>
      <c r="M501" s="29">
        <v>0.05</v>
      </c>
      <c r="N501" s="25">
        <v>380</v>
      </c>
      <c r="O501" s="25">
        <v>301.2</v>
      </c>
      <c r="P501" s="25">
        <v>78.8</v>
      </c>
      <c r="Q501" s="21">
        <v>20.74</v>
      </c>
      <c r="R501" s="11" t="s">
        <v>61</v>
      </c>
      <c r="S501" s="11" t="s">
        <v>42</v>
      </c>
      <c r="T501" s="11" t="s">
        <v>173</v>
      </c>
      <c r="U501" s="11" t="s">
        <v>178</v>
      </c>
      <c r="V501" s="11">
        <v>2024</v>
      </c>
      <c r="W501" s="11" t="s">
        <v>65</v>
      </c>
      <c r="X501" s="11">
        <v>8</v>
      </c>
      <c r="Y501" s="10" t="s">
        <v>486</v>
      </c>
      <c r="Z501" s="11" t="s">
        <v>47</v>
      </c>
      <c r="AA501" s="11" t="s">
        <v>48</v>
      </c>
      <c r="AB501" s="11" t="s">
        <v>111</v>
      </c>
      <c r="AC501" s="11" t="s">
        <v>50</v>
      </c>
      <c r="AD501" s="11">
        <v>3</v>
      </c>
      <c r="AE501" s="11" t="s">
        <v>2237</v>
      </c>
      <c r="AF501" s="11" t="s">
        <v>2238</v>
      </c>
      <c r="AG501" s="25"/>
      <c r="AH501" s="11"/>
      <c r="AI501" s="11"/>
      <c r="AJ501" s="11"/>
      <c r="AK501" s="11"/>
      <c r="AL501" s="11"/>
      <c r="AM501" s="11" t="str">
        <f t="shared" si="39"/>
        <v>Needs Improvement</v>
      </c>
      <c r="AN501" s="11" t="str" cm="1">
        <f t="array" ref="AN501">_xlfn.IFS(N501&lt;10000,"Low",N501&lt;30000,"Medium",N501&gt;=30000,"High")</f>
        <v>Low</v>
      </c>
      <c r="AO501" s="11" t="str">
        <f t="shared" si="40"/>
        <v>No</v>
      </c>
      <c r="AP501" s="11" t="str">
        <f t="shared" si="41"/>
        <v>Yes</v>
      </c>
      <c r="AQ501" s="11">
        <f t="shared" si="42"/>
        <v>0.20736842105263156</v>
      </c>
      <c r="AR501" s="33"/>
      <c r="AS501" s="33"/>
      <c r="AT501" s="33"/>
      <c r="AU501" s="33"/>
      <c r="AV501" s="33"/>
      <c r="AW501" s="33"/>
      <c r="AX501" s="33" t="str">
        <f t="shared" si="43"/>
        <v>Low</v>
      </c>
    </row>
    <row r="502" spans="1:50">
      <c r="A502" s="9" t="s">
        <v>490</v>
      </c>
      <c r="B502" s="10" t="s">
        <v>483</v>
      </c>
      <c r="C502" s="11" t="s">
        <v>491</v>
      </c>
      <c r="D502" s="11" t="s">
        <v>393</v>
      </c>
      <c r="E502" s="11" t="s">
        <v>103</v>
      </c>
      <c r="F502" s="11" t="s">
        <v>156</v>
      </c>
      <c r="G502" s="11" t="s">
        <v>157</v>
      </c>
      <c r="H502" s="11" t="s">
        <v>171</v>
      </c>
      <c r="I502" s="11" t="s">
        <v>71</v>
      </c>
      <c r="J502" s="11" t="s">
        <v>172</v>
      </c>
      <c r="K502" s="25">
        <v>7</v>
      </c>
      <c r="L502" s="25">
        <v>2500</v>
      </c>
      <c r="M502" s="29">
        <v>0.2</v>
      </c>
      <c r="N502" s="25">
        <v>14000</v>
      </c>
      <c r="O502" s="25">
        <v>10128.040000000001</v>
      </c>
      <c r="P502" s="25">
        <v>3871.96</v>
      </c>
      <c r="Q502" s="21">
        <v>27.66</v>
      </c>
      <c r="R502" s="11" t="s">
        <v>73</v>
      </c>
      <c r="S502" s="11" t="s">
        <v>42</v>
      </c>
      <c r="T502" s="11" t="s">
        <v>63</v>
      </c>
      <c r="U502" s="11" t="s">
        <v>178</v>
      </c>
      <c r="V502" s="11">
        <v>2024</v>
      </c>
      <c r="W502" s="11" t="s">
        <v>65</v>
      </c>
      <c r="X502" s="11">
        <v>3</v>
      </c>
      <c r="Y502" s="10" t="s">
        <v>460</v>
      </c>
      <c r="Z502" s="11" t="s">
        <v>47</v>
      </c>
      <c r="AA502" s="11" t="s">
        <v>90</v>
      </c>
      <c r="AB502" s="11" t="s">
        <v>49</v>
      </c>
      <c r="AC502" s="11" t="s">
        <v>50</v>
      </c>
      <c r="AD502" s="11">
        <v>5</v>
      </c>
      <c r="AE502" s="11" t="s">
        <v>2239</v>
      </c>
      <c r="AF502" s="11" t="s">
        <v>2235</v>
      </c>
      <c r="AG502" s="25"/>
      <c r="AH502" s="11"/>
      <c r="AI502" s="11"/>
      <c r="AJ502" s="11"/>
      <c r="AK502" s="11"/>
      <c r="AL502" s="11"/>
      <c r="AM502" s="11" t="str">
        <f t="shared" si="39"/>
        <v>Needs Improvement</v>
      </c>
      <c r="AN502" s="11" t="str" cm="1">
        <f t="array" ref="AN502">_xlfn.IFS(N502&lt;10000,"Low",N502&lt;30000,"Medium",N502&gt;=30000,"High")</f>
        <v>Medium</v>
      </c>
      <c r="AO502" s="11" t="str">
        <f t="shared" si="40"/>
        <v>No</v>
      </c>
      <c r="AP502" s="11" t="str">
        <f t="shared" si="41"/>
        <v>Yes</v>
      </c>
      <c r="AQ502" s="11">
        <f t="shared" si="42"/>
        <v>0.27656857142857144</v>
      </c>
      <c r="AR502" s="33"/>
      <c r="AS502" s="33"/>
      <c r="AT502" s="33"/>
      <c r="AU502" s="33"/>
      <c r="AV502" s="33"/>
      <c r="AW502" s="33"/>
      <c r="AX502" s="33" t="str">
        <f t="shared" si="43"/>
        <v>Low</v>
      </c>
    </row>
    <row r="503" spans="1:50">
      <c r="A503" s="9" t="s">
        <v>877</v>
      </c>
      <c r="B503" s="10" t="s">
        <v>483</v>
      </c>
      <c r="C503" s="11" t="s">
        <v>425</v>
      </c>
      <c r="D503" s="11" t="s">
        <v>164</v>
      </c>
      <c r="E503" s="11" t="s">
        <v>35</v>
      </c>
      <c r="F503" s="11" t="s">
        <v>245</v>
      </c>
      <c r="G503" s="11" t="s">
        <v>246</v>
      </c>
      <c r="H503" s="11" t="s">
        <v>171</v>
      </c>
      <c r="I503" s="11" t="s">
        <v>39</v>
      </c>
      <c r="J503" s="11" t="s">
        <v>253</v>
      </c>
      <c r="K503" s="25">
        <v>6</v>
      </c>
      <c r="L503" s="25">
        <v>8000</v>
      </c>
      <c r="M503" s="29">
        <v>0</v>
      </c>
      <c r="N503" s="25">
        <v>48000</v>
      </c>
      <c r="O503" s="25">
        <v>36693.019999999997</v>
      </c>
      <c r="P503" s="25">
        <v>11306.98</v>
      </c>
      <c r="Q503" s="21">
        <v>23.56</v>
      </c>
      <c r="R503" s="11" t="s">
        <v>166</v>
      </c>
      <c r="S503" s="11" t="s">
        <v>62</v>
      </c>
      <c r="T503" s="11" t="s">
        <v>138</v>
      </c>
      <c r="U503" s="11" t="s">
        <v>178</v>
      </c>
      <c r="V503" s="11">
        <v>2024</v>
      </c>
      <c r="W503" s="11" t="s">
        <v>65</v>
      </c>
      <c r="X503" s="11">
        <v>1</v>
      </c>
      <c r="Y503" s="10" t="s">
        <v>719</v>
      </c>
      <c r="Z503" s="11" t="s">
        <v>47</v>
      </c>
      <c r="AA503" s="11" t="s">
        <v>48</v>
      </c>
      <c r="AB503" s="11" t="s">
        <v>78</v>
      </c>
      <c r="AC503" s="11" t="s">
        <v>50</v>
      </c>
      <c r="AD503" s="11">
        <v>3</v>
      </c>
      <c r="AE503" s="11" t="s">
        <v>2237</v>
      </c>
      <c r="AF503" s="11" t="s">
        <v>2249</v>
      </c>
      <c r="AG503" s="25"/>
      <c r="AH503" s="11"/>
      <c r="AI503" s="11"/>
      <c r="AJ503" s="11"/>
      <c r="AK503" s="11"/>
      <c r="AL503" s="11"/>
      <c r="AM503" s="11" t="str">
        <f t="shared" si="39"/>
        <v>Needs Improvement</v>
      </c>
      <c r="AN503" s="11" t="str" cm="1">
        <f t="array" ref="AN503">_xlfn.IFS(N503&lt;10000,"Low",N503&lt;30000,"Medium",N503&gt;=30000,"High")</f>
        <v>High</v>
      </c>
      <c r="AO503" s="11" t="str">
        <f t="shared" si="40"/>
        <v>Yes</v>
      </c>
      <c r="AP503" s="11" t="str">
        <f t="shared" si="41"/>
        <v>No</v>
      </c>
      <c r="AQ503" s="11">
        <f t="shared" si="42"/>
        <v>0.23556208333333331</v>
      </c>
      <c r="AR503" s="33"/>
      <c r="AS503" s="33"/>
      <c r="AT503" s="33"/>
      <c r="AU503" s="33"/>
      <c r="AV503" s="33"/>
      <c r="AW503" s="33"/>
      <c r="AX503" s="33" t="str">
        <f t="shared" si="43"/>
        <v>Good</v>
      </c>
    </row>
    <row r="504" spans="1:50">
      <c r="A504" s="9" t="s">
        <v>978</v>
      </c>
      <c r="B504" s="10" t="s">
        <v>979</v>
      </c>
      <c r="C504" s="11" t="s">
        <v>980</v>
      </c>
      <c r="D504" s="11" t="s">
        <v>981</v>
      </c>
      <c r="E504" s="11" t="s">
        <v>35</v>
      </c>
      <c r="F504" s="11" t="s">
        <v>131</v>
      </c>
      <c r="G504" s="11" t="s">
        <v>132</v>
      </c>
      <c r="H504" s="11" t="s">
        <v>94</v>
      </c>
      <c r="I504" s="11" t="s">
        <v>39</v>
      </c>
      <c r="J504" s="11" t="s">
        <v>253</v>
      </c>
      <c r="K504" s="25">
        <v>8</v>
      </c>
      <c r="L504" s="25">
        <v>15000</v>
      </c>
      <c r="M504" s="29">
        <v>0</v>
      </c>
      <c r="N504" s="25">
        <v>120000</v>
      </c>
      <c r="O504" s="25">
        <v>73491.38</v>
      </c>
      <c r="P504" s="25">
        <v>46508.62</v>
      </c>
      <c r="Q504" s="21">
        <v>38.76</v>
      </c>
      <c r="R504" s="11" t="s">
        <v>41</v>
      </c>
      <c r="S504" s="11" t="s">
        <v>62</v>
      </c>
      <c r="T504" s="11" t="s">
        <v>75</v>
      </c>
      <c r="U504" s="11" t="s">
        <v>178</v>
      </c>
      <c r="V504" s="11">
        <v>2025</v>
      </c>
      <c r="W504" s="11" t="s">
        <v>45</v>
      </c>
      <c r="X504" s="11">
        <v>5</v>
      </c>
      <c r="Y504" s="10" t="s">
        <v>982</v>
      </c>
      <c r="Z504" s="11" t="s">
        <v>89</v>
      </c>
      <c r="AA504" s="11" t="s">
        <v>90</v>
      </c>
      <c r="AB504" s="11" t="s">
        <v>49</v>
      </c>
      <c r="AC504" s="11" t="s">
        <v>50</v>
      </c>
      <c r="AD504" s="11">
        <v>4</v>
      </c>
      <c r="AE504" s="11" t="s">
        <v>2240</v>
      </c>
      <c r="AF504" s="11" t="s">
        <v>2236</v>
      </c>
      <c r="AG504" s="25"/>
      <c r="AH504" s="11"/>
      <c r="AI504" s="11"/>
      <c r="AJ504" s="11"/>
      <c r="AK504" s="11"/>
      <c r="AL504" s="11"/>
      <c r="AM504" s="11" t="str">
        <f t="shared" si="39"/>
        <v>Good</v>
      </c>
      <c r="AN504" s="11" t="str" cm="1">
        <f t="array" ref="AN504">_xlfn.IFS(N504&lt;10000,"Low",N504&lt;30000,"Medium",N504&gt;=30000,"High")</f>
        <v>High</v>
      </c>
      <c r="AO504" s="11" t="str">
        <f t="shared" si="40"/>
        <v>Yes</v>
      </c>
      <c r="AP504" s="11" t="str">
        <f t="shared" si="41"/>
        <v>No</v>
      </c>
      <c r="AQ504" s="11">
        <f t="shared" si="42"/>
        <v>0.38757183333333334</v>
      </c>
      <c r="AR504" s="33"/>
      <c r="AS504" s="33"/>
      <c r="AT504" s="33"/>
      <c r="AU504" s="33"/>
      <c r="AV504" s="33"/>
      <c r="AW504" s="33"/>
      <c r="AX504" s="33" t="str">
        <f t="shared" si="43"/>
        <v>Excellent</v>
      </c>
    </row>
    <row r="505" spans="1:50">
      <c r="A505" s="9" t="s">
        <v>1050</v>
      </c>
      <c r="B505" s="10" t="s">
        <v>979</v>
      </c>
      <c r="C505" s="11" t="s">
        <v>1051</v>
      </c>
      <c r="D505" s="11" t="s">
        <v>422</v>
      </c>
      <c r="E505" s="11" t="s">
        <v>103</v>
      </c>
      <c r="F505" s="11" t="s">
        <v>131</v>
      </c>
      <c r="G505" s="11" t="s">
        <v>132</v>
      </c>
      <c r="H505" s="11" t="s">
        <v>58</v>
      </c>
      <c r="I505" s="11" t="s">
        <v>95</v>
      </c>
      <c r="J505" s="11" t="s">
        <v>319</v>
      </c>
      <c r="K505" s="25">
        <v>5</v>
      </c>
      <c r="L505" s="25">
        <v>15000</v>
      </c>
      <c r="M505" s="29">
        <v>0.05</v>
      </c>
      <c r="N505" s="25">
        <v>71250</v>
      </c>
      <c r="O505" s="25">
        <v>56830.44</v>
      </c>
      <c r="P505" s="25">
        <v>14419.56</v>
      </c>
      <c r="Q505" s="21">
        <v>20.239999999999998</v>
      </c>
      <c r="R505" s="11" t="s">
        <v>73</v>
      </c>
      <c r="S505" s="11" t="s">
        <v>62</v>
      </c>
      <c r="T505" s="11" t="s">
        <v>118</v>
      </c>
      <c r="U505" s="11" t="s">
        <v>178</v>
      </c>
      <c r="V505" s="11">
        <v>2025</v>
      </c>
      <c r="W505" s="11" t="s">
        <v>45</v>
      </c>
      <c r="X505" s="11">
        <v>3</v>
      </c>
      <c r="Y505" s="10" t="s">
        <v>1052</v>
      </c>
      <c r="Z505" s="11" t="s">
        <v>89</v>
      </c>
      <c r="AA505" s="11" t="s">
        <v>48</v>
      </c>
      <c r="AB505" s="11" t="s">
        <v>49</v>
      </c>
      <c r="AC505" s="11" t="s">
        <v>50</v>
      </c>
      <c r="AD505" s="11">
        <v>4</v>
      </c>
      <c r="AE505" s="11" t="s">
        <v>2237</v>
      </c>
      <c r="AF505" s="11" t="s">
        <v>2210</v>
      </c>
      <c r="AG505" s="25"/>
      <c r="AH505" s="11"/>
      <c r="AI505" s="11"/>
      <c r="AJ505" s="11"/>
      <c r="AK505" s="11"/>
      <c r="AL505" s="11"/>
      <c r="AM505" s="11" t="str">
        <f t="shared" si="39"/>
        <v>Needs Improvement</v>
      </c>
      <c r="AN505" s="11" t="str" cm="1">
        <f t="array" ref="AN505">_xlfn.IFS(N505&lt;10000,"Low",N505&lt;30000,"Medium",N505&gt;=30000,"High")</f>
        <v>High</v>
      </c>
      <c r="AO505" s="11" t="str">
        <f t="shared" si="40"/>
        <v>Yes</v>
      </c>
      <c r="AP505" s="11" t="str">
        <f t="shared" si="41"/>
        <v>No</v>
      </c>
      <c r="AQ505" s="11">
        <f t="shared" si="42"/>
        <v>0.20237978947368421</v>
      </c>
      <c r="AR505" s="33"/>
      <c r="AS505" s="33"/>
      <c r="AT505" s="33"/>
      <c r="AU505" s="33"/>
      <c r="AV505" s="33"/>
      <c r="AW505" s="33"/>
      <c r="AX505" s="33" t="str">
        <f t="shared" si="43"/>
        <v>Good</v>
      </c>
    </row>
    <row r="506" spans="1:50">
      <c r="A506" s="9" t="s">
        <v>1552</v>
      </c>
      <c r="B506" s="10" t="s">
        <v>979</v>
      </c>
      <c r="C506" s="11" t="s">
        <v>989</v>
      </c>
      <c r="D506" s="11" t="s">
        <v>594</v>
      </c>
      <c r="E506" s="11" t="s">
        <v>55</v>
      </c>
      <c r="F506" s="11" t="s">
        <v>144</v>
      </c>
      <c r="G506" s="11" t="s">
        <v>145</v>
      </c>
      <c r="H506" s="11" t="s">
        <v>38</v>
      </c>
      <c r="I506" s="11" t="s">
        <v>39</v>
      </c>
      <c r="J506" s="11" t="s">
        <v>165</v>
      </c>
      <c r="K506" s="25">
        <v>7</v>
      </c>
      <c r="L506" s="25">
        <v>8000</v>
      </c>
      <c r="M506" s="29">
        <v>0.1</v>
      </c>
      <c r="N506" s="25">
        <v>50400</v>
      </c>
      <c r="O506" s="25">
        <v>28455.89</v>
      </c>
      <c r="P506" s="25">
        <v>21944.11</v>
      </c>
      <c r="Q506" s="21">
        <v>43.54</v>
      </c>
      <c r="R506" s="11" t="s">
        <v>106</v>
      </c>
      <c r="S506" s="11" t="s">
        <v>74</v>
      </c>
      <c r="T506" s="11" t="s">
        <v>173</v>
      </c>
      <c r="U506" s="11" t="s">
        <v>178</v>
      </c>
      <c r="V506" s="11">
        <v>2025</v>
      </c>
      <c r="W506" s="11" t="s">
        <v>45</v>
      </c>
      <c r="X506" s="11">
        <v>8</v>
      </c>
      <c r="Y506" s="10" t="s">
        <v>305</v>
      </c>
      <c r="Z506" s="11" t="s">
        <v>47</v>
      </c>
      <c r="AA506" s="11" t="s">
        <v>67</v>
      </c>
      <c r="AB506" s="11" t="s">
        <v>78</v>
      </c>
      <c r="AC506" s="11" t="s">
        <v>121</v>
      </c>
      <c r="AD506" s="11">
        <v>3</v>
      </c>
      <c r="AE506" s="11" t="s">
        <v>2221</v>
      </c>
      <c r="AF506" s="11" t="s">
        <v>2228</v>
      </c>
      <c r="AG506" s="25"/>
      <c r="AH506" s="11"/>
      <c r="AI506" s="11"/>
      <c r="AJ506" s="11"/>
      <c r="AK506" s="11"/>
      <c r="AL506" s="11"/>
      <c r="AM506" s="11" t="str">
        <f t="shared" si="39"/>
        <v>Good</v>
      </c>
      <c r="AN506" s="11" t="str" cm="1">
        <f t="array" ref="AN506">_xlfn.IFS(N506&lt;10000,"Low",N506&lt;30000,"Medium",N506&gt;=30000,"High")</f>
        <v>High</v>
      </c>
      <c r="AO506" s="11" t="str">
        <f t="shared" si="40"/>
        <v>Yes</v>
      </c>
      <c r="AP506" s="11" t="str">
        <f t="shared" si="41"/>
        <v>Yes</v>
      </c>
      <c r="AQ506" s="11">
        <f t="shared" si="42"/>
        <v>0.43539900793650793</v>
      </c>
      <c r="AR506" s="33"/>
      <c r="AS506" s="33"/>
      <c r="AT506" s="33"/>
      <c r="AU506" s="33"/>
      <c r="AV506" s="33"/>
      <c r="AW506" s="33"/>
      <c r="AX506" s="33" t="str">
        <f t="shared" si="43"/>
        <v>Excellent</v>
      </c>
    </row>
    <row r="507" spans="1:50">
      <c r="A507" s="9" t="s">
        <v>1636</v>
      </c>
      <c r="B507" s="10" t="s">
        <v>979</v>
      </c>
      <c r="C507" s="11" t="s">
        <v>176</v>
      </c>
      <c r="D507" s="11" t="s">
        <v>1637</v>
      </c>
      <c r="E507" s="11" t="s">
        <v>103</v>
      </c>
      <c r="F507" s="11" t="s">
        <v>131</v>
      </c>
      <c r="G507" s="11" t="s">
        <v>132</v>
      </c>
      <c r="H507" s="11" t="s">
        <v>171</v>
      </c>
      <c r="I507" s="11" t="s">
        <v>71</v>
      </c>
      <c r="J507" s="11" t="s">
        <v>72</v>
      </c>
      <c r="K507" s="25">
        <v>7</v>
      </c>
      <c r="L507" s="25">
        <v>2500</v>
      </c>
      <c r="M507" s="29">
        <v>0.05</v>
      </c>
      <c r="N507" s="25">
        <v>16625</v>
      </c>
      <c r="O507" s="25">
        <v>9762.17</v>
      </c>
      <c r="P507" s="25">
        <v>6862.83</v>
      </c>
      <c r="Q507" s="21">
        <v>41.28</v>
      </c>
      <c r="R507" s="11" t="s">
        <v>61</v>
      </c>
      <c r="S507" s="11" t="s">
        <v>74</v>
      </c>
      <c r="T507" s="11" t="s">
        <v>97</v>
      </c>
      <c r="U507" s="11" t="s">
        <v>178</v>
      </c>
      <c r="V507" s="11">
        <v>2025</v>
      </c>
      <c r="W507" s="11" t="s">
        <v>45</v>
      </c>
      <c r="X507" s="11">
        <v>7</v>
      </c>
      <c r="Y507" s="10" t="s">
        <v>759</v>
      </c>
      <c r="Z507" s="11" t="s">
        <v>89</v>
      </c>
      <c r="AA507" s="11" t="s">
        <v>67</v>
      </c>
      <c r="AB507" s="11" t="s">
        <v>49</v>
      </c>
      <c r="AC507" s="11" t="s">
        <v>121</v>
      </c>
      <c r="AD507" s="11">
        <v>2</v>
      </c>
      <c r="AE507" s="11" t="s">
        <v>2209</v>
      </c>
      <c r="AF507" s="11" t="s">
        <v>2230</v>
      </c>
      <c r="AG507" s="25"/>
      <c r="AH507" s="11"/>
      <c r="AI507" s="11"/>
      <c r="AJ507" s="11"/>
      <c r="AK507" s="11"/>
      <c r="AL507" s="11"/>
      <c r="AM507" s="11" t="str">
        <f t="shared" si="39"/>
        <v>Good</v>
      </c>
      <c r="AN507" s="11" t="str" cm="1">
        <f t="array" ref="AN507">_xlfn.IFS(N507&lt;10000,"Low",N507&lt;30000,"Medium",N507&gt;=30000,"High")</f>
        <v>Medium</v>
      </c>
      <c r="AO507" s="11" t="str">
        <f t="shared" si="40"/>
        <v>No</v>
      </c>
      <c r="AP507" s="11" t="str">
        <f t="shared" si="41"/>
        <v>Yes</v>
      </c>
      <c r="AQ507" s="11">
        <f t="shared" si="42"/>
        <v>0.41280180451127818</v>
      </c>
      <c r="AR507" s="33"/>
      <c r="AS507" s="33"/>
      <c r="AT507" s="33"/>
      <c r="AU507" s="33"/>
      <c r="AV507" s="33"/>
      <c r="AW507" s="33"/>
      <c r="AX507" s="33" t="str">
        <f t="shared" si="43"/>
        <v>Average</v>
      </c>
    </row>
    <row r="508" spans="1:50">
      <c r="A508" s="9" t="s">
        <v>1718</v>
      </c>
      <c r="B508" s="10" t="s">
        <v>656</v>
      </c>
      <c r="C508" s="11" t="s">
        <v>1028</v>
      </c>
      <c r="D508" s="11" t="s">
        <v>268</v>
      </c>
      <c r="E508" s="11" t="s">
        <v>35</v>
      </c>
      <c r="F508" s="11" t="s">
        <v>116</v>
      </c>
      <c r="G508" s="11" t="s">
        <v>37</v>
      </c>
      <c r="H508" s="11" t="s">
        <v>38</v>
      </c>
      <c r="I508" s="11" t="s">
        <v>95</v>
      </c>
      <c r="J508" s="11" t="s">
        <v>184</v>
      </c>
      <c r="K508" s="25">
        <v>8</v>
      </c>
      <c r="L508" s="25">
        <v>9000</v>
      </c>
      <c r="M508" s="29">
        <v>0.05</v>
      </c>
      <c r="N508" s="25">
        <v>68400</v>
      </c>
      <c r="O508" s="25">
        <v>41321.11</v>
      </c>
      <c r="P508" s="25">
        <v>27078.89</v>
      </c>
      <c r="Q508" s="21">
        <v>39.590000000000003</v>
      </c>
      <c r="R508" s="11" t="s">
        <v>73</v>
      </c>
      <c r="S508" s="11" t="s">
        <v>74</v>
      </c>
      <c r="T508" s="11" t="s">
        <v>75</v>
      </c>
      <c r="U508" s="11" t="s">
        <v>44</v>
      </c>
      <c r="V508" s="11">
        <v>2025</v>
      </c>
      <c r="W508" s="11" t="s">
        <v>134</v>
      </c>
      <c r="X508" s="11">
        <v>1</v>
      </c>
      <c r="Y508" s="10" t="s">
        <v>416</v>
      </c>
      <c r="Z508" s="11" t="s">
        <v>47</v>
      </c>
      <c r="AA508" s="11" t="s">
        <v>90</v>
      </c>
      <c r="AB508" s="11" t="s">
        <v>111</v>
      </c>
      <c r="AC508" s="11" t="s">
        <v>121</v>
      </c>
      <c r="AD508" s="11">
        <v>2</v>
      </c>
      <c r="AE508" s="11" t="s">
        <v>2218</v>
      </c>
      <c r="AF508" s="11" t="s">
        <v>2228</v>
      </c>
      <c r="AG508" s="25"/>
      <c r="AH508" s="11"/>
      <c r="AI508" s="11"/>
      <c r="AJ508" s="11"/>
      <c r="AK508" s="11"/>
      <c r="AL508" s="11"/>
      <c r="AM508" s="11" t="str">
        <f t="shared" si="39"/>
        <v>Good</v>
      </c>
      <c r="AN508" s="11" t="str" cm="1">
        <f t="array" ref="AN508">_xlfn.IFS(N508&lt;10000,"Low",N508&lt;30000,"Medium",N508&gt;=30000,"High")</f>
        <v>High</v>
      </c>
      <c r="AO508" s="11" t="str">
        <f t="shared" si="40"/>
        <v>Yes</v>
      </c>
      <c r="AP508" s="11" t="str">
        <f t="shared" si="41"/>
        <v>Yes</v>
      </c>
      <c r="AQ508" s="11">
        <f t="shared" si="42"/>
        <v>0.39589020467836256</v>
      </c>
      <c r="AR508" s="33"/>
      <c r="AS508" s="33"/>
      <c r="AT508" s="33"/>
      <c r="AU508" s="33"/>
      <c r="AV508" s="33"/>
      <c r="AW508" s="33"/>
      <c r="AX508" s="33" t="str">
        <f t="shared" si="43"/>
        <v>Excellent</v>
      </c>
    </row>
    <row r="509" spans="1:50">
      <c r="A509" s="9" t="s">
        <v>461</v>
      </c>
      <c r="B509" s="10" t="s">
        <v>462</v>
      </c>
      <c r="C509" s="11" t="s">
        <v>463</v>
      </c>
      <c r="D509" s="11" t="s">
        <v>464</v>
      </c>
      <c r="E509" s="11" t="s">
        <v>103</v>
      </c>
      <c r="F509" s="11" t="s">
        <v>36</v>
      </c>
      <c r="G509" s="11" t="s">
        <v>37</v>
      </c>
      <c r="H509" s="11" t="s">
        <v>94</v>
      </c>
      <c r="I509" s="11" t="s">
        <v>84</v>
      </c>
      <c r="J509" s="11" t="s">
        <v>85</v>
      </c>
      <c r="K509" s="25">
        <v>2</v>
      </c>
      <c r="L509" s="25">
        <v>800</v>
      </c>
      <c r="M509" s="29">
        <v>0.1</v>
      </c>
      <c r="N509" s="25">
        <v>1440</v>
      </c>
      <c r="O509" s="25">
        <v>1004.29</v>
      </c>
      <c r="P509" s="25">
        <v>435.71</v>
      </c>
      <c r="Q509" s="21">
        <v>30.26</v>
      </c>
      <c r="R509" s="11" t="s">
        <v>166</v>
      </c>
      <c r="S509" s="11" t="s">
        <v>42</v>
      </c>
      <c r="T509" s="11" t="s">
        <v>118</v>
      </c>
      <c r="U509" s="11" t="s">
        <v>119</v>
      </c>
      <c r="V509" s="11">
        <v>2024</v>
      </c>
      <c r="W509" s="11" t="s">
        <v>139</v>
      </c>
      <c r="X509" s="11">
        <v>1</v>
      </c>
      <c r="Y509" s="10" t="s">
        <v>465</v>
      </c>
      <c r="Z509" s="11" t="s">
        <v>47</v>
      </c>
      <c r="AA509" s="11" t="s">
        <v>90</v>
      </c>
      <c r="AB509" s="11" t="s">
        <v>49</v>
      </c>
      <c r="AC509" s="11" t="s">
        <v>50</v>
      </c>
      <c r="AD509" s="11">
        <v>1</v>
      </c>
      <c r="AE509" s="11" t="s">
        <v>2248</v>
      </c>
      <c r="AF509" s="11" t="s">
        <v>2217</v>
      </c>
      <c r="AG509" s="25"/>
      <c r="AH509" s="11"/>
      <c r="AI509" s="11"/>
      <c r="AJ509" s="11"/>
      <c r="AK509" s="11"/>
      <c r="AL509" s="11"/>
      <c r="AM509" s="11" t="str">
        <f t="shared" si="39"/>
        <v>Good</v>
      </c>
      <c r="AN509" s="11" t="str" cm="1">
        <f t="array" ref="AN509">_xlfn.IFS(N509&lt;10000,"Low",N509&lt;30000,"Medium",N509&gt;=30000,"High")</f>
        <v>Low</v>
      </c>
      <c r="AO509" s="11" t="str">
        <f t="shared" si="40"/>
        <v>No</v>
      </c>
      <c r="AP509" s="11" t="str">
        <f t="shared" si="41"/>
        <v>Yes</v>
      </c>
      <c r="AQ509" s="11">
        <f t="shared" si="42"/>
        <v>0.30257638888888888</v>
      </c>
      <c r="AR509" s="33"/>
      <c r="AS509" s="33"/>
      <c r="AT509" s="33"/>
      <c r="AU509" s="33"/>
      <c r="AV509" s="33"/>
      <c r="AW509" s="33"/>
      <c r="AX509" s="33" t="str">
        <f t="shared" si="43"/>
        <v>Low</v>
      </c>
    </row>
    <row r="510" spans="1:50">
      <c r="A510" s="9" t="s">
        <v>1273</v>
      </c>
      <c r="B510" s="10" t="s">
        <v>462</v>
      </c>
      <c r="C510" s="11" t="s">
        <v>1067</v>
      </c>
      <c r="D510" s="11" t="s">
        <v>293</v>
      </c>
      <c r="E510" s="11" t="s">
        <v>103</v>
      </c>
      <c r="F510" s="11" t="s">
        <v>82</v>
      </c>
      <c r="G510" s="11" t="s">
        <v>83</v>
      </c>
      <c r="H510" s="11" t="s">
        <v>171</v>
      </c>
      <c r="I510" s="11" t="s">
        <v>59</v>
      </c>
      <c r="J510" s="11" t="s">
        <v>133</v>
      </c>
      <c r="K510" s="25">
        <v>2</v>
      </c>
      <c r="L510" s="25">
        <v>500</v>
      </c>
      <c r="M510" s="29">
        <v>0.15</v>
      </c>
      <c r="N510" s="25">
        <v>850</v>
      </c>
      <c r="O510" s="25">
        <v>625.13</v>
      </c>
      <c r="P510" s="25">
        <v>224.87</v>
      </c>
      <c r="Q510" s="21">
        <v>26.46</v>
      </c>
      <c r="R510" s="11" t="s">
        <v>106</v>
      </c>
      <c r="S510" s="11" t="s">
        <v>74</v>
      </c>
      <c r="T510" s="11" t="s">
        <v>107</v>
      </c>
      <c r="U510" s="11" t="s">
        <v>119</v>
      </c>
      <c r="V510" s="11">
        <v>2024</v>
      </c>
      <c r="W510" s="11" t="s">
        <v>139</v>
      </c>
      <c r="X510" s="11">
        <v>6</v>
      </c>
      <c r="Y510" s="10" t="s">
        <v>1110</v>
      </c>
      <c r="Z510" s="11" t="s">
        <v>110</v>
      </c>
      <c r="AA510" s="11" t="s">
        <v>90</v>
      </c>
      <c r="AB510" s="11" t="s">
        <v>49</v>
      </c>
      <c r="AC510" s="11" t="s">
        <v>50</v>
      </c>
      <c r="AD510" s="11">
        <v>2</v>
      </c>
      <c r="AE510" s="11" t="s">
        <v>2221</v>
      </c>
      <c r="AF510" s="11" t="s">
        <v>2214</v>
      </c>
      <c r="AG510" s="25"/>
      <c r="AH510" s="11"/>
      <c r="AI510" s="11"/>
      <c r="AJ510" s="11"/>
      <c r="AK510" s="11"/>
      <c r="AL510" s="11"/>
      <c r="AM510" s="11" t="str">
        <f t="shared" si="39"/>
        <v>Needs Improvement</v>
      </c>
      <c r="AN510" s="11" t="str" cm="1">
        <f t="array" ref="AN510">_xlfn.IFS(N510&lt;10000,"Low",N510&lt;30000,"Medium",N510&gt;=30000,"High")</f>
        <v>Low</v>
      </c>
      <c r="AO510" s="11" t="str">
        <f t="shared" si="40"/>
        <v>No</v>
      </c>
      <c r="AP510" s="11" t="str">
        <f t="shared" si="41"/>
        <v>Yes</v>
      </c>
      <c r="AQ510" s="11">
        <f t="shared" si="42"/>
        <v>0.2645529411764706</v>
      </c>
      <c r="AR510" s="33"/>
      <c r="AS510" s="33"/>
      <c r="AT510" s="33"/>
      <c r="AU510" s="33"/>
      <c r="AV510" s="33"/>
      <c r="AW510" s="33"/>
      <c r="AX510" s="33" t="str">
        <f t="shared" si="43"/>
        <v>Low</v>
      </c>
    </row>
    <row r="511" spans="1:50">
      <c r="A511" s="9" t="s">
        <v>1672</v>
      </c>
      <c r="B511" s="10" t="s">
        <v>1673</v>
      </c>
      <c r="C511" s="11" t="s">
        <v>794</v>
      </c>
      <c r="D511" s="11" t="s">
        <v>1411</v>
      </c>
      <c r="E511" s="11" t="s">
        <v>35</v>
      </c>
      <c r="F511" s="11" t="s">
        <v>131</v>
      </c>
      <c r="G511" s="11" t="s">
        <v>132</v>
      </c>
      <c r="H511" s="11" t="s">
        <v>58</v>
      </c>
      <c r="I511" s="11" t="s">
        <v>95</v>
      </c>
      <c r="J511" s="11" t="s">
        <v>184</v>
      </c>
      <c r="K511" s="25">
        <v>4</v>
      </c>
      <c r="L511" s="25">
        <v>6000</v>
      </c>
      <c r="M511" s="29">
        <v>0.15</v>
      </c>
      <c r="N511" s="25">
        <v>20400</v>
      </c>
      <c r="O511" s="25">
        <v>13187.06</v>
      </c>
      <c r="P511" s="25">
        <v>7212.94</v>
      </c>
      <c r="Q511" s="21">
        <v>35.36</v>
      </c>
      <c r="R511" s="11" t="s">
        <v>61</v>
      </c>
      <c r="S511" s="11" t="s">
        <v>62</v>
      </c>
      <c r="T511" s="11" t="s">
        <v>138</v>
      </c>
      <c r="U511" s="11" t="s">
        <v>119</v>
      </c>
      <c r="V511" s="11">
        <v>2025</v>
      </c>
      <c r="W511" s="11" t="s">
        <v>194</v>
      </c>
      <c r="X511" s="11">
        <v>7</v>
      </c>
      <c r="Y511" s="10" t="s">
        <v>1674</v>
      </c>
      <c r="Z511" s="11" t="s">
        <v>89</v>
      </c>
      <c r="AA511" s="11" t="s">
        <v>67</v>
      </c>
      <c r="AB511" s="11" t="s">
        <v>49</v>
      </c>
      <c r="AC511" s="11" t="s">
        <v>50</v>
      </c>
      <c r="AD511" s="11">
        <v>1</v>
      </c>
      <c r="AE511" s="11" t="s">
        <v>2218</v>
      </c>
      <c r="AF511" s="11" t="s">
        <v>2224</v>
      </c>
      <c r="AG511" s="25"/>
      <c r="AH511" s="11"/>
      <c r="AI511" s="11"/>
      <c r="AJ511" s="11"/>
      <c r="AK511" s="11"/>
      <c r="AL511" s="11"/>
      <c r="AM511" s="11" t="str">
        <f t="shared" si="39"/>
        <v>Good</v>
      </c>
      <c r="AN511" s="11" t="str" cm="1">
        <f t="array" ref="AN511">_xlfn.IFS(N511&lt;10000,"Low",N511&lt;30000,"Medium",N511&gt;=30000,"High")</f>
        <v>Medium</v>
      </c>
      <c r="AO511" s="11" t="str">
        <f t="shared" si="40"/>
        <v>No</v>
      </c>
      <c r="AP511" s="11" t="str">
        <f t="shared" si="41"/>
        <v>No</v>
      </c>
      <c r="AQ511" s="11">
        <f t="shared" si="42"/>
        <v>0.35357549019607842</v>
      </c>
      <c r="AR511" s="33"/>
      <c r="AS511" s="33"/>
      <c r="AT511" s="33"/>
      <c r="AU511" s="33"/>
      <c r="AV511" s="33"/>
      <c r="AW511" s="33"/>
      <c r="AX511" s="33" t="str">
        <f t="shared" si="43"/>
        <v>Average</v>
      </c>
    </row>
    <row r="512" spans="1:50">
      <c r="A512" s="9" t="s">
        <v>1708</v>
      </c>
      <c r="B512" s="10" t="s">
        <v>1673</v>
      </c>
      <c r="C512" s="11" t="s">
        <v>1441</v>
      </c>
      <c r="D512" s="11" t="s">
        <v>770</v>
      </c>
      <c r="E512" s="11" t="s">
        <v>103</v>
      </c>
      <c r="F512" s="11" t="s">
        <v>245</v>
      </c>
      <c r="G512" s="11" t="s">
        <v>246</v>
      </c>
      <c r="H512" s="11" t="s">
        <v>38</v>
      </c>
      <c r="I512" s="11" t="s">
        <v>84</v>
      </c>
      <c r="J512" s="11" t="s">
        <v>229</v>
      </c>
      <c r="K512" s="25">
        <v>8</v>
      </c>
      <c r="L512" s="25">
        <v>350</v>
      </c>
      <c r="M512" s="29">
        <v>0</v>
      </c>
      <c r="N512" s="25">
        <v>2800</v>
      </c>
      <c r="O512" s="25">
        <v>1814.89</v>
      </c>
      <c r="P512" s="25">
        <v>985.11</v>
      </c>
      <c r="Q512" s="21">
        <v>35.18</v>
      </c>
      <c r="R512" s="11" t="s">
        <v>106</v>
      </c>
      <c r="S512" s="11" t="s">
        <v>42</v>
      </c>
      <c r="T512" s="11" t="s">
        <v>75</v>
      </c>
      <c r="U512" s="11" t="s">
        <v>119</v>
      </c>
      <c r="V512" s="11">
        <v>2025</v>
      </c>
      <c r="W512" s="11" t="s">
        <v>194</v>
      </c>
      <c r="X512" s="11">
        <v>6</v>
      </c>
      <c r="Y512" s="10" t="s">
        <v>1709</v>
      </c>
      <c r="Z512" s="11" t="s">
        <v>89</v>
      </c>
      <c r="AA512" s="11" t="s">
        <v>90</v>
      </c>
      <c r="AB512" s="11" t="s">
        <v>111</v>
      </c>
      <c r="AC512" s="11" t="s">
        <v>121</v>
      </c>
      <c r="AD512" s="11">
        <v>4</v>
      </c>
      <c r="AE512" s="11" t="s">
        <v>2227</v>
      </c>
      <c r="AF512" s="11" t="s">
        <v>2219</v>
      </c>
      <c r="AG512" s="25"/>
      <c r="AH512" s="11"/>
      <c r="AI512" s="11"/>
      <c r="AJ512" s="11"/>
      <c r="AK512" s="11"/>
      <c r="AL512" s="11"/>
      <c r="AM512" s="11" t="str">
        <f t="shared" si="39"/>
        <v>Good</v>
      </c>
      <c r="AN512" s="11" t="str" cm="1">
        <f t="array" ref="AN512">_xlfn.IFS(N512&lt;10000,"Low",N512&lt;30000,"Medium",N512&gt;=30000,"High")</f>
        <v>Low</v>
      </c>
      <c r="AO512" s="11" t="str">
        <f t="shared" si="40"/>
        <v>No</v>
      </c>
      <c r="AP512" s="11" t="str">
        <f t="shared" si="41"/>
        <v>Yes</v>
      </c>
      <c r="AQ512" s="11">
        <f t="shared" si="42"/>
        <v>0.351825</v>
      </c>
      <c r="AR512" s="33"/>
      <c r="AS512" s="33"/>
      <c r="AT512" s="33"/>
      <c r="AU512" s="33"/>
      <c r="AV512" s="33"/>
      <c r="AW512" s="33"/>
      <c r="AX512" s="33" t="str">
        <f t="shared" si="43"/>
        <v>Low</v>
      </c>
    </row>
    <row r="513" spans="1:50">
      <c r="A513" s="9" t="s">
        <v>1931</v>
      </c>
      <c r="B513" s="10" t="s">
        <v>1673</v>
      </c>
      <c r="C513" s="11" t="s">
        <v>301</v>
      </c>
      <c r="D513" s="11" t="s">
        <v>770</v>
      </c>
      <c r="E513" s="11" t="s">
        <v>103</v>
      </c>
      <c r="F513" s="11" t="s">
        <v>156</v>
      </c>
      <c r="G513" s="11" t="s">
        <v>157</v>
      </c>
      <c r="H513" s="11" t="s">
        <v>171</v>
      </c>
      <c r="I513" s="11" t="s">
        <v>95</v>
      </c>
      <c r="J513" s="11" t="s">
        <v>344</v>
      </c>
      <c r="K513" s="25">
        <v>5</v>
      </c>
      <c r="L513" s="25">
        <v>9000</v>
      </c>
      <c r="M513" s="29">
        <v>0.2</v>
      </c>
      <c r="N513" s="25">
        <v>36000</v>
      </c>
      <c r="O513" s="25">
        <v>25063.08</v>
      </c>
      <c r="P513" s="25">
        <v>10936.92</v>
      </c>
      <c r="Q513" s="21">
        <v>30.38</v>
      </c>
      <c r="R513" s="11" t="s">
        <v>41</v>
      </c>
      <c r="S513" s="11" t="s">
        <v>42</v>
      </c>
      <c r="T513" s="11" t="s">
        <v>75</v>
      </c>
      <c r="U513" s="11" t="s">
        <v>119</v>
      </c>
      <c r="V513" s="11">
        <v>2025</v>
      </c>
      <c r="W513" s="11" t="s">
        <v>194</v>
      </c>
      <c r="X513" s="11">
        <v>7</v>
      </c>
      <c r="Y513" s="10" t="s">
        <v>1674</v>
      </c>
      <c r="Z513" s="11" t="s">
        <v>89</v>
      </c>
      <c r="AA513" s="11" t="s">
        <v>67</v>
      </c>
      <c r="AB513" s="11" t="s">
        <v>111</v>
      </c>
      <c r="AC513" s="11" t="s">
        <v>50</v>
      </c>
      <c r="AD513" s="11">
        <v>2</v>
      </c>
      <c r="AE513" s="11" t="s">
        <v>2227</v>
      </c>
      <c r="AF513" s="11" t="s">
        <v>2219</v>
      </c>
      <c r="AG513" s="25"/>
      <c r="AH513" s="11"/>
      <c r="AI513" s="11"/>
      <c r="AJ513" s="11"/>
      <c r="AK513" s="11"/>
      <c r="AL513" s="11"/>
      <c r="AM513" s="11" t="str">
        <f t="shared" si="39"/>
        <v>Good</v>
      </c>
      <c r="AN513" s="11" t="str" cm="1">
        <f t="array" ref="AN513">_xlfn.IFS(N513&lt;10000,"Low",N513&lt;30000,"Medium",N513&gt;=30000,"High")</f>
        <v>High</v>
      </c>
      <c r="AO513" s="11" t="str">
        <f t="shared" si="40"/>
        <v>Yes</v>
      </c>
      <c r="AP513" s="11" t="str">
        <f t="shared" si="41"/>
        <v>Yes</v>
      </c>
      <c r="AQ513" s="11">
        <f t="shared" si="42"/>
        <v>0.30380333333333331</v>
      </c>
      <c r="AR513" s="33"/>
      <c r="AS513" s="33"/>
      <c r="AT513" s="33"/>
      <c r="AU513" s="33"/>
      <c r="AV513" s="33"/>
      <c r="AW513" s="33"/>
      <c r="AX513" s="33" t="str">
        <f t="shared" si="43"/>
        <v>Good</v>
      </c>
    </row>
    <row r="514" spans="1:50">
      <c r="A514" s="9" t="s">
        <v>1850</v>
      </c>
      <c r="B514" s="10" t="s">
        <v>1519</v>
      </c>
      <c r="C514" s="11" t="s">
        <v>281</v>
      </c>
      <c r="D514" s="11" t="s">
        <v>512</v>
      </c>
      <c r="E514" s="11" t="s">
        <v>103</v>
      </c>
      <c r="F514" s="11" t="s">
        <v>116</v>
      </c>
      <c r="G514" s="11" t="s">
        <v>37</v>
      </c>
      <c r="H514" s="11" t="s">
        <v>94</v>
      </c>
      <c r="I514" s="11" t="s">
        <v>84</v>
      </c>
      <c r="J514" s="11" t="s">
        <v>390</v>
      </c>
      <c r="K514" s="25">
        <v>9</v>
      </c>
      <c r="L514" s="25">
        <v>200</v>
      </c>
      <c r="M514" s="29">
        <v>0.05</v>
      </c>
      <c r="N514" s="25">
        <v>1710</v>
      </c>
      <c r="O514" s="25">
        <v>1186.27</v>
      </c>
      <c r="P514" s="25">
        <v>523.73</v>
      </c>
      <c r="Q514" s="21">
        <v>30.63</v>
      </c>
      <c r="R514" s="11" t="s">
        <v>61</v>
      </c>
      <c r="S514" s="11" t="s">
        <v>42</v>
      </c>
      <c r="T514" s="11" t="s">
        <v>86</v>
      </c>
      <c r="U514" s="11" t="s">
        <v>160</v>
      </c>
      <c r="V514" s="11">
        <v>2024</v>
      </c>
      <c r="W514" s="11" t="s">
        <v>45</v>
      </c>
      <c r="X514" s="11">
        <v>7</v>
      </c>
      <c r="Y514" s="10" t="s">
        <v>940</v>
      </c>
      <c r="Z514" s="11" t="s">
        <v>47</v>
      </c>
      <c r="AA514" s="11" t="s">
        <v>90</v>
      </c>
      <c r="AB514" s="11" t="s">
        <v>111</v>
      </c>
      <c r="AC514" s="11" t="s">
        <v>121</v>
      </c>
      <c r="AD514" s="11">
        <v>4</v>
      </c>
      <c r="AE514" s="11" t="s">
        <v>2221</v>
      </c>
      <c r="AF514" s="11" t="s">
        <v>2222</v>
      </c>
      <c r="AG514" s="25"/>
      <c r="AH514" s="11"/>
      <c r="AI514" s="11"/>
      <c r="AJ514" s="11"/>
      <c r="AK514" s="11"/>
      <c r="AL514" s="11"/>
      <c r="AM514" s="11" t="str">
        <f t="shared" ref="AM514:AM577" si="44">IF(Q514&gt;=30,"Good","Needs Improvement")</f>
        <v>Good</v>
      </c>
      <c r="AN514" s="11" t="str" cm="1">
        <f t="array" ref="AN514">_xlfn.IFS(N514&lt;10000,"Low",N514&lt;30000,"Medium",N514&gt;=30000,"High")</f>
        <v>Low</v>
      </c>
      <c r="AO514" s="11" t="str">
        <f t="shared" ref="AO514:AO577" si="45">IF(AND(N514&gt;=30000,P514&gt;=10000),"Yes","No")</f>
        <v>No</v>
      </c>
      <c r="AP514" s="11" t="str">
        <f t="shared" ref="AP514:AP577" si="46">IF(OR(S514="Online",S514="Marketplace"),"Yes","No")</f>
        <v>Yes</v>
      </c>
      <c r="AQ514" s="11">
        <f t="shared" ref="AQ514:AQ577" si="47">IFERROR(P514/N514,"No Error")</f>
        <v>0.30627485380116959</v>
      </c>
      <c r="AR514" s="33"/>
      <c r="AS514" s="33"/>
      <c r="AT514" s="33"/>
      <c r="AU514" s="33"/>
      <c r="AV514" s="33"/>
      <c r="AW514" s="33"/>
      <c r="AX514" s="33" t="str">
        <f t="shared" ref="AX514:AX577" si="48">IF(P514&gt;=20000,"Excellent",IF(P514&gt;=10000,"Good",IF(P514&gt;=5000,"Average","Low")))</f>
        <v>Low</v>
      </c>
    </row>
    <row r="515" spans="1:50">
      <c r="A515" s="9" t="s">
        <v>1877</v>
      </c>
      <c r="B515" s="10" t="s">
        <v>1519</v>
      </c>
      <c r="C515" s="11" t="s">
        <v>1878</v>
      </c>
      <c r="D515" s="11" t="s">
        <v>137</v>
      </c>
      <c r="E515" s="11" t="s">
        <v>55</v>
      </c>
      <c r="F515" s="11" t="s">
        <v>36</v>
      </c>
      <c r="G515" s="11" t="s">
        <v>37</v>
      </c>
      <c r="H515" s="11" t="s">
        <v>171</v>
      </c>
      <c r="I515" s="11" t="s">
        <v>39</v>
      </c>
      <c r="J515" s="11" t="s">
        <v>105</v>
      </c>
      <c r="K515" s="25">
        <v>3</v>
      </c>
      <c r="L515" s="25">
        <v>8000</v>
      </c>
      <c r="M515" s="29">
        <v>0.2</v>
      </c>
      <c r="N515" s="25">
        <v>19200</v>
      </c>
      <c r="O515" s="25">
        <v>14472.16</v>
      </c>
      <c r="P515" s="25">
        <v>4727.84</v>
      </c>
      <c r="Q515" s="21">
        <v>24.62</v>
      </c>
      <c r="R515" s="11" t="s">
        <v>106</v>
      </c>
      <c r="S515" s="11" t="s">
        <v>62</v>
      </c>
      <c r="T515" s="11" t="s">
        <v>75</v>
      </c>
      <c r="U515" s="11" t="s">
        <v>160</v>
      </c>
      <c r="V515" s="11">
        <v>2024</v>
      </c>
      <c r="W515" s="11" t="s">
        <v>45</v>
      </c>
      <c r="X515" s="11">
        <v>4</v>
      </c>
      <c r="Y515" s="10" t="s">
        <v>394</v>
      </c>
      <c r="Z515" s="11" t="s">
        <v>47</v>
      </c>
      <c r="AA515" s="11" t="s">
        <v>48</v>
      </c>
      <c r="AB515" s="11" t="s">
        <v>49</v>
      </c>
      <c r="AC515" s="11" t="s">
        <v>50</v>
      </c>
      <c r="AD515" s="11">
        <v>4</v>
      </c>
      <c r="AE515" s="11" t="s">
        <v>2216</v>
      </c>
      <c r="AF515" s="11" t="s">
        <v>2224</v>
      </c>
      <c r="AG515" s="25"/>
      <c r="AH515" s="11"/>
      <c r="AI515" s="11"/>
      <c r="AJ515" s="11"/>
      <c r="AK515" s="11"/>
      <c r="AL515" s="11"/>
      <c r="AM515" s="11" t="str">
        <f t="shared" si="44"/>
        <v>Needs Improvement</v>
      </c>
      <c r="AN515" s="11" t="str" cm="1">
        <f t="array" ref="AN515">_xlfn.IFS(N515&lt;10000,"Low",N515&lt;30000,"Medium",N515&gt;=30000,"High")</f>
        <v>Medium</v>
      </c>
      <c r="AO515" s="11" t="str">
        <f t="shared" si="45"/>
        <v>No</v>
      </c>
      <c r="AP515" s="11" t="str">
        <f t="shared" si="46"/>
        <v>No</v>
      </c>
      <c r="AQ515" s="11">
        <f t="shared" si="47"/>
        <v>0.24624166666666666</v>
      </c>
      <c r="AR515" s="33"/>
      <c r="AS515" s="33"/>
      <c r="AT515" s="33"/>
      <c r="AU515" s="33"/>
      <c r="AV515" s="33"/>
      <c r="AW515" s="33"/>
      <c r="AX515" s="33" t="str">
        <f t="shared" si="48"/>
        <v>Low</v>
      </c>
    </row>
    <row r="516" spans="1:50">
      <c r="A516" s="9" t="s">
        <v>2042</v>
      </c>
      <c r="B516" s="10" t="s">
        <v>1519</v>
      </c>
      <c r="C516" s="11" t="s">
        <v>1292</v>
      </c>
      <c r="D516" s="11" t="s">
        <v>963</v>
      </c>
      <c r="E516" s="11" t="s">
        <v>103</v>
      </c>
      <c r="F516" s="11" t="s">
        <v>104</v>
      </c>
      <c r="G516" s="11" t="s">
        <v>104</v>
      </c>
      <c r="H516" s="11" t="s">
        <v>171</v>
      </c>
      <c r="I516" s="11" t="s">
        <v>95</v>
      </c>
      <c r="J516" s="11" t="s">
        <v>319</v>
      </c>
      <c r="K516" s="25">
        <v>2</v>
      </c>
      <c r="L516" s="25">
        <v>2500</v>
      </c>
      <c r="M516" s="29">
        <v>0.2</v>
      </c>
      <c r="N516" s="25">
        <v>4000</v>
      </c>
      <c r="O516" s="25">
        <v>2321.63</v>
      </c>
      <c r="P516" s="25">
        <v>1678.37</v>
      </c>
      <c r="Q516" s="21">
        <v>41.96</v>
      </c>
      <c r="R516" s="11" t="s">
        <v>73</v>
      </c>
      <c r="S516" s="11" t="s">
        <v>62</v>
      </c>
      <c r="T516" s="11" t="s">
        <v>138</v>
      </c>
      <c r="U516" s="11" t="s">
        <v>160</v>
      </c>
      <c r="V516" s="11">
        <v>2024</v>
      </c>
      <c r="W516" s="11" t="s">
        <v>45</v>
      </c>
      <c r="X516" s="11">
        <v>1</v>
      </c>
      <c r="Y516" s="10" t="s">
        <v>153</v>
      </c>
      <c r="Z516" s="11" t="s">
        <v>110</v>
      </c>
      <c r="AA516" s="11" t="s">
        <v>48</v>
      </c>
      <c r="AB516" s="11" t="s">
        <v>111</v>
      </c>
      <c r="AC516" s="11" t="s">
        <v>50</v>
      </c>
      <c r="AD516" s="11">
        <v>4</v>
      </c>
      <c r="AE516" s="11" t="s">
        <v>2213</v>
      </c>
      <c r="AF516" s="11" t="s">
        <v>2217</v>
      </c>
      <c r="AG516" s="25"/>
      <c r="AH516" s="11"/>
      <c r="AI516" s="11"/>
      <c r="AJ516" s="11"/>
      <c r="AK516" s="11"/>
      <c r="AL516" s="11"/>
      <c r="AM516" s="11" t="str">
        <f t="shared" si="44"/>
        <v>Good</v>
      </c>
      <c r="AN516" s="11" t="str" cm="1">
        <f t="array" ref="AN516">_xlfn.IFS(N516&lt;10000,"Low",N516&lt;30000,"Medium",N516&gt;=30000,"High")</f>
        <v>Low</v>
      </c>
      <c r="AO516" s="11" t="str">
        <f t="shared" si="45"/>
        <v>No</v>
      </c>
      <c r="AP516" s="11" t="str">
        <f t="shared" si="46"/>
        <v>No</v>
      </c>
      <c r="AQ516" s="11">
        <f t="shared" si="47"/>
        <v>0.41959249999999998</v>
      </c>
      <c r="AR516" s="33"/>
      <c r="AS516" s="33"/>
      <c r="AT516" s="33"/>
      <c r="AU516" s="33"/>
      <c r="AV516" s="33"/>
      <c r="AW516" s="33"/>
      <c r="AX516" s="33" t="str">
        <f t="shared" si="48"/>
        <v>Low</v>
      </c>
    </row>
    <row r="517" spans="1:50">
      <c r="A517" s="9" t="s">
        <v>1564</v>
      </c>
      <c r="B517" s="10" t="s">
        <v>1565</v>
      </c>
      <c r="C517" s="11" t="s">
        <v>1124</v>
      </c>
      <c r="D517" s="11" t="s">
        <v>512</v>
      </c>
      <c r="E517" s="11" t="s">
        <v>103</v>
      </c>
      <c r="F517" s="11" t="s">
        <v>245</v>
      </c>
      <c r="G517" s="11" t="s">
        <v>246</v>
      </c>
      <c r="H517" s="11" t="s">
        <v>94</v>
      </c>
      <c r="I517" s="11" t="s">
        <v>59</v>
      </c>
      <c r="J517" s="11" t="s">
        <v>133</v>
      </c>
      <c r="K517" s="25">
        <v>4</v>
      </c>
      <c r="L517" s="25">
        <v>3000</v>
      </c>
      <c r="M517" s="29">
        <v>0.15</v>
      </c>
      <c r="N517" s="25">
        <v>10200</v>
      </c>
      <c r="O517" s="25">
        <v>7891.83</v>
      </c>
      <c r="P517" s="25">
        <v>2308.17</v>
      </c>
      <c r="Q517" s="21">
        <v>22.63</v>
      </c>
      <c r="R517" s="11" t="s">
        <v>73</v>
      </c>
      <c r="S517" s="11" t="s">
        <v>62</v>
      </c>
      <c r="T517" s="11" t="s">
        <v>97</v>
      </c>
      <c r="U517" s="11" t="s">
        <v>151</v>
      </c>
      <c r="V517" s="11">
        <v>2024</v>
      </c>
      <c r="W517" s="11" t="s">
        <v>109</v>
      </c>
      <c r="X517" s="11">
        <v>10</v>
      </c>
      <c r="Y517" s="10" t="s">
        <v>1173</v>
      </c>
      <c r="Z517" s="11" t="s">
        <v>110</v>
      </c>
      <c r="AA517" s="11" t="s">
        <v>48</v>
      </c>
      <c r="AB517" s="11" t="s">
        <v>49</v>
      </c>
      <c r="AC517" s="11" t="s">
        <v>50</v>
      </c>
      <c r="AD517" s="11">
        <v>2</v>
      </c>
      <c r="AE517" s="11" t="s">
        <v>2221</v>
      </c>
      <c r="AF517" s="11" t="s">
        <v>2222</v>
      </c>
      <c r="AG517" s="25"/>
      <c r="AH517" s="11"/>
      <c r="AI517" s="11"/>
      <c r="AJ517" s="11"/>
      <c r="AK517" s="11"/>
      <c r="AL517" s="11"/>
      <c r="AM517" s="11" t="str">
        <f t="shared" si="44"/>
        <v>Needs Improvement</v>
      </c>
      <c r="AN517" s="11" t="str" cm="1">
        <f t="array" ref="AN517">_xlfn.IFS(N517&lt;10000,"Low",N517&lt;30000,"Medium",N517&gt;=30000,"High")</f>
        <v>Medium</v>
      </c>
      <c r="AO517" s="11" t="str">
        <f t="shared" si="45"/>
        <v>No</v>
      </c>
      <c r="AP517" s="11" t="str">
        <f t="shared" si="46"/>
        <v>No</v>
      </c>
      <c r="AQ517" s="11">
        <f t="shared" si="47"/>
        <v>0.22629117647058825</v>
      </c>
      <c r="AR517" s="33"/>
      <c r="AS517" s="33"/>
      <c r="AT517" s="33"/>
      <c r="AU517" s="33"/>
      <c r="AV517" s="33"/>
      <c r="AW517" s="33"/>
      <c r="AX517" s="33" t="str">
        <f t="shared" si="48"/>
        <v>Low</v>
      </c>
    </row>
    <row r="518" spans="1:50">
      <c r="A518" s="9" t="s">
        <v>2114</v>
      </c>
      <c r="B518" s="10" t="s">
        <v>1565</v>
      </c>
      <c r="C518" s="11" t="s">
        <v>1815</v>
      </c>
      <c r="D518" s="11" t="s">
        <v>1560</v>
      </c>
      <c r="E518" s="11" t="s">
        <v>35</v>
      </c>
      <c r="F518" s="11" t="s">
        <v>36</v>
      </c>
      <c r="G518" s="11" t="s">
        <v>37</v>
      </c>
      <c r="H518" s="11" t="s">
        <v>94</v>
      </c>
      <c r="I518" s="11" t="s">
        <v>59</v>
      </c>
      <c r="J518" s="11" t="s">
        <v>328</v>
      </c>
      <c r="K518" s="25">
        <v>7</v>
      </c>
      <c r="L518" s="25">
        <v>1200</v>
      </c>
      <c r="M518" s="29">
        <v>0</v>
      </c>
      <c r="N518" s="25">
        <v>8400</v>
      </c>
      <c r="O518" s="25">
        <v>4684.08</v>
      </c>
      <c r="P518" s="25">
        <v>3715.92</v>
      </c>
      <c r="Q518" s="21">
        <v>44.24</v>
      </c>
      <c r="R518" s="11" t="s">
        <v>166</v>
      </c>
      <c r="S518" s="11" t="s">
        <v>42</v>
      </c>
      <c r="T518" s="11" t="s">
        <v>173</v>
      </c>
      <c r="U518" s="11" t="s">
        <v>151</v>
      </c>
      <c r="V518" s="11">
        <v>2024</v>
      </c>
      <c r="W518" s="11" t="s">
        <v>109</v>
      </c>
      <c r="X518" s="11">
        <v>5</v>
      </c>
      <c r="Y518" s="10" t="s">
        <v>1451</v>
      </c>
      <c r="Z518" s="11" t="s">
        <v>47</v>
      </c>
      <c r="AA518" s="11" t="s">
        <v>48</v>
      </c>
      <c r="AB518" s="11" t="s">
        <v>49</v>
      </c>
      <c r="AC518" s="11" t="s">
        <v>50</v>
      </c>
      <c r="AD518" s="11">
        <v>5</v>
      </c>
      <c r="AE518" s="11" t="s">
        <v>2221</v>
      </c>
      <c r="AF518" s="11" t="s">
        <v>2223</v>
      </c>
      <c r="AG518" s="25"/>
      <c r="AH518" s="11"/>
      <c r="AI518" s="11"/>
      <c r="AJ518" s="11"/>
      <c r="AK518" s="11"/>
      <c r="AL518" s="11"/>
      <c r="AM518" s="11" t="str">
        <f t="shared" si="44"/>
        <v>Good</v>
      </c>
      <c r="AN518" s="11" t="str" cm="1">
        <f t="array" ref="AN518">_xlfn.IFS(N518&lt;10000,"Low",N518&lt;30000,"Medium",N518&gt;=30000,"High")</f>
        <v>Low</v>
      </c>
      <c r="AO518" s="11" t="str">
        <f t="shared" si="45"/>
        <v>No</v>
      </c>
      <c r="AP518" s="11" t="str">
        <f t="shared" si="46"/>
        <v>Yes</v>
      </c>
      <c r="AQ518" s="11">
        <f t="shared" si="47"/>
        <v>0.44237142857142858</v>
      </c>
      <c r="AR518" s="33"/>
      <c r="AS518" s="33"/>
      <c r="AT518" s="33"/>
      <c r="AU518" s="33"/>
      <c r="AV518" s="33"/>
      <c r="AW518" s="33"/>
      <c r="AX518" s="33" t="str">
        <f t="shared" si="48"/>
        <v>Low</v>
      </c>
    </row>
    <row r="519" spans="1:50">
      <c r="A519" s="9" t="s">
        <v>2030</v>
      </c>
      <c r="B519" s="10" t="s">
        <v>212</v>
      </c>
      <c r="C519" s="11" t="s">
        <v>1383</v>
      </c>
      <c r="D519" s="11" t="s">
        <v>1517</v>
      </c>
      <c r="E519" s="11" t="s">
        <v>35</v>
      </c>
      <c r="F519" s="11" t="s">
        <v>245</v>
      </c>
      <c r="G519" s="11" t="s">
        <v>246</v>
      </c>
      <c r="H519" s="11" t="s">
        <v>94</v>
      </c>
      <c r="I519" s="11" t="s">
        <v>59</v>
      </c>
      <c r="J519" s="11" t="s">
        <v>372</v>
      </c>
      <c r="K519" s="25">
        <v>7</v>
      </c>
      <c r="L519" s="25">
        <v>1200</v>
      </c>
      <c r="M519" s="29">
        <v>0</v>
      </c>
      <c r="N519" s="25">
        <v>8400</v>
      </c>
      <c r="O519" s="25">
        <v>5959.28</v>
      </c>
      <c r="P519" s="25">
        <v>2440.7199999999998</v>
      </c>
      <c r="Q519" s="21">
        <v>29.06</v>
      </c>
      <c r="R519" s="11" t="s">
        <v>61</v>
      </c>
      <c r="S519" s="11" t="s">
        <v>74</v>
      </c>
      <c r="T519" s="11" t="s">
        <v>107</v>
      </c>
      <c r="U519" s="11" t="s">
        <v>151</v>
      </c>
      <c r="V519" s="11">
        <v>2025</v>
      </c>
      <c r="W519" s="11" t="s">
        <v>134</v>
      </c>
      <c r="X519" s="11">
        <v>3</v>
      </c>
      <c r="Y519" s="10" t="s">
        <v>2031</v>
      </c>
      <c r="Z519" s="11" t="s">
        <v>110</v>
      </c>
      <c r="AA519" s="11" t="s">
        <v>67</v>
      </c>
      <c r="AB519" s="11" t="s">
        <v>111</v>
      </c>
      <c r="AC519" s="11" t="s">
        <v>50</v>
      </c>
      <c r="AD519" s="11">
        <v>3</v>
      </c>
      <c r="AE519" s="11" t="s">
        <v>2240</v>
      </c>
      <c r="AF519" s="11" t="s">
        <v>2235</v>
      </c>
      <c r="AG519" s="25"/>
      <c r="AH519" s="11"/>
      <c r="AI519" s="11"/>
      <c r="AJ519" s="11"/>
      <c r="AK519" s="11"/>
      <c r="AL519" s="11"/>
      <c r="AM519" s="11" t="str">
        <f t="shared" si="44"/>
        <v>Needs Improvement</v>
      </c>
      <c r="AN519" s="11" t="str" cm="1">
        <f t="array" ref="AN519">_xlfn.IFS(N519&lt;10000,"Low",N519&lt;30000,"Medium",N519&gt;=30000,"High")</f>
        <v>Low</v>
      </c>
      <c r="AO519" s="11" t="str">
        <f t="shared" si="45"/>
        <v>No</v>
      </c>
      <c r="AP519" s="11" t="str">
        <f t="shared" si="46"/>
        <v>Yes</v>
      </c>
      <c r="AQ519" s="11">
        <f t="shared" si="47"/>
        <v>0.29056190476190474</v>
      </c>
      <c r="AR519" s="33"/>
      <c r="AS519" s="33"/>
      <c r="AT519" s="33"/>
      <c r="AU519" s="33"/>
      <c r="AV519" s="33"/>
      <c r="AW519" s="33"/>
      <c r="AX519" s="33" t="str">
        <f t="shared" si="48"/>
        <v>Low</v>
      </c>
    </row>
    <row r="520" spans="1:50">
      <c r="A520" s="9" t="s">
        <v>563</v>
      </c>
      <c r="B520" s="10" t="s">
        <v>564</v>
      </c>
      <c r="C520" s="11" t="s">
        <v>565</v>
      </c>
      <c r="D520" s="11" t="s">
        <v>566</v>
      </c>
      <c r="E520" s="11" t="s">
        <v>103</v>
      </c>
      <c r="F520" s="11" t="s">
        <v>36</v>
      </c>
      <c r="G520" s="11" t="s">
        <v>37</v>
      </c>
      <c r="H520" s="11" t="s">
        <v>94</v>
      </c>
      <c r="I520" s="11" t="s">
        <v>95</v>
      </c>
      <c r="J520" s="11" t="s">
        <v>96</v>
      </c>
      <c r="K520" s="25">
        <v>7</v>
      </c>
      <c r="L520" s="25">
        <v>15000</v>
      </c>
      <c r="M520" s="29">
        <v>0.05</v>
      </c>
      <c r="N520" s="25">
        <v>99750</v>
      </c>
      <c r="O520" s="25">
        <v>81215.7</v>
      </c>
      <c r="P520" s="25">
        <v>18534.3</v>
      </c>
      <c r="Q520" s="21">
        <v>18.579999999999998</v>
      </c>
      <c r="R520" s="11" t="s">
        <v>73</v>
      </c>
      <c r="S520" s="11" t="s">
        <v>74</v>
      </c>
      <c r="T520" s="11" t="s">
        <v>138</v>
      </c>
      <c r="U520" s="11" t="s">
        <v>218</v>
      </c>
      <c r="V520" s="11">
        <v>2024</v>
      </c>
      <c r="W520" s="11" t="s">
        <v>194</v>
      </c>
      <c r="X520" s="11">
        <v>1</v>
      </c>
      <c r="Y520" s="10" t="s">
        <v>567</v>
      </c>
      <c r="Z520" s="11" t="s">
        <v>47</v>
      </c>
      <c r="AA520" s="11" t="s">
        <v>67</v>
      </c>
      <c r="AB520" s="11" t="s">
        <v>49</v>
      </c>
      <c r="AC520" s="11" t="s">
        <v>50</v>
      </c>
      <c r="AD520" s="11">
        <v>2</v>
      </c>
      <c r="AE520" s="11" t="s">
        <v>2240</v>
      </c>
      <c r="AF520" s="11" t="s">
        <v>2223</v>
      </c>
      <c r="AG520" s="25"/>
      <c r="AH520" s="11"/>
      <c r="AI520" s="11"/>
      <c r="AJ520" s="11"/>
      <c r="AK520" s="11"/>
      <c r="AL520" s="11"/>
      <c r="AM520" s="11" t="str">
        <f t="shared" si="44"/>
        <v>Needs Improvement</v>
      </c>
      <c r="AN520" s="11" t="str" cm="1">
        <f t="array" ref="AN520">_xlfn.IFS(N520&lt;10000,"Low",N520&lt;30000,"Medium",N520&gt;=30000,"High")</f>
        <v>High</v>
      </c>
      <c r="AO520" s="11" t="str">
        <f t="shared" si="45"/>
        <v>Yes</v>
      </c>
      <c r="AP520" s="11" t="str">
        <f t="shared" si="46"/>
        <v>Yes</v>
      </c>
      <c r="AQ520" s="11">
        <f t="shared" si="47"/>
        <v>0.18580751879699248</v>
      </c>
      <c r="AR520" s="33"/>
      <c r="AS520" s="33"/>
      <c r="AT520" s="33"/>
      <c r="AU520" s="33"/>
      <c r="AV520" s="33"/>
      <c r="AW520" s="33"/>
      <c r="AX520" s="33" t="str">
        <f t="shared" si="48"/>
        <v>Good</v>
      </c>
    </row>
    <row r="521" spans="1:50">
      <c r="A521" s="9" t="s">
        <v>410</v>
      </c>
      <c r="B521" s="10" t="s">
        <v>411</v>
      </c>
      <c r="C521" s="11" t="s">
        <v>412</v>
      </c>
      <c r="D521" s="11" t="s">
        <v>413</v>
      </c>
      <c r="E521" s="11" t="s">
        <v>103</v>
      </c>
      <c r="F521" s="11" t="s">
        <v>245</v>
      </c>
      <c r="G521" s="11" t="s">
        <v>246</v>
      </c>
      <c r="H521" s="11" t="s">
        <v>171</v>
      </c>
      <c r="I521" s="11" t="s">
        <v>39</v>
      </c>
      <c r="J521" s="11" t="s">
        <v>105</v>
      </c>
      <c r="K521" s="25">
        <v>8</v>
      </c>
      <c r="L521" s="25">
        <v>22000</v>
      </c>
      <c r="M521" s="29">
        <v>0.2</v>
      </c>
      <c r="N521" s="25">
        <v>140800</v>
      </c>
      <c r="O521" s="25">
        <v>101883.98</v>
      </c>
      <c r="P521" s="25">
        <v>38916.019999999997</v>
      </c>
      <c r="Q521" s="21">
        <v>27.64</v>
      </c>
      <c r="R521" s="11" t="s">
        <v>73</v>
      </c>
      <c r="S521" s="11" t="s">
        <v>62</v>
      </c>
      <c r="T521" s="11" t="s">
        <v>173</v>
      </c>
      <c r="U521" s="11" t="s">
        <v>218</v>
      </c>
      <c r="V521" s="11">
        <v>2025</v>
      </c>
      <c r="W521" s="11" t="s">
        <v>65</v>
      </c>
      <c r="X521" s="11">
        <v>8</v>
      </c>
      <c r="Y521" s="10" t="s">
        <v>414</v>
      </c>
      <c r="Z521" s="11" t="s">
        <v>89</v>
      </c>
      <c r="AA521" s="11" t="s">
        <v>67</v>
      </c>
      <c r="AB521" s="11" t="s">
        <v>78</v>
      </c>
      <c r="AC521" s="11" t="s">
        <v>50</v>
      </c>
      <c r="AD521" s="11">
        <v>3</v>
      </c>
      <c r="AE521" s="11" t="s">
        <v>2216</v>
      </c>
      <c r="AF521" s="11" t="s">
        <v>2217</v>
      </c>
      <c r="AG521" s="25"/>
      <c r="AH521" s="11"/>
      <c r="AI521" s="11"/>
      <c r="AJ521" s="11"/>
      <c r="AK521" s="11"/>
      <c r="AL521" s="11"/>
      <c r="AM521" s="11" t="str">
        <f t="shared" si="44"/>
        <v>Needs Improvement</v>
      </c>
      <c r="AN521" s="11" t="str" cm="1">
        <f t="array" ref="AN521">_xlfn.IFS(N521&lt;10000,"Low",N521&lt;30000,"Medium",N521&gt;=30000,"High")</f>
        <v>High</v>
      </c>
      <c r="AO521" s="11" t="str">
        <f t="shared" si="45"/>
        <v>Yes</v>
      </c>
      <c r="AP521" s="11" t="str">
        <f t="shared" si="46"/>
        <v>No</v>
      </c>
      <c r="AQ521" s="11">
        <f t="shared" si="47"/>
        <v>0.2763921875</v>
      </c>
      <c r="AR521" s="33"/>
      <c r="AS521" s="33"/>
      <c r="AT521" s="33"/>
      <c r="AU521" s="33"/>
      <c r="AV521" s="33"/>
      <c r="AW521" s="33"/>
      <c r="AX521" s="33" t="str">
        <f t="shared" si="48"/>
        <v>Excellent</v>
      </c>
    </row>
    <row r="522" spans="1:50">
      <c r="A522" s="9" t="s">
        <v>1156</v>
      </c>
      <c r="B522" s="10" t="s">
        <v>411</v>
      </c>
      <c r="C522" s="11" t="s">
        <v>652</v>
      </c>
      <c r="D522" s="11" t="s">
        <v>1157</v>
      </c>
      <c r="E522" s="11" t="s">
        <v>35</v>
      </c>
      <c r="F522" s="11" t="s">
        <v>36</v>
      </c>
      <c r="G522" s="11" t="s">
        <v>37</v>
      </c>
      <c r="H522" s="11" t="s">
        <v>94</v>
      </c>
      <c r="I522" s="11" t="s">
        <v>95</v>
      </c>
      <c r="J522" s="11" t="s">
        <v>96</v>
      </c>
      <c r="K522" s="25">
        <v>8</v>
      </c>
      <c r="L522" s="25">
        <v>15000</v>
      </c>
      <c r="M522" s="29">
        <v>0.05</v>
      </c>
      <c r="N522" s="25">
        <v>114000</v>
      </c>
      <c r="O522" s="25">
        <v>63835.09</v>
      </c>
      <c r="P522" s="25">
        <v>50164.91</v>
      </c>
      <c r="Q522" s="21">
        <v>44</v>
      </c>
      <c r="R522" s="11" t="s">
        <v>41</v>
      </c>
      <c r="S522" s="11" t="s">
        <v>74</v>
      </c>
      <c r="T522" s="11" t="s">
        <v>86</v>
      </c>
      <c r="U522" s="11" t="s">
        <v>218</v>
      </c>
      <c r="V522" s="11">
        <v>2025</v>
      </c>
      <c r="W522" s="11" t="s">
        <v>65</v>
      </c>
      <c r="X522" s="11">
        <v>4</v>
      </c>
      <c r="Y522" s="10" t="s">
        <v>1115</v>
      </c>
      <c r="Z522" s="11" t="s">
        <v>47</v>
      </c>
      <c r="AA522" s="11" t="s">
        <v>48</v>
      </c>
      <c r="AB522" s="11" t="s">
        <v>111</v>
      </c>
      <c r="AC522" s="11" t="s">
        <v>121</v>
      </c>
      <c r="AD522" s="11">
        <v>1</v>
      </c>
      <c r="AE522" s="11" t="s">
        <v>2220</v>
      </c>
      <c r="AF522" s="11" t="s">
        <v>2235</v>
      </c>
      <c r="AG522" s="25"/>
      <c r="AH522" s="11"/>
      <c r="AI522" s="11"/>
      <c r="AJ522" s="11"/>
      <c r="AK522" s="11"/>
      <c r="AL522" s="11"/>
      <c r="AM522" s="11" t="str">
        <f t="shared" si="44"/>
        <v>Good</v>
      </c>
      <c r="AN522" s="11" t="str" cm="1">
        <f t="array" ref="AN522">_xlfn.IFS(N522&lt;10000,"Low",N522&lt;30000,"Medium",N522&gt;=30000,"High")</f>
        <v>High</v>
      </c>
      <c r="AO522" s="11" t="str">
        <f t="shared" si="45"/>
        <v>Yes</v>
      </c>
      <c r="AP522" s="11" t="str">
        <f t="shared" si="46"/>
        <v>Yes</v>
      </c>
      <c r="AQ522" s="11">
        <f t="shared" si="47"/>
        <v>0.44004307017543864</v>
      </c>
      <c r="AR522" s="33"/>
      <c r="AS522" s="33"/>
      <c r="AT522" s="33"/>
      <c r="AU522" s="33"/>
      <c r="AV522" s="33"/>
      <c r="AW522" s="33"/>
      <c r="AX522" s="33" t="str">
        <f t="shared" si="48"/>
        <v>Excellent</v>
      </c>
    </row>
    <row r="523" spans="1:50">
      <c r="A523" s="9" t="s">
        <v>1664</v>
      </c>
      <c r="B523" s="10" t="s">
        <v>411</v>
      </c>
      <c r="C523" s="11" t="s">
        <v>1067</v>
      </c>
      <c r="D523" s="11" t="s">
        <v>1665</v>
      </c>
      <c r="E523" s="11" t="s">
        <v>35</v>
      </c>
      <c r="F523" s="11" t="s">
        <v>56</v>
      </c>
      <c r="G523" s="11" t="s">
        <v>57</v>
      </c>
      <c r="H523" s="11" t="s">
        <v>38</v>
      </c>
      <c r="I523" s="11" t="s">
        <v>84</v>
      </c>
      <c r="J523" s="11" t="s">
        <v>390</v>
      </c>
      <c r="K523" s="25">
        <v>10</v>
      </c>
      <c r="L523" s="25">
        <v>800</v>
      </c>
      <c r="M523" s="29">
        <v>0.2</v>
      </c>
      <c r="N523" s="25">
        <v>6400</v>
      </c>
      <c r="O523" s="25">
        <v>4012.92</v>
      </c>
      <c r="P523" s="25">
        <v>2387.08</v>
      </c>
      <c r="Q523" s="21">
        <v>37.299999999999997</v>
      </c>
      <c r="R523" s="11" t="s">
        <v>106</v>
      </c>
      <c r="S523" s="11" t="s">
        <v>42</v>
      </c>
      <c r="T523" s="11" t="s">
        <v>86</v>
      </c>
      <c r="U523" s="11" t="s">
        <v>218</v>
      </c>
      <c r="V523" s="11">
        <v>2025</v>
      </c>
      <c r="W523" s="11" t="s">
        <v>65</v>
      </c>
      <c r="X523" s="11">
        <v>9</v>
      </c>
      <c r="Y523" s="10" t="s">
        <v>943</v>
      </c>
      <c r="Z523" s="11" t="s">
        <v>110</v>
      </c>
      <c r="AA523" s="11" t="s">
        <v>67</v>
      </c>
      <c r="AB523" s="11" t="s">
        <v>111</v>
      </c>
      <c r="AC523" s="11" t="s">
        <v>50</v>
      </c>
      <c r="AD523" s="11">
        <v>5</v>
      </c>
      <c r="AE523" s="11" t="s">
        <v>2216</v>
      </c>
      <c r="AF523" s="11" t="s">
        <v>2238</v>
      </c>
      <c r="AG523" s="25"/>
      <c r="AH523" s="11"/>
      <c r="AI523" s="11"/>
      <c r="AJ523" s="11"/>
      <c r="AK523" s="11"/>
      <c r="AL523" s="11"/>
      <c r="AM523" s="11" t="str">
        <f t="shared" si="44"/>
        <v>Good</v>
      </c>
      <c r="AN523" s="11" t="str" cm="1">
        <f t="array" ref="AN523">_xlfn.IFS(N523&lt;10000,"Low",N523&lt;30000,"Medium",N523&gt;=30000,"High")</f>
        <v>Low</v>
      </c>
      <c r="AO523" s="11" t="str">
        <f t="shared" si="45"/>
        <v>No</v>
      </c>
      <c r="AP523" s="11" t="str">
        <f t="shared" si="46"/>
        <v>Yes</v>
      </c>
      <c r="AQ523" s="11">
        <f t="shared" si="47"/>
        <v>0.37298124999999999</v>
      </c>
      <c r="AR523" s="33"/>
      <c r="AS523" s="33"/>
      <c r="AT523" s="33"/>
      <c r="AU523" s="33"/>
      <c r="AV523" s="33"/>
      <c r="AW523" s="33"/>
      <c r="AX523" s="33" t="str">
        <f t="shared" si="48"/>
        <v>Low</v>
      </c>
    </row>
    <row r="524" spans="1:50">
      <c r="A524" s="9" t="s">
        <v>2133</v>
      </c>
      <c r="B524" s="10" t="s">
        <v>411</v>
      </c>
      <c r="C524" s="11" t="s">
        <v>923</v>
      </c>
      <c r="D524" s="11" t="s">
        <v>1998</v>
      </c>
      <c r="E524" s="11" t="s">
        <v>55</v>
      </c>
      <c r="F524" s="11" t="s">
        <v>131</v>
      </c>
      <c r="G524" s="11" t="s">
        <v>132</v>
      </c>
      <c r="H524" s="11" t="s">
        <v>171</v>
      </c>
      <c r="I524" s="11" t="s">
        <v>84</v>
      </c>
      <c r="J524" s="11" t="s">
        <v>217</v>
      </c>
      <c r="K524" s="25">
        <v>7</v>
      </c>
      <c r="L524" s="25">
        <v>800</v>
      </c>
      <c r="M524" s="29">
        <v>0.2</v>
      </c>
      <c r="N524" s="25">
        <v>4480</v>
      </c>
      <c r="O524" s="25">
        <v>3102.3</v>
      </c>
      <c r="P524" s="25">
        <v>1377.7</v>
      </c>
      <c r="Q524" s="21">
        <v>30.75</v>
      </c>
      <c r="R524" s="11" t="s">
        <v>166</v>
      </c>
      <c r="S524" s="11" t="s">
        <v>42</v>
      </c>
      <c r="T524" s="11" t="s">
        <v>118</v>
      </c>
      <c r="U524" s="11" t="s">
        <v>218</v>
      </c>
      <c r="V524" s="11">
        <v>2025</v>
      </c>
      <c r="W524" s="11" t="s">
        <v>65</v>
      </c>
      <c r="X524" s="11">
        <v>7</v>
      </c>
      <c r="Y524" s="10" t="s">
        <v>381</v>
      </c>
      <c r="Z524" s="11" t="s">
        <v>89</v>
      </c>
      <c r="AA524" s="11" t="s">
        <v>67</v>
      </c>
      <c r="AB524" s="11" t="s">
        <v>49</v>
      </c>
      <c r="AC524" s="11" t="s">
        <v>50</v>
      </c>
      <c r="AD524" s="11">
        <v>4</v>
      </c>
      <c r="AE524" s="11" t="s">
        <v>2234</v>
      </c>
      <c r="AF524" s="11" t="s">
        <v>2231</v>
      </c>
      <c r="AG524" s="25"/>
      <c r="AH524" s="11"/>
      <c r="AI524" s="11"/>
      <c r="AJ524" s="11"/>
      <c r="AK524" s="11"/>
      <c r="AL524" s="11"/>
      <c r="AM524" s="11" t="str">
        <f t="shared" si="44"/>
        <v>Good</v>
      </c>
      <c r="AN524" s="11" t="str" cm="1">
        <f t="array" ref="AN524">_xlfn.IFS(N524&lt;10000,"Low",N524&lt;30000,"Medium",N524&gt;=30000,"High")</f>
        <v>Low</v>
      </c>
      <c r="AO524" s="11" t="str">
        <f t="shared" si="45"/>
        <v>No</v>
      </c>
      <c r="AP524" s="11" t="str">
        <f t="shared" si="46"/>
        <v>Yes</v>
      </c>
      <c r="AQ524" s="11">
        <f t="shared" si="47"/>
        <v>0.30752232142857144</v>
      </c>
      <c r="AR524" s="33"/>
      <c r="AS524" s="33"/>
      <c r="AT524" s="33"/>
      <c r="AU524" s="33"/>
      <c r="AV524" s="33"/>
      <c r="AW524" s="33"/>
      <c r="AX524" s="33" t="str">
        <f t="shared" si="48"/>
        <v>Low</v>
      </c>
    </row>
    <row r="525" spans="1:50">
      <c r="A525" s="9" t="s">
        <v>1274</v>
      </c>
      <c r="B525" s="10" t="s">
        <v>1275</v>
      </c>
      <c r="C525" s="11" t="s">
        <v>169</v>
      </c>
      <c r="D525" s="11" t="s">
        <v>763</v>
      </c>
      <c r="E525" s="11" t="s">
        <v>103</v>
      </c>
      <c r="F525" s="11" t="s">
        <v>56</v>
      </c>
      <c r="G525" s="11" t="s">
        <v>57</v>
      </c>
      <c r="H525" s="11" t="s">
        <v>58</v>
      </c>
      <c r="I525" s="11" t="s">
        <v>84</v>
      </c>
      <c r="J525" s="11" t="s">
        <v>217</v>
      </c>
      <c r="K525" s="25">
        <v>10</v>
      </c>
      <c r="L525" s="25">
        <v>100</v>
      </c>
      <c r="M525" s="29">
        <v>0</v>
      </c>
      <c r="N525" s="25">
        <v>1000</v>
      </c>
      <c r="O525" s="25">
        <v>652.85</v>
      </c>
      <c r="P525" s="25">
        <v>347.15</v>
      </c>
      <c r="Q525" s="21">
        <v>34.71</v>
      </c>
      <c r="R525" s="11" t="s">
        <v>41</v>
      </c>
      <c r="S525" s="11" t="s">
        <v>74</v>
      </c>
      <c r="T525" s="11" t="s">
        <v>159</v>
      </c>
      <c r="U525" s="11" t="s">
        <v>108</v>
      </c>
      <c r="V525" s="11">
        <v>2024</v>
      </c>
      <c r="W525" s="11" t="s">
        <v>126</v>
      </c>
      <c r="X525" s="11">
        <v>9</v>
      </c>
      <c r="Y525" s="10" t="s">
        <v>921</v>
      </c>
      <c r="Z525" s="11" t="s">
        <v>89</v>
      </c>
      <c r="AA525" s="11" t="s">
        <v>90</v>
      </c>
      <c r="AB525" s="11" t="s">
        <v>111</v>
      </c>
      <c r="AC525" s="11" t="s">
        <v>50</v>
      </c>
      <c r="AD525" s="11">
        <v>3</v>
      </c>
      <c r="AE525" s="11" t="s">
        <v>159</v>
      </c>
      <c r="AF525" s="11" t="s">
        <v>2222</v>
      </c>
      <c r="AG525" s="25"/>
      <c r="AH525" s="11"/>
      <c r="AI525" s="11"/>
      <c r="AJ525" s="11"/>
      <c r="AK525" s="11"/>
      <c r="AL525" s="11"/>
      <c r="AM525" s="11" t="str">
        <f t="shared" si="44"/>
        <v>Good</v>
      </c>
      <c r="AN525" s="11" t="str" cm="1">
        <f t="array" ref="AN525">_xlfn.IFS(N525&lt;10000,"Low",N525&lt;30000,"Medium",N525&gt;=30000,"High")</f>
        <v>Low</v>
      </c>
      <c r="AO525" s="11" t="str">
        <f t="shared" si="45"/>
        <v>No</v>
      </c>
      <c r="AP525" s="11" t="str">
        <f t="shared" si="46"/>
        <v>Yes</v>
      </c>
      <c r="AQ525" s="11">
        <f t="shared" si="47"/>
        <v>0.34714999999999996</v>
      </c>
      <c r="AR525" s="33"/>
      <c r="AS525" s="33"/>
      <c r="AT525" s="33"/>
      <c r="AU525" s="33"/>
      <c r="AV525" s="33"/>
      <c r="AW525" s="33"/>
      <c r="AX525" s="33" t="str">
        <f t="shared" si="48"/>
        <v>Low</v>
      </c>
    </row>
    <row r="526" spans="1:50">
      <c r="A526" s="9" t="s">
        <v>1078</v>
      </c>
      <c r="B526" s="10" t="s">
        <v>474</v>
      </c>
      <c r="C526" s="11" t="s">
        <v>938</v>
      </c>
      <c r="D526" s="11" t="s">
        <v>913</v>
      </c>
      <c r="E526" s="11" t="s">
        <v>55</v>
      </c>
      <c r="F526" s="11" t="s">
        <v>144</v>
      </c>
      <c r="G526" s="11" t="s">
        <v>145</v>
      </c>
      <c r="H526" s="11" t="s">
        <v>58</v>
      </c>
      <c r="I526" s="11" t="s">
        <v>71</v>
      </c>
      <c r="J526" s="11" t="s">
        <v>172</v>
      </c>
      <c r="K526" s="25">
        <v>8</v>
      </c>
      <c r="L526" s="25">
        <v>2500</v>
      </c>
      <c r="M526" s="29">
        <v>0.05</v>
      </c>
      <c r="N526" s="25">
        <v>19000</v>
      </c>
      <c r="O526" s="25">
        <v>15473.59</v>
      </c>
      <c r="P526" s="25">
        <v>3526.41</v>
      </c>
      <c r="Q526" s="21">
        <v>18.559999999999999</v>
      </c>
      <c r="R526" s="11" t="s">
        <v>73</v>
      </c>
      <c r="S526" s="11" t="s">
        <v>42</v>
      </c>
      <c r="T526" s="11" t="s">
        <v>75</v>
      </c>
      <c r="U526" s="11" t="s">
        <v>108</v>
      </c>
      <c r="V526" s="11">
        <v>2025</v>
      </c>
      <c r="W526" s="11" t="s">
        <v>109</v>
      </c>
      <c r="X526" s="11">
        <v>4</v>
      </c>
      <c r="Y526" s="10" t="s">
        <v>795</v>
      </c>
      <c r="Z526" s="11" t="s">
        <v>47</v>
      </c>
      <c r="AA526" s="11" t="s">
        <v>67</v>
      </c>
      <c r="AB526" s="11" t="s">
        <v>49</v>
      </c>
      <c r="AC526" s="11" t="s">
        <v>50</v>
      </c>
      <c r="AD526" s="11">
        <v>3</v>
      </c>
      <c r="AE526" s="11" t="s">
        <v>2209</v>
      </c>
      <c r="AF526" s="11" t="s">
        <v>2231</v>
      </c>
      <c r="AG526" s="25"/>
      <c r="AH526" s="11"/>
      <c r="AI526" s="11"/>
      <c r="AJ526" s="11"/>
      <c r="AK526" s="11"/>
      <c r="AL526" s="11"/>
      <c r="AM526" s="11" t="str">
        <f t="shared" si="44"/>
        <v>Needs Improvement</v>
      </c>
      <c r="AN526" s="11" t="str" cm="1">
        <f t="array" ref="AN526">_xlfn.IFS(N526&lt;10000,"Low",N526&lt;30000,"Medium",N526&gt;=30000,"High")</f>
        <v>Medium</v>
      </c>
      <c r="AO526" s="11" t="str">
        <f t="shared" si="45"/>
        <v>No</v>
      </c>
      <c r="AP526" s="11" t="str">
        <f t="shared" si="46"/>
        <v>Yes</v>
      </c>
      <c r="AQ526" s="11">
        <f t="shared" si="47"/>
        <v>0.18560052631578947</v>
      </c>
      <c r="AR526" s="33"/>
      <c r="AS526" s="33"/>
      <c r="AT526" s="33"/>
      <c r="AU526" s="33"/>
      <c r="AV526" s="33"/>
      <c r="AW526" s="33"/>
      <c r="AX526" s="33" t="str">
        <f t="shared" si="48"/>
        <v>Low</v>
      </c>
    </row>
    <row r="527" spans="1:50">
      <c r="A527" s="9" t="s">
        <v>270</v>
      </c>
      <c r="B527" s="10" t="s">
        <v>271</v>
      </c>
      <c r="C527" s="11" t="s">
        <v>272</v>
      </c>
      <c r="D527" s="11" t="s">
        <v>273</v>
      </c>
      <c r="E527" s="11" t="s">
        <v>35</v>
      </c>
      <c r="F527" s="11" t="s">
        <v>149</v>
      </c>
      <c r="G527" s="11" t="s">
        <v>150</v>
      </c>
      <c r="H527" s="11" t="s">
        <v>38</v>
      </c>
      <c r="I527" s="11" t="s">
        <v>71</v>
      </c>
      <c r="J527" s="11" t="s">
        <v>240</v>
      </c>
      <c r="K527" s="25">
        <v>10</v>
      </c>
      <c r="L527" s="25">
        <v>3500</v>
      </c>
      <c r="M527" s="29">
        <v>0.2</v>
      </c>
      <c r="N527" s="25">
        <v>28000</v>
      </c>
      <c r="O527" s="25">
        <v>17639.62</v>
      </c>
      <c r="P527" s="25">
        <v>10360.379999999999</v>
      </c>
      <c r="Q527" s="21">
        <v>37</v>
      </c>
      <c r="R527" s="11" t="s">
        <v>61</v>
      </c>
      <c r="S527" s="11" t="s">
        <v>74</v>
      </c>
      <c r="T527" s="11" t="s">
        <v>43</v>
      </c>
      <c r="U527" s="11" t="s">
        <v>87</v>
      </c>
      <c r="V527" s="11">
        <v>2024</v>
      </c>
      <c r="W527" s="11" t="s">
        <v>134</v>
      </c>
      <c r="X527" s="11">
        <v>2</v>
      </c>
      <c r="Y527" s="10" t="s">
        <v>274</v>
      </c>
      <c r="Z527" s="11" t="s">
        <v>47</v>
      </c>
      <c r="AA527" s="11" t="s">
        <v>48</v>
      </c>
      <c r="AB527" s="11" t="s">
        <v>78</v>
      </c>
      <c r="AC527" s="11" t="s">
        <v>121</v>
      </c>
      <c r="AD527" s="11">
        <v>4</v>
      </c>
      <c r="AE527" s="11" t="s">
        <v>2248</v>
      </c>
      <c r="AF527" s="11" t="s">
        <v>2228</v>
      </c>
      <c r="AG527" s="25"/>
      <c r="AH527" s="11"/>
      <c r="AI527" s="11"/>
      <c r="AJ527" s="11"/>
      <c r="AK527" s="11"/>
      <c r="AL527" s="11"/>
      <c r="AM527" s="11" t="str">
        <f t="shared" si="44"/>
        <v>Good</v>
      </c>
      <c r="AN527" s="11" t="str" cm="1">
        <f t="array" ref="AN527">_xlfn.IFS(N527&lt;10000,"Low",N527&lt;30000,"Medium",N527&gt;=30000,"High")</f>
        <v>Medium</v>
      </c>
      <c r="AO527" s="11" t="str">
        <f t="shared" si="45"/>
        <v>No</v>
      </c>
      <c r="AP527" s="11" t="str">
        <f t="shared" si="46"/>
        <v>Yes</v>
      </c>
      <c r="AQ527" s="11">
        <f t="shared" si="47"/>
        <v>0.37001357142857139</v>
      </c>
      <c r="AR527" s="33"/>
      <c r="AS527" s="33"/>
      <c r="AT527" s="33"/>
      <c r="AU527" s="33"/>
      <c r="AV527" s="33"/>
      <c r="AW527" s="33"/>
      <c r="AX527" s="33" t="str">
        <f t="shared" si="48"/>
        <v>Good</v>
      </c>
    </row>
    <row r="528" spans="1:50">
      <c r="A528" s="9" t="s">
        <v>311</v>
      </c>
      <c r="B528" s="10" t="s">
        <v>271</v>
      </c>
      <c r="C528" s="11" t="s">
        <v>312</v>
      </c>
      <c r="D528" s="11" t="s">
        <v>313</v>
      </c>
      <c r="E528" s="11" t="s">
        <v>35</v>
      </c>
      <c r="F528" s="11" t="s">
        <v>116</v>
      </c>
      <c r="G528" s="11" t="s">
        <v>37</v>
      </c>
      <c r="H528" s="11" t="s">
        <v>94</v>
      </c>
      <c r="I528" s="11" t="s">
        <v>71</v>
      </c>
      <c r="J528" s="11" t="s">
        <v>240</v>
      </c>
      <c r="K528" s="25">
        <v>9</v>
      </c>
      <c r="L528" s="25">
        <v>1800</v>
      </c>
      <c r="M528" s="29">
        <v>0</v>
      </c>
      <c r="N528" s="25">
        <v>16200</v>
      </c>
      <c r="O528" s="25">
        <v>11446.58</v>
      </c>
      <c r="P528" s="25">
        <v>4753.42</v>
      </c>
      <c r="Q528" s="21">
        <v>29.34</v>
      </c>
      <c r="R528" s="11" t="s">
        <v>41</v>
      </c>
      <c r="S528" s="11" t="s">
        <v>62</v>
      </c>
      <c r="T528" s="11" t="s">
        <v>97</v>
      </c>
      <c r="U528" s="11" t="s">
        <v>87</v>
      </c>
      <c r="V528" s="11">
        <v>2024</v>
      </c>
      <c r="W528" s="11" t="s">
        <v>134</v>
      </c>
      <c r="X528" s="11">
        <v>5</v>
      </c>
      <c r="Y528" s="10" t="s">
        <v>314</v>
      </c>
      <c r="Z528" s="11" t="s">
        <v>89</v>
      </c>
      <c r="AA528" s="11" t="s">
        <v>67</v>
      </c>
      <c r="AB528" s="11" t="s">
        <v>111</v>
      </c>
      <c r="AC528" s="11" t="s">
        <v>50</v>
      </c>
      <c r="AD528" s="11">
        <v>4</v>
      </c>
      <c r="AE528" s="11" t="s">
        <v>2220</v>
      </c>
      <c r="AF528" s="11" t="s">
        <v>2217</v>
      </c>
      <c r="AG528" s="25"/>
      <c r="AH528" s="11"/>
      <c r="AI528" s="11"/>
      <c r="AJ528" s="11"/>
      <c r="AK528" s="11"/>
      <c r="AL528" s="11"/>
      <c r="AM528" s="11" t="str">
        <f t="shared" si="44"/>
        <v>Needs Improvement</v>
      </c>
      <c r="AN528" s="11" t="str" cm="1">
        <f t="array" ref="AN528">_xlfn.IFS(N528&lt;10000,"Low",N528&lt;30000,"Medium",N528&gt;=30000,"High")</f>
        <v>Medium</v>
      </c>
      <c r="AO528" s="11" t="str">
        <f t="shared" si="45"/>
        <v>No</v>
      </c>
      <c r="AP528" s="11" t="str">
        <f t="shared" si="46"/>
        <v>No</v>
      </c>
      <c r="AQ528" s="11">
        <f t="shared" si="47"/>
        <v>0.29342098765432101</v>
      </c>
      <c r="AR528" s="33"/>
      <c r="AS528" s="33"/>
      <c r="AT528" s="33"/>
      <c r="AU528" s="33"/>
      <c r="AV528" s="33"/>
      <c r="AW528" s="33"/>
      <c r="AX528" s="33" t="str">
        <f t="shared" si="48"/>
        <v>Low</v>
      </c>
    </row>
    <row r="529" spans="1:50">
      <c r="A529" s="9" t="s">
        <v>1653</v>
      </c>
      <c r="B529" s="10" t="s">
        <v>271</v>
      </c>
      <c r="C529" s="11" t="s">
        <v>272</v>
      </c>
      <c r="D529" s="11" t="s">
        <v>379</v>
      </c>
      <c r="E529" s="11" t="s">
        <v>103</v>
      </c>
      <c r="F529" s="11" t="s">
        <v>82</v>
      </c>
      <c r="G529" s="11" t="s">
        <v>83</v>
      </c>
      <c r="H529" s="11" t="s">
        <v>171</v>
      </c>
      <c r="I529" s="11" t="s">
        <v>59</v>
      </c>
      <c r="J529" s="11" t="s">
        <v>60</v>
      </c>
      <c r="K529" s="25">
        <v>7</v>
      </c>
      <c r="L529" s="25">
        <v>500</v>
      </c>
      <c r="M529" s="29">
        <v>0.15</v>
      </c>
      <c r="N529" s="25">
        <v>2975</v>
      </c>
      <c r="O529" s="25">
        <v>1898.54</v>
      </c>
      <c r="P529" s="25">
        <v>1076.46</v>
      </c>
      <c r="Q529" s="21">
        <v>36.18</v>
      </c>
      <c r="R529" s="11" t="s">
        <v>166</v>
      </c>
      <c r="S529" s="11" t="s">
        <v>62</v>
      </c>
      <c r="T529" s="11" t="s">
        <v>63</v>
      </c>
      <c r="U529" s="11" t="s">
        <v>87</v>
      </c>
      <c r="V529" s="11">
        <v>2024</v>
      </c>
      <c r="W529" s="11" t="s">
        <v>134</v>
      </c>
      <c r="X529" s="11">
        <v>3</v>
      </c>
      <c r="Y529" s="10" t="s">
        <v>1654</v>
      </c>
      <c r="Z529" s="11" t="s">
        <v>47</v>
      </c>
      <c r="AA529" s="11" t="s">
        <v>90</v>
      </c>
      <c r="AB529" s="11" t="s">
        <v>49</v>
      </c>
      <c r="AC529" s="11" t="s">
        <v>50</v>
      </c>
      <c r="AD529" s="11">
        <v>1</v>
      </c>
      <c r="AE529" s="11" t="s">
        <v>2216</v>
      </c>
      <c r="AF529" s="11" t="s">
        <v>2223</v>
      </c>
      <c r="AG529" s="25"/>
      <c r="AH529" s="11"/>
      <c r="AI529" s="11"/>
      <c r="AJ529" s="11"/>
      <c r="AK529" s="11"/>
      <c r="AL529" s="11"/>
      <c r="AM529" s="11" t="str">
        <f t="shared" si="44"/>
        <v>Good</v>
      </c>
      <c r="AN529" s="11" t="str" cm="1">
        <f t="array" ref="AN529">_xlfn.IFS(N529&lt;10000,"Low",N529&lt;30000,"Medium",N529&gt;=30000,"High")</f>
        <v>Low</v>
      </c>
      <c r="AO529" s="11" t="str">
        <f t="shared" si="45"/>
        <v>No</v>
      </c>
      <c r="AP529" s="11" t="str">
        <f t="shared" si="46"/>
        <v>No</v>
      </c>
      <c r="AQ529" s="11">
        <f t="shared" si="47"/>
        <v>0.36183529411764709</v>
      </c>
      <c r="AR529" s="33"/>
      <c r="AS529" s="33"/>
      <c r="AT529" s="33"/>
      <c r="AU529" s="33"/>
      <c r="AV529" s="33"/>
      <c r="AW529" s="33"/>
      <c r="AX529" s="33" t="str">
        <f t="shared" si="48"/>
        <v>Low</v>
      </c>
    </row>
    <row r="530" spans="1:50">
      <c r="A530" s="9" t="s">
        <v>452</v>
      </c>
      <c r="B530" s="10" t="s">
        <v>453</v>
      </c>
      <c r="C530" s="11" t="s">
        <v>454</v>
      </c>
      <c r="D530" s="11" t="s">
        <v>455</v>
      </c>
      <c r="E530" s="11" t="s">
        <v>35</v>
      </c>
      <c r="F530" s="11" t="s">
        <v>149</v>
      </c>
      <c r="G530" s="11" t="s">
        <v>150</v>
      </c>
      <c r="H530" s="11" t="s">
        <v>38</v>
      </c>
      <c r="I530" s="11" t="s">
        <v>84</v>
      </c>
      <c r="J530" s="11" t="s">
        <v>390</v>
      </c>
      <c r="K530" s="25">
        <v>1</v>
      </c>
      <c r="L530" s="25">
        <v>200</v>
      </c>
      <c r="M530" s="29">
        <v>0.15</v>
      </c>
      <c r="N530" s="25">
        <v>170</v>
      </c>
      <c r="O530" s="25">
        <v>96.38</v>
      </c>
      <c r="P530" s="25">
        <v>73.62</v>
      </c>
      <c r="Q530" s="21">
        <v>43.31</v>
      </c>
      <c r="R530" s="11" t="s">
        <v>73</v>
      </c>
      <c r="S530" s="11" t="s">
        <v>62</v>
      </c>
      <c r="T530" s="11" t="s">
        <v>75</v>
      </c>
      <c r="U530" s="11" t="s">
        <v>87</v>
      </c>
      <c r="V530" s="11">
        <v>2025</v>
      </c>
      <c r="W530" s="11" t="s">
        <v>139</v>
      </c>
      <c r="X530" s="11">
        <v>10</v>
      </c>
      <c r="Y530" s="10" t="s">
        <v>456</v>
      </c>
      <c r="Z530" s="11" t="s">
        <v>110</v>
      </c>
      <c r="AA530" s="11" t="s">
        <v>90</v>
      </c>
      <c r="AB530" s="11" t="s">
        <v>111</v>
      </c>
      <c r="AC530" s="11" t="s">
        <v>50</v>
      </c>
      <c r="AD530" s="11">
        <v>2</v>
      </c>
      <c r="AE530" s="11" t="s">
        <v>2234</v>
      </c>
      <c r="AF530" s="11" t="s">
        <v>2210</v>
      </c>
      <c r="AG530" s="25"/>
      <c r="AH530" s="11"/>
      <c r="AI530" s="11"/>
      <c r="AJ530" s="11"/>
      <c r="AK530" s="11"/>
      <c r="AL530" s="11"/>
      <c r="AM530" s="11" t="str">
        <f t="shared" si="44"/>
        <v>Good</v>
      </c>
      <c r="AN530" s="11" t="str" cm="1">
        <f t="array" ref="AN530">_xlfn.IFS(N530&lt;10000,"Low",N530&lt;30000,"Medium",N530&gt;=30000,"High")</f>
        <v>Low</v>
      </c>
      <c r="AO530" s="11" t="str">
        <f t="shared" si="45"/>
        <v>No</v>
      </c>
      <c r="AP530" s="11" t="str">
        <f t="shared" si="46"/>
        <v>No</v>
      </c>
      <c r="AQ530" s="11">
        <f t="shared" si="47"/>
        <v>0.43305882352941177</v>
      </c>
      <c r="AR530" s="33"/>
      <c r="AS530" s="33"/>
      <c r="AT530" s="33"/>
      <c r="AU530" s="33"/>
      <c r="AV530" s="33"/>
      <c r="AW530" s="33"/>
      <c r="AX530" s="33" t="str">
        <f t="shared" si="48"/>
        <v>Low</v>
      </c>
    </row>
    <row r="531" spans="1:50">
      <c r="A531" s="9" t="s">
        <v>1557</v>
      </c>
      <c r="B531" s="10" t="s">
        <v>453</v>
      </c>
      <c r="C531" s="11" t="s">
        <v>1558</v>
      </c>
      <c r="D531" s="11" t="s">
        <v>293</v>
      </c>
      <c r="E531" s="11" t="s">
        <v>103</v>
      </c>
      <c r="F531" s="11" t="s">
        <v>131</v>
      </c>
      <c r="G531" s="11" t="s">
        <v>132</v>
      </c>
      <c r="H531" s="11" t="s">
        <v>38</v>
      </c>
      <c r="I531" s="11" t="s">
        <v>39</v>
      </c>
      <c r="J531" s="11" t="s">
        <v>253</v>
      </c>
      <c r="K531" s="25">
        <v>3</v>
      </c>
      <c r="L531" s="25">
        <v>50000</v>
      </c>
      <c r="M531" s="29">
        <v>0.15</v>
      </c>
      <c r="N531" s="25">
        <v>127500</v>
      </c>
      <c r="O531" s="25">
        <v>71381.03</v>
      </c>
      <c r="P531" s="25">
        <v>56118.97</v>
      </c>
      <c r="Q531" s="21">
        <v>44.01</v>
      </c>
      <c r="R531" s="11" t="s">
        <v>41</v>
      </c>
      <c r="S531" s="11" t="s">
        <v>62</v>
      </c>
      <c r="T531" s="11" t="s">
        <v>86</v>
      </c>
      <c r="U531" s="11" t="s">
        <v>87</v>
      </c>
      <c r="V531" s="11">
        <v>2025</v>
      </c>
      <c r="W531" s="11" t="s">
        <v>139</v>
      </c>
      <c r="X531" s="11">
        <v>10</v>
      </c>
      <c r="Y531" s="10" t="s">
        <v>456</v>
      </c>
      <c r="Z531" s="11" t="s">
        <v>47</v>
      </c>
      <c r="AA531" s="11" t="s">
        <v>67</v>
      </c>
      <c r="AB531" s="11" t="s">
        <v>49</v>
      </c>
      <c r="AC531" s="11" t="s">
        <v>121</v>
      </c>
      <c r="AD531" s="11">
        <v>5</v>
      </c>
      <c r="AE531" s="11" t="s">
        <v>2221</v>
      </c>
      <c r="AF531" s="11" t="s">
        <v>2214</v>
      </c>
      <c r="AG531" s="25"/>
      <c r="AH531" s="11"/>
      <c r="AI531" s="11"/>
      <c r="AJ531" s="11"/>
      <c r="AK531" s="11"/>
      <c r="AL531" s="11"/>
      <c r="AM531" s="11" t="str">
        <f t="shared" si="44"/>
        <v>Good</v>
      </c>
      <c r="AN531" s="11" t="str" cm="1">
        <f t="array" ref="AN531">_xlfn.IFS(N531&lt;10000,"Low",N531&lt;30000,"Medium",N531&gt;=30000,"High")</f>
        <v>High</v>
      </c>
      <c r="AO531" s="11" t="str">
        <f t="shared" si="45"/>
        <v>Yes</v>
      </c>
      <c r="AP531" s="11" t="str">
        <f t="shared" si="46"/>
        <v>No</v>
      </c>
      <c r="AQ531" s="11">
        <f t="shared" si="47"/>
        <v>0.44014878431372551</v>
      </c>
      <c r="AR531" s="33"/>
      <c r="AS531" s="33"/>
      <c r="AT531" s="33"/>
      <c r="AU531" s="33"/>
      <c r="AV531" s="33"/>
      <c r="AW531" s="33"/>
      <c r="AX531" s="33" t="str">
        <f t="shared" si="48"/>
        <v>Excellent</v>
      </c>
    </row>
    <row r="532" spans="1:50">
      <c r="A532" s="9" t="s">
        <v>505</v>
      </c>
      <c r="B532" s="10" t="s">
        <v>506</v>
      </c>
      <c r="C532" s="11" t="s">
        <v>507</v>
      </c>
      <c r="D532" s="11" t="s">
        <v>508</v>
      </c>
      <c r="E532" s="11" t="s">
        <v>55</v>
      </c>
      <c r="F532" s="11" t="s">
        <v>144</v>
      </c>
      <c r="G532" s="11" t="s">
        <v>145</v>
      </c>
      <c r="H532" s="11" t="s">
        <v>94</v>
      </c>
      <c r="I532" s="11" t="s">
        <v>71</v>
      </c>
      <c r="J532" s="11" t="s">
        <v>117</v>
      </c>
      <c r="K532" s="25">
        <v>3</v>
      </c>
      <c r="L532" s="25">
        <v>1800</v>
      </c>
      <c r="M532" s="29">
        <v>0.2</v>
      </c>
      <c r="N532" s="25">
        <v>4320</v>
      </c>
      <c r="O532" s="25">
        <v>2957.18</v>
      </c>
      <c r="P532" s="25">
        <v>1362.82</v>
      </c>
      <c r="Q532" s="21">
        <v>31.55</v>
      </c>
      <c r="R532" s="11" t="s">
        <v>106</v>
      </c>
      <c r="S532" s="11" t="s">
        <v>74</v>
      </c>
      <c r="T532" s="11" t="s">
        <v>75</v>
      </c>
      <c r="U532" s="11" t="s">
        <v>198</v>
      </c>
      <c r="V532" s="11">
        <v>2024</v>
      </c>
      <c r="W532" s="11" t="s">
        <v>65</v>
      </c>
      <c r="X532" s="11">
        <v>4</v>
      </c>
      <c r="Y532" s="10" t="s">
        <v>509</v>
      </c>
      <c r="Z532" s="11" t="s">
        <v>47</v>
      </c>
      <c r="AA532" s="11" t="s">
        <v>48</v>
      </c>
      <c r="AB532" s="11" t="s">
        <v>78</v>
      </c>
      <c r="AC532" s="11" t="s">
        <v>121</v>
      </c>
      <c r="AD532" s="11">
        <v>2</v>
      </c>
      <c r="AE532" s="11" t="s">
        <v>2239</v>
      </c>
      <c r="AF532" s="11" t="s">
        <v>2219</v>
      </c>
      <c r="AG532" s="25"/>
      <c r="AH532" s="11"/>
      <c r="AI532" s="11"/>
      <c r="AJ532" s="11"/>
      <c r="AK532" s="11"/>
      <c r="AL532" s="11"/>
      <c r="AM532" s="11" t="str">
        <f t="shared" si="44"/>
        <v>Good</v>
      </c>
      <c r="AN532" s="11" t="str" cm="1">
        <f t="array" ref="AN532">_xlfn.IFS(N532&lt;10000,"Low",N532&lt;30000,"Medium",N532&gt;=30000,"High")</f>
        <v>Low</v>
      </c>
      <c r="AO532" s="11" t="str">
        <f t="shared" si="45"/>
        <v>No</v>
      </c>
      <c r="AP532" s="11" t="str">
        <f t="shared" si="46"/>
        <v>Yes</v>
      </c>
      <c r="AQ532" s="11">
        <f t="shared" si="47"/>
        <v>0.3154675925925926</v>
      </c>
      <c r="AR532" s="33"/>
      <c r="AS532" s="33"/>
      <c r="AT532" s="33"/>
      <c r="AU532" s="33"/>
      <c r="AV532" s="33"/>
      <c r="AW532" s="33"/>
      <c r="AX532" s="33" t="str">
        <f t="shared" si="48"/>
        <v>Low</v>
      </c>
    </row>
    <row r="533" spans="1:50">
      <c r="A533" s="9" t="s">
        <v>825</v>
      </c>
      <c r="B533" s="10" t="s">
        <v>826</v>
      </c>
      <c r="C533" s="11" t="s">
        <v>827</v>
      </c>
      <c r="D533" s="11" t="s">
        <v>828</v>
      </c>
      <c r="E533" s="11" t="s">
        <v>55</v>
      </c>
      <c r="F533" s="11" t="s">
        <v>82</v>
      </c>
      <c r="G533" s="11" t="s">
        <v>83</v>
      </c>
      <c r="H533" s="11" t="s">
        <v>94</v>
      </c>
      <c r="I533" s="11" t="s">
        <v>71</v>
      </c>
      <c r="J533" s="11" t="s">
        <v>172</v>
      </c>
      <c r="K533" s="25">
        <v>5</v>
      </c>
      <c r="L533" s="25">
        <v>700</v>
      </c>
      <c r="M533" s="29">
        <v>0.1</v>
      </c>
      <c r="N533" s="25">
        <v>3150</v>
      </c>
      <c r="O533" s="25">
        <v>2073.36</v>
      </c>
      <c r="P533" s="25">
        <v>1076.6400000000001</v>
      </c>
      <c r="Q533" s="21">
        <v>34.18</v>
      </c>
      <c r="R533" s="11" t="s">
        <v>166</v>
      </c>
      <c r="S533" s="11" t="s">
        <v>42</v>
      </c>
      <c r="T533" s="11" t="s">
        <v>118</v>
      </c>
      <c r="U533" s="11" t="s">
        <v>64</v>
      </c>
      <c r="V533" s="11">
        <v>2024</v>
      </c>
      <c r="W533" s="11" t="s">
        <v>126</v>
      </c>
      <c r="X533" s="11">
        <v>3</v>
      </c>
      <c r="Y533" s="10" t="s">
        <v>66</v>
      </c>
      <c r="Z533" s="11" t="s">
        <v>47</v>
      </c>
      <c r="AA533" s="11" t="s">
        <v>90</v>
      </c>
      <c r="AB533" s="11" t="s">
        <v>49</v>
      </c>
      <c r="AC533" s="11" t="s">
        <v>121</v>
      </c>
      <c r="AD533" s="11">
        <v>2</v>
      </c>
      <c r="AE533" s="11" t="s">
        <v>2225</v>
      </c>
      <c r="AF533" s="11" t="s">
        <v>2217</v>
      </c>
      <c r="AG533" s="25"/>
      <c r="AH533" s="11"/>
      <c r="AI533" s="11"/>
      <c r="AJ533" s="11"/>
      <c r="AK533" s="11"/>
      <c r="AL533" s="11"/>
      <c r="AM533" s="11" t="str">
        <f t="shared" si="44"/>
        <v>Good</v>
      </c>
      <c r="AN533" s="11" t="str" cm="1">
        <f t="array" ref="AN533">_xlfn.IFS(N533&lt;10000,"Low",N533&lt;30000,"Medium",N533&gt;=30000,"High")</f>
        <v>Low</v>
      </c>
      <c r="AO533" s="11" t="str">
        <f t="shared" si="45"/>
        <v>No</v>
      </c>
      <c r="AP533" s="11" t="str">
        <f t="shared" si="46"/>
        <v>Yes</v>
      </c>
      <c r="AQ533" s="11">
        <f t="shared" si="47"/>
        <v>0.3417904761904762</v>
      </c>
      <c r="AR533" s="33"/>
      <c r="AS533" s="33"/>
      <c r="AT533" s="33"/>
      <c r="AU533" s="33"/>
      <c r="AV533" s="33"/>
      <c r="AW533" s="33"/>
      <c r="AX533" s="33" t="str">
        <f t="shared" si="48"/>
        <v>Low</v>
      </c>
    </row>
    <row r="534" spans="1:50">
      <c r="A534" s="9" t="s">
        <v>1550</v>
      </c>
      <c r="B534" s="10" t="s">
        <v>826</v>
      </c>
      <c r="C534" s="11" t="s">
        <v>1345</v>
      </c>
      <c r="D534" s="11" t="s">
        <v>1551</v>
      </c>
      <c r="E534" s="11" t="s">
        <v>55</v>
      </c>
      <c r="F534" s="11" t="s">
        <v>156</v>
      </c>
      <c r="G534" s="11" t="s">
        <v>157</v>
      </c>
      <c r="H534" s="11" t="s">
        <v>58</v>
      </c>
      <c r="I534" s="11" t="s">
        <v>95</v>
      </c>
      <c r="J534" s="11" t="s">
        <v>440</v>
      </c>
      <c r="K534" s="25">
        <v>6</v>
      </c>
      <c r="L534" s="25">
        <v>2500</v>
      </c>
      <c r="M534" s="29">
        <v>0.1</v>
      </c>
      <c r="N534" s="25">
        <v>13500</v>
      </c>
      <c r="O534" s="25">
        <v>8200.06</v>
      </c>
      <c r="P534" s="25">
        <v>5299.94</v>
      </c>
      <c r="Q534" s="21">
        <v>39.26</v>
      </c>
      <c r="R534" s="11" t="s">
        <v>41</v>
      </c>
      <c r="S534" s="11" t="s">
        <v>74</v>
      </c>
      <c r="T534" s="11" t="s">
        <v>138</v>
      </c>
      <c r="U534" s="11" t="s">
        <v>64</v>
      </c>
      <c r="V534" s="11">
        <v>2024</v>
      </c>
      <c r="W534" s="11" t="s">
        <v>126</v>
      </c>
      <c r="X534" s="11">
        <v>10</v>
      </c>
      <c r="Y534" s="10" t="s">
        <v>231</v>
      </c>
      <c r="Z534" s="11" t="s">
        <v>110</v>
      </c>
      <c r="AA534" s="11" t="s">
        <v>90</v>
      </c>
      <c r="AB534" s="11" t="s">
        <v>111</v>
      </c>
      <c r="AC534" s="11" t="s">
        <v>121</v>
      </c>
      <c r="AD534" s="11">
        <v>3</v>
      </c>
      <c r="AE534" s="11" t="s">
        <v>2209</v>
      </c>
      <c r="AF534" s="11" t="s">
        <v>2228</v>
      </c>
      <c r="AG534" s="25"/>
      <c r="AH534" s="11"/>
      <c r="AI534" s="11"/>
      <c r="AJ534" s="11"/>
      <c r="AK534" s="11"/>
      <c r="AL534" s="11"/>
      <c r="AM534" s="11" t="str">
        <f t="shared" si="44"/>
        <v>Good</v>
      </c>
      <c r="AN534" s="11" t="str" cm="1">
        <f t="array" ref="AN534">_xlfn.IFS(N534&lt;10000,"Low",N534&lt;30000,"Medium",N534&gt;=30000,"High")</f>
        <v>Medium</v>
      </c>
      <c r="AO534" s="11" t="str">
        <f t="shared" si="45"/>
        <v>No</v>
      </c>
      <c r="AP534" s="11" t="str">
        <f t="shared" si="46"/>
        <v>Yes</v>
      </c>
      <c r="AQ534" s="11">
        <f t="shared" si="47"/>
        <v>0.39258814814814813</v>
      </c>
      <c r="AR534" s="33"/>
      <c r="AS534" s="33"/>
      <c r="AT534" s="33"/>
      <c r="AU534" s="33"/>
      <c r="AV534" s="33"/>
      <c r="AW534" s="33"/>
      <c r="AX534" s="33" t="str">
        <f t="shared" si="48"/>
        <v>Average</v>
      </c>
    </row>
    <row r="535" spans="1:50">
      <c r="A535" s="9" t="s">
        <v>1257</v>
      </c>
      <c r="B535" s="10" t="s">
        <v>1258</v>
      </c>
      <c r="C535" s="11" t="s">
        <v>1259</v>
      </c>
      <c r="D535" s="11" t="s">
        <v>339</v>
      </c>
      <c r="E535" s="11" t="s">
        <v>103</v>
      </c>
      <c r="F535" s="11" t="s">
        <v>56</v>
      </c>
      <c r="G535" s="11" t="s">
        <v>57</v>
      </c>
      <c r="H535" s="11" t="s">
        <v>171</v>
      </c>
      <c r="I535" s="11" t="s">
        <v>71</v>
      </c>
      <c r="J535" s="11" t="s">
        <v>240</v>
      </c>
      <c r="K535" s="25">
        <v>7</v>
      </c>
      <c r="L535" s="25">
        <v>700</v>
      </c>
      <c r="M535" s="29">
        <v>0.05</v>
      </c>
      <c r="N535" s="25">
        <v>4655</v>
      </c>
      <c r="O535" s="25">
        <v>2643.66</v>
      </c>
      <c r="P535" s="25">
        <v>2011.34</v>
      </c>
      <c r="Q535" s="21">
        <v>43.21</v>
      </c>
      <c r="R535" s="11" t="s">
        <v>166</v>
      </c>
      <c r="S535" s="11" t="s">
        <v>42</v>
      </c>
      <c r="T535" s="11" t="s">
        <v>43</v>
      </c>
      <c r="U535" s="11" t="s">
        <v>64</v>
      </c>
      <c r="V535" s="11">
        <v>2025</v>
      </c>
      <c r="W535" s="11" t="s">
        <v>109</v>
      </c>
      <c r="X535" s="11">
        <v>5</v>
      </c>
      <c r="Y535" s="10" t="s">
        <v>401</v>
      </c>
      <c r="Z535" s="11" t="s">
        <v>89</v>
      </c>
      <c r="AA535" s="11" t="s">
        <v>90</v>
      </c>
      <c r="AB535" s="11" t="s">
        <v>111</v>
      </c>
      <c r="AC535" s="11" t="s">
        <v>121</v>
      </c>
      <c r="AD535" s="11">
        <v>4</v>
      </c>
      <c r="AE535" s="11" t="s">
        <v>2234</v>
      </c>
      <c r="AF535" s="11" t="s">
        <v>2214</v>
      </c>
      <c r="AG535" s="25"/>
      <c r="AH535" s="11"/>
      <c r="AI535" s="11"/>
      <c r="AJ535" s="11"/>
      <c r="AK535" s="11"/>
      <c r="AL535" s="11"/>
      <c r="AM535" s="11" t="str">
        <f t="shared" si="44"/>
        <v>Good</v>
      </c>
      <c r="AN535" s="11" t="str" cm="1">
        <f t="array" ref="AN535">_xlfn.IFS(N535&lt;10000,"Low",N535&lt;30000,"Medium",N535&gt;=30000,"High")</f>
        <v>Low</v>
      </c>
      <c r="AO535" s="11" t="str">
        <f t="shared" si="45"/>
        <v>No</v>
      </c>
      <c r="AP535" s="11" t="str">
        <f t="shared" si="46"/>
        <v>Yes</v>
      </c>
      <c r="AQ535" s="11">
        <f t="shared" si="47"/>
        <v>0.43208163265306121</v>
      </c>
      <c r="AR535" s="33"/>
      <c r="AS535" s="33"/>
      <c r="AT535" s="33"/>
      <c r="AU535" s="33"/>
      <c r="AV535" s="33"/>
      <c r="AW535" s="33"/>
      <c r="AX535" s="33" t="str">
        <f t="shared" si="48"/>
        <v>Low</v>
      </c>
    </row>
    <row r="536" spans="1:50">
      <c r="A536" s="9" t="s">
        <v>1455</v>
      </c>
      <c r="B536" s="10" t="s">
        <v>1258</v>
      </c>
      <c r="C536" s="11" t="s">
        <v>382</v>
      </c>
      <c r="D536" s="11" t="s">
        <v>102</v>
      </c>
      <c r="E536" s="11" t="s">
        <v>103</v>
      </c>
      <c r="F536" s="11" t="s">
        <v>104</v>
      </c>
      <c r="G536" s="11" t="s">
        <v>104</v>
      </c>
      <c r="H536" s="11" t="s">
        <v>38</v>
      </c>
      <c r="I536" s="11" t="s">
        <v>84</v>
      </c>
      <c r="J536" s="11" t="s">
        <v>229</v>
      </c>
      <c r="K536" s="25">
        <v>2</v>
      </c>
      <c r="L536" s="25">
        <v>100</v>
      </c>
      <c r="M536" s="29">
        <v>0.15</v>
      </c>
      <c r="N536" s="25">
        <v>170</v>
      </c>
      <c r="O536" s="25">
        <v>94.68</v>
      </c>
      <c r="P536" s="25">
        <v>75.319999999999993</v>
      </c>
      <c r="Q536" s="21">
        <v>44.31</v>
      </c>
      <c r="R536" s="11" t="s">
        <v>61</v>
      </c>
      <c r="S536" s="11" t="s">
        <v>62</v>
      </c>
      <c r="T536" s="11" t="s">
        <v>63</v>
      </c>
      <c r="U536" s="11" t="s">
        <v>64</v>
      </c>
      <c r="V536" s="11">
        <v>2025</v>
      </c>
      <c r="W536" s="11" t="s">
        <v>109</v>
      </c>
      <c r="X536" s="11">
        <v>7</v>
      </c>
      <c r="Y536" s="10" t="s">
        <v>450</v>
      </c>
      <c r="Z536" s="11" t="s">
        <v>47</v>
      </c>
      <c r="AA536" s="11" t="s">
        <v>48</v>
      </c>
      <c r="AB536" s="11" t="s">
        <v>111</v>
      </c>
      <c r="AC536" s="11" t="s">
        <v>50</v>
      </c>
      <c r="AD536" s="11">
        <v>5</v>
      </c>
      <c r="AE536" s="11" t="s">
        <v>2227</v>
      </c>
      <c r="AF536" s="11" t="s">
        <v>2228</v>
      </c>
      <c r="AG536" s="25"/>
      <c r="AH536" s="11"/>
      <c r="AI536" s="11"/>
      <c r="AJ536" s="11"/>
      <c r="AK536" s="11"/>
      <c r="AL536" s="11"/>
      <c r="AM536" s="11" t="str">
        <f t="shared" si="44"/>
        <v>Good</v>
      </c>
      <c r="AN536" s="11" t="str" cm="1">
        <f t="array" ref="AN536">_xlfn.IFS(N536&lt;10000,"Low",N536&lt;30000,"Medium",N536&gt;=30000,"High")</f>
        <v>Low</v>
      </c>
      <c r="AO536" s="11" t="str">
        <f t="shared" si="45"/>
        <v>No</v>
      </c>
      <c r="AP536" s="11" t="str">
        <f t="shared" si="46"/>
        <v>No</v>
      </c>
      <c r="AQ536" s="11">
        <f t="shared" si="47"/>
        <v>0.44305882352941173</v>
      </c>
      <c r="AR536" s="33"/>
      <c r="AS536" s="33"/>
      <c r="AT536" s="33"/>
      <c r="AU536" s="33"/>
      <c r="AV536" s="33"/>
      <c r="AW536" s="33"/>
      <c r="AX536" s="33" t="str">
        <f t="shared" si="48"/>
        <v>Low</v>
      </c>
    </row>
    <row r="537" spans="1:50">
      <c r="A537" s="9" t="s">
        <v>1867</v>
      </c>
      <c r="B537" s="10" t="s">
        <v>1258</v>
      </c>
      <c r="C537" s="11" t="s">
        <v>809</v>
      </c>
      <c r="D537" s="11" t="s">
        <v>1166</v>
      </c>
      <c r="E537" s="11" t="s">
        <v>35</v>
      </c>
      <c r="F537" s="11" t="s">
        <v>56</v>
      </c>
      <c r="G537" s="11" t="s">
        <v>57</v>
      </c>
      <c r="H537" s="11" t="s">
        <v>38</v>
      </c>
      <c r="I537" s="11" t="s">
        <v>84</v>
      </c>
      <c r="J537" s="11" t="s">
        <v>217</v>
      </c>
      <c r="K537" s="25">
        <v>6</v>
      </c>
      <c r="L537" s="25">
        <v>800</v>
      </c>
      <c r="M537" s="29">
        <v>0.1</v>
      </c>
      <c r="N537" s="25">
        <v>4320</v>
      </c>
      <c r="O537" s="25">
        <v>3502.13</v>
      </c>
      <c r="P537" s="25">
        <v>817.87</v>
      </c>
      <c r="Q537" s="21">
        <v>18.93</v>
      </c>
      <c r="R537" s="11" t="s">
        <v>73</v>
      </c>
      <c r="S537" s="11" t="s">
        <v>62</v>
      </c>
      <c r="T537" s="11" t="s">
        <v>63</v>
      </c>
      <c r="U537" s="11" t="s">
        <v>64</v>
      </c>
      <c r="V537" s="11">
        <v>2025</v>
      </c>
      <c r="W537" s="11" t="s">
        <v>109</v>
      </c>
      <c r="X537" s="11">
        <v>4</v>
      </c>
      <c r="Y537" s="10" t="s">
        <v>1868</v>
      </c>
      <c r="Z537" s="11" t="s">
        <v>47</v>
      </c>
      <c r="AA537" s="11" t="s">
        <v>67</v>
      </c>
      <c r="AB537" s="11" t="s">
        <v>49</v>
      </c>
      <c r="AC537" s="11" t="s">
        <v>50</v>
      </c>
      <c r="AD537" s="11">
        <v>5</v>
      </c>
      <c r="AE537" s="11" t="s">
        <v>2229</v>
      </c>
      <c r="AF537" s="11" t="s">
        <v>2230</v>
      </c>
      <c r="AG537" s="25"/>
      <c r="AH537" s="11"/>
      <c r="AI537" s="11"/>
      <c r="AJ537" s="11"/>
      <c r="AK537" s="11"/>
      <c r="AL537" s="11"/>
      <c r="AM537" s="11" t="str">
        <f t="shared" si="44"/>
        <v>Needs Improvement</v>
      </c>
      <c r="AN537" s="11" t="str" cm="1">
        <f t="array" ref="AN537">_xlfn.IFS(N537&lt;10000,"Low",N537&lt;30000,"Medium",N537&gt;=30000,"High")</f>
        <v>Low</v>
      </c>
      <c r="AO537" s="11" t="str">
        <f t="shared" si="45"/>
        <v>No</v>
      </c>
      <c r="AP537" s="11" t="str">
        <f t="shared" si="46"/>
        <v>No</v>
      </c>
      <c r="AQ537" s="11">
        <f t="shared" si="47"/>
        <v>0.18932175925925926</v>
      </c>
      <c r="AR537" s="33"/>
      <c r="AS537" s="33"/>
      <c r="AT537" s="33"/>
      <c r="AU537" s="33"/>
      <c r="AV537" s="33"/>
      <c r="AW537" s="33"/>
      <c r="AX537" s="33" t="str">
        <f t="shared" si="48"/>
        <v>Low</v>
      </c>
    </row>
    <row r="538" spans="1:50">
      <c r="A538" s="9" t="s">
        <v>591</v>
      </c>
      <c r="B538" s="10" t="s">
        <v>592</v>
      </c>
      <c r="C538" s="11" t="s">
        <v>593</v>
      </c>
      <c r="D538" s="11" t="s">
        <v>594</v>
      </c>
      <c r="E538" s="11" t="s">
        <v>35</v>
      </c>
      <c r="F538" s="11" t="s">
        <v>156</v>
      </c>
      <c r="G538" s="11" t="s">
        <v>157</v>
      </c>
      <c r="H538" s="11" t="s">
        <v>38</v>
      </c>
      <c r="I538" s="11" t="s">
        <v>39</v>
      </c>
      <c r="J538" s="11" t="s">
        <v>165</v>
      </c>
      <c r="K538" s="25">
        <v>4</v>
      </c>
      <c r="L538" s="25">
        <v>50000</v>
      </c>
      <c r="M538" s="29">
        <v>0.05</v>
      </c>
      <c r="N538" s="25">
        <v>190000</v>
      </c>
      <c r="O538" s="25">
        <v>152453.1</v>
      </c>
      <c r="P538" s="25">
        <v>37546.9</v>
      </c>
      <c r="Q538" s="21">
        <v>19.760000000000002</v>
      </c>
      <c r="R538" s="11" t="s">
        <v>61</v>
      </c>
      <c r="S538" s="11" t="s">
        <v>74</v>
      </c>
      <c r="T538" s="11" t="s">
        <v>75</v>
      </c>
      <c r="U538" s="11" t="s">
        <v>76</v>
      </c>
      <c r="V538" s="11">
        <v>2024</v>
      </c>
      <c r="W538" s="11" t="s">
        <v>134</v>
      </c>
      <c r="X538" s="11">
        <v>5</v>
      </c>
      <c r="Y538" s="10" t="s">
        <v>369</v>
      </c>
      <c r="Z538" s="11" t="s">
        <v>89</v>
      </c>
      <c r="AA538" s="11" t="s">
        <v>48</v>
      </c>
      <c r="AB538" s="11" t="s">
        <v>49</v>
      </c>
      <c r="AC538" s="11" t="s">
        <v>50</v>
      </c>
      <c r="AD538" s="11">
        <v>5</v>
      </c>
      <c r="AE538" s="11" t="s">
        <v>2221</v>
      </c>
      <c r="AF538" s="11" t="s">
        <v>2228</v>
      </c>
      <c r="AG538" s="25"/>
      <c r="AH538" s="11"/>
      <c r="AI538" s="11"/>
      <c r="AJ538" s="11"/>
      <c r="AK538" s="11"/>
      <c r="AL538" s="11"/>
      <c r="AM538" s="11" t="str">
        <f t="shared" si="44"/>
        <v>Needs Improvement</v>
      </c>
      <c r="AN538" s="11" t="str" cm="1">
        <f t="array" ref="AN538">_xlfn.IFS(N538&lt;10000,"Low",N538&lt;30000,"Medium",N538&gt;=30000,"High")</f>
        <v>High</v>
      </c>
      <c r="AO538" s="11" t="str">
        <f t="shared" si="45"/>
        <v>Yes</v>
      </c>
      <c r="AP538" s="11" t="str">
        <f t="shared" si="46"/>
        <v>Yes</v>
      </c>
      <c r="AQ538" s="11">
        <f t="shared" si="47"/>
        <v>0.19761526315789474</v>
      </c>
      <c r="AR538" s="33"/>
      <c r="AS538" s="33"/>
      <c r="AT538" s="33"/>
      <c r="AU538" s="33"/>
      <c r="AV538" s="33"/>
      <c r="AW538" s="33"/>
      <c r="AX538" s="33" t="str">
        <f t="shared" si="48"/>
        <v>Excellent</v>
      </c>
    </row>
    <row r="539" spans="1:50">
      <c r="A539" s="9" t="s">
        <v>1302</v>
      </c>
      <c r="B539" s="10" t="s">
        <v>592</v>
      </c>
      <c r="C539" s="11" t="s">
        <v>129</v>
      </c>
      <c r="D539" s="11" t="s">
        <v>170</v>
      </c>
      <c r="E539" s="11" t="s">
        <v>35</v>
      </c>
      <c r="F539" s="11" t="s">
        <v>36</v>
      </c>
      <c r="G539" s="11" t="s">
        <v>37</v>
      </c>
      <c r="H539" s="11" t="s">
        <v>94</v>
      </c>
      <c r="I539" s="11" t="s">
        <v>95</v>
      </c>
      <c r="J539" s="11" t="s">
        <v>319</v>
      </c>
      <c r="K539" s="25">
        <v>1</v>
      </c>
      <c r="L539" s="25">
        <v>4000</v>
      </c>
      <c r="M539" s="29">
        <v>0</v>
      </c>
      <c r="N539" s="25">
        <v>4000</v>
      </c>
      <c r="O539" s="25">
        <v>2425.9699999999998</v>
      </c>
      <c r="P539" s="25">
        <v>1574.03</v>
      </c>
      <c r="Q539" s="21">
        <v>39.35</v>
      </c>
      <c r="R539" s="11" t="s">
        <v>41</v>
      </c>
      <c r="S539" s="11" t="s">
        <v>74</v>
      </c>
      <c r="T539" s="11" t="s">
        <v>173</v>
      </c>
      <c r="U539" s="11" t="s">
        <v>76</v>
      </c>
      <c r="V539" s="11">
        <v>2024</v>
      </c>
      <c r="W539" s="11" t="s">
        <v>134</v>
      </c>
      <c r="X539" s="11">
        <v>4</v>
      </c>
      <c r="Y539" s="10" t="s">
        <v>1303</v>
      </c>
      <c r="Z539" s="11" t="s">
        <v>47</v>
      </c>
      <c r="AA539" s="11" t="s">
        <v>67</v>
      </c>
      <c r="AB539" s="11" t="s">
        <v>78</v>
      </c>
      <c r="AC539" s="11" t="s">
        <v>121</v>
      </c>
      <c r="AD539" s="11">
        <v>4</v>
      </c>
      <c r="AE539" s="11" t="s">
        <v>2233</v>
      </c>
      <c r="AF539" s="11" t="s">
        <v>2235</v>
      </c>
      <c r="AG539" s="25"/>
      <c r="AH539" s="11"/>
      <c r="AI539" s="11"/>
      <c r="AJ539" s="11"/>
      <c r="AK539" s="11"/>
      <c r="AL539" s="11"/>
      <c r="AM539" s="11" t="str">
        <f t="shared" si="44"/>
        <v>Good</v>
      </c>
      <c r="AN539" s="11" t="str" cm="1">
        <f t="array" ref="AN539">_xlfn.IFS(N539&lt;10000,"Low",N539&lt;30000,"Medium",N539&gt;=30000,"High")</f>
        <v>Low</v>
      </c>
      <c r="AO539" s="11" t="str">
        <f t="shared" si="45"/>
        <v>No</v>
      </c>
      <c r="AP539" s="11" t="str">
        <f t="shared" si="46"/>
        <v>Yes</v>
      </c>
      <c r="AQ539" s="11">
        <f t="shared" si="47"/>
        <v>0.39350750000000001</v>
      </c>
      <c r="AR539" s="33"/>
      <c r="AS539" s="33"/>
      <c r="AT539" s="33"/>
      <c r="AU539" s="33"/>
      <c r="AV539" s="33"/>
      <c r="AW539" s="33"/>
      <c r="AX539" s="33" t="str">
        <f t="shared" si="48"/>
        <v>Low</v>
      </c>
    </row>
    <row r="540" spans="1:50">
      <c r="A540" s="9" t="s">
        <v>2053</v>
      </c>
      <c r="B540" s="10" t="s">
        <v>592</v>
      </c>
      <c r="C540" s="11" t="s">
        <v>1626</v>
      </c>
      <c r="D540" s="11" t="s">
        <v>1665</v>
      </c>
      <c r="E540" s="11" t="s">
        <v>35</v>
      </c>
      <c r="F540" s="11" t="s">
        <v>156</v>
      </c>
      <c r="G540" s="11" t="s">
        <v>157</v>
      </c>
      <c r="H540" s="11" t="s">
        <v>38</v>
      </c>
      <c r="I540" s="11" t="s">
        <v>59</v>
      </c>
      <c r="J540" s="11" t="s">
        <v>372</v>
      </c>
      <c r="K540" s="25">
        <v>9</v>
      </c>
      <c r="L540" s="25">
        <v>1200</v>
      </c>
      <c r="M540" s="29">
        <v>0.2</v>
      </c>
      <c r="N540" s="25">
        <v>8640</v>
      </c>
      <c r="O540" s="25">
        <v>6833.27</v>
      </c>
      <c r="P540" s="25">
        <v>1806.73</v>
      </c>
      <c r="Q540" s="21">
        <v>20.91</v>
      </c>
      <c r="R540" s="11" t="s">
        <v>41</v>
      </c>
      <c r="S540" s="11" t="s">
        <v>62</v>
      </c>
      <c r="T540" s="11" t="s">
        <v>63</v>
      </c>
      <c r="U540" s="11" t="s">
        <v>76</v>
      </c>
      <c r="V540" s="11">
        <v>2024</v>
      </c>
      <c r="W540" s="11" t="s">
        <v>134</v>
      </c>
      <c r="X540" s="11">
        <v>3</v>
      </c>
      <c r="Y540" s="10" t="s">
        <v>988</v>
      </c>
      <c r="Z540" s="11" t="s">
        <v>47</v>
      </c>
      <c r="AA540" s="11" t="s">
        <v>48</v>
      </c>
      <c r="AB540" s="11" t="s">
        <v>111</v>
      </c>
      <c r="AC540" s="11" t="s">
        <v>50</v>
      </c>
      <c r="AD540" s="11">
        <v>5</v>
      </c>
      <c r="AE540" s="11" t="s">
        <v>2216</v>
      </c>
      <c r="AF540" s="11" t="s">
        <v>2238</v>
      </c>
      <c r="AG540" s="25"/>
      <c r="AH540" s="11"/>
      <c r="AI540" s="11"/>
      <c r="AJ540" s="11"/>
      <c r="AK540" s="11"/>
      <c r="AL540" s="11"/>
      <c r="AM540" s="11" t="str">
        <f t="shared" si="44"/>
        <v>Needs Improvement</v>
      </c>
      <c r="AN540" s="11" t="str" cm="1">
        <f t="array" ref="AN540">_xlfn.IFS(N540&lt;10000,"Low",N540&lt;30000,"Medium",N540&gt;=30000,"High")</f>
        <v>Low</v>
      </c>
      <c r="AO540" s="11" t="str">
        <f t="shared" si="45"/>
        <v>No</v>
      </c>
      <c r="AP540" s="11" t="str">
        <f t="shared" si="46"/>
        <v>No</v>
      </c>
      <c r="AQ540" s="11">
        <f t="shared" si="47"/>
        <v>0.20911226851851852</v>
      </c>
      <c r="AR540" s="33"/>
      <c r="AS540" s="33"/>
      <c r="AT540" s="33"/>
      <c r="AU540" s="33"/>
      <c r="AV540" s="33"/>
      <c r="AW540" s="33"/>
      <c r="AX540" s="33" t="str">
        <f t="shared" si="48"/>
        <v>Low</v>
      </c>
    </row>
    <row r="541" spans="1:50">
      <c r="A541" s="9" t="s">
        <v>2065</v>
      </c>
      <c r="B541" s="10" t="s">
        <v>592</v>
      </c>
      <c r="C541" s="11" t="s">
        <v>1149</v>
      </c>
      <c r="D541" s="11" t="s">
        <v>1551</v>
      </c>
      <c r="E541" s="11" t="s">
        <v>35</v>
      </c>
      <c r="F541" s="11" t="s">
        <v>36</v>
      </c>
      <c r="G541" s="11" t="s">
        <v>37</v>
      </c>
      <c r="H541" s="11" t="s">
        <v>58</v>
      </c>
      <c r="I541" s="11" t="s">
        <v>95</v>
      </c>
      <c r="J541" s="11" t="s">
        <v>440</v>
      </c>
      <c r="K541" s="25">
        <v>8</v>
      </c>
      <c r="L541" s="25">
        <v>6000</v>
      </c>
      <c r="M541" s="29">
        <v>0</v>
      </c>
      <c r="N541" s="25">
        <v>48000</v>
      </c>
      <c r="O541" s="25">
        <v>38747.39</v>
      </c>
      <c r="P541" s="25">
        <v>9252.61</v>
      </c>
      <c r="Q541" s="21">
        <v>19.28</v>
      </c>
      <c r="R541" s="11" t="s">
        <v>61</v>
      </c>
      <c r="S541" s="11" t="s">
        <v>74</v>
      </c>
      <c r="T541" s="11" t="s">
        <v>138</v>
      </c>
      <c r="U541" s="11" t="s">
        <v>76</v>
      </c>
      <c r="V541" s="11">
        <v>2024</v>
      </c>
      <c r="W541" s="11" t="s">
        <v>134</v>
      </c>
      <c r="X541" s="11">
        <v>10</v>
      </c>
      <c r="Y541" s="10" t="s">
        <v>1784</v>
      </c>
      <c r="Z541" s="11" t="s">
        <v>47</v>
      </c>
      <c r="AA541" s="11" t="s">
        <v>67</v>
      </c>
      <c r="AB541" s="11" t="s">
        <v>111</v>
      </c>
      <c r="AC541" s="11" t="s">
        <v>121</v>
      </c>
      <c r="AD541" s="11">
        <v>5</v>
      </c>
      <c r="AE541" s="11" t="s">
        <v>2209</v>
      </c>
      <c r="AF541" s="11" t="s">
        <v>2228</v>
      </c>
      <c r="AG541" s="25"/>
      <c r="AH541" s="11"/>
      <c r="AI541" s="11"/>
      <c r="AJ541" s="11"/>
      <c r="AK541" s="11"/>
      <c r="AL541" s="11"/>
      <c r="AM541" s="11" t="str">
        <f t="shared" si="44"/>
        <v>Needs Improvement</v>
      </c>
      <c r="AN541" s="11" t="str" cm="1">
        <f t="array" ref="AN541">_xlfn.IFS(N541&lt;10000,"Low",N541&lt;30000,"Medium",N541&gt;=30000,"High")</f>
        <v>High</v>
      </c>
      <c r="AO541" s="11" t="str">
        <f t="shared" si="45"/>
        <v>No</v>
      </c>
      <c r="AP541" s="11" t="str">
        <f t="shared" si="46"/>
        <v>Yes</v>
      </c>
      <c r="AQ541" s="11">
        <f t="shared" si="47"/>
        <v>0.19276270833333334</v>
      </c>
      <c r="AR541" s="33"/>
      <c r="AS541" s="33"/>
      <c r="AT541" s="33"/>
      <c r="AU541" s="33"/>
      <c r="AV541" s="33"/>
      <c r="AW541" s="33"/>
      <c r="AX541" s="33" t="str">
        <f t="shared" si="48"/>
        <v>Average</v>
      </c>
    </row>
    <row r="542" spans="1:50">
      <c r="A542" s="9" t="s">
        <v>2136</v>
      </c>
      <c r="B542" s="10" t="s">
        <v>592</v>
      </c>
      <c r="C542" s="11" t="s">
        <v>1117</v>
      </c>
      <c r="D542" s="11" t="s">
        <v>682</v>
      </c>
      <c r="E542" s="11" t="s">
        <v>35</v>
      </c>
      <c r="F542" s="11" t="s">
        <v>36</v>
      </c>
      <c r="G542" s="11" t="s">
        <v>37</v>
      </c>
      <c r="H542" s="11" t="s">
        <v>58</v>
      </c>
      <c r="I542" s="11" t="s">
        <v>39</v>
      </c>
      <c r="J542" s="11" t="s">
        <v>105</v>
      </c>
      <c r="K542" s="25">
        <v>4</v>
      </c>
      <c r="L542" s="25">
        <v>12000</v>
      </c>
      <c r="M542" s="29">
        <v>0</v>
      </c>
      <c r="N542" s="25">
        <v>48000</v>
      </c>
      <c r="O542" s="25">
        <v>31401.78</v>
      </c>
      <c r="P542" s="25">
        <v>16598.22</v>
      </c>
      <c r="Q542" s="21">
        <v>34.58</v>
      </c>
      <c r="R542" s="11" t="s">
        <v>41</v>
      </c>
      <c r="S542" s="11" t="s">
        <v>42</v>
      </c>
      <c r="T542" s="11" t="s">
        <v>63</v>
      </c>
      <c r="U542" s="11" t="s">
        <v>76</v>
      </c>
      <c r="V542" s="11">
        <v>2024</v>
      </c>
      <c r="W542" s="11" t="s">
        <v>134</v>
      </c>
      <c r="X542" s="11">
        <v>2</v>
      </c>
      <c r="Y542" s="10" t="s">
        <v>1045</v>
      </c>
      <c r="Z542" s="11" t="s">
        <v>89</v>
      </c>
      <c r="AA542" s="11" t="s">
        <v>48</v>
      </c>
      <c r="AB542" s="11" t="s">
        <v>111</v>
      </c>
      <c r="AC542" s="11" t="s">
        <v>50</v>
      </c>
      <c r="AD542" s="11">
        <v>4</v>
      </c>
      <c r="AE542" s="11" t="s">
        <v>118</v>
      </c>
      <c r="AF542" s="11" t="s">
        <v>2224</v>
      </c>
      <c r="AG542" s="25"/>
      <c r="AH542" s="11"/>
      <c r="AI542" s="11"/>
      <c r="AJ542" s="11"/>
      <c r="AK542" s="11"/>
      <c r="AL542" s="11"/>
      <c r="AM542" s="11" t="str">
        <f t="shared" si="44"/>
        <v>Good</v>
      </c>
      <c r="AN542" s="11" t="str" cm="1">
        <f t="array" ref="AN542">_xlfn.IFS(N542&lt;10000,"Low",N542&lt;30000,"Medium",N542&gt;=30000,"High")</f>
        <v>High</v>
      </c>
      <c r="AO542" s="11" t="str">
        <f t="shared" si="45"/>
        <v>Yes</v>
      </c>
      <c r="AP542" s="11" t="str">
        <f t="shared" si="46"/>
        <v>Yes</v>
      </c>
      <c r="AQ542" s="11">
        <f t="shared" si="47"/>
        <v>0.34579625000000003</v>
      </c>
      <c r="AR542" s="33"/>
      <c r="AS542" s="33"/>
      <c r="AT542" s="33"/>
      <c r="AU542" s="33"/>
      <c r="AV542" s="33"/>
      <c r="AW542" s="33"/>
      <c r="AX542" s="33" t="str">
        <f t="shared" si="48"/>
        <v>Good</v>
      </c>
    </row>
    <row r="543" spans="1:50">
      <c r="A543" s="9" t="s">
        <v>1866</v>
      </c>
      <c r="B543" s="10" t="s">
        <v>778</v>
      </c>
      <c r="C543" s="11" t="s">
        <v>773</v>
      </c>
      <c r="D543" s="11" t="s">
        <v>1532</v>
      </c>
      <c r="E543" s="11" t="s">
        <v>55</v>
      </c>
      <c r="F543" s="11" t="s">
        <v>36</v>
      </c>
      <c r="G543" s="11" t="s">
        <v>37</v>
      </c>
      <c r="H543" s="11" t="s">
        <v>171</v>
      </c>
      <c r="I543" s="11" t="s">
        <v>59</v>
      </c>
      <c r="J543" s="11" t="s">
        <v>206</v>
      </c>
      <c r="K543" s="25">
        <v>9</v>
      </c>
      <c r="L543" s="25">
        <v>1200</v>
      </c>
      <c r="M543" s="29">
        <v>0.1</v>
      </c>
      <c r="N543" s="25">
        <v>9720</v>
      </c>
      <c r="O543" s="25">
        <v>6829.65</v>
      </c>
      <c r="P543" s="25">
        <v>2890.35</v>
      </c>
      <c r="Q543" s="21">
        <v>29.74</v>
      </c>
      <c r="R543" s="11" t="s">
        <v>166</v>
      </c>
      <c r="S543" s="11" t="s">
        <v>74</v>
      </c>
      <c r="T543" s="11" t="s">
        <v>86</v>
      </c>
      <c r="U543" s="11" t="s">
        <v>76</v>
      </c>
      <c r="V543" s="11">
        <v>2025</v>
      </c>
      <c r="W543" s="11" t="s">
        <v>194</v>
      </c>
      <c r="X543" s="11">
        <v>3</v>
      </c>
      <c r="Y543" s="10" t="s">
        <v>429</v>
      </c>
      <c r="Z543" s="11" t="s">
        <v>47</v>
      </c>
      <c r="AA543" s="11" t="s">
        <v>67</v>
      </c>
      <c r="AB543" s="11" t="s">
        <v>111</v>
      </c>
      <c r="AC543" s="11" t="s">
        <v>121</v>
      </c>
      <c r="AD543" s="11">
        <v>3</v>
      </c>
      <c r="AE543" s="11" t="s">
        <v>2237</v>
      </c>
      <c r="AF543" s="11" t="s">
        <v>2231</v>
      </c>
      <c r="AG543" s="25"/>
      <c r="AH543" s="11"/>
      <c r="AI543" s="11"/>
      <c r="AJ543" s="11"/>
      <c r="AK543" s="11"/>
      <c r="AL543" s="11"/>
      <c r="AM543" s="11" t="str">
        <f t="shared" si="44"/>
        <v>Needs Improvement</v>
      </c>
      <c r="AN543" s="11" t="str" cm="1">
        <f t="array" ref="AN543">_xlfn.IFS(N543&lt;10000,"Low",N543&lt;30000,"Medium",N543&gt;=30000,"High")</f>
        <v>Low</v>
      </c>
      <c r="AO543" s="11" t="str">
        <f t="shared" si="45"/>
        <v>No</v>
      </c>
      <c r="AP543" s="11" t="str">
        <f t="shared" si="46"/>
        <v>Yes</v>
      </c>
      <c r="AQ543" s="11">
        <f t="shared" si="47"/>
        <v>0.29736111111111108</v>
      </c>
      <c r="AR543" s="33"/>
      <c r="AS543" s="33"/>
      <c r="AT543" s="33"/>
      <c r="AU543" s="33"/>
      <c r="AV543" s="33"/>
      <c r="AW543" s="33"/>
      <c r="AX543" s="33" t="str">
        <f t="shared" si="48"/>
        <v>Low</v>
      </c>
    </row>
    <row r="544" spans="1:50">
      <c r="A544" s="9" t="s">
        <v>1092</v>
      </c>
      <c r="B544" s="10" t="s">
        <v>1015</v>
      </c>
      <c r="C544" s="11" t="s">
        <v>1093</v>
      </c>
      <c r="D544" s="11" t="s">
        <v>1094</v>
      </c>
      <c r="E544" s="11" t="s">
        <v>55</v>
      </c>
      <c r="F544" s="11" t="s">
        <v>116</v>
      </c>
      <c r="G544" s="11" t="s">
        <v>37</v>
      </c>
      <c r="H544" s="11" t="s">
        <v>38</v>
      </c>
      <c r="I544" s="11" t="s">
        <v>39</v>
      </c>
      <c r="J544" s="11" t="s">
        <v>165</v>
      </c>
      <c r="K544" s="25">
        <v>2</v>
      </c>
      <c r="L544" s="25">
        <v>15000</v>
      </c>
      <c r="M544" s="29">
        <v>0.15</v>
      </c>
      <c r="N544" s="25">
        <v>25500</v>
      </c>
      <c r="O544" s="25">
        <v>19300.150000000001</v>
      </c>
      <c r="P544" s="25">
        <v>6199.85</v>
      </c>
      <c r="Q544" s="21">
        <v>24.31</v>
      </c>
      <c r="R544" s="11" t="s">
        <v>61</v>
      </c>
      <c r="S544" s="11" t="s">
        <v>74</v>
      </c>
      <c r="T544" s="11" t="s">
        <v>86</v>
      </c>
      <c r="U544" s="11" t="s">
        <v>98</v>
      </c>
      <c r="V544" s="11">
        <v>2024</v>
      </c>
      <c r="W544" s="11" t="s">
        <v>65</v>
      </c>
      <c r="X544" s="11">
        <v>2</v>
      </c>
      <c r="Y544" s="10" t="s">
        <v>1095</v>
      </c>
      <c r="Z544" s="11" t="s">
        <v>89</v>
      </c>
      <c r="AA544" s="11" t="s">
        <v>67</v>
      </c>
      <c r="AB544" s="11" t="s">
        <v>78</v>
      </c>
      <c r="AC544" s="11" t="s">
        <v>50</v>
      </c>
      <c r="AD544" s="11">
        <v>4</v>
      </c>
      <c r="AE544" s="11" t="s">
        <v>2232</v>
      </c>
      <c r="AF544" s="11" t="s">
        <v>2249</v>
      </c>
      <c r="AG544" s="25"/>
      <c r="AH544" s="11"/>
      <c r="AI544" s="11"/>
      <c r="AJ544" s="11"/>
      <c r="AK544" s="11"/>
      <c r="AL544" s="11"/>
      <c r="AM544" s="11" t="str">
        <f t="shared" si="44"/>
        <v>Needs Improvement</v>
      </c>
      <c r="AN544" s="11" t="str" cm="1">
        <f t="array" ref="AN544">_xlfn.IFS(N544&lt;10000,"Low",N544&lt;30000,"Medium",N544&gt;=30000,"High")</f>
        <v>Medium</v>
      </c>
      <c r="AO544" s="11" t="str">
        <f t="shared" si="45"/>
        <v>No</v>
      </c>
      <c r="AP544" s="11" t="str">
        <f t="shared" si="46"/>
        <v>Yes</v>
      </c>
      <c r="AQ544" s="11">
        <f t="shared" si="47"/>
        <v>0.24313137254901962</v>
      </c>
      <c r="AR544" s="33"/>
      <c r="AS544" s="33"/>
      <c r="AT544" s="33"/>
      <c r="AU544" s="33"/>
      <c r="AV544" s="33"/>
      <c r="AW544" s="33"/>
      <c r="AX544" s="33" t="str">
        <f t="shared" si="48"/>
        <v>Average</v>
      </c>
    </row>
    <row r="545" spans="1:50">
      <c r="A545" s="9" t="s">
        <v>1479</v>
      </c>
      <c r="B545" s="10" t="s">
        <v>1015</v>
      </c>
      <c r="C545" s="11" t="s">
        <v>484</v>
      </c>
      <c r="D545" s="11" t="s">
        <v>1480</v>
      </c>
      <c r="E545" s="11" t="s">
        <v>55</v>
      </c>
      <c r="F545" s="11" t="s">
        <v>131</v>
      </c>
      <c r="G545" s="11" t="s">
        <v>132</v>
      </c>
      <c r="H545" s="11" t="s">
        <v>171</v>
      </c>
      <c r="I545" s="11" t="s">
        <v>95</v>
      </c>
      <c r="J545" s="11" t="s">
        <v>440</v>
      </c>
      <c r="K545" s="25">
        <v>1</v>
      </c>
      <c r="L545" s="25">
        <v>4000</v>
      </c>
      <c r="M545" s="29">
        <v>0.1</v>
      </c>
      <c r="N545" s="25">
        <v>3600</v>
      </c>
      <c r="O545" s="25">
        <v>2620.6999999999998</v>
      </c>
      <c r="P545" s="25">
        <v>979.3</v>
      </c>
      <c r="Q545" s="21">
        <v>27.2</v>
      </c>
      <c r="R545" s="11" t="s">
        <v>41</v>
      </c>
      <c r="S545" s="11" t="s">
        <v>62</v>
      </c>
      <c r="T545" s="11" t="s">
        <v>63</v>
      </c>
      <c r="U545" s="11" t="s">
        <v>98</v>
      </c>
      <c r="V545" s="11">
        <v>2024</v>
      </c>
      <c r="W545" s="11" t="s">
        <v>65</v>
      </c>
      <c r="X545" s="11">
        <v>9</v>
      </c>
      <c r="Y545" s="10" t="s">
        <v>1163</v>
      </c>
      <c r="Z545" s="11" t="s">
        <v>47</v>
      </c>
      <c r="AA545" s="11" t="s">
        <v>48</v>
      </c>
      <c r="AB545" s="11" t="s">
        <v>111</v>
      </c>
      <c r="AC545" s="11" t="s">
        <v>121</v>
      </c>
      <c r="AD545" s="11">
        <v>1</v>
      </c>
      <c r="AE545" s="11" t="s">
        <v>2233</v>
      </c>
      <c r="AF545" s="11" t="s">
        <v>2249</v>
      </c>
      <c r="AG545" s="25"/>
      <c r="AH545" s="11"/>
      <c r="AI545" s="11"/>
      <c r="AJ545" s="11"/>
      <c r="AK545" s="11"/>
      <c r="AL545" s="11"/>
      <c r="AM545" s="11" t="str">
        <f t="shared" si="44"/>
        <v>Needs Improvement</v>
      </c>
      <c r="AN545" s="11" t="str" cm="1">
        <f t="array" ref="AN545">_xlfn.IFS(N545&lt;10000,"Low",N545&lt;30000,"Medium",N545&gt;=30000,"High")</f>
        <v>Low</v>
      </c>
      <c r="AO545" s="11" t="str">
        <f t="shared" si="45"/>
        <v>No</v>
      </c>
      <c r="AP545" s="11" t="str">
        <f t="shared" si="46"/>
        <v>No</v>
      </c>
      <c r="AQ545" s="11">
        <f t="shared" si="47"/>
        <v>0.27202777777777776</v>
      </c>
      <c r="AR545" s="33"/>
      <c r="AS545" s="33"/>
      <c r="AT545" s="33"/>
      <c r="AU545" s="33"/>
      <c r="AV545" s="33"/>
      <c r="AW545" s="33"/>
      <c r="AX545" s="33" t="str">
        <f t="shared" si="48"/>
        <v>Low</v>
      </c>
    </row>
    <row r="546" spans="1:50">
      <c r="A546" s="9" t="s">
        <v>869</v>
      </c>
      <c r="B546" s="10" t="s">
        <v>99</v>
      </c>
      <c r="C546" s="11" t="s">
        <v>227</v>
      </c>
      <c r="D546" s="11" t="s">
        <v>870</v>
      </c>
      <c r="E546" s="11" t="s">
        <v>55</v>
      </c>
      <c r="F546" s="11" t="s">
        <v>36</v>
      </c>
      <c r="G546" s="11" t="s">
        <v>37</v>
      </c>
      <c r="H546" s="11" t="s">
        <v>171</v>
      </c>
      <c r="I546" s="11" t="s">
        <v>59</v>
      </c>
      <c r="J546" s="11" t="s">
        <v>206</v>
      </c>
      <c r="K546" s="25">
        <v>7</v>
      </c>
      <c r="L546" s="25">
        <v>3000</v>
      </c>
      <c r="M546" s="29">
        <v>0.2</v>
      </c>
      <c r="N546" s="25">
        <v>16800</v>
      </c>
      <c r="O546" s="25">
        <v>10243.35</v>
      </c>
      <c r="P546" s="25">
        <v>6556.65</v>
      </c>
      <c r="Q546" s="21">
        <v>39.03</v>
      </c>
      <c r="R546" s="11" t="s">
        <v>73</v>
      </c>
      <c r="S546" s="11" t="s">
        <v>42</v>
      </c>
      <c r="T546" s="11" t="s">
        <v>107</v>
      </c>
      <c r="U546" s="11" t="s">
        <v>98</v>
      </c>
      <c r="V546" s="11">
        <v>2025</v>
      </c>
      <c r="W546" s="11" t="s">
        <v>126</v>
      </c>
      <c r="X546" s="11">
        <v>2</v>
      </c>
      <c r="Y546" s="10" t="s">
        <v>871</v>
      </c>
      <c r="Z546" s="11" t="s">
        <v>47</v>
      </c>
      <c r="AA546" s="11" t="s">
        <v>67</v>
      </c>
      <c r="AB546" s="11" t="s">
        <v>111</v>
      </c>
      <c r="AC546" s="11" t="s">
        <v>121</v>
      </c>
      <c r="AD546" s="11">
        <v>1</v>
      </c>
      <c r="AE546" s="11" t="s">
        <v>2216</v>
      </c>
      <c r="AF546" s="11" t="s">
        <v>2236</v>
      </c>
      <c r="AG546" s="25"/>
      <c r="AH546" s="11"/>
      <c r="AI546" s="11"/>
      <c r="AJ546" s="11"/>
      <c r="AK546" s="11"/>
      <c r="AL546" s="11"/>
      <c r="AM546" s="11" t="str">
        <f t="shared" si="44"/>
        <v>Good</v>
      </c>
      <c r="AN546" s="11" t="str" cm="1">
        <f t="array" ref="AN546">_xlfn.IFS(N546&lt;10000,"Low",N546&lt;30000,"Medium",N546&gt;=30000,"High")</f>
        <v>Medium</v>
      </c>
      <c r="AO546" s="11" t="str">
        <f t="shared" si="45"/>
        <v>No</v>
      </c>
      <c r="AP546" s="11" t="str">
        <f t="shared" si="46"/>
        <v>Yes</v>
      </c>
      <c r="AQ546" s="11">
        <f t="shared" si="47"/>
        <v>0.3902767857142857</v>
      </c>
      <c r="AR546" s="33"/>
      <c r="AS546" s="33"/>
      <c r="AT546" s="33"/>
      <c r="AU546" s="33"/>
      <c r="AV546" s="33"/>
      <c r="AW546" s="33"/>
      <c r="AX546" s="33" t="str">
        <f t="shared" si="48"/>
        <v>Average</v>
      </c>
    </row>
    <row r="547" spans="1:50">
      <c r="A547" s="9" t="s">
        <v>718</v>
      </c>
      <c r="B547" s="10" t="s">
        <v>719</v>
      </c>
      <c r="C547" s="11" t="s">
        <v>236</v>
      </c>
      <c r="D547" s="11" t="s">
        <v>720</v>
      </c>
      <c r="E547" s="11" t="s">
        <v>55</v>
      </c>
      <c r="F547" s="11" t="s">
        <v>36</v>
      </c>
      <c r="G547" s="11" t="s">
        <v>37</v>
      </c>
      <c r="H547" s="11" t="s">
        <v>171</v>
      </c>
      <c r="I547" s="11" t="s">
        <v>59</v>
      </c>
      <c r="J547" s="11" t="s">
        <v>328</v>
      </c>
      <c r="K547" s="25">
        <v>9</v>
      </c>
      <c r="L547" s="25">
        <v>800</v>
      </c>
      <c r="M547" s="29">
        <v>0.15</v>
      </c>
      <c r="N547" s="25">
        <v>6120</v>
      </c>
      <c r="O547" s="25">
        <v>3468.92</v>
      </c>
      <c r="P547" s="25">
        <v>2651.08</v>
      </c>
      <c r="Q547" s="21">
        <v>43.32</v>
      </c>
      <c r="R547" s="11" t="s">
        <v>61</v>
      </c>
      <c r="S547" s="11" t="s">
        <v>62</v>
      </c>
      <c r="T547" s="11" t="s">
        <v>97</v>
      </c>
      <c r="U547" s="11" t="s">
        <v>178</v>
      </c>
      <c r="V547" s="11">
        <v>2024</v>
      </c>
      <c r="W547" s="11" t="s">
        <v>45</v>
      </c>
      <c r="X547" s="11">
        <v>10</v>
      </c>
      <c r="Y547" s="10" t="s">
        <v>721</v>
      </c>
      <c r="Z547" s="11" t="s">
        <v>89</v>
      </c>
      <c r="AA547" s="11" t="s">
        <v>67</v>
      </c>
      <c r="AB547" s="11" t="s">
        <v>78</v>
      </c>
      <c r="AC547" s="11" t="s">
        <v>50</v>
      </c>
      <c r="AD547" s="11">
        <v>2</v>
      </c>
      <c r="AE547" s="11" t="s">
        <v>2233</v>
      </c>
      <c r="AF547" s="11" t="s">
        <v>2212</v>
      </c>
      <c r="AG547" s="25"/>
      <c r="AH547" s="11"/>
      <c r="AI547" s="11"/>
      <c r="AJ547" s="11"/>
      <c r="AK547" s="11"/>
      <c r="AL547" s="11"/>
      <c r="AM547" s="11" t="str">
        <f t="shared" si="44"/>
        <v>Good</v>
      </c>
      <c r="AN547" s="11" t="str" cm="1">
        <f t="array" ref="AN547">_xlfn.IFS(N547&lt;10000,"Low",N547&lt;30000,"Medium",N547&gt;=30000,"High")</f>
        <v>Low</v>
      </c>
      <c r="AO547" s="11" t="str">
        <f t="shared" si="45"/>
        <v>No</v>
      </c>
      <c r="AP547" s="11" t="str">
        <f t="shared" si="46"/>
        <v>No</v>
      </c>
      <c r="AQ547" s="11">
        <f t="shared" si="47"/>
        <v>0.43318300653594771</v>
      </c>
      <c r="AR547" s="33"/>
      <c r="AS547" s="33"/>
      <c r="AT547" s="33"/>
      <c r="AU547" s="33"/>
      <c r="AV547" s="33"/>
      <c r="AW547" s="33"/>
      <c r="AX547" s="33" t="str">
        <f t="shared" si="48"/>
        <v>Low</v>
      </c>
    </row>
    <row r="548" spans="1:50">
      <c r="A548" s="9" t="s">
        <v>415</v>
      </c>
      <c r="B548" s="10" t="s">
        <v>416</v>
      </c>
      <c r="C548" s="11" t="s">
        <v>417</v>
      </c>
      <c r="D548" s="11" t="s">
        <v>418</v>
      </c>
      <c r="E548" s="11" t="s">
        <v>35</v>
      </c>
      <c r="F548" s="11" t="s">
        <v>144</v>
      </c>
      <c r="G548" s="11" t="s">
        <v>145</v>
      </c>
      <c r="H548" s="11" t="s">
        <v>94</v>
      </c>
      <c r="I548" s="11" t="s">
        <v>39</v>
      </c>
      <c r="J548" s="11" t="s">
        <v>40</v>
      </c>
      <c r="K548" s="25">
        <v>9</v>
      </c>
      <c r="L548" s="25">
        <v>8000</v>
      </c>
      <c r="M548" s="29">
        <v>0.1</v>
      </c>
      <c r="N548" s="25">
        <v>64800</v>
      </c>
      <c r="O548" s="25">
        <v>36635.35</v>
      </c>
      <c r="P548" s="25">
        <v>28164.65</v>
      </c>
      <c r="Q548" s="21">
        <v>43.46</v>
      </c>
      <c r="R548" s="11" t="s">
        <v>166</v>
      </c>
      <c r="S548" s="11" t="s">
        <v>42</v>
      </c>
      <c r="T548" s="11" t="s">
        <v>107</v>
      </c>
      <c r="U548" s="11" t="s">
        <v>44</v>
      </c>
      <c r="V548" s="11">
        <v>2025</v>
      </c>
      <c r="W548" s="11" t="s">
        <v>139</v>
      </c>
      <c r="X548" s="11">
        <v>8</v>
      </c>
      <c r="Y548" s="10" t="s">
        <v>419</v>
      </c>
      <c r="Z548" s="11" t="s">
        <v>47</v>
      </c>
      <c r="AA548" s="11" t="s">
        <v>48</v>
      </c>
      <c r="AB548" s="11" t="s">
        <v>49</v>
      </c>
      <c r="AC548" s="11" t="s">
        <v>50</v>
      </c>
      <c r="AD548" s="11">
        <v>5</v>
      </c>
      <c r="AE548" s="11" t="s">
        <v>2237</v>
      </c>
      <c r="AF548" s="11" t="s">
        <v>2235</v>
      </c>
      <c r="AG548" s="25"/>
      <c r="AH548" s="11"/>
      <c r="AI548" s="11"/>
      <c r="AJ548" s="11"/>
      <c r="AK548" s="11"/>
      <c r="AL548" s="11"/>
      <c r="AM548" s="11" t="str">
        <f t="shared" si="44"/>
        <v>Good</v>
      </c>
      <c r="AN548" s="11" t="str" cm="1">
        <f t="array" ref="AN548">_xlfn.IFS(N548&lt;10000,"Low",N548&lt;30000,"Medium",N548&gt;=30000,"High")</f>
        <v>High</v>
      </c>
      <c r="AO548" s="11" t="str">
        <f t="shared" si="45"/>
        <v>Yes</v>
      </c>
      <c r="AP548" s="11" t="str">
        <f t="shared" si="46"/>
        <v>Yes</v>
      </c>
      <c r="AQ548" s="11">
        <f t="shared" si="47"/>
        <v>0.43463966049382718</v>
      </c>
      <c r="AR548" s="33"/>
      <c r="AS548" s="33"/>
      <c r="AT548" s="33"/>
      <c r="AU548" s="33"/>
      <c r="AV548" s="33"/>
      <c r="AW548" s="33"/>
      <c r="AX548" s="33" t="str">
        <f t="shared" si="48"/>
        <v>Excellent</v>
      </c>
    </row>
    <row r="549" spans="1:50">
      <c r="A549" s="9" t="s">
        <v>1105</v>
      </c>
      <c r="B549" s="10" t="s">
        <v>416</v>
      </c>
      <c r="C549" s="11" t="s">
        <v>805</v>
      </c>
      <c r="D549" s="11" t="s">
        <v>439</v>
      </c>
      <c r="E549" s="11" t="s">
        <v>35</v>
      </c>
      <c r="F549" s="11" t="s">
        <v>36</v>
      </c>
      <c r="G549" s="11" t="s">
        <v>37</v>
      </c>
      <c r="H549" s="11" t="s">
        <v>94</v>
      </c>
      <c r="I549" s="11" t="s">
        <v>84</v>
      </c>
      <c r="J549" s="11" t="s">
        <v>217</v>
      </c>
      <c r="K549" s="25">
        <v>2</v>
      </c>
      <c r="L549" s="25">
        <v>350</v>
      </c>
      <c r="M549" s="29">
        <v>0.2</v>
      </c>
      <c r="N549" s="25">
        <v>560</v>
      </c>
      <c r="O549" s="25">
        <v>370.51</v>
      </c>
      <c r="P549" s="25">
        <v>189.49</v>
      </c>
      <c r="Q549" s="21">
        <v>33.840000000000003</v>
      </c>
      <c r="R549" s="11" t="s">
        <v>166</v>
      </c>
      <c r="S549" s="11" t="s">
        <v>74</v>
      </c>
      <c r="T549" s="11" t="s">
        <v>97</v>
      </c>
      <c r="U549" s="11" t="s">
        <v>44</v>
      </c>
      <c r="V549" s="11">
        <v>2025</v>
      </c>
      <c r="W549" s="11" t="s">
        <v>139</v>
      </c>
      <c r="X549" s="11">
        <v>7</v>
      </c>
      <c r="Y549" s="10" t="s">
        <v>1106</v>
      </c>
      <c r="Z549" s="11" t="s">
        <v>89</v>
      </c>
      <c r="AA549" s="11" t="s">
        <v>90</v>
      </c>
      <c r="AB549" s="11" t="s">
        <v>111</v>
      </c>
      <c r="AC549" s="11" t="s">
        <v>50</v>
      </c>
      <c r="AD549" s="11">
        <v>4</v>
      </c>
      <c r="AE549" s="11" t="s">
        <v>2213</v>
      </c>
      <c r="AF549" s="11" t="s">
        <v>2210</v>
      </c>
      <c r="AG549" s="25"/>
      <c r="AH549" s="11"/>
      <c r="AI549" s="11"/>
      <c r="AJ549" s="11"/>
      <c r="AK549" s="11"/>
      <c r="AL549" s="11"/>
      <c r="AM549" s="11" t="str">
        <f t="shared" si="44"/>
        <v>Good</v>
      </c>
      <c r="AN549" s="11" t="str" cm="1">
        <f t="array" ref="AN549">_xlfn.IFS(N549&lt;10000,"Low",N549&lt;30000,"Medium",N549&gt;=30000,"High")</f>
        <v>Low</v>
      </c>
      <c r="AO549" s="11" t="str">
        <f t="shared" si="45"/>
        <v>No</v>
      </c>
      <c r="AP549" s="11" t="str">
        <f t="shared" si="46"/>
        <v>Yes</v>
      </c>
      <c r="AQ549" s="11">
        <f t="shared" si="47"/>
        <v>0.33837500000000004</v>
      </c>
      <c r="AR549" s="33"/>
      <c r="AS549" s="33"/>
      <c r="AT549" s="33"/>
      <c r="AU549" s="33"/>
      <c r="AV549" s="33"/>
      <c r="AW549" s="33"/>
      <c r="AX549" s="33" t="str">
        <f t="shared" si="48"/>
        <v>Low</v>
      </c>
    </row>
    <row r="550" spans="1:50">
      <c r="A550" s="9" t="s">
        <v>1139</v>
      </c>
      <c r="B550" s="10" t="s">
        <v>416</v>
      </c>
      <c r="C550" s="11" t="s">
        <v>1140</v>
      </c>
      <c r="D550" s="11" t="s">
        <v>582</v>
      </c>
      <c r="E550" s="11" t="s">
        <v>103</v>
      </c>
      <c r="F550" s="11" t="s">
        <v>116</v>
      </c>
      <c r="G550" s="11" t="s">
        <v>37</v>
      </c>
      <c r="H550" s="11" t="s">
        <v>38</v>
      </c>
      <c r="I550" s="11" t="s">
        <v>84</v>
      </c>
      <c r="J550" s="11" t="s">
        <v>390</v>
      </c>
      <c r="K550" s="25">
        <v>5</v>
      </c>
      <c r="L550" s="25">
        <v>800</v>
      </c>
      <c r="M550" s="29">
        <v>0.15</v>
      </c>
      <c r="N550" s="25">
        <v>3400</v>
      </c>
      <c r="O550" s="25">
        <v>2577.3200000000002</v>
      </c>
      <c r="P550" s="25">
        <v>822.68</v>
      </c>
      <c r="Q550" s="21">
        <v>24.2</v>
      </c>
      <c r="R550" s="11" t="s">
        <v>61</v>
      </c>
      <c r="S550" s="11" t="s">
        <v>42</v>
      </c>
      <c r="T550" s="11" t="s">
        <v>43</v>
      </c>
      <c r="U550" s="11" t="s">
        <v>44</v>
      </c>
      <c r="V550" s="11">
        <v>2025</v>
      </c>
      <c r="W550" s="11" t="s">
        <v>139</v>
      </c>
      <c r="X550" s="11">
        <v>4</v>
      </c>
      <c r="Y550" s="10" t="s">
        <v>1101</v>
      </c>
      <c r="Z550" s="11" t="s">
        <v>89</v>
      </c>
      <c r="AA550" s="11" t="s">
        <v>48</v>
      </c>
      <c r="AB550" s="11" t="s">
        <v>49</v>
      </c>
      <c r="AC550" s="11" t="s">
        <v>121</v>
      </c>
      <c r="AD550" s="11">
        <v>1</v>
      </c>
      <c r="AE550" s="11" t="s">
        <v>2216</v>
      </c>
      <c r="AF550" s="11" t="s">
        <v>2235</v>
      </c>
      <c r="AG550" s="25"/>
      <c r="AH550" s="11"/>
      <c r="AI550" s="11"/>
      <c r="AJ550" s="11"/>
      <c r="AK550" s="11"/>
      <c r="AL550" s="11"/>
      <c r="AM550" s="11" t="str">
        <f t="shared" si="44"/>
        <v>Needs Improvement</v>
      </c>
      <c r="AN550" s="11" t="str" cm="1">
        <f t="array" ref="AN550">_xlfn.IFS(N550&lt;10000,"Low",N550&lt;30000,"Medium",N550&gt;=30000,"High")</f>
        <v>Low</v>
      </c>
      <c r="AO550" s="11" t="str">
        <f t="shared" si="45"/>
        <v>No</v>
      </c>
      <c r="AP550" s="11" t="str">
        <f t="shared" si="46"/>
        <v>Yes</v>
      </c>
      <c r="AQ550" s="11">
        <f t="shared" si="47"/>
        <v>0.24196470588235292</v>
      </c>
      <c r="AR550" s="33"/>
      <c r="AS550" s="33"/>
      <c r="AT550" s="33"/>
      <c r="AU550" s="33"/>
      <c r="AV550" s="33"/>
      <c r="AW550" s="33"/>
      <c r="AX550" s="33" t="str">
        <f t="shared" si="48"/>
        <v>Low</v>
      </c>
    </row>
    <row r="551" spans="1:50">
      <c r="A551" s="9" t="s">
        <v>1233</v>
      </c>
      <c r="B551" s="10" t="s">
        <v>465</v>
      </c>
      <c r="C551" s="11" t="s">
        <v>527</v>
      </c>
      <c r="D551" s="11" t="s">
        <v>821</v>
      </c>
      <c r="E551" s="11" t="s">
        <v>55</v>
      </c>
      <c r="F551" s="11" t="s">
        <v>245</v>
      </c>
      <c r="G551" s="11" t="s">
        <v>246</v>
      </c>
      <c r="H551" s="11" t="s">
        <v>94</v>
      </c>
      <c r="I551" s="11" t="s">
        <v>59</v>
      </c>
      <c r="J551" s="11" t="s">
        <v>60</v>
      </c>
      <c r="K551" s="25">
        <v>3</v>
      </c>
      <c r="L551" s="25">
        <v>2000</v>
      </c>
      <c r="M551" s="29">
        <v>0.15</v>
      </c>
      <c r="N551" s="25">
        <v>5100</v>
      </c>
      <c r="O551" s="25">
        <v>3476.23</v>
      </c>
      <c r="P551" s="25">
        <v>1623.77</v>
      </c>
      <c r="Q551" s="21">
        <v>31.84</v>
      </c>
      <c r="R551" s="11" t="s">
        <v>166</v>
      </c>
      <c r="S551" s="11" t="s">
        <v>42</v>
      </c>
      <c r="T551" s="11" t="s">
        <v>118</v>
      </c>
      <c r="U551" s="11" t="s">
        <v>119</v>
      </c>
      <c r="V551" s="11">
        <v>2024</v>
      </c>
      <c r="W551" s="11" t="s">
        <v>194</v>
      </c>
      <c r="X551" s="11">
        <v>5</v>
      </c>
      <c r="Y551" s="10" t="s">
        <v>1110</v>
      </c>
      <c r="Z551" s="11" t="s">
        <v>110</v>
      </c>
      <c r="AA551" s="11" t="s">
        <v>48</v>
      </c>
      <c r="AB551" s="11" t="s">
        <v>49</v>
      </c>
      <c r="AC551" s="11" t="s">
        <v>50</v>
      </c>
      <c r="AD551" s="11">
        <v>3</v>
      </c>
      <c r="AE551" s="11" t="s">
        <v>2229</v>
      </c>
      <c r="AF551" s="11" t="s">
        <v>2235</v>
      </c>
      <c r="AG551" s="25"/>
      <c r="AH551" s="11"/>
      <c r="AI551" s="11"/>
      <c r="AJ551" s="11"/>
      <c r="AK551" s="11"/>
      <c r="AL551" s="11"/>
      <c r="AM551" s="11" t="str">
        <f t="shared" si="44"/>
        <v>Good</v>
      </c>
      <c r="AN551" s="11" t="str" cm="1">
        <f t="array" ref="AN551">_xlfn.IFS(N551&lt;10000,"Low",N551&lt;30000,"Medium",N551&gt;=30000,"High")</f>
        <v>Low</v>
      </c>
      <c r="AO551" s="11" t="str">
        <f t="shared" si="45"/>
        <v>No</v>
      </c>
      <c r="AP551" s="11" t="str">
        <f t="shared" si="46"/>
        <v>Yes</v>
      </c>
      <c r="AQ551" s="11">
        <f t="shared" si="47"/>
        <v>0.31838627450980389</v>
      </c>
      <c r="AR551" s="33"/>
      <c r="AS551" s="33"/>
      <c r="AT551" s="33"/>
      <c r="AU551" s="33"/>
      <c r="AV551" s="33"/>
      <c r="AW551" s="33"/>
      <c r="AX551" s="33" t="str">
        <f t="shared" si="48"/>
        <v>Low</v>
      </c>
    </row>
    <row r="552" spans="1:50">
      <c r="A552" s="9" t="s">
        <v>1203</v>
      </c>
      <c r="B552" s="10" t="s">
        <v>1204</v>
      </c>
      <c r="C552" s="11" t="s">
        <v>777</v>
      </c>
      <c r="D552" s="11" t="s">
        <v>1205</v>
      </c>
      <c r="E552" s="11" t="s">
        <v>103</v>
      </c>
      <c r="F552" s="11" t="s">
        <v>245</v>
      </c>
      <c r="G552" s="11" t="s">
        <v>246</v>
      </c>
      <c r="H552" s="11" t="s">
        <v>94</v>
      </c>
      <c r="I552" s="11" t="s">
        <v>95</v>
      </c>
      <c r="J552" s="11" t="s">
        <v>319</v>
      </c>
      <c r="K552" s="25">
        <v>7</v>
      </c>
      <c r="L552" s="25">
        <v>6000</v>
      </c>
      <c r="M552" s="29">
        <v>0.2</v>
      </c>
      <c r="N552" s="25">
        <v>33600</v>
      </c>
      <c r="O552" s="25">
        <v>26051.360000000001</v>
      </c>
      <c r="P552" s="25">
        <v>7548.64</v>
      </c>
      <c r="Q552" s="21">
        <v>22.47</v>
      </c>
      <c r="R552" s="11" t="s">
        <v>73</v>
      </c>
      <c r="S552" s="11" t="s">
        <v>74</v>
      </c>
      <c r="T552" s="11" t="s">
        <v>43</v>
      </c>
      <c r="U552" s="11" t="s">
        <v>119</v>
      </c>
      <c r="V552" s="11">
        <v>2025</v>
      </c>
      <c r="W552" s="11" t="s">
        <v>65</v>
      </c>
      <c r="X552" s="11">
        <v>1</v>
      </c>
      <c r="Y552" s="10" t="s">
        <v>837</v>
      </c>
      <c r="Z552" s="11" t="s">
        <v>47</v>
      </c>
      <c r="AA552" s="11" t="s">
        <v>90</v>
      </c>
      <c r="AB552" s="11" t="s">
        <v>78</v>
      </c>
      <c r="AC552" s="11" t="s">
        <v>50</v>
      </c>
      <c r="AD552" s="11">
        <v>4</v>
      </c>
      <c r="AE552" s="11" t="s">
        <v>2220</v>
      </c>
      <c r="AF552" s="11" t="s">
        <v>2210</v>
      </c>
      <c r="AG552" s="25"/>
      <c r="AH552" s="11"/>
      <c r="AI552" s="11"/>
      <c r="AJ552" s="11"/>
      <c r="AK552" s="11"/>
      <c r="AL552" s="11"/>
      <c r="AM552" s="11" t="str">
        <f t="shared" si="44"/>
        <v>Needs Improvement</v>
      </c>
      <c r="AN552" s="11" t="str" cm="1">
        <f t="array" ref="AN552">_xlfn.IFS(N552&lt;10000,"Low",N552&lt;30000,"Medium",N552&gt;=30000,"High")</f>
        <v>High</v>
      </c>
      <c r="AO552" s="11" t="str">
        <f t="shared" si="45"/>
        <v>No</v>
      </c>
      <c r="AP552" s="11" t="str">
        <f t="shared" si="46"/>
        <v>Yes</v>
      </c>
      <c r="AQ552" s="11">
        <f t="shared" si="47"/>
        <v>0.22466190476190478</v>
      </c>
      <c r="AR552" s="33"/>
      <c r="AS552" s="33"/>
      <c r="AT552" s="33"/>
      <c r="AU552" s="33"/>
      <c r="AV552" s="33"/>
      <c r="AW552" s="33"/>
      <c r="AX552" s="33" t="str">
        <f t="shared" si="48"/>
        <v>Average</v>
      </c>
    </row>
    <row r="553" spans="1:50">
      <c r="A553" s="9" t="s">
        <v>152</v>
      </c>
      <c r="B553" s="10" t="s">
        <v>153</v>
      </c>
      <c r="C553" s="11" t="s">
        <v>154</v>
      </c>
      <c r="D553" s="11" t="s">
        <v>155</v>
      </c>
      <c r="E553" s="11" t="s">
        <v>55</v>
      </c>
      <c r="F553" s="11" t="s">
        <v>156</v>
      </c>
      <c r="G553" s="11" t="s">
        <v>157</v>
      </c>
      <c r="H553" s="11" t="s">
        <v>94</v>
      </c>
      <c r="I553" s="11" t="s">
        <v>71</v>
      </c>
      <c r="J553" s="11" t="s">
        <v>158</v>
      </c>
      <c r="K553" s="25">
        <v>4</v>
      </c>
      <c r="L553" s="25">
        <v>2500</v>
      </c>
      <c r="M553" s="29">
        <v>0</v>
      </c>
      <c r="N553" s="25">
        <v>10000</v>
      </c>
      <c r="O553" s="25">
        <v>8160.33</v>
      </c>
      <c r="P553" s="25">
        <v>1839.67</v>
      </c>
      <c r="Q553" s="21">
        <v>18.399999999999999</v>
      </c>
      <c r="R553" s="11" t="s">
        <v>73</v>
      </c>
      <c r="S553" s="11" t="s">
        <v>74</v>
      </c>
      <c r="T553" s="11" t="s">
        <v>159</v>
      </c>
      <c r="U553" s="11" t="s">
        <v>160</v>
      </c>
      <c r="V553" s="11">
        <v>2024</v>
      </c>
      <c r="W553" s="11" t="s">
        <v>126</v>
      </c>
      <c r="X553" s="11">
        <v>7</v>
      </c>
      <c r="Y553" s="10" t="s">
        <v>161</v>
      </c>
      <c r="Z553" s="11" t="s">
        <v>47</v>
      </c>
      <c r="AA553" s="11" t="s">
        <v>90</v>
      </c>
      <c r="AB553" s="11" t="s">
        <v>49</v>
      </c>
      <c r="AC553" s="11" t="s">
        <v>121</v>
      </c>
      <c r="AD553" s="11">
        <v>3</v>
      </c>
      <c r="AE553" s="11" t="s">
        <v>2239</v>
      </c>
      <c r="AF553" s="11" t="s">
        <v>2228</v>
      </c>
      <c r="AG553" s="25"/>
      <c r="AH553" s="11"/>
      <c r="AI553" s="11"/>
      <c r="AJ553" s="11"/>
      <c r="AK553" s="11"/>
      <c r="AL553" s="11"/>
      <c r="AM553" s="11" t="str">
        <f t="shared" si="44"/>
        <v>Needs Improvement</v>
      </c>
      <c r="AN553" s="11" t="str" cm="1">
        <f t="array" ref="AN553">_xlfn.IFS(N553&lt;10000,"Low",N553&lt;30000,"Medium",N553&gt;=30000,"High")</f>
        <v>Medium</v>
      </c>
      <c r="AO553" s="11" t="str">
        <f t="shared" si="45"/>
        <v>No</v>
      </c>
      <c r="AP553" s="11" t="str">
        <f t="shared" si="46"/>
        <v>Yes</v>
      </c>
      <c r="AQ553" s="11">
        <f t="shared" si="47"/>
        <v>0.18396700000000002</v>
      </c>
      <c r="AR553" s="33"/>
      <c r="AS553" s="33"/>
      <c r="AT553" s="33"/>
      <c r="AU553" s="33"/>
      <c r="AV553" s="33"/>
      <c r="AW553" s="33"/>
      <c r="AX553" s="33" t="str">
        <f t="shared" si="48"/>
        <v>Low</v>
      </c>
    </row>
    <row r="554" spans="1:50">
      <c r="A554" s="9" t="s">
        <v>2034</v>
      </c>
      <c r="B554" s="10" t="s">
        <v>153</v>
      </c>
      <c r="C554" s="11" t="s">
        <v>1618</v>
      </c>
      <c r="D554" s="11" t="s">
        <v>653</v>
      </c>
      <c r="E554" s="11" t="s">
        <v>103</v>
      </c>
      <c r="F554" s="11" t="s">
        <v>144</v>
      </c>
      <c r="G554" s="11" t="s">
        <v>145</v>
      </c>
      <c r="H554" s="11" t="s">
        <v>94</v>
      </c>
      <c r="I554" s="11" t="s">
        <v>84</v>
      </c>
      <c r="J554" s="11" t="s">
        <v>217</v>
      </c>
      <c r="K554" s="25">
        <v>5</v>
      </c>
      <c r="L554" s="25">
        <v>100</v>
      </c>
      <c r="M554" s="29">
        <v>0</v>
      </c>
      <c r="N554" s="25">
        <v>500</v>
      </c>
      <c r="O554" s="25">
        <v>275.13</v>
      </c>
      <c r="P554" s="25">
        <v>224.87</v>
      </c>
      <c r="Q554" s="21">
        <v>44.97</v>
      </c>
      <c r="R554" s="11" t="s">
        <v>166</v>
      </c>
      <c r="S554" s="11" t="s">
        <v>74</v>
      </c>
      <c r="T554" s="11" t="s">
        <v>43</v>
      </c>
      <c r="U554" s="11" t="s">
        <v>160</v>
      </c>
      <c r="V554" s="11">
        <v>2024</v>
      </c>
      <c r="W554" s="11" t="s">
        <v>126</v>
      </c>
      <c r="X554" s="11">
        <v>8</v>
      </c>
      <c r="Y554" s="10" t="s">
        <v>2035</v>
      </c>
      <c r="Z554" s="11" t="s">
        <v>47</v>
      </c>
      <c r="AA554" s="11" t="s">
        <v>90</v>
      </c>
      <c r="AB554" s="11" t="s">
        <v>78</v>
      </c>
      <c r="AC554" s="11" t="s">
        <v>121</v>
      </c>
      <c r="AD554" s="11">
        <v>1</v>
      </c>
      <c r="AE554" s="11" t="s">
        <v>2227</v>
      </c>
      <c r="AF554" s="11" t="s">
        <v>2223</v>
      </c>
      <c r="AG554" s="25"/>
      <c r="AH554" s="11"/>
      <c r="AI554" s="11"/>
      <c r="AJ554" s="11"/>
      <c r="AK554" s="11"/>
      <c r="AL554" s="11"/>
      <c r="AM554" s="11" t="str">
        <f t="shared" si="44"/>
        <v>Good</v>
      </c>
      <c r="AN554" s="11" t="str" cm="1">
        <f t="array" ref="AN554">_xlfn.IFS(N554&lt;10000,"Low",N554&lt;30000,"Medium",N554&gt;=30000,"High")</f>
        <v>Low</v>
      </c>
      <c r="AO554" s="11" t="str">
        <f t="shared" si="45"/>
        <v>No</v>
      </c>
      <c r="AP554" s="11" t="str">
        <f t="shared" si="46"/>
        <v>Yes</v>
      </c>
      <c r="AQ554" s="11">
        <f t="shared" si="47"/>
        <v>0.44974000000000003</v>
      </c>
      <c r="AR554" s="33"/>
      <c r="AS554" s="33"/>
      <c r="AT554" s="33"/>
      <c r="AU554" s="33"/>
      <c r="AV554" s="33"/>
      <c r="AW554" s="33"/>
      <c r="AX554" s="33" t="str">
        <f t="shared" si="48"/>
        <v>Low</v>
      </c>
    </row>
    <row r="555" spans="1:50">
      <c r="A555" s="9" t="s">
        <v>2171</v>
      </c>
      <c r="B555" s="10" t="s">
        <v>549</v>
      </c>
      <c r="C555" s="11" t="s">
        <v>565</v>
      </c>
      <c r="D555" s="11" t="s">
        <v>864</v>
      </c>
      <c r="E555" s="11" t="s">
        <v>103</v>
      </c>
      <c r="F555" s="11" t="s">
        <v>245</v>
      </c>
      <c r="G555" s="11" t="s">
        <v>246</v>
      </c>
      <c r="H555" s="11" t="s">
        <v>38</v>
      </c>
      <c r="I555" s="11" t="s">
        <v>39</v>
      </c>
      <c r="J555" s="11" t="s">
        <v>105</v>
      </c>
      <c r="K555" s="25">
        <v>8</v>
      </c>
      <c r="L555" s="25">
        <v>15000</v>
      </c>
      <c r="M555" s="29">
        <v>0.1</v>
      </c>
      <c r="N555" s="25">
        <v>108000</v>
      </c>
      <c r="O555" s="25">
        <v>66860.13</v>
      </c>
      <c r="P555" s="25">
        <v>41139.870000000003</v>
      </c>
      <c r="Q555" s="21">
        <v>38.090000000000003</v>
      </c>
      <c r="R555" s="11" t="s">
        <v>106</v>
      </c>
      <c r="S555" s="11" t="s">
        <v>62</v>
      </c>
      <c r="T555" s="11" t="s">
        <v>173</v>
      </c>
      <c r="U555" s="11" t="s">
        <v>160</v>
      </c>
      <c r="V555" s="11">
        <v>2025</v>
      </c>
      <c r="W555" s="11" t="s">
        <v>109</v>
      </c>
      <c r="X555" s="11">
        <v>3</v>
      </c>
      <c r="Y555" s="10" t="s">
        <v>2172</v>
      </c>
      <c r="Z555" s="11" t="s">
        <v>47</v>
      </c>
      <c r="AA555" s="11" t="s">
        <v>90</v>
      </c>
      <c r="AB555" s="11" t="s">
        <v>78</v>
      </c>
      <c r="AC555" s="11" t="s">
        <v>121</v>
      </c>
      <c r="AD555" s="11">
        <v>2</v>
      </c>
      <c r="AE555" s="11" t="s">
        <v>2232</v>
      </c>
      <c r="AF555" s="11" t="s">
        <v>2214</v>
      </c>
      <c r="AG555" s="25"/>
      <c r="AH555" s="11"/>
      <c r="AI555" s="11"/>
      <c r="AJ555" s="11"/>
      <c r="AK555" s="11"/>
      <c r="AL555" s="11"/>
      <c r="AM555" s="11" t="str">
        <f t="shared" si="44"/>
        <v>Good</v>
      </c>
      <c r="AN555" s="11" t="str" cm="1">
        <f t="array" ref="AN555">_xlfn.IFS(N555&lt;10000,"Low",N555&lt;30000,"Medium",N555&gt;=30000,"High")</f>
        <v>High</v>
      </c>
      <c r="AO555" s="11" t="str">
        <f t="shared" si="45"/>
        <v>Yes</v>
      </c>
      <c r="AP555" s="11" t="str">
        <f t="shared" si="46"/>
        <v>No</v>
      </c>
      <c r="AQ555" s="11">
        <f t="shared" si="47"/>
        <v>0.38092472222222223</v>
      </c>
      <c r="AR555" s="33"/>
      <c r="AS555" s="33"/>
      <c r="AT555" s="33"/>
      <c r="AU555" s="33"/>
      <c r="AV555" s="33"/>
      <c r="AW555" s="33"/>
      <c r="AX555" s="33" t="str">
        <f t="shared" si="48"/>
        <v>Excellent</v>
      </c>
    </row>
    <row r="556" spans="1:50">
      <c r="A556" s="9" t="s">
        <v>1367</v>
      </c>
      <c r="B556" s="10" t="s">
        <v>1368</v>
      </c>
      <c r="C556" s="11" t="s">
        <v>1200</v>
      </c>
      <c r="D556" s="11" t="s">
        <v>1193</v>
      </c>
      <c r="E556" s="11" t="s">
        <v>103</v>
      </c>
      <c r="F556" s="11" t="s">
        <v>116</v>
      </c>
      <c r="G556" s="11" t="s">
        <v>37</v>
      </c>
      <c r="H556" s="11" t="s">
        <v>58</v>
      </c>
      <c r="I556" s="11" t="s">
        <v>59</v>
      </c>
      <c r="J556" s="11" t="s">
        <v>372</v>
      </c>
      <c r="K556" s="25">
        <v>8</v>
      </c>
      <c r="L556" s="25">
        <v>800</v>
      </c>
      <c r="M556" s="29">
        <v>0.2</v>
      </c>
      <c r="N556" s="25">
        <v>5120</v>
      </c>
      <c r="O556" s="25">
        <v>3597.25</v>
      </c>
      <c r="P556" s="25">
        <v>1522.75</v>
      </c>
      <c r="Q556" s="21">
        <v>29.74</v>
      </c>
      <c r="R556" s="11" t="s">
        <v>73</v>
      </c>
      <c r="S556" s="11" t="s">
        <v>62</v>
      </c>
      <c r="T556" s="11" t="s">
        <v>63</v>
      </c>
      <c r="U556" s="11" t="s">
        <v>151</v>
      </c>
      <c r="V556" s="11">
        <v>2024</v>
      </c>
      <c r="W556" s="11" t="s">
        <v>134</v>
      </c>
      <c r="X556" s="11">
        <v>10</v>
      </c>
      <c r="Y556" s="10" t="s">
        <v>489</v>
      </c>
      <c r="Z556" s="11" t="s">
        <v>89</v>
      </c>
      <c r="AA556" s="11" t="s">
        <v>90</v>
      </c>
      <c r="AB556" s="11" t="s">
        <v>111</v>
      </c>
      <c r="AC556" s="11" t="s">
        <v>50</v>
      </c>
      <c r="AD556" s="11">
        <v>2</v>
      </c>
      <c r="AE556" s="11" t="s">
        <v>2229</v>
      </c>
      <c r="AF556" s="11" t="s">
        <v>2222</v>
      </c>
      <c r="AG556" s="25"/>
      <c r="AH556" s="11"/>
      <c r="AI556" s="11"/>
      <c r="AJ556" s="11"/>
      <c r="AK556" s="11"/>
      <c r="AL556" s="11"/>
      <c r="AM556" s="11" t="str">
        <f t="shared" si="44"/>
        <v>Needs Improvement</v>
      </c>
      <c r="AN556" s="11" t="str" cm="1">
        <f t="array" ref="AN556">_xlfn.IFS(N556&lt;10000,"Low",N556&lt;30000,"Medium",N556&gt;=30000,"High")</f>
        <v>Low</v>
      </c>
      <c r="AO556" s="11" t="str">
        <f t="shared" si="45"/>
        <v>No</v>
      </c>
      <c r="AP556" s="11" t="str">
        <f t="shared" si="46"/>
        <v>No</v>
      </c>
      <c r="AQ556" s="11">
        <f t="shared" si="47"/>
        <v>0.29741210937500001</v>
      </c>
      <c r="AR556" s="33"/>
      <c r="AS556" s="33"/>
      <c r="AT556" s="33"/>
      <c r="AU556" s="33"/>
      <c r="AV556" s="33"/>
      <c r="AW556" s="33"/>
      <c r="AX556" s="33" t="str">
        <f t="shared" si="48"/>
        <v>Low</v>
      </c>
    </row>
    <row r="557" spans="1:50">
      <c r="A557" s="9" t="s">
        <v>265</v>
      </c>
      <c r="B557" s="10" t="s">
        <v>266</v>
      </c>
      <c r="C557" s="11" t="s">
        <v>267</v>
      </c>
      <c r="D557" s="11" t="s">
        <v>268</v>
      </c>
      <c r="E557" s="11" t="s">
        <v>35</v>
      </c>
      <c r="F557" s="11" t="s">
        <v>82</v>
      </c>
      <c r="G557" s="11" t="s">
        <v>83</v>
      </c>
      <c r="H557" s="11" t="s">
        <v>58</v>
      </c>
      <c r="I557" s="11" t="s">
        <v>71</v>
      </c>
      <c r="J557" s="11" t="s">
        <v>172</v>
      </c>
      <c r="K557" s="25">
        <v>9</v>
      </c>
      <c r="L557" s="25">
        <v>1800</v>
      </c>
      <c r="M557" s="29">
        <v>0.15</v>
      </c>
      <c r="N557" s="25">
        <v>13770</v>
      </c>
      <c r="O557" s="25">
        <v>10186.64</v>
      </c>
      <c r="P557" s="25">
        <v>3583.36</v>
      </c>
      <c r="Q557" s="21">
        <v>26.02</v>
      </c>
      <c r="R557" s="11" t="s">
        <v>73</v>
      </c>
      <c r="S557" s="11" t="s">
        <v>62</v>
      </c>
      <c r="T557" s="11" t="s">
        <v>173</v>
      </c>
      <c r="U557" s="11" t="s">
        <v>151</v>
      </c>
      <c r="V557" s="11">
        <v>2025</v>
      </c>
      <c r="W557" s="11" t="s">
        <v>139</v>
      </c>
      <c r="X557" s="11">
        <v>6</v>
      </c>
      <c r="Y557" s="10" t="s">
        <v>269</v>
      </c>
      <c r="Z557" s="11" t="s">
        <v>47</v>
      </c>
      <c r="AA557" s="11" t="s">
        <v>48</v>
      </c>
      <c r="AB557" s="11" t="s">
        <v>111</v>
      </c>
      <c r="AC557" s="11" t="s">
        <v>121</v>
      </c>
      <c r="AD557" s="11">
        <v>2</v>
      </c>
      <c r="AE557" s="11" t="s">
        <v>2218</v>
      </c>
      <c r="AF557" s="11" t="s">
        <v>2228</v>
      </c>
      <c r="AG557" s="25"/>
      <c r="AH557" s="11"/>
      <c r="AI557" s="11"/>
      <c r="AJ557" s="11"/>
      <c r="AK557" s="11"/>
      <c r="AL557" s="11"/>
      <c r="AM557" s="11" t="str">
        <f t="shared" si="44"/>
        <v>Needs Improvement</v>
      </c>
      <c r="AN557" s="11" t="str" cm="1">
        <f t="array" ref="AN557">_xlfn.IFS(N557&lt;10000,"Low",N557&lt;30000,"Medium",N557&gt;=30000,"High")</f>
        <v>Medium</v>
      </c>
      <c r="AO557" s="11" t="str">
        <f t="shared" si="45"/>
        <v>No</v>
      </c>
      <c r="AP557" s="11" t="str">
        <f t="shared" si="46"/>
        <v>No</v>
      </c>
      <c r="AQ557" s="11">
        <f t="shared" si="47"/>
        <v>0.26022948438634713</v>
      </c>
      <c r="AR557" s="33"/>
      <c r="AS557" s="33"/>
      <c r="AT557" s="33"/>
      <c r="AU557" s="33"/>
      <c r="AV557" s="33"/>
      <c r="AW557" s="33"/>
      <c r="AX557" s="33" t="str">
        <f t="shared" si="48"/>
        <v>Low</v>
      </c>
    </row>
    <row r="558" spans="1:50">
      <c r="A558" s="9" t="s">
        <v>513</v>
      </c>
      <c r="B558" s="10" t="s">
        <v>266</v>
      </c>
      <c r="C558" s="11" t="s">
        <v>514</v>
      </c>
      <c r="D558" s="11" t="s">
        <v>515</v>
      </c>
      <c r="E558" s="11" t="s">
        <v>55</v>
      </c>
      <c r="F558" s="11" t="s">
        <v>131</v>
      </c>
      <c r="G558" s="11" t="s">
        <v>132</v>
      </c>
      <c r="H558" s="11" t="s">
        <v>171</v>
      </c>
      <c r="I558" s="11" t="s">
        <v>84</v>
      </c>
      <c r="J558" s="11" t="s">
        <v>390</v>
      </c>
      <c r="K558" s="25">
        <v>7</v>
      </c>
      <c r="L558" s="25">
        <v>800</v>
      </c>
      <c r="M558" s="29">
        <v>0.15</v>
      </c>
      <c r="N558" s="25">
        <v>4760</v>
      </c>
      <c r="O558" s="25">
        <v>3492.45</v>
      </c>
      <c r="P558" s="25">
        <v>1267.55</v>
      </c>
      <c r="Q558" s="21">
        <v>26.63</v>
      </c>
      <c r="R558" s="11" t="s">
        <v>61</v>
      </c>
      <c r="S558" s="11" t="s">
        <v>42</v>
      </c>
      <c r="T558" s="11" t="s">
        <v>97</v>
      </c>
      <c r="U558" s="11" t="s">
        <v>151</v>
      </c>
      <c r="V558" s="11">
        <v>2025</v>
      </c>
      <c r="W558" s="11" t="s">
        <v>139</v>
      </c>
      <c r="X558" s="11">
        <v>5</v>
      </c>
      <c r="Y558" s="10" t="s">
        <v>516</v>
      </c>
      <c r="Z558" s="11" t="s">
        <v>89</v>
      </c>
      <c r="AA558" s="11" t="s">
        <v>90</v>
      </c>
      <c r="AB558" s="11" t="s">
        <v>49</v>
      </c>
      <c r="AC558" s="11" t="s">
        <v>50</v>
      </c>
      <c r="AD558" s="11">
        <v>5</v>
      </c>
      <c r="AE558" s="11" t="s">
        <v>2233</v>
      </c>
      <c r="AF558" s="11" t="s">
        <v>2224</v>
      </c>
      <c r="AG558" s="25"/>
      <c r="AH558" s="11"/>
      <c r="AI558" s="11"/>
      <c r="AJ558" s="11"/>
      <c r="AK558" s="11"/>
      <c r="AL558" s="11"/>
      <c r="AM558" s="11" t="str">
        <f t="shared" si="44"/>
        <v>Needs Improvement</v>
      </c>
      <c r="AN558" s="11" t="str" cm="1">
        <f t="array" ref="AN558">_xlfn.IFS(N558&lt;10000,"Low",N558&lt;30000,"Medium",N558&gt;=30000,"High")</f>
        <v>Low</v>
      </c>
      <c r="AO558" s="11" t="str">
        <f t="shared" si="45"/>
        <v>No</v>
      </c>
      <c r="AP558" s="11" t="str">
        <f t="shared" si="46"/>
        <v>Yes</v>
      </c>
      <c r="AQ558" s="11">
        <f t="shared" si="47"/>
        <v>0.26629201680672265</v>
      </c>
      <c r="AR558" s="33"/>
      <c r="AS558" s="33"/>
      <c r="AT558" s="33"/>
      <c r="AU558" s="33"/>
      <c r="AV558" s="33"/>
      <c r="AW558" s="33"/>
      <c r="AX558" s="33" t="str">
        <f t="shared" si="48"/>
        <v>Low</v>
      </c>
    </row>
    <row r="559" spans="1:50">
      <c r="A559" s="9" t="s">
        <v>1018</v>
      </c>
      <c r="B559" s="10" t="s">
        <v>266</v>
      </c>
      <c r="C559" s="11" t="s">
        <v>1019</v>
      </c>
      <c r="D559" s="11" t="s">
        <v>1020</v>
      </c>
      <c r="E559" s="11" t="s">
        <v>55</v>
      </c>
      <c r="F559" s="11" t="s">
        <v>82</v>
      </c>
      <c r="G559" s="11" t="s">
        <v>83</v>
      </c>
      <c r="H559" s="11" t="s">
        <v>171</v>
      </c>
      <c r="I559" s="11" t="s">
        <v>71</v>
      </c>
      <c r="J559" s="11" t="s">
        <v>158</v>
      </c>
      <c r="K559" s="25">
        <v>2</v>
      </c>
      <c r="L559" s="25">
        <v>1200</v>
      </c>
      <c r="M559" s="29">
        <v>0.05</v>
      </c>
      <c r="N559" s="25">
        <v>2280</v>
      </c>
      <c r="O559" s="25">
        <v>1461.77</v>
      </c>
      <c r="P559" s="25">
        <v>818.23</v>
      </c>
      <c r="Q559" s="21">
        <v>35.89</v>
      </c>
      <c r="R559" s="11" t="s">
        <v>61</v>
      </c>
      <c r="S559" s="11" t="s">
        <v>42</v>
      </c>
      <c r="T559" s="11" t="s">
        <v>97</v>
      </c>
      <c r="U559" s="11" t="s">
        <v>151</v>
      </c>
      <c r="V559" s="11">
        <v>2025</v>
      </c>
      <c r="W559" s="11" t="s">
        <v>139</v>
      </c>
      <c r="X559" s="11">
        <v>7</v>
      </c>
      <c r="Y559" s="10" t="s">
        <v>1021</v>
      </c>
      <c r="Z559" s="11" t="s">
        <v>89</v>
      </c>
      <c r="AA559" s="11" t="s">
        <v>67</v>
      </c>
      <c r="AB559" s="11" t="s">
        <v>78</v>
      </c>
      <c r="AC559" s="11" t="s">
        <v>50</v>
      </c>
      <c r="AD559" s="11">
        <v>3</v>
      </c>
      <c r="AE559" s="11" t="s">
        <v>2240</v>
      </c>
      <c r="AF559" s="11" t="s">
        <v>2249</v>
      </c>
      <c r="AG559" s="25"/>
      <c r="AH559" s="11"/>
      <c r="AI559" s="11"/>
      <c r="AJ559" s="11"/>
      <c r="AK559" s="11"/>
      <c r="AL559" s="11"/>
      <c r="AM559" s="11" t="str">
        <f t="shared" si="44"/>
        <v>Good</v>
      </c>
      <c r="AN559" s="11" t="str" cm="1">
        <f t="array" ref="AN559">_xlfn.IFS(N559&lt;10000,"Low",N559&lt;30000,"Medium",N559&gt;=30000,"High")</f>
        <v>Low</v>
      </c>
      <c r="AO559" s="11" t="str">
        <f t="shared" si="45"/>
        <v>No</v>
      </c>
      <c r="AP559" s="11" t="str">
        <f t="shared" si="46"/>
        <v>Yes</v>
      </c>
      <c r="AQ559" s="11">
        <f t="shared" si="47"/>
        <v>0.35887280701754387</v>
      </c>
      <c r="AR559" s="33"/>
      <c r="AS559" s="33"/>
      <c r="AT559" s="33"/>
      <c r="AU559" s="33"/>
      <c r="AV559" s="33"/>
      <c r="AW559" s="33"/>
      <c r="AX559" s="33" t="str">
        <f t="shared" si="48"/>
        <v>Low</v>
      </c>
    </row>
    <row r="560" spans="1:50">
      <c r="A560" s="9" t="s">
        <v>1022</v>
      </c>
      <c r="B560" s="10" t="s">
        <v>266</v>
      </c>
      <c r="C560" s="11" t="s">
        <v>438</v>
      </c>
      <c r="D560" s="11" t="s">
        <v>646</v>
      </c>
      <c r="E560" s="11" t="s">
        <v>103</v>
      </c>
      <c r="F560" s="11" t="s">
        <v>144</v>
      </c>
      <c r="G560" s="11" t="s">
        <v>145</v>
      </c>
      <c r="H560" s="11" t="s">
        <v>58</v>
      </c>
      <c r="I560" s="11" t="s">
        <v>95</v>
      </c>
      <c r="J560" s="11" t="s">
        <v>96</v>
      </c>
      <c r="K560" s="25">
        <v>9</v>
      </c>
      <c r="L560" s="25">
        <v>4000</v>
      </c>
      <c r="M560" s="29">
        <v>0.15</v>
      </c>
      <c r="N560" s="25">
        <v>30600</v>
      </c>
      <c r="O560" s="25">
        <v>24775.17</v>
      </c>
      <c r="P560" s="25">
        <v>5824.83</v>
      </c>
      <c r="Q560" s="21">
        <v>19.04</v>
      </c>
      <c r="R560" s="11" t="s">
        <v>61</v>
      </c>
      <c r="S560" s="11" t="s">
        <v>42</v>
      </c>
      <c r="T560" s="11" t="s">
        <v>43</v>
      </c>
      <c r="U560" s="11" t="s">
        <v>151</v>
      </c>
      <c r="V560" s="11">
        <v>2025</v>
      </c>
      <c r="W560" s="11" t="s">
        <v>139</v>
      </c>
      <c r="X560" s="11">
        <v>5</v>
      </c>
      <c r="Y560" s="10" t="s">
        <v>516</v>
      </c>
      <c r="Z560" s="11" t="s">
        <v>47</v>
      </c>
      <c r="AA560" s="11" t="s">
        <v>48</v>
      </c>
      <c r="AB560" s="11" t="s">
        <v>49</v>
      </c>
      <c r="AC560" s="11" t="s">
        <v>50</v>
      </c>
      <c r="AD560" s="11">
        <v>1</v>
      </c>
      <c r="AE560" s="11" t="s">
        <v>118</v>
      </c>
      <c r="AF560" s="11" t="s">
        <v>2231</v>
      </c>
      <c r="AG560" s="25"/>
      <c r="AH560" s="11"/>
      <c r="AI560" s="11"/>
      <c r="AJ560" s="11"/>
      <c r="AK560" s="11"/>
      <c r="AL560" s="11"/>
      <c r="AM560" s="11" t="str">
        <f t="shared" si="44"/>
        <v>Needs Improvement</v>
      </c>
      <c r="AN560" s="11" t="str" cm="1">
        <f t="array" ref="AN560">_xlfn.IFS(N560&lt;10000,"Low",N560&lt;30000,"Medium",N560&gt;=30000,"High")</f>
        <v>High</v>
      </c>
      <c r="AO560" s="11" t="str">
        <f t="shared" si="45"/>
        <v>No</v>
      </c>
      <c r="AP560" s="11" t="str">
        <f t="shared" si="46"/>
        <v>Yes</v>
      </c>
      <c r="AQ560" s="11">
        <f t="shared" si="47"/>
        <v>0.19035392156862746</v>
      </c>
      <c r="AR560" s="33"/>
      <c r="AS560" s="33"/>
      <c r="AT560" s="33"/>
      <c r="AU560" s="33"/>
      <c r="AV560" s="33"/>
      <c r="AW560" s="33"/>
      <c r="AX560" s="33" t="str">
        <f t="shared" si="48"/>
        <v>Average</v>
      </c>
    </row>
    <row r="561" spans="1:50">
      <c r="A561" s="9" t="s">
        <v>833</v>
      </c>
      <c r="B561" s="10" t="s">
        <v>567</v>
      </c>
      <c r="C561" s="11" t="s">
        <v>281</v>
      </c>
      <c r="D561" s="11" t="s">
        <v>834</v>
      </c>
      <c r="E561" s="11" t="s">
        <v>103</v>
      </c>
      <c r="F561" s="11" t="s">
        <v>116</v>
      </c>
      <c r="G561" s="11" t="s">
        <v>37</v>
      </c>
      <c r="H561" s="11" t="s">
        <v>38</v>
      </c>
      <c r="I561" s="11" t="s">
        <v>84</v>
      </c>
      <c r="J561" s="11" t="s">
        <v>390</v>
      </c>
      <c r="K561" s="25">
        <v>9</v>
      </c>
      <c r="L561" s="25">
        <v>800</v>
      </c>
      <c r="M561" s="29">
        <v>0.2</v>
      </c>
      <c r="N561" s="25">
        <v>5760</v>
      </c>
      <c r="O561" s="25">
        <v>3981.53</v>
      </c>
      <c r="P561" s="25">
        <v>1778.47</v>
      </c>
      <c r="Q561" s="21">
        <v>30.88</v>
      </c>
      <c r="R561" s="11" t="s">
        <v>166</v>
      </c>
      <c r="S561" s="11" t="s">
        <v>62</v>
      </c>
      <c r="T561" s="11" t="s">
        <v>75</v>
      </c>
      <c r="U561" s="11" t="s">
        <v>218</v>
      </c>
      <c r="V561" s="11">
        <v>2024</v>
      </c>
      <c r="W561" s="11" t="s">
        <v>65</v>
      </c>
      <c r="X561" s="11">
        <v>6</v>
      </c>
      <c r="Y561" s="10" t="s">
        <v>835</v>
      </c>
      <c r="Z561" s="11" t="s">
        <v>89</v>
      </c>
      <c r="AA561" s="11" t="s">
        <v>90</v>
      </c>
      <c r="AB561" s="11" t="s">
        <v>111</v>
      </c>
      <c r="AC561" s="11" t="s">
        <v>121</v>
      </c>
      <c r="AD561" s="11">
        <v>1</v>
      </c>
      <c r="AE561" s="11" t="s">
        <v>2209</v>
      </c>
      <c r="AF561" s="11" t="s">
        <v>2223</v>
      </c>
      <c r="AG561" s="25"/>
      <c r="AH561" s="11"/>
      <c r="AI561" s="11"/>
      <c r="AJ561" s="11"/>
      <c r="AK561" s="11"/>
      <c r="AL561" s="11"/>
      <c r="AM561" s="11" t="str">
        <f t="shared" si="44"/>
        <v>Good</v>
      </c>
      <c r="AN561" s="11" t="str" cm="1">
        <f t="array" ref="AN561">_xlfn.IFS(N561&lt;10000,"Low",N561&lt;30000,"Medium",N561&gt;=30000,"High")</f>
        <v>Low</v>
      </c>
      <c r="AO561" s="11" t="str">
        <f t="shared" si="45"/>
        <v>No</v>
      </c>
      <c r="AP561" s="11" t="str">
        <f t="shared" si="46"/>
        <v>No</v>
      </c>
      <c r="AQ561" s="11">
        <f t="shared" si="47"/>
        <v>0.3087621527777778</v>
      </c>
      <c r="AR561" s="33"/>
      <c r="AS561" s="33"/>
      <c r="AT561" s="33"/>
      <c r="AU561" s="33"/>
      <c r="AV561" s="33"/>
      <c r="AW561" s="33"/>
      <c r="AX561" s="33" t="str">
        <f t="shared" si="48"/>
        <v>Low</v>
      </c>
    </row>
    <row r="562" spans="1:50">
      <c r="A562" s="9" t="s">
        <v>1623</v>
      </c>
      <c r="B562" s="10" t="s">
        <v>1624</v>
      </c>
      <c r="C562" s="11" t="s">
        <v>301</v>
      </c>
      <c r="D562" s="11" t="s">
        <v>1532</v>
      </c>
      <c r="E562" s="11" t="s">
        <v>35</v>
      </c>
      <c r="F562" s="11" t="s">
        <v>131</v>
      </c>
      <c r="G562" s="11" t="s">
        <v>132</v>
      </c>
      <c r="H562" s="11" t="s">
        <v>38</v>
      </c>
      <c r="I562" s="11" t="s">
        <v>59</v>
      </c>
      <c r="J562" s="11" t="s">
        <v>60</v>
      </c>
      <c r="K562" s="25">
        <v>3</v>
      </c>
      <c r="L562" s="25">
        <v>1200</v>
      </c>
      <c r="M562" s="29">
        <v>0.2</v>
      </c>
      <c r="N562" s="25">
        <v>2880</v>
      </c>
      <c r="O562" s="25">
        <v>2064.15</v>
      </c>
      <c r="P562" s="25">
        <v>815.85</v>
      </c>
      <c r="Q562" s="21">
        <v>28.33</v>
      </c>
      <c r="R562" s="11" t="s">
        <v>73</v>
      </c>
      <c r="S562" s="11" t="s">
        <v>74</v>
      </c>
      <c r="T562" s="11" t="s">
        <v>173</v>
      </c>
      <c r="U562" s="11" t="s">
        <v>218</v>
      </c>
      <c r="V562" s="11">
        <v>2025</v>
      </c>
      <c r="W562" s="11" t="s">
        <v>45</v>
      </c>
      <c r="X562" s="11">
        <v>6</v>
      </c>
      <c r="Y562" s="10" t="s">
        <v>381</v>
      </c>
      <c r="Z562" s="11" t="s">
        <v>89</v>
      </c>
      <c r="AA562" s="11" t="s">
        <v>67</v>
      </c>
      <c r="AB562" s="11" t="s">
        <v>111</v>
      </c>
      <c r="AC562" s="11" t="s">
        <v>50</v>
      </c>
      <c r="AD562" s="11">
        <v>3</v>
      </c>
      <c r="AE562" s="11" t="s">
        <v>2237</v>
      </c>
      <c r="AF562" s="11" t="s">
        <v>2231</v>
      </c>
      <c r="AG562" s="25"/>
      <c r="AH562" s="11"/>
      <c r="AI562" s="11"/>
      <c r="AJ562" s="11"/>
      <c r="AK562" s="11"/>
      <c r="AL562" s="11"/>
      <c r="AM562" s="11" t="str">
        <f t="shared" si="44"/>
        <v>Needs Improvement</v>
      </c>
      <c r="AN562" s="11" t="str" cm="1">
        <f t="array" ref="AN562">_xlfn.IFS(N562&lt;10000,"Low",N562&lt;30000,"Medium",N562&gt;=30000,"High")</f>
        <v>Low</v>
      </c>
      <c r="AO562" s="11" t="str">
        <f t="shared" si="45"/>
        <v>No</v>
      </c>
      <c r="AP562" s="11" t="str">
        <f t="shared" si="46"/>
        <v>Yes</v>
      </c>
      <c r="AQ562" s="11">
        <f t="shared" si="47"/>
        <v>0.28328124999999998</v>
      </c>
      <c r="AR562" s="33"/>
      <c r="AS562" s="33"/>
      <c r="AT562" s="33"/>
      <c r="AU562" s="33"/>
      <c r="AV562" s="33"/>
      <c r="AW562" s="33"/>
      <c r="AX562" s="33" t="str">
        <f t="shared" si="48"/>
        <v>Low</v>
      </c>
    </row>
    <row r="563" spans="1:50">
      <c r="A563" s="9" t="s">
        <v>1806</v>
      </c>
      <c r="B563" s="10" t="s">
        <v>1624</v>
      </c>
      <c r="C563" s="11" t="s">
        <v>292</v>
      </c>
      <c r="D563" s="11" t="s">
        <v>355</v>
      </c>
      <c r="E563" s="11" t="s">
        <v>55</v>
      </c>
      <c r="F563" s="11" t="s">
        <v>36</v>
      </c>
      <c r="G563" s="11" t="s">
        <v>37</v>
      </c>
      <c r="H563" s="11" t="s">
        <v>94</v>
      </c>
      <c r="I563" s="11" t="s">
        <v>59</v>
      </c>
      <c r="J563" s="11" t="s">
        <v>328</v>
      </c>
      <c r="K563" s="25">
        <v>2</v>
      </c>
      <c r="L563" s="25">
        <v>800</v>
      </c>
      <c r="M563" s="29">
        <v>0.1</v>
      </c>
      <c r="N563" s="25">
        <v>1440</v>
      </c>
      <c r="O563" s="25">
        <v>1108.98</v>
      </c>
      <c r="P563" s="25">
        <v>331.02</v>
      </c>
      <c r="Q563" s="21">
        <v>22.99</v>
      </c>
      <c r="R563" s="11" t="s">
        <v>41</v>
      </c>
      <c r="S563" s="11" t="s">
        <v>42</v>
      </c>
      <c r="T563" s="11" t="s">
        <v>43</v>
      </c>
      <c r="U563" s="11" t="s">
        <v>218</v>
      </c>
      <c r="V563" s="11">
        <v>2025</v>
      </c>
      <c r="W563" s="11" t="s">
        <v>45</v>
      </c>
      <c r="X563" s="11">
        <v>10</v>
      </c>
      <c r="Y563" s="10" t="s">
        <v>892</v>
      </c>
      <c r="Z563" s="11" t="s">
        <v>110</v>
      </c>
      <c r="AA563" s="11" t="s">
        <v>67</v>
      </c>
      <c r="AB563" s="11" t="s">
        <v>111</v>
      </c>
      <c r="AC563" s="11" t="s">
        <v>50</v>
      </c>
      <c r="AD563" s="11">
        <v>1</v>
      </c>
      <c r="AE563" s="11" t="s">
        <v>159</v>
      </c>
      <c r="AF563" s="11" t="s">
        <v>2235</v>
      </c>
      <c r="AG563" s="25"/>
      <c r="AH563" s="11"/>
      <c r="AI563" s="11"/>
      <c r="AJ563" s="11"/>
      <c r="AK563" s="11"/>
      <c r="AL563" s="11"/>
      <c r="AM563" s="11" t="str">
        <f t="shared" si="44"/>
        <v>Needs Improvement</v>
      </c>
      <c r="AN563" s="11" t="str" cm="1">
        <f t="array" ref="AN563">_xlfn.IFS(N563&lt;10000,"Low",N563&lt;30000,"Medium",N563&gt;=30000,"High")</f>
        <v>Low</v>
      </c>
      <c r="AO563" s="11" t="str">
        <f t="shared" si="45"/>
        <v>No</v>
      </c>
      <c r="AP563" s="11" t="str">
        <f t="shared" si="46"/>
        <v>Yes</v>
      </c>
      <c r="AQ563" s="11">
        <f t="shared" si="47"/>
        <v>0.229875</v>
      </c>
      <c r="AR563" s="33"/>
      <c r="AS563" s="33"/>
      <c r="AT563" s="33"/>
      <c r="AU563" s="33"/>
      <c r="AV563" s="33"/>
      <c r="AW563" s="33"/>
      <c r="AX563" s="33" t="str">
        <f t="shared" si="48"/>
        <v>Low</v>
      </c>
    </row>
    <row r="564" spans="1:50">
      <c r="A564" s="9" t="s">
        <v>844</v>
      </c>
      <c r="B564" s="10" t="s">
        <v>845</v>
      </c>
      <c r="C564" s="11" t="s">
        <v>846</v>
      </c>
      <c r="D564" s="11" t="s">
        <v>847</v>
      </c>
      <c r="E564" s="11" t="s">
        <v>35</v>
      </c>
      <c r="F564" s="11" t="s">
        <v>104</v>
      </c>
      <c r="G564" s="11" t="s">
        <v>104</v>
      </c>
      <c r="H564" s="11" t="s">
        <v>171</v>
      </c>
      <c r="I564" s="11" t="s">
        <v>95</v>
      </c>
      <c r="J564" s="11" t="s">
        <v>440</v>
      </c>
      <c r="K564" s="25">
        <v>3</v>
      </c>
      <c r="L564" s="25">
        <v>9000</v>
      </c>
      <c r="M564" s="29">
        <v>0</v>
      </c>
      <c r="N564" s="25">
        <v>27000</v>
      </c>
      <c r="O564" s="25">
        <v>16217.19</v>
      </c>
      <c r="P564" s="25">
        <v>10782.81</v>
      </c>
      <c r="Q564" s="21">
        <v>39.94</v>
      </c>
      <c r="R564" s="11" t="s">
        <v>106</v>
      </c>
      <c r="S564" s="11" t="s">
        <v>62</v>
      </c>
      <c r="T564" s="11" t="s">
        <v>43</v>
      </c>
      <c r="U564" s="11" t="s">
        <v>108</v>
      </c>
      <c r="V564" s="11">
        <v>2024</v>
      </c>
      <c r="W564" s="11" t="s">
        <v>109</v>
      </c>
      <c r="X564" s="11">
        <v>10</v>
      </c>
      <c r="Y564" s="10" t="s">
        <v>283</v>
      </c>
      <c r="Z564" s="11" t="s">
        <v>47</v>
      </c>
      <c r="AA564" s="11" t="s">
        <v>48</v>
      </c>
      <c r="AB564" s="11" t="s">
        <v>111</v>
      </c>
      <c r="AC564" s="11" t="s">
        <v>121</v>
      </c>
      <c r="AD564" s="11">
        <v>4</v>
      </c>
      <c r="AE564" s="11" t="s">
        <v>86</v>
      </c>
      <c r="AF564" s="11" t="s">
        <v>2219</v>
      </c>
      <c r="AG564" s="25"/>
      <c r="AH564" s="11"/>
      <c r="AI564" s="11"/>
      <c r="AJ564" s="11"/>
      <c r="AK564" s="11"/>
      <c r="AL564" s="11"/>
      <c r="AM564" s="11" t="str">
        <f t="shared" si="44"/>
        <v>Good</v>
      </c>
      <c r="AN564" s="11" t="str" cm="1">
        <f t="array" ref="AN564">_xlfn.IFS(N564&lt;10000,"Low",N564&lt;30000,"Medium",N564&gt;=30000,"High")</f>
        <v>Medium</v>
      </c>
      <c r="AO564" s="11" t="str">
        <f t="shared" si="45"/>
        <v>No</v>
      </c>
      <c r="AP564" s="11" t="str">
        <f t="shared" si="46"/>
        <v>No</v>
      </c>
      <c r="AQ564" s="11">
        <f t="shared" si="47"/>
        <v>0.39936333333333329</v>
      </c>
      <c r="AR564" s="33"/>
      <c r="AS564" s="33"/>
      <c r="AT564" s="33"/>
      <c r="AU564" s="33"/>
      <c r="AV564" s="33"/>
      <c r="AW564" s="33"/>
      <c r="AX564" s="33" t="str">
        <f t="shared" si="48"/>
        <v>Good</v>
      </c>
    </row>
    <row r="565" spans="1:50">
      <c r="A565" s="9" t="s">
        <v>918</v>
      </c>
      <c r="B565" s="10" t="s">
        <v>845</v>
      </c>
      <c r="C565" s="11" t="s">
        <v>919</v>
      </c>
      <c r="D565" s="11" t="s">
        <v>920</v>
      </c>
      <c r="E565" s="11" t="s">
        <v>103</v>
      </c>
      <c r="F565" s="11" t="s">
        <v>82</v>
      </c>
      <c r="G565" s="11" t="s">
        <v>83</v>
      </c>
      <c r="H565" s="11" t="s">
        <v>94</v>
      </c>
      <c r="I565" s="11" t="s">
        <v>59</v>
      </c>
      <c r="J565" s="11" t="s">
        <v>372</v>
      </c>
      <c r="K565" s="25">
        <v>2</v>
      </c>
      <c r="L565" s="25">
        <v>2000</v>
      </c>
      <c r="M565" s="29">
        <v>0.05</v>
      </c>
      <c r="N565" s="25">
        <v>3800</v>
      </c>
      <c r="O565" s="25">
        <v>3023.75</v>
      </c>
      <c r="P565" s="25">
        <v>776.25</v>
      </c>
      <c r="Q565" s="21">
        <v>20.43</v>
      </c>
      <c r="R565" s="11" t="s">
        <v>61</v>
      </c>
      <c r="S565" s="11" t="s">
        <v>74</v>
      </c>
      <c r="T565" s="11" t="s">
        <v>43</v>
      </c>
      <c r="U565" s="11" t="s">
        <v>108</v>
      </c>
      <c r="V565" s="11">
        <v>2024</v>
      </c>
      <c r="W565" s="11" t="s">
        <v>109</v>
      </c>
      <c r="X565" s="11">
        <v>8</v>
      </c>
      <c r="Y565" s="10" t="s">
        <v>921</v>
      </c>
      <c r="Z565" s="11" t="s">
        <v>47</v>
      </c>
      <c r="AA565" s="11" t="s">
        <v>48</v>
      </c>
      <c r="AB565" s="11" t="s">
        <v>111</v>
      </c>
      <c r="AC565" s="11" t="s">
        <v>121</v>
      </c>
      <c r="AD565" s="11">
        <v>5</v>
      </c>
      <c r="AE565" s="11" t="s">
        <v>2218</v>
      </c>
      <c r="AF565" s="11" t="s">
        <v>2249</v>
      </c>
      <c r="AG565" s="25"/>
      <c r="AH565" s="11"/>
      <c r="AI565" s="11"/>
      <c r="AJ565" s="11"/>
      <c r="AK565" s="11"/>
      <c r="AL565" s="11"/>
      <c r="AM565" s="11" t="str">
        <f t="shared" si="44"/>
        <v>Needs Improvement</v>
      </c>
      <c r="AN565" s="11" t="str" cm="1">
        <f t="array" ref="AN565">_xlfn.IFS(N565&lt;10000,"Low",N565&lt;30000,"Medium",N565&gt;=30000,"High")</f>
        <v>Low</v>
      </c>
      <c r="AO565" s="11" t="str">
        <f t="shared" si="45"/>
        <v>No</v>
      </c>
      <c r="AP565" s="11" t="str">
        <f t="shared" si="46"/>
        <v>Yes</v>
      </c>
      <c r="AQ565" s="11">
        <f t="shared" si="47"/>
        <v>0.20427631578947369</v>
      </c>
      <c r="AR565" s="33"/>
      <c r="AS565" s="33"/>
      <c r="AT565" s="33"/>
      <c r="AU565" s="33"/>
      <c r="AV565" s="33"/>
      <c r="AW565" s="33"/>
      <c r="AX565" s="33" t="str">
        <f t="shared" si="48"/>
        <v>Low</v>
      </c>
    </row>
    <row r="566" spans="1:50">
      <c r="A566" s="9" t="s">
        <v>1915</v>
      </c>
      <c r="B566" s="10" t="s">
        <v>845</v>
      </c>
      <c r="C566" s="11" t="s">
        <v>614</v>
      </c>
      <c r="D566" s="11" t="s">
        <v>566</v>
      </c>
      <c r="E566" s="11" t="s">
        <v>35</v>
      </c>
      <c r="F566" s="11" t="s">
        <v>116</v>
      </c>
      <c r="G566" s="11" t="s">
        <v>37</v>
      </c>
      <c r="H566" s="11" t="s">
        <v>58</v>
      </c>
      <c r="I566" s="11" t="s">
        <v>59</v>
      </c>
      <c r="J566" s="11" t="s">
        <v>133</v>
      </c>
      <c r="K566" s="25">
        <v>9</v>
      </c>
      <c r="L566" s="25">
        <v>1200</v>
      </c>
      <c r="M566" s="29">
        <v>0.05</v>
      </c>
      <c r="N566" s="25">
        <v>10260</v>
      </c>
      <c r="O566" s="25">
        <v>6342.57</v>
      </c>
      <c r="P566" s="25">
        <v>3917.43</v>
      </c>
      <c r="Q566" s="21">
        <v>38.18</v>
      </c>
      <c r="R566" s="11" t="s">
        <v>73</v>
      </c>
      <c r="S566" s="11" t="s">
        <v>62</v>
      </c>
      <c r="T566" s="11" t="s">
        <v>138</v>
      </c>
      <c r="U566" s="11" t="s">
        <v>108</v>
      </c>
      <c r="V566" s="11">
        <v>2024</v>
      </c>
      <c r="W566" s="11" t="s">
        <v>109</v>
      </c>
      <c r="X566" s="11">
        <v>10</v>
      </c>
      <c r="Y566" s="10" t="s">
        <v>283</v>
      </c>
      <c r="Z566" s="11" t="s">
        <v>47</v>
      </c>
      <c r="AA566" s="11" t="s">
        <v>67</v>
      </c>
      <c r="AB566" s="11" t="s">
        <v>111</v>
      </c>
      <c r="AC566" s="11" t="s">
        <v>50</v>
      </c>
      <c r="AD566" s="11">
        <v>5</v>
      </c>
      <c r="AE566" s="11" t="s">
        <v>2240</v>
      </c>
      <c r="AF566" s="11" t="s">
        <v>2223</v>
      </c>
      <c r="AG566" s="25"/>
      <c r="AH566" s="11"/>
      <c r="AI566" s="11"/>
      <c r="AJ566" s="11"/>
      <c r="AK566" s="11"/>
      <c r="AL566" s="11"/>
      <c r="AM566" s="11" t="str">
        <f t="shared" si="44"/>
        <v>Good</v>
      </c>
      <c r="AN566" s="11" t="str" cm="1">
        <f t="array" ref="AN566">_xlfn.IFS(N566&lt;10000,"Low",N566&lt;30000,"Medium",N566&gt;=30000,"High")</f>
        <v>Medium</v>
      </c>
      <c r="AO566" s="11" t="str">
        <f t="shared" si="45"/>
        <v>No</v>
      </c>
      <c r="AP566" s="11" t="str">
        <f t="shared" si="46"/>
        <v>No</v>
      </c>
      <c r="AQ566" s="11">
        <f t="shared" si="47"/>
        <v>0.38181578947368422</v>
      </c>
      <c r="AR566" s="33"/>
      <c r="AS566" s="33"/>
      <c r="AT566" s="33"/>
      <c r="AU566" s="33"/>
      <c r="AV566" s="33"/>
      <c r="AW566" s="33"/>
      <c r="AX566" s="33" t="str">
        <f t="shared" si="48"/>
        <v>Low</v>
      </c>
    </row>
    <row r="567" spans="1:50">
      <c r="A567" s="9" t="s">
        <v>2113</v>
      </c>
      <c r="B567" s="10" t="s">
        <v>845</v>
      </c>
      <c r="C567" s="11" t="s">
        <v>709</v>
      </c>
      <c r="D567" s="11" t="s">
        <v>1665</v>
      </c>
      <c r="E567" s="11" t="s">
        <v>103</v>
      </c>
      <c r="F567" s="11" t="s">
        <v>156</v>
      </c>
      <c r="G567" s="11" t="s">
        <v>157</v>
      </c>
      <c r="H567" s="11" t="s">
        <v>58</v>
      </c>
      <c r="I567" s="11" t="s">
        <v>39</v>
      </c>
      <c r="J567" s="11" t="s">
        <v>40</v>
      </c>
      <c r="K567" s="25">
        <v>3</v>
      </c>
      <c r="L567" s="25">
        <v>12000</v>
      </c>
      <c r="M567" s="29">
        <v>0</v>
      </c>
      <c r="N567" s="25">
        <v>36000</v>
      </c>
      <c r="O567" s="25">
        <v>24767.34</v>
      </c>
      <c r="P567" s="25">
        <v>11232.66</v>
      </c>
      <c r="Q567" s="21">
        <v>31.2</v>
      </c>
      <c r="R567" s="11" t="s">
        <v>73</v>
      </c>
      <c r="S567" s="11" t="s">
        <v>62</v>
      </c>
      <c r="T567" s="11" t="s">
        <v>159</v>
      </c>
      <c r="U567" s="11" t="s">
        <v>108</v>
      </c>
      <c r="V567" s="11">
        <v>2024</v>
      </c>
      <c r="W567" s="11" t="s">
        <v>109</v>
      </c>
      <c r="X567" s="11">
        <v>6</v>
      </c>
      <c r="Y567" s="10" t="s">
        <v>789</v>
      </c>
      <c r="Z567" s="11" t="s">
        <v>89</v>
      </c>
      <c r="AA567" s="11" t="s">
        <v>67</v>
      </c>
      <c r="AB567" s="11" t="s">
        <v>78</v>
      </c>
      <c r="AC567" s="11" t="s">
        <v>121</v>
      </c>
      <c r="AD567" s="11">
        <v>3</v>
      </c>
      <c r="AE567" s="11" t="s">
        <v>2216</v>
      </c>
      <c r="AF567" s="11" t="s">
        <v>2238</v>
      </c>
      <c r="AG567" s="25"/>
      <c r="AH567" s="11"/>
      <c r="AI567" s="11"/>
      <c r="AJ567" s="11"/>
      <c r="AK567" s="11"/>
      <c r="AL567" s="11"/>
      <c r="AM567" s="11" t="str">
        <f t="shared" si="44"/>
        <v>Good</v>
      </c>
      <c r="AN567" s="11" t="str" cm="1">
        <f t="array" ref="AN567">_xlfn.IFS(N567&lt;10000,"Low",N567&lt;30000,"Medium",N567&gt;=30000,"High")</f>
        <v>High</v>
      </c>
      <c r="AO567" s="11" t="str">
        <f t="shared" si="45"/>
        <v>Yes</v>
      </c>
      <c r="AP567" s="11" t="str">
        <f t="shared" si="46"/>
        <v>No</v>
      </c>
      <c r="AQ567" s="11">
        <f t="shared" si="47"/>
        <v>0.31201833333333334</v>
      </c>
      <c r="AR567" s="33"/>
      <c r="AS567" s="33"/>
      <c r="AT567" s="33"/>
      <c r="AU567" s="33"/>
      <c r="AV567" s="33"/>
      <c r="AW567" s="33"/>
      <c r="AX567" s="33" t="str">
        <f t="shared" si="48"/>
        <v>Good</v>
      </c>
    </row>
    <row r="568" spans="1:50">
      <c r="A568" s="9" t="s">
        <v>1677</v>
      </c>
      <c r="B568" s="10" t="s">
        <v>1678</v>
      </c>
      <c r="C568" s="11" t="s">
        <v>1005</v>
      </c>
      <c r="D568" s="11" t="s">
        <v>931</v>
      </c>
      <c r="E568" s="11" t="s">
        <v>55</v>
      </c>
      <c r="F568" s="11" t="s">
        <v>144</v>
      </c>
      <c r="G568" s="11" t="s">
        <v>145</v>
      </c>
      <c r="H568" s="11" t="s">
        <v>58</v>
      </c>
      <c r="I568" s="11" t="s">
        <v>95</v>
      </c>
      <c r="J568" s="11" t="s">
        <v>96</v>
      </c>
      <c r="K568" s="25">
        <v>4</v>
      </c>
      <c r="L568" s="25">
        <v>2500</v>
      </c>
      <c r="M568" s="29">
        <v>0.2</v>
      </c>
      <c r="N568" s="25">
        <v>8000</v>
      </c>
      <c r="O568" s="25">
        <v>5706.72</v>
      </c>
      <c r="P568" s="25">
        <v>2293.2800000000002</v>
      </c>
      <c r="Q568" s="21">
        <v>28.67</v>
      </c>
      <c r="R568" s="11" t="s">
        <v>61</v>
      </c>
      <c r="S568" s="11" t="s">
        <v>62</v>
      </c>
      <c r="T568" s="11" t="s">
        <v>107</v>
      </c>
      <c r="U568" s="11" t="s">
        <v>108</v>
      </c>
      <c r="V568" s="11">
        <v>2025</v>
      </c>
      <c r="W568" s="11" t="s">
        <v>134</v>
      </c>
      <c r="X568" s="11">
        <v>6</v>
      </c>
      <c r="Y568" s="10" t="s">
        <v>1679</v>
      </c>
      <c r="Z568" s="11" t="s">
        <v>47</v>
      </c>
      <c r="AA568" s="11" t="s">
        <v>90</v>
      </c>
      <c r="AB568" s="11" t="s">
        <v>111</v>
      </c>
      <c r="AC568" s="11" t="s">
        <v>121</v>
      </c>
      <c r="AD568" s="11">
        <v>5</v>
      </c>
      <c r="AE568" s="11" t="s">
        <v>2232</v>
      </c>
      <c r="AF568" s="11" t="s">
        <v>2238</v>
      </c>
      <c r="AG568" s="25"/>
      <c r="AH568" s="11"/>
      <c r="AI568" s="11"/>
      <c r="AJ568" s="11"/>
      <c r="AK568" s="11"/>
      <c r="AL568" s="11"/>
      <c r="AM568" s="11" t="str">
        <f t="shared" si="44"/>
        <v>Needs Improvement</v>
      </c>
      <c r="AN568" s="11" t="str" cm="1">
        <f t="array" ref="AN568">_xlfn.IFS(N568&lt;10000,"Low",N568&lt;30000,"Medium",N568&gt;=30000,"High")</f>
        <v>Low</v>
      </c>
      <c r="AO568" s="11" t="str">
        <f t="shared" si="45"/>
        <v>No</v>
      </c>
      <c r="AP568" s="11" t="str">
        <f t="shared" si="46"/>
        <v>No</v>
      </c>
      <c r="AQ568" s="11">
        <f t="shared" si="47"/>
        <v>0.28666000000000003</v>
      </c>
      <c r="AR568" s="33"/>
      <c r="AS568" s="33"/>
      <c r="AT568" s="33"/>
      <c r="AU568" s="33"/>
      <c r="AV568" s="33"/>
      <c r="AW568" s="33"/>
      <c r="AX568" s="33" t="str">
        <f t="shared" si="48"/>
        <v>Low</v>
      </c>
    </row>
    <row r="569" spans="1:50">
      <c r="A569" s="9" t="s">
        <v>1326</v>
      </c>
      <c r="B569" s="10" t="s">
        <v>1327</v>
      </c>
      <c r="C569" s="11" t="s">
        <v>1093</v>
      </c>
      <c r="D569" s="11" t="s">
        <v>1328</v>
      </c>
      <c r="E569" s="11" t="s">
        <v>103</v>
      </c>
      <c r="F569" s="11" t="s">
        <v>131</v>
      </c>
      <c r="G569" s="11" t="s">
        <v>132</v>
      </c>
      <c r="H569" s="11" t="s">
        <v>38</v>
      </c>
      <c r="I569" s="11" t="s">
        <v>84</v>
      </c>
      <c r="J569" s="11" t="s">
        <v>290</v>
      </c>
      <c r="K569" s="25">
        <v>3</v>
      </c>
      <c r="L569" s="25">
        <v>800</v>
      </c>
      <c r="M569" s="29">
        <v>0.2</v>
      </c>
      <c r="N569" s="25">
        <v>1920</v>
      </c>
      <c r="O569" s="25">
        <v>1321.25</v>
      </c>
      <c r="P569" s="25">
        <v>598.75</v>
      </c>
      <c r="Q569" s="21">
        <v>31.18</v>
      </c>
      <c r="R569" s="11" t="s">
        <v>106</v>
      </c>
      <c r="S569" s="11" t="s">
        <v>74</v>
      </c>
      <c r="T569" s="11" t="s">
        <v>107</v>
      </c>
      <c r="U569" s="11" t="s">
        <v>87</v>
      </c>
      <c r="V569" s="11">
        <v>2024</v>
      </c>
      <c r="W569" s="11" t="s">
        <v>139</v>
      </c>
      <c r="X569" s="11">
        <v>4</v>
      </c>
      <c r="Y569" s="10" t="s">
        <v>314</v>
      </c>
      <c r="Z569" s="11" t="s">
        <v>47</v>
      </c>
      <c r="AA569" s="11" t="s">
        <v>48</v>
      </c>
      <c r="AB569" s="11" t="s">
        <v>78</v>
      </c>
      <c r="AC569" s="11" t="s">
        <v>121</v>
      </c>
      <c r="AD569" s="11">
        <v>3</v>
      </c>
      <c r="AE569" s="11" t="s">
        <v>2227</v>
      </c>
      <c r="AF569" s="11" t="s">
        <v>2236</v>
      </c>
      <c r="AG569" s="25"/>
      <c r="AH569" s="11"/>
      <c r="AI569" s="11"/>
      <c r="AJ569" s="11"/>
      <c r="AK569" s="11"/>
      <c r="AL569" s="11"/>
      <c r="AM569" s="11" t="str">
        <f t="shared" si="44"/>
        <v>Good</v>
      </c>
      <c r="AN569" s="11" t="str" cm="1">
        <f t="array" ref="AN569">_xlfn.IFS(N569&lt;10000,"Low",N569&lt;30000,"Medium",N569&gt;=30000,"High")</f>
        <v>Low</v>
      </c>
      <c r="AO569" s="11" t="str">
        <f t="shared" si="45"/>
        <v>No</v>
      </c>
      <c r="AP569" s="11" t="str">
        <f t="shared" si="46"/>
        <v>Yes</v>
      </c>
      <c r="AQ569" s="11">
        <f t="shared" si="47"/>
        <v>0.31184895833333331</v>
      </c>
      <c r="AR569" s="33"/>
      <c r="AS569" s="33"/>
      <c r="AT569" s="33"/>
      <c r="AU569" s="33"/>
      <c r="AV569" s="33"/>
      <c r="AW569" s="33"/>
      <c r="AX569" s="33" t="str">
        <f t="shared" si="48"/>
        <v>Low</v>
      </c>
    </row>
    <row r="570" spans="1:50">
      <c r="A570" s="9" t="s">
        <v>1980</v>
      </c>
      <c r="B570" s="10" t="s">
        <v>1327</v>
      </c>
      <c r="C570" s="11" t="s">
        <v>1545</v>
      </c>
      <c r="D570" s="11" t="s">
        <v>554</v>
      </c>
      <c r="E570" s="11" t="s">
        <v>103</v>
      </c>
      <c r="F570" s="11" t="s">
        <v>116</v>
      </c>
      <c r="G570" s="11" t="s">
        <v>37</v>
      </c>
      <c r="H570" s="11" t="s">
        <v>58</v>
      </c>
      <c r="I570" s="11" t="s">
        <v>95</v>
      </c>
      <c r="J570" s="11" t="s">
        <v>440</v>
      </c>
      <c r="K570" s="25">
        <v>2</v>
      </c>
      <c r="L570" s="25">
        <v>6000</v>
      </c>
      <c r="M570" s="29">
        <v>0.05</v>
      </c>
      <c r="N570" s="25">
        <v>11400</v>
      </c>
      <c r="O570" s="25">
        <v>7581.7</v>
      </c>
      <c r="P570" s="25">
        <v>3818.3</v>
      </c>
      <c r="Q570" s="21">
        <v>33.49</v>
      </c>
      <c r="R570" s="11" t="s">
        <v>41</v>
      </c>
      <c r="S570" s="11" t="s">
        <v>62</v>
      </c>
      <c r="T570" s="11" t="s">
        <v>97</v>
      </c>
      <c r="U570" s="11" t="s">
        <v>87</v>
      </c>
      <c r="V570" s="11">
        <v>2024</v>
      </c>
      <c r="W570" s="11" t="s">
        <v>139</v>
      </c>
      <c r="X570" s="11">
        <v>5</v>
      </c>
      <c r="Y570" s="10" t="s">
        <v>1040</v>
      </c>
      <c r="Z570" s="11" t="s">
        <v>47</v>
      </c>
      <c r="AA570" s="11" t="s">
        <v>67</v>
      </c>
      <c r="AB570" s="11" t="s">
        <v>111</v>
      </c>
      <c r="AC570" s="11" t="s">
        <v>121</v>
      </c>
      <c r="AD570" s="11">
        <v>4</v>
      </c>
      <c r="AE570" s="11" t="s">
        <v>2220</v>
      </c>
      <c r="AF570" s="11" t="s">
        <v>2238</v>
      </c>
      <c r="AG570" s="25"/>
      <c r="AH570" s="11"/>
      <c r="AI570" s="11"/>
      <c r="AJ570" s="11"/>
      <c r="AK570" s="11"/>
      <c r="AL570" s="11"/>
      <c r="AM570" s="11" t="str">
        <f t="shared" si="44"/>
        <v>Good</v>
      </c>
      <c r="AN570" s="11" t="str" cm="1">
        <f t="array" ref="AN570">_xlfn.IFS(N570&lt;10000,"Low",N570&lt;30000,"Medium",N570&gt;=30000,"High")</f>
        <v>Medium</v>
      </c>
      <c r="AO570" s="11" t="str">
        <f t="shared" si="45"/>
        <v>No</v>
      </c>
      <c r="AP570" s="11" t="str">
        <f t="shared" si="46"/>
        <v>No</v>
      </c>
      <c r="AQ570" s="11">
        <f t="shared" si="47"/>
        <v>0.33493859649122809</v>
      </c>
      <c r="AR570" s="33"/>
      <c r="AS570" s="33"/>
      <c r="AT570" s="33"/>
      <c r="AU570" s="33"/>
      <c r="AV570" s="33"/>
      <c r="AW570" s="33"/>
      <c r="AX570" s="33" t="str">
        <f t="shared" si="48"/>
        <v>Low</v>
      </c>
    </row>
    <row r="571" spans="1:50">
      <c r="A571" s="9" t="s">
        <v>1959</v>
      </c>
      <c r="B571" s="10" t="s">
        <v>1960</v>
      </c>
      <c r="C571" s="11" t="s">
        <v>749</v>
      </c>
      <c r="D571" s="11" t="s">
        <v>387</v>
      </c>
      <c r="E571" s="11" t="s">
        <v>103</v>
      </c>
      <c r="F571" s="11" t="s">
        <v>116</v>
      </c>
      <c r="G571" s="11" t="s">
        <v>37</v>
      </c>
      <c r="H571" s="11" t="s">
        <v>171</v>
      </c>
      <c r="I571" s="11" t="s">
        <v>59</v>
      </c>
      <c r="J571" s="11" t="s">
        <v>372</v>
      </c>
      <c r="K571" s="25">
        <v>7</v>
      </c>
      <c r="L571" s="25">
        <v>500</v>
      </c>
      <c r="M571" s="29">
        <v>0.2</v>
      </c>
      <c r="N571" s="25">
        <v>2800</v>
      </c>
      <c r="O571" s="25">
        <v>2041.47</v>
      </c>
      <c r="P571" s="25">
        <v>758.53</v>
      </c>
      <c r="Q571" s="21">
        <v>27.09</v>
      </c>
      <c r="R571" s="11" t="s">
        <v>106</v>
      </c>
      <c r="S571" s="11" t="s">
        <v>74</v>
      </c>
      <c r="T571" s="11" t="s">
        <v>75</v>
      </c>
      <c r="U571" s="11" t="s">
        <v>87</v>
      </c>
      <c r="V571" s="11">
        <v>2025</v>
      </c>
      <c r="W571" s="11" t="s">
        <v>194</v>
      </c>
      <c r="X571" s="11">
        <v>5</v>
      </c>
      <c r="Y571" s="10" t="s">
        <v>1004</v>
      </c>
      <c r="Z571" s="11" t="s">
        <v>89</v>
      </c>
      <c r="AA571" s="11" t="s">
        <v>48</v>
      </c>
      <c r="AB571" s="11" t="s">
        <v>111</v>
      </c>
      <c r="AC571" s="11" t="s">
        <v>50</v>
      </c>
      <c r="AD571" s="11">
        <v>2</v>
      </c>
      <c r="AE571" s="11" t="s">
        <v>2229</v>
      </c>
      <c r="AF571" s="11" t="s">
        <v>2212</v>
      </c>
      <c r="AG571" s="25"/>
      <c r="AH571" s="11"/>
      <c r="AI571" s="11"/>
      <c r="AJ571" s="11"/>
      <c r="AK571" s="11"/>
      <c r="AL571" s="11"/>
      <c r="AM571" s="11" t="str">
        <f t="shared" si="44"/>
        <v>Needs Improvement</v>
      </c>
      <c r="AN571" s="11" t="str" cm="1">
        <f t="array" ref="AN571">_xlfn.IFS(N571&lt;10000,"Low",N571&lt;30000,"Medium",N571&gt;=30000,"High")</f>
        <v>Low</v>
      </c>
      <c r="AO571" s="11" t="str">
        <f t="shared" si="45"/>
        <v>No</v>
      </c>
      <c r="AP571" s="11" t="str">
        <f t="shared" si="46"/>
        <v>Yes</v>
      </c>
      <c r="AQ571" s="11">
        <f t="shared" si="47"/>
        <v>0.27090357142857141</v>
      </c>
      <c r="AR571" s="33"/>
      <c r="AS571" s="33"/>
      <c r="AT571" s="33"/>
      <c r="AU571" s="33"/>
      <c r="AV571" s="33"/>
      <c r="AW571" s="33"/>
      <c r="AX571" s="33" t="str">
        <f t="shared" si="48"/>
        <v>Low</v>
      </c>
    </row>
    <row r="572" spans="1:50">
      <c r="A572" s="9" t="s">
        <v>2108</v>
      </c>
      <c r="B572" s="10" t="s">
        <v>1960</v>
      </c>
      <c r="C572" s="11" t="s">
        <v>971</v>
      </c>
      <c r="D572" s="11" t="s">
        <v>115</v>
      </c>
      <c r="E572" s="11" t="s">
        <v>103</v>
      </c>
      <c r="F572" s="11" t="s">
        <v>36</v>
      </c>
      <c r="G572" s="11" t="s">
        <v>37</v>
      </c>
      <c r="H572" s="11" t="s">
        <v>94</v>
      </c>
      <c r="I572" s="11" t="s">
        <v>71</v>
      </c>
      <c r="J572" s="11" t="s">
        <v>172</v>
      </c>
      <c r="K572" s="25">
        <v>7</v>
      </c>
      <c r="L572" s="25">
        <v>1200</v>
      </c>
      <c r="M572" s="29">
        <v>0.1</v>
      </c>
      <c r="N572" s="25">
        <v>7560</v>
      </c>
      <c r="O572" s="25">
        <v>6048.61</v>
      </c>
      <c r="P572" s="25">
        <v>1511.39</v>
      </c>
      <c r="Q572" s="21">
        <v>19.989999999999998</v>
      </c>
      <c r="R572" s="11" t="s">
        <v>166</v>
      </c>
      <c r="S572" s="11" t="s">
        <v>42</v>
      </c>
      <c r="T572" s="11" t="s">
        <v>86</v>
      </c>
      <c r="U572" s="11" t="s">
        <v>87</v>
      </c>
      <c r="V572" s="11">
        <v>2025</v>
      </c>
      <c r="W572" s="11" t="s">
        <v>194</v>
      </c>
      <c r="X572" s="11">
        <v>1</v>
      </c>
      <c r="Y572" s="10" t="s">
        <v>1729</v>
      </c>
      <c r="Z572" s="11" t="s">
        <v>89</v>
      </c>
      <c r="AA572" s="11" t="s">
        <v>48</v>
      </c>
      <c r="AB572" s="11" t="s">
        <v>78</v>
      </c>
      <c r="AC572" s="11" t="s">
        <v>50</v>
      </c>
      <c r="AD572" s="11">
        <v>1</v>
      </c>
      <c r="AE572" s="11" t="s">
        <v>2218</v>
      </c>
      <c r="AF572" s="11" t="s">
        <v>2217</v>
      </c>
      <c r="AG572" s="25"/>
      <c r="AH572" s="11"/>
      <c r="AI572" s="11"/>
      <c r="AJ572" s="11"/>
      <c r="AK572" s="11"/>
      <c r="AL572" s="11"/>
      <c r="AM572" s="11" t="str">
        <f t="shared" si="44"/>
        <v>Needs Improvement</v>
      </c>
      <c r="AN572" s="11" t="str" cm="1">
        <f t="array" ref="AN572">_xlfn.IFS(N572&lt;10000,"Low",N572&lt;30000,"Medium",N572&gt;=30000,"High")</f>
        <v>Low</v>
      </c>
      <c r="AO572" s="11" t="str">
        <f t="shared" si="45"/>
        <v>No</v>
      </c>
      <c r="AP572" s="11" t="str">
        <f t="shared" si="46"/>
        <v>Yes</v>
      </c>
      <c r="AQ572" s="11">
        <f t="shared" si="47"/>
        <v>0.19991931216931219</v>
      </c>
      <c r="AR572" s="33"/>
      <c r="AS572" s="33"/>
      <c r="AT572" s="33"/>
      <c r="AU572" s="33"/>
      <c r="AV572" s="33"/>
      <c r="AW572" s="33"/>
      <c r="AX572" s="33" t="str">
        <f t="shared" si="48"/>
        <v>Low</v>
      </c>
    </row>
    <row r="573" spans="1:50">
      <c r="A573" s="9" t="s">
        <v>1260</v>
      </c>
      <c r="B573" s="10" t="s">
        <v>1261</v>
      </c>
      <c r="C573" s="11" t="s">
        <v>1262</v>
      </c>
      <c r="D573" s="11" t="s">
        <v>1263</v>
      </c>
      <c r="E573" s="11" t="s">
        <v>103</v>
      </c>
      <c r="F573" s="11" t="s">
        <v>245</v>
      </c>
      <c r="G573" s="11" t="s">
        <v>246</v>
      </c>
      <c r="H573" s="11" t="s">
        <v>38</v>
      </c>
      <c r="I573" s="11" t="s">
        <v>39</v>
      </c>
      <c r="J573" s="11" t="s">
        <v>253</v>
      </c>
      <c r="K573" s="25">
        <v>4</v>
      </c>
      <c r="L573" s="25">
        <v>50000</v>
      </c>
      <c r="M573" s="29">
        <v>0.1</v>
      </c>
      <c r="N573" s="25">
        <v>180000</v>
      </c>
      <c r="O573" s="25">
        <v>104386.25</v>
      </c>
      <c r="P573" s="25">
        <v>75613.75</v>
      </c>
      <c r="Q573" s="21">
        <v>42.01</v>
      </c>
      <c r="R573" s="11" t="s">
        <v>41</v>
      </c>
      <c r="S573" s="11" t="s">
        <v>42</v>
      </c>
      <c r="T573" s="11" t="s">
        <v>75</v>
      </c>
      <c r="U573" s="11" t="s">
        <v>198</v>
      </c>
      <c r="V573" s="11">
        <v>2024</v>
      </c>
      <c r="W573" s="11" t="s">
        <v>45</v>
      </c>
      <c r="X573" s="11">
        <v>10</v>
      </c>
      <c r="Y573" s="10" t="s">
        <v>1008</v>
      </c>
      <c r="Z573" s="11" t="s">
        <v>47</v>
      </c>
      <c r="AA573" s="11" t="s">
        <v>67</v>
      </c>
      <c r="AB573" s="11" t="s">
        <v>78</v>
      </c>
      <c r="AC573" s="11" t="s">
        <v>50</v>
      </c>
      <c r="AD573" s="11">
        <v>2</v>
      </c>
      <c r="AE573" s="11" t="s">
        <v>2227</v>
      </c>
      <c r="AF573" s="11" t="s">
        <v>2214</v>
      </c>
      <c r="AG573" s="25"/>
      <c r="AH573" s="11"/>
      <c r="AI573" s="11"/>
      <c r="AJ573" s="11"/>
      <c r="AK573" s="11"/>
      <c r="AL573" s="11"/>
      <c r="AM573" s="11" t="str">
        <f t="shared" si="44"/>
        <v>Good</v>
      </c>
      <c r="AN573" s="11" t="str" cm="1">
        <f t="array" ref="AN573">_xlfn.IFS(N573&lt;10000,"Low",N573&lt;30000,"Medium",N573&gt;=30000,"High")</f>
        <v>High</v>
      </c>
      <c r="AO573" s="11" t="str">
        <f t="shared" si="45"/>
        <v>Yes</v>
      </c>
      <c r="AP573" s="11" t="str">
        <f t="shared" si="46"/>
        <v>Yes</v>
      </c>
      <c r="AQ573" s="11">
        <f t="shared" si="47"/>
        <v>0.42007638888888887</v>
      </c>
      <c r="AR573" s="33"/>
      <c r="AS573" s="33"/>
      <c r="AT573" s="33"/>
      <c r="AU573" s="33"/>
      <c r="AV573" s="33"/>
      <c r="AW573" s="33"/>
      <c r="AX573" s="33" t="str">
        <f t="shared" si="48"/>
        <v>Excellent</v>
      </c>
    </row>
    <row r="574" spans="1:50">
      <c r="A574" s="9" t="s">
        <v>1702</v>
      </c>
      <c r="B574" s="10" t="s">
        <v>1261</v>
      </c>
      <c r="C574" s="11" t="s">
        <v>1703</v>
      </c>
      <c r="D574" s="11" t="s">
        <v>339</v>
      </c>
      <c r="E574" s="11" t="s">
        <v>35</v>
      </c>
      <c r="F574" s="11" t="s">
        <v>36</v>
      </c>
      <c r="G574" s="11" t="s">
        <v>37</v>
      </c>
      <c r="H574" s="11" t="s">
        <v>171</v>
      </c>
      <c r="I574" s="11" t="s">
        <v>71</v>
      </c>
      <c r="J574" s="11" t="s">
        <v>72</v>
      </c>
      <c r="K574" s="25">
        <v>1</v>
      </c>
      <c r="L574" s="25">
        <v>2500</v>
      </c>
      <c r="M574" s="29">
        <v>0</v>
      </c>
      <c r="N574" s="25">
        <v>2500</v>
      </c>
      <c r="O574" s="25">
        <v>1562.3</v>
      </c>
      <c r="P574" s="25">
        <v>937.7</v>
      </c>
      <c r="Q574" s="21">
        <v>37.51</v>
      </c>
      <c r="R574" s="11" t="s">
        <v>61</v>
      </c>
      <c r="S574" s="11" t="s">
        <v>42</v>
      </c>
      <c r="T574" s="11" t="s">
        <v>118</v>
      </c>
      <c r="U574" s="11" t="s">
        <v>198</v>
      </c>
      <c r="V574" s="11">
        <v>2024</v>
      </c>
      <c r="W574" s="11" t="s">
        <v>45</v>
      </c>
      <c r="X574" s="11">
        <v>2</v>
      </c>
      <c r="Y574" s="10" t="s">
        <v>808</v>
      </c>
      <c r="Z574" s="11" t="s">
        <v>89</v>
      </c>
      <c r="AA574" s="11" t="s">
        <v>48</v>
      </c>
      <c r="AB574" s="11" t="s">
        <v>111</v>
      </c>
      <c r="AC574" s="11" t="s">
        <v>50</v>
      </c>
      <c r="AD574" s="11">
        <v>5</v>
      </c>
      <c r="AE574" s="11" t="s">
        <v>2234</v>
      </c>
      <c r="AF574" s="11" t="s">
        <v>2214</v>
      </c>
      <c r="AG574" s="25"/>
      <c r="AH574" s="11"/>
      <c r="AI574" s="11"/>
      <c r="AJ574" s="11"/>
      <c r="AK574" s="11"/>
      <c r="AL574" s="11"/>
      <c r="AM574" s="11" t="str">
        <f t="shared" si="44"/>
        <v>Good</v>
      </c>
      <c r="AN574" s="11" t="str" cm="1">
        <f t="array" ref="AN574">_xlfn.IFS(N574&lt;10000,"Low",N574&lt;30000,"Medium",N574&gt;=30000,"High")</f>
        <v>Low</v>
      </c>
      <c r="AO574" s="11" t="str">
        <f t="shared" si="45"/>
        <v>No</v>
      </c>
      <c r="AP574" s="11" t="str">
        <f t="shared" si="46"/>
        <v>Yes</v>
      </c>
      <c r="AQ574" s="11">
        <f t="shared" si="47"/>
        <v>0.37508000000000002</v>
      </c>
      <c r="AR574" s="33"/>
      <c r="AS574" s="33"/>
      <c r="AT574" s="33"/>
      <c r="AU574" s="33"/>
      <c r="AV574" s="33"/>
      <c r="AW574" s="33"/>
      <c r="AX574" s="33" t="str">
        <f t="shared" si="48"/>
        <v>Low</v>
      </c>
    </row>
    <row r="575" spans="1:50">
      <c r="A575" s="9" t="s">
        <v>1753</v>
      </c>
      <c r="B575" s="10" t="s">
        <v>1261</v>
      </c>
      <c r="C575" s="11" t="s">
        <v>1132</v>
      </c>
      <c r="D575" s="11" t="s">
        <v>464</v>
      </c>
      <c r="E575" s="11" t="s">
        <v>103</v>
      </c>
      <c r="F575" s="11" t="s">
        <v>144</v>
      </c>
      <c r="G575" s="11" t="s">
        <v>145</v>
      </c>
      <c r="H575" s="11" t="s">
        <v>94</v>
      </c>
      <c r="I575" s="11" t="s">
        <v>95</v>
      </c>
      <c r="J575" s="11" t="s">
        <v>184</v>
      </c>
      <c r="K575" s="25">
        <v>3</v>
      </c>
      <c r="L575" s="25">
        <v>15000</v>
      </c>
      <c r="M575" s="29">
        <v>0.2</v>
      </c>
      <c r="N575" s="25">
        <v>36000</v>
      </c>
      <c r="O575" s="25">
        <v>23473.95</v>
      </c>
      <c r="P575" s="25">
        <v>12526.05</v>
      </c>
      <c r="Q575" s="21">
        <v>34.79</v>
      </c>
      <c r="R575" s="11" t="s">
        <v>73</v>
      </c>
      <c r="S575" s="11" t="s">
        <v>62</v>
      </c>
      <c r="T575" s="11" t="s">
        <v>75</v>
      </c>
      <c r="U575" s="11" t="s">
        <v>198</v>
      </c>
      <c r="V575" s="11">
        <v>2024</v>
      </c>
      <c r="W575" s="11" t="s">
        <v>45</v>
      </c>
      <c r="X575" s="11">
        <v>9</v>
      </c>
      <c r="Y575" s="10" t="s">
        <v>1713</v>
      </c>
      <c r="Z575" s="11" t="s">
        <v>47</v>
      </c>
      <c r="AA575" s="11" t="s">
        <v>90</v>
      </c>
      <c r="AB575" s="11" t="s">
        <v>111</v>
      </c>
      <c r="AC575" s="11" t="s">
        <v>121</v>
      </c>
      <c r="AD575" s="11">
        <v>3</v>
      </c>
      <c r="AE575" s="11" t="s">
        <v>2248</v>
      </c>
      <c r="AF575" s="11" t="s">
        <v>2217</v>
      </c>
      <c r="AG575" s="25"/>
      <c r="AH575" s="11"/>
      <c r="AI575" s="11"/>
      <c r="AJ575" s="11"/>
      <c r="AK575" s="11"/>
      <c r="AL575" s="11"/>
      <c r="AM575" s="11" t="str">
        <f t="shared" si="44"/>
        <v>Good</v>
      </c>
      <c r="AN575" s="11" t="str" cm="1">
        <f t="array" ref="AN575">_xlfn.IFS(N575&lt;10000,"Low",N575&lt;30000,"Medium",N575&gt;=30000,"High")</f>
        <v>High</v>
      </c>
      <c r="AO575" s="11" t="str">
        <f t="shared" si="45"/>
        <v>Yes</v>
      </c>
      <c r="AP575" s="11" t="str">
        <f t="shared" si="46"/>
        <v>No</v>
      </c>
      <c r="AQ575" s="11">
        <f t="shared" si="47"/>
        <v>0.34794583333333329</v>
      </c>
      <c r="AR575" s="33"/>
      <c r="AS575" s="33"/>
      <c r="AT575" s="33"/>
      <c r="AU575" s="33"/>
      <c r="AV575" s="33"/>
      <c r="AW575" s="33"/>
      <c r="AX575" s="33" t="str">
        <f t="shared" si="48"/>
        <v>Good</v>
      </c>
    </row>
    <row r="576" spans="1:50">
      <c r="A576" s="9" t="s">
        <v>1221</v>
      </c>
      <c r="B576" s="10" t="s">
        <v>207</v>
      </c>
      <c r="C576" s="11" t="s">
        <v>386</v>
      </c>
      <c r="D576" s="11" t="s">
        <v>927</v>
      </c>
      <c r="E576" s="11" t="s">
        <v>55</v>
      </c>
      <c r="F576" s="11" t="s">
        <v>36</v>
      </c>
      <c r="G576" s="11" t="s">
        <v>37</v>
      </c>
      <c r="H576" s="11" t="s">
        <v>38</v>
      </c>
      <c r="I576" s="11" t="s">
        <v>59</v>
      </c>
      <c r="J576" s="11" t="s">
        <v>206</v>
      </c>
      <c r="K576" s="25">
        <v>10</v>
      </c>
      <c r="L576" s="25">
        <v>800</v>
      </c>
      <c r="M576" s="29">
        <v>0.05</v>
      </c>
      <c r="N576" s="25">
        <v>7600</v>
      </c>
      <c r="O576" s="25">
        <v>4366.28</v>
      </c>
      <c r="P576" s="25">
        <v>3233.72</v>
      </c>
      <c r="Q576" s="21">
        <v>42.55</v>
      </c>
      <c r="R576" s="11" t="s">
        <v>41</v>
      </c>
      <c r="S576" s="11" t="s">
        <v>42</v>
      </c>
      <c r="T576" s="11" t="s">
        <v>63</v>
      </c>
      <c r="U576" s="11" t="s">
        <v>198</v>
      </c>
      <c r="V576" s="11">
        <v>2025</v>
      </c>
      <c r="W576" s="11" t="s">
        <v>126</v>
      </c>
      <c r="X576" s="11">
        <v>6</v>
      </c>
      <c r="Y576" s="10" t="s">
        <v>437</v>
      </c>
      <c r="Z576" s="11" t="s">
        <v>47</v>
      </c>
      <c r="AA576" s="11" t="s">
        <v>90</v>
      </c>
      <c r="AB576" s="11" t="s">
        <v>111</v>
      </c>
      <c r="AC576" s="11" t="s">
        <v>121</v>
      </c>
      <c r="AD576" s="11">
        <v>1</v>
      </c>
      <c r="AE576" s="11" t="s">
        <v>2229</v>
      </c>
      <c r="AF576" s="11" t="s">
        <v>2236</v>
      </c>
      <c r="AG576" s="25"/>
      <c r="AH576" s="11"/>
      <c r="AI576" s="11"/>
      <c r="AJ576" s="11"/>
      <c r="AK576" s="11"/>
      <c r="AL576" s="11"/>
      <c r="AM576" s="11" t="str">
        <f t="shared" si="44"/>
        <v>Good</v>
      </c>
      <c r="AN576" s="11" t="str" cm="1">
        <f t="array" ref="AN576">_xlfn.IFS(N576&lt;10000,"Low",N576&lt;30000,"Medium",N576&gt;=30000,"High")</f>
        <v>Low</v>
      </c>
      <c r="AO576" s="11" t="str">
        <f t="shared" si="45"/>
        <v>No</v>
      </c>
      <c r="AP576" s="11" t="str">
        <f t="shared" si="46"/>
        <v>Yes</v>
      </c>
      <c r="AQ576" s="11">
        <f t="shared" si="47"/>
        <v>0.42548947368421047</v>
      </c>
      <c r="AR576" s="33"/>
      <c r="AS576" s="33"/>
      <c r="AT576" s="33"/>
      <c r="AU576" s="33"/>
      <c r="AV576" s="33"/>
      <c r="AW576" s="33"/>
      <c r="AX576" s="33" t="str">
        <f t="shared" si="48"/>
        <v>Low</v>
      </c>
    </row>
    <row r="577" spans="1:50">
      <c r="A577" s="9" t="s">
        <v>180</v>
      </c>
      <c r="B577" s="10" t="s">
        <v>181</v>
      </c>
      <c r="C577" s="11" t="s">
        <v>182</v>
      </c>
      <c r="D577" s="11" t="s">
        <v>183</v>
      </c>
      <c r="E577" s="11" t="s">
        <v>103</v>
      </c>
      <c r="F577" s="11" t="s">
        <v>131</v>
      </c>
      <c r="G577" s="11" t="s">
        <v>132</v>
      </c>
      <c r="H577" s="11" t="s">
        <v>94</v>
      </c>
      <c r="I577" s="11" t="s">
        <v>95</v>
      </c>
      <c r="J577" s="11" t="s">
        <v>184</v>
      </c>
      <c r="K577" s="25">
        <v>5</v>
      </c>
      <c r="L577" s="25">
        <v>15000</v>
      </c>
      <c r="M577" s="29">
        <v>0.05</v>
      </c>
      <c r="N577" s="25">
        <v>71250</v>
      </c>
      <c r="O577" s="25">
        <v>48910.31</v>
      </c>
      <c r="P577" s="25">
        <v>22339.69</v>
      </c>
      <c r="Q577" s="21">
        <v>31.35</v>
      </c>
      <c r="R577" s="11" t="s">
        <v>61</v>
      </c>
      <c r="S577" s="11" t="s">
        <v>74</v>
      </c>
      <c r="T577" s="11" t="s">
        <v>43</v>
      </c>
      <c r="U577" s="11" t="s">
        <v>64</v>
      </c>
      <c r="V577" s="11">
        <v>2024</v>
      </c>
      <c r="W577" s="11" t="s">
        <v>109</v>
      </c>
      <c r="X577" s="11">
        <v>4</v>
      </c>
      <c r="Y577" s="10" t="s">
        <v>185</v>
      </c>
      <c r="Z577" s="11" t="s">
        <v>47</v>
      </c>
      <c r="AA577" s="11" t="s">
        <v>67</v>
      </c>
      <c r="AB577" s="11" t="s">
        <v>49</v>
      </c>
      <c r="AC577" s="11" t="s">
        <v>50</v>
      </c>
      <c r="AD577" s="11">
        <v>2</v>
      </c>
      <c r="AE577" s="11" t="s">
        <v>2226</v>
      </c>
      <c r="AF577" s="11" t="s">
        <v>2224</v>
      </c>
      <c r="AG577" s="25"/>
      <c r="AH577" s="11"/>
      <c r="AI577" s="11"/>
      <c r="AJ577" s="11"/>
      <c r="AK577" s="11"/>
      <c r="AL577" s="11"/>
      <c r="AM577" s="11" t="str">
        <f t="shared" si="44"/>
        <v>Good</v>
      </c>
      <c r="AN577" s="11" t="str" cm="1">
        <f t="array" ref="AN577">_xlfn.IFS(N577&lt;10000,"Low",N577&lt;30000,"Medium",N577&gt;=30000,"High")</f>
        <v>High</v>
      </c>
      <c r="AO577" s="11" t="str">
        <f t="shared" si="45"/>
        <v>Yes</v>
      </c>
      <c r="AP577" s="11" t="str">
        <f t="shared" si="46"/>
        <v>Yes</v>
      </c>
      <c r="AQ577" s="11">
        <f t="shared" si="47"/>
        <v>0.31353950877192982</v>
      </c>
      <c r="AR577" s="33"/>
      <c r="AS577" s="33"/>
      <c r="AT577" s="33"/>
      <c r="AU577" s="33"/>
      <c r="AV577" s="33"/>
      <c r="AW577" s="33"/>
      <c r="AX577" s="33" t="str">
        <f t="shared" si="48"/>
        <v>Excellent</v>
      </c>
    </row>
    <row r="578" spans="1:50">
      <c r="A578" s="9" t="s">
        <v>674</v>
      </c>
      <c r="B578" s="10" t="s">
        <v>181</v>
      </c>
      <c r="C578" s="11" t="s">
        <v>675</v>
      </c>
      <c r="D578" s="11" t="s">
        <v>34</v>
      </c>
      <c r="E578" s="11" t="s">
        <v>35</v>
      </c>
      <c r="F578" s="11" t="s">
        <v>82</v>
      </c>
      <c r="G578" s="11" t="s">
        <v>83</v>
      </c>
      <c r="H578" s="11" t="s">
        <v>94</v>
      </c>
      <c r="I578" s="11" t="s">
        <v>59</v>
      </c>
      <c r="J578" s="11" t="s">
        <v>372</v>
      </c>
      <c r="K578" s="25">
        <v>3</v>
      </c>
      <c r="L578" s="25">
        <v>3000</v>
      </c>
      <c r="M578" s="29">
        <v>0.15</v>
      </c>
      <c r="N578" s="25">
        <v>7650</v>
      </c>
      <c r="O578" s="25">
        <v>4413.17</v>
      </c>
      <c r="P578" s="25">
        <v>3236.83</v>
      </c>
      <c r="Q578" s="21">
        <v>42.31</v>
      </c>
      <c r="R578" s="11" t="s">
        <v>166</v>
      </c>
      <c r="S578" s="11" t="s">
        <v>74</v>
      </c>
      <c r="T578" s="11" t="s">
        <v>75</v>
      </c>
      <c r="U578" s="11" t="s">
        <v>64</v>
      </c>
      <c r="V578" s="11">
        <v>2024</v>
      </c>
      <c r="W578" s="11" t="s">
        <v>109</v>
      </c>
      <c r="X578" s="11">
        <v>1</v>
      </c>
      <c r="Y578" s="10" t="s">
        <v>577</v>
      </c>
      <c r="Z578" s="11" t="s">
        <v>47</v>
      </c>
      <c r="AA578" s="11" t="s">
        <v>90</v>
      </c>
      <c r="AB578" s="11" t="s">
        <v>111</v>
      </c>
      <c r="AC578" s="11" t="s">
        <v>121</v>
      </c>
      <c r="AD578" s="11">
        <v>3</v>
      </c>
      <c r="AE578" s="11" t="s">
        <v>2232</v>
      </c>
      <c r="AF578" s="11" t="s">
        <v>2224</v>
      </c>
      <c r="AG578" s="25"/>
      <c r="AH578" s="11"/>
      <c r="AI578" s="11"/>
      <c r="AJ578" s="11"/>
      <c r="AK578" s="11"/>
      <c r="AL578" s="11"/>
      <c r="AM578" s="11" t="str">
        <f t="shared" ref="AM578:AM641" si="49">IF(Q578&gt;=30,"Good","Needs Improvement")</f>
        <v>Good</v>
      </c>
      <c r="AN578" s="11" t="str" cm="1">
        <f t="array" ref="AN578">_xlfn.IFS(N578&lt;10000,"Low",N578&lt;30000,"Medium",N578&gt;=30000,"High")</f>
        <v>Low</v>
      </c>
      <c r="AO578" s="11" t="str">
        <f t="shared" ref="AO578:AO641" si="50">IF(AND(N578&gt;=30000,P578&gt;=10000),"Yes","No")</f>
        <v>No</v>
      </c>
      <c r="AP578" s="11" t="str">
        <f t="shared" ref="AP578:AP641" si="51">IF(OR(S578="Online",S578="Marketplace"),"Yes","No")</f>
        <v>Yes</v>
      </c>
      <c r="AQ578" s="11">
        <f t="shared" ref="AQ578:AQ641" si="52">IFERROR(P578/N578,"No Error")</f>
        <v>0.42311503267973855</v>
      </c>
      <c r="AR578" s="33"/>
      <c r="AS578" s="33"/>
      <c r="AT578" s="33"/>
      <c r="AU578" s="33"/>
      <c r="AV578" s="33"/>
      <c r="AW578" s="33"/>
      <c r="AX578" s="33" t="str">
        <f t="shared" ref="AX578:AX641" si="53">IF(P578&gt;=20000,"Excellent",IF(P578&gt;=10000,"Good",IF(P578&gt;=5000,"Average","Low")))</f>
        <v>Low</v>
      </c>
    </row>
    <row r="579" spans="1:50">
      <c r="A579" s="9" t="s">
        <v>852</v>
      </c>
      <c r="B579" s="10" t="s">
        <v>181</v>
      </c>
      <c r="C579" s="11" t="s">
        <v>538</v>
      </c>
      <c r="D579" s="11" t="s">
        <v>202</v>
      </c>
      <c r="E579" s="11" t="s">
        <v>103</v>
      </c>
      <c r="F579" s="11" t="s">
        <v>156</v>
      </c>
      <c r="G579" s="11" t="s">
        <v>157</v>
      </c>
      <c r="H579" s="11" t="s">
        <v>171</v>
      </c>
      <c r="I579" s="11" t="s">
        <v>71</v>
      </c>
      <c r="J579" s="11" t="s">
        <v>172</v>
      </c>
      <c r="K579" s="25">
        <v>4</v>
      </c>
      <c r="L579" s="25">
        <v>1800</v>
      </c>
      <c r="M579" s="29">
        <v>0.15</v>
      </c>
      <c r="N579" s="25">
        <v>6120</v>
      </c>
      <c r="O579" s="25">
        <v>4695.8500000000004</v>
      </c>
      <c r="P579" s="25">
        <v>1424.15</v>
      </c>
      <c r="Q579" s="21">
        <v>23.27</v>
      </c>
      <c r="R579" s="11" t="s">
        <v>41</v>
      </c>
      <c r="S579" s="11" t="s">
        <v>62</v>
      </c>
      <c r="T579" s="11" t="s">
        <v>107</v>
      </c>
      <c r="U579" s="11" t="s">
        <v>64</v>
      </c>
      <c r="V579" s="11">
        <v>2024</v>
      </c>
      <c r="W579" s="11" t="s">
        <v>109</v>
      </c>
      <c r="X579" s="11">
        <v>5</v>
      </c>
      <c r="Y579" s="10" t="s">
        <v>853</v>
      </c>
      <c r="Z579" s="11" t="s">
        <v>110</v>
      </c>
      <c r="AA579" s="11" t="s">
        <v>48</v>
      </c>
      <c r="AB579" s="11" t="s">
        <v>49</v>
      </c>
      <c r="AC579" s="11" t="s">
        <v>121</v>
      </c>
      <c r="AD579" s="11">
        <v>2</v>
      </c>
      <c r="AE579" s="11" t="s">
        <v>2221</v>
      </c>
      <c r="AF579" s="11" t="s">
        <v>2249</v>
      </c>
      <c r="AG579" s="25"/>
      <c r="AH579" s="11"/>
      <c r="AI579" s="11"/>
      <c r="AJ579" s="11"/>
      <c r="AK579" s="11"/>
      <c r="AL579" s="11"/>
      <c r="AM579" s="11" t="str">
        <f t="shared" si="49"/>
        <v>Needs Improvement</v>
      </c>
      <c r="AN579" s="11" t="str" cm="1">
        <f t="array" ref="AN579">_xlfn.IFS(N579&lt;10000,"Low",N579&lt;30000,"Medium",N579&gt;=30000,"High")</f>
        <v>Low</v>
      </c>
      <c r="AO579" s="11" t="str">
        <f t="shared" si="50"/>
        <v>No</v>
      </c>
      <c r="AP579" s="11" t="str">
        <f t="shared" si="51"/>
        <v>No</v>
      </c>
      <c r="AQ579" s="11">
        <f t="shared" si="52"/>
        <v>0.23270424836601308</v>
      </c>
      <c r="AR579" s="33"/>
      <c r="AS579" s="33"/>
      <c r="AT579" s="33"/>
      <c r="AU579" s="33"/>
      <c r="AV579" s="33"/>
      <c r="AW579" s="33"/>
      <c r="AX579" s="33" t="str">
        <f t="shared" si="53"/>
        <v>Low</v>
      </c>
    </row>
    <row r="580" spans="1:50">
      <c r="A580" s="9" t="s">
        <v>241</v>
      </c>
      <c r="B580" s="10" t="s">
        <v>242</v>
      </c>
      <c r="C580" s="11" t="s">
        <v>243</v>
      </c>
      <c r="D580" s="11" t="s">
        <v>244</v>
      </c>
      <c r="E580" s="11" t="s">
        <v>35</v>
      </c>
      <c r="F580" s="11" t="s">
        <v>245</v>
      </c>
      <c r="G580" s="11" t="s">
        <v>246</v>
      </c>
      <c r="H580" s="11" t="s">
        <v>171</v>
      </c>
      <c r="I580" s="11" t="s">
        <v>71</v>
      </c>
      <c r="J580" s="11" t="s">
        <v>72</v>
      </c>
      <c r="K580" s="25">
        <v>10</v>
      </c>
      <c r="L580" s="25">
        <v>1200</v>
      </c>
      <c r="M580" s="29">
        <v>0.15</v>
      </c>
      <c r="N580" s="25">
        <v>10200</v>
      </c>
      <c r="O580" s="25">
        <v>6072.09</v>
      </c>
      <c r="P580" s="25">
        <v>4127.91</v>
      </c>
      <c r="Q580" s="21">
        <v>40.47</v>
      </c>
      <c r="R580" s="11" t="s">
        <v>106</v>
      </c>
      <c r="S580" s="11" t="s">
        <v>42</v>
      </c>
      <c r="T580" s="11" t="s">
        <v>43</v>
      </c>
      <c r="U580" s="11" t="s">
        <v>64</v>
      </c>
      <c r="V580" s="11">
        <v>2025</v>
      </c>
      <c r="W580" s="11" t="s">
        <v>134</v>
      </c>
      <c r="X580" s="11">
        <v>5</v>
      </c>
      <c r="Y580" s="10" t="s">
        <v>247</v>
      </c>
      <c r="Z580" s="11" t="s">
        <v>47</v>
      </c>
      <c r="AA580" s="11" t="s">
        <v>67</v>
      </c>
      <c r="AB580" s="11" t="s">
        <v>111</v>
      </c>
      <c r="AC580" s="11" t="s">
        <v>50</v>
      </c>
      <c r="AD580" s="11">
        <v>4</v>
      </c>
      <c r="AE580" s="11" t="s">
        <v>2209</v>
      </c>
      <c r="AF580" s="11" t="s">
        <v>2238</v>
      </c>
      <c r="AG580" s="25"/>
      <c r="AH580" s="11"/>
      <c r="AI580" s="11"/>
      <c r="AJ580" s="11"/>
      <c r="AK580" s="11"/>
      <c r="AL580" s="11"/>
      <c r="AM580" s="11" t="str">
        <f t="shared" si="49"/>
        <v>Good</v>
      </c>
      <c r="AN580" s="11" t="str" cm="1">
        <f t="array" ref="AN580">_xlfn.IFS(N580&lt;10000,"Low",N580&lt;30000,"Medium",N580&gt;=30000,"High")</f>
        <v>Medium</v>
      </c>
      <c r="AO580" s="11" t="str">
        <f t="shared" si="50"/>
        <v>No</v>
      </c>
      <c r="AP580" s="11" t="str">
        <f t="shared" si="51"/>
        <v>Yes</v>
      </c>
      <c r="AQ580" s="11">
        <f t="shared" si="52"/>
        <v>0.40469705882352941</v>
      </c>
      <c r="AR580" s="33"/>
      <c r="AS580" s="33"/>
      <c r="AT580" s="33"/>
      <c r="AU580" s="33"/>
      <c r="AV580" s="33"/>
      <c r="AW580" s="33"/>
      <c r="AX580" s="33" t="str">
        <f t="shared" si="53"/>
        <v>Low</v>
      </c>
    </row>
    <row r="581" spans="1:50">
      <c r="A581" s="9" t="s">
        <v>520</v>
      </c>
      <c r="B581" s="10" t="s">
        <v>521</v>
      </c>
      <c r="C581" s="11" t="s">
        <v>522</v>
      </c>
      <c r="D581" s="11" t="s">
        <v>523</v>
      </c>
      <c r="E581" s="11" t="s">
        <v>103</v>
      </c>
      <c r="F581" s="11" t="s">
        <v>131</v>
      </c>
      <c r="G581" s="11" t="s">
        <v>132</v>
      </c>
      <c r="H581" s="11" t="s">
        <v>58</v>
      </c>
      <c r="I581" s="11" t="s">
        <v>59</v>
      </c>
      <c r="J581" s="11" t="s">
        <v>133</v>
      </c>
      <c r="K581" s="25">
        <v>10</v>
      </c>
      <c r="L581" s="25">
        <v>1200</v>
      </c>
      <c r="M581" s="29">
        <v>0.15</v>
      </c>
      <c r="N581" s="25">
        <v>10200</v>
      </c>
      <c r="O581" s="25">
        <v>7465.66</v>
      </c>
      <c r="P581" s="25">
        <v>2734.34</v>
      </c>
      <c r="Q581" s="21">
        <v>26.81</v>
      </c>
      <c r="R581" s="11" t="s">
        <v>41</v>
      </c>
      <c r="S581" s="11" t="s">
        <v>62</v>
      </c>
      <c r="T581" s="11" t="s">
        <v>159</v>
      </c>
      <c r="U581" s="11" t="s">
        <v>76</v>
      </c>
      <c r="V581" s="11">
        <v>2024</v>
      </c>
      <c r="W581" s="11" t="s">
        <v>139</v>
      </c>
      <c r="X581" s="11">
        <v>6</v>
      </c>
      <c r="Y581" s="10" t="s">
        <v>524</v>
      </c>
      <c r="Z581" s="11" t="s">
        <v>47</v>
      </c>
      <c r="AA581" s="11" t="s">
        <v>48</v>
      </c>
      <c r="AB581" s="11" t="s">
        <v>111</v>
      </c>
      <c r="AC581" s="11" t="s">
        <v>121</v>
      </c>
      <c r="AD581" s="11">
        <v>1</v>
      </c>
      <c r="AE581" s="11" t="s">
        <v>2229</v>
      </c>
      <c r="AF581" s="11" t="s">
        <v>2228</v>
      </c>
      <c r="AG581" s="25"/>
      <c r="AH581" s="11"/>
      <c r="AI581" s="11"/>
      <c r="AJ581" s="11"/>
      <c r="AK581" s="11"/>
      <c r="AL581" s="11"/>
      <c r="AM581" s="11" t="str">
        <f t="shared" si="49"/>
        <v>Needs Improvement</v>
      </c>
      <c r="AN581" s="11" t="str" cm="1">
        <f t="array" ref="AN581">_xlfn.IFS(N581&lt;10000,"Low",N581&lt;30000,"Medium",N581&gt;=30000,"High")</f>
        <v>Medium</v>
      </c>
      <c r="AO581" s="11" t="str">
        <f t="shared" si="50"/>
        <v>No</v>
      </c>
      <c r="AP581" s="11" t="str">
        <f t="shared" si="51"/>
        <v>No</v>
      </c>
      <c r="AQ581" s="11">
        <f t="shared" si="52"/>
        <v>0.26807254901960786</v>
      </c>
      <c r="AR581" s="33"/>
      <c r="AS581" s="33"/>
      <c r="AT581" s="33"/>
      <c r="AU581" s="33"/>
      <c r="AV581" s="33"/>
      <c r="AW581" s="33"/>
      <c r="AX581" s="33" t="str">
        <f t="shared" si="53"/>
        <v>Low</v>
      </c>
    </row>
    <row r="582" spans="1:50">
      <c r="A582" s="9" t="s">
        <v>1826</v>
      </c>
      <c r="B582" s="10" t="s">
        <v>679</v>
      </c>
      <c r="C582" s="11" t="s">
        <v>192</v>
      </c>
      <c r="D582" s="11" t="s">
        <v>604</v>
      </c>
      <c r="E582" s="11" t="s">
        <v>55</v>
      </c>
      <c r="F582" s="11" t="s">
        <v>131</v>
      </c>
      <c r="G582" s="11" t="s">
        <v>132</v>
      </c>
      <c r="H582" s="11" t="s">
        <v>58</v>
      </c>
      <c r="I582" s="11" t="s">
        <v>95</v>
      </c>
      <c r="J582" s="11" t="s">
        <v>184</v>
      </c>
      <c r="K582" s="25">
        <v>2</v>
      </c>
      <c r="L582" s="25">
        <v>4000</v>
      </c>
      <c r="M582" s="29">
        <v>0.2</v>
      </c>
      <c r="N582" s="25">
        <v>6400</v>
      </c>
      <c r="O582" s="25">
        <v>5060.3999999999996</v>
      </c>
      <c r="P582" s="25">
        <v>1339.6</v>
      </c>
      <c r="Q582" s="21">
        <v>20.93</v>
      </c>
      <c r="R582" s="11" t="s">
        <v>41</v>
      </c>
      <c r="S582" s="11" t="s">
        <v>74</v>
      </c>
      <c r="T582" s="11" t="s">
        <v>107</v>
      </c>
      <c r="U582" s="11" t="s">
        <v>76</v>
      </c>
      <c r="V582" s="11">
        <v>2025</v>
      </c>
      <c r="W582" s="11" t="s">
        <v>65</v>
      </c>
      <c r="X582" s="11">
        <v>10</v>
      </c>
      <c r="Y582" s="10" t="s">
        <v>1827</v>
      </c>
      <c r="Z582" s="11" t="s">
        <v>47</v>
      </c>
      <c r="AA582" s="11" t="s">
        <v>90</v>
      </c>
      <c r="AB582" s="11" t="s">
        <v>78</v>
      </c>
      <c r="AC582" s="11" t="s">
        <v>50</v>
      </c>
      <c r="AD582" s="11">
        <v>1</v>
      </c>
      <c r="AE582" s="11" t="s">
        <v>2227</v>
      </c>
      <c r="AF582" s="11" t="s">
        <v>2222</v>
      </c>
      <c r="AG582" s="25"/>
      <c r="AH582" s="11"/>
      <c r="AI582" s="11"/>
      <c r="AJ582" s="11"/>
      <c r="AK582" s="11"/>
      <c r="AL582" s="11"/>
      <c r="AM582" s="11" t="str">
        <f t="shared" si="49"/>
        <v>Needs Improvement</v>
      </c>
      <c r="AN582" s="11" t="str" cm="1">
        <f t="array" ref="AN582">_xlfn.IFS(N582&lt;10000,"Low",N582&lt;30000,"Medium",N582&gt;=30000,"High")</f>
        <v>Low</v>
      </c>
      <c r="AO582" s="11" t="str">
        <f t="shared" si="50"/>
        <v>No</v>
      </c>
      <c r="AP582" s="11" t="str">
        <f t="shared" si="51"/>
        <v>Yes</v>
      </c>
      <c r="AQ582" s="11">
        <f t="shared" si="52"/>
        <v>0.20931249999999998</v>
      </c>
      <c r="AR582" s="33"/>
      <c r="AS582" s="33"/>
      <c r="AT582" s="33"/>
      <c r="AU582" s="33"/>
      <c r="AV582" s="33"/>
      <c r="AW582" s="33"/>
      <c r="AX582" s="33" t="str">
        <f t="shared" si="53"/>
        <v>Low</v>
      </c>
    </row>
    <row r="583" spans="1:50">
      <c r="A583" s="9" t="s">
        <v>1973</v>
      </c>
      <c r="B583" s="10" t="s">
        <v>1974</v>
      </c>
      <c r="C583" s="11" t="s">
        <v>1975</v>
      </c>
      <c r="D583" s="11" t="s">
        <v>1375</v>
      </c>
      <c r="E583" s="11" t="s">
        <v>103</v>
      </c>
      <c r="F583" s="11" t="s">
        <v>156</v>
      </c>
      <c r="G583" s="11" t="s">
        <v>157</v>
      </c>
      <c r="H583" s="11" t="s">
        <v>58</v>
      </c>
      <c r="I583" s="11" t="s">
        <v>95</v>
      </c>
      <c r="J583" s="11" t="s">
        <v>96</v>
      </c>
      <c r="K583" s="25">
        <v>5</v>
      </c>
      <c r="L583" s="25">
        <v>6000</v>
      </c>
      <c r="M583" s="29">
        <v>0.05</v>
      </c>
      <c r="N583" s="25">
        <v>28500</v>
      </c>
      <c r="O583" s="25">
        <v>22683.19</v>
      </c>
      <c r="P583" s="25">
        <v>5816.81</v>
      </c>
      <c r="Q583" s="21">
        <v>20.41</v>
      </c>
      <c r="R583" s="11" t="s">
        <v>166</v>
      </c>
      <c r="S583" s="11" t="s">
        <v>62</v>
      </c>
      <c r="T583" s="11" t="s">
        <v>63</v>
      </c>
      <c r="U583" s="11" t="s">
        <v>98</v>
      </c>
      <c r="V583" s="11">
        <v>2025</v>
      </c>
      <c r="W583" s="11" t="s">
        <v>109</v>
      </c>
      <c r="X583" s="11">
        <v>10</v>
      </c>
      <c r="Y583" s="10" t="s">
        <v>783</v>
      </c>
      <c r="Z583" s="11" t="s">
        <v>110</v>
      </c>
      <c r="AA583" s="11" t="s">
        <v>67</v>
      </c>
      <c r="AB583" s="11" t="s">
        <v>49</v>
      </c>
      <c r="AC583" s="11" t="s">
        <v>121</v>
      </c>
      <c r="AD583" s="11">
        <v>4</v>
      </c>
      <c r="AE583" s="11" t="s">
        <v>2225</v>
      </c>
      <c r="AF583" s="11" t="s">
        <v>2212</v>
      </c>
      <c r="AG583" s="25"/>
      <c r="AH583" s="11"/>
      <c r="AI583" s="11"/>
      <c r="AJ583" s="11"/>
      <c r="AK583" s="11"/>
      <c r="AL583" s="11"/>
      <c r="AM583" s="11" t="str">
        <f t="shared" si="49"/>
        <v>Needs Improvement</v>
      </c>
      <c r="AN583" s="11" t="str" cm="1">
        <f t="array" ref="AN583">_xlfn.IFS(N583&lt;10000,"Low",N583&lt;30000,"Medium",N583&gt;=30000,"High")</f>
        <v>Medium</v>
      </c>
      <c r="AO583" s="11" t="str">
        <f t="shared" si="50"/>
        <v>No</v>
      </c>
      <c r="AP583" s="11" t="str">
        <f t="shared" si="51"/>
        <v>No</v>
      </c>
      <c r="AQ583" s="11">
        <f t="shared" si="52"/>
        <v>0.20409859649122808</v>
      </c>
      <c r="AR583" s="33"/>
      <c r="AS583" s="33"/>
      <c r="AT583" s="33"/>
      <c r="AU583" s="33"/>
      <c r="AV583" s="33"/>
      <c r="AW583" s="33"/>
      <c r="AX583" s="33" t="str">
        <f t="shared" si="53"/>
        <v>Average</v>
      </c>
    </row>
    <row r="584" spans="1:50">
      <c r="A584" s="9" t="s">
        <v>186</v>
      </c>
      <c r="B584" s="10" t="s">
        <v>187</v>
      </c>
      <c r="C584" s="11" t="s">
        <v>188</v>
      </c>
      <c r="D584" s="11" t="s">
        <v>189</v>
      </c>
      <c r="E584" s="11" t="s">
        <v>35</v>
      </c>
      <c r="F584" s="11" t="s">
        <v>56</v>
      </c>
      <c r="G584" s="11" t="s">
        <v>57</v>
      </c>
      <c r="H584" s="11" t="s">
        <v>94</v>
      </c>
      <c r="I584" s="11" t="s">
        <v>59</v>
      </c>
      <c r="J584" s="11" t="s">
        <v>133</v>
      </c>
      <c r="K584" s="25">
        <v>9</v>
      </c>
      <c r="L584" s="25">
        <v>500</v>
      </c>
      <c r="M584" s="29">
        <v>0</v>
      </c>
      <c r="N584" s="25">
        <v>4500</v>
      </c>
      <c r="O584" s="25">
        <v>2518.77</v>
      </c>
      <c r="P584" s="25">
        <v>1981.23</v>
      </c>
      <c r="Q584" s="21">
        <v>44.03</v>
      </c>
      <c r="R584" s="11" t="s">
        <v>73</v>
      </c>
      <c r="S584" s="11" t="s">
        <v>74</v>
      </c>
      <c r="T584" s="11" t="s">
        <v>159</v>
      </c>
      <c r="U584" s="11" t="s">
        <v>178</v>
      </c>
      <c r="V584" s="11">
        <v>2024</v>
      </c>
      <c r="W584" s="11" t="s">
        <v>126</v>
      </c>
      <c r="X584" s="11">
        <v>3</v>
      </c>
      <c r="Y584" s="10" t="s">
        <v>190</v>
      </c>
      <c r="Z584" s="11" t="s">
        <v>89</v>
      </c>
      <c r="AA584" s="11" t="s">
        <v>67</v>
      </c>
      <c r="AB584" s="11" t="s">
        <v>49</v>
      </c>
      <c r="AC584" s="11" t="s">
        <v>50</v>
      </c>
      <c r="AD584" s="11">
        <v>2</v>
      </c>
      <c r="AE584" s="11" t="s">
        <v>2229</v>
      </c>
      <c r="AF584" s="11" t="s">
        <v>2210</v>
      </c>
      <c r="AG584" s="25"/>
      <c r="AH584" s="11"/>
      <c r="AI584" s="11"/>
      <c r="AJ584" s="11"/>
      <c r="AK584" s="11"/>
      <c r="AL584" s="11"/>
      <c r="AM584" s="11" t="str">
        <f t="shared" si="49"/>
        <v>Good</v>
      </c>
      <c r="AN584" s="11" t="str" cm="1">
        <f t="array" ref="AN584">_xlfn.IFS(N584&lt;10000,"Low",N584&lt;30000,"Medium",N584&gt;=30000,"High")</f>
        <v>Low</v>
      </c>
      <c r="AO584" s="11" t="str">
        <f t="shared" si="50"/>
        <v>No</v>
      </c>
      <c r="AP584" s="11" t="str">
        <f t="shared" si="51"/>
        <v>Yes</v>
      </c>
      <c r="AQ584" s="11">
        <f t="shared" si="52"/>
        <v>0.44027333333333335</v>
      </c>
      <c r="AR584" s="33"/>
      <c r="AS584" s="33"/>
      <c r="AT584" s="33"/>
      <c r="AU584" s="33"/>
      <c r="AV584" s="33"/>
      <c r="AW584" s="33"/>
      <c r="AX584" s="33" t="str">
        <f t="shared" si="53"/>
        <v>Low</v>
      </c>
    </row>
    <row r="585" spans="1:50">
      <c r="A585" s="9" t="s">
        <v>346</v>
      </c>
      <c r="B585" s="10" t="s">
        <v>187</v>
      </c>
      <c r="C585" s="11" t="s">
        <v>347</v>
      </c>
      <c r="D585" s="11" t="s">
        <v>348</v>
      </c>
      <c r="E585" s="11" t="s">
        <v>103</v>
      </c>
      <c r="F585" s="11" t="s">
        <v>116</v>
      </c>
      <c r="G585" s="11" t="s">
        <v>37</v>
      </c>
      <c r="H585" s="11" t="s">
        <v>171</v>
      </c>
      <c r="I585" s="11" t="s">
        <v>71</v>
      </c>
      <c r="J585" s="11" t="s">
        <v>240</v>
      </c>
      <c r="K585" s="25">
        <v>6</v>
      </c>
      <c r="L585" s="25">
        <v>700</v>
      </c>
      <c r="M585" s="29">
        <v>0.15</v>
      </c>
      <c r="N585" s="25">
        <v>3570</v>
      </c>
      <c r="O585" s="25">
        <v>2792.59</v>
      </c>
      <c r="P585" s="25">
        <v>777.41</v>
      </c>
      <c r="Q585" s="21">
        <v>21.78</v>
      </c>
      <c r="R585" s="11" t="s">
        <v>106</v>
      </c>
      <c r="S585" s="11" t="s">
        <v>62</v>
      </c>
      <c r="T585" s="11" t="s">
        <v>43</v>
      </c>
      <c r="U585" s="11" t="s">
        <v>178</v>
      </c>
      <c r="V585" s="11">
        <v>2024</v>
      </c>
      <c r="W585" s="11" t="s">
        <v>126</v>
      </c>
      <c r="X585" s="11">
        <v>3</v>
      </c>
      <c r="Y585" s="10" t="s">
        <v>190</v>
      </c>
      <c r="Z585" s="11" t="s">
        <v>47</v>
      </c>
      <c r="AA585" s="11" t="s">
        <v>67</v>
      </c>
      <c r="AB585" s="11" t="s">
        <v>111</v>
      </c>
      <c r="AC585" s="11" t="s">
        <v>121</v>
      </c>
      <c r="AD585" s="11">
        <v>4</v>
      </c>
      <c r="AE585" s="11" t="s">
        <v>118</v>
      </c>
      <c r="AF585" s="11" t="s">
        <v>2217</v>
      </c>
      <c r="AG585" s="25"/>
      <c r="AH585" s="11"/>
      <c r="AI585" s="11"/>
      <c r="AJ585" s="11"/>
      <c r="AK585" s="11"/>
      <c r="AL585" s="11"/>
      <c r="AM585" s="11" t="str">
        <f t="shared" si="49"/>
        <v>Needs Improvement</v>
      </c>
      <c r="AN585" s="11" t="str" cm="1">
        <f t="array" ref="AN585">_xlfn.IFS(N585&lt;10000,"Low",N585&lt;30000,"Medium",N585&gt;=30000,"High")</f>
        <v>Low</v>
      </c>
      <c r="AO585" s="11" t="str">
        <f t="shared" si="50"/>
        <v>No</v>
      </c>
      <c r="AP585" s="11" t="str">
        <f t="shared" si="51"/>
        <v>No</v>
      </c>
      <c r="AQ585" s="11">
        <f t="shared" si="52"/>
        <v>0.21776190476190474</v>
      </c>
      <c r="AR585" s="33"/>
      <c r="AS585" s="33"/>
      <c r="AT585" s="33"/>
      <c r="AU585" s="33"/>
      <c r="AV585" s="33"/>
      <c r="AW585" s="33"/>
      <c r="AX585" s="33" t="str">
        <f t="shared" si="53"/>
        <v>Low</v>
      </c>
    </row>
    <row r="586" spans="1:50">
      <c r="A586" s="9" t="s">
        <v>1373</v>
      </c>
      <c r="B586" s="10" t="s">
        <v>1374</v>
      </c>
      <c r="C586" s="11" t="s">
        <v>1372</v>
      </c>
      <c r="D586" s="11" t="s">
        <v>1375</v>
      </c>
      <c r="E586" s="11" t="s">
        <v>35</v>
      </c>
      <c r="F586" s="11" t="s">
        <v>82</v>
      </c>
      <c r="G586" s="11" t="s">
        <v>83</v>
      </c>
      <c r="H586" s="11" t="s">
        <v>94</v>
      </c>
      <c r="I586" s="11" t="s">
        <v>84</v>
      </c>
      <c r="J586" s="11" t="s">
        <v>390</v>
      </c>
      <c r="K586" s="25">
        <v>2</v>
      </c>
      <c r="L586" s="25">
        <v>100</v>
      </c>
      <c r="M586" s="29">
        <v>0.15</v>
      </c>
      <c r="N586" s="25">
        <v>170</v>
      </c>
      <c r="O586" s="25">
        <v>130.09</v>
      </c>
      <c r="P586" s="25">
        <v>39.909999999999997</v>
      </c>
      <c r="Q586" s="21">
        <v>23.48</v>
      </c>
      <c r="R586" s="11" t="s">
        <v>73</v>
      </c>
      <c r="S586" s="11" t="s">
        <v>62</v>
      </c>
      <c r="T586" s="11" t="s">
        <v>43</v>
      </c>
      <c r="U586" s="11" t="s">
        <v>178</v>
      </c>
      <c r="V586" s="11">
        <v>2025</v>
      </c>
      <c r="W586" s="11" t="s">
        <v>109</v>
      </c>
      <c r="X586" s="11">
        <v>1</v>
      </c>
      <c r="Y586" s="10" t="s">
        <v>1052</v>
      </c>
      <c r="Z586" s="11" t="s">
        <v>89</v>
      </c>
      <c r="AA586" s="11" t="s">
        <v>67</v>
      </c>
      <c r="AB586" s="11" t="s">
        <v>111</v>
      </c>
      <c r="AC586" s="11" t="s">
        <v>121</v>
      </c>
      <c r="AD586" s="11">
        <v>1</v>
      </c>
      <c r="AE586" s="11" t="s">
        <v>2225</v>
      </c>
      <c r="AF586" s="11" t="s">
        <v>2212</v>
      </c>
      <c r="AG586" s="25"/>
      <c r="AH586" s="11"/>
      <c r="AI586" s="11"/>
      <c r="AJ586" s="11"/>
      <c r="AK586" s="11"/>
      <c r="AL586" s="11"/>
      <c r="AM586" s="11" t="str">
        <f t="shared" si="49"/>
        <v>Needs Improvement</v>
      </c>
      <c r="AN586" s="11" t="str" cm="1">
        <f t="array" ref="AN586">_xlfn.IFS(N586&lt;10000,"Low",N586&lt;30000,"Medium",N586&gt;=30000,"High")</f>
        <v>Low</v>
      </c>
      <c r="AO586" s="11" t="str">
        <f t="shared" si="50"/>
        <v>No</v>
      </c>
      <c r="AP586" s="11" t="str">
        <f t="shared" si="51"/>
        <v>No</v>
      </c>
      <c r="AQ586" s="11">
        <f t="shared" si="52"/>
        <v>0.23476470588235293</v>
      </c>
      <c r="AR586" s="33"/>
      <c r="AS586" s="33"/>
      <c r="AT586" s="33"/>
      <c r="AU586" s="33"/>
      <c r="AV586" s="33"/>
      <c r="AW586" s="33"/>
      <c r="AX586" s="33" t="str">
        <f t="shared" si="53"/>
        <v>Low</v>
      </c>
    </row>
    <row r="587" spans="1:50">
      <c r="A587" s="9" t="s">
        <v>1417</v>
      </c>
      <c r="B587" s="10" t="s">
        <v>1374</v>
      </c>
      <c r="C587" s="11" t="s">
        <v>1281</v>
      </c>
      <c r="D587" s="11" t="s">
        <v>650</v>
      </c>
      <c r="E587" s="11" t="s">
        <v>55</v>
      </c>
      <c r="F587" s="11" t="s">
        <v>144</v>
      </c>
      <c r="G587" s="11" t="s">
        <v>145</v>
      </c>
      <c r="H587" s="11" t="s">
        <v>58</v>
      </c>
      <c r="I587" s="11" t="s">
        <v>95</v>
      </c>
      <c r="J587" s="11" t="s">
        <v>440</v>
      </c>
      <c r="K587" s="25">
        <v>4</v>
      </c>
      <c r="L587" s="25">
        <v>4000</v>
      </c>
      <c r="M587" s="29">
        <v>0.2</v>
      </c>
      <c r="N587" s="25">
        <v>12800</v>
      </c>
      <c r="O587" s="25">
        <v>10187.84</v>
      </c>
      <c r="P587" s="25">
        <v>2612.16</v>
      </c>
      <c r="Q587" s="21">
        <v>20.41</v>
      </c>
      <c r="R587" s="11" t="s">
        <v>73</v>
      </c>
      <c r="S587" s="11" t="s">
        <v>74</v>
      </c>
      <c r="T587" s="11" t="s">
        <v>159</v>
      </c>
      <c r="U587" s="11" t="s">
        <v>178</v>
      </c>
      <c r="V587" s="11">
        <v>2025</v>
      </c>
      <c r="W587" s="11" t="s">
        <v>109</v>
      </c>
      <c r="X587" s="11">
        <v>8</v>
      </c>
      <c r="Y587" s="10" t="s">
        <v>1418</v>
      </c>
      <c r="Z587" s="11" t="s">
        <v>110</v>
      </c>
      <c r="AA587" s="11" t="s">
        <v>48</v>
      </c>
      <c r="AB587" s="11" t="s">
        <v>111</v>
      </c>
      <c r="AC587" s="11" t="s">
        <v>50</v>
      </c>
      <c r="AD587" s="11">
        <v>1</v>
      </c>
      <c r="AE587" s="11" t="s">
        <v>2229</v>
      </c>
      <c r="AF587" s="11" t="s">
        <v>2224</v>
      </c>
      <c r="AG587" s="25"/>
      <c r="AH587" s="11"/>
      <c r="AI587" s="11"/>
      <c r="AJ587" s="11"/>
      <c r="AK587" s="11"/>
      <c r="AL587" s="11"/>
      <c r="AM587" s="11" t="str">
        <f t="shared" si="49"/>
        <v>Needs Improvement</v>
      </c>
      <c r="AN587" s="11" t="str" cm="1">
        <f t="array" ref="AN587">_xlfn.IFS(N587&lt;10000,"Low",N587&lt;30000,"Medium",N587&gt;=30000,"High")</f>
        <v>Medium</v>
      </c>
      <c r="AO587" s="11" t="str">
        <f t="shared" si="50"/>
        <v>No</v>
      </c>
      <c r="AP587" s="11" t="str">
        <f t="shared" si="51"/>
        <v>Yes</v>
      </c>
      <c r="AQ587" s="11">
        <f t="shared" si="52"/>
        <v>0.20407499999999998</v>
      </c>
      <c r="AR587" s="33"/>
      <c r="AS587" s="33"/>
      <c r="AT587" s="33"/>
      <c r="AU587" s="33"/>
      <c r="AV587" s="33"/>
      <c r="AW587" s="33"/>
      <c r="AX587" s="33" t="str">
        <f t="shared" si="53"/>
        <v>Low</v>
      </c>
    </row>
    <row r="588" spans="1:50">
      <c r="A588" s="9" t="s">
        <v>1891</v>
      </c>
      <c r="B588" s="10" t="s">
        <v>1374</v>
      </c>
      <c r="C588" s="11" t="s">
        <v>691</v>
      </c>
      <c r="D588" s="11" t="s">
        <v>1166</v>
      </c>
      <c r="E588" s="11" t="s">
        <v>35</v>
      </c>
      <c r="F588" s="11" t="s">
        <v>36</v>
      </c>
      <c r="G588" s="11" t="s">
        <v>37</v>
      </c>
      <c r="H588" s="11" t="s">
        <v>58</v>
      </c>
      <c r="I588" s="11" t="s">
        <v>71</v>
      </c>
      <c r="J588" s="11" t="s">
        <v>158</v>
      </c>
      <c r="K588" s="25">
        <v>1</v>
      </c>
      <c r="L588" s="25">
        <v>700</v>
      </c>
      <c r="M588" s="29">
        <v>0.15</v>
      </c>
      <c r="N588" s="25">
        <v>595</v>
      </c>
      <c r="O588" s="25">
        <v>355.37</v>
      </c>
      <c r="P588" s="25">
        <v>239.63</v>
      </c>
      <c r="Q588" s="21">
        <v>40.270000000000003</v>
      </c>
      <c r="R588" s="11" t="s">
        <v>61</v>
      </c>
      <c r="S588" s="11" t="s">
        <v>42</v>
      </c>
      <c r="T588" s="11" t="s">
        <v>159</v>
      </c>
      <c r="U588" s="11" t="s">
        <v>178</v>
      </c>
      <c r="V588" s="11">
        <v>2025</v>
      </c>
      <c r="W588" s="11" t="s">
        <v>109</v>
      </c>
      <c r="X588" s="11">
        <v>8</v>
      </c>
      <c r="Y588" s="10" t="s">
        <v>1418</v>
      </c>
      <c r="Z588" s="11" t="s">
        <v>110</v>
      </c>
      <c r="AA588" s="11" t="s">
        <v>48</v>
      </c>
      <c r="AB588" s="11" t="s">
        <v>78</v>
      </c>
      <c r="AC588" s="11" t="s">
        <v>121</v>
      </c>
      <c r="AD588" s="11">
        <v>3</v>
      </c>
      <c r="AE588" s="11" t="s">
        <v>2229</v>
      </c>
      <c r="AF588" s="11" t="s">
        <v>2230</v>
      </c>
      <c r="AG588" s="25"/>
      <c r="AH588" s="11"/>
      <c r="AI588" s="11"/>
      <c r="AJ588" s="11"/>
      <c r="AK588" s="11"/>
      <c r="AL588" s="11"/>
      <c r="AM588" s="11" t="str">
        <f t="shared" si="49"/>
        <v>Good</v>
      </c>
      <c r="AN588" s="11" t="str" cm="1">
        <f t="array" ref="AN588">_xlfn.IFS(N588&lt;10000,"Low",N588&lt;30000,"Medium",N588&gt;=30000,"High")</f>
        <v>Low</v>
      </c>
      <c r="AO588" s="11" t="str">
        <f t="shared" si="50"/>
        <v>No</v>
      </c>
      <c r="AP588" s="11" t="str">
        <f t="shared" si="51"/>
        <v>Yes</v>
      </c>
      <c r="AQ588" s="11">
        <f t="shared" si="52"/>
        <v>0.4027394957983193</v>
      </c>
      <c r="AR588" s="33"/>
      <c r="AS588" s="33"/>
      <c r="AT588" s="33"/>
      <c r="AU588" s="33"/>
      <c r="AV588" s="33"/>
      <c r="AW588" s="33"/>
      <c r="AX588" s="33" t="str">
        <f t="shared" si="53"/>
        <v>Low</v>
      </c>
    </row>
    <row r="589" spans="1:50">
      <c r="A589" s="9" t="s">
        <v>722</v>
      </c>
      <c r="B589" s="10" t="s">
        <v>723</v>
      </c>
      <c r="C589" s="11" t="s">
        <v>724</v>
      </c>
      <c r="D589" s="11" t="s">
        <v>725</v>
      </c>
      <c r="E589" s="11" t="s">
        <v>55</v>
      </c>
      <c r="F589" s="11" t="s">
        <v>36</v>
      </c>
      <c r="G589" s="11" t="s">
        <v>37</v>
      </c>
      <c r="H589" s="11" t="s">
        <v>38</v>
      </c>
      <c r="I589" s="11" t="s">
        <v>95</v>
      </c>
      <c r="J589" s="11" t="s">
        <v>319</v>
      </c>
      <c r="K589" s="25">
        <v>10</v>
      </c>
      <c r="L589" s="25">
        <v>2500</v>
      </c>
      <c r="M589" s="29">
        <v>0.05</v>
      </c>
      <c r="N589" s="25">
        <v>23750</v>
      </c>
      <c r="O589" s="25">
        <v>16051.08</v>
      </c>
      <c r="P589" s="25">
        <v>7698.92</v>
      </c>
      <c r="Q589" s="21">
        <v>32.42</v>
      </c>
      <c r="R589" s="11" t="s">
        <v>166</v>
      </c>
      <c r="S589" s="11" t="s">
        <v>62</v>
      </c>
      <c r="T589" s="11" t="s">
        <v>138</v>
      </c>
      <c r="U589" s="11" t="s">
        <v>44</v>
      </c>
      <c r="V589" s="11">
        <v>2024</v>
      </c>
      <c r="W589" s="11" t="s">
        <v>139</v>
      </c>
      <c r="X589" s="11">
        <v>3</v>
      </c>
      <c r="Y589" s="10" t="s">
        <v>200</v>
      </c>
      <c r="Z589" s="11" t="s">
        <v>110</v>
      </c>
      <c r="AA589" s="11" t="s">
        <v>67</v>
      </c>
      <c r="AB589" s="11" t="s">
        <v>49</v>
      </c>
      <c r="AC589" s="11" t="s">
        <v>121</v>
      </c>
      <c r="AD589" s="11">
        <v>2</v>
      </c>
      <c r="AE589" s="11" t="s">
        <v>2209</v>
      </c>
      <c r="AF589" s="11" t="s">
        <v>2210</v>
      </c>
      <c r="AG589" s="25"/>
      <c r="AH589" s="11"/>
      <c r="AI589" s="11"/>
      <c r="AJ589" s="11"/>
      <c r="AK589" s="11"/>
      <c r="AL589" s="11"/>
      <c r="AM589" s="11" t="str">
        <f t="shared" si="49"/>
        <v>Good</v>
      </c>
      <c r="AN589" s="11" t="str" cm="1">
        <f t="array" ref="AN589">_xlfn.IFS(N589&lt;10000,"Low",N589&lt;30000,"Medium",N589&gt;=30000,"High")</f>
        <v>Medium</v>
      </c>
      <c r="AO589" s="11" t="str">
        <f t="shared" si="50"/>
        <v>No</v>
      </c>
      <c r="AP589" s="11" t="str">
        <f t="shared" si="51"/>
        <v>No</v>
      </c>
      <c r="AQ589" s="11">
        <f t="shared" si="52"/>
        <v>0.32416505263157896</v>
      </c>
      <c r="AR589" s="33"/>
      <c r="AS589" s="33"/>
      <c r="AT589" s="33"/>
      <c r="AU589" s="33"/>
      <c r="AV589" s="33"/>
      <c r="AW589" s="33"/>
      <c r="AX589" s="33" t="str">
        <f t="shared" si="53"/>
        <v>Average</v>
      </c>
    </row>
    <row r="590" spans="1:50">
      <c r="A590" s="9" t="s">
        <v>1723</v>
      </c>
      <c r="B590" s="10" t="s">
        <v>723</v>
      </c>
      <c r="C590" s="11" t="s">
        <v>326</v>
      </c>
      <c r="D590" s="11" t="s">
        <v>620</v>
      </c>
      <c r="E590" s="11" t="s">
        <v>35</v>
      </c>
      <c r="F590" s="11" t="s">
        <v>116</v>
      </c>
      <c r="G590" s="11" t="s">
        <v>37</v>
      </c>
      <c r="H590" s="11" t="s">
        <v>38</v>
      </c>
      <c r="I590" s="11" t="s">
        <v>71</v>
      </c>
      <c r="J590" s="11" t="s">
        <v>117</v>
      </c>
      <c r="K590" s="25">
        <v>3</v>
      </c>
      <c r="L590" s="25">
        <v>2500</v>
      </c>
      <c r="M590" s="29">
        <v>0.2</v>
      </c>
      <c r="N590" s="25">
        <v>6000</v>
      </c>
      <c r="O590" s="25">
        <v>3860.98</v>
      </c>
      <c r="P590" s="25">
        <v>2139.02</v>
      </c>
      <c r="Q590" s="21">
        <v>35.65</v>
      </c>
      <c r="R590" s="11" t="s">
        <v>61</v>
      </c>
      <c r="S590" s="11" t="s">
        <v>74</v>
      </c>
      <c r="T590" s="11" t="s">
        <v>63</v>
      </c>
      <c r="U590" s="11" t="s">
        <v>44</v>
      </c>
      <c r="V590" s="11">
        <v>2024</v>
      </c>
      <c r="W590" s="11" t="s">
        <v>139</v>
      </c>
      <c r="X590" s="11">
        <v>8</v>
      </c>
      <c r="Y590" s="10" t="s">
        <v>1066</v>
      </c>
      <c r="Z590" s="11" t="s">
        <v>47</v>
      </c>
      <c r="AA590" s="11" t="s">
        <v>48</v>
      </c>
      <c r="AB590" s="11" t="s">
        <v>78</v>
      </c>
      <c r="AC590" s="11" t="s">
        <v>50</v>
      </c>
      <c r="AD590" s="11">
        <v>1</v>
      </c>
      <c r="AE590" s="11" t="s">
        <v>118</v>
      </c>
      <c r="AF590" s="11" t="s">
        <v>2238</v>
      </c>
      <c r="AG590" s="25"/>
      <c r="AH590" s="11"/>
      <c r="AI590" s="11"/>
      <c r="AJ590" s="11"/>
      <c r="AK590" s="11"/>
      <c r="AL590" s="11"/>
      <c r="AM590" s="11" t="str">
        <f t="shared" si="49"/>
        <v>Good</v>
      </c>
      <c r="AN590" s="11" t="str" cm="1">
        <f t="array" ref="AN590">_xlfn.IFS(N590&lt;10000,"Low",N590&lt;30000,"Medium",N590&gt;=30000,"High")</f>
        <v>Low</v>
      </c>
      <c r="AO590" s="11" t="str">
        <f t="shared" si="50"/>
        <v>No</v>
      </c>
      <c r="AP590" s="11" t="str">
        <f t="shared" si="51"/>
        <v>Yes</v>
      </c>
      <c r="AQ590" s="11">
        <f t="shared" si="52"/>
        <v>0.35650333333333334</v>
      </c>
      <c r="AR590" s="33"/>
      <c r="AS590" s="33"/>
      <c r="AT590" s="33"/>
      <c r="AU590" s="33"/>
      <c r="AV590" s="33"/>
      <c r="AW590" s="33"/>
      <c r="AX590" s="33" t="str">
        <f t="shared" si="53"/>
        <v>Low</v>
      </c>
    </row>
    <row r="591" spans="1:50">
      <c r="A591" s="9" t="s">
        <v>2005</v>
      </c>
      <c r="B591" s="10" t="s">
        <v>2006</v>
      </c>
      <c r="C591" s="11" t="s">
        <v>809</v>
      </c>
      <c r="D591" s="11" t="s">
        <v>1424</v>
      </c>
      <c r="E591" s="11" t="s">
        <v>55</v>
      </c>
      <c r="F591" s="11" t="s">
        <v>156</v>
      </c>
      <c r="G591" s="11" t="s">
        <v>157</v>
      </c>
      <c r="H591" s="11" t="s">
        <v>171</v>
      </c>
      <c r="I591" s="11" t="s">
        <v>95</v>
      </c>
      <c r="J591" s="11" t="s">
        <v>344</v>
      </c>
      <c r="K591" s="25">
        <v>5</v>
      </c>
      <c r="L591" s="25">
        <v>6000</v>
      </c>
      <c r="M591" s="29">
        <v>0</v>
      </c>
      <c r="N591" s="25">
        <v>30000</v>
      </c>
      <c r="O591" s="25">
        <v>18862.169999999998</v>
      </c>
      <c r="P591" s="25">
        <v>11137.83</v>
      </c>
      <c r="Q591" s="21">
        <v>37.130000000000003</v>
      </c>
      <c r="R591" s="11" t="s">
        <v>61</v>
      </c>
      <c r="S591" s="11" t="s">
        <v>74</v>
      </c>
      <c r="T591" s="11" t="s">
        <v>118</v>
      </c>
      <c r="U591" s="11" t="s">
        <v>44</v>
      </c>
      <c r="V591" s="11">
        <v>2025</v>
      </c>
      <c r="W591" s="11" t="s">
        <v>194</v>
      </c>
      <c r="X591" s="11">
        <v>1</v>
      </c>
      <c r="Y591" s="10" t="s">
        <v>1744</v>
      </c>
      <c r="Z591" s="11" t="s">
        <v>110</v>
      </c>
      <c r="AA591" s="11" t="s">
        <v>67</v>
      </c>
      <c r="AB591" s="11" t="s">
        <v>49</v>
      </c>
      <c r="AC591" s="11" t="s">
        <v>50</v>
      </c>
      <c r="AD591" s="11">
        <v>3</v>
      </c>
      <c r="AE591" s="11" t="s">
        <v>118</v>
      </c>
      <c r="AF591" s="11" t="s">
        <v>2222</v>
      </c>
      <c r="AG591" s="25"/>
      <c r="AH591" s="11"/>
      <c r="AI591" s="11"/>
      <c r="AJ591" s="11"/>
      <c r="AK591" s="11"/>
      <c r="AL591" s="11"/>
      <c r="AM591" s="11" t="str">
        <f t="shared" si="49"/>
        <v>Good</v>
      </c>
      <c r="AN591" s="11" t="str" cm="1">
        <f t="array" ref="AN591">_xlfn.IFS(N591&lt;10000,"Low",N591&lt;30000,"Medium",N591&gt;=30000,"High")</f>
        <v>High</v>
      </c>
      <c r="AO591" s="11" t="str">
        <f t="shared" si="50"/>
        <v>Yes</v>
      </c>
      <c r="AP591" s="11" t="str">
        <f t="shared" si="51"/>
        <v>Yes</v>
      </c>
      <c r="AQ591" s="11">
        <f t="shared" si="52"/>
        <v>0.37126100000000001</v>
      </c>
      <c r="AR591" s="33"/>
      <c r="AS591" s="33"/>
      <c r="AT591" s="33"/>
      <c r="AU591" s="33"/>
      <c r="AV591" s="33"/>
      <c r="AW591" s="33"/>
      <c r="AX591" s="33" t="str">
        <f t="shared" si="53"/>
        <v>Good</v>
      </c>
    </row>
    <row r="592" spans="1:50">
      <c r="A592" s="9" t="s">
        <v>836</v>
      </c>
      <c r="B592" s="10" t="s">
        <v>837</v>
      </c>
      <c r="C592" s="11" t="s">
        <v>386</v>
      </c>
      <c r="D592" s="11" t="s">
        <v>707</v>
      </c>
      <c r="E592" s="11" t="s">
        <v>35</v>
      </c>
      <c r="F592" s="11" t="s">
        <v>245</v>
      </c>
      <c r="G592" s="11" t="s">
        <v>246</v>
      </c>
      <c r="H592" s="11" t="s">
        <v>94</v>
      </c>
      <c r="I592" s="11" t="s">
        <v>59</v>
      </c>
      <c r="J592" s="11" t="s">
        <v>133</v>
      </c>
      <c r="K592" s="25">
        <v>8</v>
      </c>
      <c r="L592" s="25">
        <v>800</v>
      </c>
      <c r="M592" s="29">
        <v>0</v>
      </c>
      <c r="N592" s="25">
        <v>6400</v>
      </c>
      <c r="O592" s="25">
        <v>4091.79</v>
      </c>
      <c r="P592" s="25">
        <v>2308.21</v>
      </c>
      <c r="Q592" s="21">
        <v>36.07</v>
      </c>
      <c r="R592" s="11" t="s">
        <v>166</v>
      </c>
      <c r="S592" s="11" t="s">
        <v>74</v>
      </c>
      <c r="T592" s="11" t="s">
        <v>173</v>
      </c>
      <c r="U592" s="11" t="s">
        <v>119</v>
      </c>
      <c r="V592" s="11">
        <v>2025</v>
      </c>
      <c r="W592" s="11" t="s">
        <v>45</v>
      </c>
      <c r="X592" s="11">
        <v>6</v>
      </c>
      <c r="Y592" s="10" t="s">
        <v>264</v>
      </c>
      <c r="Z592" s="11" t="s">
        <v>47</v>
      </c>
      <c r="AA592" s="11" t="s">
        <v>67</v>
      </c>
      <c r="AB592" s="11" t="s">
        <v>78</v>
      </c>
      <c r="AC592" s="11" t="s">
        <v>50</v>
      </c>
      <c r="AD592" s="11">
        <v>1</v>
      </c>
      <c r="AE592" s="11" t="s">
        <v>2226</v>
      </c>
      <c r="AF592" s="11" t="s">
        <v>2210</v>
      </c>
      <c r="AG592" s="25"/>
      <c r="AH592" s="11"/>
      <c r="AI592" s="11"/>
      <c r="AJ592" s="11"/>
      <c r="AK592" s="11"/>
      <c r="AL592" s="11"/>
      <c r="AM592" s="11" t="str">
        <f t="shared" si="49"/>
        <v>Good</v>
      </c>
      <c r="AN592" s="11" t="str" cm="1">
        <f t="array" ref="AN592">_xlfn.IFS(N592&lt;10000,"Low",N592&lt;30000,"Medium",N592&gt;=30000,"High")</f>
        <v>Low</v>
      </c>
      <c r="AO592" s="11" t="str">
        <f t="shared" si="50"/>
        <v>No</v>
      </c>
      <c r="AP592" s="11" t="str">
        <f t="shared" si="51"/>
        <v>Yes</v>
      </c>
      <c r="AQ592" s="11">
        <f t="shared" si="52"/>
        <v>0.36065781250000001</v>
      </c>
      <c r="AR592" s="33"/>
      <c r="AS592" s="33"/>
      <c r="AT592" s="33"/>
      <c r="AU592" s="33"/>
      <c r="AV592" s="33"/>
      <c r="AW592" s="33"/>
      <c r="AX592" s="33" t="str">
        <f t="shared" si="53"/>
        <v>Low</v>
      </c>
    </row>
    <row r="593" spans="1:50">
      <c r="A593" s="9" t="s">
        <v>1700</v>
      </c>
      <c r="B593" s="10" t="s">
        <v>471</v>
      </c>
      <c r="C593" s="11" t="s">
        <v>378</v>
      </c>
      <c r="D593" s="11" t="s">
        <v>692</v>
      </c>
      <c r="E593" s="11" t="s">
        <v>55</v>
      </c>
      <c r="F593" s="11" t="s">
        <v>245</v>
      </c>
      <c r="G593" s="11" t="s">
        <v>246</v>
      </c>
      <c r="H593" s="11" t="s">
        <v>58</v>
      </c>
      <c r="I593" s="11" t="s">
        <v>39</v>
      </c>
      <c r="J593" s="11" t="s">
        <v>105</v>
      </c>
      <c r="K593" s="25">
        <v>8</v>
      </c>
      <c r="L593" s="25">
        <v>15000</v>
      </c>
      <c r="M593" s="29">
        <v>0.2</v>
      </c>
      <c r="N593" s="25">
        <v>96000</v>
      </c>
      <c r="O593" s="25">
        <v>60845.33</v>
      </c>
      <c r="P593" s="25">
        <v>35154.67</v>
      </c>
      <c r="Q593" s="21">
        <v>36.619999999999997</v>
      </c>
      <c r="R593" s="11" t="s">
        <v>41</v>
      </c>
      <c r="S593" s="11" t="s">
        <v>62</v>
      </c>
      <c r="T593" s="11" t="s">
        <v>43</v>
      </c>
      <c r="U593" s="11" t="s">
        <v>151</v>
      </c>
      <c r="V593" s="11">
        <v>2024</v>
      </c>
      <c r="W593" s="11" t="s">
        <v>139</v>
      </c>
      <c r="X593" s="11">
        <v>1</v>
      </c>
      <c r="Y593" s="10" t="s">
        <v>741</v>
      </c>
      <c r="Z593" s="11" t="s">
        <v>89</v>
      </c>
      <c r="AA593" s="11" t="s">
        <v>48</v>
      </c>
      <c r="AB593" s="11" t="s">
        <v>78</v>
      </c>
      <c r="AC593" s="11" t="s">
        <v>50</v>
      </c>
      <c r="AD593" s="11">
        <v>4</v>
      </c>
      <c r="AE593" s="11" t="s">
        <v>159</v>
      </c>
      <c r="AF593" s="11" t="s">
        <v>2230</v>
      </c>
      <c r="AG593" s="25"/>
      <c r="AH593" s="11"/>
      <c r="AI593" s="11"/>
      <c r="AJ593" s="11"/>
      <c r="AK593" s="11"/>
      <c r="AL593" s="11"/>
      <c r="AM593" s="11" t="str">
        <f t="shared" si="49"/>
        <v>Good</v>
      </c>
      <c r="AN593" s="11" t="str" cm="1">
        <f t="array" ref="AN593">_xlfn.IFS(N593&lt;10000,"Low",N593&lt;30000,"Medium",N593&gt;=30000,"High")</f>
        <v>High</v>
      </c>
      <c r="AO593" s="11" t="str">
        <f t="shared" si="50"/>
        <v>Yes</v>
      </c>
      <c r="AP593" s="11" t="str">
        <f t="shared" si="51"/>
        <v>No</v>
      </c>
      <c r="AQ593" s="11">
        <f t="shared" si="52"/>
        <v>0.36619447916666664</v>
      </c>
      <c r="AR593" s="33"/>
      <c r="AS593" s="33"/>
      <c r="AT593" s="33"/>
      <c r="AU593" s="33"/>
      <c r="AV593" s="33"/>
      <c r="AW593" s="33"/>
      <c r="AX593" s="33" t="str">
        <f t="shared" si="53"/>
        <v>Excellent</v>
      </c>
    </row>
    <row r="594" spans="1:50">
      <c r="A594" s="9" t="s">
        <v>670</v>
      </c>
      <c r="B594" s="10" t="s">
        <v>575</v>
      </c>
      <c r="C594" s="11" t="s">
        <v>671</v>
      </c>
      <c r="D594" s="11" t="s">
        <v>672</v>
      </c>
      <c r="E594" s="11" t="s">
        <v>35</v>
      </c>
      <c r="F594" s="11" t="s">
        <v>131</v>
      </c>
      <c r="G594" s="11" t="s">
        <v>132</v>
      </c>
      <c r="H594" s="11" t="s">
        <v>94</v>
      </c>
      <c r="I594" s="11" t="s">
        <v>84</v>
      </c>
      <c r="J594" s="11" t="s">
        <v>229</v>
      </c>
      <c r="K594" s="25">
        <v>8</v>
      </c>
      <c r="L594" s="25">
        <v>500</v>
      </c>
      <c r="M594" s="29">
        <v>0.1</v>
      </c>
      <c r="N594" s="25">
        <v>3600</v>
      </c>
      <c r="O594" s="25">
        <v>2690.47</v>
      </c>
      <c r="P594" s="25">
        <v>909.53</v>
      </c>
      <c r="Q594" s="21">
        <v>25.26</v>
      </c>
      <c r="R594" s="11" t="s">
        <v>73</v>
      </c>
      <c r="S594" s="11" t="s">
        <v>62</v>
      </c>
      <c r="T594" s="11" t="s">
        <v>86</v>
      </c>
      <c r="U594" s="11" t="s">
        <v>218</v>
      </c>
      <c r="V594" s="11">
        <v>2025</v>
      </c>
      <c r="W594" s="11" t="s">
        <v>126</v>
      </c>
      <c r="X594" s="11">
        <v>1</v>
      </c>
      <c r="Y594" s="10" t="s">
        <v>673</v>
      </c>
      <c r="Z594" s="11" t="s">
        <v>47</v>
      </c>
      <c r="AA594" s="11" t="s">
        <v>67</v>
      </c>
      <c r="AB594" s="11" t="s">
        <v>78</v>
      </c>
      <c r="AC594" s="11" t="s">
        <v>50</v>
      </c>
      <c r="AD594" s="11">
        <v>3</v>
      </c>
      <c r="AE594" s="11" t="s">
        <v>159</v>
      </c>
      <c r="AF594" s="11" t="s">
        <v>2217</v>
      </c>
      <c r="AG594" s="25"/>
      <c r="AH594" s="11"/>
      <c r="AI594" s="11"/>
      <c r="AJ594" s="11"/>
      <c r="AK594" s="11"/>
      <c r="AL594" s="11"/>
      <c r="AM594" s="11" t="str">
        <f t="shared" si="49"/>
        <v>Needs Improvement</v>
      </c>
      <c r="AN594" s="11" t="str" cm="1">
        <f t="array" ref="AN594">_xlfn.IFS(N594&lt;10000,"Low",N594&lt;30000,"Medium",N594&gt;=30000,"High")</f>
        <v>Low</v>
      </c>
      <c r="AO594" s="11" t="str">
        <f t="shared" si="50"/>
        <v>No</v>
      </c>
      <c r="AP594" s="11" t="str">
        <f t="shared" si="51"/>
        <v>No</v>
      </c>
      <c r="AQ594" s="11">
        <f t="shared" si="52"/>
        <v>0.25264722222222219</v>
      </c>
      <c r="AR594" s="33"/>
      <c r="AS594" s="33"/>
      <c r="AT594" s="33"/>
      <c r="AU594" s="33"/>
      <c r="AV594" s="33"/>
      <c r="AW594" s="33"/>
      <c r="AX594" s="33" t="str">
        <f t="shared" si="53"/>
        <v>Low</v>
      </c>
    </row>
    <row r="595" spans="1:50">
      <c r="A595" s="9" t="s">
        <v>1207</v>
      </c>
      <c r="B595" s="10" t="s">
        <v>575</v>
      </c>
      <c r="C595" s="11" t="s">
        <v>562</v>
      </c>
      <c r="D595" s="11" t="s">
        <v>763</v>
      </c>
      <c r="E595" s="11" t="s">
        <v>35</v>
      </c>
      <c r="F595" s="11" t="s">
        <v>82</v>
      </c>
      <c r="G595" s="11" t="s">
        <v>83</v>
      </c>
      <c r="H595" s="11" t="s">
        <v>171</v>
      </c>
      <c r="I595" s="11" t="s">
        <v>59</v>
      </c>
      <c r="J595" s="11" t="s">
        <v>372</v>
      </c>
      <c r="K595" s="25">
        <v>1</v>
      </c>
      <c r="L595" s="25">
        <v>1200</v>
      </c>
      <c r="M595" s="29">
        <v>0.05</v>
      </c>
      <c r="N595" s="25">
        <v>1140</v>
      </c>
      <c r="O595" s="25">
        <v>725.4</v>
      </c>
      <c r="P595" s="25">
        <v>414.6</v>
      </c>
      <c r="Q595" s="21">
        <v>36.369999999999997</v>
      </c>
      <c r="R595" s="11" t="s">
        <v>61</v>
      </c>
      <c r="S595" s="11" t="s">
        <v>62</v>
      </c>
      <c r="T595" s="11" t="s">
        <v>97</v>
      </c>
      <c r="U595" s="11" t="s">
        <v>218</v>
      </c>
      <c r="V595" s="11">
        <v>2025</v>
      </c>
      <c r="W595" s="11" t="s">
        <v>126</v>
      </c>
      <c r="X595" s="11">
        <v>1</v>
      </c>
      <c r="Y595" s="10" t="s">
        <v>673</v>
      </c>
      <c r="Z595" s="11" t="s">
        <v>47</v>
      </c>
      <c r="AA595" s="11" t="s">
        <v>90</v>
      </c>
      <c r="AB595" s="11" t="s">
        <v>78</v>
      </c>
      <c r="AC595" s="11" t="s">
        <v>50</v>
      </c>
      <c r="AD595" s="11">
        <v>5</v>
      </c>
      <c r="AE595" s="11" t="s">
        <v>159</v>
      </c>
      <c r="AF595" s="11" t="s">
        <v>2222</v>
      </c>
      <c r="AG595" s="25"/>
      <c r="AH595" s="11"/>
      <c r="AI595" s="11"/>
      <c r="AJ595" s="11"/>
      <c r="AK595" s="11"/>
      <c r="AL595" s="11"/>
      <c r="AM595" s="11" t="str">
        <f t="shared" si="49"/>
        <v>Good</v>
      </c>
      <c r="AN595" s="11" t="str" cm="1">
        <f t="array" ref="AN595">_xlfn.IFS(N595&lt;10000,"Low",N595&lt;30000,"Medium",N595&gt;=30000,"High")</f>
        <v>Low</v>
      </c>
      <c r="AO595" s="11" t="str">
        <f t="shared" si="50"/>
        <v>No</v>
      </c>
      <c r="AP595" s="11" t="str">
        <f t="shared" si="51"/>
        <v>No</v>
      </c>
      <c r="AQ595" s="11">
        <f t="shared" si="52"/>
        <v>0.36368421052631583</v>
      </c>
      <c r="AR595" s="33"/>
      <c r="AS595" s="33"/>
      <c r="AT595" s="33"/>
      <c r="AU595" s="33"/>
      <c r="AV595" s="33"/>
      <c r="AW595" s="33"/>
      <c r="AX595" s="33" t="str">
        <f t="shared" si="53"/>
        <v>Low</v>
      </c>
    </row>
    <row r="596" spans="1:50">
      <c r="A596" s="9" t="s">
        <v>1562</v>
      </c>
      <c r="B596" s="10" t="s">
        <v>575</v>
      </c>
      <c r="C596" s="11" t="s">
        <v>904</v>
      </c>
      <c r="D596" s="11" t="s">
        <v>70</v>
      </c>
      <c r="E596" s="11" t="s">
        <v>55</v>
      </c>
      <c r="F596" s="11" t="s">
        <v>56</v>
      </c>
      <c r="G596" s="11" t="s">
        <v>57</v>
      </c>
      <c r="H596" s="11" t="s">
        <v>94</v>
      </c>
      <c r="I596" s="11" t="s">
        <v>59</v>
      </c>
      <c r="J596" s="11" t="s">
        <v>372</v>
      </c>
      <c r="K596" s="25">
        <v>2</v>
      </c>
      <c r="L596" s="25">
        <v>2000</v>
      </c>
      <c r="M596" s="29">
        <v>0.2</v>
      </c>
      <c r="N596" s="25">
        <v>3200</v>
      </c>
      <c r="O596" s="25">
        <v>2495.87</v>
      </c>
      <c r="P596" s="25">
        <v>704.13</v>
      </c>
      <c r="Q596" s="21">
        <v>22</v>
      </c>
      <c r="R596" s="11" t="s">
        <v>106</v>
      </c>
      <c r="S596" s="11" t="s">
        <v>74</v>
      </c>
      <c r="T596" s="11" t="s">
        <v>138</v>
      </c>
      <c r="U596" s="11" t="s">
        <v>218</v>
      </c>
      <c r="V596" s="11">
        <v>2025</v>
      </c>
      <c r="W596" s="11" t="s">
        <v>126</v>
      </c>
      <c r="X596" s="11">
        <v>1</v>
      </c>
      <c r="Y596" s="10" t="s">
        <v>673</v>
      </c>
      <c r="Z596" s="11" t="s">
        <v>47</v>
      </c>
      <c r="AA596" s="11" t="s">
        <v>90</v>
      </c>
      <c r="AB596" s="11" t="s">
        <v>78</v>
      </c>
      <c r="AC596" s="11" t="s">
        <v>50</v>
      </c>
      <c r="AD596" s="11">
        <v>4</v>
      </c>
      <c r="AE596" s="11" t="s">
        <v>2213</v>
      </c>
      <c r="AF596" s="11" t="s">
        <v>2238</v>
      </c>
      <c r="AG596" s="25"/>
      <c r="AH596" s="11"/>
      <c r="AI596" s="11"/>
      <c r="AJ596" s="11"/>
      <c r="AK596" s="11"/>
      <c r="AL596" s="11"/>
      <c r="AM596" s="11" t="str">
        <f t="shared" si="49"/>
        <v>Needs Improvement</v>
      </c>
      <c r="AN596" s="11" t="str" cm="1">
        <f t="array" ref="AN596">_xlfn.IFS(N596&lt;10000,"Low",N596&lt;30000,"Medium",N596&gt;=30000,"High")</f>
        <v>Low</v>
      </c>
      <c r="AO596" s="11" t="str">
        <f t="shared" si="50"/>
        <v>No</v>
      </c>
      <c r="AP596" s="11" t="str">
        <f t="shared" si="51"/>
        <v>Yes</v>
      </c>
      <c r="AQ596" s="11">
        <f t="shared" si="52"/>
        <v>0.22004062499999999</v>
      </c>
      <c r="AR596" s="33"/>
      <c r="AS596" s="33"/>
      <c r="AT596" s="33"/>
      <c r="AU596" s="33"/>
      <c r="AV596" s="33"/>
      <c r="AW596" s="33"/>
      <c r="AX596" s="33" t="str">
        <f t="shared" si="53"/>
        <v>Low</v>
      </c>
    </row>
    <row r="597" spans="1:50">
      <c r="A597" s="9" t="s">
        <v>1256</v>
      </c>
      <c r="B597" s="10" t="s">
        <v>635</v>
      </c>
      <c r="C597" s="11" t="s">
        <v>477</v>
      </c>
      <c r="D597" s="11" t="s">
        <v>859</v>
      </c>
      <c r="E597" s="11" t="s">
        <v>35</v>
      </c>
      <c r="F597" s="11" t="s">
        <v>131</v>
      </c>
      <c r="G597" s="11" t="s">
        <v>132</v>
      </c>
      <c r="H597" s="11" t="s">
        <v>94</v>
      </c>
      <c r="I597" s="11" t="s">
        <v>95</v>
      </c>
      <c r="J597" s="11" t="s">
        <v>440</v>
      </c>
      <c r="K597" s="25">
        <v>7</v>
      </c>
      <c r="L597" s="25">
        <v>2500</v>
      </c>
      <c r="M597" s="29">
        <v>0.15</v>
      </c>
      <c r="N597" s="25">
        <v>14875</v>
      </c>
      <c r="O597" s="25">
        <v>11941.75</v>
      </c>
      <c r="P597" s="25">
        <v>2933.25</v>
      </c>
      <c r="Q597" s="21">
        <v>19.72</v>
      </c>
      <c r="R597" s="11" t="s">
        <v>61</v>
      </c>
      <c r="S597" s="11" t="s">
        <v>42</v>
      </c>
      <c r="T597" s="11" t="s">
        <v>75</v>
      </c>
      <c r="U597" s="11" t="s">
        <v>108</v>
      </c>
      <c r="V597" s="11">
        <v>2024</v>
      </c>
      <c r="W597" s="11" t="s">
        <v>134</v>
      </c>
      <c r="X597" s="11">
        <v>5</v>
      </c>
      <c r="Y597" s="10" t="s">
        <v>789</v>
      </c>
      <c r="Z597" s="11" t="s">
        <v>47</v>
      </c>
      <c r="AA597" s="11" t="s">
        <v>90</v>
      </c>
      <c r="AB597" s="11" t="s">
        <v>78</v>
      </c>
      <c r="AC597" s="11" t="s">
        <v>121</v>
      </c>
      <c r="AD597" s="11">
        <v>4</v>
      </c>
      <c r="AE597" s="11" t="s">
        <v>2218</v>
      </c>
      <c r="AF597" s="11" t="s">
        <v>2212</v>
      </c>
      <c r="AG597" s="25"/>
      <c r="AH597" s="11"/>
      <c r="AI597" s="11"/>
      <c r="AJ597" s="11"/>
      <c r="AK597" s="11"/>
      <c r="AL597" s="11"/>
      <c r="AM597" s="11" t="str">
        <f t="shared" si="49"/>
        <v>Needs Improvement</v>
      </c>
      <c r="AN597" s="11" t="str" cm="1">
        <f t="array" ref="AN597">_xlfn.IFS(N597&lt;10000,"Low",N597&lt;30000,"Medium",N597&gt;=30000,"High")</f>
        <v>Medium</v>
      </c>
      <c r="AO597" s="11" t="str">
        <f t="shared" si="50"/>
        <v>No</v>
      </c>
      <c r="AP597" s="11" t="str">
        <f t="shared" si="51"/>
        <v>Yes</v>
      </c>
      <c r="AQ597" s="11">
        <f t="shared" si="52"/>
        <v>0.19719327731092437</v>
      </c>
      <c r="AR597" s="33"/>
      <c r="AS597" s="33"/>
      <c r="AT597" s="33"/>
      <c r="AU597" s="33"/>
      <c r="AV597" s="33"/>
      <c r="AW597" s="33"/>
      <c r="AX597" s="33" t="str">
        <f t="shared" si="53"/>
        <v>Low</v>
      </c>
    </row>
    <row r="598" spans="1:50">
      <c r="A598" s="9" t="s">
        <v>1348</v>
      </c>
      <c r="B598" s="10" t="s">
        <v>635</v>
      </c>
      <c r="C598" s="11" t="s">
        <v>724</v>
      </c>
      <c r="D598" s="11" t="s">
        <v>737</v>
      </c>
      <c r="E598" s="11" t="s">
        <v>103</v>
      </c>
      <c r="F598" s="11" t="s">
        <v>36</v>
      </c>
      <c r="G598" s="11" t="s">
        <v>37</v>
      </c>
      <c r="H598" s="11" t="s">
        <v>171</v>
      </c>
      <c r="I598" s="11" t="s">
        <v>59</v>
      </c>
      <c r="J598" s="11" t="s">
        <v>206</v>
      </c>
      <c r="K598" s="25">
        <v>5</v>
      </c>
      <c r="L598" s="25">
        <v>800</v>
      </c>
      <c r="M598" s="29">
        <v>0.05</v>
      </c>
      <c r="N598" s="25">
        <v>3800</v>
      </c>
      <c r="O598" s="25">
        <v>2404.77</v>
      </c>
      <c r="P598" s="25">
        <v>1395.23</v>
      </c>
      <c r="Q598" s="21">
        <v>36.72</v>
      </c>
      <c r="R598" s="11" t="s">
        <v>73</v>
      </c>
      <c r="S598" s="11" t="s">
        <v>74</v>
      </c>
      <c r="T598" s="11" t="s">
        <v>43</v>
      </c>
      <c r="U598" s="11" t="s">
        <v>108</v>
      </c>
      <c r="V598" s="11">
        <v>2024</v>
      </c>
      <c r="W598" s="11" t="s">
        <v>134</v>
      </c>
      <c r="X598" s="11">
        <v>2</v>
      </c>
      <c r="Y598" s="10" t="s">
        <v>689</v>
      </c>
      <c r="Z598" s="11" t="s">
        <v>47</v>
      </c>
      <c r="AA598" s="11" t="s">
        <v>67</v>
      </c>
      <c r="AB598" s="11" t="s">
        <v>78</v>
      </c>
      <c r="AC598" s="11" t="s">
        <v>121</v>
      </c>
      <c r="AD598" s="11">
        <v>3</v>
      </c>
      <c r="AE598" s="11" t="s">
        <v>2248</v>
      </c>
      <c r="AF598" s="11" t="s">
        <v>2231</v>
      </c>
      <c r="AG598" s="25"/>
      <c r="AH598" s="11"/>
      <c r="AI598" s="11"/>
      <c r="AJ598" s="11"/>
      <c r="AK598" s="11"/>
      <c r="AL598" s="11"/>
      <c r="AM598" s="11" t="str">
        <f t="shared" si="49"/>
        <v>Good</v>
      </c>
      <c r="AN598" s="11" t="str" cm="1">
        <f t="array" ref="AN598">_xlfn.IFS(N598&lt;10000,"Low",N598&lt;30000,"Medium",N598&gt;=30000,"High")</f>
        <v>Low</v>
      </c>
      <c r="AO598" s="11" t="str">
        <f t="shared" si="50"/>
        <v>No</v>
      </c>
      <c r="AP598" s="11" t="str">
        <f t="shared" si="51"/>
        <v>Yes</v>
      </c>
      <c r="AQ598" s="11">
        <f t="shared" si="52"/>
        <v>0.36716578947368422</v>
      </c>
      <c r="AR598" s="33"/>
      <c r="AS598" s="33"/>
      <c r="AT598" s="33"/>
      <c r="AU598" s="33"/>
      <c r="AV598" s="33"/>
      <c r="AW598" s="33"/>
      <c r="AX598" s="33" t="str">
        <f t="shared" si="53"/>
        <v>Low</v>
      </c>
    </row>
    <row r="599" spans="1:50">
      <c r="A599" s="9" t="s">
        <v>1779</v>
      </c>
      <c r="B599" s="10" t="s">
        <v>635</v>
      </c>
      <c r="C599" s="11" t="s">
        <v>368</v>
      </c>
      <c r="D599" s="11" t="s">
        <v>1780</v>
      </c>
      <c r="E599" s="11" t="s">
        <v>55</v>
      </c>
      <c r="F599" s="11" t="s">
        <v>149</v>
      </c>
      <c r="G599" s="11" t="s">
        <v>150</v>
      </c>
      <c r="H599" s="11" t="s">
        <v>94</v>
      </c>
      <c r="I599" s="11" t="s">
        <v>95</v>
      </c>
      <c r="J599" s="11" t="s">
        <v>344</v>
      </c>
      <c r="K599" s="25">
        <v>9</v>
      </c>
      <c r="L599" s="25">
        <v>6000</v>
      </c>
      <c r="M599" s="29">
        <v>0.15</v>
      </c>
      <c r="N599" s="25">
        <v>45900</v>
      </c>
      <c r="O599" s="25">
        <v>36955.11</v>
      </c>
      <c r="P599" s="25">
        <v>8944.89</v>
      </c>
      <c r="Q599" s="21">
        <v>19.489999999999998</v>
      </c>
      <c r="R599" s="11" t="s">
        <v>106</v>
      </c>
      <c r="S599" s="11" t="s">
        <v>62</v>
      </c>
      <c r="T599" s="11" t="s">
        <v>97</v>
      </c>
      <c r="U599" s="11" t="s">
        <v>108</v>
      </c>
      <c r="V599" s="11">
        <v>2024</v>
      </c>
      <c r="W599" s="11" t="s">
        <v>134</v>
      </c>
      <c r="X599" s="11">
        <v>9</v>
      </c>
      <c r="Y599" s="10" t="s">
        <v>283</v>
      </c>
      <c r="Z599" s="11" t="s">
        <v>47</v>
      </c>
      <c r="AA599" s="11" t="s">
        <v>67</v>
      </c>
      <c r="AB599" s="11" t="s">
        <v>49</v>
      </c>
      <c r="AC599" s="11" t="s">
        <v>50</v>
      </c>
      <c r="AD599" s="11">
        <v>3</v>
      </c>
      <c r="AE599" s="11" t="s">
        <v>2232</v>
      </c>
      <c r="AF599" s="11" t="s">
        <v>2223</v>
      </c>
      <c r="AG599" s="25"/>
      <c r="AH599" s="11"/>
      <c r="AI599" s="11"/>
      <c r="AJ599" s="11"/>
      <c r="AK599" s="11"/>
      <c r="AL599" s="11"/>
      <c r="AM599" s="11" t="str">
        <f t="shared" si="49"/>
        <v>Needs Improvement</v>
      </c>
      <c r="AN599" s="11" t="str" cm="1">
        <f t="array" ref="AN599">_xlfn.IFS(N599&lt;10000,"Low",N599&lt;30000,"Medium",N599&gt;=30000,"High")</f>
        <v>High</v>
      </c>
      <c r="AO599" s="11" t="str">
        <f t="shared" si="50"/>
        <v>No</v>
      </c>
      <c r="AP599" s="11" t="str">
        <f t="shared" si="51"/>
        <v>No</v>
      </c>
      <c r="AQ599" s="11">
        <f t="shared" si="52"/>
        <v>0.19487777777777776</v>
      </c>
      <c r="AR599" s="33"/>
      <c r="AS599" s="33"/>
      <c r="AT599" s="33"/>
      <c r="AU599" s="33"/>
      <c r="AV599" s="33"/>
      <c r="AW599" s="33"/>
      <c r="AX599" s="33" t="str">
        <f t="shared" si="53"/>
        <v>Average</v>
      </c>
    </row>
    <row r="600" spans="1:50">
      <c r="A600" s="9" t="s">
        <v>2130</v>
      </c>
      <c r="B600" s="10" t="s">
        <v>635</v>
      </c>
      <c r="C600" s="11" t="s">
        <v>687</v>
      </c>
      <c r="D600" s="11" t="s">
        <v>1652</v>
      </c>
      <c r="E600" s="11" t="s">
        <v>103</v>
      </c>
      <c r="F600" s="11" t="s">
        <v>104</v>
      </c>
      <c r="G600" s="11" t="s">
        <v>104</v>
      </c>
      <c r="H600" s="11" t="s">
        <v>38</v>
      </c>
      <c r="I600" s="11" t="s">
        <v>39</v>
      </c>
      <c r="J600" s="11" t="s">
        <v>165</v>
      </c>
      <c r="K600" s="25">
        <v>7</v>
      </c>
      <c r="L600" s="25">
        <v>12000</v>
      </c>
      <c r="M600" s="29">
        <v>0</v>
      </c>
      <c r="N600" s="25">
        <v>84000</v>
      </c>
      <c r="O600" s="25">
        <v>46952.98</v>
      </c>
      <c r="P600" s="25">
        <v>37047.019999999997</v>
      </c>
      <c r="Q600" s="21">
        <v>44.1</v>
      </c>
      <c r="R600" s="11" t="s">
        <v>61</v>
      </c>
      <c r="S600" s="11" t="s">
        <v>42</v>
      </c>
      <c r="T600" s="11" t="s">
        <v>86</v>
      </c>
      <c r="U600" s="11" t="s">
        <v>108</v>
      </c>
      <c r="V600" s="11">
        <v>2024</v>
      </c>
      <c r="W600" s="11" t="s">
        <v>134</v>
      </c>
      <c r="X600" s="11">
        <v>6</v>
      </c>
      <c r="Y600" s="10" t="s">
        <v>168</v>
      </c>
      <c r="Z600" s="11" t="s">
        <v>47</v>
      </c>
      <c r="AA600" s="11" t="s">
        <v>67</v>
      </c>
      <c r="AB600" s="11" t="s">
        <v>49</v>
      </c>
      <c r="AC600" s="11" t="s">
        <v>50</v>
      </c>
      <c r="AD600" s="11">
        <v>1</v>
      </c>
      <c r="AE600" s="11" t="s">
        <v>2213</v>
      </c>
      <c r="AF600" s="11" t="s">
        <v>2236</v>
      </c>
      <c r="AG600" s="25"/>
      <c r="AH600" s="11"/>
      <c r="AI600" s="11"/>
      <c r="AJ600" s="11"/>
      <c r="AK600" s="11"/>
      <c r="AL600" s="11"/>
      <c r="AM600" s="11" t="str">
        <f t="shared" si="49"/>
        <v>Good</v>
      </c>
      <c r="AN600" s="11" t="str" cm="1">
        <f t="array" ref="AN600">_xlfn.IFS(N600&lt;10000,"Low",N600&lt;30000,"Medium",N600&gt;=30000,"High")</f>
        <v>High</v>
      </c>
      <c r="AO600" s="11" t="str">
        <f t="shared" si="50"/>
        <v>Yes</v>
      </c>
      <c r="AP600" s="11" t="str">
        <f t="shared" si="51"/>
        <v>Yes</v>
      </c>
      <c r="AQ600" s="11">
        <f t="shared" si="52"/>
        <v>0.44103595238095233</v>
      </c>
      <c r="AR600" s="33"/>
      <c r="AS600" s="33"/>
      <c r="AT600" s="33"/>
      <c r="AU600" s="33"/>
      <c r="AV600" s="33"/>
      <c r="AW600" s="33"/>
      <c r="AX600" s="33" t="str">
        <f t="shared" si="53"/>
        <v>Excellent</v>
      </c>
    </row>
    <row r="601" spans="1:50">
      <c r="A601" s="9" t="s">
        <v>747</v>
      </c>
      <c r="B601" s="10" t="s">
        <v>748</v>
      </c>
      <c r="C601" s="11" t="s">
        <v>749</v>
      </c>
      <c r="D601" s="11" t="s">
        <v>519</v>
      </c>
      <c r="E601" s="11" t="s">
        <v>103</v>
      </c>
      <c r="F601" s="11" t="s">
        <v>156</v>
      </c>
      <c r="G601" s="11" t="s">
        <v>157</v>
      </c>
      <c r="H601" s="11" t="s">
        <v>58</v>
      </c>
      <c r="I601" s="11" t="s">
        <v>59</v>
      </c>
      <c r="J601" s="11" t="s">
        <v>328</v>
      </c>
      <c r="K601" s="25">
        <v>3</v>
      </c>
      <c r="L601" s="25">
        <v>3000</v>
      </c>
      <c r="M601" s="29">
        <v>0.1</v>
      </c>
      <c r="N601" s="25">
        <v>8100</v>
      </c>
      <c r="O601" s="25">
        <v>4682.6899999999996</v>
      </c>
      <c r="P601" s="25">
        <v>3417.31</v>
      </c>
      <c r="Q601" s="21">
        <v>42.19</v>
      </c>
      <c r="R601" s="11" t="s">
        <v>73</v>
      </c>
      <c r="S601" s="11" t="s">
        <v>62</v>
      </c>
      <c r="T601" s="11" t="s">
        <v>97</v>
      </c>
      <c r="U601" s="11" t="s">
        <v>108</v>
      </c>
      <c r="V601" s="11">
        <v>2025</v>
      </c>
      <c r="W601" s="11" t="s">
        <v>139</v>
      </c>
      <c r="X601" s="11">
        <v>4</v>
      </c>
      <c r="Y601" s="10" t="s">
        <v>750</v>
      </c>
      <c r="Z601" s="11" t="s">
        <v>89</v>
      </c>
      <c r="AA601" s="11" t="s">
        <v>90</v>
      </c>
      <c r="AB601" s="11" t="s">
        <v>111</v>
      </c>
      <c r="AC601" s="11" t="s">
        <v>121</v>
      </c>
      <c r="AD601" s="11">
        <v>3</v>
      </c>
      <c r="AE601" s="11" t="s">
        <v>2233</v>
      </c>
      <c r="AF601" s="11" t="s">
        <v>2236</v>
      </c>
      <c r="AG601" s="25"/>
      <c r="AH601" s="11"/>
      <c r="AI601" s="11"/>
      <c r="AJ601" s="11"/>
      <c r="AK601" s="11"/>
      <c r="AL601" s="11"/>
      <c r="AM601" s="11" t="str">
        <f t="shared" si="49"/>
        <v>Good</v>
      </c>
      <c r="AN601" s="11" t="str" cm="1">
        <f t="array" ref="AN601">_xlfn.IFS(N601&lt;10000,"Low",N601&lt;30000,"Medium",N601&gt;=30000,"High")</f>
        <v>Low</v>
      </c>
      <c r="AO601" s="11" t="str">
        <f t="shared" si="50"/>
        <v>No</v>
      </c>
      <c r="AP601" s="11" t="str">
        <f t="shared" si="51"/>
        <v>No</v>
      </c>
      <c r="AQ601" s="11">
        <f t="shared" si="52"/>
        <v>0.42189012345679011</v>
      </c>
      <c r="AR601" s="33"/>
      <c r="AS601" s="33"/>
      <c r="AT601" s="33"/>
      <c r="AU601" s="33"/>
      <c r="AV601" s="33"/>
      <c r="AW601" s="33"/>
      <c r="AX601" s="33" t="str">
        <f t="shared" si="53"/>
        <v>Low</v>
      </c>
    </row>
    <row r="602" spans="1:50">
      <c r="A602" s="9" t="s">
        <v>1976</v>
      </c>
      <c r="B602" s="10" t="s">
        <v>1729</v>
      </c>
      <c r="C602" s="11" t="s">
        <v>1262</v>
      </c>
      <c r="D602" s="11" t="s">
        <v>717</v>
      </c>
      <c r="E602" s="11" t="s">
        <v>35</v>
      </c>
      <c r="F602" s="11" t="s">
        <v>144</v>
      </c>
      <c r="G602" s="11" t="s">
        <v>145</v>
      </c>
      <c r="H602" s="11" t="s">
        <v>38</v>
      </c>
      <c r="I602" s="11" t="s">
        <v>95</v>
      </c>
      <c r="J602" s="11" t="s">
        <v>184</v>
      </c>
      <c r="K602" s="25">
        <v>3</v>
      </c>
      <c r="L602" s="25">
        <v>15000</v>
      </c>
      <c r="M602" s="29">
        <v>0.05</v>
      </c>
      <c r="N602" s="25">
        <v>42750</v>
      </c>
      <c r="O602" s="25">
        <v>34676.11</v>
      </c>
      <c r="P602" s="25">
        <v>8073.89</v>
      </c>
      <c r="Q602" s="21">
        <v>18.89</v>
      </c>
      <c r="R602" s="11" t="s">
        <v>73</v>
      </c>
      <c r="S602" s="11" t="s">
        <v>42</v>
      </c>
      <c r="T602" s="11" t="s">
        <v>43</v>
      </c>
      <c r="U602" s="11" t="s">
        <v>87</v>
      </c>
      <c r="V602" s="11">
        <v>2025</v>
      </c>
      <c r="W602" s="11" t="s">
        <v>65</v>
      </c>
      <c r="X602" s="11">
        <v>10</v>
      </c>
      <c r="Y602" s="10" t="s">
        <v>1006</v>
      </c>
      <c r="Z602" s="11" t="s">
        <v>47</v>
      </c>
      <c r="AA602" s="11" t="s">
        <v>48</v>
      </c>
      <c r="AB602" s="11" t="s">
        <v>49</v>
      </c>
      <c r="AC602" s="11" t="s">
        <v>50</v>
      </c>
      <c r="AD602" s="11">
        <v>2</v>
      </c>
      <c r="AE602" s="11" t="s">
        <v>2233</v>
      </c>
      <c r="AF602" s="11" t="s">
        <v>2214</v>
      </c>
      <c r="AG602" s="25"/>
      <c r="AH602" s="11"/>
      <c r="AI602" s="11"/>
      <c r="AJ602" s="11"/>
      <c r="AK602" s="11"/>
      <c r="AL602" s="11"/>
      <c r="AM602" s="11" t="str">
        <f t="shared" si="49"/>
        <v>Needs Improvement</v>
      </c>
      <c r="AN602" s="11" t="str" cm="1">
        <f t="array" ref="AN602">_xlfn.IFS(N602&lt;10000,"Low",N602&lt;30000,"Medium",N602&gt;=30000,"High")</f>
        <v>High</v>
      </c>
      <c r="AO602" s="11" t="str">
        <f t="shared" si="50"/>
        <v>No</v>
      </c>
      <c r="AP602" s="11" t="str">
        <f t="shared" si="51"/>
        <v>Yes</v>
      </c>
      <c r="AQ602" s="11">
        <f t="shared" si="52"/>
        <v>0.1888629239766082</v>
      </c>
      <c r="AR602" s="33"/>
      <c r="AS602" s="33"/>
      <c r="AT602" s="33"/>
      <c r="AU602" s="33"/>
      <c r="AV602" s="33"/>
      <c r="AW602" s="33"/>
      <c r="AX602" s="33" t="str">
        <f t="shared" si="53"/>
        <v>Average</v>
      </c>
    </row>
    <row r="603" spans="1:50">
      <c r="A603" s="9" t="s">
        <v>299</v>
      </c>
      <c r="B603" s="10" t="s">
        <v>300</v>
      </c>
      <c r="C603" s="11" t="s">
        <v>301</v>
      </c>
      <c r="D603" s="11" t="s">
        <v>302</v>
      </c>
      <c r="E603" s="11" t="s">
        <v>35</v>
      </c>
      <c r="F603" s="11" t="s">
        <v>116</v>
      </c>
      <c r="G603" s="11" t="s">
        <v>37</v>
      </c>
      <c r="H603" s="11" t="s">
        <v>94</v>
      </c>
      <c r="I603" s="11" t="s">
        <v>71</v>
      </c>
      <c r="J603" s="11" t="s">
        <v>172</v>
      </c>
      <c r="K603" s="25">
        <v>1</v>
      </c>
      <c r="L603" s="25">
        <v>2500</v>
      </c>
      <c r="M603" s="29">
        <v>0</v>
      </c>
      <c r="N603" s="25">
        <v>2500</v>
      </c>
      <c r="O603" s="25">
        <v>1453.25</v>
      </c>
      <c r="P603" s="25">
        <v>1046.75</v>
      </c>
      <c r="Q603" s="21">
        <v>41.87</v>
      </c>
      <c r="R603" s="11" t="s">
        <v>166</v>
      </c>
      <c r="S603" s="11" t="s">
        <v>74</v>
      </c>
      <c r="T603" s="11" t="s">
        <v>86</v>
      </c>
      <c r="U603" s="11" t="s">
        <v>198</v>
      </c>
      <c r="V603" s="11">
        <v>2024</v>
      </c>
      <c r="W603" s="11" t="s">
        <v>126</v>
      </c>
      <c r="X603" s="11">
        <v>5</v>
      </c>
      <c r="Y603" s="10" t="s">
        <v>303</v>
      </c>
      <c r="Z603" s="11" t="s">
        <v>47</v>
      </c>
      <c r="AA603" s="11" t="s">
        <v>48</v>
      </c>
      <c r="AB603" s="11" t="s">
        <v>78</v>
      </c>
      <c r="AC603" s="11" t="s">
        <v>50</v>
      </c>
      <c r="AD603" s="11">
        <v>4</v>
      </c>
      <c r="AE603" s="11" t="s">
        <v>2227</v>
      </c>
      <c r="AF603" s="11" t="s">
        <v>2217</v>
      </c>
      <c r="AG603" s="25"/>
      <c r="AH603" s="11"/>
      <c r="AI603" s="11"/>
      <c r="AJ603" s="11"/>
      <c r="AK603" s="11"/>
      <c r="AL603" s="11"/>
      <c r="AM603" s="11" t="str">
        <f t="shared" si="49"/>
        <v>Good</v>
      </c>
      <c r="AN603" s="11" t="str" cm="1">
        <f t="array" ref="AN603">_xlfn.IFS(N603&lt;10000,"Low",N603&lt;30000,"Medium",N603&gt;=30000,"High")</f>
        <v>Low</v>
      </c>
      <c r="AO603" s="11" t="str">
        <f t="shared" si="50"/>
        <v>No</v>
      </c>
      <c r="AP603" s="11" t="str">
        <f t="shared" si="51"/>
        <v>Yes</v>
      </c>
      <c r="AQ603" s="11">
        <f t="shared" si="52"/>
        <v>0.41870000000000002</v>
      </c>
      <c r="AR603" s="33"/>
      <c r="AS603" s="33"/>
      <c r="AT603" s="33"/>
      <c r="AU603" s="33"/>
      <c r="AV603" s="33"/>
      <c r="AW603" s="33"/>
      <c r="AX603" s="33" t="str">
        <f t="shared" si="53"/>
        <v>Low</v>
      </c>
    </row>
    <row r="604" spans="1:50">
      <c r="A604" s="9" t="s">
        <v>2158</v>
      </c>
      <c r="B604" s="10" t="s">
        <v>300</v>
      </c>
      <c r="C604" s="11" t="s">
        <v>938</v>
      </c>
      <c r="D604" s="11" t="s">
        <v>418</v>
      </c>
      <c r="E604" s="11" t="s">
        <v>35</v>
      </c>
      <c r="F604" s="11" t="s">
        <v>245</v>
      </c>
      <c r="G604" s="11" t="s">
        <v>246</v>
      </c>
      <c r="H604" s="11" t="s">
        <v>38</v>
      </c>
      <c r="I604" s="11" t="s">
        <v>39</v>
      </c>
      <c r="J604" s="11" t="s">
        <v>253</v>
      </c>
      <c r="K604" s="25">
        <v>10</v>
      </c>
      <c r="L604" s="25">
        <v>15000</v>
      </c>
      <c r="M604" s="29">
        <v>0.05</v>
      </c>
      <c r="N604" s="25">
        <v>142500</v>
      </c>
      <c r="O604" s="25">
        <v>104637.57</v>
      </c>
      <c r="P604" s="25">
        <v>37862.43</v>
      </c>
      <c r="Q604" s="21">
        <v>26.57</v>
      </c>
      <c r="R604" s="11" t="s">
        <v>166</v>
      </c>
      <c r="S604" s="11" t="s">
        <v>62</v>
      </c>
      <c r="T604" s="11" t="s">
        <v>63</v>
      </c>
      <c r="U604" s="11" t="s">
        <v>198</v>
      </c>
      <c r="V604" s="11">
        <v>2024</v>
      </c>
      <c r="W604" s="11" t="s">
        <v>126</v>
      </c>
      <c r="X604" s="11">
        <v>5</v>
      </c>
      <c r="Y604" s="10" t="s">
        <v>303</v>
      </c>
      <c r="Z604" s="11" t="s">
        <v>47</v>
      </c>
      <c r="AA604" s="11" t="s">
        <v>67</v>
      </c>
      <c r="AB604" s="11" t="s">
        <v>49</v>
      </c>
      <c r="AC604" s="11" t="s">
        <v>121</v>
      </c>
      <c r="AD604" s="11">
        <v>2</v>
      </c>
      <c r="AE604" s="11" t="s">
        <v>2237</v>
      </c>
      <c r="AF604" s="11" t="s">
        <v>2235</v>
      </c>
      <c r="AG604" s="25"/>
      <c r="AH604" s="11"/>
      <c r="AI604" s="11"/>
      <c r="AJ604" s="11"/>
      <c r="AK604" s="11"/>
      <c r="AL604" s="11"/>
      <c r="AM604" s="11" t="str">
        <f t="shared" si="49"/>
        <v>Needs Improvement</v>
      </c>
      <c r="AN604" s="11" t="str" cm="1">
        <f t="array" ref="AN604">_xlfn.IFS(N604&lt;10000,"Low",N604&lt;30000,"Medium",N604&gt;=30000,"High")</f>
        <v>High</v>
      </c>
      <c r="AO604" s="11" t="str">
        <f t="shared" si="50"/>
        <v>Yes</v>
      </c>
      <c r="AP604" s="11" t="str">
        <f t="shared" si="51"/>
        <v>No</v>
      </c>
      <c r="AQ604" s="11">
        <f t="shared" si="52"/>
        <v>0.26570126315789472</v>
      </c>
      <c r="AR604" s="33"/>
      <c r="AS604" s="33"/>
      <c r="AT604" s="33"/>
      <c r="AU604" s="33"/>
      <c r="AV604" s="33"/>
      <c r="AW604" s="33"/>
      <c r="AX604" s="33" t="str">
        <f t="shared" si="53"/>
        <v>Excellent</v>
      </c>
    </row>
    <row r="605" spans="1:50">
      <c r="A605" s="9" t="s">
        <v>576</v>
      </c>
      <c r="B605" s="10" t="s">
        <v>577</v>
      </c>
      <c r="C605" s="11" t="s">
        <v>522</v>
      </c>
      <c r="D605" s="11" t="s">
        <v>512</v>
      </c>
      <c r="E605" s="11" t="s">
        <v>55</v>
      </c>
      <c r="F605" s="11" t="s">
        <v>144</v>
      </c>
      <c r="G605" s="11" t="s">
        <v>145</v>
      </c>
      <c r="H605" s="11" t="s">
        <v>94</v>
      </c>
      <c r="I605" s="11" t="s">
        <v>95</v>
      </c>
      <c r="J605" s="11" t="s">
        <v>440</v>
      </c>
      <c r="K605" s="25">
        <v>9</v>
      </c>
      <c r="L605" s="25">
        <v>9000</v>
      </c>
      <c r="M605" s="29">
        <v>0</v>
      </c>
      <c r="N605" s="25">
        <v>81000</v>
      </c>
      <c r="O605" s="25">
        <v>51520.72</v>
      </c>
      <c r="P605" s="25">
        <v>29479.279999999999</v>
      </c>
      <c r="Q605" s="21">
        <v>36.39</v>
      </c>
      <c r="R605" s="11" t="s">
        <v>73</v>
      </c>
      <c r="S605" s="11" t="s">
        <v>42</v>
      </c>
      <c r="T605" s="11" t="s">
        <v>138</v>
      </c>
      <c r="U605" s="11" t="s">
        <v>64</v>
      </c>
      <c r="V605" s="11">
        <v>2024</v>
      </c>
      <c r="W605" s="11" t="s">
        <v>134</v>
      </c>
      <c r="X605" s="11">
        <v>7</v>
      </c>
      <c r="Y605" s="10" t="s">
        <v>578</v>
      </c>
      <c r="Z605" s="11" t="s">
        <v>89</v>
      </c>
      <c r="AA605" s="11" t="s">
        <v>90</v>
      </c>
      <c r="AB605" s="11" t="s">
        <v>49</v>
      </c>
      <c r="AC605" s="11" t="s">
        <v>50</v>
      </c>
      <c r="AD605" s="11">
        <v>2</v>
      </c>
      <c r="AE605" s="11" t="s">
        <v>2221</v>
      </c>
      <c r="AF605" s="11" t="s">
        <v>2222</v>
      </c>
      <c r="AG605" s="25"/>
      <c r="AH605" s="11"/>
      <c r="AI605" s="11"/>
      <c r="AJ605" s="11"/>
      <c r="AK605" s="11"/>
      <c r="AL605" s="11"/>
      <c r="AM605" s="11" t="str">
        <f t="shared" si="49"/>
        <v>Good</v>
      </c>
      <c r="AN605" s="11" t="str" cm="1">
        <f t="array" ref="AN605">_xlfn.IFS(N605&lt;10000,"Low",N605&lt;30000,"Medium",N605&gt;=30000,"High")</f>
        <v>High</v>
      </c>
      <c r="AO605" s="11" t="str">
        <f t="shared" si="50"/>
        <v>Yes</v>
      </c>
      <c r="AP605" s="11" t="str">
        <f t="shared" si="51"/>
        <v>Yes</v>
      </c>
      <c r="AQ605" s="11">
        <f t="shared" si="52"/>
        <v>0.36394172839506173</v>
      </c>
      <c r="AR605" s="33"/>
      <c r="AS605" s="33"/>
      <c r="AT605" s="33"/>
      <c r="AU605" s="33"/>
      <c r="AV605" s="33"/>
      <c r="AW605" s="33"/>
      <c r="AX605" s="33" t="str">
        <f t="shared" si="53"/>
        <v>Excellent</v>
      </c>
    </row>
    <row r="606" spans="1:50">
      <c r="A606" s="9" t="s">
        <v>736</v>
      </c>
      <c r="B606" s="10" t="s">
        <v>577</v>
      </c>
      <c r="C606" s="11" t="s">
        <v>267</v>
      </c>
      <c r="D606" s="11" t="s">
        <v>737</v>
      </c>
      <c r="E606" s="11" t="s">
        <v>55</v>
      </c>
      <c r="F606" s="11" t="s">
        <v>104</v>
      </c>
      <c r="G606" s="11" t="s">
        <v>104</v>
      </c>
      <c r="H606" s="11" t="s">
        <v>38</v>
      </c>
      <c r="I606" s="11" t="s">
        <v>71</v>
      </c>
      <c r="J606" s="11" t="s">
        <v>240</v>
      </c>
      <c r="K606" s="25">
        <v>8</v>
      </c>
      <c r="L606" s="25">
        <v>3500</v>
      </c>
      <c r="M606" s="29">
        <v>0.15</v>
      </c>
      <c r="N606" s="25">
        <v>23800</v>
      </c>
      <c r="O606" s="25">
        <v>15156.63</v>
      </c>
      <c r="P606" s="25">
        <v>8643.3700000000008</v>
      </c>
      <c r="Q606" s="21">
        <v>36.32</v>
      </c>
      <c r="R606" s="11" t="s">
        <v>106</v>
      </c>
      <c r="S606" s="11" t="s">
        <v>62</v>
      </c>
      <c r="T606" s="11" t="s">
        <v>43</v>
      </c>
      <c r="U606" s="11" t="s">
        <v>64</v>
      </c>
      <c r="V606" s="11">
        <v>2024</v>
      </c>
      <c r="W606" s="11" t="s">
        <v>134</v>
      </c>
      <c r="X606" s="11">
        <v>10</v>
      </c>
      <c r="Y606" s="10" t="s">
        <v>536</v>
      </c>
      <c r="Z606" s="11" t="s">
        <v>89</v>
      </c>
      <c r="AA606" s="11" t="s">
        <v>67</v>
      </c>
      <c r="AB606" s="11" t="s">
        <v>111</v>
      </c>
      <c r="AC606" s="11" t="s">
        <v>50</v>
      </c>
      <c r="AD606" s="11">
        <v>5</v>
      </c>
      <c r="AE606" s="11" t="s">
        <v>2248</v>
      </c>
      <c r="AF606" s="11" t="s">
        <v>2231</v>
      </c>
      <c r="AG606" s="25"/>
      <c r="AH606" s="11"/>
      <c r="AI606" s="11"/>
      <c r="AJ606" s="11"/>
      <c r="AK606" s="11"/>
      <c r="AL606" s="11"/>
      <c r="AM606" s="11" t="str">
        <f t="shared" si="49"/>
        <v>Good</v>
      </c>
      <c r="AN606" s="11" t="str" cm="1">
        <f t="array" ref="AN606">_xlfn.IFS(N606&lt;10000,"Low",N606&lt;30000,"Medium",N606&gt;=30000,"High")</f>
        <v>Medium</v>
      </c>
      <c r="AO606" s="11" t="str">
        <f t="shared" si="50"/>
        <v>No</v>
      </c>
      <c r="AP606" s="11" t="str">
        <f t="shared" si="51"/>
        <v>No</v>
      </c>
      <c r="AQ606" s="11">
        <f t="shared" si="52"/>
        <v>0.36316680672268908</v>
      </c>
      <c r="AR606" s="33"/>
      <c r="AS606" s="33"/>
      <c r="AT606" s="33"/>
      <c r="AU606" s="33"/>
      <c r="AV606" s="33"/>
      <c r="AW606" s="33"/>
      <c r="AX606" s="33" t="str">
        <f t="shared" si="53"/>
        <v>Average</v>
      </c>
    </row>
    <row r="607" spans="1:50">
      <c r="A607" s="9" t="s">
        <v>1036</v>
      </c>
      <c r="B607" s="10" t="s">
        <v>577</v>
      </c>
      <c r="C607" s="11" t="s">
        <v>1037</v>
      </c>
      <c r="D607" s="11" t="s">
        <v>1038</v>
      </c>
      <c r="E607" s="11" t="s">
        <v>55</v>
      </c>
      <c r="F607" s="11" t="s">
        <v>156</v>
      </c>
      <c r="G607" s="11" t="s">
        <v>157</v>
      </c>
      <c r="H607" s="11" t="s">
        <v>38</v>
      </c>
      <c r="I607" s="11" t="s">
        <v>71</v>
      </c>
      <c r="J607" s="11" t="s">
        <v>240</v>
      </c>
      <c r="K607" s="25">
        <v>6</v>
      </c>
      <c r="L607" s="25">
        <v>1200</v>
      </c>
      <c r="M607" s="29">
        <v>0.1</v>
      </c>
      <c r="N607" s="25">
        <v>6480</v>
      </c>
      <c r="O607" s="25">
        <v>4910.63</v>
      </c>
      <c r="P607" s="25">
        <v>1569.37</v>
      </c>
      <c r="Q607" s="21">
        <v>24.22</v>
      </c>
      <c r="R607" s="11" t="s">
        <v>166</v>
      </c>
      <c r="S607" s="11" t="s">
        <v>74</v>
      </c>
      <c r="T607" s="11" t="s">
        <v>86</v>
      </c>
      <c r="U607" s="11" t="s">
        <v>64</v>
      </c>
      <c r="V607" s="11">
        <v>2024</v>
      </c>
      <c r="W607" s="11" t="s">
        <v>134</v>
      </c>
      <c r="X607" s="11">
        <v>10</v>
      </c>
      <c r="Y607" s="10" t="s">
        <v>536</v>
      </c>
      <c r="Z607" s="11" t="s">
        <v>47</v>
      </c>
      <c r="AA607" s="11" t="s">
        <v>90</v>
      </c>
      <c r="AB607" s="11" t="s">
        <v>111</v>
      </c>
      <c r="AC607" s="11" t="s">
        <v>50</v>
      </c>
      <c r="AD607" s="11">
        <v>2</v>
      </c>
      <c r="AE607" s="11" t="s">
        <v>159</v>
      </c>
      <c r="AF607" s="11" t="s">
        <v>2249</v>
      </c>
      <c r="AG607" s="25"/>
      <c r="AH607" s="11"/>
      <c r="AI607" s="11"/>
      <c r="AJ607" s="11"/>
      <c r="AK607" s="11"/>
      <c r="AL607" s="11"/>
      <c r="AM607" s="11" t="str">
        <f t="shared" si="49"/>
        <v>Needs Improvement</v>
      </c>
      <c r="AN607" s="11" t="str" cm="1">
        <f t="array" ref="AN607">_xlfn.IFS(N607&lt;10000,"Low",N607&lt;30000,"Medium",N607&gt;=30000,"High")</f>
        <v>Low</v>
      </c>
      <c r="AO607" s="11" t="str">
        <f t="shared" si="50"/>
        <v>No</v>
      </c>
      <c r="AP607" s="11" t="str">
        <f t="shared" si="51"/>
        <v>Yes</v>
      </c>
      <c r="AQ607" s="11">
        <f t="shared" si="52"/>
        <v>0.24218672839506172</v>
      </c>
      <c r="AR607" s="33"/>
      <c r="AS607" s="33"/>
      <c r="AT607" s="33"/>
      <c r="AU607" s="33"/>
      <c r="AV607" s="33"/>
      <c r="AW607" s="33"/>
      <c r="AX607" s="33" t="str">
        <f t="shared" si="53"/>
        <v>Low</v>
      </c>
    </row>
    <row r="608" spans="1:50">
      <c r="A608" s="9" t="s">
        <v>1872</v>
      </c>
      <c r="B608" s="10" t="s">
        <v>1873</v>
      </c>
      <c r="C608" s="11" t="s">
        <v>1090</v>
      </c>
      <c r="D608" s="11" t="s">
        <v>1449</v>
      </c>
      <c r="E608" s="11" t="s">
        <v>35</v>
      </c>
      <c r="F608" s="11" t="s">
        <v>131</v>
      </c>
      <c r="G608" s="11" t="s">
        <v>132</v>
      </c>
      <c r="H608" s="11" t="s">
        <v>94</v>
      </c>
      <c r="I608" s="11" t="s">
        <v>59</v>
      </c>
      <c r="J608" s="11" t="s">
        <v>60</v>
      </c>
      <c r="K608" s="25">
        <v>4</v>
      </c>
      <c r="L608" s="25">
        <v>2000</v>
      </c>
      <c r="M608" s="29">
        <v>0.15</v>
      </c>
      <c r="N608" s="25">
        <v>6800</v>
      </c>
      <c r="O608" s="25">
        <v>4219.17</v>
      </c>
      <c r="P608" s="25">
        <v>2580.83</v>
      </c>
      <c r="Q608" s="21">
        <v>37.950000000000003</v>
      </c>
      <c r="R608" s="11" t="s">
        <v>106</v>
      </c>
      <c r="S608" s="11" t="s">
        <v>62</v>
      </c>
      <c r="T608" s="11" t="s">
        <v>138</v>
      </c>
      <c r="U608" s="11" t="s">
        <v>64</v>
      </c>
      <c r="V608" s="11">
        <v>2025</v>
      </c>
      <c r="W608" s="11" t="s">
        <v>139</v>
      </c>
      <c r="X608" s="11">
        <v>1</v>
      </c>
      <c r="Y608" s="10" t="s">
        <v>610</v>
      </c>
      <c r="Z608" s="11" t="s">
        <v>47</v>
      </c>
      <c r="AA608" s="11" t="s">
        <v>90</v>
      </c>
      <c r="AB608" s="11" t="s">
        <v>78</v>
      </c>
      <c r="AC608" s="11" t="s">
        <v>50</v>
      </c>
      <c r="AD608" s="11">
        <v>5</v>
      </c>
      <c r="AE608" s="11" t="s">
        <v>2218</v>
      </c>
      <c r="AF608" s="11" t="s">
        <v>2231</v>
      </c>
      <c r="AG608" s="25"/>
      <c r="AH608" s="11"/>
      <c r="AI608" s="11"/>
      <c r="AJ608" s="11"/>
      <c r="AK608" s="11"/>
      <c r="AL608" s="11"/>
      <c r="AM608" s="11" t="str">
        <f t="shared" si="49"/>
        <v>Good</v>
      </c>
      <c r="AN608" s="11" t="str" cm="1">
        <f t="array" ref="AN608">_xlfn.IFS(N608&lt;10000,"Low",N608&lt;30000,"Medium",N608&gt;=30000,"High")</f>
        <v>Low</v>
      </c>
      <c r="AO608" s="11" t="str">
        <f t="shared" si="50"/>
        <v>No</v>
      </c>
      <c r="AP608" s="11" t="str">
        <f t="shared" si="51"/>
        <v>No</v>
      </c>
      <c r="AQ608" s="11">
        <f t="shared" si="52"/>
        <v>0.37953382352941173</v>
      </c>
      <c r="AR608" s="33"/>
      <c r="AS608" s="33"/>
      <c r="AT608" s="33"/>
      <c r="AU608" s="33"/>
      <c r="AV608" s="33"/>
      <c r="AW608" s="33"/>
      <c r="AX608" s="33" t="str">
        <f t="shared" si="53"/>
        <v>Low</v>
      </c>
    </row>
    <row r="609" spans="1:50">
      <c r="A609" s="9" t="s">
        <v>1044</v>
      </c>
      <c r="B609" s="10" t="s">
        <v>1045</v>
      </c>
      <c r="C609" s="11" t="s">
        <v>868</v>
      </c>
      <c r="D609" s="11" t="s">
        <v>439</v>
      </c>
      <c r="E609" s="11" t="s">
        <v>55</v>
      </c>
      <c r="F609" s="11" t="s">
        <v>131</v>
      </c>
      <c r="G609" s="11" t="s">
        <v>132</v>
      </c>
      <c r="H609" s="11" t="s">
        <v>58</v>
      </c>
      <c r="I609" s="11" t="s">
        <v>84</v>
      </c>
      <c r="J609" s="11" t="s">
        <v>229</v>
      </c>
      <c r="K609" s="25">
        <v>8</v>
      </c>
      <c r="L609" s="25">
        <v>500</v>
      </c>
      <c r="M609" s="29">
        <v>0.05</v>
      </c>
      <c r="N609" s="25">
        <v>3800</v>
      </c>
      <c r="O609" s="25">
        <v>2454.62</v>
      </c>
      <c r="P609" s="25">
        <v>1345.38</v>
      </c>
      <c r="Q609" s="21">
        <v>35.4</v>
      </c>
      <c r="R609" s="11" t="s">
        <v>61</v>
      </c>
      <c r="S609" s="11" t="s">
        <v>62</v>
      </c>
      <c r="T609" s="11" t="s">
        <v>43</v>
      </c>
      <c r="U609" s="11" t="s">
        <v>76</v>
      </c>
      <c r="V609" s="11">
        <v>2024</v>
      </c>
      <c r="W609" s="11" t="s">
        <v>194</v>
      </c>
      <c r="X609" s="11">
        <v>6</v>
      </c>
      <c r="Y609" s="10" t="s">
        <v>1046</v>
      </c>
      <c r="Z609" s="11" t="s">
        <v>47</v>
      </c>
      <c r="AA609" s="11" t="s">
        <v>48</v>
      </c>
      <c r="AB609" s="11" t="s">
        <v>78</v>
      </c>
      <c r="AC609" s="11" t="s">
        <v>121</v>
      </c>
      <c r="AD609" s="11">
        <v>2</v>
      </c>
      <c r="AE609" s="11" t="s">
        <v>2213</v>
      </c>
      <c r="AF609" s="11" t="s">
        <v>2210</v>
      </c>
      <c r="AG609" s="25"/>
      <c r="AH609" s="11"/>
      <c r="AI609" s="11"/>
      <c r="AJ609" s="11"/>
      <c r="AK609" s="11"/>
      <c r="AL609" s="11"/>
      <c r="AM609" s="11" t="str">
        <f t="shared" si="49"/>
        <v>Good</v>
      </c>
      <c r="AN609" s="11" t="str" cm="1">
        <f t="array" ref="AN609">_xlfn.IFS(N609&lt;10000,"Low",N609&lt;30000,"Medium",N609&gt;=30000,"High")</f>
        <v>Low</v>
      </c>
      <c r="AO609" s="11" t="str">
        <f t="shared" si="50"/>
        <v>No</v>
      </c>
      <c r="AP609" s="11" t="str">
        <f t="shared" si="51"/>
        <v>No</v>
      </c>
      <c r="AQ609" s="11">
        <f t="shared" si="52"/>
        <v>0.35404736842105267</v>
      </c>
      <c r="AR609" s="33"/>
      <c r="AS609" s="33"/>
      <c r="AT609" s="33"/>
      <c r="AU609" s="33"/>
      <c r="AV609" s="33"/>
      <c r="AW609" s="33"/>
      <c r="AX609" s="33" t="str">
        <f t="shared" si="53"/>
        <v>Low</v>
      </c>
    </row>
    <row r="610" spans="1:50">
      <c r="A610" s="9" t="s">
        <v>1435</v>
      </c>
      <c r="B610" s="10" t="s">
        <v>1075</v>
      </c>
      <c r="C610" s="11" t="s">
        <v>397</v>
      </c>
      <c r="D610" s="11" t="s">
        <v>1342</v>
      </c>
      <c r="E610" s="11" t="s">
        <v>55</v>
      </c>
      <c r="F610" s="11" t="s">
        <v>245</v>
      </c>
      <c r="G610" s="11" t="s">
        <v>246</v>
      </c>
      <c r="H610" s="11" t="s">
        <v>38</v>
      </c>
      <c r="I610" s="11" t="s">
        <v>84</v>
      </c>
      <c r="J610" s="11" t="s">
        <v>290</v>
      </c>
      <c r="K610" s="25">
        <v>5</v>
      </c>
      <c r="L610" s="25">
        <v>200</v>
      </c>
      <c r="M610" s="29">
        <v>0.05</v>
      </c>
      <c r="N610" s="25">
        <v>950</v>
      </c>
      <c r="O610" s="25">
        <v>583.55999999999995</v>
      </c>
      <c r="P610" s="25">
        <v>366.44</v>
      </c>
      <c r="Q610" s="21">
        <v>38.57</v>
      </c>
      <c r="R610" s="11" t="s">
        <v>61</v>
      </c>
      <c r="S610" s="11" t="s">
        <v>62</v>
      </c>
      <c r="T610" s="11" t="s">
        <v>43</v>
      </c>
      <c r="U610" s="11" t="s">
        <v>76</v>
      </c>
      <c r="V610" s="11">
        <v>2025</v>
      </c>
      <c r="W610" s="11" t="s">
        <v>45</v>
      </c>
      <c r="X610" s="11">
        <v>4</v>
      </c>
      <c r="Y610" s="10" t="s">
        <v>928</v>
      </c>
      <c r="Z610" s="11" t="s">
        <v>47</v>
      </c>
      <c r="AA610" s="11" t="s">
        <v>48</v>
      </c>
      <c r="AB610" s="11" t="s">
        <v>78</v>
      </c>
      <c r="AC610" s="11" t="s">
        <v>50</v>
      </c>
      <c r="AD610" s="11">
        <v>1</v>
      </c>
      <c r="AE610" s="11" t="s">
        <v>2239</v>
      </c>
      <c r="AF610" s="11" t="s">
        <v>2214</v>
      </c>
      <c r="AG610" s="25"/>
      <c r="AH610" s="11"/>
      <c r="AI610" s="11"/>
      <c r="AJ610" s="11"/>
      <c r="AK610" s="11"/>
      <c r="AL610" s="11"/>
      <c r="AM610" s="11" t="str">
        <f t="shared" si="49"/>
        <v>Good</v>
      </c>
      <c r="AN610" s="11" t="str" cm="1">
        <f t="array" ref="AN610">_xlfn.IFS(N610&lt;10000,"Low",N610&lt;30000,"Medium",N610&gt;=30000,"High")</f>
        <v>Low</v>
      </c>
      <c r="AO610" s="11" t="str">
        <f t="shared" si="50"/>
        <v>No</v>
      </c>
      <c r="AP610" s="11" t="str">
        <f t="shared" si="51"/>
        <v>No</v>
      </c>
      <c r="AQ610" s="11">
        <f t="shared" si="52"/>
        <v>0.38572631578947369</v>
      </c>
      <c r="AR610" s="33"/>
      <c r="AS610" s="33"/>
      <c r="AT610" s="33"/>
      <c r="AU610" s="33"/>
      <c r="AV610" s="33"/>
      <c r="AW610" s="33"/>
      <c r="AX610" s="33" t="str">
        <f t="shared" si="53"/>
        <v>Low</v>
      </c>
    </row>
    <row r="611" spans="1:50">
      <c r="A611" s="9" t="s">
        <v>1768</v>
      </c>
      <c r="B611" s="10" t="s">
        <v>1075</v>
      </c>
      <c r="C611" s="11" t="s">
        <v>421</v>
      </c>
      <c r="D611" s="11" t="s">
        <v>1400</v>
      </c>
      <c r="E611" s="11" t="s">
        <v>55</v>
      </c>
      <c r="F611" s="11" t="s">
        <v>156</v>
      </c>
      <c r="G611" s="11" t="s">
        <v>157</v>
      </c>
      <c r="H611" s="11" t="s">
        <v>94</v>
      </c>
      <c r="I611" s="11" t="s">
        <v>71</v>
      </c>
      <c r="J611" s="11" t="s">
        <v>117</v>
      </c>
      <c r="K611" s="25">
        <v>5</v>
      </c>
      <c r="L611" s="25">
        <v>3500</v>
      </c>
      <c r="M611" s="29">
        <v>0.2</v>
      </c>
      <c r="N611" s="25">
        <v>14000</v>
      </c>
      <c r="O611" s="25">
        <v>7912.11</v>
      </c>
      <c r="P611" s="25">
        <v>6087.89</v>
      </c>
      <c r="Q611" s="21">
        <v>43.48</v>
      </c>
      <c r="R611" s="11" t="s">
        <v>61</v>
      </c>
      <c r="S611" s="11" t="s">
        <v>74</v>
      </c>
      <c r="T611" s="11" t="s">
        <v>138</v>
      </c>
      <c r="U611" s="11" t="s">
        <v>76</v>
      </c>
      <c r="V611" s="11">
        <v>2025</v>
      </c>
      <c r="W611" s="11" t="s">
        <v>45</v>
      </c>
      <c r="X611" s="11">
        <v>1</v>
      </c>
      <c r="Y611" s="10" t="s">
        <v>429</v>
      </c>
      <c r="Z611" s="11" t="s">
        <v>47</v>
      </c>
      <c r="AA611" s="11" t="s">
        <v>90</v>
      </c>
      <c r="AB611" s="11" t="s">
        <v>111</v>
      </c>
      <c r="AC611" s="11" t="s">
        <v>121</v>
      </c>
      <c r="AD611" s="11">
        <v>3</v>
      </c>
      <c r="AE611" s="11" t="s">
        <v>2225</v>
      </c>
      <c r="AF611" s="11" t="s">
        <v>2210</v>
      </c>
      <c r="AG611" s="25"/>
      <c r="AH611" s="11"/>
      <c r="AI611" s="11"/>
      <c r="AJ611" s="11"/>
      <c r="AK611" s="11"/>
      <c r="AL611" s="11"/>
      <c r="AM611" s="11" t="str">
        <f t="shared" si="49"/>
        <v>Good</v>
      </c>
      <c r="AN611" s="11" t="str" cm="1">
        <f t="array" ref="AN611">_xlfn.IFS(N611&lt;10000,"Low",N611&lt;30000,"Medium",N611&gt;=30000,"High")</f>
        <v>Medium</v>
      </c>
      <c r="AO611" s="11" t="str">
        <f t="shared" si="50"/>
        <v>No</v>
      </c>
      <c r="AP611" s="11" t="str">
        <f t="shared" si="51"/>
        <v>Yes</v>
      </c>
      <c r="AQ611" s="11">
        <f t="shared" si="52"/>
        <v>0.43484928571428572</v>
      </c>
      <c r="AR611" s="33"/>
      <c r="AS611" s="33"/>
      <c r="AT611" s="33"/>
      <c r="AU611" s="33"/>
      <c r="AV611" s="33"/>
      <c r="AW611" s="33"/>
      <c r="AX611" s="33" t="str">
        <f t="shared" si="53"/>
        <v>Average</v>
      </c>
    </row>
    <row r="612" spans="1:50">
      <c r="A612" s="9" t="s">
        <v>1419</v>
      </c>
      <c r="B612" s="10" t="s">
        <v>460</v>
      </c>
      <c r="C612" s="11" t="s">
        <v>257</v>
      </c>
      <c r="D612" s="11" t="s">
        <v>1420</v>
      </c>
      <c r="E612" s="11" t="s">
        <v>35</v>
      </c>
      <c r="F612" s="11" t="s">
        <v>149</v>
      </c>
      <c r="G612" s="11" t="s">
        <v>150</v>
      </c>
      <c r="H612" s="11" t="s">
        <v>171</v>
      </c>
      <c r="I612" s="11" t="s">
        <v>71</v>
      </c>
      <c r="J612" s="11" t="s">
        <v>158</v>
      </c>
      <c r="K612" s="25">
        <v>9</v>
      </c>
      <c r="L612" s="25">
        <v>700</v>
      </c>
      <c r="M612" s="29">
        <v>0.1</v>
      </c>
      <c r="N612" s="25">
        <v>5670</v>
      </c>
      <c r="O612" s="25">
        <v>4291.99</v>
      </c>
      <c r="P612" s="25">
        <v>1378.01</v>
      </c>
      <c r="Q612" s="21">
        <v>24.3</v>
      </c>
      <c r="R612" s="11" t="s">
        <v>73</v>
      </c>
      <c r="S612" s="11" t="s">
        <v>42</v>
      </c>
      <c r="T612" s="11" t="s">
        <v>43</v>
      </c>
      <c r="U612" s="11" t="s">
        <v>178</v>
      </c>
      <c r="V612" s="11">
        <v>2024</v>
      </c>
      <c r="W612" s="11" t="s">
        <v>109</v>
      </c>
      <c r="X612" s="11">
        <v>2</v>
      </c>
      <c r="Y612" s="10" t="s">
        <v>190</v>
      </c>
      <c r="Z612" s="11" t="s">
        <v>89</v>
      </c>
      <c r="AA612" s="11" t="s">
        <v>67</v>
      </c>
      <c r="AB612" s="11" t="s">
        <v>49</v>
      </c>
      <c r="AC612" s="11" t="s">
        <v>121</v>
      </c>
      <c r="AD612" s="11">
        <v>4</v>
      </c>
      <c r="AE612" s="11" t="s">
        <v>2221</v>
      </c>
      <c r="AF612" s="11" t="s">
        <v>2219</v>
      </c>
      <c r="AG612" s="25"/>
      <c r="AH612" s="11"/>
      <c r="AI612" s="11"/>
      <c r="AJ612" s="11"/>
      <c r="AK612" s="11"/>
      <c r="AL612" s="11"/>
      <c r="AM612" s="11" t="str">
        <f t="shared" si="49"/>
        <v>Needs Improvement</v>
      </c>
      <c r="AN612" s="11" t="str" cm="1">
        <f t="array" ref="AN612">_xlfn.IFS(N612&lt;10000,"Low",N612&lt;30000,"Medium",N612&gt;=30000,"High")</f>
        <v>Low</v>
      </c>
      <c r="AO612" s="11" t="str">
        <f t="shared" si="50"/>
        <v>No</v>
      </c>
      <c r="AP612" s="11" t="str">
        <f t="shared" si="51"/>
        <v>Yes</v>
      </c>
      <c r="AQ612" s="11">
        <f t="shared" si="52"/>
        <v>0.2430352733686067</v>
      </c>
      <c r="AR612" s="33"/>
      <c r="AS612" s="33"/>
      <c r="AT612" s="33"/>
      <c r="AU612" s="33"/>
      <c r="AV612" s="33"/>
      <c r="AW612" s="33"/>
      <c r="AX612" s="33" t="str">
        <f t="shared" si="53"/>
        <v>Low</v>
      </c>
    </row>
    <row r="613" spans="1:50">
      <c r="A613" s="9" t="s">
        <v>1816</v>
      </c>
      <c r="B613" s="10" t="s">
        <v>460</v>
      </c>
      <c r="C613" s="11" t="s">
        <v>92</v>
      </c>
      <c r="D613" s="11" t="s">
        <v>1020</v>
      </c>
      <c r="E613" s="11" t="s">
        <v>35</v>
      </c>
      <c r="F613" s="11" t="s">
        <v>82</v>
      </c>
      <c r="G613" s="11" t="s">
        <v>83</v>
      </c>
      <c r="H613" s="11" t="s">
        <v>58</v>
      </c>
      <c r="I613" s="11" t="s">
        <v>84</v>
      </c>
      <c r="J613" s="11" t="s">
        <v>85</v>
      </c>
      <c r="K613" s="25">
        <v>6</v>
      </c>
      <c r="L613" s="25">
        <v>800</v>
      </c>
      <c r="M613" s="29">
        <v>0.1</v>
      </c>
      <c r="N613" s="25">
        <v>4320</v>
      </c>
      <c r="O613" s="25">
        <v>3379.04</v>
      </c>
      <c r="P613" s="25">
        <v>940.96</v>
      </c>
      <c r="Q613" s="21">
        <v>21.78</v>
      </c>
      <c r="R613" s="11" t="s">
        <v>41</v>
      </c>
      <c r="S613" s="11" t="s">
        <v>42</v>
      </c>
      <c r="T613" s="11" t="s">
        <v>138</v>
      </c>
      <c r="U613" s="11" t="s">
        <v>178</v>
      </c>
      <c r="V613" s="11">
        <v>2024</v>
      </c>
      <c r="W613" s="11" t="s">
        <v>109</v>
      </c>
      <c r="X613" s="11">
        <v>3</v>
      </c>
      <c r="Y613" s="10" t="s">
        <v>1817</v>
      </c>
      <c r="Z613" s="11" t="s">
        <v>47</v>
      </c>
      <c r="AA613" s="11" t="s">
        <v>48</v>
      </c>
      <c r="AB613" s="11" t="s">
        <v>78</v>
      </c>
      <c r="AC613" s="11" t="s">
        <v>121</v>
      </c>
      <c r="AD613" s="11">
        <v>5</v>
      </c>
      <c r="AE613" s="11" t="s">
        <v>2240</v>
      </c>
      <c r="AF613" s="11" t="s">
        <v>2249</v>
      </c>
      <c r="AG613" s="25"/>
      <c r="AH613" s="11"/>
      <c r="AI613" s="11"/>
      <c r="AJ613" s="11"/>
      <c r="AK613" s="11"/>
      <c r="AL613" s="11"/>
      <c r="AM613" s="11" t="str">
        <f t="shared" si="49"/>
        <v>Needs Improvement</v>
      </c>
      <c r="AN613" s="11" t="str" cm="1">
        <f t="array" ref="AN613">_xlfn.IFS(N613&lt;10000,"Low",N613&lt;30000,"Medium",N613&gt;=30000,"High")</f>
        <v>Low</v>
      </c>
      <c r="AO613" s="11" t="str">
        <f t="shared" si="50"/>
        <v>No</v>
      </c>
      <c r="AP613" s="11" t="str">
        <f t="shared" si="51"/>
        <v>Yes</v>
      </c>
      <c r="AQ613" s="11">
        <f t="shared" si="52"/>
        <v>0.21781481481481482</v>
      </c>
      <c r="AR613" s="33"/>
      <c r="AS613" s="33"/>
      <c r="AT613" s="33"/>
      <c r="AU613" s="33"/>
      <c r="AV613" s="33"/>
      <c r="AW613" s="33"/>
      <c r="AX613" s="33" t="str">
        <f t="shared" si="53"/>
        <v>Low</v>
      </c>
    </row>
    <row r="614" spans="1:50">
      <c r="A614" s="9" t="s">
        <v>1902</v>
      </c>
      <c r="B614" s="10" t="s">
        <v>460</v>
      </c>
      <c r="C614" s="11" t="s">
        <v>1426</v>
      </c>
      <c r="D614" s="11" t="s">
        <v>620</v>
      </c>
      <c r="E614" s="11" t="s">
        <v>103</v>
      </c>
      <c r="F614" s="11" t="s">
        <v>116</v>
      </c>
      <c r="G614" s="11" t="s">
        <v>37</v>
      </c>
      <c r="H614" s="11" t="s">
        <v>38</v>
      </c>
      <c r="I614" s="11" t="s">
        <v>59</v>
      </c>
      <c r="J614" s="11" t="s">
        <v>60</v>
      </c>
      <c r="K614" s="25">
        <v>7</v>
      </c>
      <c r="L614" s="25">
        <v>500</v>
      </c>
      <c r="M614" s="29">
        <v>0.05</v>
      </c>
      <c r="N614" s="25">
        <v>3325</v>
      </c>
      <c r="O614" s="25">
        <v>2265.2800000000002</v>
      </c>
      <c r="P614" s="25">
        <v>1059.72</v>
      </c>
      <c r="Q614" s="21">
        <v>31.87</v>
      </c>
      <c r="R614" s="11" t="s">
        <v>166</v>
      </c>
      <c r="S614" s="11" t="s">
        <v>74</v>
      </c>
      <c r="T614" s="11" t="s">
        <v>159</v>
      </c>
      <c r="U614" s="11" t="s">
        <v>178</v>
      </c>
      <c r="V614" s="11">
        <v>2024</v>
      </c>
      <c r="W614" s="11" t="s">
        <v>109</v>
      </c>
      <c r="X614" s="11">
        <v>4</v>
      </c>
      <c r="Y614" s="10" t="s">
        <v>1165</v>
      </c>
      <c r="Z614" s="11" t="s">
        <v>110</v>
      </c>
      <c r="AA614" s="11" t="s">
        <v>90</v>
      </c>
      <c r="AB614" s="11" t="s">
        <v>49</v>
      </c>
      <c r="AC614" s="11" t="s">
        <v>50</v>
      </c>
      <c r="AD614" s="11">
        <v>5</v>
      </c>
      <c r="AE614" s="11" t="s">
        <v>118</v>
      </c>
      <c r="AF614" s="11" t="s">
        <v>2238</v>
      </c>
      <c r="AG614" s="25"/>
      <c r="AH614" s="11"/>
      <c r="AI614" s="11"/>
      <c r="AJ614" s="11"/>
      <c r="AK614" s="11"/>
      <c r="AL614" s="11"/>
      <c r="AM614" s="11" t="str">
        <f t="shared" si="49"/>
        <v>Good</v>
      </c>
      <c r="AN614" s="11" t="str" cm="1">
        <f t="array" ref="AN614">_xlfn.IFS(N614&lt;10000,"Low",N614&lt;30000,"Medium",N614&gt;=30000,"High")</f>
        <v>Low</v>
      </c>
      <c r="AO614" s="11" t="str">
        <f t="shared" si="50"/>
        <v>No</v>
      </c>
      <c r="AP614" s="11" t="str">
        <f t="shared" si="51"/>
        <v>Yes</v>
      </c>
      <c r="AQ614" s="11">
        <f t="shared" si="52"/>
        <v>0.31871278195488723</v>
      </c>
      <c r="AR614" s="33"/>
      <c r="AS614" s="33"/>
      <c r="AT614" s="33"/>
      <c r="AU614" s="33"/>
      <c r="AV614" s="33"/>
      <c r="AW614" s="33"/>
      <c r="AX614" s="33" t="str">
        <f t="shared" si="53"/>
        <v>Low</v>
      </c>
    </row>
    <row r="615" spans="1:50">
      <c r="A615" s="9" t="s">
        <v>1962</v>
      </c>
      <c r="B615" s="10" t="s">
        <v>460</v>
      </c>
      <c r="C615" s="11" t="s">
        <v>1963</v>
      </c>
      <c r="D615" s="11" t="s">
        <v>1887</v>
      </c>
      <c r="E615" s="11" t="s">
        <v>55</v>
      </c>
      <c r="F615" s="11" t="s">
        <v>36</v>
      </c>
      <c r="G615" s="11" t="s">
        <v>37</v>
      </c>
      <c r="H615" s="11" t="s">
        <v>38</v>
      </c>
      <c r="I615" s="11" t="s">
        <v>84</v>
      </c>
      <c r="J615" s="11" t="s">
        <v>229</v>
      </c>
      <c r="K615" s="25">
        <v>9</v>
      </c>
      <c r="L615" s="25">
        <v>800</v>
      </c>
      <c r="M615" s="29">
        <v>0</v>
      </c>
      <c r="N615" s="25">
        <v>7200</v>
      </c>
      <c r="O615" s="25">
        <v>5618.29</v>
      </c>
      <c r="P615" s="25">
        <v>1581.71</v>
      </c>
      <c r="Q615" s="21">
        <v>21.97</v>
      </c>
      <c r="R615" s="11" t="s">
        <v>106</v>
      </c>
      <c r="S615" s="11" t="s">
        <v>62</v>
      </c>
      <c r="T615" s="11" t="s">
        <v>97</v>
      </c>
      <c r="U615" s="11" t="s">
        <v>178</v>
      </c>
      <c r="V615" s="11">
        <v>2024</v>
      </c>
      <c r="W615" s="11" t="s">
        <v>109</v>
      </c>
      <c r="X615" s="11">
        <v>3</v>
      </c>
      <c r="Y615" s="10" t="s">
        <v>1817</v>
      </c>
      <c r="Z615" s="11" t="s">
        <v>47</v>
      </c>
      <c r="AA615" s="11" t="s">
        <v>90</v>
      </c>
      <c r="AB615" s="11" t="s">
        <v>111</v>
      </c>
      <c r="AC615" s="11" t="s">
        <v>50</v>
      </c>
      <c r="AD615" s="11">
        <v>5</v>
      </c>
      <c r="AE615" s="11" t="s">
        <v>2213</v>
      </c>
      <c r="AF615" s="11" t="s">
        <v>2224</v>
      </c>
      <c r="AG615" s="25"/>
      <c r="AH615" s="11"/>
      <c r="AI615" s="11"/>
      <c r="AJ615" s="11"/>
      <c r="AK615" s="11"/>
      <c r="AL615" s="11"/>
      <c r="AM615" s="11" t="str">
        <f t="shared" si="49"/>
        <v>Needs Improvement</v>
      </c>
      <c r="AN615" s="11" t="str" cm="1">
        <f t="array" ref="AN615">_xlfn.IFS(N615&lt;10000,"Low",N615&lt;30000,"Medium",N615&gt;=30000,"High")</f>
        <v>Low</v>
      </c>
      <c r="AO615" s="11" t="str">
        <f t="shared" si="50"/>
        <v>No</v>
      </c>
      <c r="AP615" s="11" t="str">
        <f t="shared" si="51"/>
        <v>No</v>
      </c>
      <c r="AQ615" s="11">
        <f t="shared" si="52"/>
        <v>0.21968194444444444</v>
      </c>
      <c r="AR615" s="33"/>
      <c r="AS615" s="33"/>
      <c r="AT615" s="33"/>
      <c r="AU615" s="33"/>
      <c r="AV615" s="33"/>
      <c r="AW615" s="33"/>
      <c r="AX615" s="33" t="str">
        <f t="shared" si="53"/>
        <v>Low</v>
      </c>
    </row>
    <row r="616" spans="1:50">
      <c r="A616" s="9" t="s">
        <v>1603</v>
      </c>
      <c r="B616" s="10" t="s">
        <v>1052</v>
      </c>
      <c r="C616" s="11" t="s">
        <v>698</v>
      </c>
      <c r="D616" s="11" t="s">
        <v>1411</v>
      </c>
      <c r="E616" s="11" t="s">
        <v>35</v>
      </c>
      <c r="F616" s="11" t="s">
        <v>104</v>
      </c>
      <c r="G616" s="11" t="s">
        <v>104</v>
      </c>
      <c r="H616" s="11" t="s">
        <v>94</v>
      </c>
      <c r="I616" s="11" t="s">
        <v>59</v>
      </c>
      <c r="J616" s="11" t="s">
        <v>372</v>
      </c>
      <c r="K616" s="25">
        <v>6</v>
      </c>
      <c r="L616" s="25">
        <v>3000</v>
      </c>
      <c r="M616" s="29">
        <v>0</v>
      </c>
      <c r="N616" s="25">
        <v>18000</v>
      </c>
      <c r="O616" s="25">
        <v>14605.22</v>
      </c>
      <c r="P616" s="25">
        <v>3394.78</v>
      </c>
      <c r="Q616" s="21">
        <v>18.86</v>
      </c>
      <c r="R616" s="11" t="s">
        <v>73</v>
      </c>
      <c r="S616" s="11" t="s">
        <v>62</v>
      </c>
      <c r="T616" s="11" t="s">
        <v>118</v>
      </c>
      <c r="U616" s="11" t="s">
        <v>178</v>
      </c>
      <c r="V616" s="11">
        <v>2025</v>
      </c>
      <c r="W616" s="11" t="s">
        <v>134</v>
      </c>
      <c r="X616" s="11">
        <v>8</v>
      </c>
      <c r="Y616" s="10" t="s">
        <v>276</v>
      </c>
      <c r="Z616" s="11" t="s">
        <v>89</v>
      </c>
      <c r="AA616" s="11" t="s">
        <v>48</v>
      </c>
      <c r="AB616" s="11" t="s">
        <v>78</v>
      </c>
      <c r="AC616" s="11" t="s">
        <v>121</v>
      </c>
      <c r="AD616" s="11">
        <v>3</v>
      </c>
      <c r="AE616" s="11" t="s">
        <v>2218</v>
      </c>
      <c r="AF616" s="11" t="s">
        <v>2224</v>
      </c>
      <c r="AG616" s="25"/>
      <c r="AH616" s="11"/>
      <c r="AI616" s="11"/>
      <c r="AJ616" s="11"/>
      <c r="AK616" s="11"/>
      <c r="AL616" s="11"/>
      <c r="AM616" s="11" t="str">
        <f t="shared" si="49"/>
        <v>Needs Improvement</v>
      </c>
      <c r="AN616" s="11" t="str" cm="1">
        <f t="array" ref="AN616">_xlfn.IFS(N616&lt;10000,"Low",N616&lt;30000,"Medium",N616&gt;=30000,"High")</f>
        <v>Medium</v>
      </c>
      <c r="AO616" s="11" t="str">
        <f t="shared" si="50"/>
        <v>No</v>
      </c>
      <c r="AP616" s="11" t="str">
        <f t="shared" si="51"/>
        <v>No</v>
      </c>
      <c r="AQ616" s="11">
        <f t="shared" si="52"/>
        <v>0.1885988888888889</v>
      </c>
      <c r="AR616" s="33"/>
      <c r="AS616" s="33"/>
      <c r="AT616" s="33"/>
      <c r="AU616" s="33"/>
      <c r="AV616" s="33"/>
      <c r="AW616" s="33"/>
      <c r="AX616" s="33" t="str">
        <f t="shared" si="53"/>
        <v>Low</v>
      </c>
    </row>
    <row r="617" spans="1:50">
      <c r="A617" s="9" t="s">
        <v>1053</v>
      </c>
      <c r="B617" s="10" t="s">
        <v>1054</v>
      </c>
      <c r="C617" s="11" t="s">
        <v>830</v>
      </c>
      <c r="D617" s="11" t="s">
        <v>1055</v>
      </c>
      <c r="E617" s="11" t="s">
        <v>103</v>
      </c>
      <c r="F617" s="11" t="s">
        <v>156</v>
      </c>
      <c r="G617" s="11" t="s">
        <v>157</v>
      </c>
      <c r="H617" s="11" t="s">
        <v>38</v>
      </c>
      <c r="I617" s="11" t="s">
        <v>84</v>
      </c>
      <c r="J617" s="11" t="s">
        <v>290</v>
      </c>
      <c r="K617" s="25">
        <v>5</v>
      </c>
      <c r="L617" s="25">
        <v>200</v>
      </c>
      <c r="M617" s="29">
        <v>0.05</v>
      </c>
      <c r="N617" s="25">
        <v>950</v>
      </c>
      <c r="O617" s="25">
        <v>529.22</v>
      </c>
      <c r="P617" s="25">
        <v>420.78</v>
      </c>
      <c r="Q617" s="21">
        <v>44.29</v>
      </c>
      <c r="R617" s="11" t="s">
        <v>41</v>
      </c>
      <c r="S617" s="11" t="s">
        <v>74</v>
      </c>
      <c r="T617" s="11" t="s">
        <v>86</v>
      </c>
      <c r="U617" s="11" t="s">
        <v>44</v>
      </c>
      <c r="V617" s="11">
        <v>2024</v>
      </c>
      <c r="W617" s="11" t="s">
        <v>194</v>
      </c>
      <c r="X617" s="11">
        <v>3</v>
      </c>
      <c r="Y617" s="10" t="s">
        <v>839</v>
      </c>
      <c r="Z617" s="11" t="s">
        <v>47</v>
      </c>
      <c r="AA617" s="11" t="s">
        <v>48</v>
      </c>
      <c r="AB617" s="11" t="s">
        <v>49</v>
      </c>
      <c r="AC617" s="11" t="s">
        <v>50</v>
      </c>
      <c r="AD617" s="11">
        <v>1</v>
      </c>
      <c r="AE617" s="11" t="s">
        <v>2234</v>
      </c>
      <c r="AF617" s="11" t="s">
        <v>2228</v>
      </c>
      <c r="AG617" s="25"/>
      <c r="AH617" s="11"/>
      <c r="AI617" s="11"/>
      <c r="AJ617" s="11"/>
      <c r="AK617" s="11"/>
      <c r="AL617" s="11"/>
      <c r="AM617" s="11" t="str">
        <f t="shared" si="49"/>
        <v>Good</v>
      </c>
      <c r="AN617" s="11" t="str" cm="1">
        <f t="array" ref="AN617">_xlfn.IFS(N617&lt;10000,"Low",N617&lt;30000,"Medium",N617&gt;=30000,"High")</f>
        <v>Low</v>
      </c>
      <c r="AO617" s="11" t="str">
        <f t="shared" si="50"/>
        <v>No</v>
      </c>
      <c r="AP617" s="11" t="str">
        <f t="shared" si="51"/>
        <v>Yes</v>
      </c>
      <c r="AQ617" s="11">
        <f t="shared" si="52"/>
        <v>0.44292631578947367</v>
      </c>
      <c r="AR617" s="33"/>
      <c r="AS617" s="33"/>
      <c r="AT617" s="33"/>
      <c r="AU617" s="33"/>
      <c r="AV617" s="33"/>
      <c r="AW617" s="33"/>
      <c r="AX617" s="33" t="str">
        <f t="shared" si="53"/>
        <v>Low</v>
      </c>
    </row>
    <row r="618" spans="1:50">
      <c r="A618" s="9" t="s">
        <v>1253</v>
      </c>
      <c r="B618" s="10" t="s">
        <v>1054</v>
      </c>
      <c r="C618" s="11" t="s">
        <v>1254</v>
      </c>
      <c r="D618" s="11" t="s">
        <v>594</v>
      </c>
      <c r="E618" s="11" t="s">
        <v>103</v>
      </c>
      <c r="F618" s="11" t="s">
        <v>144</v>
      </c>
      <c r="G618" s="11" t="s">
        <v>145</v>
      </c>
      <c r="H618" s="11" t="s">
        <v>58</v>
      </c>
      <c r="I618" s="11" t="s">
        <v>71</v>
      </c>
      <c r="J618" s="11" t="s">
        <v>117</v>
      </c>
      <c r="K618" s="25">
        <v>7</v>
      </c>
      <c r="L618" s="25">
        <v>1200</v>
      </c>
      <c r="M618" s="29">
        <v>0.05</v>
      </c>
      <c r="N618" s="25">
        <v>7980</v>
      </c>
      <c r="O618" s="25">
        <v>6478.8</v>
      </c>
      <c r="P618" s="25">
        <v>1501.2</v>
      </c>
      <c r="Q618" s="21">
        <v>18.809999999999999</v>
      </c>
      <c r="R618" s="11" t="s">
        <v>166</v>
      </c>
      <c r="S618" s="11" t="s">
        <v>42</v>
      </c>
      <c r="T618" s="11" t="s">
        <v>97</v>
      </c>
      <c r="U618" s="11" t="s">
        <v>44</v>
      </c>
      <c r="V618" s="11">
        <v>2024</v>
      </c>
      <c r="W618" s="11" t="s">
        <v>194</v>
      </c>
      <c r="X618" s="11">
        <v>3</v>
      </c>
      <c r="Y618" s="10" t="s">
        <v>839</v>
      </c>
      <c r="Z618" s="11" t="s">
        <v>47</v>
      </c>
      <c r="AA618" s="11" t="s">
        <v>48</v>
      </c>
      <c r="AB618" s="11" t="s">
        <v>49</v>
      </c>
      <c r="AC618" s="11" t="s">
        <v>50</v>
      </c>
      <c r="AD618" s="11">
        <v>5</v>
      </c>
      <c r="AE618" s="11" t="s">
        <v>2221</v>
      </c>
      <c r="AF618" s="11" t="s">
        <v>2228</v>
      </c>
      <c r="AG618" s="25"/>
      <c r="AH618" s="11"/>
      <c r="AI618" s="11"/>
      <c r="AJ618" s="11"/>
      <c r="AK618" s="11"/>
      <c r="AL618" s="11"/>
      <c r="AM618" s="11" t="str">
        <f t="shared" si="49"/>
        <v>Needs Improvement</v>
      </c>
      <c r="AN618" s="11" t="str" cm="1">
        <f t="array" ref="AN618">_xlfn.IFS(N618&lt;10000,"Low",N618&lt;30000,"Medium",N618&gt;=30000,"High")</f>
        <v>Low</v>
      </c>
      <c r="AO618" s="11" t="str">
        <f t="shared" si="50"/>
        <v>No</v>
      </c>
      <c r="AP618" s="11" t="str">
        <f t="shared" si="51"/>
        <v>Yes</v>
      </c>
      <c r="AQ618" s="11">
        <f t="shared" si="52"/>
        <v>0.18812030075187972</v>
      </c>
      <c r="AR618" s="33"/>
      <c r="AS618" s="33"/>
      <c r="AT618" s="33"/>
      <c r="AU618" s="33"/>
      <c r="AV618" s="33"/>
      <c r="AW618" s="33"/>
      <c r="AX618" s="33" t="str">
        <f t="shared" si="53"/>
        <v>Low</v>
      </c>
    </row>
    <row r="619" spans="1:50">
      <c r="A619" s="9" t="s">
        <v>1885</v>
      </c>
      <c r="B619" s="10" t="s">
        <v>1744</v>
      </c>
      <c r="C619" s="11" t="s">
        <v>277</v>
      </c>
      <c r="D619" s="11" t="s">
        <v>1035</v>
      </c>
      <c r="E619" s="11" t="s">
        <v>35</v>
      </c>
      <c r="F619" s="11" t="s">
        <v>144</v>
      </c>
      <c r="G619" s="11" t="s">
        <v>145</v>
      </c>
      <c r="H619" s="11" t="s">
        <v>171</v>
      </c>
      <c r="I619" s="11" t="s">
        <v>84</v>
      </c>
      <c r="J619" s="11" t="s">
        <v>85</v>
      </c>
      <c r="K619" s="25">
        <v>10</v>
      </c>
      <c r="L619" s="25">
        <v>350</v>
      </c>
      <c r="M619" s="29">
        <v>0.1</v>
      </c>
      <c r="N619" s="25">
        <v>3150</v>
      </c>
      <c r="O619" s="25">
        <v>2214.6</v>
      </c>
      <c r="P619" s="25">
        <v>935.4</v>
      </c>
      <c r="Q619" s="21">
        <v>29.7</v>
      </c>
      <c r="R619" s="11" t="s">
        <v>106</v>
      </c>
      <c r="S619" s="11" t="s">
        <v>74</v>
      </c>
      <c r="T619" s="11" t="s">
        <v>118</v>
      </c>
      <c r="U619" s="11" t="s">
        <v>44</v>
      </c>
      <c r="V619" s="11">
        <v>2025</v>
      </c>
      <c r="W619" s="11" t="s">
        <v>65</v>
      </c>
      <c r="X619" s="11">
        <v>1</v>
      </c>
      <c r="Y619" s="10" t="s">
        <v>555</v>
      </c>
      <c r="Z619" s="11" t="s">
        <v>47</v>
      </c>
      <c r="AA619" s="11" t="s">
        <v>67</v>
      </c>
      <c r="AB619" s="11" t="s">
        <v>49</v>
      </c>
      <c r="AC619" s="11" t="s">
        <v>50</v>
      </c>
      <c r="AD619" s="11">
        <v>4</v>
      </c>
      <c r="AE619" s="11" t="s">
        <v>86</v>
      </c>
      <c r="AF619" s="11" t="s">
        <v>2210</v>
      </c>
      <c r="AG619" s="25"/>
      <c r="AH619" s="11"/>
      <c r="AI619" s="11"/>
      <c r="AJ619" s="11"/>
      <c r="AK619" s="11"/>
      <c r="AL619" s="11"/>
      <c r="AM619" s="11" t="str">
        <f t="shared" si="49"/>
        <v>Needs Improvement</v>
      </c>
      <c r="AN619" s="11" t="str" cm="1">
        <f t="array" ref="AN619">_xlfn.IFS(N619&lt;10000,"Low",N619&lt;30000,"Medium",N619&gt;=30000,"High")</f>
        <v>Low</v>
      </c>
      <c r="AO619" s="11" t="str">
        <f t="shared" si="50"/>
        <v>No</v>
      </c>
      <c r="AP619" s="11" t="str">
        <f t="shared" si="51"/>
        <v>Yes</v>
      </c>
      <c r="AQ619" s="11">
        <f t="shared" si="52"/>
        <v>0.29695238095238097</v>
      </c>
      <c r="AR619" s="33"/>
      <c r="AS619" s="33"/>
      <c r="AT619" s="33"/>
      <c r="AU619" s="33"/>
      <c r="AV619" s="33"/>
      <c r="AW619" s="33"/>
      <c r="AX619" s="33" t="str">
        <f t="shared" si="53"/>
        <v>Low</v>
      </c>
    </row>
    <row r="620" spans="1:50">
      <c r="A620" s="9" t="s">
        <v>1901</v>
      </c>
      <c r="B620" s="10" t="s">
        <v>1744</v>
      </c>
      <c r="C620" s="11" t="s">
        <v>1082</v>
      </c>
      <c r="D620" s="11" t="s">
        <v>1175</v>
      </c>
      <c r="E620" s="11" t="s">
        <v>103</v>
      </c>
      <c r="F620" s="11" t="s">
        <v>104</v>
      </c>
      <c r="G620" s="11" t="s">
        <v>104</v>
      </c>
      <c r="H620" s="11" t="s">
        <v>58</v>
      </c>
      <c r="I620" s="11" t="s">
        <v>59</v>
      </c>
      <c r="J620" s="11" t="s">
        <v>133</v>
      </c>
      <c r="K620" s="25">
        <v>2</v>
      </c>
      <c r="L620" s="25">
        <v>3000</v>
      </c>
      <c r="M620" s="29">
        <v>0.05</v>
      </c>
      <c r="N620" s="25">
        <v>5700</v>
      </c>
      <c r="O620" s="25">
        <v>3732.41</v>
      </c>
      <c r="P620" s="25">
        <v>1967.59</v>
      </c>
      <c r="Q620" s="21">
        <v>34.520000000000003</v>
      </c>
      <c r="R620" s="11" t="s">
        <v>41</v>
      </c>
      <c r="S620" s="11" t="s">
        <v>62</v>
      </c>
      <c r="T620" s="11" t="s">
        <v>118</v>
      </c>
      <c r="U620" s="11" t="s">
        <v>44</v>
      </c>
      <c r="V620" s="11">
        <v>2025</v>
      </c>
      <c r="W620" s="11" t="s">
        <v>65</v>
      </c>
      <c r="X620" s="11">
        <v>5</v>
      </c>
      <c r="Y620" s="10" t="s">
        <v>1106</v>
      </c>
      <c r="Z620" s="11" t="s">
        <v>89</v>
      </c>
      <c r="AA620" s="11" t="s">
        <v>67</v>
      </c>
      <c r="AB620" s="11" t="s">
        <v>78</v>
      </c>
      <c r="AC620" s="11" t="s">
        <v>121</v>
      </c>
      <c r="AD620" s="11">
        <v>1</v>
      </c>
      <c r="AE620" s="11" t="s">
        <v>2226</v>
      </c>
      <c r="AF620" s="11" t="s">
        <v>2228</v>
      </c>
      <c r="AG620" s="25"/>
      <c r="AH620" s="11"/>
      <c r="AI620" s="11"/>
      <c r="AJ620" s="11"/>
      <c r="AK620" s="11"/>
      <c r="AL620" s="11"/>
      <c r="AM620" s="11" t="str">
        <f t="shared" si="49"/>
        <v>Good</v>
      </c>
      <c r="AN620" s="11" t="str" cm="1">
        <f t="array" ref="AN620">_xlfn.IFS(N620&lt;10000,"Low",N620&lt;30000,"Medium",N620&gt;=30000,"High")</f>
        <v>Low</v>
      </c>
      <c r="AO620" s="11" t="str">
        <f t="shared" si="50"/>
        <v>No</v>
      </c>
      <c r="AP620" s="11" t="str">
        <f t="shared" si="51"/>
        <v>No</v>
      </c>
      <c r="AQ620" s="11">
        <f t="shared" si="52"/>
        <v>0.34519122807017544</v>
      </c>
      <c r="AR620" s="33"/>
      <c r="AS620" s="33"/>
      <c r="AT620" s="33"/>
      <c r="AU620" s="33"/>
      <c r="AV620" s="33"/>
      <c r="AW620" s="33"/>
      <c r="AX620" s="33" t="str">
        <f t="shared" si="53"/>
        <v>Low</v>
      </c>
    </row>
    <row r="621" spans="1:50">
      <c r="A621" s="9" t="s">
        <v>1967</v>
      </c>
      <c r="B621" s="10" t="s">
        <v>504</v>
      </c>
      <c r="C621" s="11" t="s">
        <v>284</v>
      </c>
      <c r="D621" s="11" t="s">
        <v>137</v>
      </c>
      <c r="E621" s="11" t="s">
        <v>103</v>
      </c>
      <c r="F621" s="11" t="s">
        <v>36</v>
      </c>
      <c r="G621" s="11" t="s">
        <v>37</v>
      </c>
      <c r="H621" s="11" t="s">
        <v>58</v>
      </c>
      <c r="I621" s="11" t="s">
        <v>59</v>
      </c>
      <c r="J621" s="11" t="s">
        <v>372</v>
      </c>
      <c r="K621" s="25">
        <v>9</v>
      </c>
      <c r="L621" s="25">
        <v>500</v>
      </c>
      <c r="M621" s="29">
        <v>0.2</v>
      </c>
      <c r="N621" s="25">
        <v>3600</v>
      </c>
      <c r="O621" s="25">
        <v>2518.08</v>
      </c>
      <c r="P621" s="25">
        <v>1081.92</v>
      </c>
      <c r="Q621" s="21">
        <v>30.05</v>
      </c>
      <c r="R621" s="11" t="s">
        <v>61</v>
      </c>
      <c r="S621" s="11" t="s">
        <v>74</v>
      </c>
      <c r="T621" s="11" t="s">
        <v>159</v>
      </c>
      <c r="U621" s="11" t="s">
        <v>119</v>
      </c>
      <c r="V621" s="11">
        <v>2024</v>
      </c>
      <c r="W621" s="11" t="s">
        <v>45</v>
      </c>
      <c r="X621" s="11">
        <v>8</v>
      </c>
      <c r="Y621" s="10" t="s">
        <v>1798</v>
      </c>
      <c r="Z621" s="11" t="s">
        <v>110</v>
      </c>
      <c r="AA621" s="11" t="s">
        <v>48</v>
      </c>
      <c r="AB621" s="11" t="s">
        <v>78</v>
      </c>
      <c r="AC621" s="11" t="s">
        <v>50</v>
      </c>
      <c r="AD621" s="11">
        <v>1</v>
      </c>
      <c r="AE621" s="11" t="s">
        <v>2216</v>
      </c>
      <c r="AF621" s="11" t="s">
        <v>2224</v>
      </c>
      <c r="AG621" s="25"/>
      <c r="AH621" s="11"/>
      <c r="AI621" s="11"/>
      <c r="AJ621" s="11"/>
      <c r="AK621" s="11"/>
      <c r="AL621" s="11"/>
      <c r="AM621" s="11" t="str">
        <f t="shared" si="49"/>
        <v>Good</v>
      </c>
      <c r="AN621" s="11" t="str" cm="1">
        <f t="array" ref="AN621">_xlfn.IFS(N621&lt;10000,"Low",N621&lt;30000,"Medium",N621&gt;=30000,"High")</f>
        <v>Low</v>
      </c>
      <c r="AO621" s="11" t="str">
        <f t="shared" si="50"/>
        <v>No</v>
      </c>
      <c r="AP621" s="11" t="str">
        <f t="shared" si="51"/>
        <v>Yes</v>
      </c>
      <c r="AQ621" s="11">
        <f t="shared" si="52"/>
        <v>0.30053333333333337</v>
      </c>
      <c r="AR621" s="33"/>
      <c r="AS621" s="33"/>
      <c r="AT621" s="33"/>
      <c r="AU621" s="33"/>
      <c r="AV621" s="33"/>
      <c r="AW621" s="33"/>
      <c r="AX621" s="33" t="str">
        <f t="shared" si="53"/>
        <v>Low</v>
      </c>
    </row>
    <row r="622" spans="1:50">
      <c r="A622" s="9" t="s">
        <v>636</v>
      </c>
      <c r="B622" s="10" t="s">
        <v>637</v>
      </c>
      <c r="C622" s="11" t="s">
        <v>262</v>
      </c>
      <c r="D622" s="11" t="s">
        <v>620</v>
      </c>
      <c r="E622" s="11" t="s">
        <v>55</v>
      </c>
      <c r="F622" s="11" t="s">
        <v>144</v>
      </c>
      <c r="G622" s="11" t="s">
        <v>145</v>
      </c>
      <c r="H622" s="11" t="s">
        <v>94</v>
      </c>
      <c r="I622" s="11" t="s">
        <v>39</v>
      </c>
      <c r="J622" s="11" t="s">
        <v>356</v>
      </c>
      <c r="K622" s="25">
        <v>4</v>
      </c>
      <c r="L622" s="25">
        <v>50000</v>
      </c>
      <c r="M622" s="29">
        <v>0.1</v>
      </c>
      <c r="N622" s="25">
        <v>180000</v>
      </c>
      <c r="O622" s="25">
        <v>126372.51</v>
      </c>
      <c r="P622" s="25">
        <v>53627.49</v>
      </c>
      <c r="Q622" s="21">
        <v>29.79</v>
      </c>
      <c r="R622" s="11" t="s">
        <v>106</v>
      </c>
      <c r="S622" s="11" t="s">
        <v>74</v>
      </c>
      <c r="T622" s="11" t="s">
        <v>173</v>
      </c>
      <c r="U622" s="11" t="s">
        <v>160</v>
      </c>
      <c r="V622" s="11">
        <v>2024</v>
      </c>
      <c r="W622" s="11" t="s">
        <v>134</v>
      </c>
      <c r="X622" s="11">
        <v>10</v>
      </c>
      <c r="Y622" s="10" t="s">
        <v>638</v>
      </c>
      <c r="Z622" s="11" t="s">
        <v>47</v>
      </c>
      <c r="AA622" s="11" t="s">
        <v>67</v>
      </c>
      <c r="AB622" s="11" t="s">
        <v>49</v>
      </c>
      <c r="AC622" s="11" t="s">
        <v>121</v>
      </c>
      <c r="AD622" s="11">
        <v>4</v>
      </c>
      <c r="AE622" s="11" t="s">
        <v>118</v>
      </c>
      <c r="AF622" s="11" t="s">
        <v>2238</v>
      </c>
      <c r="AG622" s="25"/>
      <c r="AH622" s="11"/>
      <c r="AI622" s="11"/>
      <c r="AJ622" s="11"/>
      <c r="AK622" s="11"/>
      <c r="AL622" s="11"/>
      <c r="AM622" s="11" t="str">
        <f t="shared" si="49"/>
        <v>Needs Improvement</v>
      </c>
      <c r="AN622" s="11" t="str" cm="1">
        <f t="array" ref="AN622">_xlfn.IFS(N622&lt;10000,"Low",N622&lt;30000,"Medium",N622&gt;=30000,"High")</f>
        <v>High</v>
      </c>
      <c r="AO622" s="11" t="str">
        <f t="shared" si="50"/>
        <v>Yes</v>
      </c>
      <c r="AP622" s="11" t="str">
        <f t="shared" si="51"/>
        <v>Yes</v>
      </c>
      <c r="AQ622" s="11">
        <f t="shared" si="52"/>
        <v>0.29793049999999999</v>
      </c>
      <c r="AR622" s="33"/>
      <c r="AS622" s="33"/>
      <c r="AT622" s="33"/>
      <c r="AU622" s="33"/>
      <c r="AV622" s="33"/>
      <c r="AW622" s="33"/>
      <c r="AX622" s="33" t="str">
        <f t="shared" si="53"/>
        <v>Excellent</v>
      </c>
    </row>
    <row r="623" spans="1:50">
      <c r="A623" s="9" t="s">
        <v>1213</v>
      </c>
      <c r="B623" s="10" t="s">
        <v>1214</v>
      </c>
      <c r="C623" s="11" t="s">
        <v>1215</v>
      </c>
      <c r="D623" s="11" t="s">
        <v>998</v>
      </c>
      <c r="E623" s="11" t="s">
        <v>35</v>
      </c>
      <c r="F623" s="11" t="s">
        <v>82</v>
      </c>
      <c r="G623" s="11" t="s">
        <v>83</v>
      </c>
      <c r="H623" s="11" t="s">
        <v>38</v>
      </c>
      <c r="I623" s="11" t="s">
        <v>84</v>
      </c>
      <c r="J623" s="11" t="s">
        <v>229</v>
      </c>
      <c r="K623" s="25">
        <v>3</v>
      </c>
      <c r="L623" s="25">
        <v>500</v>
      </c>
      <c r="M623" s="29">
        <v>0.2</v>
      </c>
      <c r="N623" s="25">
        <v>1200</v>
      </c>
      <c r="O623" s="25">
        <v>890.01</v>
      </c>
      <c r="P623" s="25">
        <v>309.99</v>
      </c>
      <c r="Q623" s="21">
        <v>25.83</v>
      </c>
      <c r="R623" s="11" t="s">
        <v>73</v>
      </c>
      <c r="S623" s="11" t="s">
        <v>62</v>
      </c>
      <c r="T623" s="11" t="s">
        <v>118</v>
      </c>
      <c r="U623" s="11" t="s">
        <v>160</v>
      </c>
      <c r="V623" s="11">
        <v>2025</v>
      </c>
      <c r="W623" s="11" t="s">
        <v>139</v>
      </c>
      <c r="X623" s="11">
        <v>6</v>
      </c>
      <c r="Y623" s="10" t="s">
        <v>1216</v>
      </c>
      <c r="Z623" s="11" t="s">
        <v>47</v>
      </c>
      <c r="AA623" s="11" t="s">
        <v>90</v>
      </c>
      <c r="AB623" s="11" t="s">
        <v>49</v>
      </c>
      <c r="AC623" s="11" t="s">
        <v>121</v>
      </c>
      <c r="AD623" s="11">
        <v>4</v>
      </c>
      <c r="AE623" s="11" t="s">
        <v>2209</v>
      </c>
      <c r="AF623" s="11" t="s">
        <v>2212</v>
      </c>
      <c r="AG623" s="25"/>
      <c r="AH623" s="11"/>
      <c r="AI623" s="11"/>
      <c r="AJ623" s="11"/>
      <c r="AK623" s="11"/>
      <c r="AL623" s="11"/>
      <c r="AM623" s="11" t="str">
        <f t="shared" si="49"/>
        <v>Needs Improvement</v>
      </c>
      <c r="AN623" s="11" t="str" cm="1">
        <f t="array" ref="AN623">_xlfn.IFS(N623&lt;10000,"Low",N623&lt;30000,"Medium",N623&gt;=30000,"High")</f>
        <v>Low</v>
      </c>
      <c r="AO623" s="11" t="str">
        <f t="shared" si="50"/>
        <v>No</v>
      </c>
      <c r="AP623" s="11" t="str">
        <f t="shared" si="51"/>
        <v>No</v>
      </c>
      <c r="AQ623" s="11">
        <f t="shared" si="52"/>
        <v>0.25832500000000003</v>
      </c>
      <c r="AR623" s="33"/>
      <c r="AS623" s="33"/>
      <c r="AT623" s="33"/>
      <c r="AU623" s="33"/>
      <c r="AV623" s="33"/>
      <c r="AW623" s="33"/>
      <c r="AX623" s="33" t="str">
        <f t="shared" si="53"/>
        <v>Low</v>
      </c>
    </row>
    <row r="624" spans="1:50">
      <c r="A624" s="9" t="s">
        <v>1786</v>
      </c>
      <c r="B624" s="10" t="s">
        <v>741</v>
      </c>
      <c r="C624" s="11" t="s">
        <v>1090</v>
      </c>
      <c r="D624" s="11" t="s">
        <v>289</v>
      </c>
      <c r="E624" s="11" t="s">
        <v>35</v>
      </c>
      <c r="F624" s="11" t="s">
        <v>82</v>
      </c>
      <c r="G624" s="11" t="s">
        <v>83</v>
      </c>
      <c r="H624" s="11" t="s">
        <v>58</v>
      </c>
      <c r="I624" s="11" t="s">
        <v>59</v>
      </c>
      <c r="J624" s="11" t="s">
        <v>328</v>
      </c>
      <c r="K624" s="25">
        <v>8</v>
      </c>
      <c r="L624" s="25">
        <v>2000</v>
      </c>
      <c r="M624" s="29">
        <v>0.2</v>
      </c>
      <c r="N624" s="25">
        <v>12800</v>
      </c>
      <c r="O624" s="25">
        <v>8818.92</v>
      </c>
      <c r="P624" s="25">
        <v>3981.08</v>
      </c>
      <c r="Q624" s="21">
        <v>31.1</v>
      </c>
      <c r="R624" s="11" t="s">
        <v>166</v>
      </c>
      <c r="S624" s="11" t="s">
        <v>62</v>
      </c>
      <c r="T624" s="11" t="s">
        <v>63</v>
      </c>
      <c r="U624" s="11" t="s">
        <v>151</v>
      </c>
      <c r="V624" s="11">
        <v>2024</v>
      </c>
      <c r="W624" s="11" t="s">
        <v>194</v>
      </c>
      <c r="X624" s="11">
        <v>3</v>
      </c>
      <c r="Y624" s="10" t="s">
        <v>996</v>
      </c>
      <c r="Z624" s="11" t="s">
        <v>47</v>
      </c>
      <c r="AA624" s="11" t="s">
        <v>90</v>
      </c>
      <c r="AB624" s="11" t="s">
        <v>49</v>
      </c>
      <c r="AC624" s="11" t="s">
        <v>121</v>
      </c>
      <c r="AD624" s="11">
        <v>3</v>
      </c>
      <c r="AE624" s="11" t="s">
        <v>2213</v>
      </c>
      <c r="AF624" s="11" t="s">
        <v>2235</v>
      </c>
      <c r="AG624" s="25"/>
      <c r="AH624" s="11"/>
      <c r="AI624" s="11"/>
      <c r="AJ624" s="11"/>
      <c r="AK624" s="11"/>
      <c r="AL624" s="11"/>
      <c r="AM624" s="11" t="str">
        <f t="shared" si="49"/>
        <v>Good</v>
      </c>
      <c r="AN624" s="11" t="str" cm="1">
        <f t="array" ref="AN624">_xlfn.IFS(N624&lt;10000,"Low",N624&lt;30000,"Medium",N624&gt;=30000,"High")</f>
        <v>Medium</v>
      </c>
      <c r="AO624" s="11" t="str">
        <f t="shared" si="50"/>
        <v>No</v>
      </c>
      <c r="AP624" s="11" t="str">
        <f t="shared" si="51"/>
        <v>No</v>
      </c>
      <c r="AQ624" s="11">
        <f t="shared" si="52"/>
        <v>0.311021875</v>
      </c>
      <c r="AR624" s="33"/>
      <c r="AS624" s="33"/>
      <c r="AT624" s="33"/>
      <c r="AU624" s="33"/>
      <c r="AV624" s="33"/>
      <c r="AW624" s="33"/>
      <c r="AX624" s="33" t="str">
        <f t="shared" si="53"/>
        <v>Low</v>
      </c>
    </row>
    <row r="625" spans="1:50">
      <c r="A625" s="9" t="s">
        <v>1122</v>
      </c>
      <c r="B625" s="10" t="s">
        <v>1123</v>
      </c>
      <c r="C625" s="11" t="s">
        <v>1124</v>
      </c>
      <c r="D625" s="11" t="s">
        <v>313</v>
      </c>
      <c r="E625" s="11" t="s">
        <v>103</v>
      </c>
      <c r="F625" s="11" t="s">
        <v>131</v>
      </c>
      <c r="G625" s="11" t="s">
        <v>132</v>
      </c>
      <c r="H625" s="11" t="s">
        <v>38</v>
      </c>
      <c r="I625" s="11" t="s">
        <v>71</v>
      </c>
      <c r="J625" s="11" t="s">
        <v>172</v>
      </c>
      <c r="K625" s="25">
        <v>8</v>
      </c>
      <c r="L625" s="25">
        <v>2500</v>
      </c>
      <c r="M625" s="29">
        <v>0.1</v>
      </c>
      <c r="N625" s="25">
        <v>18000</v>
      </c>
      <c r="O625" s="25">
        <v>12838.23</v>
      </c>
      <c r="P625" s="25">
        <v>5161.7700000000004</v>
      </c>
      <c r="Q625" s="21">
        <v>28.68</v>
      </c>
      <c r="R625" s="11" t="s">
        <v>41</v>
      </c>
      <c r="S625" s="11" t="s">
        <v>62</v>
      </c>
      <c r="T625" s="11" t="s">
        <v>75</v>
      </c>
      <c r="U625" s="11" t="s">
        <v>218</v>
      </c>
      <c r="V625" s="11">
        <v>2024</v>
      </c>
      <c r="W625" s="11" t="s">
        <v>126</v>
      </c>
      <c r="X625" s="11">
        <v>3</v>
      </c>
      <c r="Y625" s="10" t="s">
        <v>1125</v>
      </c>
      <c r="Z625" s="11" t="s">
        <v>110</v>
      </c>
      <c r="AA625" s="11" t="s">
        <v>48</v>
      </c>
      <c r="AB625" s="11" t="s">
        <v>111</v>
      </c>
      <c r="AC625" s="11" t="s">
        <v>50</v>
      </c>
      <c r="AD625" s="11">
        <v>1</v>
      </c>
      <c r="AE625" s="11" t="s">
        <v>2220</v>
      </c>
      <c r="AF625" s="11" t="s">
        <v>2217</v>
      </c>
      <c r="AG625" s="25"/>
      <c r="AH625" s="11"/>
      <c r="AI625" s="11"/>
      <c r="AJ625" s="11"/>
      <c r="AK625" s="11"/>
      <c r="AL625" s="11"/>
      <c r="AM625" s="11" t="str">
        <f t="shared" si="49"/>
        <v>Needs Improvement</v>
      </c>
      <c r="AN625" s="11" t="str" cm="1">
        <f t="array" ref="AN625">_xlfn.IFS(N625&lt;10000,"Low",N625&lt;30000,"Medium",N625&gt;=30000,"High")</f>
        <v>Medium</v>
      </c>
      <c r="AO625" s="11" t="str">
        <f t="shared" si="50"/>
        <v>No</v>
      </c>
      <c r="AP625" s="11" t="str">
        <f t="shared" si="51"/>
        <v>No</v>
      </c>
      <c r="AQ625" s="11">
        <f t="shared" si="52"/>
        <v>0.28676500000000005</v>
      </c>
      <c r="AR625" s="33"/>
      <c r="AS625" s="33"/>
      <c r="AT625" s="33"/>
      <c r="AU625" s="33"/>
      <c r="AV625" s="33"/>
      <c r="AW625" s="33"/>
      <c r="AX625" s="33" t="str">
        <f t="shared" si="53"/>
        <v>Average</v>
      </c>
    </row>
    <row r="626" spans="1:50">
      <c r="A626" s="9" t="s">
        <v>1151</v>
      </c>
      <c r="B626" s="10" t="s">
        <v>1123</v>
      </c>
      <c r="C626" s="11" t="s">
        <v>794</v>
      </c>
      <c r="D626" s="11" t="s">
        <v>1152</v>
      </c>
      <c r="E626" s="11" t="s">
        <v>103</v>
      </c>
      <c r="F626" s="11" t="s">
        <v>56</v>
      </c>
      <c r="G626" s="11" t="s">
        <v>57</v>
      </c>
      <c r="H626" s="11" t="s">
        <v>171</v>
      </c>
      <c r="I626" s="11" t="s">
        <v>71</v>
      </c>
      <c r="J626" s="11" t="s">
        <v>158</v>
      </c>
      <c r="K626" s="25">
        <v>7</v>
      </c>
      <c r="L626" s="25">
        <v>700</v>
      </c>
      <c r="M626" s="29">
        <v>0.2</v>
      </c>
      <c r="N626" s="25">
        <v>3920</v>
      </c>
      <c r="O626" s="25">
        <v>3165.88</v>
      </c>
      <c r="P626" s="25">
        <v>754.12</v>
      </c>
      <c r="Q626" s="21">
        <v>19.239999999999998</v>
      </c>
      <c r="R626" s="11" t="s">
        <v>61</v>
      </c>
      <c r="S626" s="11" t="s">
        <v>42</v>
      </c>
      <c r="T626" s="11" t="s">
        <v>159</v>
      </c>
      <c r="U626" s="11" t="s">
        <v>218</v>
      </c>
      <c r="V626" s="11">
        <v>2024</v>
      </c>
      <c r="W626" s="11" t="s">
        <v>126</v>
      </c>
      <c r="X626" s="11">
        <v>1</v>
      </c>
      <c r="Y626" s="10" t="s">
        <v>1030</v>
      </c>
      <c r="Z626" s="11" t="s">
        <v>110</v>
      </c>
      <c r="AA626" s="11" t="s">
        <v>67</v>
      </c>
      <c r="AB626" s="11" t="s">
        <v>49</v>
      </c>
      <c r="AC626" s="11" t="s">
        <v>121</v>
      </c>
      <c r="AD626" s="11">
        <v>3</v>
      </c>
      <c r="AE626" s="11" t="s">
        <v>2209</v>
      </c>
      <c r="AF626" s="11" t="s">
        <v>2249</v>
      </c>
      <c r="AG626" s="25"/>
      <c r="AH626" s="11"/>
      <c r="AI626" s="11"/>
      <c r="AJ626" s="11"/>
      <c r="AK626" s="11"/>
      <c r="AL626" s="11"/>
      <c r="AM626" s="11" t="str">
        <f t="shared" si="49"/>
        <v>Needs Improvement</v>
      </c>
      <c r="AN626" s="11" t="str" cm="1">
        <f t="array" ref="AN626">_xlfn.IFS(N626&lt;10000,"Low",N626&lt;30000,"Medium",N626&gt;=30000,"High")</f>
        <v>Low</v>
      </c>
      <c r="AO626" s="11" t="str">
        <f t="shared" si="50"/>
        <v>No</v>
      </c>
      <c r="AP626" s="11" t="str">
        <f t="shared" si="51"/>
        <v>Yes</v>
      </c>
      <c r="AQ626" s="11">
        <f t="shared" si="52"/>
        <v>0.19237755102040816</v>
      </c>
      <c r="AR626" s="33"/>
      <c r="AS626" s="33"/>
      <c r="AT626" s="33"/>
      <c r="AU626" s="33"/>
      <c r="AV626" s="33"/>
      <c r="AW626" s="33"/>
      <c r="AX626" s="33" t="str">
        <f t="shared" si="53"/>
        <v>Low</v>
      </c>
    </row>
    <row r="627" spans="1:50">
      <c r="A627" s="9" t="s">
        <v>1226</v>
      </c>
      <c r="B627" s="10" t="s">
        <v>1123</v>
      </c>
      <c r="C627" s="11" t="s">
        <v>645</v>
      </c>
      <c r="D627" s="11" t="s">
        <v>535</v>
      </c>
      <c r="E627" s="11" t="s">
        <v>35</v>
      </c>
      <c r="F627" s="11" t="s">
        <v>156</v>
      </c>
      <c r="G627" s="11" t="s">
        <v>157</v>
      </c>
      <c r="H627" s="11" t="s">
        <v>94</v>
      </c>
      <c r="I627" s="11" t="s">
        <v>84</v>
      </c>
      <c r="J627" s="11" t="s">
        <v>290</v>
      </c>
      <c r="K627" s="25">
        <v>10</v>
      </c>
      <c r="L627" s="25">
        <v>350</v>
      </c>
      <c r="M627" s="29">
        <v>0.15</v>
      </c>
      <c r="N627" s="25">
        <v>2975</v>
      </c>
      <c r="O627" s="25">
        <v>1869.67</v>
      </c>
      <c r="P627" s="25">
        <v>1105.33</v>
      </c>
      <c r="Q627" s="21">
        <v>37.15</v>
      </c>
      <c r="R627" s="11" t="s">
        <v>61</v>
      </c>
      <c r="S627" s="11" t="s">
        <v>74</v>
      </c>
      <c r="T627" s="11" t="s">
        <v>43</v>
      </c>
      <c r="U627" s="11" t="s">
        <v>218</v>
      </c>
      <c r="V627" s="11">
        <v>2024</v>
      </c>
      <c r="W627" s="11" t="s">
        <v>126</v>
      </c>
      <c r="X627" s="11">
        <v>9</v>
      </c>
      <c r="Y627" s="10" t="s">
        <v>214</v>
      </c>
      <c r="Z627" s="11" t="s">
        <v>110</v>
      </c>
      <c r="AA627" s="11" t="s">
        <v>48</v>
      </c>
      <c r="AB627" s="11" t="s">
        <v>78</v>
      </c>
      <c r="AC627" s="11" t="s">
        <v>121</v>
      </c>
      <c r="AD627" s="11">
        <v>4</v>
      </c>
      <c r="AE627" s="11" t="s">
        <v>86</v>
      </c>
      <c r="AF627" s="11" t="s">
        <v>2217</v>
      </c>
      <c r="AG627" s="25"/>
      <c r="AH627" s="11"/>
      <c r="AI627" s="11"/>
      <c r="AJ627" s="11"/>
      <c r="AK627" s="11"/>
      <c r="AL627" s="11"/>
      <c r="AM627" s="11" t="str">
        <f t="shared" si="49"/>
        <v>Good</v>
      </c>
      <c r="AN627" s="11" t="str" cm="1">
        <f t="array" ref="AN627">_xlfn.IFS(N627&lt;10000,"Low",N627&lt;30000,"Medium",N627&gt;=30000,"High")</f>
        <v>Low</v>
      </c>
      <c r="AO627" s="11" t="str">
        <f t="shared" si="50"/>
        <v>No</v>
      </c>
      <c r="AP627" s="11" t="str">
        <f t="shared" si="51"/>
        <v>Yes</v>
      </c>
      <c r="AQ627" s="11">
        <f t="shared" si="52"/>
        <v>0.3715394957983193</v>
      </c>
      <c r="AR627" s="33"/>
      <c r="AS627" s="33"/>
      <c r="AT627" s="33"/>
      <c r="AU627" s="33"/>
      <c r="AV627" s="33"/>
      <c r="AW627" s="33"/>
      <c r="AX627" s="33" t="str">
        <f t="shared" si="53"/>
        <v>Low</v>
      </c>
    </row>
    <row r="628" spans="1:50">
      <c r="A628" s="9" t="s">
        <v>1693</v>
      </c>
      <c r="B628" s="10" t="s">
        <v>1123</v>
      </c>
      <c r="C628" s="11" t="s">
        <v>1646</v>
      </c>
      <c r="D628" s="11" t="s">
        <v>115</v>
      </c>
      <c r="E628" s="11" t="s">
        <v>55</v>
      </c>
      <c r="F628" s="11" t="s">
        <v>56</v>
      </c>
      <c r="G628" s="11" t="s">
        <v>57</v>
      </c>
      <c r="H628" s="11" t="s">
        <v>171</v>
      </c>
      <c r="I628" s="11" t="s">
        <v>59</v>
      </c>
      <c r="J628" s="11" t="s">
        <v>206</v>
      </c>
      <c r="K628" s="25">
        <v>2</v>
      </c>
      <c r="L628" s="25">
        <v>1200</v>
      </c>
      <c r="M628" s="29">
        <v>0.2</v>
      </c>
      <c r="N628" s="25">
        <v>1920</v>
      </c>
      <c r="O628" s="25">
        <v>1537.01</v>
      </c>
      <c r="P628" s="25">
        <v>382.99</v>
      </c>
      <c r="Q628" s="21">
        <v>19.95</v>
      </c>
      <c r="R628" s="11" t="s">
        <v>61</v>
      </c>
      <c r="S628" s="11" t="s">
        <v>42</v>
      </c>
      <c r="T628" s="11" t="s">
        <v>75</v>
      </c>
      <c r="U628" s="11" t="s">
        <v>218</v>
      </c>
      <c r="V628" s="11">
        <v>2024</v>
      </c>
      <c r="W628" s="11" t="s">
        <v>126</v>
      </c>
      <c r="X628" s="11">
        <v>6</v>
      </c>
      <c r="Y628" s="10" t="s">
        <v>906</v>
      </c>
      <c r="Z628" s="11" t="s">
        <v>47</v>
      </c>
      <c r="AA628" s="11" t="s">
        <v>67</v>
      </c>
      <c r="AB628" s="11" t="s">
        <v>111</v>
      </c>
      <c r="AC628" s="11" t="s">
        <v>121</v>
      </c>
      <c r="AD628" s="11">
        <v>1</v>
      </c>
      <c r="AE628" s="11" t="s">
        <v>2218</v>
      </c>
      <c r="AF628" s="11" t="s">
        <v>2217</v>
      </c>
      <c r="AG628" s="25"/>
      <c r="AH628" s="11"/>
      <c r="AI628" s="11"/>
      <c r="AJ628" s="11"/>
      <c r="AK628" s="11"/>
      <c r="AL628" s="11"/>
      <c r="AM628" s="11" t="str">
        <f t="shared" si="49"/>
        <v>Needs Improvement</v>
      </c>
      <c r="AN628" s="11" t="str" cm="1">
        <f t="array" ref="AN628">_xlfn.IFS(N628&lt;10000,"Low",N628&lt;30000,"Medium",N628&gt;=30000,"High")</f>
        <v>Low</v>
      </c>
      <c r="AO628" s="11" t="str">
        <f t="shared" si="50"/>
        <v>No</v>
      </c>
      <c r="AP628" s="11" t="str">
        <f t="shared" si="51"/>
        <v>Yes</v>
      </c>
      <c r="AQ628" s="11">
        <f t="shared" si="52"/>
        <v>0.19947395833333334</v>
      </c>
      <c r="AR628" s="33"/>
      <c r="AS628" s="33"/>
      <c r="AT628" s="33"/>
      <c r="AU628" s="33"/>
      <c r="AV628" s="33"/>
      <c r="AW628" s="33"/>
      <c r="AX628" s="33" t="str">
        <f t="shared" si="53"/>
        <v>Low</v>
      </c>
    </row>
    <row r="629" spans="1:50">
      <c r="A629" s="9" t="s">
        <v>941</v>
      </c>
      <c r="B629" s="10" t="s">
        <v>673</v>
      </c>
      <c r="C629" s="11" t="s">
        <v>769</v>
      </c>
      <c r="D629" s="11" t="s">
        <v>942</v>
      </c>
      <c r="E629" s="11" t="s">
        <v>35</v>
      </c>
      <c r="F629" s="11" t="s">
        <v>104</v>
      </c>
      <c r="G629" s="11" t="s">
        <v>104</v>
      </c>
      <c r="H629" s="11" t="s">
        <v>94</v>
      </c>
      <c r="I629" s="11" t="s">
        <v>39</v>
      </c>
      <c r="J629" s="11" t="s">
        <v>356</v>
      </c>
      <c r="K629" s="25">
        <v>9</v>
      </c>
      <c r="L629" s="25">
        <v>15000</v>
      </c>
      <c r="M629" s="29">
        <v>0.2</v>
      </c>
      <c r="N629" s="25">
        <v>108000</v>
      </c>
      <c r="O629" s="25">
        <v>87489.47</v>
      </c>
      <c r="P629" s="25">
        <v>20510.53</v>
      </c>
      <c r="Q629" s="21">
        <v>18.989999999999998</v>
      </c>
      <c r="R629" s="11" t="s">
        <v>166</v>
      </c>
      <c r="S629" s="11" t="s">
        <v>42</v>
      </c>
      <c r="T629" s="11" t="s">
        <v>43</v>
      </c>
      <c r="U629" s="11" t="s">
        <v>218</v>
      </c>
      <c r="V629" s="11">
        <v>2025</v>
      </c>
      <c r="W629" s="11" t="s">
        <v>109</v>
      </c>
      <c r="X629" s="11">
        <v>6</v>
      </c>
      <c r="Y629" s="10" t="s">
        <v>943</v>
      </c>
      <c r="Z629" s="11" t="s">
        <v>47</v>
      </c>
      <c r="AA629" s="11" t="s">
        <v>67</v>
      </c>
      <c r="AB629" s="11" t="s">
        <v>49</v>
      </c>
      <c r="AC629" s="11" t="s">
        <v>50</v>
      </c>
      <c r="AD629" s="11">
        <v>5</v>
      </c>
      <c r="AE629" s="11" t="s">
        <v>2213</v>
      </c>
      <c r="AF629" s="11" t="s">
        <v>2249</v>
      </c>
      <c r="AG629" s="25"/>
      <c r="AH629" s="11"/>
      <c r="AI629" s="11"/>
      <c r="AJ629" s="11"/>
      <c r="AK629" s="11"/>
      <c r="AL629" s="11"/>
      <c r="AM629" s="11" t="str">
        <f t="shared" si="49"/>
        <v>Needs Improvement</v>
      </c>
      <c r="AN629" s="11" t="str" cm="1">
        <f t="array" ref="AN629">_xlfn.IFS(N629&lt;10000,"Low",N629&lt;30000,"Medium",N629&gt;=30000,"High")</f>
        <v>High</v>
      </c>
      <c r="AO629" s="11" t="str">
        <f t="shared" si="50"/>
        <v>Yes</v>
      </c>
      <c r="AP629" s="11" t="str">
        <f t="shared" si="51"/>
        <v>Yes</v>
      </c>
      <c r="AQ629" s="11">
        <f t="shared" si="52"/>
        <v>0.1899123148148148</v>
      </c>
      <c r="AR629" s="33"/>
      <c r="AS629" s="33"/>
      <c r="AT629" s="33"/>
      <c r="AU629" s="33"/>
      <c r="AV629" s="33"/>
      <c r="AW629" s="33"/>
      <c r="AX629" s="33" t="str">
        <f t="shared" si="53"/>
        <v>Excellent</v>
      </c>
    </row>
    <row r="630" spans="1:50">
      <c r="A630" s="9" t="s">
        <v>1113</v>
      </c>
      <c r="B630" s="10" t="s">
        <v>673</v>
      </c>
      <c r="C630" s="11" t="s">
        <v>301</v>
      </c>
      <c r="D630" s="11" t="s">
        <v>1114</v>
      </c>
      <c r="E630" s="11" t="s">
        <v>55</v>
      </c>
      <c r="F630" s="11" t="s">
        <v>116</v>
      </c>
      <c r="G630" s="11" t="s">
        <v>37</v>
      </c>
      <c r="H630" s="11" t="s">
        <v>58</v>
      </c>
      <c r="I630" s="11" t="s">
        <v>59</v>
      </c>
      <c r="J630" s="11" t="s">
        <v>60</v>
      </c>
      <c r="K630" s="25">
        <v>7</v>
      </c>
      <c r="L630" s="25">
        <v>1200</v>
      </c>
      <c r="M630" s="29">
        <v>0</v>
      </c>
      <c r="N630" s="25">
        <v>8400</v>
      </c>
      <c r="O630" s="25">
        <v>6857.2</v>
      </c>
      <c r="P630" s="25">
        <v>1542.8</v>
      </c>
      <c r="Q630" s="21">
        <v>18.37</v>
      </c>
      <c r="R630" s="11" t="s">
        <v>61</v>
      </c>
      <c r="S630" s="11" t="s">
        <v>42</v>
      </c>
      <c r="T630" s="11" t="s">
        <v>43</v>
      </c>
      <c r="U630" s="11" t="s">
        <v>218</v>
      </c>
      <c r="V630" s="11">
        <v>2025</v>
      </c>
      <c r="W630" s="11" t="s">
        <v>109</v>
      </c>
      <c r="X630" s="11">
        <v>1</v>
      </c>
      <c r="Y630" s="10" t="s">
        <v>1115</v>
      </c>
      <c r="Z630" s="11" t="s">
        <v>89</v>
      </c>
      <c r="AA630" s="11" t="s">
        <v>90</v>
      </c>
      <c r="AB630" s="11" t="s">
        <v>111</v>
      </c>
      <c r="AC630" s="11" t="s">
        <v>50</v>
      </c>
      <c r="AD630" s="11">
        <v>1</v>
      </c>
      <c r="AE630" s="11" t="s">
        <v>2233</v>
      </c>
      <c r="AF630" s="11" t="s">
        <v>2217</v>
      </c>
      <c r="AG630" s="25"/>
      <c r="AH630" s="11"/>
      <c r="AI630" s="11"/>
      <c r="AJ630" s="11"/>
      <c r="AK630" s="11"/>
      <c r="AL630" s="11"/>
      <c r="AM630" s="11" t="str">
        <f t="shared" si="49"/>
        <v>Needs Improvement</v>
      </c>
      <c r="AN630" s="11" t="str" cm="1">
        <f t="array" ref="AN630">_xlfn.IFS(N630&lt;10000,"Low",N630&lt;30000,"Medium",N630&gt;=30000,"High")</f>
        <v>Low</v>
      </c>
      <c r="AO630" s="11" t="str">
        <f t="shared" si="50"/>
        <v>No</v>
      </c>
      <c r="AP630" s="11" t="str">
        <f t="shared" si="51"/>
        <v>Yes</v>
      </c>
      <c r="AQ630" s="11">
        <f t="shared" si="52"/>
        <v>0.18366666666666667</v>
      </c>
      <c r="AR630" s="33"/>
      <c r="AS630" s="33"/>
      <c r="AT630" s="33"/>
      <c r="AU630" s="33"/>
      <c r="AV630" s="33"/>
      <c r="AW630" s="33"/>
      <c r="AX630" s="33" t="str">
        <f t="shared" si="53"/>
        <v>Low</v>
      </c>
    </row>
    <row r="631" spans="1:50">
      <c r="A631" s="9" t="s">
        <v>2150</v>
      </c>
      <c r="B631" s="10" t="s">
        <v>2151</v>
      </c>
      <c r="C631" s="11" t="s">
        <v>1093</v>
      </c>
      <c r="D631" s="11" t="s">
        <v>177</v>
      </c>
      <c r="E631" s="11" t="s">
        <v>55</v>
      </c>
      <c r="F631" s="11" t="s">
        <v>156</v>
      </c>
      <c r="G631" s="11" t="s">
        <v>157</v>
      </c>
      <c r="H631" s="11" t="s">
        <v>171</v>
      </c>
      <c r="I631" s="11" t="s">
        <v>59</v>
      </c>
      <c r="J631" s="11" t="s">
        <v>60</v>
      </c>
      <c r="K631" s="25">
        <v>1</v>
      </c>
      <c r="L631" s="25">
        <v>500</v>
      </c>
      <c r="M631" s="29">
        <v>0.15</v>
      </c>
      <c r="N631" s="25">
        <v>425</v>
      </c>
      <c r="O631" s="25">
        <v>299.62</v>
      </c>
      <c r="P631" s="25">
        <v>125.38</v>
      </c>
      <c r="Q631" s="21">
        <v>29.5</v>
      </c>
      <c r="R631" s="11" t="s">
        <v>73</v>
      </c>
      <c r="S631" s="11" t="s">
        <v>42</v>
      </c>
      <c r="T631" s="11" t="s">
        <v>118</v>
      </c>
      <c r="U631" s="11" t="s">
        <v>108</v>
      </c>
      <c r="V631" s="11">
        <v>2024</v>
      </c>
      <c r="W631" s="11" t="s">
        <v>139</v>
      </c>
      <c r="X631" s="11">
        <v>2</v>
      </c>
      <c r="Y631" s="10" t="s">
        <v>788</v>
      </c>
      <c r="Z631" s="11" t="s">
        <v>89</v>
      </c>
      <c r="AA631" s="11" t="s">
        <v>48</v>
      </c>
      <c r="AB631" s="11" t="s">
        <v>111</v>
      </c>
      <c r="AC631" s="11" t="s">
        <v>50</v>
      </c>
      <c r="AD631" s="11">
        <v>4</v>
      </c>
      <c r="AE631" s="11" t="s">
        <v>2240</v>
      </c>
      <c r="AF631" s="11" t="s">
        <v>2214</v>
      </c>
      <c r="AG631" s="25"/>
      <c r="AH631" s="11"/>
      <c r="AI631" s="11"/>
      <c r="AJ631" s="11"/>
      <c r="AK631" s="11"/>
      <c r="AL631" s="11"/>
      <c r="AM631" s="11" t="str">
        <f t="shared" si="49"/>
        <v>Needs Improvement</v>
      </c>
      <c r="AN631" s="11" t="str" cm="1">
        <f t="array" ref="AN631">_xlfn.IFS(N631&lt;10000,"Low",N631&lt;30000,"Medium",N631&gt;=30000,"High")</f>
        <v>Low</v>
      </c>
      <c r="AO631" s="11" t="str">
        <f t="shared" si="50"/>
        <v>No</v>
      </c>
      <c r="AP631" s="11" t="str">
        <f t="shared" si="51"/>
        <v>Yes</v>
      </c>
      <c r="AQ631" s="11">
        <f t="shared" si="52"/>
        <v>0.29501176470588236</v>
      </c>
      <c r="AR631" s="33"/>
      <c r="AS631" s="33"/>
      <c r="AT631" s="33"/>
      <c r="AU631" s="33"/>
      <c r="AV631" s="33"/>
      <c r="AW631" s="33"/>
      <c r="AX631" s="33" t="str">
        <f t="shared" si="53"/>
        <v>Low</v>
      </c>
    </row>
    <row r="632" spans="1:50">
      <c r="A632" s="9" t="s">
        <v>983</v>
      </c>
      <c r="B632" s="10" t="s">
        <v>984</v>
      </c>
      <c r="C632" s="11" t="s">
        <v>985</v>
      </c>
      <c r="D632" s="11" t="s">
        <v>791</v>
      </c>
      <c r="E632" s="11" t="s">
        <v>35</v>
      </c>
      <c r="F632" s="11" t="s">
        <v>149</v>
      </c>
      <c r="G632" s="11" t="s">
        <v>150</v>
      </c>
      <c r="H632" s="11" t="s">
        <v>58</v>
      </c>
      <c r="I632" s="11" t="s">
        <v>84</v>
      </c>
      <c r="J632" s="11" t="s">
        <v>390</v>
      </c>
      <c r="K632" s="25">
        <v>7</v>
      </c>
      <c r="L632" s="25">
        <v>200</v>
      </c>
      <c r="M632" s="29">
        <v>0.2</v>
      </c>
      <c r="N632" s="25">
        <v>1120</v>
      </c>
      <c r="O632" s="25">
        <v>812.09</v>
      </c>
      <c r="P632" s="25">
        <v>307.91000000000003</v>
      </c>
      <c r="Q632" s="21">
        <v>27.49</v>
      </c>
      <c r="R632" s="11" t="s">
        <v>73</v>
      </c>
      <c r="S632" s="11" t="s">
        <v>74</v>
      </c>
      <c r="T632" s="11" t="s">
        <v>159</v>
      </c>
      <c r="U632" s="11" t="s">
        <v>108</v>
      </c>
      <c r="V632" s="11">
        <v>2025</v>
      </c>
      <c r="W632" s="11" t="s">
        <v>194</v>
      </c>
      <c r="X632" s="11">
        <v>5</v>
      </c>
      <c r="Y632" s="10" t="s">
        <v>986</v>
      </c>
      <c r="Z632" s="11" t="s">
        <v>47</v>
      </c>
      <c r="AA632" s="11" t="s">
        <v>90</v>
      </c>
      <c r="AB632" s="11" t="s">
        <v>111</v>
      </c>
      <c r="AC632" s="11" t="s">
        <v>50</v>
      </c>
      <c r="AD632" s="11">
        <v>5</v>
      </c>
      <c r="AE632" s="11" t="s">
        <v>2225</v>
      </c>
      <c r="AF632" s="11" t="s">
        <v>2223</v>
      </c>
      <c r="AG632" s="25"/>
      <c r="AH632" s="11"/>
      <c r="AI632" s="11"/>
      <c r="AJ632" s="11"/>
      <c r="AK632" s="11"/>
      <c r="AL632" s="11"/>
      <c r="AM632" s="11" t="str">
        <f t="shared" si="49"/>
        <v>Needs Improvement</v>
      </c>
      <c r="AN632" s="11" t="str" cm="1">
        <f t="array" ref="AN632">_xlfn.IFS(N632&lt;10000,"Low",N632&lt;30000,"Medium",N632&gt;=30000,"High")</f>
        <v>Low</v>
      </c>
      <c r="AO632" s="11" t="str">
        <f t="shared" si="50"/>
        <v>No</v>
      </c>
      <c r="AP632" s="11" t="str">
        <f t="shared" si="51"/>
        <v>Yes</v>
      </c>
      <c r="AQ632" s="11">
        <f t="shared" si="52"/>
        <v>0.27491964285714288</v>
      </c>
      <c r="AR632" s="33"/>
      <c r="AS632" s="33"/>
      <c r="AT632" s="33"/>
      <c r="AU632" s="33"/>
      <c r="AV632" s="33"/>
      <c r="AW632" s="33"/>
      <c r="AX632" s="33" t="str">
        <f t="shared" si="53"/>
        <v>Low</v>
      </c>
    </row>
    <row r="633" spans="1:50">
      <c r="A633" s="9" t="s">
        <v>807</v>
      </c>
      <c r="B633" s="10" t="s">
        <v>808</v>
      </c>
      <c r="C633" s="11" t="s">
        <v>809</v>
      </c>
      <c r="D633" s="11" t="s">
        <v>810</v>
      </c>
      <c r="E633" s="11" t="s">
        <v>103</v>
      </c>
      <c r="F633" s="11" t="s">
        <v>149</v>
      </c>
      <c r="G633" s="11" t="s">
        <v>150</v>
      </c>
      <c r="H633" s="11" t="s">
        <v>58</v>
      </c>
      <c r="I633" s="11" t="s">
        <v>84</v>
      </c>
      <c r="J633" s="11" t="s">
        <v>290</v>
      </c>
      <c r="K633" s="25">
        <v>10</v>
      </c>
      <c r="L633" s="25">
        <v>500</v>
      </c>
      <c r="M633" s="29">
        <v>0.05</v>
      </c>
      <c r="N633" s="25">
        <v>4750</v>
      </c>
      <c r="O633" s="25">
        <v>3237.82</v>
      </c>
      <c r="P633" s="25">
        <v>1512.18</v>
      </c>
      <c r="Q633" s="21">
        <v>31.84</v>
      </c>
      <c r="R633" s="11" t="s">
        <v>106</v>
      </c>
      <c r="S633" s="11" t="s">
        <v>62</v>
      </c>
      <c r="T633" s="11" t="s">
        <v>159</v>
      </c>
      <c r="U633" s="11" t="s">
        <v>198</v>
      </c>
      <c r="V633" s="11">
        <v>2024</v>
      </c>
      <c r="W633" s="11" t="s">
        <v>109</v>
      </c>
      <c r="X633" s="11">
        <v>3</v>
      </c>
      <c r="Y633" s="10" t="s">
        <v>469</v>
      </c>
      <c r="Z633" s="11" t="s">
        <v>47</v>
      </c>
      <c r="AA633" s="11" t="s">
        <v>90</v>
      </c>
      <c r="AB633" s="11" t="s">
        <v>49</v>
      </c>
      <c r="AC633" s="11" t="s">
        <v>121</v>
      </c>
      <c r="AD633" s="11">
        <v>4</v>
      </c>
      <c r="AE633" s="11" t="s">
        <v>2248</v>
      </c>
      <c r="AF633" s="11" t="s">
        <v>2236</v>
      </c>
      <c r="AG633" s="25"/>
      <c r="AH633" s="11"/>
      <c r="AI633" s="11"/>
      <c r="AJ633" s="11"/>
      <c r="AK633" s="11"/>
      <c r="AL633" s="11"/>
      <c r="AM633" s="11" t="str">
        <f t="shared" si="49"/>
        <v>Good</v>
      </c>
      <c r="AN633" s="11" t="str" cm="1">
        <f t="array" ref="AN633">_xlfn.IFS(N633&lt;10000,"Low",N633&lt;30000,"Medium",N633&gt;=30000,"High")</f>
        <v>Low</v>
      </c>
      <c r="AO633" s="11" t="str">
        <f t="shared" si="50"/>
        <v>No</v>
      </c>
      <c r="AP633" s="11" t="str">
        <f t="shared" si="51"/>
        <v>No</v>
      </c>
      <c r="AQ633" s="11">
        <f t="shared" si="52"/>
        <v>0.31835368421052634</v>
      </c>
      <c r="AR633" s="33"/>
      <c r="AS633" s="33"/>
      <c r="AT633" s="33"/>
      <c r="AU633" s="33"/>
      <c r="AV633" s="33"/>
      <c r="AW633" s="33"/>
      <c r="AX633" s="33" t="str">
        <f t="shared" si="53"/>
        <v>Low</v>
      </c>
    </row>
    <row r="634" spans="1:50">
      <c r="A634" s="9" t="s">
        <v>1361</v>
      </c>
      <c r="B634" s="10" t="s">
        <v>399</v>
      </c>
      <c r="C634" s="11" t="s">
        <v>614</v>
      </c>
      <c r="D634" s="11" t="s">
        <v>1362</v>
      </c>
      <c r="E634" s="11" t="s">
        <v>55</v>
      </c>
      <c r="F634" s="11" t="s">
        <v>131</v>
      </c>
      <c r="G634" s="11" t="s">
        <v>132</v>
      </c>
      <c r="H634" s="11" t="s">
        <v>38</v>
      </c>
      <c r="I634" s="11" t="s">
        <v>39</v>
      </c>
      <c r="J634" s="11" t="s">
        <v>356</v>
      </c>
      <c r="K634" s="25">
        <v>9</v>
      </c>
      <c r="L634" s="25">
        <v>8000</v>
      </c>
      <c r="M634" s="29">
        <v>0.15</v>
      </c>
      <c r="N634" s="25">
        <v>61200</v>
      </c>
      <c r="O634" s="25">
        <v>49721.97</v>
      </c>
      <c r="P634" s="25">
        <v>11478.03</v>
      </c>
      <c r="Q634" s="21">
        <v>18.75</v>
      </c>
      <c r="R634" s="11" t="s">
        <v>106</v>
      </c>
      <c r="S634" s="11" t="s">
        <v>74</v>
      </c>
      <c r="T634" s="11" t="s">
        <v>138</v>
      </c>
      <c r="U634" s="11" t="s">
        <v>198</v>
      </c>
      <c r="V634" s="11">
        <v>2025</v>
      </c>
      <c r="W634" s="11" t="s">
        <v>134</v>
      </c>
      <c r="X634" s="11">
        <v>2</v>
      </c>
      <c r="Y634" s="10" t="s">
        <v>1363</v>
      </c>
      <c r="Z634" s="11" t="s">
        <v>47</v>
      </c>
      <c r="AA634" s="11" t="s">
        <v>67</v>
      </c>
      <c r="AB634" s="11" t="s">
        <v>49</v>
      </c>
      <c r="AC634" s="11" t="s">
        <v>50</v>
      </c>
      <c r="AD634" s="11">
        <v>1</v>
      </c>
      <c r="AE634" s="11" t="s">
        <v>2234</v>
      </c>
      <c r="AF634" s="11" t="s">
        <v>2236</v>
      </c>
      <c r="AG634" s="25"/>
      <c r="AH634" s="11"/>
      <c r="AI634" s="11"/>
      <c r="AJ634" s="11"/>
      <c r="AK634" s="11"/>
      <c r="AL634" s="11"/>
      <c r="AM634" s="11" t="str">
        <f t="shared" si="49"/>
        <v>Needs Improvement</v>
      </c>
      <c r="AN634" s="11" t="str" cm="1">
        <f t="array" ref="AN634">_xlfn.IFS(N634&lt;10000,"Low",N634&lt;30000,"Medium",N634&gt;=30000,"High")</f>
        <v>High</v>
      </c>
      <c r="AO634" s="11" t="str">
        <f t="shared" si="50"/>
        <v>Yes</v>
      </c>
      <c r="AP634" s="11" t="str">
        <f t="shared" si="51"/>
        <v>Yes</v>
      </c>
      <c r="AQ634" s="11">
        <f t="shared" si="52"/>
        <v>0.18754950980392157</v>
      </c>
      <c r="AR634" s="33"/>
      <c r="AS634" s="33"/>
      <c r="AT634" s="33"/>
      <c r="AU634" s="33"/>
      <c r="AV634" s="33"/>
      <c r="AW634" s="33"/>
      <c r="AX634" s="33" t="str">
        <f t="shared" si="53"/>
        <v>Good</v>
      </c>
    </row>
    <row r="635" spans="1:50">
      <c r="A635" s="9" t="s">
        <v>639</v>
      </c>
      <c r="B635" s="10" t="s">
        <v>66</v>
      </c>
      <c r="C635" s="11" t="s">
        <v>640</v>
      </c>
      <c r="D635" s="11" t="s">
        <v>641</v>
      </c>
      <c r="E635" s="11" t="s">
        <v>103</v>
      </c>
      <c r="F635" s="11" t="s">
        <v>82</v>
      </c>
      <c r="G635" s="11" t="s">
        <v>83</v>
      </c>
      <c r="H635" s="11" t="s">
        <v>38</v>
      </c>
      <c r="I635" s="11" t="s">
        <v>71</v>
      </c>
      <c r="J635" s="11" t="s">
        <v>158</v>
      </c>
      <c r="K635" s="25">
        <v>10</v>
      </c>
      <c r="L635" s="25">
        <v>3500</v>
      </c>
      <c r="M635" s="29">
        <v>0.05</v>
      </c>
      <c r="N635" s="25">
        <v>33250</v>
      </c>
      <c r="O635" s="25">
        <v>19226.09</v>
      </c>
      <c r="P635" s="25">
        <v>14023.91</v>
      </c>
      <c r="Q635" s="21">
        <v>42.18</v>
      </c>
      <c r="R635" s="11" t="s">
        <v>61</v>
      </c>
      <c r="S635" s="11" t="s">
        <v>62</v>
      </c>
      <c r="T635" s="11" t="s">
        <v>97</v>
      </c>
      <c r="U635" s="11" t="s">
        <v>64</v>
      </c>
      <c r="V635" s="11">
        <v>2024</v>
      </c>
      <c r="W635" s="11" t="s">
        <v>139</v>
      </c>
      <c r="X635" s="11">
        <v>1</v>
      </c>
      <c r="Y635" s="10" t="s">
        <v>534</v>
      </c>
      <c r="Z635" s="11" t="s">
        <v>110</v>
      </c>
      <c r="AA635" s="11" t="s">
        <v>67</v>
      </c>
      <c r="AB635" s="11" t="s">
        <v>49</v>
      </c>
      <c r="AC635" s="11" t="s">
        <v>50</v>
      </c>
      <c r="AD635" s="11">
        <v>3</v>
      </c>
      <c r="AE635" s="11" t="s">
        <v>2237</v>
      </c>
      <c r="AF635" s="11" t="s">
        <v>2224</v>
      </c>
      <c r="AG635" s="25"/>
      <c r="AH635" s="11"/>
      <c r="AI635" s="11"/>
      <c r="AJ635" s="11"/>
      <c r="AK635" s="11"/>
      <c r="AL635" s="11"/>
      <c r="AM635" s="11" t="str">
        <f t="shared" si="49"/>
        <v>Good</v>
      </c>
      <c r="AN635" s="11" t="str" cm="1">
        <f t="array" ref="AN635">_xlfn.IFS(N635&lt;10000,"Low",N635&lt;30000,"Medium",N635&gt;=30000,"High")</f>
        <v>High</v>
      </c>
      <c r="AO635" s="11" t="str">
        <f t="shared" si="50"/>
        <v>Yes</v>
      </c>
      <c r="AP635" s="11" t="str">
        <f t="shared" si="51"/>
        <v>No</v>
      </c>
      <c r="AQ635" s="11">
        <f t="shared" si="52"/>
        <v>0.42177172932330825</v>
      </c>
      <c r="AR635" s="33"/>
      <c r="AS635" s="33"/>
      <c r="AT635" s="33"/>
      <c r="AU635" s="33"/>
      <c r="AV635" s="33"/>
      <c r="AW635" s="33"/>
      <c r="AX635" s="33" t="str">
        <f t="shared" si="53"/>
        <v>Good</v>
      </c>
    </row>
    <row r="636" spans="1:50">
      <c r="A636" s="9" t="s">
        <v>1135</v>
      </c>
      <c r="B636" s="10" t="s">
        <v>66</v>
      </c>
      <c r="C636" s="11" t="s">
        <v>1136</v>
      </c>
      <c r="D636" s="11" t="s">
        <v>774</v>
      </c>
      <c r="E636" s="11" t="s">
        <v>55</v>
      </c>
      <c r="F636" s="11" t="s">
        <v>156</v>
      </c>
      <c r="G636" s="11" t="s">
        <v>157</v>
      </c>
      <c r="H636" s="11" t="s">
        <v>94</v>
      </c>
      <c r="I636" s="11" t="s">
        <v>95</v>
      </c>
      <c r="J636" s="11" t="s">
        <v>440</v>
      </c>
      <c r="K636" s="25">
        <v>3</v>
      </c>
      <c r="L636" s="25">
        <v>4000</v>
      </c>
      <c r="M636" s="29">
        <v>0.2</v>
      </c>
      <c r="N636" s="25">
        <v>9600</v>
      </c>
      <c r="O636" s="25">
        <v>7238.21</v>
      </c>
      <c r="P636" s="25">
        <v>2361.79</v>
      </c>
      <c r="Q636" s="21">
        <v>24.6</v>
      </c>
      <c r="R636" s="11" t="s">
        <v>166</v>
      </c>
      <c r="S636" s="11" t="s">
        <v>62</v>
      </c>
      <c r="T636" s="11" t="s">
        <v>138</v>
      </c>
      <c r="U636" s="11" t="s">
        <v>64</v>
      </c>
      <c r="V636" s="11">
        <v>2024</v>
      </c>
      <c r="W636" s="11" t="s">
        <v>139</v>
      </c>
      <c r="X636" s="11">
        <v>1</v>
      </c>
      <c r="Y636" s="10" t="s">
        <v>534</v>
      </c>
      <c r="Z636" s="11" t="s">
        <v>47</v>
      </c>
      <c r="AA636" s="11" t="s">
        <v>48</v>
      </c>
      <c r="AB636" s="11" t="s">
        <v>111</v>
      </c>
      <c r="AC636" s="11" t="s">
        <v>121</v>
      </c>
      <c r="AD636" s="11">
        <v>4</v>
      </c>
      <c r="AE636" s="11" t="s">
        <v>2226</v>
      </c>
      <c r="AF636" s="11" t="s">
        <v>2222</v>
      </c>
      <c r="AG636" s="25"/>
      <c r="AH636" s="11"/>
      <c r="AI636" s="11"/>
      <c r="AJ636" s="11"/>
      <c r="AK636" s="11"/>
      <c r="AL636" s="11"/>
      <c r="AM636" s="11" t="str">
        <f t="shared" si="49"/>
        <v>Needs Improvement</v>
      </c>
      <c r="AN636" s="11" t="str" cm="1">
        <f t="array" ref="AN636">_xlfn.IFS(N636&lt;10000,"Low",N636&lt;30000,"Medium",N636&gt;=30000,"High")</f>
        <v>Low</v>
      </c>
      <c r="AO636" s="11" t="str">
        <f t="shared" si="50"/>
        <v>No</v>
      </c>
      <c r="AP636" s="11" t="str">
        <f t="shared" si="51"/>
        <v>No</v>
      </c>
      <c r="AQ636" s="11">
        <f t="shared" si="52"/>
        <v>0.24601979166666665</v>
      </c>
      <c r="AR636" s="33"/>
      <c r="AS636" s="33"/>
      <c r="AT636" s="33"/>
      <c r="AU636" s="33"/>
      <c r="AV636" s="33"/>
      <c r="AW636" s="33"/>
      <c r="AX636" s="33" t="str">
        <f t="shared" si="53"/>
        <v>Low</v>
      </c>
    </row>
    <row r="637" spans="1:50">
      <c r="A637" s="9" t="s">
        <v>1494</v>
      </c>
      <c r="B637" s="10" t="s">
        <v>66</v>
      </c>
      <c r="C637" s="11" t="s">
        <v>1060</v>
      </c>
      <c r="D637" s="11" t="s">
        <v>761</v>
      </c>
      <c r="E637" s="11" t="s">
        <v>35</v>
      </c>
      <c r="F637" s="11" t="s">
        <v>104</v>
      </c>
      <c r="G637" s="11" t="s">
        <v>104</v>
      </c>
      <c r="H637" s="11" t="s">
        <v>38</v>
      </c>
      <c r="I637" s="11" t="s">
        <v>59</v>
      </c>
      <c r="J637" s="11" t="s">
        <v>206</v>
      </c>
      <c r="K637" s="25">
        <v>1</v>
      </c>
      <c r="L637" s="25">
        <v>2000</v>
      </c>
      <c r="M637" s="29">
        <v>0.2</v>
      </c>
      <c r="N637" s="25">
        <v>1600</v>
      </c>
      <c r="O637" s="25">
        <v>1175.52</v>
      </c>
      <c r="P637" s="25">
        <v>424.48</v>
      </c>
      <c r="Q637" s="21">
        <v>26.53</v>
      </c>
      <c r="R637" s="11" t="s">
        <v>73</v>
      </c>
      <c r="S637" s="11" t="s">
        <v>74</v>
      </c>
      <c r="T637" s="11" t="s">
        <v>97</v>
      </c>
      <c r="U637" s="11" t="s">
        <v>64</v>
      </c>
      <c r="V637" s="11">
        <v>2024</v>
      </c>
      <c r="W637" s="11" t="s">
        <v>139</v>
      </c>
      <c r="X637" s="11">
        <v>4</v>
      </c>
      <c r="Y637" s="10" t="s">
        <v>446</v>
      </c>
      <c r="Z637" s="11" t="s">
        <v>89</v>
      </c>
      <c r="AA637" s="11" t="s">
        <v>90</v>
      </c>
      <c r="AB637" s="11" t="s">
        <v>111</v>
      </c>
      <c r="AC637" s="11" t="s">
        <v>50</v>
      </c>
      <c r="AD637" s="11">
        <v>1</v>
      </c>
      <c r="AE637" s="11" t="s">
        <v>2234</v>
      </c>
      <c r="AF637" s="11" t="s">
        <v>2219</v>
      </c>
      <c r="AG637" s="25"/>
      <c r="AH637" s="11"/>
      <c r="AI637" s="11"/>
      <c r="AJ637" s="11"/>
      <c r="AK637" s="11"/>
      <c r="AL637" s="11"/>
      <c r="AM637" s="11" t="str">
        <f t="shared" si="49"/>
        <v>Needs Improvement</v>
      </c>
      <c r="AN637" s="11" t="str" cm="1">
        <f t="array" ref="AN637">_xlfn.IFS(N637&lt;10000,"Low",N637&lt;30000,"Medium",N637&gt;=30000,"High")</f>
        <v>Low</v>
      </c>
      <c r="AO637" s="11" t="str">
        <f t="shared" si="50"/>
        <v>No</v>
      </c>
      <c r="AP637" s="11" t="str">
        <f t="shared" si="51"/>
        <v>Yes</v>
      </c>
      <c r="AQ637" s="11">
        <f t="shared" si="52"/>
        <v>0.26530000000000004</v>
      </c>
      <c r="AR637" s="33"/>
      <c r="AS637" s="33"/>
      <c r="AT637" s="33"/>
      <c r="AU637" s="33"/>
      <c r="AV637" s="33"/>
      <c r="AW637" s="33"/>
      <c r="AX637" s="33" t="str">
        <f t="shared" si="53"/>
        <v>Low</v>
      </c>
    </row>
    <row r="638" spans="1:50">
      <c r="A638" s="9" t="s">
        <v>1953</v>
      </c>
      <c r="B638" s="10" t="s">
        <v>66</v>
      </c>
      <c r="C638" s="11" t="s">
        <v>277</v>
      </c>
      <c r="D638" s="11" t="s">
        <v>1424</v>
      </c>
      <c r="E638" s="11" t="s">
        <v>55</v>
      </c>
      <c r="F638" s="11" t="s">
        <v>56</v>
      </c>
      <c r="G638" s="11" t="s">
        <v>57</v>
      </c>
      <c r="H638" s="11" t="s">
        <v>94</v>
      </c>
      <c r="I638" s="11" t="s">
        <v>39</v>
      </c>
      <c r="J638" s="11" t="s">
        <v>40</v>
      </c>
      <c r="K638" s="25">
        <v>3</v>
      </c>
      <c r="L638" s="25">
        <v>22000</v>
      </c>
      <c r="M638" s="29">
        <v>0.05</v>
      </c>
      <c r="N638" s="25">
        <v>62700</v>
      </c>
      <c r="O638" s="25">
        <v>35016.22</v>
      </c>
      <c r="P638" s="25">
        <v>27683.78</v>
      </c>
      <c r="Q638" s="21">
        <v>44.15</v>
      </c>
      <c r="R638" s="11" t="s">
        <v>166</v>
      </c>
      <c r="S638" s="11" t="s">
        <v>42</v>
      </c>
      <c r="T638" s="11" t="s">
        <v>97</v>
      </c>
      <c r="U638" s="11" t="s">
        <v>64</v>
      </c>
      <c r="V638" s="11">
        <v>2024</v>
      </c>
      <c r="W638" s="11" t="s">
        <v>139</v>
      </c>
      <c r="X638" s="11">
        <v>2</v>
      </c>
      <c r="Y638" s="10" t="s">
        <v>185</v>
      </c>
      <c r="Z638" s="11" t="s">
        <v>47</v>
      </c>
      <c r="AA638" s="11" t="s">
        <v>67</v>
      </c>
      <c r="AB638" s="11" t="s">
        <v>49</v>
      </c>
      <c r="AC638" s="11" t="s">
        <v>50</v>
      </c>
      <c r="AD638" s="11">
        <v>4</v>
      </c>
      <c r="AE638" s="11" t="s">
        <v>118</v>
      </c>
      <c r="AF638" s="11" t="s">
        <v>2222</v>
      </c>
      <c r="AG638" s="25"/>
      <c r="AH638" s="11"/>
      <c r="AI638" s="11"/>
      <c r="AJ638" s="11"/>
      <c r="AK638" s="11"/>
      <c r="AL638" s="11"/>
      <c r="AM638" s="11" t="str">
        <f t="shared" si="49"/>
        <v>Good</v>
      </c>
      <c r="AN638" s="11" t="str" cm="1">
        <f t="array" ref="AN638">_xlfn.IFS(N638&lt;10000,"Low",N638&lt;30000,"Medium",N638&gt;=30000,"High")</f>
        <v>High</v>
      </c>
      <c r="AO638" s="11" t="str">
        <f t="shared" si="50"/>
        <v>Yes</v>
      </c>
      <c r="AP638" s="11" t="str">
        <f t="shared" si="51"/>
        <v>Yes</v>
      </c>
      <c r="AQ638" s="11">
        <f t="shared" si="52"/>
        <v>0.44152759170653905</v>
      </c>
      <c r="AR638" s="33"/>
      <c r="AS638" s="33"/>
      <c r="AT638" s="33"/>
      <c r="AU638" s="33"/>
      <c r="AV638" s="33"/>
      <c r="AW638" s="33"/>
      <c r="AX638" s="33" t="str">
        <f t="shared" si="53"/>
        <v>Excellent</v>
      </c>
    </row>
    <row r="639" spans="1:50">
      <c r="A639" s="9" t="s">
        <v>987</v>
      </c>
      <c r="B639" s="10" t="s">
        <v>988</v>
      </c>
      <c r="C639" s="11" t="s">
        <v>989</v>
      </c>
      <c r="D639" s="11" t="s">
        <v>939</v>
      </c>
      <c r="E639" s="11" t="s">
        <v>55</v>
      </c>
      <c r="F639" s="11" t="s">
        <v>56</v>
      </c>
      <c r="G639" s="11" t="s">
        <v>57</v>
      </c>
      <c r="H639" s="11" t="s">
        <v>171</v>
      </c>
      <c r="I639" s="11" t="s">
        <v>84</v>
      </c>
      <c r="J639" s="11" t="s">
        <v>217</v>
      </c>
      <c r="K639" s="25">
        <v>8</v>
      </c>
      <c r="L639" s="25">
        <v>200</v>
      </c>
      <c r="M639" s="29">
        <v>0.1</v>
      </c>
      <c r="N639" s="25">
        <v>1440</v>
      </c>
      <c r="O639" s="25">
        <v>1169.03</v>
      </c>
      <c r="P639" s="25">
        <v>270.97000000000003</v>
      </c>
      <c r="Q639" s="21">
        <v>18.82</v>
      </c>
      <c r="R639" s="11" t="s">
        <v>73</v>
      </c>
      <c r="S639" s="11" t="s">
        <v>42</v>
      </c>
      <c r="T639" s="11" t="s">
        <v>138</v>
      </c>
      <c r="U639" s="11" t="s">
        <v>76</v>
      </c>
      <c r="V639" s="11">
        <v>2024</v>
      </c>
      <c r="W639" s="11" t="s">
        <v>65</v>
      </c>
      <c r="X639" s="11">
        <v>3</v>
      </c>
      <c r="Y639" s="10" t="s">
        <v>337</v>
      </c>
      <c r="Z639" s="11" t="s">
        <v>47</v>
      </c>
      <c r="AA639" s="11" t="s">
        <v>48</v>
      </c>
      <c r="AB639" s="11" t="s">
        <v>49</v>
      </c>
      <c r="AC639" s="11" t="s">
        <v>121</v>
      </c>
      <c r="AD639" s="11">
        <v>1</v>
      </c>
      <c r="AE639" s="11" t="s">
        <v>2248</v>
      </c>
      <c r="AF639" s="11" t="s">
        <v>2224</v>
      </c>
      <c r="AG639" s="25"/>
      <c r="AH639" s="11"/>
      <c r="AI639" s="11"/>
      <c r="AJ639" s="11"/>
      <c r="AK639" s="11"/>
      <c r="AL639" s="11"/>
      <c r="AM639" s="11" t="str">
        <f t="shared" si="49"/>
        <v>Needs Improvement</v>
      </c>
      <c r="AN639" s="11" t="str" cm="1">
        <f t="array" ref="AN639">_xlfn.IFS(N639&lt;10000,"Low",N639&lt;30000,"Medium",N639&gt;=30000,"High")</f>
        <v>Low</v>
      </c>
      <c r="AO639" s="11" t="str">
        <f t="shared" si="50"/>
        <v>No</v>
      </c>
      <c r="AP639" s="11" t="str">
        <f t="shared" si="51"/>
        <v>Yes</v>
      </c>
      <c r="AQ639" s="11">
        <f t="shared" si="52"/>
        <v>0.18817361111111114</v>
      </c>
      <c r="AR639" s="33"/>
      <c r="AS639" s="33"/>
      <c r="AT639" s="33"/>
      <c r="AU639" s="33"/>
      <c r="AV639" s="33"/>
      <c r="AW639" s="33"/>
      <c r="AX639" s="33" t="str">
        <f t="shared" si="53"/>
        <v>Low</v>
      </c>
    </row>
    <row r="640" spans="1:50">
      <c r="A640" s="9" t="s">
        <v>428</v>
      </c>
      <c r="B640" s="10" t="s">
        <v>429</v>
      </c>
      <c r="C640" s="11" t="s">
        <v>430</v>
      </c>
      <c r="D640" s="11" t="s">
        <v>418</v>
      </c>
      <c r="E640" s="11" t="s">
        <v>103</v>
      </c>
      <c r="F640" s="11" t="s">
        <v>156</v>
      </c>
      <c r="G640" s="11" t="s">
        <v>157</v>
      </c>
      <c r="H640" s="11" t="s">
        <v>94</v>
      </c>
      <c r="I640" s="11" t="s">
        <v>95</v>
      </c>
      <c r="J640" s="11" t="s">
        <v>96</v>
      </c>
      <c r="K640" s="25">
        <v>2</v>
      </c>
      <c r="L640" s="25">
        <v>6000</v>
      </c>
      <c r="M640" s="29">
        <v>0.2</v>
      </c>
      <c r="N640" s="25">
        <v>9600</v>
      </c>
      <c r="O640" s="25">
        <v>7016.94</v>
      </c>
      <c r="P640" s="25">
        <v>2583.06</v>
      </c>
      <c r="Q640" s="21">
        <v>26.91</v>
      </c>
      <c r="R640" s="11" t="s">
        <v>41</v>
      </c>
      <c r="S640" s="11" t="s">
        <v>62</v>
      </c>
      <c r="T640" s="11" t="s">
        <v>43</v>
      </c>
      <c r="U640" s="11" t="s">
        <v>76</v>
      </c>
      <c r="V640" s="11">
        <v>2025</v>
      </c>
      <c r="W640" s="11" t="s">
        <v>126</v>
      </c>
      <c r="X640" s="11">
        <v>6</v>
      </c>
      <c r="Y640" s="10" t="s">
        <v>431</v>
      </c>
      <c r="Z640" s="11" t="s">
        <v>47</v>
      </c>
      <c r="AA640" s="11" t="s">
        <v>67</v>
      </c>
      <c r="AB640" s="11" t="s">
        <v>78</v>
      </c>
      <c r="AC640" s="11" t="s">
        <v>121</v>
      </c>
      <c r="AD640" s="11">
        <v>2</v>
      </c>
      <c r="AE640" s="11" t="s">
        <v>2237</v>
      </c>
      <c r="AF640" s="11" t="s">
        <v>2235</v>
      </c>
      <c r="AG640" s="25"/>
      <c r="AH640" s="11"/>
      <c r="AI640" s="11"/>
      <c r="AJ640" s="11"/>
      <c r="AK640" s="11"/>
      <c r="AL640" s="11"/>
      <c r="AM640" s="11" t="str">
        <f t="shared" si="49"/>
        <v>Needs Improvement</v>
      </c>
      <c r="AN640" s="11" t="str" cm="1">
        <f t="array" ref="AN640">_xlfn.IFS(N640&lt;10000,"Low",N640&lt;30000,"Medium",N640&gt;=30000,"High")</f>
        <v>Low</v>
      </c>
      <c r="AO640" s="11" t="str">
        <f t="shared" si="50"/>
        <v>No</v>
      </c>
      <c r="AP640" s="11" t="str">
        <f t="shared" si="51"/>
        <v>No</v>
      </c>
      <c r="AQ640" s="11">
        <f t="shared" si="52"/>
        <v>0.26906874999999997</v>
      </c>
      <c r="AR640" s="33"/>
      <c r="AS640" s="33"/>
      <c r="AT640" s="33"/>
      <c r="AU640" s="33"/>
      <c r="AV640" s="33"/>
      <c r="AW640" s="33"/>
      <c r="AX640" s="33" t="str">
        <f t="shared" si="53"/>
        <v>Low</v>
      </c>
    </row>
    <row r="641" spans="1:50">
      <c r="A641" s="9" t="s">
        <v>628</v>
      </c>
      <c r="B641" s="10" t="s">
        <v>429</v>
      </c>
      <c r="C641" s="11" t="s">
        <v>629</v>
      </c>
      <c r="D641" s="11" t="s">
        <v>364</v>
      </c>
      <c r="E641" s="11" t="s">
        <v>103</v>
      </c>
      <c r="F641" s="11" t="s">
        <v>82</v>
      </c>
      <c r="G641" s="11" t="s">
        <v>83</v>
      </c>
      <c r="H641" s="11" t="s">
        <v>38</v>
      </c>
      <c r="I641" s="11" t="s">
        <v>84</v>
      </c>
      <c r="J641" s="11" t="s">
        <v>290</v>
      </c>
      <c r="K641" s="25">
        <v>10</v>
      </c>
      <c r="L641" s="25">
        <v>200</v>
      </c>
      <c r="M641" s="29">
        <v>0.1</v>
      </c>
      <c r="N641" s="25">
        <v>1800</v>
      </c>
      <c r="O641" s="25">
        <v>1167.4000000000001</v>
      </c>
      <c r="P641" s="25">
        <v>632.6</v>
      </c>
      <c r="Q641" s="21">
        <v>35.14</v>
      </c>
      <c r="R641" s="11" t="s">
        <v>41</v>
      </c>
      <c r="S641" s="11" t="s">
        <v>74</v>
      </c>
      <c r="T641" s="11" t="s">
        <v>138</v>
      </c>
      <c r="U641" s="11" t="s">
        <v>76</v>
      </c>
      <c r="V641" s="11">
        <v>2025</v>
      </c>
      <c r="W641" s="11" t="s">
        <v>126</v>
      </c>
      <c r="X641" s="11">
        <v>5</v>
      </c>
      <c r="Y641" s="10" t="s">
        <v>630</v>
      </c>
      <c r="Z641" s="11" t="s">
        <v>110</v>
      </c>
      <c r="AA641" s="11" t="s">
        <v>48</v>
      </c>
      <c r="AB641" s="11" t="s">
        <v>49</v>
      </c>
      <c r="AC641" s="11" t="s">
        <v>50</v>
      </c>
      <c r="AD641" s="11">
        <v>3</v>
      </c>
      <c r="AE641" s="11" t="s">
        <v>86</v>
      </c>
      <c r="AF641" s="11" t="s">
        <v>2249</v>
      </c>
      <c r="AG641" s="25"/>
      <c r="AH641" s="11"/>
      <c r="AI641" s="11"/>
      <c r="AJ641" s="11"/>
      <c r="AK641" s="11"/>
      <c r="AL641" s="11"/>
      <c r="AM641" s="11" t="str">
        <f t="shared" si="49"/>
        <v>Good</v>
      </c>
      <c r="AN641" s="11" t="str" cm="1">
        <f t="array" ref="AN641">_xlfn.IFS(N641&lt;10000,"Low",N641&lt;30000,"Medium",N641&gt;=30000,"High")</f>
        <v>Low</v>
      </c>
      <c r="AO641" s="11" t="str">
        <f t="shared" si="50"/>
        <v>No</v>
      </c>
      <c r="AP641" s="11" t="str">
        <f t="shared" si="51"/>
        <v>Yes</v>
      </c>
      <c r="AQ641" s="11">
        <f t="shared" si="52"/>
        <v>0.35144444444444445</v>
      </c>
      <c r="AR641" s="33"/>
      <c r="AS641" s="33"/>
      <c r="AT641" s="33"/>
      <c r="AU641" s="33"/>
      <c r="AV641" s="33"/>
      <c r="AW641" s="33"/>
      <c r="AX641" s="33" t="str">
        <f t="shared" si="53"/>
        <v>Low</v>
      </c>
    </row>
    <row r="642" spans="1:50">
      <c r="A642" s="9" t="s">
        <v>779</v>
      </c>
      <c r="B642" s="10" t="s">
        <v>780</v>
      </c>
      <c r="C642" s="11" t="s">
        <v>781</v>
      </c>
      <c r="D642" s="11" t="s">
        <v>782</v>
      </c>
      <c r="E642" s="11" t="s">
        <v>35</v>
      </c>
      <c r="F642" s="11" t="s">
        <v>156</v>
      </c>
      <c r="G642" s="11" t="s">
        <v>157</v>
      </c>
      <c r="H642" s="11" t="s">
        <v>58</v>
      </c>
      <c r="I642" s="11" t="s">
        <v>59</v>
      </c>
      <c r="J642" s="11" t="s">
        <v>328</v>
      </c>
      <c r="K642" s="25">
        <v>4</v>
      </c>
      <c r="L642" s="25">
        <v>2000</v>
      </c>
      <c r="M642" s="29">
        <v>0.05</v>
      </c>
      <c r="N642" s="25">
        <v>7600</v>
      </c>
      <c r="O642" s="25">
        <v>5959.47</v>
      </c>
      <c r="P642" s="25">
        <v>1640.53</v>
      </c>
      <c r="Q642" s="21">
        <v>21.59</v>
      </c>
      <c r="R642" s="11" t="s">
        <v>61</v>
      </c>
      <c r="S642" s="11" t="s">
        <v>42</v>
      </c>
      <c r="T642" s="11" t="s">
        <v>107</v>
      </c>
      <c r="U642" s="11" t="s">
        <v>98</v>
      </c>
      <c r="V642" s="11">
        <v>2025</v>
      </c>
      <c r="W642" s="11" t="s">
        <v>139</v>
      </c>
      <c r="X642" s="11">
        <v>8</v>
      </c>
      <c r="Y642" s="10" t="s">
        <v>783</v>
      </c>
      <c r="Z642" s="11" t="s">
        <v>89</v>
      </c>
      <c r="AA642" s="11" t="s">
        <v>67</v>
      </c>
      <c r="AB642" s="11" t="s">
        <v>49</v>
      </c>
      <c r="AC642" s="11" t="s">
        <v>121</v>
      </c>
      <c r="AD642" s="11">
        <v>2</v>
      </c>
      <c r="AE642" s="11" t="s">
        <v>2227</v>
      </c>
      <c r="AF642" s="11" t="s">
        <v>2238</v>
      </c>
      <c r="AG642" s="25"/>
      <c r="AH642" s="11"/>
      <c r="AI642" s="11"/>
      <c r="AJ642" s="11"/>
      <c r="AK642" s="11"/>
      <c r="AL642" s="11"/>
      <c r="AM642" s="11" t="str">
        <f t="shared" ref="AM642:AM705" si="54">IF(Q642&gt;=30,"Good","Needs Improvement")</f>
        <v>Needs Improvement</v>
      </c>
      <c r="AN642" s="11" t="str" cm="1">
        <f t="array" ref="AN642">_xlfn.IFS(N642&lt;10000,"Low",N642&lt;30000,"Medium",N642&gt;=30000,"High")</f>
        <v>Low</v>
      </c>
      <c r="AO642" s="11" t="str">
        <f t="shared" ref="AO642:AO705" si="55">IF(AND(N642&gt;=30000,P642&gt;=10000),"Yes","No")</f>
        <v>No</v>
      </c>
      <c r="AP642" s="11" t="str">
        <f t="shared" ref="AP642:AP705" si="56">IF(OR(S642="Online",S642="Marketplace"),"Yes","No")</f>
        <v>Yes</v>
      </c>
      <c r="AQ642" s="11">
        <f t="shared" ref="AQ642:AQ705" si="57">IFERROR(P642/N642,"No Error")</f>
        <v>0.21585921052631579</v>
      </c>
      <c r="AR642" s="33"/>
      <c r="AS642" s="33"/>
      <c r="AT642" s="33"/>
      <c r="AU642" s="33"/>
      <c r="AV642" s="33"/>
      <c r="AW642" s="33"/>
      <c r="AX642" s="33" t="str">
        <f t="shared" ref="AX642:AX705" si="58">IF(P642&gt;=20000,"Excellent",IF(P642&gt;=10000,"Good",IF(P642&gt;=5000,"Average","Low")))</f>
        <v>Low</v>
      </c>
    </row>
    <row r="643" spans="1:50">
      <c r="A643" s="9" t="s">
        <v>1683</v>
      </c>
      <c r="B643" s="10" t="s">
        <v>780</v>
      </c>
      <c r="C643" s="11" t="s">
        <v>812</v>
      </c>
      <c r="D643" s="11" t="s">
        <v>1476</v>
      </c>
      <c r="E643" s="11" t="s">
        <v>55</v>
      </c>
      <c r="F643" s="11" t="s">
        <v>56</v>
      </c>
      <c r="G643" s="11" t="s">
        <v>57</v>
      </c>
      <c r="H643" s="11" t="s">
        <v>58</v>
      </c>
      <c r="I643" s="11" t="s">
        <v>71</v>
      </c>
      <c r="J643" s="11" t="s">
        <v>240</v>
      </c>
      <c r="K643" s="25">
        <v>7</v>
      </c>
      <c r="L643" s="25">
        <v>700</v>
      </c>
      <c r="M643" s="29">
        <v>0.05</v>
      </c>
      <c r="N643" s="25">
        <v>4655</v>
      </c>
      <c r="O643" s="25">
        <v>3167.75</v>
      </c>
      <c r="P643" s="25">
        <v>1487.25</v>
      </c>
      <c r="Q643" s="21">
        <v>31.95</v>
      </c>
      <c r="R643" s="11" t="s">
        <v>166</v>
      </c>
      <c r="S643" s="11" t="s">
        <v>42</v>
      </c>
      <c r="T643" s="11" t="s">
        <v>75</v>
      </c>
      <c r="U643" s="11" t="s">
        <v>98</v>
      </c>
      <c r="V643" s="11">
        <v>2025</v>
      </c>
      <c r="W643" s="11" t="s">
        <v>139</v>
      </c>
      <c r="X643" s="11">
        <v>9</v>
      </c>
      <c r="Y643" s="10">
        <v>45660</v>
      </c>
      <c r="Z643" s="11" t="s">
        <v>47</v>
      </c>
      <c r="AA643" s="11" t="s">
        <v>67</v>
      </c>
      <c r="AB643" s="11" t="s">
        <v>111</v>
      </c>
      <c r="AC643" s="11" t="s">
        <v>121</v>
      </c>
      <c r="AD643" s="11">
        <v>4</v>
      </c>
      <c r="AE643" s="11" t="s">
        <v>2227</v>
      </c>
      <c r="AF643" s="11" t="s">
        <v>2212</v>
      </c>
      <c r="AG643" s="25"/>
      <c r="AH643" s="11"/>
      <c r="AI643" s="11"/>
      <c r="AJ643" s="11"/>
      <c r="AK643" s="11"/>
      <c r="AL643" s="11"/>
      <c r="AM643" s="11" t="str">
        <f t="shared" si="54"/>
        <v>Good</v>
      </c>
      <c r="AN643" s="11" t="str" cm="1">
        <f t="array" ref="AN643">_xlfn.IFS(N643&lt;10000,"Low",N643&lt;30000,"Medium",N643&gt;=30000,"High")</f>
        <v>Low</v>
      </c>
      <c r="AO643" s="11" t="str">
        <f t="shared" si="55"/>
        <v>No</v>
      </c>
      <c r="AP643" s="11" t="str">
        <f t="shared" si="56"/>
        <v>Yes</v>
      </c>
      <c r="AQ643" s="11">
        <f t="shared" si="57"/>
        <v>0.3194951664876477</v>
      </c>
      <c r="AR643" s="33"/>
      <c r="AS643" s="33"/>
      <c r="AT643" s="33"/>
      <c r="AU643" s="33"/>
      <c r="AV643" s="33"/>
      <c r="AW643" s="33"/>
      <c r="AX643" s="33" t="str">
        <f t="shared" si="58"/>
        <v>Low</v>
      </c>
    </row>
    <row r="644" spans="1:50">
      <c r="A644" s="9" t="s">
        <v>2011</v>
      </c>
      <c r="B644" s="10" t="s">
        <v>780</v>
      </c>
      <c r="C644" s="11" t="s">
        <v>830</v>
      </c>
      <c r="D644" s="11" t="s">
        <v>770</v>
      </c>
      <c r="E644" s="11" t="s">
        <v>55</v>
      </c>
      <c r="F644" s="11" t="s">
        <v>149</v>
      </c>
      <c r="G644" s="11" t="s">
        <v>150</v>
      </c>
      <c r="H644" s="11" t="s">
        <v>94</v>
      </c>
      <c r="I644" s="11" t="s">
        <v>95</v>
      </c>
      <c r="J644" s="11" t="s">
        <v>440</v>
      </c>
      <c r="K644" s="25">
        <v>6</v>
      </c>
      <c r="L644" s="25">
        <v>4000</v>
      </c>
      <c r="M644" s="29">
        <v>0</v>
      </c>
      <c r="N644" s="25">
        <v>24000</v>
      </c>
      <c r="O644" s="25">
        <v>19396.240000000002</v>
      </c>
      <c r="P644" s="25">
        <v>4603.76</v>
      </c>
      <c r="Q644" s="21">
        <v>19.18</v>
      </c>
      <c r="R644" s="11" t="s">
        <v>106</v>
      </c>
      <c r="S644" s="11" t="s">
        <v>62</v>
      </c>
      <c r="T644" s="11" t="s">
        <v>107</v>
      </c>
      <c r="U644" s="11" t="s">
        <v>98</v>
      </c>
      <c r="V644" s="11">
        <v>2025</v>
      </c>
      <c r="W644" s="11" t="s">
        <v>139</v>
      </c>
      <c r="X644" s="11">
        <v>1</v>
      </c>
      <c r="Y644" s="10" t="s">
        <v>1225</v>
      </c>
      <c r="Z644" s="11" t="s">
        <v>47</v>
      </c>
      <c r="AA644" s="11" t="s">
        <v>67</v>
      </c>
      <c r="AB644" s="11" t="s">
        <v>111</v>
      </c>
      <c r="AC644" s="11" t="s">
        <v>121</v>
      </c>
      <c r="AD644" s="11">
        <v>1</v>
      </c>
      <c r="AE644" s="11" t="s">
        <v>2227</v>
      </c>
      <c r="AF644" s="11" t="s">
        <v>2219</v>
      </c>
      <c r="AG644" s="25"/>
      <c r="AH644" s="11"/>
      <c r="AI644" s="11"/>
      <c r="AJ644" s="11"/>
      <c r="AK644" s="11"/>
      <c r="AL644" s="11"/>
      <c r="AM644" s="11" t="str">
        <f t="shared" si="54"/>
        <v>Needs Improvement</v>
      </c>
      <c r="AN644" s="11" t="str" cm="1">
        <f t="array" ref="AN644">_xlfn.IFS(N644&lt;10000,"Low",N644&lt;30000,"Medium",N644&gt;=30000,"High")</f>
        <v>Medium</v>
      </c>
      <c r="AO644" s="11" t="str">
        <f t="shared" si="55"/>
        <v>No</v>
      </c>
      <c r="AP644" s="11" t="str">
        <f t="shared" si="56"/>
        <v>No</v>
      </c>
      <c r="AQ644" s="11">
        <f t="shared" si="57"/>
        <v>0.19182333333333335</v>
      </c>
      <c r="AR644" s="33"/>
      <c r="AS644" s="33"/>
      <c r="AT644" s="33"/>
      <c r="AU644" s="33"/>
      <c r="AV644" s="33"/>
      <c r="AW644" s="33"/>
      <c r="AX644" s="33" t="str">
        <f t="shared" si="58"/>
        <v>Low</v>
      </c>
    </row>
    <row r="645" spans="1:50">
      <c r="A645" s="9" t="s">
        <v>432</v>
      </c>
      <c r="B645" s="10" t="s">
        <v>433</v>
      </c>
      <c r="C645" s="11" t="s">
        <v>238</v>
      </c>
      <c r="D645" s="11" t="s">
        <v>434</v>
      </c>
      <c r="E645" s="11" t="s">
        <v>103</v>
      </c>
      <c r="F645" s="11" t="s">
        <v>82</v>
      </c>
      <c r="G645" s="11" t="s">
        <v>83</v>
      </c>
      <c r="H645" s="11" t="s">
        <v>171</v>
      </c>
      <c r="I645" s="11" t="s">
        <v>71</v>
      </c>
      <c r="J645" s="11" t="s">
        <v>117</v>
      </c>
      <c r="K645" s="25">
        <v>4</v>
      </c>
      <c r="L645" s="25">
        <v>1200</v>
      </c>
      <c r="M645" s="29">
        <v>0.05</v>
      </c>
      <c r="N645" s="25">
        <v>4560</v>
      </c>
      <c r="O645" s="25">
        <v>3133.07</v>
      </c>
      <c r="P645" s="25">
        <v>1426.93</v>
      </c>
      <c r="Q645" s="21">
        <v>31.29</v>
      </c>
      <c r="R645" s="11" t="s">
        <v>41</v>
      </c>
      <c r="S645" s="11" t="s">
        <v>74</v>
      </c>
      <c r="T645" s="11" t="s">
        <v>63</v>
      </c>
      <c r="U645" s="11" t="s">
        <v>178</v>
      </c>
      <c r="V645" s="11">
        <v>2024</v>
      </c>
      <c r="W645" s="11" t="s">
        <v>134</v>
      </c>
      <c r="X645" s="11">
        <v>5</v>
      </c>
      <c r="Y645" s="10" t="s">
        <v>435</v>
      </c>
      <c r="Z645" s="11" t="s">
        <v>47</v>
      </c>
      <c r="AA645" s="11" t="s">
        <v>67</v>
      </c>
      <c r="AB645" s="11" t="s">
        <v>49</v>
      </c>
      <c r="AC645" s="11" t="s">
        <v>121</v>
      </c>
      <c r="AD645" s="11">
        <v>2</v>
      </c>
      <c r="AE645" s="11" t="s">
        <v>2227</v>
      </c>
      <c r="AF645" s="11" t="s">
        <v>2231</v>
      </c>
      <c r="AG645" s="25"/>
      <c r="AH645" s="11"/>
      <c r="AI645" s="11"/>
      <c r="AJ645" s="11"/>
      <c r="AK645" s="11"/>
      <c r="AL645" s="11"/>
      <c r="AM645" s="11" t="str">
        <f t="shared" si="54"/>
        <v>Good</v>
      </c>
      <c r="AN645" s="11" t="str" cm="1">
        <f t="array" ref="AN645">_xlfn.IFS(N645&lt;10000,"Low",N645&lt;30000,"Medium",N645&gt;=30000,"High")</f>
        <v>Low</v>
      </c>
      <c r="AO645" s="11" t="str">
        <f t="shared" si="55"/>
        <v>No</v>
      </c>
      <c r="AP645" s="11" t="str">
        <f t="shared" si="56"/>
        <v>Yes</v>
      </c>
      <c r="AQ645" s="11">
        <f t="shared" si="57"/>
        <v>0.31292324561403512</v>
      </c>
      <c r="AR645" s="33"/>
      <c r="AS645" s="33"/>
      <c r="AT645" s="33"/>
      <c r="AU645" s="33"/>
      <c r="AV645" s="33"/>
      <c r="AW645" s="33"/>
      <c r="AX645" s="33" t="str">
        <f t="shared" si="58"/>
        <v>Low</v>
      </c>
    </row>
    <row r="646" spans="1:50">
      <c r="A646" s="9" t="s">
        <v>1555</v>
      </c>
      <c r="B646" s="10" t="s">
        <v>433</v>
      </c>
      <c r="C646" s="11" t="s">
        <v>1321</v>
      </c>
      <c r="D646" s="11" t="s">
        <v>1556</v>
      </c>
      <c r="E646" s="11" t="s">
        <v>35</v>
      </c>
      <c r="F646" s="11" t="s">
        <v>144</v>
      </c>
      <c r="G646" s="11" t="s">
        <v>145</v>
      </c>
      <c r="H646" s="11" t="s">
        <v>94</v>
      </c>
      <c r="I646" s="11" t="s">
        <v>71</v>
      </c>
      <c r="J646" s="11" t="s">
        <v>72</v>
      </c>
      <c r="K646" s="25">
        <v>9</v>
      </c>
      <c r="L646" s="25">
        <v>3500</v>
      </c>
      <c r="M646" s="29">
        <v>0.05</v>
      </c>
      <c r="N646" s="25">
        <v>29925</v>
      </c>
      <c r="O646" s="25">
        <v>17627.22</v>
      </c>
      <c r="P646" s="25">
        <v>12297.78</v>
      </c>
      <c r="Q646" s="21">
        <v>41.1</v>
      </c>
      <c r="R646" s="11" t="s">
        <v>73</v>
      </c>
      <c r="S646" s="11" t="s">
        <v>62</v>
      </c>
      <c r="T646" s="11" t="s">
        <v>97</v>
      </c>
      <c r="U646" s="11" t="s">
        <v>178</v>
      </c>
      <c r="V646" s="11">
        <v>2024</v>
      </c>
      <c r="W646" s="11" t="s">
        <v>134</v>
      </c>
      <c r="X646" s="11">
        <v>10</v>
      </c>
      <c r="Y646" s="10" t="s">
        <v>1188</v>
      </c>
      <c r="Z646" s="11" t="s">
        <v>89</v>
      </c>
      <c r="AA646" s="11" t="s">
        <v>90</v>
      </c>
      <c r="AB646" s="11" t="s">
        <v>111</v>
      </c>
      <c r="AC646" s="11" t="s">
        <v>50</v>
      </c>
      <c r="AD646" s="11">
        <v>3</v>
      </c>
      <c r="AE646" s="11" t="s">
        <v>2216</v>
      </c>
      <c r="AF646" s="11" t="s">
        <v>2231</v>
      </c>
      <c r="AG646" s="25"/>
      <c r="AH646" s="11"/>
      <c r="AI646" s="11"/>
      <c r="AJ646" s="11"/>
      <c r="AK646" s="11"/>
      <c r="AL646" s="11"/>
      <c r="AM646" s="11" t="str">
        <f t="shared" si="54"/>
        <v>Good</v>
      </c>
      <c r="AN646" s="11" t="str" cm="1">
        <f t="array" ref="AN646">_xlfn.IFS(N646&lt;10000,"Low",N646&lt;30000,"Medium",N646&gt;=30000,"High")</f>
        <v>Medium</v>
      </c>
      <c r="AO646" s="11" t="str">
        <f t="shared" si="55"/>
        <v>No</v>
      </c>
      <c r="AP646" s="11" t="str">
        <f t="shared" si="56"/>
        <v>No</v>
      </c>
      <c r="AQ646" s="11">
        <f t="shared" si="57"/>
        <v>0.41095338345864663</v>
      </c>
      <c r="AR646" s="33"/>
      <c r="AS646" s="33"/>
      <c r="AT646" s="33"/>
      <c r="AU646" s="33"/>
      <c r="AV646" s="33"/>
      <c r="AW646" s="33"/>
      <c r="AX646" s="33" t="str">
        <f t="shared" si="58"/>
        <v>Good</v>
      </c>
    </row>
    <row r="647" spans="1:50">
      <c r="A647" s="9" t="s">
        <v>755</v>
      </c>
      <c r="B647" s="10" t="s">
        <v>756</v>
      </c>
      <c r="C647" s="11" t="s">
        <v>757</v>
      </c>
      <c r="D647" s="11" t="s">
        <v>758</v>
      </c>
      <c r="E647" s="11" t="s">
        <v>103</v>
      </c>
      <c r="F647" s="11" t="s">
        <v>144</v>
      </c>
      <c r="G647" s="11" t="s">
        <v>145</v>
      </c>
      <c r="H647" s="11" t="s">
        <v>171</v>
      </c>
      <c r="I647" s="11" t="s">
        <v>71</v>
      </c>
      <c r="J647" s="11" t="s">
        <v>72</v>
      </c>
      <c r="K647" s="25">
        <v>7</v>
      </c>
      <c r="L647" s="25">
        <v>1200</v>
      </c>
      <c r="M647" s="29">
        <v>0.2</v>
      </c>
      <c r="N647" s="25">
        <v>6720</v>
      </c>
      <c r="O647" s="25">
        <v>3879.72</v>
      </c>
      <c r="P647" s="25">
        <v>2840.28</v>
      </c>
      <c r="Q647" s="21">
        <v>42.27</v>
      </c>
      <c r="R647" s="11" t="s">
        <v>61</v>
      </c>
      <c r="S647" s="11" t="s">
        <v>62</v>
      </c>
      <c r="T647" s="11" t="s">
        <v>86</v>
      </c>
      <c r="U647" s="11" t="s">
        <v>178</v>
      </c>
      <c r="V647" s="11">
        <v>2025</v>
      </c>
      <c r="W647" s="11" t="s">
        <v>139</v>
      </c>
      <c r="X647" s="11">
        <v>3</v>
      </c>
      <c r="Y647" s="10" t="s">
        <v>759</v>
      </c>
      <c r="Z647" s="11" t="s">
        <v>47</v>
      </c>
      <c r="AA647" s="11" t="s">
        <v>90</v>
      </c>
      <c r="AB647" s="11" t="s">
        <v>49</v>
      </c>
      <c r="AC647" s="11" t="s">
        <v>50</v>
      </c>
      <c r="AD647" s="11">
        <v>5</v>
      </c>
      <c r="AE647" s="11" t="s">
        <v>86</v>
      </c>
      <c r="AF647" s="11" t="s">
        <v>2223</v>
      </c>
      <c r="AG647" s="25"/>
      <c r="AH647" s="11"/>
      <c r="AI647" s="11"/>
      <c r="AJ647" s="11"/>
      <c r="AK647" s="11"/>
      <c r="AL647" s="11"/>
      <c r="AM647" s="11" t="str">
        <f t="shared" si="54"/>
        <v>Good</v>
      </c>
      <c r="AN647" s="11" t="str" cm="1">
        <f t="array" ref="AN647">_xlfn.IFS(N647&lt;10000,"Low",N647&lt;30000,"Medium",N647&gt;=30000,"High")</f>
        <v>Low</v>
      </c>
      <c r="AO647" s="11" t="str">
        <f t="shared" si="55"/>
        <v>No</v>
      </c>
      <c r="AP647" s="11" t="str">
        <f t="shared" si="56"/>
        <v>No</v>
      </c>
      <c r="AQ647" s="11">
        <f t="shared" si="57"/>
        <v>0.42266071428571433</v>
      </c>
      <c r="AR647" s="33"/>
      <c r="AS647" s="33"/>
      <c r="AT647" s="33"/>
      <c r="AU647" s="33"/>
      <c r="AV647" s="33"/>
      <c r="AW647" s="33"/>
      <c r="AX647" s="33" t="str">
        <f t="shared" si="58"/>
        <v>Low</v>
      </c>
    </row>
    <row r="648" spans="1:50">
      <c r="A648" s="9" t="s">
        <v>1391</v>
      </c>
      <c r="B648" s="10" t="s">
        <v>756</v>
      </c>
      <c r="C648" s="11" t="s">
        <v>1392</v>
      </c>
      <c r="D648" s="11" t="s">
        <v>1057</v>
      </c>
      <c r="E648" s="11" t="s">
        <v>103</v>
      </c>
      <c r="F648" s="11" t="s">
        <v>149</v>
      </c>
      <c r="G648" s="11" t="s">
        <v>150</v>
      </c>
      <c r="H648" s="11" t="s">
        <v>94</v>
      </c>
      <c r="I648" s="11" t="s">
        <v>84</v>
      </c>
      <c r="J648" s="11" t="s">
        <v>229</v>
      </c>
      <c r="K648" s="25">
        <v>3</v>
      </c>
      <c r="L648" s="25">
        <v>800</v>
      </c>
      <c r="M648" s="29">
        <v>0.2</v>
      </c>
      <c r="N648" s="25">
        <v>1920</v>
      </c>
      <c r="O648" s="25">
        <v>1130.8699999999999</v>
      </c>
      <c r="P648" s="25">
        <v>789.13</v>
      </c>
      <c r="Q648" s="21">
        <v>41.1</v>
      </c>
      <c r="R648" s="11" t="s">
        <v>61</v>
      </c>
      <c r="S648" s="11" t="s">
        <v>62</v>
      </c>
      <c r="T648" s="11" t="s">
        <v>63</v>
      </c>
      <c r="U648" s="11" t="s">
        <v>178</v>
      </c>
      <c r="V648" s="11">
        <v>2025</v>
      </c>
      <c r="W648" s="11" t="s">
        <v>139</v>
      </c>
      <c r="X648" s="11">
        <v>2</v>
      </c>
      <c r="Y648" s="10" t="s">
        <v>1393</v>
      </c>
      <c r="Z648" s="11" t="s">
        <v>47</v>
      </c>
      <c r="AA648" s="11" t="s">
        <v>67</v>
      </c>
      <c r="AB648" s="11" t="s">
        <v>111</v>
      </c>
      <c r="AC648" s="11" t="s">
        <v>121</v>
      </c>
      <c r="AD648" s="11">
        <v>1</v>
      </c>
      <c r="AE648" s="11" t="s">
        <v>86</v>
      </c>
      <c r="AF648" s="11" t="s">
        <v>2212</v>
      </c>
      <c r="AG648" s="25"/>
      <c r="AH648" s="11"/>
      <c r="AI648" s="11"/>
      <c r="AJ648" s="11"/>
      <c r="AK648" s="11"/>
      <c r="AL648" s="11"/>
      <c r="AM648" s="11" t="str">
        <f t="shared" si="54"/>
        <v>Good</v>
      </c>
      <c r="AN648" s="11" t="str" cm="1">
        <f t="array" ref="AN648">_xlfn.IFS(N648&lt;10000,"Low",N648&lt;30000,"Medium",N648&gt;=30000,"High")</f>
        <v>Low</v>
      </c>
      <c r="AO648" s="11" t="str">
        <f t="shared" si="55"/>
        <v>No</v>
      </c>
      <c r="AP648" s="11" t="str">
        <f t="shared" si="56"/>
        <v>No</v>
      </c>
      <c r="AQ648" s="11">
        <f t="shared" si="57"/>
        <v>0.41100520833333332</v>
      </c>
      <c r="AR648" s="33"/>
      <c r="AS648" s="33"/>
      <c r="AT648" s="33"/>
      <c r="AU648" s="33"/>
      <c r="AV648" s="33"/>
      <c r="AW648" s="33"/>
      <c r="AX648" s="33" t="str">
        <f t="shared" si="58"/>
        <v>Low</v>
      </c>
    </row>
    <row r="649" spans="1:50">
      <c r="A649" s="9" t="s">
        <v>1670</v>
      </c>
      <c r="B649" s="10" t="s">
        <v>756</v>
      </c>
      <c r="C649" s="11" t="s">
        <v>1671</v>
      </c>
      <c r="D649" s="11" t="s">
        <v>737</v>
      </c>
      <c r="E649" s="11" t="s">
        <v>55</v>
      </c>
      <c r="F649" s="11" t="s">
        <v>245</v>
      </c>
      <c r="G649" s="11" t="s">
        <v>246</v>
      </c>
      <c r="H649" s="11" t="s">
        <v>171</v>
      </c>
      <c r="I649" s="11" t="s">
        <v>95</v>
      </c>
      <c r="J649" s="11" t="s">
        <v>344</v>
      </c>
      <c r="K649" s="25">
        <v>9</v>
      </c>
      <c r="L649" s="25">
        <v>4000</v>
      </c>
      <c r="M649" s="29">
        <v>0</v>
      </c>
      <c r="N649" s="25">
        <v>36000</v>
      </c>
      <c r="O649" s="25">
        <v>25221.21</v>
      </c>
      <c r="P649" s="25">
        <v>10778.79</v>
      </c>
      <c r="Q649" s="21">
        <v>29.94</v>
      </c>
      <c r="R649" s="11" t="s">
        <v>41</v>
      </c>
      <c r="S649" s="11" t="s">
        <v>62</v>
      </c>
      <c r="T649" s="11" t="s">
        <v>63</v>
      </c>
      <c r="U649" s="11" t="s">
        <v>178</v>
      </c>
      <c r="V649" s="11">
        <v>2025</v>
      </c>
      <c r="W649" s="11" t="s">
        <v>139</v>
      </c>
      <c r="X649" s="11">
        <v>2</v>
      </c>
      <c r="Y649" s="10" t="s">
        <v>1393</v>
      </c>
      <c r="Z649" s="11" t="s">
        <v>110</v>
      </c>
      <c r="AA649" s="11" t="s">
        <v>90</v>
      </c>
      <c r="AB649" s="11" t="s">
        <v>111</v>
      </c>
      <c r="AC649" s="11" t="s">
        <v>50</v>
      </c>
      <c r="AD649" s="11">
        <v>4</v>
      </c>
      <c r="AE649" s="11" t="s">
        <v>2248</v>
      </c>
      <c r="AF649" s="11" t="s">
        <v>2231</v>
      </c>
      <c r="AG649" s="25"/>
      <c r="AH649" s="11"/>
      <c r="AI649" s="11"/>
      <c r="AJ649" s="11"/>
      <c r="AK649" s="11"/>
      <c r="AL649" s="11"/>
      <c r="AM649" s="11" t="str">
        <f t="shared" si="54"/>
        <v>Needs Improvement</v>
      </c>
      <c r="AN649" s="11" t="str" cm="1">
        <f t="array" ref="AN649">_xlfn.IFS(N649&lt;10000,"Low",N649&lt;30000,"Medium",N649&gt;=30000,"High")</f>
        <v>High</v>
      </c>
      <c r="AO649" s="11" t="str">
        <f t="shared" si="55"/>
        <v>Yes</v>
      </c>
      <c r="AP649" s="11" t="str">
        <f t="shared" si="56"/>
        <v>No</v>
      </c>
      <c r="AQ649" s="11">
        <f t="shared" si="57"/>
        <v>0.29941083333333335</v>
      </c>
      <c r="AR649" s="33"/>
      <c r="AS649" s="33"/>
      <c r="AT649" s="33"/>
      <c r="AU649" s="33"/>
      <c r="AV649" s="33"/>
      <c r="AW649" s="33"/>
      <c r="AX649" s="33" t="str">
        <f t="shared" si="58"/>
        <v>Good</v>
      </c>
    </row>
    <row r="650" spans="1:50">
      <c r="A650" s="9" t="s">
        <v>1805</v>
      </c>
      <c r="B650" s="10" t="s">
        <v>756</v>
      </c>
      <c r="C650" s="11" t="s">
        <v>965</v>
      </c>
      <c r="D650" s="11" t="s">
        <v>1020</v>
      </c>
      <c r="E650" s="11" t="s">
        <v>103</v>
      </c>
      <c r="F650" s="11" t="s">
        <v>56</v>
      </c>
      <c r="G650" s="11" t="s">
        <v>57</v>
      </c>
      <c r="H650" s="11" t="s">
        <v>94</v>
      </c>
      <c r="I650" s="11" t="s">
        <v>95</v>
      </c>
      <c r="J650" s="11" t="s">
        <v>96</v>
      </c>
      <c r="K650" s="25">
        <v>8</v>
      </c>
      <c r="L650" s="25">
        <v>4000</v>
      </c>
      <c r="M650" s="29">
        <v>0.2</v>
      </c>
      <c r="N650" s="25">
        <v>25600</v>
      </c>
      <c r="O650" s="25">
        <v>20973.360000000001</v>
      </c>
      <c r="P650" s="25">
        <v>4626.6400000000003</v>
      </c>
      <c r="Q650" s="21">
        <v>18.07</v>
      </c>
      <c r="R650" s="11" t="s">
        <v>41</v>
      </c>
      <c r="S650" s="11" t="s">
        <v>42</v>
      </c>
      <c r="T650" s="11" t="s">
        <v>75</v>
      </c>
      <c r="U650" s="11" t="s">
        <v>178</v>
      </c>
      <c r="V650" s="11">
        <v>2025</v>
      </c>
      <c r="W650" s="11" t="s">
        <v>139</v>
      </c>
      <c r="X650" s="11">
        <v>5</v>
      </c>
      <c r="Y650" s="10" t="s">
        <v>1269</v>
      </c>
      <c r="Z650" s="11" t="s">
        <v>47</v>
      </c>
      <c r="AA650" s="11" t="s">
        <v>90</v>
      </c>
      <c r="AB650" s="11" t="s">
        <v>111</v>
      </c>
      <c r="AC650" s="11" t="s">
        <v>121</v>
      </c>
      <c r="AD650" s="11">
        <v>5</v>
      </c>
      <c r="AE650" s="11" t="s">
        <v>2240</v>
      </c>
      <c r="AF650" s="11" t="s">
        <v>2249</v>
      </c>
      <c r="AG650" s="25"/>
      <c r="AH650" s="11"/>
      <c r="AI650" s="11"/>
      <c r="AJ650" s="11"/>
      <c r="AK650" s="11"/>
      <c r="AL650" s="11"/>
      <c r="AM650" s="11" t="str">
        <f t="shared" si="54"/>
        <v>Needs Improvement</v>
      </c>
      <c r="AN650" s="11" t="str" cm="1">
        <f t="array" ref="AN650">_xlfn.IFS(N650&lt;10000,"Low",N650&lt;30000,"Medium",N650&gt;=30000,"High")</f>
        <v>Medium</v>
      </c>
      <c r="AO650" s="11" t="str">
        <f t="shared" si="55"/>
        <v>No</v>
      </c>
      <c r="AP650" s="11" t="str">
        <f t="shared" si="56"/>
        <v>Yes</v>
      </c>
      <c r="AQ650" s="11">
        <f t="shared" si="57"/>
        <v>0.18072812500000002</v>
      </c>
      <c r="AR650" s="33"/>
      <c r="AS650" s="33"/>
      <c r="AT650" s="33"/>
      <c r="AU650" s="33"/>
      <c r="AV650" s="33"/>
      <c r="AW650" s="33"/>
      <c r="AX650" s="33" t="str">
        <f t="shared" si="58"/>
        <v>Low</v>
      </c>
    </row>
    <row r="651" spans="1:50">
      <c r="A651" s="9" t="s">
        <v>1296</v>
      </c>
      <c r="B651" s="10" t="s">
        <v>1297</v>
      </c>
      <c r="C651" s="11" t="s">
        <v>565</v>
      </c>
      <c r="D651" s="11" t="s">
        <v>746</v>
      </c>
      <c r="E651" s="11" t="s">
        <v>55</v>
      </c>
      <c r="F651" s="11" t="s">
        <v>144</v>
      </c>
      <c r="G651" s="11" t="s">
        <v>145</v>
      </c>
      <c r="H651" s="11" t="s">
        <v>171</v>
      </c>
      <c r="I651" s="11" t="s">
        <v>39</v>
      </c>
      <c r="J651" s="11" t="s">
        <v>165</v>
      </c>
      <c r="K651" s="25">
        <v>2</v>
      </c>
      <c r="L651" s="25">
        <v>8000</v>
      </c>
      <c r="M651" s="29">
        <v>0.2</v>
      </c>
      <c r="N651" s="25">
        <v>12800</v>
      </c>
      <c r="O651" s="25">
        <v>8467.4</v>
      </c>
      <c r="P651" s="25">
        <v>4332.6000000000004</v>
      </c>
      <c r="Q651" s="21">
        <v>33.85</v>
      </c>
      <c r="R651" s="11" t="s">
        <v>61</v>
      </c>
      <c r="S651" s="11" t="s">
        <v>42</v>
      </c>
      <c r="T651" s="11" t="s">
        <v>173</v>
      </c>
      <c r="U651" s="11" t="s">
        <v>44</v>
      </c>
      <c r="V651" s="11">
        <v>2024</v>
      </c>
      <c r="W651" s="11" t="s">
        <v>65</v>
      </c>
      <c r="X651" s="11">
        <v>9</v>
      </c>
      <c r="Y651" s="10" t="s">
        <v>945</v>
      </c>
      <c r="Z651" s="11" t="s">
        <v>110</v>
      </c>
      <c r="AA651" s="11" t="s">
        <v>48</v>
      </c>
      <c r="AB651" s="11" t="s">
        <v>49</v>
      </c>
      <c r="AC651" s="11" t="s">
        <v>121</v>
      </c>
      <c r="AD651" s="11">
        <v>4</v>
      </c>
      <c r="AE651" s="11" t="s">
        <v>2229</v>
      </c>
      <c r="AF651" s="11" t="s">
        <v>2217</v>
      </c>
      <c r="AG651" s="25"/>
      <c r="AH651" s="11"/>
      <c r="AI651" s="11"/>
      <c r="AJ651" s="11"/>
      <c r="AK651" s="11"/>
      <c r="AL651" s="11"/>
      <c r="AM651" s="11" t="str">
        <f t="shared" si="54"/>
        <v>Good</v>
      </c>
      <c r="AN651" s="11" t="str" cm="1">
        <f t="array" ref="AN651">_xlfn.IFS(N651&lt;10000,"Low",N651&lt;30000,"Medium",N651&gt;=30000,"High")</f>
        <v>Medium</v>
      </c>
      <c r="AO651" s="11" t="str">
        <f t="shared" si="55"/>
        <v>No</v>
      </c>
      <c r="AP651" s="11" t="str">
        <f t="shared" si="56"/>
        <v>Yes</v>
      </c>
      <c r="AQ651" s="11">
        <f t="shared" si="57"/>
        <v>0.338484375</v>
      </c>
      <c r="AR651" s="33"/>
      <c r="AS651" s="33"/>
      <c r="AT651" s="33"/>
      <c r="AU651" s="33"/>
      <c r="AV651" s="33"/>
      <c r="AW651" s="33"/>
      <c r="AX651" s="33" t="str">
        <f t="shared" si="58"/>
        <v>Low</v>
      </c>
    </row>
    <row r="652" spans="1:50">
      <c r="A652" s="9" t="s">
        <v>1380</v>
      </c>
      <c r="B652" s="10" t="s">
        <v>1297</v>
      </c>
      <c r="C652" s="11" t="s">
        <v>1183</v>
      </c>
      <c r="D652" s="11" t="s">
        <v>1201</v>
      </c>
      <c r="E652" s="11" t="s">
        <v>35</v>
      </c>
      <c r="F652" s="11" t="s">
        <v>104</v>
      </c>
      <c r="G652" s="11" t="s">
        <v>104</v>
      </c>
      <c r="H652" s="11" t="s">
        <v>38</v>
      </c>
      <c r="I652" s="11" t="s">
        <v>71</v>
      </c>
      <c r="J652" s="11" t="s">
        <v>172</v>
      </c>
      <c r="K652" s="25">
        <v>6</v>
      </c>
      <c r="L652" s="25">
        <v>3500</v>
      </c>
      <c r="M652" s="29">
        <v>0.05</v>
      </c>
      <c r="N652" s="25">
        <v>19950</v>
      </c>
      <c r="O652" s="25">
        <v>14178.41</v>
      </c>
      <c r="P652" s="25">
        <v>5771.59</v>
      </c>
      <c r="Q652" s="21">
        <v>28.93</v>
      </c>
      <c r="R652" s="11" t="s">
        <v>41</v>
      </c>
      <c r="S652" s="11" t="s">
        <v>62</v>
      </c>
      <c r="T652" s="11" t="s">
        <v>97</v>
      </c>
      <c r="U652" s="11" t="s">
        <v>44</v>
      </c>
      <c r="V652" s="11">
        <v>2024</v>
      </c>
      <c r="W652" s="11" t="s">
        <v>65</v>
      </c>
      <c r="X652" s="11">
        <v>2</v>
      </c>
      <c r="Y652" s="10" t="s">
        <v>839</v>
      </c>
      <c r="Z652" s="11" t="s">
        <v>47</v>
      </c>
      <c r="AA652" s="11" t="s">
        <v>67</v>
      </c>
      <c r="AB652" s="11" t="s">
        <v>78</v>
      </c>
      <c r="AC652" s="11" t="s">
        <v>50</v>
      </c>
      <c r="AD652" s="11">
        <v>2</v>
      </c>
      <c r="AE652" s="11" t="s">
        <v>2229</v>
      </c>
      <c r="AF652" s="11" t="s">
        <v>2238</v>
      </c>
      <c r="AG652" s="25"/>
      <c r="AH652" s="11"/>
      <c r="AI652" s="11"/>
      <c r="AJ652" s="11"/>
      <c r="AK652" s="11"/>
      <c r="AL652" s="11"/>
      <c r="AM652" s="11" t="str">
        <f t="shared" si="54"/>
        <v>Needs Improvement</v>
      </c>
      <c r="AN652" s="11" t="str" cm="1">
        <f t="array" ref="AN652">_xlfn.IFS(N652&lt;10000,"Low",N652&lt;30000,"Medium",N652&gt;=30000,"High")</f>
        <v>Medium</v>
      </c>
      <c r="AO652" s="11" t="str">
        <f t="shared" si="55"/>
        <v>No</v>
      </c>
      <c r="AP652" s="11" t="str">
        <f t="shared" si="56"/>
        <v>No</v>
      </c>
      <c r="AQ652" s="11">
        <f t="shared" si="57"/>
        <v>0.28930275689223056</v>
      </c>
      <c r="AR652" s="33"/>
      <c r="AS652" s="33"/>
      <c r="AT652" s="33"/>
      <c r="AU652" s="33"/>
      <c r="AV652" s="33"/>
      <c r="AW652" s="33"/>
      <c r="AX652" s="33" t="str">
        <f t="shared" si="58"/>
        <v>Average</v>
      </c>
    </row>
    <row r="653" spans="1:50">
      <c r="A653" s="9" t="s">
        <v>711</v>
      </c>
      <c r="B653" s="10" t="s">
        <v>555</v>
      </c>
      <c r="C653" s="11" t="s">
        <v>712</v>
      </c>
      <c r="D653" s="11" t="s">
        <v>713</v>
      </c>
      <c r="E653" s="11" t="s">
        <v>35</v>
      </c>
      <c r="F653" s="11" t="s">
        <v>149</v>
      </c>
      <c r="G653" s="11" t="s">
        <v>150</v>
      </c>
      <c r="H653" s="11" t="s">
        <v>38</v>
      </c>
      <c r="I653" s="11" t="s">
        <v>84</v>
      </c>
      <c r="J653" s="11" t="s">
        <v>217</v>
      </c>
      <c r="K653" s="25">
        <v>5</v>
      </c>
      <c r="L653" s="25">
        <v>800</v>
      </c>
      <c r="M653" s="29">
        <v>0.05</v>
      </c>
      <c r="N653" s="25">
        <v>3800</v>
      </c>
      <c r="O653" s="25">
        <v>3087.13</v>
      </c>
      <c r="P653" s="25">
        <v>712.87</v>
      </c>
      <c r="Q653" s="21">
        <v>18.760000000000002</v>
      </c>
      <c r="R653" s="11" t="s">
        <v>106</v>
      </c>
      <c r="S653" s="11" t="s">
        <v>62</v>
      </c>
      <c r="T653" s="11" t="s">
        <v>43</v>
      </c>
      <c r="U653" s="11" t="s">
        <v>44</v>
      </c>
      <c r="V653" s="11">
        <v>2025</v>
      </c>
      <c r="W653" s="11" t="s">
        <v>45</v>
      </c>
      <c r="X653" s="11">
        <v>6</v>
      </c>
      <c r="Y653" s="10" t="s">
        <v>714</v>
      </c>
      <c r="Z653" s="11" t="s">
        <v>89</v>
      </c>
      <c r="AA653" s="11" t="s">
        <v>90</v>
      </c>
      <c r="AB653" s="11" t="s">
        <v>111</v>
      </c>
      <c r="AC653" s="11" t="s">
        <v>50</v>
      </c>
      <c r="AD653" s="11">
        <v>1</v>
      </c>
      <c r="AE653" s="11" t="s">
        <v>2240</v>
      </c>
      <c r="AF653" s="11" t="s">
        <v>2238</v>
      </c>
      <c r="AG653" s="25"/>
      <c r="AH653" s="11"/>
      <c r="AI653" s="11"/>
      <c r="AJ653" s="11"/>
      <c r="AK653" s="11"/>
      <c r="AL653" s="11"/>
      <c r="AM653" s="11" t="str">
        <f t="shared" si="54"/>
        <v>Needs Improvement</v>
      </c>
      <c r="AN653" s="11" t="str" cm="1">
        <f t="array" ref="AN653">_xlfn.IFS(N653&lt;10000,"Low",N653&lt;30000,"Medium",N653&gt;=30000,"High")</f>
        <v>Low</v>
      </c>
      <c r="AO653" s="11" t="str">
        <f t="shared" si="55"/>
        <v>No</v>
      </c>
      <c r="AP653" s="11" t="str">
        <f t="shared" si="56"/>
        <v>No</v>
      </c>
      <c r="AQ653" s="11">
        <f t="shared" si="57"/>
        <v>0.18759736842105262</v>
      </c>
      <c r="AR653" s="33"/>
      <c r="AS653" s="33"/>
      <c r="AT653" s="33"/>
      <c r="AU653" s="33"/>
      <c r="AV653" s="33"/>
      <c r="AW653" s="33"/>
      <c r="AX653" s="33" t="str">
        <f t="shared" si="58"/>
        <v>Low</v>
      </c>
    </row>
    <row r="654" spans="1:50">
      <c r="A654" s="9" t="s">
        <v>1396</v>
      </c>
      <c r="B654" s="10" t="s">
        <v>555</v>
      </c>
      <c r="C654" s="11" t="s">
        <v>430</v>
      </c>
      <c r="D654" s="11" t="s">
        <v>817</v>
      </c>
      <c r="E654" s="11" t="s">
        <v>55</v>
      </c>
      <c r="F654" s="11" t="s">
        <v>131</v>
      </c>
      <c r="G654" s="11" t="s">
        <v>132</v>
      </c>
      <c r="H654" s="11" t="s">
        <v>94</v>
      </c>
      <c r="I654" s="11" t="s">
        <v>71</v>
      </c>
      <c r="J654" s="11" t="s">
        <v>172</v>
      </c>
      <c r="K654" s="25">
        <v>6</v>
      </c>
      <c r="L654" s="25">
        <v>2500</v>
      </c>
      <c r="M654" s="29">
        <v>0.2</v>
      </c>
      <c r="N654" s="25">
        <v>12000</v>
      </c>
      <c r="O654" s="25">
        <v>8908.4599999999991</v>
      </c>
      <c r="P654" s="25">
        <v>3091.54</v>
      </c>
      <c r="Q654" s="21">
        <v>25.76</v>
      </c>
      <c r="R654" s="11" t="s">
        <v>61</v>
      </c>
      <c r="S654" s="11" t="s">
        <v>42</v>
      </c>
      <c r="T654" s="11" t="s">
        <v>75</v>
      </c>
      <c r="U654" s="11" t="s">
        <v>44</v>
      </c>
      <c r="V654" s="11">
        <v>2025</v>
      </c>
      <c r="W654" s="11" t="s">
        <v>45</v>
      </c>
      <c r="X654" s="11">
        <v>3</v>
      </c>
      <c r="Y654" s="10" t="s">
        <v>1397</v>
      </c>
      <c r="Z654" s="11" t="s">
        <v>47</v>
      </c>
      <c r="AA654" s="11" t="s">
        <v>48</v>
      </c>
      <c r="AB654" s="11" t="s">
        <v>111</v>
      </c>
      <c r="AC654" s="11" t="s">
        <v>121</v>
      </c>
      <c r="AD654" s="11">
        <v>2</v>
      </c>
      <c r="AE654" s="11" t="s">
        <v>2220</v>
      </c>
      <c r="AF654" s="11" t="s">
        <v>2214</v>
      </c>
      <c r="AG654" s="25"/>
      <c r="AH654" s="11"/>
      <c r="AI654" s="11"/>
      <c r="AJ654" s="11"/>
      <c r="AK654" s="11"/>
      <c r="AL654" s="11"/>
      <c r="AM654" s="11" t="str">
        <f t="shared" si="54"/>
        <v>Needs Improvement</v>
      </c>
      <c r="AN654" s="11" t="str" cm="1">
        <f t="array" ref="AN654">_xlfn.IFS(N654&lt;10000,"Low",N654&lt;30000,"Medium",N654&gt;=30000,"High")</f>
        <v>Medium</v>
      </c>
      <c r="AO654" s="11" t="str">
        <f t="shared" si="55"/>
        <v>No</v>
      </c>
      <c r="AP654" s="11" t="str">
        <f t="shared" si="56"/>
        <v>Yes</v>
      </c>
      <c r="AQ654" s="11">
        <f t="shared" si="57"/>
        <v>0.25762833333333335</v>
      </c>
      <c r="AR654" s="33"/>
      <c r="AS654" s="33"/>
      <c r="AT654" s="33"/>
      <c r="AU654" s="33"/>
      <c r="AV654" s="33"/>
      <c r="AW654" s="33"/>
      <c r="AX654" s="33" t="str">
        <f t="shared" si="58"/>
        <v>Low</v>
      </c>
    </row>
    <row r="655" spans="1:50">
      <c r="A655" s="9" t="s">
        <v>2073</v>
      </c>
      <c r="B655" s="10" t="s">
        <v>555</v>
      </c>
      <c r="C655" s="11" t="s">
        <v>406</v>
      </c>
      <c r="D655" s="11" t="s">
        <v>1517</v>
      </c>
      <c r="E655" s="11" t="s">
        <v>55</v>
      </c>
      <c r="F655" s="11" t="s">
        <v>36</v>
      </c>
      <c r="G655" s="11" t="s">
        <v>37</v>
      </c>
      <c r="H655" s="11" t="s">
        <v>94</v>
      </c>
      <c r="I655" s="11" t="s">
        <v>71</v>
      </c>
      <c r="J655" s="11" t="s">
        <v>117</v>
      </c>
      <c r="K655" s="25">
        <v>3</v>
      </c>
      <c r="L655" s="25">
        <v>1800</v>
      </c>
      <c r="M655" s="29">
        <v>0.15</v>
      </c>
      <c r="N655" s="25">
        <v>4590</v>
      </c>
      <c r="O655" s="25">
        <v>3450.04</v>
      </c>
      <c r="P655" s="25">
        <v>1139.96</v>
      </c>
      <c r="Q655" s="21">
        <v>24.84</v>
      </c>
      <c r="R655" s="11" t="s">
        <v>73</v>
      </c>
      <c r="S655" s="11" t="s">
        <v>62</v>
      </c>
      <c r="T655" s="11" t="s">
        <v>118</v>
      </c>
      <c r="U655" s="11" t="s">
        <v>44</v>
      </c>
      <c r="V655" s="11">
        <v>2025</v>
      </c>
      <c r="W655" s="11" t="s">
        <v>45</v>
      </c>
      <c r="X655" s="11">
        <v>6</v>
      </c>
      <c r="Y655" s="10" t="s">
        <v>714</v>
      </c>
      <c r="Z655" s="11" t="s">
        <v>47</v>
      </c>
      <c r="AA655" s="11" t="s">
        <v>48</v>
      </c>
      <c r="AB655" s="11" t="s">
        <v>49</v>
      </c>
      <c r="AC655" s="11" t="s">
        <v>50</v>
      </c>
      <c r="AD655" s="11">
        <v>2</v>
      </c>
      <c r="AE655" s="11" t="s">
        <v>2240</v>
      </c>
      <c r="AF655" s="11" t="s">
        <v>2235</v>
      </c>
      <c r="AG655" s="25"/>
      <c r="AH655" s="11"/>
      <c r="AI655" s="11"/>
      <c r="AJ655" s="11"/>
      <c r="AK655" s="11"/>
      <c r="AL655" s="11"/>
      <c r="AM655" s="11" t="str">
        <f t="shared" si="54"/>
        <v>Needs Improvement</v>
      </c>
      <c r="AN655" s="11" t="str" cm="1">
        <f t="array" ref="AN655">_xlfn.IFS(N655&lt;10000,"Low",N655&lt;30000,"Medium",N655&gt;=30000,"High")</f>
        <v>Low</v>
      </c>
      <c r="AO655" s="11" t="str">
        <f t="shared" si="55"/>
        <v>No</v>
      </c>
      <c r="AP655" s="11" t="str">
        <f t="shared" si="56"/>
        <v>No</v>
      </c>
      <c r="AQ655" s="11">
        <f t="shared" si="57"/>
        <v>0.24835729847494553</v>
      </c>
      <c r="AR655" s="33"/>
      <c r="AS655" s="33"/>
      <c r="AT655" s="33"/>
      <c r="AU655" s="33"/>
      <c r="AV655" s="33"/>
      <c r="AW655" s="33"/>
      <c r="AX655" s="33" t="str">
        <f t="shared" si="58"/>
        <v>Low</v>
      </c>
    </row>
    <row r="656" spans="1:50">
      <c r="A656" s="9" t="s">
        <v>1894</v>
      </c>
      <c r="B656" s="10" t="s">
        <v>1272</v>
      </c>
      <c r="C656" s="11" t="s">
        <v>491</v>
      </c>
      <c r="D656" s="11" t="s">
        <v>1011</v>
      </c>
      <c r="E656" s="11" t="s">
        <v>103</v>
      </c>
      <c r="F656" s="11" t="s">
        <v>156</v>
      </c>
      <c r="G656" s="11" t="s">
        <v>157</v>
      </c>
      <c r="H656" s="11" t="s">
        <v>38</v>
      </c>
      <c r="I656" s="11" t="s">
        <v>84</v>
      </c>
      <c r="J656" s="11" t="s">
        <v>290</v>
      </c>
      <c r="K656" s="25">
        <v>2</v>
      </c>
      <c r="L656" s="25">
        <v>800</v>
      </c>
      <c r="M656" s="29">
        <v>0.1</v>
      </c>
      <c r="N656" s="25">
        <v>1440</v>
      </c>
      <c r="O656" s="25">
        <v>1042.96</v>
      </c>
      <c r="P656" s="25">
        <v>397.04</v>
      </c>
      <c r="Q656" s="21">
        <v>27.57</v>
      </c>
      <c r="R656" s="11" t="s">
        <v>106</v>
      </c>
      <c r="S656" s="11" t="s">
        <v>62</v>
      </c>
      <c r="T656" s="11" t="s">
        <v>107</v>
      </c>
      <c r="U656" s="11" t="s">
        <v>119</v>
      </c>
      <c r="V656" s="11">
        <v>2024</v>
      </c>
      <c r="W656" s="11" t="s">
        <v>126</v>
      </c>
      <c r="X656" s="11">
        <v>6</v>
      </c>
      <c r="Y656" s="10" t="s">
        <v>1448</v>
      </c>
      <c r="Z656" s="11" t="s">
        <v>47</v>
      </c>
      <c r="AA656" s="11" t="s">
        <v>48</v>
      </c>
      <c r="AB656" s="11" t="s">
        <v>49</v>
      </c>
      <c r="AC656" s="11" t="s">
        <v>50</v>
      </c>
      <c r="AD656" s="11">
        <v>5</v>
      </c>
      <c r="AE656" s="11" t="s">
        <v>2240</v>
      </c>
      <c r="AF656" s="11" t="s">
        <v>2217</v>
      </c>
      <c r="AG656" s="25"/>
      <c r="AH656" s="11"/>
      <c r="AI656" s="11"/>
      <c r="AJ656" s="11"/>
      <c r="AK656" s="11"/>
      <c r="AL656" s="11"/>
      <c r="AM656" s="11" t="str">
        <f t="shared" si="54"/>
        <v>Needs Improvement</v>
      </c>
      <c r="AN656" s="11" t="str" cm="1">
        <f t="array" ref="AN656">_xlfn.IFS(N656&lt;10000,"Low",N656&lt;30000,"Medium",N656&gt;=30000,"High")</f>
        <v>Low</v>
      </c>
      <c r="AO656" s="11" t="str">
        <f t="shared" si="55"/>
        <v>No</v>
      </c>
      <c r="AP656" s="11" t="str">
        <f t="shared" si="56"/>
        <v>No</v>
      </c>
      <c r="AQ656" s="11">
        <f t="shared" si="57"/>
        <v>0.27572222222222226</v>
      </c>
      <c r="AR656" s="33"/>
      <c r="AS656" s="33"/>
      <c r="AT656" s="33"/>
      <c r="AU656" s="33"/>
      <c r="AV656" s="33"/>
      <c r="AW656" s="33"/>
      <c r="AX656" s="33" t="str">
        <f t="shared" si="58"/>
        <v>Low</v>
      </c>
    </row>
    <row r="657" spans="1:50">
      <c r="A657" s="9" t="s">
        <v>621</v>
      </c>
      <c r="B657" s="10" t="s">
        <v>394</v>
      </c>
      <c r="C657" s="11" t="s">
        <v>622</v>
      </c>
      <c r="D657" s="11" t="s">
        <v>623</v>
      </c>
      <c r="E657" s="11" t="s">
        <v>55</v>
      </c>
      <c r="F657" s="11" t="s">
        <v>116</v>
      </c>
      <c r="G657" s="11" t="s">
        <v>37</v>
      </c>
      <c r="H657" s="11" t="s">
        <v>38</v>
      </c>
      <c r="I657" s="11" t="s">
        <v>84</v>
      </c>
      <c r="J657" s="11" t="s">
        <v>229</v>
      </c>
      <c r="K657" s="25">
        <v>8</v>
      </c>
      <c r="L657" s="25">
        <v>200</v>
      </c>
      <c r="M657" s="29">
        <v>0</v>
      </c>
      <c r="N657" s="25">
        <v>1600</v>
      </c>
      <c r="O657" s="25">
        <v>1061.92</v>
      </c>
      <c r="P657" s="25">
        <v>538.08000000000004</v>
      </c>
      <c r="Q657" s="21">
        <v>33.630000000000003</v>
      </c>
      <c r="R657" s="11" t="s">
        <v>166</v>
      </c>
      <c r="S657" s="11" t="s">
        <v>42</v>
      </c>
      <c r="T657" s="11" t="s">
        <v>63</v>
      </c>
      <c r="U657" s="11" t="s">
        <v>160</v>
      </c>
      <c r="V657" s="11">
        <v>2024</v>
      </c>
      <c r="W657" s="11" t="s">
        <v>139</v>
      </c>
      <c r="X657" s="11">
        <v>7</v>
      </c>
      <c r="Y657" s="10" t="s">
        <v>624</v>
      </c>
      <c r="Z657" s="11" t="s">
        <v>47</v>
      </c>
      <c r="AA657" s="11" t="s">
        <v>90</v>
      </c>
      <c r="AB657" s="11" t="s">
        <v>78</v>
      </c>
      <c r="AC657" s="11" t="s">
        <v>121</v>
      </c>
      <c r="AD657" s="11">
        <v>2</v>
      </c>
      <c r="AE657" s="11" t="s">
        <v>2237</v>
      </c>
      <c r="AF657" s="11" t="s">
        <v>2236</v>
      </c>
      <c r="AG657" s="25"/>
      <c r="AH657" s="11"/>
      <c r="AI657" s="11"/>
      <c r="AJ657" s="11"/>
      <c r="AK657" s="11"/>
      <c r="AL657" s="11"/>
      <c r="AM657" s="11" t="str">
        <f t="shared" si="54"/>
        <v>Good</v>
      </c>
      <c r="AN657" s="11" t="str" cm="1">
        <f t="array" ref="AN657">_xlfn.IFS(N657&lt;10000,"Low",N657&lt;30000,"Medium",N657&gt;=30000,"High")</f>
        <v>Low</v>
      </c>
      <c r="AO657" s="11" t="str">
        <f t="shared" si="55"/>
        <v>No</v>
      </c>
      <c r="AP657" s="11" t="str">
        <f t="shared" si="56"/>
        <v>Yes</v>
      </c>
      <c r="AQ657" s="11">
        <f t="shared" si="57"/>
        <v>0.33630000000000004</v>
      </c>
      <c r="AR657" s="33"/>
      <c r="AS657" s="33"/>
      <c r="AT657" s="33"/>
      <c r="AU657" s="33"/>
      <c r="AV657" s="33"/>
      <c r="AW657" s="33"/>
      <c r="AX657" s="33" t="str">
        <f t="shared" si="58"/>
        <v>Low</v>
      </c>
    </row>
    <row r="658" spans="1:50">
      <c r="A658" s="9" t="s">
        <v>1208</v>
      </c>
      <c r="B658" s="10" t="s">
        <v>394</v>
      </c>
      <c r="C658" s="11" t="s">
        <v>868</v>
      </c>
      <c r="D658" s="11" t="s">
        <v>1209</v>
      </c>
      <c r="E658" s="11" t="s">
        <v>103</v>
      </c>
      <c r="F658" s="11" t="s">
        <v>36</v>
      </c>
      <c r="G658" s="11" t="s">
        <v>37</v>
      </c>
      <c r="H658" s="11" t="s">
        <v>171</v>
      </c>
      <c r="I658" s="11" t="s">
        <v>59</v>
      </c>
      <c r="J658" s="11" t="s">
        <v>206</v>
      </c>
      <c r="K658" s="25">
        <v>3</v>
      </c>
      <c r="L658" s="25">
        <v>500</v>
      </c>
      <c r="M658" s="29">
        <v>0.2</v>
      </c>
      <c r="N658" s="25">
        <v>1200</v>
      </c>
      <c r="O658" s="25">
        <v>942.67</v>
      </c>
      <c r="P658" s="25">
        <v>257.33</v>
      </c>
      <c r="Q658" s="21">
        <v>21.44</v>
      </c>
      <c r="R658" s="11" t="s">
        <v>106</v>
      </c>
      <c r="S658" s="11" t="s">
        <v>42</v>
      </c>
      <c r="T658" s="11" t="s">
        <v>63</v>
      </c>
      <c r="U658" s="11" t="s">
        <v>160</v>
      </c>
      <c r="V658" s="11">
        <v>2024</v>
      </c>
      <c r="W658" s="11" t="s">
        <v>139</v>
      </c>
      <c r="X658" s="11">
        <v>9</v>
      </c>
      <c r="Y658" s="10" t="s">
        <v>638</v>
      </c>
      <c r="Z658" s="11" t="s">
        <v>47</v>
      </c>
      <c r="AA658" s="11" t="s">
        <v>67</v>
      </c>
      <c r="AB658" s="11" t="s">
        <v>49</v>
      </c>
      <c r="AC658" s="11" t="s">
        <v>121</v>
      </c>
      <c r="AD658" s="11">
        <v>2</v>
      </c>
      <c r="AE658" s="11" t="s">
        <v>2225</v>
      </c>
      <c r="AF658" s="11" t="s">
        <v>2235</v>
      </c>
      <c r="AG658" s="25"/>
      <c r="AH658" s="11"/>
      <c r="AI658" s="11"/>
      <c r="AJ658" s="11"/>
      <c r="AK658" s="11"/>
      <c r="AL658" s="11"/>
      <c r="AM658" s="11" t="str">
        <f t="shared" si="54"/>
        <v>Needs Improvement</v>
      </c>
      <c r="AN658" s="11" t="str" cm="1">
        <f t="array" ref="AN658">_xlfn.IFS(N658&lt;10000,"Low",N658&lt;30000,"Medium",N658&gt;=30000,"High")</f>
        <v>Low</v>
      </c>
      <c r="AO658" s="11" t="str">
        <f t="shared" si="55"/>
        <v>No</v>
      </c>
      <c r="AP658" s="11" t="str">
        <f t="shared" si="56"/>
        <v>Yes</v>
      </c>
      <c r="AQ658" s="11">
        <f t="shared" si="57"/>
        <v>0.21444166666666664</v>
      </c>
      <c r="AR658" s="33"/>
      <c r="AS658" s="33"/>
      <c r="AT658" s="33"/>
      <c r="AU658" s="33"/>
      <c r="AV658" s="33"/>
      <c r="AW658" s="33"/>
      <c r="AX658" s="33" t="str">
        <f t="shared" si="58"/>
        <v>Low</v>
      </c>
    </row>
    <row r="659" spans="1:50">
      <c r="A659" s="9" t="s">
        <v>1217</v>
      </c>
      <c r="B659" s="10" t="s">
        <v>1218</v>
      </c>
      <c r="C659" s="11" t="s">
        <v>1219</v>
      </c>
      <c r="D659" s="11" t="s">
        <v>1220</v>
      </c>
      <c r="E659" s="11" t="s">
        <v>55</v>
      </c>
      <c r="F659" s="11" t="s">
        <v>36</v>
      </c>
      <c r="G659" s="11" t="s">
        <v>37</v>
      </c>
      <c r="H659" s="11" t="s">
        <v>58</v>
      </c>
      <c r="I659" s="11" t="s">
        <v>39</v>
      </c>
      <c r="J659" s="11" t="s">
        <v>356</v>
      </c>
      <c r="K659" s="25">
        <v>8</v>
      </c>
      <c r="L659" s="25">
        <v>22000</v>
      </c>
      <c r="M659" s="29">
        <v>0</v>
      </c>
      <c r="N659" s="25">
        <v>176000</v>
      </c>
      <c r="O659" s="25">
        <v>134485.98000000001</v>
      </c>
      <c r="P659" s="25">
        <v>41514.019999999997</v>
      </c>
      <c r="Q659" s="21">
        <v>23.59</v>
      </c>
      <c r="R659" s="11" t="s">
        <v>61</v>
      </c>
      <c r="S659" s="11" t="s">
        <v>74</v>
      </c>
      <c r="T659" s="11" t="s">
        <v>173</v>
      </c>
      <c r="U659" s="11" t="s">
        <v>151</v>
      </c>
      <c r="V659" s="11">
        <v>2024</v>
      </c>
      <c r="W659" s="11" t="s">
        <v>65</v>
      </c>
      <c r="X659" s="11">
        <v>2</v>
      </c>
      <c r="Y659" s="10" t="s">
        <v>996</v>
      </c>
      <c r="Z659" s="11" t="s">
        <v>47</v>
      </c>
      <c r="AA659" s="11" t="s">
        <v>67</v>
      </c>
      <c r="AB659" s="11" t="s">
        <v>111</v>
      </c>
      <c r="AC659" s="11" t="s">
        <v>121</v>
      </c>
      <c r="AD659" s="11">
        <v>1</v>
      </c>
      <c r="AE659" s="11" t="s">
        <v>2229</v>
      </c>
      <c r="AF659" s="11" t="s">
        <v>2231</v>
      </c>
      <c r="AG659" s="25"/>
      <c r="AH659" s="11"/>
      <c r="AI659" s="11"/>
      <c r="AJ659" s="11"/>
      <c r="AK659" s="11"/>
      <c r="AL659" s="11"/>
      <c r="AM659" s="11" t="str">
        <f t="shared" si="54"/>
        <v>Needs Improvement</v>
      </c>
      <c r="AN659" s="11" t="str" cm="1">
        <f t="array" ref="AN659">_xlfn.IFS(N659&lt;10000,"Low",N659&lt;30000,"Medium",N659&gt;=30000,"High")</f>
        <v>High</v>
      </c>
      <c r="AO659" s="11" t="str">
        <f t="shared" si="55"/>
        <v>Yes</v>
      </c>
      <c r="AP659" s="11" t="str">
        <f t="shared" si="56"/>
        <v>Yes</v>
      </c>
      <c r="AQ659" s="11">
        <f t="shared" si="57"/>
        <v>0.23587511363636363</v>
      </c>
      <c r="AR659" s="33"/>
      <c r="AS659" s="33"/>
      <c r="AT659" s="33"/>
      <c r="AU659" s="33"/>
      <c r="AV659" s="33"/>
      <c r="AW659" s="33"/>
      <c r="AX659" s="33" t="str">
        <f t="shared" si="58"/>
        <v>Excellent</v>
      </c>
    </row>
    <row r="660" spans="1:50">
      <c r="A660" s="9" t="s">
        <v>2128</v>
      </c>
      <c r="B660" s="10" t="s">
        <v>1218</v>
      </c>
      <c r="C660" s="11" t="s">
        <v>1703</v>
      </c>
      <c r="D660" s="11" t="s">
        <v>684</v>
      </c>
      <c r="E660" s="11" t="s">
        <v>103</v>
      </c>
      <c r="F660" s="11" t="s">
        <v>116</v>
      </c>
      <c r="G660" s="11" t="s">
        <v>37</v>
      </c>
      <c r="H660" s="11" t="s">
        <v>94</v>
      </c>
      <c r="I660" s="11" t="s">
        <v>84</v>
      </c>
      <c r="J660" s="11" t="s">
        <v>229</v>
      </c>
      <c r="K660" s="25">
        <v>8</v>
      </c>
      <c r="L660" s="25">
        <v>350</v>
      </c>
      <c r="M660" s="29">
        <v>0.05</v>
      </c>
      <c r="N660" s="25">
        <v>2660</v>
      </c>
      <c r="O660" s="25">
        <v>1563.51</v>
      </c>
      <c r="P660" s="25">
        <v>1096.49</v>
      </c>
      <c r="Q660" s="21">
        <v>41.22</v>
      </c>
      <c r="R660" s="11" t="s">
        <v>61</v>
      </c>
      <c r="S660" s="11" t="s">
        <v>42</v>
      </c>
      <c r="T660" s="11" t="s">
        <v>63</v>
      </c>
      <c r="U660" s="11" t="s">
        <v>151</v>
      </c>
      <c r="V660" s="11">
        <v>2024</v>
      </c>
      <c r="W660" s="11" t="s">
        <v>65</v>
      </c>
      <c r="X660" s="11">
        <v>2</v>
      </c>
      <c r="Y660" s="10" t="s">
        <v>996</v>
      </c>
      <c r="Z660" s="11" t="s">
        <v>47</v>
      </c>
      <c r="AA660" s="11" t="s">
        <v>48</v>
      </c>
      <c r="AB660" s="11" t="s">
        <v>111</v>
      </c>
      <c r="AC660" s="11" t="s">
        <v>50</v>
      </c>
      <c r="AD660" s="11">
        <v>5</v>
      </c>
      <c r="AE660" s="11" t="s">
        <v>2233</v>
      </c>
      <c r="AF660" s="11" t="s">
        <v>2230</v>
      </c>
      <c r="AG660" s="25"/>
      <c r="AH660" s="11"/>
      <c r="AI660" s="11"/>
      <c r="AJ660" s="11"/>
      <c r="AK660" s="11"/>
      <c r="AL660" s="11"/>
      <c r="AM660" s="11" t="str">
        <f t="shared" si="54"/>
        <v>Good</v>
      </c>
      <c r="AN660" s="11" t="str" cm="1">
        <f t="array" ref="AN660">_xlfn.IFS(N660&lt;10000,"Low",N660&lt;30000,"Medium",N660&gt;=30000,"High")</f>
        <v>Low</v>
      </c>
      <c r="AO660" s="11" t="str">
        <f t="shared" si="55"/>
        <v>No</v>
      </c>
      <c r="AP660" s="11" t="str">
        <f t="shared" si="56"/>
        <v>Yes</v>
      </c>
      <c r="AQ660" s="11">
        <f t="shared" si="57"/>
        <v>0.4122142857142857</v>
      </c>
      <c r="AR660" s="33"/>
      <c r="AS660" s="33"/>
      <c r="AT660" s="33"/>
      <c r="AU660" s="33"/>
      <c r="AV660" s="33"/>
      <c r="AW660" s="33"/>
      <c r="AX660" s="33" t="str">
        <f t="shared" si="58"/>
        <v>Low</v>
      </c>
    </row>
    <row r="661" spans="1:50">
      <c r="A661" s="9" t="s">
        <v>1023</v>
      </c>
      <c r="B661" s="10" t="s">
        <v>1024</v>
      </c>
      <c r="C661" s="11" t="s">
        <v>1025</v>
      </c>
      <c r="D661" s="11" t="s">
        <v>515</v>
      </c>
      <c r="E661" s="11" t="s">
        <v>35</v>
      </c>
      <c r="F661" s="11" t="s">
        <v>116</v>
      </c>
      <c r="G661" s="11" t="s">
        <v>37</v>
      </c>
      <c r="H661" s="11" t="s">
        <v>94</v>
      </c>
      <c r="I661" s="11" t="s">
        <v>95</v>
      </c>
      <c r="J661" s="11" t="s">
        <v>319</v>
      </c>
      <c r="K661" s="25">
        <v>6</v>
      </c>
      <c r="L661" s="25">
        <v>2500</v>
      </c>
      <c r="M661" s="29">
        <v>0.1</v>
      </c>
      <c r="N661" s="25">
        <v>13500</v>
      </c>
      <c r="O661" s="25">
        <v>9505.09</v>
      </c>
      <c r="P661" s="25">
        <v>3994.91</v>
      </c>
      <c r="Q661" s="21">
        <v>29.59</v>
      </c>
      <c r="R661" s="11" t="s">
        <v>61</v>
      </c>
      <c r="S661" s="11" t="s">
        <v>74</v>
      </c>
      <c r="T661" s="11" t="s">
        <v>118</v>
      </c>
      <c r="U661" s="11" t="s">
        <v>151</v>
      </c>
      <c r="V661" s="11">
        <v>2025</v>
      </c>
      <c r="W661" s="11" t="s">
        <v>45</v>
      </c>
      <c r="X661" s="11">
        <v>9</v>
      </c>
      <c r="Y661" s="10" t="s">
        <v>1026</v>
      </c>
      <c r="Z661" s="11" t="s">
        <v>89</v>
      </c>
      <c r="AA661" s="11" t="s">
        <v>67</v>
      </c>
      <c r="AB661" s="11" t="s">
        <v>78</v>
      </c>
      <c r="AC661" s="11" t="s">
        <v>121</v>
      </c>
      <c r="AD661" s="11">
        <v>2</v>
      </c>
      <c r="AE661" s="11" t="s">
        <v>2233</v>
      </c>
      <c r="AF661" s="11" t="s">
        <v>2224</v>
      </c>
      <c r="AG661" s="25"/>
      <c r="AH661" s="11"/>
      <c r="AI661" s="11"/>
      <c r="AJ661" s="11"/>
      <c r="AK661" s="11"/>
      <c r="AL661" s="11"/>
      <c r="AM661" s="11" t="str">
        <f t="shared" si="54"/>
        <v>Needs Improvement</v>
      </c>
      <c r="AN661" s="11" t="str" cm="1">
        <f t="array" ref="AN661">_xlfn.IFS(N661&lt;10000,"Low",N661&lt;30000,"Medium",N661&gt;=30000,"High")</f>
        <v>Medium</v>
      </c>
      <c r="AO661" s="11" t="str">
        <f t="shared" si="55"/>
        <v>No</v>
      </c>
      <c r="AP661" s="11" t="str">
        <f t="shared" si="56"/>
        <v>Yes</v>
      </c>
      <c r="AQ661" s="11">
        <f t="shared" si="57"/>
        <v>0.29591925925925927</v>
      </c>
      <c r="AR661" s="33"/>
      <c r="AS661" s="33"/>
      <c r="AT661" s="33"/>
      <c r="AU661" s="33"/>
      <c r="AV661" s="33"/>
      <c r="AW661" s="33"/>
      <c r="AX661" s="33" t="str">
        <f t="shared" si="58"/>
        <v>Low</v>
      </c>
    </row>
    <row r="662" spans="1:50">
      <c r="A662" s="9" t="s">
        <v>1644</v>
      </c>
      <c r="B662" s="10" t="s">
        <v>1024</v>
      </c>
      <c r="C662" s="11" t="s">
        <v>812</v>
      </c>
      <c r="D662" s="11" t="s">
        <v>81</v>
      </c>
      <c r="E662" s="11" t="s">
        <v>103</v>
      </c>
      <c r="F662" s="11" t="s">
        <v>82</v>
      </c>
      <c r="G662" s="11" t="s">
        <v>83</v>
      </c>
      <c r="H662" s="11" t="s">
        <v>171</v>
      </c>
      <c r="I662" s="11" t="s">
        <v>59</v>
      </c>
      <c r="J662" s="11" t="s">
        <v>133</v>
      </c>
      <c r="K662" s="25">
        <v>7</v>
      </c>
      <c r="L662" s="25">
        <v>500</v>
      </c>
      <c r="M662" s="29">
        <v>0</v>
      </c>
      <c r="N662" s="25">
        <v>3500</v>
      </c>
      <c r="O662" s="25">
        <v>2736.3</v>
      </c>
      <c r="P662" s="25">
        <v>763.7</v>
      </c>
      <c r="Q662" s="21">
        <v>21.82</v>
      </c>
      <c r="R662" s="11" t="s">
        <v>73</v>
      </c>
      <c r="S662" s="11" t="s">
        <v>62</v>
      </c>
      <c r="T662" s="11" t="s">
        <v>138</v>
      </c>
      <c r="U662" s="11" t="s">
        <v>151</v>
      </c>
      <c r="V662" s="11">
        <v>2025</v>
      </c>
      <c r="W662" s="11" t="s">
        <v>45</v>
      </c>
      <c r="X662" s="11">
        <v>7</v>
      </c>
      <c r="Y662" s="10" t="s">
        <v>967</v>
      </c>
      <c r="Z662" s="11" t="s">
        <v>47</v>
      </c>
      <c r="AA662" s="11" t="s">
        <v>48</v>
      </c>
      <c r="AB662" s="11" t="s">
        <v>49</v>
      </c>
      <c r="AC662" s="11" t="s">
        <v>121</v>
      </c>
      <c r="AD662" s="11">
        <v>1</v>
      </c>
      <c r="AE662" s="11" t="s">
        <v>2239</v>
      </c>
      <c r="AF662" s="11" t="s">
        <v>2223</v>
      </c>
      <c r="AG662" s="25"/>
      <c r="AH662" s="11"/>
      <c r="AI662" s="11"/>
      <c r="AJ662" s="11"/>
      <c r="AK662" s="11"/>
      <c r="AL662" s="11"/>
      <c r="AM662" s="11" t="str">
        <f t="shared" si="54"/>
        <v>Needs Improvement</v>
      </c>
      <c r="AN662" s="11" t="str" cm="1">
        <f t="array" ref="AN662">_xlfn.IFS(N662&lt;10000,"Low",N662&lt;30000,"Medium",N662&gt;=30000,"High")</f>
        <v>Low</v>
      </c>
      <c r="AO662" s="11" t="str">
        <f t="shared" si="55"/>
        <v>No</v>
      </c>
      <c r="AP662" s="11" t="str">
        <f t="shared" si="56"/>
        <v>No</v>
      </c>
      <c r="AQ662" s="11">
        <f t="shared" si="57"/>
        <v>0.21820000000000001</v>
      </c>
      <c r="AR662" s="33"/>
      <c r="AS662" s="33"/>
      <c r="AT662" s="33"/>
      <c r="AU662" s="33"/>
      <c r="AV662" s="33"/>
      <c r="AW662" s="33"/>
      <c r="AX662" s="33" t="str">
        <f t="shared" si="58"/>
        <v>Low</v>
      </c>
    </row>
    <row r="663" spans="1:50">
      <c r="A663" s="9" t="s">
        <v>1928</v>
      </c>
      <c r="B663" s="10" t="s">
        <v>1024</v>
      </c>
      <c r="C663" s="11" t="s">
        <v>163</v>
      </c>
      <c r="D663" s="11" t="s">
        <v>70</v>
      </c>
      <c r="E663" s="11" t="s">
        <v>35</v>
      </c>
      <c r="F663" s="11" t="s">
        <v>36</v>
      </c>
      <c r="G663" s="11" t="s">
        <v>37</v>
      </c>
      <c r="H663" s="11" t="s">
        <v>171</v>
      </c>
      <c r="I663" s="11" t="s">
        <v>84</v>
      </c>
      <c r="J663" s="11" t="s">
        <v>85</v>
      </c>
      <c r="K663" s="25">
        <v>9</v>
      </c>
      <c r="L663" s="25">
        <v>100</v>
      </c>
      <c r="M663" s="29">
        <v>0.15</v>
      </c>
      <c r="N663" s="25">
        <v>765</v>
      </c>
      <c r="O663" s="25">
        <v>452.29</v>
      </c>
      <c r="P663" s="25">
        <v>312.70999999999998</v>
      </c>
      <c r="Q663" s="21">
        <v>40.880000000000003</v>
      </c>
      <c r="R663" s="11" t="s">
        <v>73</v>
      </c>
      <c r="S663" s="11" t="s">
        <v>62</v>
      </c>
      <c r="T663" s="11" t="s">
        <v>107</v>
      </c>
      <c r="U663" s="11" t="s">
        <v>151</v>
      </c>
      <c r="V663" s="11">
        <v>2025</v>
      </c>
      <c r="W663" s="11" t="s">
        <v>45</v>
      </c>
      <c r="X663" s="11">
        <v>6</v>
      </c>
      <c r="Y663" s="10" t="s">
        <v>1034</v>
      </c>
      <c r="Z663" s="11" t="s">
        <v>47</v>
      </c>
      <c r="AA663" s="11" t="s">
        <v>90</v>
      </c>
      <c r="AB663" s="11" t="s">
        <v>111</v>
      </c>
      <c r="AC663" s="11" t="s">
        <v>121</v>
      </c>
      <c r="AD663" s="11">
        <v>4</v>
      </c>
      <c r="AE663" s="11" t="s">
        <v>2213</v>
      </c>
      <c r="AF663" s="11" t="s">
        <v>2238</v>
      </c>
      <c r="AG663" s="25"/>
      <c r="AH663" s="11"/>
      <c r="AI663" s="11"/>
      <c r="AJ663" s="11"/>
      <c r="AK663" s="11"/>
      <c r="AL663" s="11"/>
      <c r="AM663" s="11" t="str">
        <f t="shared" si="54"/>
        <v>Good</v>
      </c>
      <c r="AN663" s="11" t="str" cm="1">
        <f t="array" ref="AN663">_xlfn.IFS(N663&lt;10000,"Low",N663&lt;30000,"Medium",N663&gt;=30000,"High")</f>
        <v>Low</v>
      </c>
      <c r="AO663" s="11" t="str">
        <f t="shared" si="55"/>
        <v>No</v>
      </c>
      <c r="AP663" s="11" t="str">
        <f t="shared" si="56"/>
        <v>No</v>
      </c>
      <c r="AQ663" s="11">
        <f t="shared" si="57"/>
        <v>0.40877124183006536</v>
      </c>
      <c r="AR663" s="33"/>
      <c r="AS663" s="33"/>
      <c r="AT663" s="33"/>
      <c r="AU663" s="33"/>
      <c r="AV663" s="33"/>
      <c r="AW663" s="33"/>
      <c r="AX663" s="33" t="str">
        <f t="shared" si="58"/>
        <v>Low</v>
      </c>
    </row>
    <row r="664" spans="1:50">
      <c r="A664" s="9" t="s">
        <v>1029</v>
      </c>
      <c r="B664" s="10" t="s">
        <v>1030</v>
      </c>
      <c r="C664" s="11" t="s">
        <v>809</v>
      </c>
      <c r="D664" s="11" t="s">
        <v>646</v>
      </c>
      <c r="E664" s="11" t="s">
        <v>55</v>
      </c>
      <c r="F664" s="11" t="s">
        <v>104</v>
      </c>
      <c r="G664" s="11" t="s">
        <v>104</v>
      </c>
      <c r="H664" s="11" t="s">
        <v>58</v>
      </c>
      <c r="I664" s="11" t="s">
        <v>84</v>
      </c>
      <c r="J664" s="11" t="s">
        <v>229</v>
      </c>
      <c r="K664" s="25">
        <v>7</v>
      </c>
      <c r="L664" s="25">
        <v>500</v>
      </c>
      <c r="M664" s="29">
        <v>0</v>
      </c>
      <c r="N664" s="25">
        <v>3500</v>
      </c>
      <c r="O664" s="25">
        <v>2524.02</v>
      </c>
      <c r="P664" s="25">
        <v>975.98</v>
      </c>
      <c r="Q664" s="21">
        <v>27.89</v>
      </c>
      <c r="R664" s="11" t="s">
        <v>61</v>
      </c>
      <c r="S664" s="11" t="s">
        <v>42</v>
      </c>
      <c r="T664" s="11" t="s">
        <v>63</v>
      </c>
      <c r="U664" s="11" t="s">
        <v>218</v>
      </c>
      <c r="V664" s="11">
        <v>2024</v>
      </c>
      <c r="W664" s="11" t="s">
        <v>109</v>
      </c>
      <c r="X664" s="11">
        <v>10</v>
      </c>
      <c r="Y664" s="10" t="s">
        <v>1031</v>
      </c>
      <c r="Z664" s="11" t="s">
        <v>47</v>
      </c>
      <c r="AA664" s="11" t="s">
        <v>90</v>
      </c>
      <c r="AB664" s="11" t="s">
        <v>78</v>
      </c>
      <c r="AC664" s="11" t="s">
        <v>121</v>
      </c>
      <c r="AD664" s="11">
        <v>2</v>
      </c>
      <c r="AE664" s="11" t="s">
        <v>118</v>
      </c>
      <c r="AF664" s="11" t="s">
        <v>2231</v>
      </c>
      <c r="AG664" s="25"/>
      <c r="AH664" s="11"/>
      <c r="AI664" s="11"/>
      <c r="AJ664" s="11"/>
      <c r="AK664" s="11"/>
      <c r="AL664" s="11"/>
      <c r="AM664" s="11" t="str">
        <f t="shared" si="54"/>
        <v>Needs Improvement</v>
      </c>
      <c r="AN664" s="11" t="str" cm="1">
        <f t="array" ref="AN664">_xlfn.IFS(N664&lt;10000,"Low",N664&lt;30000,"Medium",N664&gt;=30000,"High")</f>
        <v>Low</v>
      </c>
      <c r="AO664" s="11" t="str">
        <f t="shared" si="55"/>
        <v>No</v>
      </c>
      <c r="AP664" s="11" t="str">
        <f t="shared" si="56"/>
        <v>Yes</v>
      </c>
      <c r="AQ664" s="11">
        <f t="shared" si="57"/>
        <v>0.27885142857142858</v>
      </c>
      <c r="AR664" s="33"/>
      <c r="AS664" s="33"/>
      <c r="AT664" s="33"/>
      <c r="AU664" s="33"/>
      <c r="AV664" s="33"/>
      <c r="AW664" s="33"/>
      <c r="AX664" s="33" t="str">
        <f t="shared" si="58"/>
        <v>Low</v>
      </c>
    </row>
    <row r="665" spans="1:50">
      <c r="A665" s="9" t="s">
        <v>929</v>
      </c>
      <c r="B665" s="10" t="s">
        <v>795</v>
      </c>
      <c r="C665" s="11" t="s">
        <v>930</v>
      </c>
      <c r="D665" s="11" t="s">
        <v>931</v>
      </c>
      <c r="E665" s="11" t="s">
        <v>35</v>
      </c>
      <c r="F665" s="11" t="s">
        <v>36</v>
      </c>
      <c r="G665" s="11" t="s">
        <v>37</v>
      </c>
      <c r="H665" s="11" t="s">
        <v>38</v>
      </c>
      <c r="I665" s="11" t="s">
        <v>95</v>
      </c>
      <c r="J665" s="11" t="s">
        <v>96</v>
      </c>
      <c r="K665" s="25">
        <v>7</v>
      </c>
      <c r="L665" s="25">
        <v>6000</v>
      </c>
      <c r="M665" s="29">
        <v>0.2</v>
      </c>
      <c r="N665" s="25">
        <v>33600</v>
      </c>
      <c r="O665" s="25">
        <v>22009.95</v>
      </c>
      <c r="P665" s="25">
        <v>11590.05</v>
      </c>
      <c r="Q665" s="21">
        <v>34.49</v>
      </c>
      <c r="R665" s="11" t="s">
        <v>166</v>
      </c>
      <c r="S665" s="11" t="s">
        <v>42</v>
      </c>
      <c r="T665" s="11" t="s">
        <v>75</v>
      </c>
      <c r="U665" s="11" t="s">
        <v>108</v>
      </c>
      <c r="V665" s="11">
        <v>2025</v>
      </c>
      <c r="W665" s="11" t="s">
        <v>65</v>
      </c>
      <c r="X665" s="11">
        <v>1</v>
      </c>
      <c r="Y665" s="10" t="s">
        <v>932</v>
      </c>
      <c r="Z665" s="11" t="s">
        <v>47</v>
      </c>
      <c r="AA665" s="11" t="s">
        <v>90</v>
      </c>
      <c r="AB665" s="11" t="s">
        <v>49</v>
      </c>
      <c r="AC665" s="11" t="s">
        <v>50</v>
      </c>
      <c r="AD665" s="11">
        <v>2</v>
      </c>
      <c r="AE665" s="11" t="s">
        <v>2232</v>
      </c>
      <c r="AF665" s="11" t="s">
        <v>2238</v>
      </c>
      <c r="AG665" s="25"/>
      <c r="AH665" s="11"/>
      <c r="AI665" s="11"/>
      <c r="AJ665" s="11"/>
      <c r="AK665" s="11"/>
      <c r="AL665" s="11"/>
      <c r="AM665" s="11" t="str">
        <f t="shared" si="54"/>
        <v>Good</v>
      </c>
      <c r="AN665" s="11" t="str" cm="1">
        <f t="array" ref="AN665">_xlfn.IFS(N665&lt;10000,"Low",N665&lt;30000,"Medium",N665&gt;=30000,"High")</f>
        <v>High</v>
      </c>
      <c r="AO665" s="11" t="str">
        <f t="shared" si="55"/>
        <v>Yes</v>
      </c>
      <c r="AP665" s="11" t="str">
        <f t="shared" si="56"/>
        <v>Yes</v>
      </c>
      <c r="AQ665" s="11">
        <f t="shared" si="57"/>
        <v>0.34494196428571428</v>
      </c>
      <c r="AR665" s="33"/>
      <c r="AS665" s="33"/>
      <c r="AT665" s="33"/>
      <c r="AU665" s="33"/>
      <c r="AV665" s="33"/>
      <c r="AW665" s="33"/>
      <c r="AX665" s="33" t="str">
        <f t="shared" si="58"/>
        <v>Good</v>
      </c>
    </row>
    <row r="666" spans="1:50">
      <c r="A666" s="9" t="s">
        <v>1364</v>
      </c>
      <c r="B666" s="10" t="s">
        <v>795</v>
      </c>
      <c r="C666" s="11" t="s">
        <v>1365</v>
      </c>
      <c r="D666" s="11" t="s">
        <v>703</v>
      </c>
      <c r="E666" s="11" t="s">
        <v>55</v>
      </c>
      <c r="F666" s="11" t="s">
        <v>149</v>
      </c>
      <c r="G666" s="11" t="s">
        <v>150</v>
      </c>
      <c r="H666" s="11" t="s">
        <v>94</v>
      </c>
      <c r="I666" s="11" t="s">
        <v>39</v>
      </c>
      <c r="J666" s="11" t="s">
        <v>40</v>
      </c>
      <c r="K666" s="25">
        <v>6</v>
      </c>
      <c r="L666" s="25">
        <v>12000</v>
      </c>
      <c r="M666" s="29">
        <v>0</v>
      </c>
      <c r="N666" s="25">
        <v>72000</v>
      </c>
      <c r="O666" s="25">
        <v>44153.97</v>
      </c>
      <c r="P666" s="25">
        <v>27846.03</v>
      </c>
      <c r="Q666" s="21">
        <v>38.68</v>
      </c>
      <c r="R666" s="11" t="s">
        <v>41</v>
      </c>
      <c r="S666" s="11" t="s">
        <v>74</v>
      </c>
      <c r="T666" s="11" t="s">
        <v>43</v>
      </c>
      <c r="U666" s="11" t="s">
        <v>108</v>
      </c>
      <c r="V666" s="11">
        <v>2025</v>
      </c>
      <c r="W666" s="11" t="s">
        <v>65</v>
      </c>
      <c r="X666" s="11">
        <v>5</v>
      </c>
      <c r="Y666" s="10" t="s">
        <v>1366</v>
      </c>
      <c r="Z666" s="11" t="s">
        <v>47</v>
      </c>
      <c r="AA666" s="11" t="s">
        <v>90</v>
      </c>
      <c r="AB666" s="11" t="s">
        <v>111</v>
      </c>
      <c r="AC666" s="11" t="s">
        <v>50</v>
      </c>
      <c r="AD666" s="11">
        <v>1</v>
      </c>
      <c r="AE666" s="11" t="s">
        <v>159</v>
      </c>
      <c r="AF666" s="11" t="s">
        <v>2231</v>
      </c>
      <c r="AG666" s="25"/>
      <c r="AH666" s="11"/>
      <c r="AI666" s="11"/>
      <c r="AJ666" s="11"/>
      <c r="AK666" s="11"/>
      <c r="AL666" s="11"/>
      <c r="AM666" s="11" t="str">
        <f t="shared" si="54"/>
        <v>Good</v>
      </c>
      <c r="AN666" s="11" t="str" cm="1">
        <f t="array" ref="AN666">_xlfn.IFS(N666&lt;10000,"Low",N666&lt;30000,"Medium",N666&gt;=30000,"High")</f>
        <v>High</v>
      </c>
      <c r="AO666" s="11" t="str">
        <f t="shared" si="55"/>
        <v>Yes</v>
      </c>
      <c r="AP666" s="11" t="str">
        <f t="shared" si="56"/>
        <v>Yes</v>
      </c>
      <c r="AQ666" s="11">
        <f t="shared" si="57"/>
        <v>0.38675041666666665</v>
      </c>
      <c r="AR666" s="33"/>
      <c r="AS666" s="33"/>
      <c r="AT666" s="33"/>
      <c r="AU666" s="33"/>
      <c r="AV666" s="33"/>
      <c r="AW666" s="33"/>
      <c r="AX666" s="33" t="str">
        <f t="shared" si="58"/>
        <v>Excellent</v>
      </c>
    </row>
    <row r="667" spans="1:50">
      <c r="A667" s="9" t="s">
        <v>2002</v>
      </c>
      <c r="B667" s="10" t="s">
        <v>795</v>
      </c>
      <c r="C667" s="11" t="s">
        <v>368</v>
      </c>
      <c r="D667" s="11" t="s">
        <v>307</v>
      </c>
      <c r="E667" s="11" t="s">
        <v>103</v>
      </c>
      <c r="F667" s="11" t="s">
        <v>104</v>
      </c>
      <c r="G667" s="11" t="s">
        <v>104</v>
      </c>
      <c r="H667" s="11" t="s">
        <v>38</v>
      </c>
      <c r="I667" s="11" t="s">
        <v>71</v>
      </c>
      <c r="J667" s="11" t="s">
        <v>117</v>
      </c>
      <c r="K667" s="25">
        <v>4</v>
      </c>
      <c r="L667" s="25">
        <v>2500</v>
      </c>
      <c r="M667" s="29">
        <v>0.2</v>
      </c>
      <c r="N667" s="25">
        <v>8000</v>
      </c>
      <c r="O667" s="25">
        <v>5735.08</v>
      </c>
      <c r="P667" s="25">
        <v>2264.92</v>
      </c>
      <c r="Q667" s="21">
        <v>28.31</v>
      </c>
      <c r="R667" s="11" t="s">
        <v>73</v>
      </c>
      <c r="S667" s="11" t="s">
        <v>74</v>
      </c>
      <c r="T667" s="11" t="s">
        <v>43</v>
      </c>
      <c r="U667" s="11" t="s">
        <v>108</v>
      </c>
      <c r="V667" s="11">
        <v>2025</v>
      </c>
      <c r="W667" s="11" t="s">
        <v>65</v>
      </c>
      <c r="X667" s="11">
        <v>9</v>
      </c>
      <c r="Y667" s="10" t="s">
        <v>1923</v>
      </c>
      <c r="Z667" s="11" t="s">
        <v>110</v>
      </c>
      <c r="AA667" s="11" t="s">
        <v>67</v>
      </c>
      <c r="AB667" s="11" t="s">
        <v>49</v>
      </c>
      <c r="AC667" s="11" t="s">
        <v>121</v>
      </c>
      <c r="AD667" s="11">
        <v>4</v>
      </c>
      <c r="AE667" s="11" t="s">
        <v>2234</v>
      </c>
      <c r="AF667" s="11" t="s">
        <v>2238</v>
      </c>
      <c r="AG667" s="25"/>
      <c r="AH667" s="11"/>
      <c r="AI667" s="11"/>
      <c r="AJ667" s="11"/>
      <c r="AK667" s="11"/>
      <c r="AL667" s="11"/>
      <c r="AM667" s="11" t="str">
        <f t="shared" si="54"/>
        <v>Needs Improvement</v>
      </c>
      <c r="AN667" s="11" t="str" cm="1">
        <f t="array" ref="AN667">_xlfn.IFS(N667&lt;10000,"Low",N667&lt;30000,"Medium",N667&gt;=30000,"High")</f>
        <v>Low</v>
      </c>
      <c r="AO667" s="11" t="str">
        <f t="shared" si="55"/>
        <v>No</v>
      </c>
      <c r="AP667" s="11" t="str">
        <f t="shared" si="56"/>
        <v>Yes</v>
      </c>
      <c r="AQ667" s="11">
        <f t="shared" si="57"/>
        <v>0.28311500000000001</v>
      </c>
      <c r="AR667" s="33"/>
      <c r="AS667" s="33"/>
      <c r="AT667" s="33"/>
      <c r="AU667" s="33"/>
      <c r="AV667" s="33"/>
      <c r="AW667" s="33"/>
      <c r="AX667" s="33" t="str">
        <f t="shared" si="58"/>
        <v>Low</v>
      </c>
    </row>
    <row r="668" spans="1:50">
      <c r="A668" s="9" t="s">
        <v>2140</v>
      </c>
      <c r="B668" s="10" t="s">
        <v>795</v>
      </c>
      <c r="C668" s="11" t="s">
        <v>1129</v>
      </c>
      <c r="D668" s="11" t="s">
        <v>707</v>
      </c>
      <c r="E668" s="11" t="s">
        <v>103</v>
      </c>
      <c r="F668" s="11" t="s">
        <v>104</v>
      </c>
      <c r="G668" s="11" t="s">
        <v>104</v>
      </c>
      <c r="H668" s="11" t="s">
        <v>58</v>
      </c>
      <c r="I668" s="11" t="s">
        <v>71</v>
      </c>
      <c r="J668" s="11" t="s">
        <v>172</v>
      </c>
      <c r="K668" s="25">
        <v>6</v>
      </c>
      <c r="L668" s="25">
        <v>700</v>
      </c>
      <c r="M668" s="29">
        <v>0.15</v>
      </c>
      <c r="N668" s="25">
        <v>3570</v>
      </c>
      <c r="O668" s="25">
        <v>2708.04</v>
      </c>
      <c r="P668" s="25">
        <v>861.96</v>
      </c>
      <c r="Q668" s="21">
        <v>24.14</v>
      </c>
      <c r="R668" s="11" t="s">
        <v>61</v>
      </c>
      <c r="S668" s="11" t="s">
        <v>42</v>
      </c>
      <c r="T668" s="11" t="s">
        <v>86</v>
      </c>
      <c r="U668" s="11" t="s">
        <v>108</v>
      </c>
      <c r="V668" s="11">
        <v>2025</v>
      </c>
      <c r="W668" s="11" t="s">
        <v>65</v>
      </c>
      <c r="X668" s="11">
        <v>10</v>
      </c>
      <c r="Y668" s="10" t="s">
        <v>1615</v>
      </c>
      <c r="Z668" s="11" t="s">
        <v>47</v>
      </c>
      <c r="AA668" s="11" t="s">
        <v>67</v>
      </c>
      <c r="AB668" s="11" t="s">
        <v>78</v>
      </c>
      <c r="AC668" s="11" t="s">
        <v>121</v>
      </c>
      <c r="AD668" s="11">
        <v>3</v>
      </c>
      <c r="AE668" s="11" t="s">
        <v>2226</v>
      </c>
      <c r="AF668" s="11" t="s">
        <v>2210</v>
      </c>
      <c r="AG668" s="25"/>
      <c r="AH668" s="11"/>
      <c r="AI668" s="11"/>
      <c r="AJ668" s="11"/>
      <c r="AK668" s="11"/>
      <c r="AL668" s="11"/>
      <c r="AM668" s="11" t="str">
        <f t="shared" si="54"/>
        <v>Needs Improvement</v>
      </c>
      <c r="AN668" s="11" t="str" cm="1">
        <f t="array" ref="AN668">_xlfn.IFS(N668&lt;10000,"Low",N668&lt;30000,"Medium",N668&gt;=30000,"High")</f>
        <v>Low</v>
      </c>
      <c r="AO668" s="11" t="str">
        <f t="shared" si="55"/>
        <v>No</v>
      </c>
      <c r="AP668" s="11" t="str">
        <f t="shared" si="56"/>
        <v>Yes</v>
      </c>
      <c r="AQ668" s="11">
        <f t="shared" si="57"/>
        <v>0.24144537815126052</v>
      </c>
      <c r="AR668" s="33"/>
      <c r="AS668" s="33"/>
      <c r="AT668" s="33"/>
      <c r="AU668" s="33"/>
      <c r="AV668" s="33"/>
      <c r="AW668" s="33"/>
      <c r="AX668" s="33" t="str">
        <f t="shared" si="58"/>
        <v>Low</v>
      </c>
    </row>
    <row r="669" spans="1:50">
      <c r="A669" s="9" t="s">
        <v>969</v>
      </c>
      <c r="B669" s="10" t="s">
        <v>970</v>
      </c>
      <c r="C669" s="11" t="s">
        <v>971</v>
      </c>
      <c r="D669" s="11" t="s">
        <v>379</v>
      </c>
      <c r="E669" s="11" t="s">
        <v>103</v>
      </c>
      <c r="F669" s="11" t="s">
        <v>131</v>
      </c>
      <c r="G669" s="11" t="s">
        <v>132</v>
      </c>
      <c r="H669" s="11" t="s">
        <v>94</v>
      </c>
      <c r="I669" s="11" t="s">
        <v>71</v>
      </c>
      <c r="J669" s="11" t="s">
        <v>158</v>
      </c>
      <c r="K669" s="25">
        <v>2</v>
      </c>
      <c r="L669" s="25">
        <v>2500</v>
      </c>
      <c r="M669" s="29">
        <v>0.2</v>
      </c>
      <c r="N669" s="25">
        <v>4000</v>
      </c>
      <c r="O669" s="25">
        <v>3137.72</v>
      </c>
      <c r="P669" s="25">
        <v>862.28</v>
      </c>
      <c r="Q669" s="21">
        <v>21.56</v>
      </c>
      <c r="R669" s="11" t="s">
        <v>106</v>
      </c>
      <c r="S669" s="11" t="s">
        <v>74</v>
      </c>
      <c r="T669" s="11" t="s">
        <v>118</v>
      </c>
      <c r="U669" s="11" t="s">
        <v>87</v>
      </c>
      <c r="V669" s="11">
        <v>2024</v>
      </c>
      <c r="W669" s="11" t="s">
        <v>45</v>
      </c>
      <c r="X669" s="11">
        <v>8</v>
      </c>
      <c r="Y669" s="10" t="s">
        <v>500</v>
      </c>
      <c r="Z669" s="11" t="s">
        <v>47</v>
      </c>
      <c r="AA669" s="11" t="s">
        <v>67</v>
      </c>
      <c r="AB669" s="11" t="s">
        <v>49</v>
      </c>
      <c r="AC669" s="11" t="s">
        <v>50</v>
      </c>
      <c r="AD669" s="11">
        <v>3</v>
      </c>
      <c r="AE669" s="11" t="s">
        <v>2216</v>
      </c>
      <c r="AF669" s="11" t="s">
        <v>2223</v>
      </c>
      <c r="AG669" s="25"/>
      <c r="AH669" s="11"/>
      <c r="AI669" s="11"/>
      <c r="AJ669" s="11"/>
      <c r="AK669" s="11"/>
      <c r="AL669" s="11"/>
      <c r="AM669" s="11" t="str">
        <f t="shared" si="54"/>
        <v>Needs Improvement</v>
      </c>
      <c r="AN669" s="11" t="str" cm="1">
        <f t="array" ref="AN669">_xlfn.IFS(N669&lt;10000,"Low",N669&lt;30000,"Medium",N669&gt;=30000,"High")</f>
        <v>Low</v>
      </c>
      <c r="AO669" s="11" t="str">
        <f t="shared" si="55"/>
        <v>No</v>
      </c>
      <c r="AP669" s="11" t="str">
        <f t="shared" si="56"/>
        <v>Yes</v>
      </c>
      <c r="AQ669" s="11">
        <f t="shared" si="57"/>
        <v>0.21556999999999998</v>
      </c>
      <c r="AR669" s="33"/>
      <c r="AS669" s="33"/>
      <c r="AT669" s="33"/>
      <c r="AU669" s="33"/>
      <c r="AV669" s="33"/>
      <c r="AW669" s="33"/>
      <c r="AX669" s="33" t="str">
        <f t="shared" si="58"/>
        <v>Low</v>
      </c>
    </row>
    <row r="670" spans="1:50">
      <c r="A670" s="9" t="s">
        <v>1986</v>
      </c>
      <c r="B670" s="10" t="s">
        <v>1987</v>
      </c>
      <c r="C670" s="11" t="s">
        <v>1570</v>
      </c>
      <c r="D670" s="11" t="s">
        <v>351</v>
      </c>
      <c r="E670" s="11" t="s">
        <v>35</v>
      </c>
      <c r="F670" s="11" t="s">
        <v>116</v>
      </c>
      <c r="G670" s="11" t="s">
        <v>37</v>
      </c>
      <c r="H670" s="11" t="s">
        <v>58</v>
      </c>
      <c r="I670" s="11" t="s">
        <v>39</v>
      </c>
      <c r="J670" s="11" t="s">
        <v>165</v>
      </c>
      <c r="K670" s="25">
        <v>7</v>
      </c>
      <c r="L670" s="25">
        <v>8000</v>
      </c>
      <c r="M670" s="29">
        <v>0.1</v>
      </c>
      <c r="N670" s="25">
        <v>50400</v>
      </c>
      <c r="O670" s="25">
        <v>39873.339999999997</v>
      </c>
      <c r="P670" s="25">
        <v>10526.66</v>
      </c>
      <c r="Q670" s="21">
        <v>20.89</v>
      </c>
      <c r="R670" s="11" t="s">
        <v>106</v>
      </c>
      <c r="S670" s="11" t="s">
        <v>62</v>
      </c>
      <c r="T670" s="11" t="s">
        <v>63</v>
      </c>
      <c r="U670" s="11" t="s">
        <v>87</v>
      </c>
      <c r="V670" s="11">
        <v>2025</v>
      </c>
      <c r="W670" s="11" t="s">
        <v>126</v>
      </c>
      <c r="X670" s="11">
        <v>10</v>
      </c>
      <c r="Y670" s="10" t="s">
        <v>685</v>
      </c>
      <c r="Z670" s="11" t="s">
        <v>110</v>
      </c>
      <c r="AA670" s="11" t="s">
        <v>48</v>
      </c>
      <c r="AB670" s="11" t="s">
        <v>111</v>
      </c>
      <c r="AC670" s="11" t="s">
        <v>121</v>
      </c>
      <c r="AD670" s="11">
        <v>1</v>
      </c>
      <c r="AE670" s="11" t="s">
        <v>2216</v>
      </c>
      <c r="AF670" s="11" t="s">
        <v>2230</v>
      </c>
      <c r="AG670" s="25"/>
      <c r="AH670" s="11"/>
      <c r="AI670" s="11"/>
      <c r="AJ670" s="11"/>
      <c r="AK670" s="11"/>
      <c r="AL670" s="11"/>
      <c r="AM670" s="11" t="str">
        <f t="shared" si="54"/>
        <v>Needs Improvement</v>
      </c>
      <c r="AN670" s="11" t="str" cm="1">
        <f t="array" ref="AN670">_xlfn.IFS(N670&lt;10000,"Low",N670&lt;30000,"Medium",N670&gt;=30000,"High")</f>
        <v>High</v>
      </c>
      <c r="AO670" s="11" t="str">
        <f t="shared" si="55"/>
        <v>Yes</v>
      </c>
      <c r="AP670" s="11" t="str">
        <f t="shared" si="56"/>
        <v>No</v>
      </c>
      <c r="AQ670" s="11">
        <f t="shared" si="57"/>
        <v>0.2088623015873016</v>
      </c>
      <c r="AR670" s="33"/>
      <c r="AS670" s="33"/>
      <c r="AT670" s="33"/>
      <c r="AU670" s="33"/>
      <c r="AV670" s="33"/>
      <c r="AW670" s="33"/>
      <c r="AX670" s="33" t="str">
        <f t="shared" si="58"/>
        <v>Good</v>
      </c>
    </row>
    <row r="671" spans="1:50">
      <c r="A671" s="9" t="s">
        <v>533</v>
      </c>
      <c r="B671" s="10" t="s">
        <v>534</v>
      </c>
      <c r="C671" s="11" t="s">
        <v>227</v>
      </c>
      <c r="D671" s="11" t="s">
        <v>535</v>
      </c>
      <c r="E671" s="11" t="s">
        <v>103</v>
      </c>
      <c r="F671" s="11" t="s">
        <v>82</v>
      </c>
      <c r="G671" s="11" t="s">
        <v>83</v>
      </c>
      <c r="H671" s="11" t="s">
        <v>171</v>
      </c>
      <c r="I671" s="11" t="s">
        <v>95</v>
      </c>
      <c r="J671" s="11" t="s">
        <v>184</v>
      </c>
      <c r="K671" s="25">
        <v>1</v>
      </c>
      <c r="L671" s="25">
        <v>6000</v>
      </c>
      <c r="M671" s="29">
        <v>0</v>
      </c>
      <c r="N671" s="25">
        <v>6000</v>
      </c>
      <c r="O671" s="25">
        <v>4510.6899999999996</v>
      </c>
      <c r="P671" s="25">
        <v>1489.31</v>
      </c>
      <c r="Q671" s="21">
        <v>24.82</v>
      </c>
      <c r="R671" s="11" t="s">
        <v>41</v>
      </c>
      <c r="S671" s="11" t="s">
        <v>42</v>
      </c>
      <c r="T671" s="11" t="s">
        <v>159</v>
      </c>
      <c r="U671" s="11" t="s">
        <v>64</v>
      </c>
      <c r="V671" s="11">
        <v>2024</v>
      </c>
      <c r="W671" s="11" t="s">
        <v>194</v>
      </c>
      <c r="X671" s="11">
        <v>8</v>
      </c>
      <c r="Y671" s="10" t="s">
        <v>536</v>
      </c>
      <c r="Z671" s="11" t="s">
        <v>47</v>
      </c>
      <c r="AA671" s="11" t="s">
        <v>90</v>
      </c>
      <c r="AB671" s="11" t="s">
        <v>49</v>
      </c>
      <c r="AC671" s="11" t="s">
        <v>121</v>
      </c>
      <c r="AD671" s="11">
        <v>2</v>
      </c>
      <c r="AE671" s="11" t="s">
        <v>86</v>
      </c>
      <c r="AF671" s="11" t="s">
        <v>2217</v>
      </c>
      <c r="AG671" s="25"/>
      <c r="AH671" s="11"/>
      <c r="AI671" s="11"/>
      <c r="AJ671" s="11"/>
      <c r="AK671" s="11"/>
      <c r="AL671" s="11"/>
      <c r="AM671" s="11" t="str">
        <f t="shared" si="54"/>
        <v>Needs Improvement</v>
      </c>
      <c r="AN671" s="11" t="str" cm="1">
        <f t="array" ref="AN671">_xlfn.IFS(N671&lt;10000,"Low",N671&lt;30000,"Medium",N671&gt;=30000,"High")</f>
        <v>Low</v>
      </c>
      <c r="AO671" s="11" t="str">
        <f t="shared" si="55"/>
        <v>No</v>
      </c>
      <c r="AP671" s="11" t="str">
        <f t="shared" si="56"/>
        <v>Yes</v>
      </c>
      <c r="AQ671" s="11">
        <f t="shared" si="57"/>
        <v>0.24821833333333332</v>
      </c>
      <c r="AR671" s="33"/>
      <c r="AS671" s="33"/>
      <c r="AT671" s="33"/>
      <c r="AU671" s="33"/>
      <c r="AV671" s="33"/>
      <c r="AW671" s="33"/>
      <c r="AX671" s="33" t="str">
        <f t="shared" si="58"/>
        <v>Low</v>
      </c>
    </row>
    <row r="672" spans="1:50">
      <c r="A672" s="9" t="s">
        <v>1583</v>
      </c>
      <c r="B672" s="10" t="s">
        <v>534</v>
      </c>
      <c r="C672" s="11" t="s">
        <v>201</v>
      </c>
      <c r="D672" s="11" t="s">
        <v>855</v>
      </c>
      <c r="E672" s="11" t="s">
        <v>35</v>
      </c>
      <c r="F672" s="11" t="s">
        <v>56</v>
      </c>
      <c r="G672" s="11" t="s">
        <v>57</v>
      </c>
      <c r="H672" s="11" t="s">
        <v>94</v>
      </c>
      <c r="I672" s="11" t="s">
        <v>39</v>
      </c>
      <c r="J672" s="11" t="s">
        <v>253</v>
      </c>
      <c r="K672" s="25">
        <v>5</v>
      </c>
      <c r="L672" s="25">
        <v>15000</v>
      </c>
      <c r="M672" s="29">
        <v>0.1</v>
      </c>
      <c r="N672" s="25">
        <v>67500</v>
      </c>
      <c r="O672" s="25">
        <v>47266.3</v>
      </c>
      <c r="P672" s="25">
        <v>20233.7</v>
      </c>
      <c r="Q672" s="21">
        <v>29.98</v>
      </c>
      <c r="R672" s="11" t="s">
        <v>61</v>
      </c>
      <c r="S672" s="11" t="s">
        <v>42</v>
      </c>
      <c r="T672" s="11" t="s">
        <v>138</v>
      </c>
      <c r="U672" s="11" t="s">
        <v>64</v>
      </c>
      <c r="V672" s="11">
        <v>2024</v>
      </c>
      <c r="W672" s="11" t="s">
        <v>194</v>
      </c>
      <c r="X672" s="11">
        <v>7</v>
      </c>
      <c r="Y672" s="10" t="s">
        <v>1584</v>
      </c>
      <c r="Z672" s="11" t="s">
        <v>47</v>
      </c>
      <c r="AA672" s="11" t="s">
        <v>67</v>
      </c>
      <c r="AB672" s="11" t="s">
        <v>111</v>
      </c>
      <c r="AC672" s="11" t="s">
        <v>121</v>
      </c>
      <c r="AD672" s="11">
        <v>3</v>
      </c>
      <c r="AE672" s="11" t="s">
        <v>2220</v>
      </c>
      <c r="AF672" s="11" t="s">
        <v>2249</v>
      </c>
      <c r="AG672" s="25"/>
      <c r="AH672" s="11"/>
      <c r="AI672" s="11"/>
      <c r="AJ672" s="11"/>
      <c r="AK672" s="11"/>
      <c r="AL672" s="11"/>
      <c r="AM672" s="11" t="str">
        <f t="shared" si="54"/>
        <v>Needs Improvement</v>
      </c>
      <c r="AN672" s="11" t="str" cm="1">
        <f t="array" ref="AN672">_xlfn.IFS(N672&lt;10000,"Low",N672&lt;30000,"Medium",N672&gt;=30000,"High")</f>
        <v>High</v>
      </c>
      <c r="AO672" s="11" t="str">
        <f t="shared" si="55"/>
        <v>Yes</v>
      </c>
      <c r="AP672" s="11" t="str">
        <f t="shared" si="56"/>
        <v>Yes</v>
      </c>
      <c r="AQ672" s="11">
        <f t="shared" si="57"/>
        <v>0.29975851851851854</v>
      </c>
      <c r="AR672" s="33"/>
      <c r="AS672" s="33"/>
      <c r="AT672" s="33"/>
      <c r="AU672" s="33"/>
      <c r="AV672" s="33"/>
      <c r="AW672" s="33"/>
      <c r="AX672" s="33" t="str">
        <f t="shared" si="58"/>
        <v>Excellent</v>
      </c>
    </row>
    <row r="673" spans="1:50">
      <c r="A673" s="9" t="s">
        <v>1452</v>
      </c>
      <c r="B673" s="10" t="s">
        <v>1453</v>
      </c>
      <c r="C673" s="11" t="s">
        <v>1085</v>
      </c>
      <c r="D673" s="11" t="s">
        <v>387</v>
      </c>
      <c r="E673" s="11" t="s">
        <v>55</v>
      </c>
      <c r="F673" s="11" t="s">
        <v>144</v>
      </c>
      <c r="G673" s="11" t="s">
        <v>145</v>
      </c>
      <c r="H673" s="11" t="s">
        <v>94</v>
      </c>
      <c r="I673" s="11" t="s">
        <v>39</v>
      </c>
      <c r="J673" s="11" t="s">
        <v>105</v>
      </c>
      <c r="K673" s="25">
        <v>2</v>
      </c>
      <c r="L673" s="25">
        <v>15000</v>
      </c>
      <c r="M673" s="29">
        <v>0</v>
      </c>
      <c r="N673" s="25">
        <v>30000</v>
      </c>
      <c r="O673" s="25">
        <v>17020.53</v>
      </c>
      <c r="P673" s="25">
        <v>12979.47</v>
      </c>
      <c r="Q673" s="21">
        <v>43.26</v>
      </c>
      <c r="R673" s="11" t="s">
        <v>106</v>
      </c>
      <c r="S673" s="11" t="s">
        <v>74</v>
      </c>
      <c r="T673" s="11" t="s">
        <v>43</v>
      </c>
      <c r="U673" s="11" t="s">
        <v>76</v>
      </c>
      <c r="V673" s="11">
        <v>2025</v>
      </c>
      <c r="W673" s="11" t="s">
        <v>109</v>
      </c>
      <c r="X673" s="11">
        <v>2</v>
      </c>
      <c r="Y673" s="10" t="s">
        <v>928</v>
      </c>
      <c r="Z673" s="11" t="s">
        <v>47</v>
      </c>
      <c r="AA673" s="11" t="s">
        <v>67</v>
      </c>
      <c r="AB673" s="11" t="s">
        <v>49</v>
      </c>
      <c r="AC673" s="11" t="s">
        <v>121</v>
      </c>
      <c r="AD673" s="11">
        <v>1</v>
      </c>
      <c r="AE673" s="11" t="s">
        <v>2229</v>
      </c>
      <c r="AF673" s="11" t="s">
        <v>2212</v>
      </c>
      <c r="AG673" s="25"/>
      <c r="AH673" s="11"/>
      <c r="AI673" s="11"/>
      <c r="AJ673" s="11"/>
      <c r="AK673" s="11"/>
      <c r="AL673" s="11"/>
      <c r="AM673" s="11" t="str">
        <f t="shared" si="54"/>
        <v>Good</v>
      </c>
      <c r="AN673" s="11" t="str" cm="1">
        <f t="array" ref="AN673">_xlfn.IFS(N673&lt;10000,"Low",N673&lt;30000,"Medium",N673&gt;=30000,"High")</f>
        <v>High</v>
      </c>
      <c r="AO673" s="11" t="str">
        <f t="shared" si="55"/>
        <v>Yes</v>
      </c>
      <c r="AP673" s="11" t="str">
        <f t="shared" si="56"/>
        <v>Yes</v>
      </c>
      <c r="AQ673" s="11">
        <f t="shared" si="57"/>
        <v>0.43264900000000001</v>
      </c>
      <c r="AR673" s="33"/>
      <c r="AS673" s="33"/>
      <c r="AT673" s="33"/>
      <c r="AU673" s="33"/>
      <c r="AV673" s="33"/>
      <c r="AW673" s="33"/>
      <c r="AX673" s="33" t="str">
        <f t="shared" si="58"/>
        <v>Good</v>
      </c>
    </row>
    <row r="674" spans="1:50">
      <c r="A674" s="9" t="s">
        <v>784</v>
      </c>
      <c r="B674" s="10" t="s">
        <v>785</v>
      </c>
      <c r="C674" s="11" t="s">
        <v>565</v>
      </c>
      <c r="D674" s="11" t="s">
        <v>653</v>
      </c>
      <c r="E674" s="11" t="s">
        <v>103</v>
      </c>
      <c r="F674" s="11" t="s">
        <v>149</v>
      </c>
      <c r="G674" s="11" t="s">
        <v>150</v>
      </c>
      <c r="H674" s="11" t="s">
        <v>58</v>
      </c>
      <c r="I674" s="11" t="s">
        <v>95</v>
      </c>
      <c r="J674" s="11" t="s">
        <v>344</v>
      </c>
      <c r="K674" s="25">
        <v>4</v>
      </c>
      <c r="L674" s="25">
        <v>2500</v>
      </c>
      <c r="M674" s="29">
        <v>0.15</v>
      </c>
      <c r="N674" s="25">
        <v>8500</v>
      </c>
      <c r="O674" s="25">
        <v>5303.78</v>
      </c>
      <c r="P674" s="25">
        <v>3196.22</v>
      </c>
      <c r="Q674" s="21">
        <v>37.6</v>
      </c>
      <c r="R674" s="11" t="s">
        <v>106</v>
      </c>
      <c r="S674" s="11" t="s">
        <v>74</v>
      </c>
      <c r="T674" s="11" t="s">
        <v>97</v>
      </c>
      <c r="U674" s="11" t="s">
        <v>98</v>
      </c>
      <c r="V674" s="11">
        <v>2024</v>
      </c>
      <c r="W674" s="11" t="s">
        <v>134</v>
      </c>
      <c r="X674" s="11">
        <v>6</v>
      </c>
      <c r="Y674" s="10" t="s">
        <v>786</v>
      </c>
      <c r="Z674" s="11" t="s">
        <v>47</v>
      </c>
      <c r="AA674" s="11" t="s">
        <v>67</v>
      </c>
      <c r="AB674" s="11" t="s">
        <v>111</v>
      </c>
      <c r="AC674" s="11" t="s">
        <v>50</v>
      </c>
      <c r="AD674" s="11">
        <v>2</v>
      </c>
      <c r="AE674" s="11" t="s">
        <v>2227</v>
      </c>
      <c r="AF674" s="11" t="s">
        <v>2223</v>
      </c>
      <c r="AG674" s="25"/>
      <c r="AH674" s="11"/>
      <c r="AI674" s="11"/>
      <c r="AJ674" s="11"/>
      <c r="AK674" s="11"/>
      <c r="AL674" s="11"/>
      <c r="AM674" s="11" t="str">
        <f t="shared" si="54"/>
        <v>Good</v>
      </c>
      <c r="AN674" s="11" t="str" cm="1">
        <f t="array" ref="AN674">_xlfn.IFS(N674&lt;10000,"Low",N674&lt;30000,"Medium",N674&gt;=30000,"High")</f>
        <v>Low</v>
      </c>
      <c r="AO674" s="11" t="str">
        <f t="shared" si="55"/>
        <v>No</v>
      </c>
      <c r="AP674" s="11" t="str">
        <f t="shared" si="56"/>
        <v>Yes</v>
      </c>
      <c r="AQ674" s="11">
        <f t="shared" si="57"/>
        <v>0.37602588235294115</v>
      </c>
      <c r="AR674" s="33"/>
      <c r="AS674" s="33"/>
      <c r="AT674" s="33"/>
      <c r="AU674" s="33"/>
      <c r="AV674" s="33"/>
      <c r="AW674" s="33"/>
      <c r="AX674" s="33" t="str">
        <f t="shared" si="58"/>
        <v>Low</v>
      </c>
    </row>
    <row r="675" spans="1:50">
      <c r="A675" s="9" t="s">
        <v>1224</v>
      </c>
      <c r="B675" s="10" t="s">
        <v>1225</v>
      </c>
      <c r="C675" s="11" t="s">
        <v>527</v>
      </c>
      <c r="D675" s="11" t="s">
        <v>604</v>
      </c>
      <c r="E675" s="11" t="s">
        <v>55</v>
      </c>
      <c r="F675" s="11" t="s">
        <v>82</v>
      </c>
      <c r="G675" s="11" t="s">
        <v>83</v>
      </c>
      <c r="H675" s="11" t="s">
        <v>171</v>
      </c>
      <c r="I675" s="11" t="s">
        <v>71</v>
      </c>
      <c r="J675" s="11" t="s">
        <v>158</v>
      </c>
      <c r="K675" s="25">
        <v>4</v>
      </c>
      <c r="L675" s="25">
        <v>3500</v>
      </c>
      <c r="M675" s="29">
        <v>0.05</v>
      </c>
      <c r="N675" s="25">
        <v>13300</v>
      </c>
      <c r="O675" s="25">
        <v>7758.9</v>
      </c>
      <c r="P675" s="25">
        <v>5541.1</v>
      </c>
      <c r="Q675" s="21">
        <v>41.66</v>
      </c>
      <c r="R675" s="11" t="s">
        <v>61</v>
      </c>
      <c r="S675" s="11" t="s">
        <v>42</v>
      </c>
      <c r="T675" s="11" t="s">
        <v>43</v>
      </c>
      <c r="U675" s="11" t="s">
        <v>98</v>
      </c>
      <c r="V675" s="11">
        <v>2025</v>
      </c>
      <c r="W675" s="11" t="s">
        <v>194</v>
      </c>
      <c r="X675" s="11">
        <v>2</v>
      </c>
      <c r="Y675" s="10" t="s">
        <v>322</v>
      </c>
      <c r="Z675" s="11" t="s">
        <v>47</v>
      </c>
      <c r="AA675" s="11" t="s">
        <v>90</v>
      </c>
      <c r="AB675" s="11" t="s">
        <v>78</v>
      </c>
      <c r="AC675" s="11" t="s">
        <v>50</v>
      </c>
      <c r="AD675" s="11">
        <v>1</v>
      </c>
      <c r="AE675" s="11" t="s">
        <v>2227</v>
      </c>
      <c r="AF675" s="11" t="s">
        <v>2222</v>
      </c>
      <c r="AG675" s="25"/>
      <c r="AH675" s="11"/>
      <c r="AI675" s="11"/>
      <c r="AJ675" s="11"/>
      <c r="AK675" s="11"/>
      <c r="AL675" s="11"/>
      <c r="AM675" s="11" t="str">
        <f t="shared" si="54"/>
        <v>Good</v>
      </c>
      <c r="AN675" s="11" t="str" cm="1">
        <f t="array" ref="AN675">_xlfn.IFS(N675&lt;10000,"Low",N675&lt;30000,"Medium",N675&gt;=30000,"High")</f>
        <v>Medium</v>
      </c>
      <c r="AO675" s="11" t="str">
        <f t="shared" si="55"/>
        <v>No</v>
      </c>
      <c r="AP675" s="11" t="str">
        <f t="shared" si="56"/>
        <v>Yes</v>
      </c>
      <c r="AQ675" s="11">
        <f t="shared" si="57"/>
        <v>0.41662406015037595</v>
      </c>
      <c r="AR675" s="33"/>
      <c r="AS675" s="33"/>
      <c r="AT675" s="33"/>
      <c r="AU675" s="33"/>
      <c r="AV675" s="33"/>
      <c r="AW675" s="33"/>
      <c r="AX675" s="33" t="str">
        <f t="shared" si="58"/>
        <v>Average</v>
      </c>
    </row>
    <row r="676" spans="1:50">
      <c r="A676" s="9" t="s">
        <v>953</v>
      </c>
      <c r="B676" s="10" t="s">
        <v>190</v>
      </c>
      <c r="C676" s="11" t="s">
        <v>954</v>
      </c>
      <c r="D676" s="11" t="s">
        <v>955</v>
      </c>
      <c r="E676" s="11" t="s">
        <v>55</v>
      </c>
      <c r="F676" s="11" t="s">
        <v>149</v>
      </c>
      <c r="G676" s="11" t="s">
        <v>150</v>
      </c>
      <c r="H676" s="11" t="s">
        <v>171</v>
      </c>
      <c r="I676" s="11" t="s">
        <v>59</v>
      </c>
      <c r="J676" s="11" t="s">
        <v>60</v>
      </c>
      <c r="K676" s="25">
        <v>3</v>
      </c>
      <c r="L676" s="25">
        <v>500</v>
      </c>
      <c r="M676" s="29">
        <v>0</v>
      </c>
      <c r="N676" s="25">
        <v>1500</v>
      </c>
      <c r="O676" s="25">
        <v>827.68</v>
      </c>
      <c r="P676" s="25">
        <v>672.32</v>
      </c>
      <c r="Q676" s="21">
        <v>44.82</v>
      </c>
      <c r="R676" s="11" t="s">
        <v>41</v>
      </c>
      <c r="S676" s="11" t="s">
        <v>62</v>
      </c>
      <c r="T676" s="11" t="s">
        <v>138</v>
      </c>
      <c r="U676" s="11" t="s">
        <v>178</v>
      </c>
      <c r="V676" s="11">
        <v>2024</v>
      </c>
      <c r="W676" s="11" t="s">
        <v>139</v>
      </c>
      <c r="X676" s="11">
        <v>8</v>
      </c>
      <c r="Y676" s="10" t="s">
        <v>956</v>
      </c>
      <c r="Z676" s="11" t="s">
        <v>89</v>
      </c>
      <c r="AA676" s="11" t="s">
        <v>48</v>
      </c>
      <c r="AB676" s="11" t="s">
        <v>78</v>
      </c>
      <c r="AC676" s="11" t="s">
        <v>50</v>
      </c>
      <c r="AD676" s="11">
        <v>2</v>
      </c>
      <c r="AE676" s="11" t="s">
        <v>2226</v>
      </c>
      <c r="AF676" s="11" t="s">
        <v>2217</v>
      </c>
      <c r="AG676" s="25"/>
      <c r="AH676" s="11"/>
      <c r="AI676" s="11"/>
      <c r="AJ676" s="11"/>
      <c r="AK676" s="11"/>
      <c r="AL676" s="11"/>
      <c r="AM676" s="11" t="str">
        <f t="shared" si="54"/>
        <v>Good</v>
      </c>
      <c r="AN676" s="11" t="str" cm="1">
        <f t="array" ref="AN676">_xlfn.IFS(N676&lt;10000,"Low",N676&lt;30000,"Medium",N676&gt;=30000,"High")</f>
        <v>Low</v>
      </c>
      <c r="AO676" s="11" t="str">
        <f t="shared" si="55"/>
        <v>No</v>
      </c>
      <c r="AP676" s="11" t="str">
        <f t="shared" si="56"/>
        <v>No</v>
      </c>
      <c r="AQ676" s="11">
        <f t="shared" si="57"/>
        <v>0.44821333333333335</v>
      </c>
      <c r="AR676" s="33"/>
      <c r="AS676" s="33"/>
      <c r="AT676" s="33"/>
      <c r="AU676" s="33"/>
      <c r="AV676" s="33"/>
      <c r="AW676" s="33"/>
      <c r="AX676" s="33" t="str">
        <f t="shared" si="58"/>
        <v>Low</v>
      </c>
    </row>
    <row r="677" spans="1:50">
      <c r="A677" s="9" t="s">
        <v>1730</v>
      </c>
      <c r="B677" s="10" t="s">
        <v>190</v>
      </c>
      <c r="C677" s="11" t="s">
        <v>989</v>
      </c>
      <c r="D677" s="11" t="s">
        <v>1731</v>
      </c>
      <c r="E677" s="11" t="s">
        <v>55</v>
      </c>
      <c r="F677" s="11" t="s">
        <v>104</v>
      </c>
      <c r="G677" s="11" t="s">
        <v>104</v>
      </c>
      <c r="H677" s="11" t="s">
        <v>58</v>
      </c>
      <c r="I677" s="11" t="s">
        <v>95</v>
      </c>
      <c r="J677" s="11" t="s">
        <v>96</v>
      </c>
      <c r="K677" s="25">
        <v>2</v>
      </c>
      <c r="L677" s="25">
        <v>9000</v>
      </c>
      <c r="M677" s="29">
        <v>0.2</v>
      </c>
      <c r="N677" s="25">
        <v>14400</v>
      </c>
      <c r="O677" s="25">
        <v>9562.7999999999993</v>
      </c>
      <c r="P677" s="25">
        <v>4837.2</v>
      </c>
      <c r="Q677" s="21">
        <v>33.590000000000003</v>
      </c>
      <c r="R677" s="11" t="s">
        <v>166</v>
      </c>
      <c r="S677" s="11" t="s">
        <v>74</v>
      </c>
      <c r="T677" s="11" t="s">
        <v>86</v>
      </c>
      <c r="U677" s="11" t="s">
        <v>178</v>
      </c>
      <c r="V677" s="11">
        <v>2024</v>
      </c>
      <c r="W677" s="11" t="s">
        <v>139</v>
      </c>
      <c r="X677" s="11">
        <v>6</v>
      </c>
      <c r="Y677" s="10" t="s">
        <v>721</v>
      </c>
      <c r="Z677" s="11" t="s">
        <v>47</v>
      </c>
      <c r="AA677" s="11" t="s">
        <v>48</v>
      </c>
      <c r="AB677" s="11" t="s">
        <v>78</v>
      </c>
      <c r="AC677" s="11" t="s">
        <v>50</v>
      </c>
      <c r="AD677" s="11">
        <v>5</v>
      </c>
      <c r="AE677" s="11" t="s">
        <v>2248</v>
      </c>
      <c r="AF677" s="11" t="s">
        <v>2214</v>
      </c>
      <c r="AG677" s="25"/>
      <c r="AH677" s="11"/>
      <c r="AI677" s="11"/>
      <c r="AJ677" s="11"/>
      <c r="AK677" s="11"/>
      <c r="AL677" s="11"/>
      <c r="AM677" s="11" t="str">
        <f t="shared" si="54"/>
        <v>Good</v>
      </c>
      <c r="AN677" s="11" t="str" cm="1">
        <f t="array" ref="AN677">_xlfn.IFS(N677&lt;10000,"Low",N677&lt;30000,"Medium",N677&gt;=30000,"High")</f>
        <v>Medium</v>
      </c>
      <c r="AO677" s="11" t="str">
        <f t="shared" si="55"/>
        <v>No</v>
      </c>
      <c r="AP677" s="11" t="str">
        <f t="shared" si="56"/>
        <v>Yes</v>
      </c>
      <c r="AQ677" s="11">
        <f t="shared" si="57"/>
        <v>0.33591666666666664</v>
      </c>
      <c r="AR677" s="33"/>
      <c r="AS677" s="33"/>
      <c r="AT677" s="33"/>
      <c r="AU677" s="33"/>
      <c r="AV677" s="33"/>
      <c r="AW677" s="33"/>
      <c r="AX677" s="33" t="str">
        <f t="shared" si="58"/>
        <v>Low</v>
      </c>
    </row>
    <row r="678" spans="1:50">
      <c r="A678" s="9" t="s">
        <v>2096</v>
      </c>
      <c r="B678" s="10" t="s">
        <v>982</v>
      </c>
      <c r="C678" s="11" t="s">
        <v>2033</v>
      </c>
      <c r="D678" s="11" t="s">
        <v>130</v>
      </c>
      <c r="E678" s="11" t="s">
        <v>55</v>
      </c>
      <c r="F678" s="11" t="s">
        <v>245</v>
      </c>
      <c r="G678" s="11" t="s">
        <v>246</v>
      </c>
      <c r="H678" s="11" t="s">
        <v>94</v>
      </c>
      <c r="I678" s="11" t="s">
        <v>39</v>
      </c>
      <c r="J678" s="11" t="s">
        <v>105</v>
      </c>
      <c r="K678" s="25">
        <v>1</v>
      </c>
      <c r="L678" s="25">
        <v>8000</v>
      </c>
      <c r="M678" s="29">
        <v>0.2</v>
      </c>
      <c r="N678" s="25">
        <v>6400</v>
      </c>
      <c r="O678" s="25">
        <v>4438.76</v>
      </c>
      <c r="P678" s="25">
        <v>1961.24</v>
      </c>
      <c r="Q678" s="21">
        <v>30.64</v>
      </c>
      <c r="R678" s="11" t="s">
        <v>41</v>
      </c>
      <c r="S678" s="11" t="s">
        <v>62</v>
      </c>
      <c r="T678" s="11" t="s">
        <v>138</v>
      </c>
      <c r="U678" s="11" t="s">
        <v>178</v>
      </c>
      <c r="V678" s="11">
        <v>2025</v>
      </c>
      <c r="W678" s="11" t="s">
        <v>194</v>
      </c>
      <c r="X678" s="11">
        <v>3</v>
      </c>
      <c r="Y678" s="10" t="s">
        <v>305</v>
      </c>
      <c r="Z678" s="11" t="s">
        <v>47</v>
      </c>
      <c r="AA678" s="11" t="s">
        <v>90</v>
      </c>
      <c r="AB678" s="11" t="s">
        <v>49</v>
      </c>
      <c r="AC678" s="11" t="s">
        <v>121</v>
      </c>
      <c r="AD678" s="11">
        <v>5</v>
      </c>
      <c r="AE678" s="11" t="s">
        <v>159</v>
      </c>
      <c r="AF678" s="11" t="s">
        <v>2219</v>
      </c>
      <c r="AG678" s="25"/>
      <c r="AH678" s="11"/>
      <c r="AI678" s="11"/>
      <c r="AJ678" s="11"/>
      <c r="AK678" s="11"/>
      <c r="AL678" s="11"/>
      <c r="AM678" s="11" t="str">
        <f t="shared" si="54"/>
        <v>Good</v>
      </c>
      <c r="AN678" s="11" t="str" cm="1">
        <f t="array" ref="AN678">_xlfn.IFS(N678&lt;10000,"Low",N678&lt;30000,"Medium",N678&gt;=30000,"High")</f>
        <v>Low</v>
      </c>
      <c r="AO678" s="11" t="str">
        <f t="shared" si="55"/>
        <v>No</v>
      </c>
      <c r="AP678" s="11" t="str">
        <f t="shared" si="56"/>
        <v>No</v>
      </c>
      <c r="AQ678" s="11">
        <f t="shared" si="57"/>
        <v>0.30644375000000001</v>
      </c>
      <c r="AR678" s="33"/>
      <c r="AS678" s="33"/>
      <c r="AT678" s="33"/>
      <c r="AU678" s="33"/>
      <c r="AV678" s="33"/>
      <c r="AW678" s="33"/>
      <c r="AX678" s="33" t="str">
        <f t="shared" si="58"/>
        <v>Low</v>
      </c>
    </row>
    <row r="679" spans="1:50">
      <c r="A679" s="9" t="s">
        <v>199</v>
      </c>
      <c r="B679" s="10" t="s">
        <v>200</v>
      </c>
      <c r="C679" s="11" t="s">
        <v>201</v>
      </c>
      <c r="D679" s="11" t="s">
        <v>202</v>
      </c>
      <c r="E679" s="11" t="s">
        <v>103</v>
      </c>
      <c r="F679" s="11" t="s">
        <v>36</v>
      </c>
      <c r="G679" s="11" t="s">
        <v>37</v>
      </c>
      <c r="H679" s="11" t="s">
        <v>58</v>
      </c>
      <c r="I679" s="11" t="s">
        <v>84</v>
      </c>
      <c r="J679" s="11" t="s">
        <v>85</v>
      </c>
      <c r="K679" s="25">
        <v>10</v>
      </c>
      <c r="L679" s="25">
        <v>350</v>
      </c>
      <c r="M679" s="29">
        <v>0</v>
      </c>
      <c r="N679" s="25">
        <v>3500</v>
      </c>
      <c r="O679" s="25">
        <v>2251.67</v>
      </c>
      <c r="P679" s="25">
        <v>1248.33</v>
      </c>
      <c r="Q679" s="21">
        <v>35.67</v>
      </c>
      <c r="R679" s="11" t="s">
        <v>166</v>
      </c>
      <c r="S679" s="11" t="s">
        <v>42</v>
      </c>
      <c r="T679" s="11" t="s">
        <v>86</v>
      </c>
      <c r="U679" s="11" t="s">
        <v>44</v>
      </c>
      <c r="V679" s="11">
        <v>2024</v>
      </c>
      <c r="W679" s="11" t="s">
        <v>45</v>
      </c>
      <c r="X679" s="11">
        <v>10</v>
      </c>
      <c r="Y679" s="10">
        <v>45296</v>
      </c>
      <c r="Z679" s="11" t="s">
        <v>110</v>
      </c>
      <c r="AA679" s="11" t="s">
        <v>67</v>
      </c>
      <c r="AB679" s="11" t="s">
        <v>49</v>
      </c>
      <c r="AC679" s="11" t="s">
        <v>50</v>
      </c>
      <c r="AD679" s="11">
        <v>1</v>
      </c>
      <c r="AE679" s="11" t="s">
        <v>2221</v>
      </c>
      <c r="AF679" s="11" t="s">
        <v>2249</v>
      </c>
      <c r="AG679" s="25"/>
      <c r="AH679" s="11"/>
      <c r="AI679" s="11"/>
      <c r="AJ679" s="11"/>
      <c r="AK679" s="11"/>
      <c r="AL679" s="11"/>
      <c r="AM679" s="11" t="str">
        <f t="shared" si="54"/>
        <v>Good</v>
      </c>
      <c r="AN679" s="11" t="str" cm="1">
        <f t="array" ref="AN679">_xlfn.IFS(N679&lt;10000,"Low",N679&lt;30000,"Medium",N679&gt;=30000,"High")</f>
        <v>Low</v>
      </c>
      <c r="AO679" s="11" t="str">
        <f t="shared" si="55"/>
        <v>No</v>
      </c>
      <c r="AP679" s="11" t="str">
        <f t="shared" si="56"/>
        <v>Yes</v>
      </c>
      <c r="AQ679" s="11">
        <f t="shared" si="57"/>
        <v>0.35666571428571425</v>
      </c>
      <c r="AR679" s="33"/>
      <c r="AS679" s="33"/>
      <c r="AT679" s="33"/>
      <c r="AU679" s="33"/>
      <c r="AV679" s="33"/>
      <c r="AW679" s="33"/>
      <c r="AX679" s="33" t="str">
        <f t="shared" si="58"/>
        <v>Low</v>
      </c>
    </row>
    <row r="680" spans="1:50">
      <c r="A680" s="9" t="s">
        <v>1100</v>
      </c>
      <c r="B680" s="10" t="s">
        <v>1101</v>
      </c>
      <c r="C680" s="11" t="s">
        <v>101</v>
      </c>
      <c r="D680" s="11" t="s">
        <v>1014</v>
      </c>
      <c r="E680" s="11" t="s">
        <v>55</v>
      </c>
      <c r="F680" s="11" t="s">
        <v>82</v>
      </c>
      <c r="G680" s="11" t="s">
        <v>83</v>
      </c>
      <c r="H680" s="11" t="s">
        <v>94</v>
      </c>
      <c r="I680" s="11" t="s">
        <v>84</v>
      </c>
      <c r="J680" s="11" t="s">
        <v>229</v>
      </c>
      <c r="K680" s="25">
        <v>4</v>
      </c>
      <c r="L680" s="25">
        <v>800</v>
      </c>
      <c r="M680" s="29">
        <v>0</v>
      </c>
      <c r="N680" s="25">
        <v>3200</v>
      </c>
      <c r="O680" s="25">
        <v>1840.28</v>
      </c>
      <c r="P680" s="25">
        <v>1359.72</v>
      </c>
      <c r="Q680" s="21">
        <v>42.49</v>
      </c>
      <c r="R680" s="11" t="s">
        <v>166</v>
      </c>
      <c r="S680" s="11" t="s">
        <v>74</v>
      </c>
      <c r="T680" s="11" t="s">
        <v>86</v>
      </c>
      <c r="U680" s="11" t="s">
        <v>44</v>
      </c>
      <c r="V680" s="11">
        <v>2025</v>
      </c>
      <c r="W680" s="11" t="s">
        <v>126</v>
      </c>
      <c r="X680" s="11">
        <v>10</v>
      </c>
      <c r="Y680" s="10">
        <v>45662</v>
      </c>
      <c r="Z680" s="11" t="s">
        <v>47</v>
      </c>
      <c r="AA680" s="11" t="s">
        <v>90</v>
      </c>
      <c r="AB680" s="11" t="s">
        <v>111</v>
      </c>
      <c r="AC680" s="11" t="s">
        <v>50</v>
      </c>
      <c r="AD680" s="11">
        <v>3</v>
      </c>
      <c r="AE680" s="11" t="s">
        <v>2209</v>
      </c>
      <c r="AF680" s="11" t="s">
        <v>2219</v>
      </c>
      <c r="AG680" s="25"/>
      <c r="AH680" s="11"/>
      <c r="AI680" s="11"/>
      <c r="AJ680" s="11"/>
      <c r="AK680" s="11"/>
      <c r="AL680" s="11"/>
      <c r="AM680" s="11" t="str">
        <f t="shared" si="54"/>
        <v>Good</v>
      </c>
      <c r="AN680" s="11" t="str" cm="1">
        <f t="array" ref="AN680">_xlfn.IFS(N680&lt;10000,"Low",N680&lt;30000,"Medium",N680&gt;=30000,"High")</f>
        <v>Low</v>
      </c>
      <c r="AO680" s="11" t="str">
        <f t="shared" si="55"/>
        <v>No</v>
      </c>
      <c r="AP680" s="11" t="str">
        <f t="shared" si="56"/>
        <v>Yes</v>
      </c>
      <c r="AQ680" s="11">
        <f t="shared" si="57"/>
        <v>0.42491250000000003</v>
      </c>
      <c r="AR680" s="33"/>
      <c r="AS680" s="33"/>
      <c r="AT680" s="33"/>
      <c r="AU680" s="33"/>
      <c r="AV680" s="33"/>
      <c r="AW680" s="33"/>
      <c r="AX680" s="33" t="str">
        <f t="shared" si="58"/>
        <v>Low</v>
      </c>
    </row>
    <row r="681" spans="1:50">
      <c r="A681" s="9" t="s">
        <v>730</v>
      </c>
      <c r="B681" s="10" t="s">
        <v>731</v>
      </c>
      <c r="C681" s="11" t="s">
        <v>169</v>
      </c>
      <c r="D681" s="11" t="s">
        <v>732</v>
      </c>
      <c r="E681" s="11" t="s">
        <v>55</v>
      </c>
      <c r="F681" s="11" t="s">
        <v>36</v>
      </c>
      <c r="G681" s="11" t="s">
        <v>37</v>
      </c>
      <c r="H681" s="11" t="s">
        <v>94</v>
      </c>
      <c r="I681" s="11" t="s">
        <v>84</v>
      </c>
      <c r="J681" s="11" t="s">
        <v>390</v>
      </c>
      <c r="K681" s="25">
        <v>1</v>
      </c>
      <c r="L681" s="25">
        <v>500</v>
      </c>
      <c r="M681" s="29">
        <v>0</v>
      </c>
      <c r="N681" s="25">
        <v>500</v>
      </c>
      <c r="O681" s="25">
        <v>385.93</v>
      </c>
      <c r="P681" s="25">
        <v>114.07</v>
      </c>
      <c r="Q681" s="21">
        <v>22.81</v>
      </c>
      <c r="R681" s="11" t="s">
        <v>73</v>
      </c>
      <c r="S681" s="11" t="s">
        <v>62</v>
      </c>
      <c r="T681" s="11" t="s">
        <v>86</v>
      </c>
      <c r="U681" s="11" t="s">
        <v>160</v>
      </c>
      <c r="V681" s="11">
        <v>2024</v>
      </c>
      <c r="W681" s="11" t="s">
        <v>194</v>
      </c>
      <c r="X681" s="11">
        <v>10</v>
      </c>
      <c r="Y681" s="10">
        <v>45298</v>
      </c>
      <c r="Z681" s="11" t="s">
        <v>110</v>
      </c>
      <c r="AA681" s="11" t="s">
        <v>90</v>
      </c>
      <c r="AB681" s="11" t="s">
        <v>78</v>
      </c>
      <c r="AC681" s="11" t="s">
        <v>50</v>
      </c>
      <c r="AD681" s="11">
        <v>4</v>
      </c>
      <c r="AE681" s="11" t="s">
        <v>2220</v>
      </c>
      <c r="AF681" s="11" t="s">
        <v>2231</v>
      </c>
      <c r="AG681" s="25"/>
      <c r="AH681" s="11"/>
      <c r="AI681" s="11"/>
      <c r="AJ681" s="11"/>
      <c r="AK681" s="11"/>
      <c r="AL681" s="11"/>
      <c r="AM681" s="11" t="str">
        <f t="shared" si="54"/>
        <v>Needs Improvement</v>
      </c>
      <c r="AN681" s="11" t="str" cm="1">
        <f t="array" ref="AN681">_xlfn.IFS(N681&lt;10000,"Low",N681&lt;30000,"Medium",N681&gt;=30000,"High")</f>
        <v>Low</v>
      </c>
      <c r="AO681" s="11" t="str">
        <f t="shared" si="55"/>
        <v>No</v>
      </c>
      <c r="AP681" s="11" t="str">
        <f t="shared" si="56"/>
        <v>No</v>
      </c>
      <c r="AQ681" s="11">
        <f t="shared" si="57"/>
        <v>0.22813999999999998</v>
      </c>
      <c r="AR681" s="33"/>
      <c r="AS681" s="33"/>
      <c r="AT681" s="33"/>
      <c r="AU681" s="33"/>
      <c r="AV681" s="33"/>
      <c r="AW681" s="33"/>
      <c r="AX681" s="33" t="str">
        <f t="shared" si="58"/>
        <v>Low</v>
      </c>
    </row>
    <row r="682" spans="1:50">
      <c r="A682" s="9" t="s">
        <v>2070</v>
      </c>
      <c r="B682" s="10" t="s">
        <v>1726</v>
      </c>
      <c r="C682" s="11" t="s">
        <v>805</v>
      </c>
      <c r="D682" s="11" t="s">
        <v>542</v>
      </c>
      <c r="E682" s="11" t="s">
        <v>55</v>
      </c>
      <c r="F682" s="11" t="s">
        <v>245</v>
      </c>
      <c r="G682" s="11" t="s">
        <v>246</v>
      </c>
      <c r="H682" s="11" t="s">
        <v>38</v>
      </c>
      <c r="I682" s="11" t="s">
        <v>39</v>
      </c>
      <c r="J682" s="11" t="s">
        <v>40</v>
      </c>
      <c r="K682" s="25">
        <v>5</v>
      </c>
      <c r="L682" s="25">
        <v>15000</v>
      </c>
      <c r="M682" s="29">
        <v>0.2</v>
      </c>
      <c r="N682" s="25">
        <v>60000</v>
      </c>
      <c r="O682" s="25">
        <v>39250.379999999997</v>
      </c>
      <c r="P682" s="25">
        <v>20749.62</v>
      </c>
      <c r="Q682" s="21">
        <v>34.58</v>
      </c>
      <c r="R682" s="11" t="s">
        <v>166</v>
      </c>
      <c r="S682" s="11" t="s">
        <v>62</v>
      </c>
      <c r="T682" s="11" t="s">
        <v>138</v>
      </c>
      <c r="U682" s="11" t="s">
        <v>160</v>
      </c>
      <c r="V682" s="11">
        <v>2025</v>
      </c>
      <c r="W682" s="11" t="s">
        <v>65</v>
      </c>
      <c r="X682" s="11">
        <v>10</v>
      </c>
      <c r="Y682" s="10">
        <v>45664</v>
      </c>
      <c r="Z682" s="11" t="s">
        <v>110</v>
      </c>
      <c r="AA682" s="11" t="s">
        <v>48</v>
      </c>
      <c r="AB682" s="11" t="s">
        <v>78</v>
      </c>
      <c r="AC682" s="11" t="s">
        <v>50</v>
      </c>
      <c r="AD682" s="11">
        <v>2</v>
      </c>
      <c r="AE682" s="11" t="s">
        <v>2220</v>
      </c>
      <c r="AF682" s="11" t="s">
        <v>2222</v>
      </c>
      <c r="AG682" s="25"/>
      <c r="AH682" s="11"/>
      <c r="AI682" s="11"/>
      <c r="AJ682" s="11"/>
      <c r="AK682" s="11"/>
      <c r="AL682" s="11"/>
      <c r="AM682" s="11" t="str">
        <f t="shared" si="54"/>
        <v>Good</v>
      </c>
      <c r="AN682" s="11" t="str" cm="1">
        <f t="array" ref="AN682">_xlfn.IFS(N682&lt;10000,"Low",N682&lt;30000,"Medium",N682&gt;=30000,"High")</f>
        <v>High</v>
      </c>
      <c r="AO682" s="11" t="str">
        <f t="shared" si="55"/>
        <v>Yes</v>
      </c>
      <c r="AP682" s="11" t="str">
        <f t="shared" si="56"/>
        <v>No</v>
      </c>
      <c r="AQ682" s="11">
        <f t="shared" si="57"/>
        <v>0.345827</v>
      </c>
      <c r="AR682" s="33"/>
      <c r="AS682" s="33"/>
      <c r="AT682" s="33"/>
      <c r="AU682" s="33"/>
      <c r="AV682" s="33"/>
      <c r="AW682" s="33"/>
      <c r="AX682" s="33" t="str">
        <f t="shared" si="58"/>
        <v>Excellent</v>
      </c>
    </row>
    <row r="683" spans="1:50">
      <c r="A683" s="9" t="s">
        <v>1450</v>
      </c>
      <c r="B683" s="10" t="s">
        <v>1451</v>
      </c>
      <c r="C683" s="11" t="s">
        <v>527</v>
      </c>
      <c r="D683" s="11" t="s">
        <v>634</v>
      </c>
      <c r="E683" s="11" t="s">
        <v>35</v>
      </c>
      <c r="F683" s="11" t="s">
        <v>156</v>
      </c>
      <c r="G683" s="11" t="s">
        <v>157</v>
      </c>
      <c r="H683" s="11" t="s">
        <v>38</v>
      </c>
      <c r="I683" s="11" t="s">
        <v>95</v>
      </c>
      <c r="J683" s="11" t="s">
        <v>319</v>
      </c>
      <c r="K683" s="25">
        <v>6</v>
      </c>
      <c r="L683" s="25">
        <v>4000</v>
      </c>
      <c r="M683" s="29">
        <v>0.05</v>
      </c>
      <c r="N683" s="25">
        <v>22800</v>
      </c>
      <c r="O683" s="25">
        <v>15634.09</v>
      </c>
      <c r="P683" s="25">
        <v>7165.91</v>
      </c>
      <c r="Q683" s="21">
        <v>31.43</v>
      </c>
      <c r="R683" s="11" t="s">
        <v>73</v>
      </c>
      <c r="S683" s="11" t="s">
        <v>74</v>
      </c>
      <c r="T683" s="11" t="s">
        <v>118</v>
      </c>
      <c r="U683" s="11" t="s">
        <v>151</v>
      </c>
      <c r="V683" s="11">
        <v>2024</v>
      </c>
      <c r="W683" s="11" t="s">
        <v>45</v>
      </c>
      <c r="X683" s="11">
        <v>8</v>
      </c>
      <c r="Y683" s="10" t="s">
        <v>1415</v>
      </c>
      <c r="Z683" s="11" t="s">
        <v>47</v>
      </c>
      <c r="AA683" s="11" t="s">
        <v>90</v>
      </c>
      <c r="AB683" s="11" t="s">
        <v>78</v>
      </c>
      <c r="AC683" s="11" t="s">
        <v>50</v>
      </c>
      <c r="AD683" s="11">
        <v>4</v>
      </c>
      <c r="AE683" s="11" t="s">
        <v>2239</v>
      </c>
      <c r="AF683" s="11" t="s">
        <v>2249</v>
      </c>
      <c r="AG683" s="25"/>
      <c r="AH683" s="11"/>
      <c r="AI683" s="11"/>
      <c r="AJ683" s="11"/>
      <c r="AK683" s="11"/>
      <c r="AL683" s="11"/>
      <c r="AM683" s="11" t="str">
        <f t="shared" si="54"/>
        <v>Good</v>
      </c>
      <c r="AN683" s="11" t="str" cm="1">
        <f t="array" ref="AN683">_xlfn.IFS(N683&lt;10000,"Low",N683&lt;30000,"Medium",N683&gt;=30000,"High")</f>
        <v>Medium</v>
      </c>
      <c r="AO683" s="11" t="str">
        <f t="shared" si="55"/>
        <v>No</v>
      </c>
      <c r="AP683" s="11" t="str">
        <f t="shared" si="56"/>
        <v>Yes</v>
      </c>
      <c r="AQ683" s="11">
        <f t="shared" si="57"/>
        <v>0.314294298245614</v>
      </c>
      <c r="AR683" s="33"/>
      <c r="AS683" s="33"/>
      <c r="AT683" s="33"/>
      <c r="AU683" s="33"/>
      <c r="AV683" s="33"/>
      <c r="AW683" s="33"/>
      <c r="AX683" s="33" t="str">
        <f t="shared" si="58"/>
        <v>Average</v>
      </c>
    </row>
    <row r="684" spans="1:50">
      <c r="A684" s="9" t="s">
        <v>1847</v>
      </c>
      <c r="B684" s="10" t="s">
        <v>1451</v>
      </c>
      <c r="C684" s="11" t="s">
        <v>1531</v>
      </c>
      <c r="D684" s="11" t="s">
        <v>1337</v>
      </c>
      <c r="E684" s="11" t="s">
        <v>55</v>
      </c>
      <c r="F684" s="11" t="s">
        <v>245</v>
      </c>
      <c r="G684" s="11" t="s">
        <v>246</v>
      </c>
      <c r="H684" s="11" t="s">
        <v>171</v>
      </c>
      <c r="I684" s="11" t="s">
        <v>84</v>
      </c>
      <c r="J684" s="11" t="s">
        <v>217</v>
      </c>
      <c r="K684" s="25">
        <v>3</v>
      </c>
      <c r="L684" s="25">
        <v>500</v>
      </c>
      <c r="M684" s="29">
        <v>0.2</v>
      </c>
      <c r="N684" s="25">
        <v>1200</v>
      </c>
      <c r="O684" s="25">
        <v>762.54</v>
      </c>
      <c r="P684" s="25">
        <v>437.46</v>
      </c>
      <c r="Q684" s="21">
        <v>36.450000000000003</v>
      </c>
      <c r="R684" s="11" t="s">
        <v>41</v>
      </c>
      <c r="S684" s="11" t="s">
        <v>42</v>
      </c>
      <c r="T684" s="11" t="s">
        <v>107</v>
      </c>
      <c r="U684" s="11" t="s">
        <v>151</v>
      </c>
      <c r="V684" s="11">
        <v>2024</v>
      </c>
      <c r="W684" s="11" t="s">
        <v>45</v>
      </c>
      <c r="X684" s="11">
        <v>3</v>
      </c>
      <c r="Y684" s="10" t="s">
        <v>488</v>
      </c>
      <c r="Z684" s="11" t="s">
        <v>110</v>
      </c>
      <c r="AA684" s="11" t="s">
        <v>48</v>
      </c>
      <c r="AB684" s="11" t="s">
        <v>111</v>
      </c>
      <c r="AC684" s="11" t="s">
        <v>121</v>
      </c>
      <c r="AD684" s="11">
        <v>1</v>
      </c>
      <c r="AE684" s="11" t="s">
        <v>2233</v>
      </c>
      <c r="AF684" s="11" t="s">
        <v>2238</v>
      </c>
      <c r="AG684" s="25"/>
      <c r="AH684" s="11"/>
      <c r="AI684" s="11"/>
      <c r="AJ684" s="11"/>
      <c r="AK684" s="11"/>
      <c r="AL684" s="11"/>
      <c r="AM684" s="11" t="str">
        <f t="shared" si="54"/>
        <v>Good</v>
      </c>
      <c r="AN684" s="11" t="str" cm="1">
        <f t="array" ref="AN684">_xlfn.IFS(N684&lt;10000,"Low",N684&lt;30000,"Medium",N684&gt;=30000,"High")</f>
        <v>Low</v>
      </c>
      <c r="AO684" s="11" t="str">
        <f t="shared" si="55"/>
        <v>No</v>
      </c>
      <c r="AP684" s="11" t="str">
        <f t="shared" si="56"/>
        <v>Yes</v>
      </c>
      <c r="AQ684" s="11">
        <f t="shared" si="57"/>
        <v>0.36454999999999999</v>
      </c>
      <c r="AR684" s="33"/>
      <c r="AS684" s="33"/>
      <c r="AT684" s="33"/>
      <c r="AU684" s="33"/>
      <c r="AV684" s="33"/>
      <c r="AW684" s="33"/>
      <c r="AX684" s="33" t="str">
        <f t="shared" si="58"/>
        <v>Low</v>
      </c>
    </row>
    <row r="685" spans="1:50">
      <c r="A685" s="9" t="s">
        <v>1350</v>
      </c>
      <c r="B685" s="10" t="s">
        <v>1351</v>
      </c>
      <c r="C685" s="11" t="s">
        <v>1352</v>
      </c>
      <c r="D685" s="11" t="s">
        <v>1353</v>
      </c>
      <c r="E685" s="11" t="s">
        <v>103</v>
      </c>
      <c r="F685" s="11" t="s">
        <v>56</v>
      </c>
      <c r="G685" s="11" t="s">
        <v>57</v>
      </c>
      <c r="H685" s="11" t="s">
        <v>94</v>
      </c>
      <c r="I685" s="11" t="s">
        <v>39</v>
      </c>
      <c r="J685" s="11" t="s">
        <v>253</v>
      </c>
      <c r="K685" s="25">
        <v>4</v>
      </c>
      <c r="L685" s="25">
        <v>8000</v>
      </c>
      <c r="M685" s="29">
        <v>0.1</v>
      </c>
      <c r="N685" s="25">
        <v>28800</v>
      </c>
      <c r="O685" s="25">
        <v>17755.349999999999</v>
      </c>
      <c r="P685" s="25">
        <v>11044.65</v>
      </c>
      <c r="Q685" s="21">
        <v>38.35</v>
      </c>
      <c r="R685" s="11" t="s">
        <v>166</v>
      </c>
      <c r="S685" s="11" t="s">
        <v>74</v>
      </c>
      <c r="T685" s="11" t="s">
        <v>107</v>
      </c>
      <c r="U685" s="11" t="s">
        <v>151</v>
      </c>
      <c r="V685" s="11">
        <v>2025</v>
      </c>
      <c r="W685" s="11" t="s">
        <v>126</v>
      </c>
      <c r="X685" s="11">
        <v>10</v>
      </c>
      <c r="Y685" s="10" t="s">
        <v>1354</v>
      </c>
      <c r="Z685" s="11" t="s">
        <v>47</v>
      </c>
      <c r="AA685" s="11" t="s">
        <v>90</v>
      </c>
      <c r="AB685" s="11" t="s">
        <v>49</v>
      </c>
      <c r="AC685" s="11" t="s">
        <v>50</v>
      </c>
      <c r="AD685" s="11">
        <v>5</v>
      </c>
      <c r="AE685" s="11" t="s">
        <v>2233</v>
      </c>
      <c r="AF685" s="11" t="s">
        <v>2228</v>
      </c>
      <c r="AG685" s="25"/>
      <c r="AH685" s="11"/>
      <c r="AI685" s="11"/>
      <c r="AJ685" s="11"/>
      <c r="AK685" s="11"/>
      <c r="AL685" s="11"/>
      <c r="AM685" s="11" t="str">
        <f t="shared" si="54"/>
        <v>Good</v>
      </c>
      <c r="AN685" s="11" t="str" cm="1">
        <f t="array" ref="AN685">_xlfn.IFS(N685&lt;10000,"Low",N685&lt;30000,"Medium",N685&gt;=30000,"High")</f>
        <v>Medium</v>
      </c>
      <c r="AO685" s="11" t="str">
        <f t="shared" si="55"/>
        <v>No</v>
      </c>
      <c r="AP685" s="11" t="str">
        <f t="shared" si="56"/>
        <v>Yes</v>
      </c>
      <c r="AQ685" s="11">
        <f t="shared" si="57"/>
        <v>0.38349479166666667</v>
      </c>
      <c r="AR685" s="33"/>
      <c r="AS685" s="33"/>
      <c r="AT685" s="33"/>
      <c r="AU685" s="33"/>
      <c r="AV685" s="33"/>
      <c r="AW685" s="33"/>
      <c r="AX685" s="33" t="str">
        <f t="shared" si="58"/>
        <v>Good</v>
      </c>
    </row>
    <row r="686" spans="1:50">
      <c r="A686" s="9" t="s">
        <v>1492</v>
      </c>
      <c r="B686" s="10" t="s">
        <v>1351</v>
      </c>
      <c r="C686" s="11" t="s">
        <v>1493</v>
      </c>
      <c r="D686" s="11" t="s">
        <v>900</v>
      </c>
      <c r="E686" s="11" t="s">
        <v>103</v>
      </c>
      <c r="F686" s="11" t="s">
        <v>36</v>
      </c>
      <c r="G686" s="11" t="s">
        <v>37</v>
      </c>
      <c r="H686" s="11" t="s">
        <v>38</v>
      </c>
      <c r="I686" s="11" t="s">
        <v>95</v>
      </c>
      <c r="J686" s="11" t="s">
        <v>96</v>
      </c>
      <c r="K686" s="25">
        <v>1</v>
      </c>
      <c r="L686" s="25">
        <v>2500</v>
      </c>
      <c r="M686" s="29">
        <v>0.1</v>
      </c>
      <c r="N686" s="25">
        <v>2250</v>
      </c>
      <c r="O686" s="25">
        <v>1822.02</v>
      </c>
      <c r="P686" s="25">
        <v>427.98</v>
      </c>
      <c r="Q686" s="21">
        <v>19.02</v>
      </c>
      <c r="R686" s="11" t="s">
        <v>166</v>
      </c>
      <c r="S686" s="11" t="s">
        <v>62</v>
      </c>
      <c r="T686" s="11" t="s">
        <v>107</v>
      </c>
      <c r="U686" s="11" t="s">
        <v>151</v>
      </c>
      <c r="V686" s="11">
        <v>2025</v>
      </c>
      <c r="W686" s="11" t="s">
        <v>126</v>
      </c>
      <c r="X686" s="11">
        <v>8</v>
      </c>
      <c r="Y686" s="10" t="s">
        <v>1026</v>
      </c>
      <c r="Z686" s="11" t="s">
        <v>47</v>
      </c>
      <c r="AA686" s="11" t="s">
        <v>48</v>
      </c>
      <c r="AB686" s="11" t="s">
        <v>111</v>
      </c>
      <c r="AC686" s="11" t="s">
        <v>121</v>
      </c>
      <c r="AD686" s="11">
        <v>4</v>
      </c>
      <c r="AE686" s="11" t="s">
        <v>2227</v>
      </c>
      <c r="AF686" s="11" t="s">
        <v>2230</v>
      </c>
      <c r="AG686" s="25"/>
      <c r="AH686" s="11"/>
      <c r="AI686" s="11"/>
      <c r="AJ686" s="11"/>
      <c r="AK686" s="11"/>
      <c r="AL686" s="11"/>
      <c r="AM686" s="11" t="str">
        <f t="shared" si="54"/>
        <v>Needs Improvement</v>
      </c>
      <c r="AN686" s="11" t="str" cm="1">
        <f t="array" ref="AN686">_xlfn.IFS(N686&lt;10000,"Low",N686&lt;30000,"Medium",N686&gt;=30000,"High")</f>
        <v>Low</v>
      </c>
      <c r="AO686" s="11" t="str">
        <f t="shared" si="55"/>
        <v>No</v>
      </c>
      <c r="AP686" s="11" t="str">
        <f t="shared" si="56"/>
        <v>No</v>
      </c>
      <c r="AQ686" s="11">
        <f t="shared" si="57"/>
        <v>0.19021333333333335</v>
      </c>
      <c r="AR686" s="33"/>
      <c r="AS686" s="33"/>
      <c r="AT686" s="33"/>
      <c r="AU686" s="33"/>
      <c r="AV686" s="33"/>
      <c r="AW686" s="33"/>
      <c r="AX686" s="33" t="str">
        <f t="shared" si="58"/>
        <v>Low</v>
      </c>
    </row>
    <row r="687" spans="1:50">
      <c r="A687" s="9" t="s">
        <v>1381</v>
      </c>
      <c r="B687" s="10" t="s">
        <v>1382</v>
      </c>
      <c r="C687" s="11" t="s">
        <v>1383</v>
      </c>
      <c r="D687" s="11" t="s">
        <v>920</v>
      </c>
      <c r="E687" s="11" t="s">
        <v>103</v>
      </c>
      <c r="F687" s="11" t="s">
        <v>149</v>
      </c>
      <c r="G687" s="11" t="s">
        <v>150</v>
      </c>
      <c r="H687" s="11" t="s">
        <v>38</v>
      </c>
      <c r="I687" s="11" t="s">
        <v>95</v>
      </c>
      <c r="J687" s="11" t="s">
        <v>344</v>
      </c>
      <c r="K687" s="25">
        <v>1</v>
      </c>
      <c r="L687" s="25">
        <v>4000</v>
      </c>
      <c r="M687" s="29">
        <v>0.1</v>
      </c>
      <c r="N687" s="25">
        <v>3600</v>
      </c>
      <c r="O687" s="25">
        <v>2912.87</v>
      </c>
      <c r="P687" s="25">
        <v>687.13</v>
      </c>
      <c r="Q687" s="21">
        <v>19.09</v>
      </c>
      <c r="R687" s="11" t="s">
        <v>73</v>
      </c>
      <c r="S687" s="11" t="s">
        <v>62</v>
      </c>
      <c r="T687" s="11" t="s">
        <v>159</v>
      </c>
      <c r="U687" s="11" t="s">
        <v>218</v>
      </c>
      <c r="V687" s="11">
        <v>2025</v>
      </c>
      <c r="W687" s="11" t="s">
        <v>139</v>
      </c>
      <c r="X687" s="11">
        <v>7</v>
      </c>
      <c r="Y687" s="10" t="s">
        <v>1384</v>
      </c>
      <c r="Z687" s="11" t="s">
        <v>89</v>
      </c>
      <c r="AA687" s="11" t="s">
        <v>48</v>
      </c>
      <c r="AB687" s="11" t="s">
        <v>78</v>
      </c>
      <c r="AC687" s="11" t="s">
        <v>50</v>
      </c>
      <c r="AD687" s="11">
        <v>3</v>
      </c>
      <c r="AE687" s="11" t="s">
        <v>2218</v>
      </c>
      <c r="AF687" s="11" t="s">
        <v>2249</v>
      </c>
      <c r="AG687" s="25"/>
      <c r="AH687" s="11"/>
      <c r="AI687" s="11"/>
      <c r="AJ687" s="11"/>
      <c r="AK687" s="11"/>
      <c r="AL687" s="11"/>
      <c r="AM687" s="11" t="str">
        <f t="shared" si="54"/>
        <v>Needs Improvement</v>
      </c>
      <c r="AN687" s="11" t="str" cm="1">
        <f t="array" ref="AN687">_xlfn.IFS(N687&lt;10000,"Low",N687&lt;30000,"Medium",N687&gt;=30000,"High")</f>
        <v>Low</v>
      </c>
      <c r="AO687" s="11" t="str">
        <f t="shared" si="55"/>
        <v>No</v>
      </c>
      <c r="AP687" s="11" t="str">
        <f t="shared" si="56"/>
        <v>No</v>
      </c>
      <c r="AQ687" s="11">
        <f t="shared" si="57"/>
        <v>0.19086944444444445</v>
      </c>
      <c r="AR687" s="33"/>
      <c r="AS687" s="33"/>
      <c r="AT687" s="33"/>
      <c r="AU687" s="33"/>
      <c r="AV687" s="33"/>
      <c r="AW687" s="33"/>
      <c r="AX687" s="33" t="str">
        <f t="shared" si="58"/>
        <v>Low</v>
      </c>
    </row>
    <row r="688" spans="1:50">
      <c r="A688" s="9" t="s">
        <v>787</v>
      </c>
      <c r="B688" s="10" t="s">
        <v>788</v>
      </c>
      <c r="C688" s="11" t="s">
        <v>338</v>
      </c>
      <c r="D688" s="11" t="s">
        <v>464</v>
      </c>
      <c r="E688" s="11" t="s">
        <v>103</v>
      </c>
      <c r="F688" s="11" t="s">
        <v>56</v>
      </c>
      <c r="G688" s="11" t="s">
        <v>57</v>
      </c>
      <c r="H688" s="11" t="s">
        <v>38</v>
      </c>
      <c r="I688" s="11" t="s">
        <v>59</v>
      </c>
      <c r="J688" s="11" t="s">
        <v>372</v>
      </c>
      <c r="K688" s="25">
        <v>6</v>
      </c>
      <c r="L688" s="25">
        <v>1200</v>
      </c>
      <c r="M688" s="29">
        <v>0.05</v>
      </c>
      <c r="N688" s="25">
        <v>6840</v>
      </c>
      <c r="O688" s="25">
        <v>3812.7</v>
      </c>
      <c r="P688" s="25">
        <v>3027.3</v>
      </c>
      <c r="Q688" s="21">
        <v>44.26</v>
      </c>
      <c r="R688" s="11" t="s">
        <v>73</v>
      </c>
      <c r="S688" s="11" t="s">
        <v>42</v>
      </c>
      <c r="T688" s="11" t="s">
        <v>86</v>
      </c>
      <c r="U688" s="11" t="s">
        <v>108</v>
      </c>
      <c r="V688" s="11">
        <v>2024</v>
      </c>
      <c r="W688" s="11" t="s">
        <v>65</v>
      </c>
      <c r="X688" s="11">
        <v>2</v>
      </c>
      <c r="Y688" s="10" t="s">
        <v>789</v>
      </c>
      <c r="Z688" s="11" t="s">
        <v>47</v>
      </c>
      <c r="AA688" s="11" t="s">
        <v>48</v>
      </c>
      <c r="AB688" s="11" t="s">
        <v>49</v>
      </c>
      <c r="AC688" s="11" t="s">
        <v>50</v>
      </c>
      <c r="AD688" s="11">
        <v>4</v>
      </c>
      <c r="AE688" s="11" t="s">
        <v>2248</v>
      </c>
      <c r="AF688" s="11" t="s">
        <v>2217</v>
      </c>
      <c r="AG688" s="25"/>
      <c r="AH688" s="11"/>
      <c r="AI688" s="11"/>
      <c r="AJ688" s="11"/>
      <c r="AK688" s="11"/>
      <c r="AL688" s="11"/>
      <c r="AM688" s="11" t="str">
        <f t="shared" si="54"/>
        <v>Good</v>
      </c>
      <c r="AN688" s="11" t="str" cm="1">
        <f t="array" ref="AN688">_xlfn.IFS(N688&lt;10000,"Low",N688&lt;30000,"Medium",N688&gt;=30000,"High")</f>
        <v>Low</v>
      </c>
      <c r="AO688" s="11" t="str">
        <f t="shared" si="55"/>
        <v>No</v>
      </c>
      <c r="AP688" s="11" t="str">
        <f t="shared" si="56"/>
        <v>Yes</v>
      </c>
      <c r="AQ688" s="11">
        <f t="shared" si="57"/>
        <v>0.44258771929824564</v>
      </c>
      <c r="AR688" s="33"/>
      <c r="AS688" s="33"/>
      <c r="AT688" s="33"/>
      <c r="AU688" s="33"/>
      <c r="AV688" s="33"/>
      <c r="AW688" s="33"/>
      <c r="AX688" s="33" t="str">
        <f t="shared" si="58"/>
        <v>Low</v>
      </c>
    </row>
    <row r="689" spans="1:50">
      <c r="A689" s="9" t="s">
        <v>1724</v>
      </c>
      <c r="B689" s="10" t="s">
        <v>788</v>
      </c>
      <c r="C689" s="11" t="s">
        <v>491</v>
      </c>
      <c r="D689" s="11" t="s">
        <v>1328</v>
      </c>
      <c r="E689" s="11" t="s">
        <v>55</v>
      </c>
      <c r="F689" s="11" t="s">
        <v>56</v>
      </c>
      <c r="G689" s="11" t="s">
        <v>57</v>
      </c>
      <c r="H689" s="11" t="s">
        <v>171</v>
      </c>
      <c r="I689" s="11" t="s">
        <v>71</v>
      </c>
      <c r="J689" s="11" t="s">
        <v>158</v>
      </c>
      <c r="K689" s="25">
        <v>1</v>
      </c>
      <c r="L689" s="25">
        <v>1800</v>
      </c>
      <c r="M689" s="29">
        <v>0.15</v>
      </c>
      <c r="N689" s="25">
        <v>1530</v>
      </c>
      <c r="O689" s="25">
        <v>1174.92</v>
      </c>
      <c r="P689" s="25">
        <v>355.08</v>
      </c>
      <c r="Q689" s="21">
        <v>23.21</v>
      </c>
      <c r="R689" s="11" t="s">
        <v>41</v>
      </c>
      <c r="S689" s="11" t="s">
        <v>62</v>
      </c>
      <c r="T689" s="11" t="s">
        <v>173</v>
      </c>
      <c r="U689" s="11" t="s">
        <v>108</v>
      </c>
      <c r="V689" s="11">
        <v>2024</v>
      </c>
      <c r="W689" s="11" t="s">
        <v>65</v>
      </c>
      <c r="X689" s="11">
        <v>2</v>
      </c>
      <c r="Y689" s="10" t="s">
        <v>789</v>
      </c>
      <c r="Z689" s="11" t="s">
        <v>89</v>
      </c>
      <c r="AA689" s="11" t="s">
        <v>90</v>
      </c>
      <c r="AB689" s="11" t="s">
        <v>78</v>
      </c>
      <c r="AC689" s="11" t="s">
        <v>50</v>
      </c>
      <c r="AD689" s="11">
        <v>1</v>
      </c>
      <c r="AE689" s="11" t="s">
        <v>2227</v>
      </c>
      <c r="AF689" s="11" t="s">
        <v>2236</v>
      </c>
      <c r="AG689" s="25"/>
      <c r="AH689" s="11"/>
      <c r="AI689" s="11"/>
      <c r="AJ689" s="11"/>
      <c r="AK689" s="11"/>
      <c r="AL689" s="11"/>
      <c r="AM689" s="11" t="str">
        <f t="shared" si="54"/>
        <v>Needs Improvement</v>
      </c>
      <c r="AN689" s="11" t="str" cm="1">
        <f t="array" ref="AN689">_xlfn.IFS(N689&lt;10000,"Low",N689&lt;30000,"Medium",N689&gt;=30000,"High")</f>
        <v>Low</v>
      </c>
      <c r="AO689" s="11" t="str">
        <f t="shared" si="55"/>
        <v>No</v>
      </c>
      <c r="AP689" s="11" t="str">
        <f t="shared" si="56"/>
        <v>No</v>
      </c>
      <c r="AQ689" s="11">
        <f t="shared" si="57"/>
        <v>0.23207843137254902</v>
      </c>
      <c r="AR689" s="33"/>
      <c r="AS689" s="33"/>
      <c r="AT689" s="33"/>
      <c r="AU689" s="33"/>
      <c r="AV689" s="33"/>
      <c r="AW689" s="33"/>
      <c r="AX689" s="33" t="str">
        <f t="shared" si="58"/>
        <v>Low</v>
      </c>
    </row>
    <row r="690" spans="1:50">
      <c r="A690" s="9" t="s">
        <v>1039</v>
      </c>
      <c r="B690" s="10" t="s">
        <v>314</v>
      </c>
      <c r="C690" s="11" t="s">
        <v>527</v>
      </c>
      <c r="D690" s="11" t="s">
        <v>499</v>
      </c>
      <c r="E690" s="11" t="s">
        <v>55</v>
      </c>
      <c r="F690" s="11" t="s">
        <v>36</v>
      </c>
      <c r="G690" s="11" t="s">
        <v>37</v>
      </c>
      <c r="H690" s="11" t="s">
        <v>58</v>
      </c>
      <c r="I690" s="11" t="s">
        <v>39</v>
      </c>
      <c r="J690" s="11" t="s">
        <v>356</v>
      </c>
      <c r="K690" s="25">
        <v>4</v>
      </c>
      <c r="L690" s="25">
        <v>35000</v>
      </c>
      <c r="M690" s="29">
        <v>0.05</v>
      </c>
      <c r="N690" s="25">
        <v>133000</v>
      </c>
      <c r="O690" s="25">
        <v>98064.19</v>
      </c>
      <c r="P690" s="25">
        <v>34935.81</v>
      </c>
      <c r="Q690" s="21">
        <v>26.27</v>
      </c>
      <c r="R690" s="11" t="s">
        <v>61</v>
      </c>
      <c r="S690" s="11" t="s">
        <v>74</v>
      </c>
      <c r="T690" s="11" t="s">
        <v>107</v>
      </c>
      <c r="U690" s="11" t="s">
        <v>87</v>
      </c>
      <c r="V690" s="11">
        <v>2024</v>
      </c>
      <c r="W690" s="11" t="s">
        <v>126</v>
      </c>
      <c r="X690" s="11">
        <v>1</v>
      </c>
      <c r="Y690" s="10" t="s">
        <v>1040</v>
      </c>
      <c r="Z690" s="11" t="s">
        <v>47</v>
      </c>
      <c r="AA690" s="11" t="s">
        <v>90</v>
      </c>
      <c r="AB690" s="11" t="s">
        <v>49</v>
      </c>
      <c r="AC690" s="11" t="s">
        <v>50</v>
      </c>
      <c r="AD690" s="11">
        <v>5</v>
      </c>
      <c r="AE690" s="11" t="s">
        <v>2218</v>
      </c>
      <c r="AF690" s="11" t="s">
        <v>2219</v>
      </c>
      <c r="AG690" s="25"/>
      <c r="AH690" s="11"/>
      <c r="AI690" s="11"/>
      <c r="AJ690" s="11"/>
      <c r="AK690" s="11"/>
      <c r="AL690" s="11"/>
      <c r="AM690" s="11" t="str">
        <f t="shared" si="54"/>
        <v>Needs Improvement</v>
      </c>
      <c r="AN690" s="11" t="str" cm="1">
        <f t="array" ref="AN690">_xlfn.IFS(N690&lt;10000,"Low",N690&lt;30000,"Medium",N690&gt;=30000,"High")</f>
        <v>High</v>
      </c>
      <c r="AO690" s="11" t="str">
        <f t="shared" si="55"/>
        <v>Yes</v>
      </c>
      <c r="AP690" s="11" t="str">
        <f t="shared" si="56"/>
        <v>Yes</v>
      </c>
      <c r="AQ690" s="11">
        <f t="shared" si="57"/>
        <v>0.26267526315789475</v>
      </c>
      <c r="AR690" s="33"/>
      <c r="AS690" s="33"/>
      <c r="AT690" s="33"/>
      <c r="AU690" s="33"/>
      <c r="AV690" s="33"/>
      <c r="AW690" s="33"/>
      <c r="AX690" s="33" t="str">
        <f t="shared" si="58"/>
        <v>Excellent</v>
      </c>
    </row>
    <row r="691" spans="1:50">
      <c r="A691" s="9" t="s">
        <v>1596</v>
      </c>
      <c r="B691" s="10" t="s">
        <v>314</v>
      </c>
      <c r="C691" s="11" t="s">
        <v>1597</v>
      </c>
      <c r="D691" s="11" t="s">
        <v>817</v>
      </c>
      <c r="E691" s="11" t="s">
        <v>55</v>
      </c>
      <c r="F691" s="11" t="s">
        <v>149</v>
      </c>
      <c r="G691" s="11" t="s">
        <v>150</v>
      </c>
      <c r="H691" s="11" t="s">
        <v>38</v>
      </c>
      <c r="I691" s="11" t="s">
        <v>95</v>
      </c>
      <c r="J691" s="11" t="s">
        <v>319</v>
      </c>
      <c r="K691" s="25">
        <v>6</v>
      </c>
      <c r="L691" s="25">
        <v>6000</v>
      </c>
      <c r="M691" s="29">
        <v>0.2</v>
      </c>
      <c r="N691" s="25">
        <v>28800</v>
      </c>
      <c r="O691" s="25">
        <v>17279.169999999998</v>
      </c>
      <c r="P691" s="25">
        <v>11520.83</v>
      </c>
      <c r="Q691" s="21">
        <v>40</v>
      </c>
      <c r="R691" s="11" t="s">
        <v>73</v>
      </c>
      <c r="S691" s="11" t="s">
        <v>62</v>
      </c>
      <c r="T691" s="11" t="s">
        <v>173</v>
      </c>
      <c r="U691" s="11" t="s">
        <v>87</v>
      </c>
      <c r="V691" s="11">
        <v>2024</v>
      </c>
      <c r="W691" s="11" t="s">
        <v>126</v>
      </c>
      <c r="X691" s="11">
        <v>1</v>
      </c>
      <c r="Y691" s="10" t="s">
        <v>1040</v>
      </c>
      <c r="Z691" s="11" t="s">
        <v>47</v>
      </c>
      <c r="AA691" s="11" t="s">
        <v>90</v>
      </c>
      <c r="AB691" s="11" t="s">
        <v>49</v>
      </c>
      <c r="AC691" s="11" t="s">
        <v>50</v>
      </c>
      <c r="AD691" s="11">
        <v>4</v>
      </c>
      <c r="AE691" s="11" t="s">
        <v>2220</v>
      </c>
      <c r="AF691" s="11" t="s">
        <v>2214</v>
      </c>
      <c r="AG691" s="25"/>
      <c r="AH691" s="11"/>
      <c r="AI691" s="11"/>
      <c r="AJ691" s="11"/>
      <c r="AK691" s="11"/>
      <c r="AL691" s="11"/>
      <c r="AM691" s="11" t="str">
        <f t="shared" si="54"/>
        <v>Good</v>
      </c>
      <c r="AN691" s="11" t="str" cm="1">
        <f t="array" ref="AN691">_xlfn.IFS(N691&lt;10000,"Low",N691&lt;30000,"Medium",N691&gt;=30000,"High")</f>
        <v>Medium</v>
      </c>
      <c r="AO691" s="11" t="str">
        <f t="shared" si="55"/>
        <v>No</v>
      </c>
      <c r="AP691" s="11" t="str">
        <f t="shared" si="56"/>
        <v>No</v>
      </c>
      <c r="AQ691" s="11">
        <f t="shared" si="57"/>
        <v>0.40002881944444446</v>
      </c>
      <c r="AR691" s="33"/>
      <c r="AS691" s="33"/>
      <c r="AT691" s="33"/>
      <c r="AU691" s="33"/>
      <c r="AV691" s="33"/>
      <c r="AW691" s="33"/>
      <c r="AX691" s="33" t="str">
        <f t="shared" si="58"/>
        <v>Good</v>
      </c>
    </row>
    <row r="692" spans="1:50">
      <c r="A692" s="9" t="s">
        <v>2071</v>
      </c>
      <c r="B692" s="10" t="s">
        <v>314</v>
      </c>
      <c r="C692" s="11" t="s">
        <v>1028</v>
      </c>
      <c r="D692" s="11" t="s">
        <v>713</v>
      </c>
      <c r="E692" s="11" t="s">
        <v>35</v>
      </c>
      <c r="F692" s="11" t="s">
        <v>104</v>
      </c>
      <c r="G692" s="11" t="s">
        <v>104</v>
      </c>
      <c r="H692" s="11" t="s">
        <v>38</v>
      </c>
      <c r="I692" s="11" t="s">
        <v>95</v>
      </c>
      <c r="J692" s="11" t="s">
        <v>184</v>
      </c>
      <c r="K692" s="25">
        <v>9</v>
      </c>
      <c r="L692" s="25">
        <v>4000</v>
      </c>
      <c r="M692" s="29">
        <v>0.1</v>
      </c>
      <c r="N692" s="25">
        <v>32400</v>
      </c>
      <c r="O692" s="25">
        <v>22419.94</v>
      </c>
      <c r="P692" s="25">
        <v>9980.06</v>
      </c>
      <c r="Q692" s="21">
        <v>30.8</v>
      </c>
      <c r="R692" s="11" t="s">
        <v>73</v>
      </c>
      <c r="S692" s="11" t="s">
        <v>74</v>
      </c>
      <c r="T692" s="11" t="s">
        <v>118</v>
      </c>
      <c r="U692" s="11" t="s">
        <v>87</v>
      </c>
      <c r="V692" s="11">
        <v>2024</v>
      </c>
      <c r="W692" s="11" t="s">
        <v>126</v>
      </c>
      <c r="X692" s="11">
        <v>4</v>
      </c>
      <c r="Y692" s="10" t="s">
        <v>1619</v>
      </c>
      <c r="Z692" s="11" t="s">
        <v>47</v>
      </c>
      <c r="AA692" s="11" t="s">
        <v>90</v>
      </c>
      <c r="AB692" s="11" t="s">
        <v>111</v>
      </c>
      <c r="AC692" s="11" t="s">
        <v>121</v>
      </c>
      <c r="AD692" s="11">
        <v>1</v>
      </c>
      <c r="AE692" s="11" t="s">
        <v>2240</v>
      </c>
      <c r="AF692" s="11" t="s">
        <v>2238</v>
      </c>
      <c r="AG692" s="25"/>
      <c r="AH692" s="11"/>
      <c r="AI692" s="11"/>
      <c r="AJ692" s="11"/>
      <c r="AK692" s="11"/>
      <c r="AL692" s="11"/>
      <c r="AM692" s="11" t="str">
        <f t="shared" si="54"/>
        <v>Good</v>
      </c>
      <c r="AN692" s="11" t="str" cm="1">
        <f t="array" ref="AN692">_xlfn.IFS(N692&lt;10000,"Low",N692&lt;30000,"Medium",N692&gt;=30000,"High")</f>
        <v>High</v>
      </c>
      <c r="AO692" s="11" t="str">
        <f t="shared" si="55"/>
        <v>No</v>
      </c>
      <c r="AP692" s="11" t="str">
        <f t="shared" si="56"/>
        <v>Yes</v>
      </c>
      <c r="AQ692" s="11">
        <f t="shared" si="57"/>
        <v>0.30802654320987655</v>
      </c>
      <c r="AR692" s="33"/>
      <c r="AS692" s="33"/>
      <c r="AT692" s="33"/>
      <c r="AU692" s="33"/>
      <c r="AV692" s="33"/>
      <c r="AW692" s="33"/>
      <c r="AX692" s="33" t="str">
        <f t="shared" si="58"/>
        <v>Average</v>
      </c>
    </row>
    <row r="693" spans="1:50">
      <c r="A693" s="9" t="s">
        <v>1444</v>
      </c>
      <c r="B693" s="10" t="s">
        <v>1445</v>
      </c>
      <c r="C693" s="11" t="s">
        <v>1446</v>
      </c>
      <c r="D693" s="11" t="s">
        <v>900</v>
      </c>
      <c r="E693" s="11" t="s">
        <v>35</v>
      </c>
      <c r="F693" s="11" t="s">
        <v>144</v>
      </c>
      <c r="G693" s="11" t="s">
        <v>145</v>
      </c>
      <c r="H693" s="11" t="s">
        <v>94</v>
      </c>
      <c r="I693" s="11" t="s">
        <v>59</v>
      </c>
      <c r="J693" s="11" t="s">
        <v>206</v>
      </c>
      <c r="K693" s="25">
        <v>1</v>
      </c>
      <c r="L693" s="25">
        <v>500</v>
      </c>
      <c r="M693" s="29">
        <v>0</v>
      </c>
      <c r="N693" s="25">
        <v>500</v>
      </c>
      <c r="O693" s="25">
        <v>370.32</v>
      </c>
      <c r="P693" s="25">
        <v>129.68</v>
      </c>
      <c r="Q693" s="21">
        <v>25.94</v>
      </c>
      <c r="R693" s="11" t="s">
        <v>73</v>
      </c>
      <c r="S693" s="11" t="s">
        <v>62</v>
      </c>
      <c r="T693" s="11" t="s">
        <v>159</v>
      </c>
      <c r="U693" s="11" t="s">
        <v>87</v>
      </c>
      <c r="V693" s="11">
        <v>2025</v>
      </c>
      <c r="W693" s="11" t="s">
        <v>109</v>
      </c>
      <c r="X693" s="11">
        <v>7</v>
      </c>
      <c r="Y693" s="10" t="s">
        <v>1006</v>
      </c>
      <c r="Z693" s="11" t="s">
        <v>110</v>
      </c>
      <c r="AA693" s="11" t="s">
        <v>48</v>
      </c>
      <c r="AB693" s="11" t="s">
        <v>78</v>
      </c>
      <c r="AC693" s="11" t="s">
        <v>50</v>
      </c>
      <c r="AD693" s="11">
        <v>5</v>
      </c>
      <c r="AE693" s="11" t="s">
        <v>2227</v>
      </c>
      <c r="AF693" s="11" t="s">
        <v>2230</v>
      </c>
      <c r="AG693" s="25"/>
      <c r="AH693" s="11"/>
      <c r="AI693" s="11"/>
      <c r="AJ693" s="11"/>
      <c r="AK693" s="11"/>
      <c r="AL693" s="11"/>
      <c r="AM693" s="11" t="str">
        <f t="shared" si="54"/>
        <v>Needs Improvement</v>
      </c>
      <c r="AN693" s="11" t="str" cm="1">
        <f t="array" ref="AN693">_xlfn.IFS(N693&lt;10000,"Low",N693&lt;30000,"Medium",N693&gt;=30000,"High")</f>
        <v>Low</v>
      </c>
      <c r="AO693" s="11" t="str">
        <f t="shared" si="55"/>
        <v>No</v>
      </c>
      <c r="AP693" s="11" t="str">
        <f t="shared" si="56"/>
        <v>No</v>
      </c>
      <c r="AQ693" s="11">
        <f t="shared" si="57"/>
        <v>0.25936000000000003</v>
      </c>
      <c r="AR693" s="33"/>
      <c r="AS693" s="33"/>
      <c r="AT693" s="33"/>
      <c r="AU693" s="33"/>
      <c r="AV693" s="33"/>
      <c r="AW693" s="33"/>
      <c r="AX693" s="33" t="str">
        <f t="shared" si="58"/>
        <v>Low</v>
      </c>
    </row>
    <row r="694" spans="1:50">
      <c r="A694" s="9" t="s">
        <v>1521</v>
      </c>
      <c r="B694" s="10" t="s">
        <v>1445</v>
      </c>
      <c r="C694" s="11" t="s">
        <v>919</v>
      </c>
      <c r="D694" s="11" t="s">
        <v>1162</v>
      </c>
      <c r="E694" s="11" t="s">
        <v>103</v>
      </c>
      <c r="F694" s="11" t="s">
        <v>36</v>
      </c>
      <c r="G694" s="11" t="s">
        <v>37</v>
      </c>
      <c r="H694" s="11" t="s">
        <v>58</v>
      </c>
      <c r="I694" s="11" t="s">
        <v>71</v>
      </c>
      <c r="J694" s="11" t="s">
        <v>158</v>
      </c>
      <c r="K694" s="25">
        <v>1</v>
      </c>
      <c r="L694" s="25">
        <v>700</v>
      </c>
      <c r="M694" s="29">
        <v>0</v>
      </c>
      <c r="N694" s="25">
        <v>700</v>
      </c>
      <c r="O694" s="25">
        <v>431.94</v>
      </c>
      <c r="P694" s="25">
        <v>268.06</v>
      </c>
      <c r="Q694" s="21">
        <v>38.29</v>
      </c>
      <c r="R694" s="11" t="s">
        <v>106</v>
      </c>
      <c r="S694" s="11" t="s">
        <v>74</v>
      </c>
      <c r="T694" s="11" t="s">
        <v>107</v>
      </c>
      <c r="U694" s="11" t="s">
        <v>87</v>
      </c>
      <c r="V694" s="11">
        <v>2025</v>
      </c>
      <c r="W694" s="11" t="s">
        <v>109</v>
      </c>
      <c r="X694" s="11">
        <v>1</v>
      </c>
      <c r="Y694" s="10" t="s">
        <v>1004</v>
      </c>
      <c r="Z694" s="11" t="s">
        <v>47</v>
      </c>
      <c r="AA694" s="11" t="s">
        <v>48</v>
      </c>
      <c r="AB694" s="11" t="s">
        <v>78</v>
      </c>
      <c r="AC694" s="11" t="s">
        <v>121</v>
      </c>
      <c r="AD694" s="11">
        <v>2</v>
      </c>
      <c r="AE694" s="11" t="s">
        <v>2225</v>
      </c>
      <c r="AF694" s="11" t="s">
        <v>2222</v>
      </c>
      <c r="AG694" s="25"/>
      <c r="AH694" s="11"/>
      <c r="AI694" s="11"/>
      <c r="AJ694" s="11"/>
      <c r="AK694" s="11"/>
      <c r="AL694" s="11"/>
      <c r="AM694" s="11" t="str">
        <f t="shared" si="54"/>
        <v>Good</v>
      </c>
      <c r="AN694" s="11" t="str" cm="1">
        <f t="array" ref="AN694">_xlfn.IFS(N694&lt;10000,"Low",N694&lt;30000,"Medium",N694&gt;=30000,"High")</f>
        <v>Low</v>
      </c>
      <c r="AO694" s="11" t="str">
        <f t="shared" si="55"/>
        <v>No</v>
      </c>
      <c r="AP694" s="11" t="str">
        <f t="shared" si="56"/>
        <v>Yes</v>
      </c>
      <c r="AQ694" s="11">
        <f t="shared" si="57"/>
        <v>0.38294285714285714</v>
      </c>
      <c r="AR694" s="33"/>
      <c r="AS694" s="33"/>
      <c r="AT694" s="33"/>
      <c r="AU694" s="33"/>
      <c r="AV694" s="33"/>
      <c r="AW694" s="33"/>
      <c r="AX694" s="33" t="str">
        <f t="shared" si="58"/>
        <v>Low</v>
      </c>
    </row>
    <row r="695" spans="1:50">
      <c r="A695" s="9" t="s">
        <v>1582</v>
      </c>
      <c r="B695" s="10" t="s">
        <v>1445</v>
      </c>
      <c r="C695" s="11" t="s">
        <v>1285</v>
      </c>
      <c r="D695" s="11" t="s">
        <v>1114</v>
      </c>
      <c r="E695" s="11" t="s">
        <v>55</v>
      </c>
      <c r="F695" s="11" t="s">
        <v>156</v>
      </c>
      <c r="G695" s="11" t="s">
        <v>157</v>
      </c>
      <c r="H695" s="11" t="s">
        <v>58</v>
      </c>
      <c r="I695" s="11" t="s">
        <v>95</v>
      </c>
      <c r="J695" s="11" t="s">
        <v>96</v>
      </c>
      <c r="K695" s="25">
        <v>1</v>
      </c>
      <c r="L695" s="25">
        <v>6000</v>
      </c>
      <c r="M695" s="29">
        <v>0</v>
      </c>
      <c r="N695" s="25">
        <v>6000</v>
      </c>
      <c r="O695" s="25">
        <v>4776.8599999999997</v>
      </c>
      <c r="P695" s="25">
        <v>1223.1400000000001</v>
      </c>
      <c r="Q695" s="21">
        <v>20.39</v>
      </c>
      <c r="R695" s="11" t="s">
        <v>41</v>
      </c>
      <c r="S695" s="11" t="s">
        <v>42</v>
      </c>
      <c r="T695" s="11" t="s">
        <v>43</v>
      </c>
      <c r="U695" s="11" t="s">
        <v>87</v>
      </c>
      <c r="V695" s="11">
        <v>2025</v>
      </c>
      <c r="W695" s="11" t="s">
        <v>109</v>
      </c>
      <c r="X695" s="11">
        <v>10</v>
      </c>
      <c r="Y695" s="10" t="s">
        <v>551</v>
      </c>
      <c r="Z695" s="11" t="s">
        <v>47</v>
      </c>
      <c r="AA695" s="11" t="s">
        <v>67</v>
      </c>
      <c r="AB695" s="11" t="s">
        <v>111</v>
      </c>
      <c r="AC695" s="11" t="s">
        <v>121</v>
      </c>
      <c r="AD695" s="11">
        <v>1</v>
      </c>
      <c r="AE695" s="11" t="s">
        <v>2233</v>
      </c>
      <c r="AF695" s="11" t="s">
        <v>2217</v>
      </c>
      <c r="AG695" s="25"/>
      <c r="AH695" s="11"/>
      <c r="AI695" s="11"/>
      <c r="AJ695" s="11"/>
      <c r="AK695" s="11"/>
      <c r="AL695" s="11"/>
      <c r="AM695" s="11" t="str">
        <f t="shared" si="54"/>
        <v>Needs Improvement</v>
      </c>
      <c r="AN695" s="11" t="str" cm="1">
        <f t="array" ref="AN695">_xlfn.IFS(N695&lt;10000,"Low",N695&lt;30000,"Medium",N695&gt;=30000,"High")</f>
        <v>Low</v>
      </c>
      <c r="AO695" s="11" t="str">
        <f t="shared" si="55"/>
        <v>No</v>
      </c>
      <c r="AP695" s="11" t="str">
        <f t="shared" si="56"/>
        <v>Yes</v>
      </c>
      <c r="AQ695" s="11">
        <f t="shared" si="57"/>
        <v>0.20385666666666669</v>
      </c>
      <c r="AR695" s="33"/>
      <c r="AS695" s="33"/>
      <c r="AT695" s="33"/>
      <c r="AU695" s="33"/>
      <c r="AV695" s="33"/>
      <c r="AW695" s="33"/>
      <c r="AX695" s="33" t="str">
        <f t="shared" si="58"/>
        <v>Low</v>
      </c>
    </row>
    <row r="696" spans="1:50">
      <c r="A696" s="9" t="s">
        <v>1580</v>
      </c>
      <c r="B696" s="10" t="s">
        <v>1581</v>
      </c>
      <c r="C696" s="11" t="s">
        <v>1365</v>
      </c>
      <c r="D696" s="11" t="s">
        <v>732</v>
      </c>
      <c r="E696" s="11" t="s">
        <v>55</v>
      </c>
      <c r="F696" s="11" t="s">
        <v>116</v>
      </c>
      <c r="G696" s="11" t="s">
        <v>37</v>
      </c>
      <c r="H696" s="11" t="s">
        <v>94</v>
      </c>
      <c r="I696" s="11" t="s">
        <v>59</v>
      </c>
      <c r="J696" s="11" t="s">
        <v>328</v>
      </c>
      <c r="K696" s="25">
        <v>10</v>
      </c>
      <c r="L696" s="25">
        <v>2000</v>
      </c>
      <c r="M696" s="29">
        <v>0.15</v>
      </c>
      <c r="N696" s="25">
        <v>17000</v>
      </c>
      <c r="O696" s="25">
        <v>10254.799999999999</v>
      </c>
      <c r="P696" s="25">
        <v>6745.2</v>
      </c>
      <c r="Q696" s="21">
        <v>39.68</v>
      </c>
      <c r="R696" s="11" t="s">
        <v>106</v>
      </c>
      <c r="S696" s="11" t="s">
        <v>74</v>
      </c>
      <c r="T696" s="11" t="s">
        <v>138</v>
      </c>
      <c r="U696" s="11" t="s">
        <v>198</v>
      </c>
      <c r="V696" s="11">
        <v>2024</v>
      </c>
      <c r="W696" s="11" t="s">
        <v>139</v>
      </c>
      <c r="X696" s="11">
        <v>6</v>
      </c>
      <c r="Y696" s="10" t="s">
        <v>1008</v>
      </c>
      <c r="Z696" s="11" t="s">
        <v>47</v>
      </c>
      <c r="AA696" s="11" t="s">
        <v>90</v>
      </c>
      <c r="AB696" s="11" t="s">
        <v>111</v>
      </c>
      <c r="AC696" s="11" t="s">
        <v>50</v>
      </c>
      <c r="AD696" s="11">
        <v>5</v>
      </c>
      <c r="AE696" s="11" t="s">
        <v>2220</v>
      </c>
      <c r="AF696" s="11" t="s">
        <v>2231</v>
      </c>
      <c r="AG696" s="25"/>
      <c r="AH696" s="11"/>
      <c r="AI696" s="11"/>
      <c r="AJ696" s="11"/>
      <c r="AK696" s="11"/>
      <c r="AL696" s="11"/>
      <c r="AM696" s="11" t="str">
        <f t="shared" si="54"/>
        <v>Good</v>
      </c>
      <c r="AN696" s="11" t="str" cm="1">
        <f t="array" ref="AN696">_xlfn.IFS(N696&lt;10000,"Low",N696&lt;30000,"Medium",N696&gt;=30000,"High")</f>
        <v>Medium</v>
      </c>
      <c r="AO696" s="11" t="str">
        <f t="shared" si="55"/>
        <v>No</v>
      </c>
      <c r="AP696" s="11" t="str">
        <f t="shared" si="56"/>
        <v>Yes</v>
      </c>
      <c r="AQ696" s="11">
        <f t="shared" si="57"/>
        <v>0.39677647058823529</v>
      </c>
      <c r="AR696" s="33"/>
      <c r="AS696" s="33"/>
      <c r="AT696" s="33"/>
      <c r="AU696" s="33"/>
      <c r="AV696" s="33"/>
      <c r="AW696" s="33"/>
      <c r="AX696" s="33" t="str">
        <f t="shared" si="58"/>
        <v>Average</v>
      </c>
    </row>
    <row r="697" spans="1:50">
      <c r="A697" s="9" t="s">
        <v>2155</v>
      </c>
      <c r="B697" s="10" t="s">
        <v>1581</v>
      </c>
      <c r="C697" s="11" t="s">
        <v>306</v>
      </c>
      <c r="D697" s="11" t="s">
        <v>1077</v>
      </c>
      <c r="E697" s="11" t="s">
        <v>35</v>
      </c>
      <c r="F697" s="11" t="s">
        <v>131</v>
      </c>
      <c r="G697" s="11" t="s">
        <v>132</v>
      </c>
      <c r="H697" s="11" t="s">
        <v>58</v>
      </c>
      <c r="I697" s="11" t="s">
        <v>59</v>
      </c>
      <c r="J697" s="11" t="s">
        <v>206</v>
      </c>
      <c r="K697" s="25">
        <v>9</v>
      </c>
      <c r="L697" s="25">
        <v>1200</v>
      </c>
      <c r="M697" s="29">
        <v>0.05</v>
      </c>
      <c r="N697" s="25">
        <v>10260</v>
      </c>
      <c r="O697" s="25">
        <v>8194.73</v>
      </c>
      <c r="P697" s="25">
        <v>2065.27</v>
      </c>
      <c r="Q697" s="21">
        <v>20.13</v>
      </c>
      <c r="R697" s="11" t="s">
        <v>61</v>
      </c>
      <c r="S697" s="11" t="s">
        <v>62</v>
      </c>
      <c r="T697" s="11" t="s">
        <v>43</v>
      </c>
      <c r="U697" s="11" t="s">
        <v>198</v>
      </c>
      <c r="V697" s="11">
        <v>2024</v>
      </c>
      <c r="W697" s="11" t="s">
        <v>139</v>
      </c>
      <c r="X697" s="11">
        <v>4</v>
      </c>
      <c r="Y697" s="10" t="s">
        <v>1236</v>
      </c>
      <c r="Z697" s="11" t="s">
        <v>110</v>
      </c>
      <c r="AA697" s="11" t="s">
        <v>67</v>
      </c>
      <c r="AB697" s="11" t="s">
        <v>78</v>
      </c>
      <c r="AC697" s="11" t="s">
        <v>50</v>
      </c>
      <c r="AD697" s="11">
        <v>1</v>
      </c>
      <c r="AE697" s="11" t="s">
        <v>2218</v>
      </c>
      <c r="AF697" s="11" t="s">
        <v>2223</v>
      </c>
      <c r="AG697" s="25"/>
      <c r="AH697" s="11"/>
      <c r="AI697" s="11"/>
      <c r="AJ697" s="11"/>
      <c r="AK697" s="11"/>
      <c r="AL697" s="11"/>
      <c r="AM697" s="11" t="str">
        <f t="shared" si="54"/>
        <v>Needs Improvement</v>
      </c>
      <c r="AN697" s="11" t="str" cm="1">
        <f t="array" ref="AN697">_xlfn.IFS(N697&lt;10000,"Low",N697&lt;30000,"Medium",N697&gt;=30000,"High")</f>
        <v>Medium</v>
      </c>
      <c r="AO697" s="11" t="str">
        <f t="shared" si="55"/>
        <v>No</v>
      </c>
      <c r="AP697" s="11" t="str">
        <f t="shared" si="56"/>
        <v>No</v>
      </c>
      <c r="AQ697" s="11">
        <f t="shared" si="57"/>
        <v>0.20129337231968811</v>
      </c>
      <c r="AR697" s="33"/>
      <c r="AS697" s="33"/>
      <c r="AT697" s="33"/>
      <c r="AU697" s="33"/>
      <c r="AV697" s="33"/>
      <c r="AW697" s="33"/>
      <c r="AX697" s="33" t="str">
        <f t="shared" si="58"/>
        <v>Low</v>
      </c>
    </row>
    <row r="698" spans="1:50">
      <c r="A698" s="9" t="s">
        <v>1860</v>
      </c>
      <c r="B698" s="10" t="s">
        <v>1363</v>
      </c>
      <c r="C698" s="11" t="s">
        <v>406</v>
      </c>
      <c r="D698" s="11" t="s">
        <v>571</v>
      </c>
      <c r="E698" s="11" t="s">
        <v>35</v>
      </c>
      <c r="F698" s="11" t="s">
        <v>104</v>
      </c>
      <c r="G698" s="11" t="s">
        <v>104</v>
      </c>
      <c r="H698" s="11" t="s">
        <v>171</v>
      </c>
      <c r="I698" s="11" t="s">
        <v>59</v>
      </c>
      <c r="J698" s="11" t="s">
        <v>133</v>
      </c>
      <c r="K698" s="25">
        <v>2</v>
      </c>
      <c r="L698" s="25">
        <v>2000</v>
      </c>
      <c r="M698" s="29">
        <v>0</v>
      </c>
      <c r="N698" s="25">
        <v>4000</v>
      </c>
      <c r="O698" s="25">
        <v>2835.19</v>
      </c>
      <c r="P698" s="25">
        <v>1164.81</v>
      </c>
      <c r="Q698" s="21">
        <v>29.12</v>
      </c>
      <c r="R698" s="11" t="s">
        <v>61</v>
      </c>
      <c r="S698" s="11" t="s">
        <v>62</v>
      </c>
      <c r="T698" s="11" t="s">
        <v>97</v>
      </c>
      <c r="U698" s="11" t="s">
        <v>198</v>
      </c>
      <c r="V698" s="11">
        <v>2025</v>
      </c>
      <c r="W698" s="11" t="s">
        <v>194</v>
      </c>
      <c r="X698" s="11">
        <v>2</v>
      </c>
      <c r="Y698" s="10" t="s">
        <v>437</v>
      </c>
      <c r="Z698" s="11" t="s">
        <v>47</v>
      </c>
      <c r="AA698" s="11" t="s">
        <v>48</v>
      </c>
      <c r="AB698" s="11" t="s">
        <v>78</v>
      </c>
      <c r="AC698" s="11" t="s">
        <v>50</v>
      </c>
      <c r="AD698" s="11">
        <v>4</v>
      </c>
      <c r="AE698" s="11" t="s">
        <v>2234</v>
      </c>
      <c r="AF698" s="11" t="s">
        <v>2235</v>
      </c>
      <c r="AG698" s="25"/>
      <c r="AH698" s="11"/>
      <c r="AI698" s="11"/>
      <c r="AJ698" s="11"/>
      <c r="AK698" s="11"/>
      <c r="AL698" s="11"/>
      <c r="AM698" s="11" t="str">
        <f t="shared" si="54"/>
        <v>Needs Improvement</v>
      </c>
      <c r="AN698" s="11" t="str" cm="1">
        <f t="array" ref="AN698">_xlfn.IFS(N698&lt;10000,"Low",N698&lt;30000,"Medium",N698&gt;=30000,"High")</f>
        <v>Low</v>
      </c>
      <c r="AO698" s="11" t="str">
        <f t="shared" si="55"/>
        <v>No</v>
      </c>
      <c r="AP698" s="11" t="str">
        <f t="shared" si="56"/>
        <v>No</v>
      </c>
      <c r="AQ698" s="11">
        <f t="shared" si="57"/>
        <v>0.29120249999999998</v>
      </c>
      <c r="AR698" s="33"/>
      <c r="AS698" s="33"/>
      <c r="AT698" s="33"/>
      <c r="AU698" s="33"/>
      <c r="AV698" s="33"/>
      <c r="AW698" s="33"/>
      <c r="AX698" s="33" t="str">
        <f t="shared" si="58"/>
        <v>Low</v>
      </c>
    </row>
    <row r="699" spans="1:50">
      <c r="A699" s="9" t="s">
        <v>400</v>
      </c>
      <c r="B699" s="10" t="s">
        <v>401</v>
      </c>
      <c r="C699" s="11" t="s">
        <v>402</v>
      </c>
      <c r="D699" s="11" t="s">
        <v>403</v>
      </c>
      <c r="E699" s="11" t="s">
        <v>55</v>
      </c>
      <c r="F699" s="11" t="s">
        <v>56</v>
      </c>
      <c r="G699" s="11" t="s">
        <v>57</v>
      </c>
      <c r="H699" s="11" t="s">
        <v>58</v>
      </c>
      <c r="I699" s="11" t="s">
        <v>71</v>
      </c>
      <c r="J699" s="11" t="s">
        <v>117</v>
      </c>
      <c r="K699" s="25">
        <v>3</v>
      </c>
      <c r="L699" s="25">
        <v>2500</v>
      </c>
      <c r="M699" s="29">
        <v>0.2</v>
      </c>
      <c r="N699" s="25">
        <v>6000</v>
      </c>
      <c r="O699" s="25">
        <v>4205.13</v>
      </c>
      <c r="P699" s="25">
        <v>1794.87</v>
      </c>
      <c r="Q699" s="21">
        <v>29.91</v>
      </c>
      <c r="R699" s="11" t="s">
        <v>166</v>
      </c>
      <c r="S699" s="11" t="s">
        <v>74</v>
      </c>
      <c r="T699" s="11" t="s">
        <v>138</v>
      </c>
      <c r="U699" s="11" t="s">
        <v>64</v>
      </c>
      <c r="V699" s="11">
        <v>2025</v>
      </c>
      <c r="W699" s="11" t="s">
        <v>45</v>
      </c>
      <c r="X699" s="11">
        <v>4</v>
      </c>
      <c r="Y699" s="10" t="s">
        <v>136</v>
      </c>
      <c r="Z699" s="11" t="s">
        <v>89</v>
      </c>
      <c r="AA699" s="11" t="s">
        <v>90</v>
      </c>
      <c r="AB699" s="11" t="s">
        <v>78</v>
      </c>
      <c r="AC699" s="11" t="s">
        <v>50</v>
      </c>
      <c r="AD699" s="11">
        <v>5</v>
      </c>
      <c r="AE699" s="11" t="s">
        <v>159</v>
      </c>
      <c r="AF699" s="11" t="s">
        <v>2224</v>
      </c>
      <c r="AG699" s="25"/>
      <c r="AH699" s="11"/>
      <c r="AI699" s="11"/>
      <c r="AJ699" s="11"/>
      <c r="AK699" s="11"/>
      <c r="AL699" s="11"/>
      <c r="AM699" s="11" t="str">
        <f t="shared" si="54"/>
        <v>Needs Improvement</v>
      </c>
      <c r="AN699" s="11" t="str" cm="1">
        <f t="array" ref="AN699">_xlfn.IFS(N699&lt;10000,"Low",N699&lt;30000,"Medium",N699&gt;=30000,"High")</f>
        <v>Low</v>
      </c>
      <c r="AO699" s="11" t="str">
        <f t="shared" si="55"/>
        <v>No</v>
      </c>
      <c r="AP699" s="11" t="str">
        <f t="shared" si="56"/>
        <v>Yes</v>
      </c>
      <c r="AQ699" s="11">
        <f t="shared" si="57"/>
        <v>0.29914499999999999</v>
      </c>
      <c r="AR699" s="33"/>
      <c r="AS699" s="33"/>
      <c r="AT699" s="33"/>
      <c r="AU699" s="33"/>
      <c r="AV699" s="33"/>
      <c r="AW699" s="33"/>
      <c r="AX699" s="33" t="str">
        <f t="shared" si="58"/>
        <v>Low</v>
      </c>
    </row>
    <row r="700" spans="1:50">
      <c r="A700" s="9" t="s">
        <v>1130</v>
      </c>
      <c r="B700" s="10" t="s">
        <v>1131</v>
      </c>
      <c r="C700" s="11" t="s">
        <v>1132</v>
      </c>
      <c r="D700" s="11" t="s">
        <v>285</v>
      </c>
      <c r="E700" s="11" t="s">
        <v>103</v>
      </c>
      <c r="F700" s="11" t="s">
        <v>116</v>
      </c>
      <c r="G700" s="11" t="s">
        <v>37</v>
      </c>
      <c r="H700" s="11" t="s">
        <v>58</v>
      </c>
      <c r="I700" s="11" t="s">
        <v>39</v>
      </c>
      <c r="J700" s="11" t="s">
        <v>253</v>
      </c>
      <c r="K700" s="25">
        <v>10</v>
      </c>
      <c r="L700" s="25">
        <v>12000</v>
      </c>
      <c r="M700" s="29">
        <v>0.2</v>
      </c>
      <c r="N700" s="25">
        <v>96000</v>
      </c>
      <c r="O700" s="25">
        <v>53507.57</v>
      </c>
      <c r="P700" s="25">
        <v>42492.43</v>
      </c>
      <c r="Q700" s="21">
        <v>44.26</v>
      </c>
      <c r="R700" s="11" t="s">
        <v>61</v>
      </c>
      <c r="S700" s="11" t="s">
        <v>62</v>
      </c>
      <c r="T700" s="11" t="s">
        <v>118</v>
      </c>
      <c r="U700" s="11" t="s">
        <v>98</v>
      </c>
      <c r="V700" s="11">
        <v>2024</v>
      </c>
      <c r="W700" s="11" t="s">
        <v>139</v>
      </c>
      <c r="X700" s="11">
        <v>5</v>
      </c>
      <c r="Y700" s="10" t="s">
        <v>786</v>
      </c>
      <c r="Z700" s="11" t="s">
        <v>89</v>
      </c>
      <c r="AA700" s="11" t="s">
        <v>48</v>
      </c>
      <c r="AB700" s="11" t="s">
        <v>78</v>
      </c>
      <c r="AC700" s="11" t="s">
        <v>50</v>
      </c>
      <c r="AD700" s="11">
        <v>3</v>
      </c>
      <c r="AE700" s="11" t="s">
        <v>2237</v>
      </c>
      <c r="AF700" s="11" t="s">
        <v>2222</v>
      </c>
      <c r="AG700" s="25"/>
      <c r="AH700" s="11"/>
      <c r="AI700" s="11"/>
      <c r="AJ700" s="11"/>
      <c r="AK700" s="11"/>
      <c r="AL700" s="11"/>
      <c r="AM700" s="11" t="str">
        <f t="shared" si="54"/>
        <v>Good</v>
      </c>
      <c r="AN700" s="11" t="str" cm="1">
        <f t="array" ref="AN700">_xlfn.IFS(N700&lt;10000,"Low",N700&lt;30000,"Medium",N700&gt;=30000,"High")</f>
        <v>High</v>
      </c>
      <c r="AO700" s="11" t="str">
        <f t="shared" si="55"/>
        <v>Yes</v>
      </c>
      <c r="AP700" s="11" t="str">
        <f t="shared" si="56"/>
        <v>No</v>
      </c>
      <c r="AQ700" s="11">
        <f t="shared" si="57"/>
        <v>0.44262947916666667</v>
      </c>
      <c r="AR700" s="33"/>
      <c r="AS700" s="33"/>
      <c r="AT700" s="33"/>
      <c r="AU700" s="33"/>
      <c r="AV700" s="33"/>
      <c r="AW700" s="33"/>
      <c r="AX700" s="33" t="str">
        <f t="shared" si="58"/>
        <v>Excellent</v>
      </c>
    </row>
    <row r="701" spans="1:50">
      <c r="A701" s="9" t="s">
        <v>1504</v>
      </c>
      <c r="B701" s="10" t="s">
        <v>1131</v>
      </c>
      <c r="C701" s="11" t="s">
        <v>389</v>
      </c>
      <c r="D701" s="11" t="s">
        <v>1305</v>
      </c>
      <c r="E701" s="11" t="s">
        <v>55</v>
      </c>
      <c r="F701" s="11" t="s">
        <v>245</v>
      </c>
      <c r="G701" s="11" t="s">
        <v>246</v>
      </c>
      <c r="H701" s="11" t="s">
        <v>94</v>
      </c>
      <c r="I701" s="11" t="s">
        <v>71</v>
      </c>
      <c r="J701" s="11" t="s">
        <v>72</v>
      </c>
      <c r="K701" s="25">
        <v>10</v>
      </c>
      <c r="L701" s="25">
        <v>1200</v>
      </c>
      <c r="M701" s="29">
        <v>0</v>
      </c>
      <c r="N701" s="25">
        <v>12000</v>
      </c>
      <c r="O701" s="25">
        <v>8300.91</v>
      </c>
      <c r="P701" s="25">
        <v>3699.09</v>
      </c>
      <c r="Q701" s="21">
        <v>30.83</v>
      </c>
      <c r="R701" s="11" t="s">
        <v>166</v>
      </c>
      <c r="S701" s="11" t="s">
        <v>74</v>
      </c>
      <c r="T701" s="11" t="s">
        <v>107</v>
      </c>
      <c r="U701" s="11" t="s">
        <v>98</v>
      </c>
      <c r="V701" s="11">
        <v>2024</v>
      </c>
      <c r="W701" s="11" t="s">
        <v>139</v>
      </c>
      <c r="X701" s="11">
        <v>7</v>
      </c>
      <c r="Y701" s="10" t="s">
        <v>427</v>
      </c>
      <c r="Z701" s="11" t="s">
        <v>110</v>
      </c>
      <c r="AA701" s="11" t="s">
        <v>67</v>
      </c>
      <c r="AB701" s="11" t="s">
        <v>111</v>
      </c>
      <c r="AC701" s="11" t="s">
        <v>121</v>
      </c>
      <c r="AD701" s="11">
        <v>3</v>
      </c>
      <c r="AE701" s="11" t="s">
        <v>2213</v>
      </c>
      <c r="AF701" s="11" t="s">
        <v>2212</v>
      </c>
      <c r="AG701" s="25"/>
      <c r="AH701" s="11"/>
      <c r="AI701" s="11"/>
      <c r="AJ701" s="11"/>
      <c r="AK701" s="11"/>
      <c r="AL701" s="11"/>
      <c r="AM701" s="11" t="str">
        <f t="shared" si="54"/>
        <v>Good</v>
      </c>
      <c r="AN701" s="11" t="str" cm="1">
        <f t="array" ref="AN701">_xlfn.IFS(N701&lt;10000,"Low",N701&lt;30000,"Medium",N701&gt;=30000,"High")</f>
        <v>Medium</v>
      </c>
      <c r="AO701" s="11" t="str">
        <f t="shared" si="55"/>
        <v>No</v>
      </c>
      <c r="AP701" s="11" t="str">
        <f t="shared" si="56"/>
        <v>Yes</v>
      </c>
      <c r="AQ701" s="11">
        <f t="shared" si="57"/>
        <v>0.30825750000000002</v>
      </c>
      <c r="AR701" s="33"/>
      <c r="AS701" s="33"/>
      <c r="AT701" s="33"/>
      <c r="AU701" s="33"/>
      <c r="AV701" s="33"/>
      <c r="AW701" s="33"/>
      <c r="AX701" s="33" t="str">
        <f t="shared" si="58"/>
        <v>Low</v>
      </c>
    </row>
    <row r="702" spans="1:50">
      <c r="A702" s="9" t="s">
        <v>2156</v>
      </c>
      <c r="B702" s="10" t="s">
        <v>1817</v>
      </c>
      <c r="C702" s="11" t="s">
        <v>249</v>
      </c>
      <c r="D702" s="11" t="s">
        <v>1731</v>
      </c>
      <c r="E702" s="11" t="s">
        <v>35</v>
      </c>
      <c r="F702" s="11" t="s">
        <v>156</v>
      </c>
      <c r="G702" s="11" t="s">
        <v>157</v>
      </c>
      <c r="H702" s="11" t="s">
        <v>58</v>
      </c>
      <c r="I702" s="11" t="s">
        <v>84</v>
      </c>
      <c r="J702" s="11" t="s">
        <v>290</v>
      </c>
      <c r="K702" s="25">
        <v>10</v>
      </c>
      <c r="L702" s="25">
        <v>350</v>
      </c>
      <c r="M702" s="29">
        <v>0.1</v>
      </c>
      <c r="N702" s="25">
        <v>3150</v>
      </c>
      <c r="O702" s="25">
        <v>1868.12</v>
      </c>
      <c r="P702" s="25">
        <v>1281.8800000000001</v>
      </c>
      <c r="Q702" s="21">
        <v>40.69</v>
      </c>
      <c r="R702" s="11" t="s">
        <v>41</v>
      </c>
      <c r="S702" s="11" t="s">
        <v>62</v>
      </c>
      <c r="T702" s="11" t="s">
        <v>97</v>
      </c>
      <c r="U702" s="11" t="s">
        <v>178</v>
      </c>
      <c r="V702" s="11">
        <v>2024</v>
      </c>
      <c r="W702" s="11" t="s">
        <v>194</v>
      </c>
      <c r="X702" s="11">
        <v>6</v>
      </c>
      <c r="Y702" s="10" t="s">
        <v>882</v>
      </c>
      <c r="Z702" s="11" t="s">
        <v>110</v>
      </c>
      <c r="AA702" s="11" t="s">
        <v>90</v>
      </c>
      <c r="AB702" s="11" t="s">
        <v>49</v>
      </c>
      <c r="AC702" s="11" t="s">
        <v>50</v>
      </c>
      <c r="AD702" s="11">
        <v>3</v>
      </c>
      <c r="AE702" s="11" t="s">
        <v>2248</v>
      </c>
      <c r="AF702" s="11" t="s">
        <v>2214</v>
      </c>
      <c r="AG702" s="25"/>
      <c r="AH702" s="11"/>
      <c r="AI702" s="11"/>
      <c r="AJ702" s="11"/>
      <c r="AK702" s="11"/>
      <c r="AL702" s="11"/>
      <c r="AM702" s="11" t="str">
        <f t="shared" si="54"/>
        <v>Good</v>
      </c>
      <c r="AN702" s="11" t="str" cm="1">
        <f t="array" ref="AN702">_xlfn.IFS(N702&lt;10000,"Low",N702&lt;30000,"Medium",N702&gt;=30000,"High")</f>
        <v>Low</v>
      </c>
      <c r="AO702" s="11" t="str">
        <f t="shared" si="55"/>
        <v>No</v>
      </c>
      <c r="AP702" s="11" t="str">
        <f t="shared" si="56"/>
        <v>No</v>
      </c>
      <c r="AQ702" s="11">
        <f t="shared" si="57"/>
        <v>0.40694603174603178</v>
      </c>
      <c r="AR702" s="33"/>
      <c r="AS702" s="33"/>
      <c r="AT702" s="33"/>
      <c r="AU702" s="33"/>
      <c r="AV702" s="33"/>
      <c r="AW702" s="33"/>
      <c r="AX702" s="33" t="str">
        <f t="shared" si="58"/>
        <v>Low</v>
      </c>
    </row>
    <row r="703" spans="1:50">
      <c r="A703" s="9" t="s">
        <v>1647</v>
      </c>
      <c r="B703" s="10" t="s">
        <v>1648</v>
      </c>
      <c r="C703" s="11" t="s">
        <v>1352</v>
      </c>
      <c r="D703" s="11" t="s">
        <v>758</v>
      </c>
      <c r="E703" s="11" t="s">
        <v>35</v>
      </c>
      <c r="F703" s="11" t="s">
        <v>245</v>
      </c>
      <c r="G703" s="11" t="s">
        <v>246</v>
      </c>
      <c r="H703" s="11" t="s">
        <v>58</v>
      </c>
      <c r="I703" s="11" t="s">
        <v>71</v>
      </c>
      <c r="J703" s="11" t="s">
        <v>158</v>
      </c>
      <c r="K703" s="25">
        <v>1</v>
      </c>
      <c r="L703" s="25">
        <v>2500</v>
      </c>
      <c r="M703" s="29">
        <v>0</v>
      </c>
      <c r="N703" s="25">
        <v>2500</v>
      </c>
      <c r="O703" s="25">
        <v>1699.14</v>
      </c>
      <c r="P703" s="25">
        <v>800.86</v>
      </c>
      <c r="Q703" s="21">
        <v>32.03</v>
      </c>
      <c r="R703" s="11" t="s">
        <v>61</v>
      </c>
      <c r="S703" s="11" t="s">
        <v>42</v>
      </c>
      <c r="T703" s="11" t="s">
        <v>107</v>
      </c>
      <c r="U703" s="11" t="s">
        <v>44</v>
      </c>
      <c r="V703" s="11">
        <v>2025</v>
      </c>
      <c r="W703" s="11" t="s">
        <v>109</v>
      </c>
      <c r="X703" s="11">
        <v>1</v>
      </c>
      <c r="Y703" s="10" t="s">
        <v>1397</v>
      </c>
      <c r="Z703" s="11" t="s">
        <v>47</v>
      </c>
      <c r="AA703" s="11" t="s">
        <v>67</v>
      </c>
      <c r="AB703" s="11" t="s">
        <v>49</v>
      </c>
      <c r="AC703" s="11" t="s">
        <v>50</v>
      </c>
      <c r="AD703" s="11">
        <v>2</v>
      </c>
      <c r="AE703" s="11" t="s">
        <v>86</v>
      </c>
      <c r="AF703" s="11" t="s">
        <v>2223</v>
      </c>
      <c r="AG703" s="25"/>
      <c r="AH703" s="11"/>
      <c r="AI703" s="11"/>
      <c r="AJ703" s="11"/>
      <c r="AK703" s="11"/>
      <c r="AL703" s="11"/>
      <c r="AM703" s="11" t="str">
        <f t="shared" si="54"/>
        <v>Good</v>
      </c>
      <c r="AN703" s="11" t="str" cm="1">
        <f t="array" ref="AN703">_xlfn.IFS(N703&lt;10000,"Low",N703&lt;30000,"Medium",N703&gt;=30000,"High")</f>
        <v>Low</v>
      </c>
      <c r="AO703" s="11" t="str">
        <f t="shared" si="55"/>
        <v>No</v>
      </c>
      <c r="AP703" s="11" t="str">
        <f t="shared" si="56"/>
        <v>Yes</v>
      </c>
      <c r="AQ703" s="11">
        <f t="shared" si="57"/>
        <v>0.32034400000000002</v>
      </c>
      <c r="AR703" s="33"/>
      <c r="AS703" s="33"/>
      <c r="AT703" s="33"/>
      <c r="AU703" s="33"/>
      <c r="AV703" s="33"/>
      <c r="AW703" s="33"/>
      <c r="AX703" s="33" t="str">
        <f t="shared" si="58"/>
        <v>Low</v>
      </c>
    </row>
    <row r="704" spans="1:50">
      <c r="A704" s="9" t="s">
        <v>1109</v>
      </c>
      <c r="B704" s="10" t="s">
        <v>1110</v>
      </c>
      <c r="C704" s="11" t="s">
        <v>1111</v>
      </c>
      <c r="D704" s="11" t="s">
        <v>1112</v>
      </c>
      <c r="E704" s="11" t="s">
        <v>103</v>
      </c>
      <c r="F704" s="11" t="s">
        <v>156</v>
      </c>
      <c r="G704" s="11" t="s">
        <v>157</v>
      </c>
      <c r="H704" s="11" t="s">
        <v>171</v>
      </c>
      <c r="I704" s="11" t="s">
        <v>84</v>
      </c>
      <c r="J704" s="11" t="s">
        <v>290</v>
      </c>
      <c r="K704" s="25">
        <v>1</v>
      </c>
      <c r="L704" s="25">
        <v>100</v>
      </c>
      <c r="M704" s="29">
        <v>0.05</v>
      </c>
      <c r="N704" s="25">
        <v>95</v>
      </c>
      <c r="O704" s="25">
        <v>71.67</v>
      </c>
      <c r="P704" s="25">
        <v>23.33</v>
      </c>
      <c r="Q704" s="21">
        <v>24.56</v>
      </c>
      <c r="R704" s="11" t="s">
        <v>166</v>
      </c>
      <c r="S704" s="11" t="s">
        <v>42</v>
      </c>
      <c r="T704" s="11" t="s">
        <v>63</v>
      </c>
      <c r="U704" s="11" t="s">
        <v>119</v>
      </c>
      <c r="V704" s="11">
        <v>2024</v>
      </c>
      <c r="W704" s="11" t="s">
        <v>134</v>
      </c>
      <c r="X704" s="11">
        <v>10</v>
      </c>
      <c r="Y704" s="10">
        <v>45297</v>
      </c>
      <c r="Z704" s="11" t="s">
        <v>47</v>
      </c>
      <c r="AA704" s="11" t="s">
        <v>67</v>
      </c>
      <c r="AB704" s="11" t="s">
        <v>49</v>
      </c>
      <c r="AC704" s="11" t="s">
        <v>121</v>
      </c>
      <c r="AD704" s="11">
        <v>3</v>
      </c>
      <c r="AE704" s="11" t="s">
        <v>2233</v>
      </c>
      <c r="AF704" s="11" t="s">
        <v>2219</v>
      </c>
      <c r="AG704" s="25"/>
      <c r="AH704" s="11"/>
      <c r="AI704" s="11"/>
      <c r="AJ704" s="11"/>
      <c r="AK704" s="11"/>
      <c r="AL704" s="11"/>
      <c r="AM704" s="11" t="str">
        <f t="shared" si="54"/>
        <v>Needs Improvement</v>
      </c>
      <c r="AN704" s="11" t="str" cm="1">
        <f t="array" ref="AN704">_xlfn.IFS(N704&lt;10000,"Low",N704&lt;30000,"Medium",N704&gt;=30000,"High")</f>
        <v>Low</v>
      </c>
      <c r="AO704" s="11" t="str">
        <f t="shared" si="55"/>
        <v>No</v>
      </c>
      <c r="AP704" s="11" t="str">
        <f t="shared" si="56"/>
        <v>Yes</v>
      </c>
      <c r="AQ704" s="11">
        <f t="shared" si="57"/>
        <v>0.24557894736842104</v>
      </c>
      <c r="AR704" s="33"/>
      <c r="AS704" s="33"/>
      <c r="AT704" s="33"/>
      <c r="AU704" s="33"/>
      <c r="AV704" s="33"/>
      <c r="AW704" s="33"/>
      <c r="AX704" s="33" t="str">
        <f t="shared" si="58"/>
        <v>Low</v>
      </c>
    </row>
    <row r="705" spans="1:50">
      <c r="A705" s="9" t="s">
        <v>1585</v>
      </c>
      <c r="B705" s="10" t="s">
        <v>1110</v>
      </c>
      <c r="C705" s="11" t="s">
        <v>1295</v>
      </c>
      <c r="D705" s="11" t="s">
        <v>1002</v>
      </c>
      <c r="E705" s="11" t="s">
        <v>35</v>
      </c>
      <c r="F705" s="11" t="s">
        <v>144</v>
      </c>
      <c r="G705" s="11" t="s">
        <v>145</v>
      </c>
      <c r="H705" s="11" t="s">
        <v>38</v>
      </c>
      <c r="I705" s="11" t="s">
        <v>39</v>
      </c>
      <c r="J705" s="11" t="s">
        <v>356</v>
      </c>
      <c r="K705" s="25">
        <v>4</v>
      </c>
      <c r="L705" s="25">
        <v>8000</v>
      </c>
      <c r="M705" s="29">
        <v>0</v>
      </c>
      <c r="N705" s="25">
        <v>32000</v>
      </c>
      <c r="O705" s="25">
        <v>25042.400000000001</v>
      </c>
      <c r="P705" s="25">
        <v>6957.6</v>
      </c>
      <c r="Q705" s="21">
        <v>21.74</v>
      </c>
      <c r="R705" s="11" t="s">
        <v>61</v>
      </c>
      <c r="S705" s="11" t="s">
        <v>42</v>
      </c>
      <c r="T705" s="11" t="s">
        <v>43</v>
      </c>
      <c r="U705" s="11" t="s">
        <v>119</v>
      </c>
      <c r="V705" s="11">
        <v>2024</v>
      </c>
      <c r="W705" s="11" t="s">
        <v>134</v>
      </c>
      <c r="X705" s="11">
        <v>2</v>
      </c>
      <c r="Y705" s="10" t="s">
        <v>1586</v>
      </c>
      <c r="Z705" s="11" t="s">
        <v>47</v>
      </c>
      <c r="AA705" s="11" t="s">
        <v>48</v>
      </c>
      <c r="AB705" s="11" t="s">
        <v>49</v>
      </c>
      <c r="AC705" s="11" t="s">
        <v>50</v>
      </c>
      <c r="AD705" s="11">
        <v>1</v>
      </c>
      <c r="AE705" s="11" t="s">
        <v>2213</v>
      </c>
      <c r="AF705" s="11" t="s">
        <v>2222</v>
      </c>
      <c r="AG705" s="25"/>
      <c r="AH705" s="11"/>
      <c r="AI705" s="11"/>
      <c r="AJ705" s="11"/>
      <c r="AK705" s="11"/>
      <c r="AL705" s="11"/>
      <c r="AM705" s="11" t="str">
        <f t="shared" si="54"/>
        <v>Needs Improvement</v>
      </c>
      <c r="AN705" s="11" t="str" cm="1">
        <f t="array" ref="AN705">_xlfn.IFS(N705&lt;10000,"Low",N705&lt;30000,"Medium",N705&gt;=30000,"High")</f>
        <v>High</v>
      </c>
      <c r="AO705" s="11" t="str">
        <f t="shared" si="55"/>
        <v>No</v>
      </c>
      <c r="AP705" s="11" t="str">
        <f t="shared" si="56"/>
        <v>Yes</v>
      </c>
      <c r="AQ705" s="11">
        <f t="shared" si="57"/>
        <v>0.21742500000000001</v>
      </c>
      <c r="AR705" s="33"/>
      <c r="AS705" s="33"/>
      <c r="AT705" s="33"/>
      <c r="AU705" s="33"/>
      <c r="AV705" s="33"/>
      <c r="AW705" s="33"/>
      <c r="AX705" s="33" t="str">
        <f t="shared" si="58"/>
        <v>Average</v>
      </c>
    </row>
    <row r="706" spans="1:50">
      <c r="A706" s="9" t="s">
        <v>1903</v>
      </c>
      <c r="B706" s="10" t="s">
        <v>1110</v>
      </c>
      <c r="C706" s="11" t="s">
        <v>176</v>
      </c>
      <c r="D706" s="11" t="s">
        <v>1311</v>
      </c>
      <c r="E706" s="11" t="s">
        <v>103</v>
      </c>
      <c r="F706" s="11" t="s">
        <v>56</v>
      </c>
      <c r="G706" s="11" t="s">
        <v>57</v>
      </c>
      <c r="H706" s="11" t="s">
        <v>94</v>
      </c>
      <c r="I706" s="11" t="s">
        <v>95</v>
      </c>
      <c r="J706" s="11" t="s">
        <v>440</v>
      </c>
      <c r="K706" s="25">
        <v>2</v>
      </c>
      <c r="L706" s="25">
        <v>2500</v>
      </c>
      <c r="M706" s="29">
        <v>0.05</v>
      </c>
      <c r="N706" s="25">
        <v>4750</v>
      </c>
      <c r="O706" s="25">
        <v>3334.25</v>
      </c>
      <c r="P706" s="25">
        <v>1415.75</v>
      </c>
      <c r="Q706" s="21">
        <v>29.81</v>
      </c>
      <c r="R706" s="11" t="s">
        <v>106</v>
      </c>
      <c r="S706" s="11" t="s">
        <v>42</v>
      </c>
      <c r="T706" s="11" t="s">
        <v>107</v>
      </c>
      <c r="U706" s="11" t="s">
        <v>119</v>
      </c>
      <c r="V706" s="11">
        <v>2024</v>
      </c>
      <c r="W706" s="11" t="s">
        <v>134</v>
      </c>
      <c r="X706" s="11">
        <v>3</v>
      </c>
      <c r="Y706" s="10" t="s">
        <v>1277</v>
      </c>
      <c r="Z706" s="11" t="s">
        <v>89</v>
      </c>
      <c r="AA706" s="11" t="s">
        <v>48</v>
      </c>
      <c r="AB706" s="11" t="s">
        <v>78</v>
      </c>
      <c r="AC706" s="11" t="s">
        <v>121</v>
      </c>
      <c r="AD706" s="11">
        <v>4</v>
      </c>
      <c r="AE706" s="11" t="s">
        <v>2220</v>
      </c>
      <c r="AF706" s="11" t="s">
        <v>2236</v>
      </c>
      <c r="AG706" s="25"/>
      <c r="AH706" s="11"/>
      <c r="AI706" s="11"/>
      <c r="AJ706" s="11"/>
      <c r="AK706" s="11"/>
      <c r="AL706" s="11"/>
      <c r="AM706" s="11" t="str">
        <f t="shared" ref="AM706:AM769" si="59">IF(Q706&gt;=30,"Good","Needs Improvement")</f>
        <v>Needs Improvement</v>
      </c>
      <c r="AN706" s="11" t="str" cm="1">
        <f t="array" ref="AN706">_xlfn.IFS(N706&lt;10000,"Low",N706&lt;30000,"Medium",N706&gt;=30000,"High")</f>
        <v>Low</v>
      </c>
      <c r="AO706" s="11" t="str">
        <f t="shared" ref="AO706:AO769" si="60">IF(AND(N706&gt;=30000,P706&gt;=10000),"Yes","No")</f>
        <v>No</v>
      </c>
      <c r="AP706" s="11" t="str">
        <f t="shared" ref="AP706:AP769" si="61">IF(OR(S706="Online",S706="Marketplace"),"Yes","No")</f>
        <v>Yes</v>
      </c>
      <c r="AQ706" s="11">
        <f t="shared" ref="AQ706:AQ769" si="62">IFERROR(P706/N706,"No Error")</f>
        <v>0.29805263157894735</v>
      </c>
      <c r="AR706" s="33"/>
      <c r="AS706" s="33"/>
      <c r="AT706" s="33"/>
      <c r="AU706" s="33"/>
      <c r="AV706" s="33"/>
      <c r="AW706" s="33"/>
      <c r="AX706" s="33" t="str">
        <f t="shared" ref="AX706:AX769" si="63">IF(P706&gt;=20000,"Excellent",IF(P706&gt;=10000,"Good",IF(P706&gt;=5000,"Average","Low")))</f>
        <v>Low</v>
      </c>
    </row>
    <row r="707" spans="1:50">
      <c r="A707" s="9" t="s">
        <v>936</v>
      </c>
      <c r="B707" s="10" t="s">
        <v>937</v>
      </c>
      <c r="C707" s="11" t="s">
        <v>938</v>
      </c>
      <c r="D707" s="11" t="s">
        <v>939</v>
      </c>
      <c r="E707" s="11" t="s">
        <v>55</v>
      </c>
      <c r="F707" s="11" t="s">
        <v>104</v>
      </c>
      <c r="G707" s="11" t="s">
        <v>104</v>
      </c>
      <c r="H707" s="11" t="s">
        <v>94</v>
      </c>
      <c r="I707" s="11" t="s">
        <v>59</v>
      </c>
      <c r="J707" s="11" t="s">
        <v>372</v>
      </c>
      <c r="K707" s="25">
        <v>9</v>
      </c>
      <c r="L707" s="25">
        <v>800</v>
      </c>
      <c r="M707" s="29">
        <v>0.2</v>
      </c>
      <c r="N707" s="25">
        <v>5760</v>
      </c>
      <c r="O707" s="25">
        <v>3540.09</v>
      </c>
      <c r="P707" s="25">
        <v>2219.91</v>
      </c>
      <c r="Q707" s="21">
        <v>38.54</v>
      </c>
      <c r="R707" s="11" t="s">
        <v>61</v>
      </c>
      <c r="S707" s="11" t="s">
        <v>42</v>
      </c>
      <c r="T707" s="11" t="s">
        <v>75</v>
      </c>
      <c r="U707" s="11" t="s">
        <v>160</v>
      </c>
      <c r="V707" s="11">
        <v>2024</v>
      </c>
      <c r="W707" s="11" t="s">
        <v>65</v>
      </c>
      <c r="X707" s="11">
        <v>1</v>
      </c>
      <c r="Y707" s="10" t="s">
        <v>940</v>
      </c>
      <c r="Z707" s="11" t="s">
        <v>47</v>
      </c>
      <c r="AA707" s="11" t="s">
        <v>67</v>
      </c>
      <c r="AB707" s="11" t="s">
        <v>111</v>
      </c>
      <c r="AC707" s="11" t="s">
        <v>121</v>
      </c>
      <c r="AD707" s="11">
        <v>5</v>
      </c>
      <c r="AE707" s="11" t="s">
        <v>2248</v>
      </c>
      <c r="AF707" s="11" t="s">
        <v>2224</v>
      </c>
      <c r="AG707" s="25"/>
      <c r="AH707" s="11"/>
      <c r="AI707" s="11"/>
      <c r="AJ707" s="11"/>
      <c r="AK707" s="11"/>
      <c r="AL707" s="11"/>
      <c r="AM707" s="11" t="str">
        <f t="shared" si="59"/>
        <v>Good</v>
      </c>
      <c r="AN707" s="11" t="str" cm="1">
        <f t="array" ref="AN707">_xlfn.IFS(N707&lt;10000,"Low",N707&lt;30000,"Medium",N707&gt;=30000,"High")</f>
        <v>Low</v>
      </c>
      <c r="AO707" s="11" t="str">
        <f t="shared" si="60"/>
        <v>No</v>
      </c>
      <c r="AP707" s="11" t="str">
        <f t="shared" si="61"/>
        <v>Yes</v>
      </c>
      <c r="AQ707" s="11">
        <f t="shared" si="62"/>
        <v>0.38540104166666667</v>
      </c>
      <c r="AR707" s="33"/>
      <c r="AS707" s="33"/>
      <c r="AT707" s="33"/>
      <c r="AU707" s="33"/>
      <c r="AV707" s="33"/>
      <c r="AW707" s="33"/>
      <c r="AX707" s="33" t="str">
        <f t="shared" si="63"/>
        <v>Low</v>
      </c>
    </row>
    <row r="708" spans="1:50">
      <c r="A708" s="9" t="s">
        <v>1972</v>
      </c>
      <c r="B708" s="10" t="s">
        <v>937</v>
      </c>
      <c r="C708" s="11" t="s">
        <v>1426</v>
      </c>
      <c r="D708" s="11" t="s">
        <v>900</v>
      </c>
      <c r="E708" s="11" t="s">
        <v>55</v>
      </c>
      <c r="F708" s="11" t="s">
        <v>144</v>
      </c>
      <c r="G708" s="11" t="s">
        <v>145</v>
      </c>
      <c r="H708" s="11" t="s">
        <v>38</v>
      </c>
      <c r="I708" s="11" t="s">
        <v>39</v>
      </c>
      <c r="J708" s="11" t="s">
        <v>356</v>
      </c>
      <c r="K708" s="25">
        <v>8</v>
      </c>
      <c r="L708" s="25">
        <v>12000</v>
      </c>
      <c r="M708" s="29">
        <v>0.05</v>
      </c>
      <c r="N708" s="25">
        <v>91200</v>
      </c>
      <c r="O708" s="25">
        <v>74529.06</v>
      </c>
      <c r="P708" s="25">
        <v>16670.939999999999</v>
      </c>
      <c r="Q708" s="21">
        <v>18.28</v>
      </c>
      <c r="R708" s="11" t="s">
        <v>166</v>
      </c>
      <c r="S708" s="11" t="s">
        <v>42</v>
      </c>
      <c r="T708" s="11" t="s">
        <v>86</v>
      </c>
      <c r="U708" s="11" t="s">
        <v>160</v>
      </c>
      <c r="V708" s="11">
        <v>2024</v>
      </c>
      <c r="W708" s="11" t="s">
        <v>65</v>
      </c>
      <c r="X708" s="11">
        <v>9</v>
      </c>
      <c r="Y708" s="10">
        <v>45298</v>
      </c>
      <c r="Z708" s="11" t="s">
        <v>47</v>
      </c>
      <c r="AA708" s="11" t="s">
        <v>90</v>
      </c>
      <c r="AB708" s="11" t="s">
        <v>78</v>
      </c>
      <c r="AC708" s="11" t="s">
        <v>121</v>
      </c>
      <c r="AD708" s="11">
        <v>5</v>
      </c>
      <c r="AE708" s="11" t="s">
        <v>2227</v>
      </c>
      <c r="AF708" s="11" t="s">
        <v>2230</v>
      </c>
      <c r="AG708" s="25"/>
      <c r="AH708" s="11"/>
      <c r="AI708" s="11"/>
      <c r="AJ708" s="11"/>
      <c r="AK708" s="11"/>
      <c r="AL708" s="11"/>
      <c r="AM708" s="11" t="str">
        <f t="shared" si="59"/>
        <v>Needs Improvement</v>
      </c>
      <c r="AN708" s="11" t="str" cm="1">
        <f t="array" ref="AN708">_xlfn.IFS(N708&lt;10000,"Low",N708&lt;30000,"Medium",N708&gt;=30000,"High")</f>
        <v>High</v>
      </c>
      <c r="AO708" s="11" t="str">
        <f t="shared" si="60"/>
        <v>Yes</v>
      </c>
      <c r="AP708" s="11" t="str">
        <f t="shared" si="61"/>
        <v>Yes</v>
      </c>
      <c r="AQ708" s="11">
        <f t="shared" si="62"/>
        <v>0.18279539473684209</v>
      </c>
      <c r="AR708" s="33"/>
      <c r="AS708" s="33"/>
      <c r="AT708" s="33"/>
      <c r="AU708" s="33"/>
      <c r="AV708" s="33"/>
      <c r="AW708" s="33"/>
      <c r="AX708" s="33" t="str">
        <f t="shared" si="63"/>
        <v>Good</v>
      </c>
    </row>
    <row r="709" spans="1:50">
      <c r="A709" s="9" t="s">
        <v>995</v>
      </c>
      <c r="B709" s="10" t="s">
        <v>996</v>
      </c>
      <c r="C709" s="11" t="s">
        <v>997</v>
      </c>
      <c r="D709" s="11" t="s">
        <v>998</v>
      </c>
      <c r="E709" s="11" t="s">
        <v>103</v>
      </c>
      <c r="F709" s="11" t="s">
        <v>131</v>
      </c>
      <c r="G709" s="11" t="s">
        <v>132</v>
      </c>
      <c r="H709" s="11" t="s">
        <v>94</v>
      </c>
      <c r="I709" s="11" t="s">
        <v>39</v>
      </c>
      <c r="J709" s="11" t="s">
        <v>40</v>
      </c>
      <c r="K709" s="25">
        <v>8</v>
      </c>
      <c r="L709" s="25">
        <v>50000</v>
      </c>
      <c r="M709" s="29">
        <v>0.1</v>
      </c>
      <c r="N709" s="25">
        <v>360000</v>
      </c>
      <c r="O709" s="25">
        <v>281947.53000000003</v>
      </c>
      <c r="P709" s="25">
        <v>78052.47</v>
      </c>
      <c r="Q709" s="21">
        <v>21.68</v>
      </c>
      <c r="R709" s="11" t="s">
        <v>61</v>
      </c>
      <c r="S709" s="11" t="s">
        <v>74</v>
      </c>
      <c r="T709" s="11" t="s">
        <v>118</v>
      </c>
      <c r="U709" s="11" t="s">
        <v>151</v>
      </c>
      <c r="V709" s="11">
        <v>2024</v>
      </c>
      <c r="W709" s="11" t="s">
        <v>126</v>
      </c>
      <c r="X709" s="11">
        <v>6</v>
      </c>
      <c r="Y709" s="10" t="s">
        <v>999</v>
      </c>
      <c r="Z709" s="11" t="s">
        <v>47</v>
      </c>
      <c r="AA709" s="11" t="s">
        <v>67</v>
      </c>
      <c r="AB709" s="11" t="s">
        <v>111</v>
      </c>
      <c r="AC709" s="11" t="s">
        <v>121</v>
      </c>
      <c r="AD709" s="11">
        <v>4</v>
      </c>
      <c r="AE709" s="11" t="s">
        <v>2209</v>
      </c>
      <c r="AF709" s="11" t="s">
        <v>2212</v>
      </c>
      <c r="AG709" s="25"/>
      <c r="AH709" s="11"/>
      <c r="AI709" s="11"/>
      <c r="AJ709" s="11"/>
      <c r="AK709" s="11"/>
      <c r="AL709" s="11"/>
      <c r="AM709" s="11" t="str">
        <f t="shared" si="59"/>
        <v>Needs Improvement</v>
      </c>
      <c r="AN709" s="11" t="str" cm="1">
        <f t="array" ref="AN709">_xlfn.IFS(N709&lt;10000,"Low",N709&lt;30000,"Medium",N709&gt;=30000,"High")</f>
        <v>High</v>
      </c>
      <c r="AO709" s="11" t="str">
        <f t="shared" si="60"/>
        <v>Yes</v>
      </c>
      <c r="AP709" s="11" t="str">
        <f t="shared" si="61"/>
        <v>Yes</v>
      </c>
      <c r="AQ709" s="11">
        <f t="shared" si="62"/>
        <v>0.21681241666666667</v>
      </c>
      <c r="AR709" s="33"/>
      <c r="AS709" s="33"/>
      <c r="AT709" s="33"/>
      <c r="AU709" s="33"/>
      <c r="AV709" s="33"/>
      <c r="AW709" s="33"/>
      <c r="AX709" s="33" t="str">
        <f t="shared" si="63"/>
        <v>Excellent</v>
      </c>
    </row>
    <row r="710" spans="1:50">
      <c r="A710" s="9" t="s">
        <v>1503</v>
      </c>
      <c r="B710" s="10" t="s">
        <v>996</v>
      </c>
      <c r="C710" s="11" t="s">
        <v>447</v>
      </c>
      <c r="D710" s="11" t="s">
        <v>627</v>
      </c>
      <c r="E710" s="11" t="s">
        <v>35</v>
      </c>
      <c r="F710" s="11" t="s">
        <v>116</v>
      </c>
      <c r="G710" s="11" t="s">
        <v>37</v>
      </c>
      <c r="H710" s="11" t="s">
        <v>38</v>
      </c>
      <c r="I710" s="11" t="s">
        <v>39</v>
      </c>
      <c r="J710" s="11" t="s">
        <v>40</v>
      </c>
      <c r="K710" s="25">
        <v>4</v>
      </c>
      <c r="L710" s="25">
        <v>50000</v>
      </c>
      <c r="M710" s="29">
        <v>0.15</v>
      </c>
      <c r="N710" s="25">
        <v>170000</v>
      </c>
      <c r="O710" s="25">
        <v>125682.55</v>
      </c>
      <c r="P710" s="25">
        <v>44317.45</v>
      </c>
      <c r="Q710" s="21">
        <v>26.07</v>
      </c>
      <c r="R710" s="11" t="s">
        <v>73</v>
      </c>
      <c r="S710" s="11" t="s">
        <v>74</v>
      </c>
      <c r="T710" s="11" t="s">
        <v>118</v>
      </c>
      <c r="U710" s="11" t="s">
        <v>151</v>
      </c>
      <c r="V710" s="11">
        <v>2024</v>
      </c>
      <c r="W710" s="11" t="s">
        <v>126</v>
      </c>
      <c r="X710" s="11">
        <v>8</v>
      </c>
      <c r="Y710" s="10" t="s">
        <v>569</v>
      </c>
      <c r="Z710" s="11" t="s">
        <v>47</v>
      </c>
      <c r="AA710" s="11" t="s">
        <v>67</v>
      </c>
      <c r="AB710" s="11" t="s">
        <v>49</v>
      </c>
      <c r="AC710" s="11" t="s">
        <v>50</v>
      </c>
      <c r="AD710" s="11">
        <v>2</v>
      </c>
      <c r="AE710" s="11" t="s">
        <v>2234</v>
      </c>
      <c r="AF710" s="11" t="s">
        <v>2222</v>
      </c>
      <c r="AG710" s="25"/>
      <c r="AH710" s="11"/>
      <c r="AI710" s="11"/>
      <c r="AJ710" s="11"/>
      <c r="AK710" s="11"/>
      <c r="AL710" s="11"/>
      <c r="AM710" s="11" t="str">
        <f t="shared" si="59"/>
        <v>Needs Improvement</v>
      </c>
      <c r="AN710" s="11" t="str" cm="1">
        <f t="array" ref="AN710">_xlfn.IFS(N710&lt;10000,"Low",N710&lt;30000,"Medium",N710&gt;=30000,"High")</f>
        <v>High</v>
      </c>
      <c r="AO710" s="11" t="str">
        <f t="shared" si="60"/>
        <v>Yes</v>
      </c>
      <c r="AP710" s="11" t="str">
        <f t="shared" si="61"/>
        <v>Yes</v>
      </c>
      <c r="AQ710" s="11">
        <f t="shared" si="62"/>
        <v>0.26069088235294113</v>
      </c>
      <c r="AR710" s="33"/>
      <c r="AS710" s="33"/>
      <c r="AT710" s="33"/>
      <c r="AU710" s="33"/>
      <c r="AV710" s="33"/>
      <c r="AW710" s="33"/>
      <c r="AX710" s="33" t="str">
        <f t="shared" si="63"/>
        <v>Excellent</v>
      </c>
    </row>
    <row r="711" spans="1:50">
      <c r="A711" s="9" t="s">
        <v>1966</v>
      </c>
      <c r="B711" s="10" t="s">
        <v>996</v>
      </c>
      <c r="C711" s="11" t="s">
        <v>1963</v>
      </c>
      <c r="D711" s="11" t="s">
        <v>927</v>
      </c>
      <c r="E711" s="11" t="s">
        <v>35</v>
      </c>
      <c r="F711" s="11" t="s">
        <v>56</v>
      </c>
      <c r="G711" s="11" t="s">
        <v>57</v>
      </c>
      <c r="H711" s="11" t="s">
        <v>171</v>
      </c>
      <c r="I711" s="11" t="s">
        <v>59</v>
      </c>
      <c r="J711" s="11" t="s">
        <v>133</v>
      </c>
      <c r="K711" s="25">
        <v>7</v>
      </c>
      <c r="L711" s="25">
        <v>1200</v>
      </c>
      <c r="M711" s="29">
        <v>0.1</v>
      </c>
      <c r="N711" s="25">
        <v>7560</v>
      </c>
      <c r="O711" s="25">
        <v>5082.4799999999996</v>
      </c>
      <c r="P711" s="25">
        <v>2477.52</v>
      </c>
      <c r="Q711" s="21">
        <v>32.770000000000003</v>
      </c>
      <c r="R711" s="11" t="s">
        <v>61</v>
      </c>
      <c r="S711" s="11" t="s">
        <v>62</v>
      </c>
      <c r="T711" s="11" t="s">
        <v>43</v>
      </c>
      <c r="U711" s="11" t="s">
        <v>151</v>
      </c>
      <c r="V711" s="11">
        <v>2024</v>
      </c>
      <c r="W711" s="11" t="s">
        <v>126</v>
      </c>
      <c r="X711" s="11">
        <v>1</v>
      </c>
      <c r="Y711" s="10" t="s">
        <v>443</v>
      </c>
      <c r="Z711" s="11" t="s">
        <v>47</v>
      </c>
      <c r="AA711" s="11" t="s">
        <v>67</v>
      </c>
      <c r="AB711" s="11" t="s">
        <v>78</v>
      </c>
      <c r="AC711" s="11" t="s">
        <v>121</v>
      </c>
      <c r="AD711" s="11">
        <v>2</v>
      </c>
      <c r="AE711" s="11" t="s">
        <v>2229</v>
      </c>
      <c r="AF711" s="11" t="s">
        <v>2236</v>
      </c>
      <c r="AG711" s="25"/>
      <c r="AH711" s="11"/>
      <c r="AI711" s="11"/>
      <c r="AJ711" s="11"/>
      <c r="AK711" s="11"/>
      <c r="AL711" s="11"/>
      <c r="AM711" s="11" t="str">
        <f t="shared" si="59"/>
        <v>Good</v>
      </c>
      <c r="AN711" s="11" t="str" cm="1">
        <f t="array" ref="AN711">_xlfn.IFS(N711&lt;10000,"Low",N711&lt;30000,"Medium",N711&gt;=30000,"High")</f>
        <v>Low</v>
      </c>
      <c r="AO711" s="11" t="str">
        <f t="shared" si="60"/>
        <v>No</v>
      </c>
      <c r="AP711" s="11" t="str">
        <f t="shared" si="61"/>
        <v>No</v>
      </c>
      <c r="AQ711" s="11">
        <f t="shared" si="62"/>
        <v>0.32771428571428574</v>
      </c>
      <c r="AR711" s="33"/>
      <c r="AS711" s="33"/>
      <c r="AT711" s="33"/>
      <c r="AU711" s="33"/>
      <c r="AV711" s="33"/>
      <c r="AW711" s="33"/>
      <c r="AX711" s="33" t="str">
        <f t="shared" si="63"/>
        <v>Low</v>
      </c>
    </row>
    <row r="712" spans="1:50">
      <c r="A712" s="9" t="s">
        <v>2040</v>
      </c>
      <c r="B712" s="10" t="s">
        <v>516</v>
      </c>
      <c r="C712" s="11" t="s">
        <v>773</v>
      </c>
      <c r="D712" s="11" t="s">
        <v>1846</v>
      </c>
      <c r="E712" s="11" t="s">
        <v>35</v>
      </c>
      <c r="F712" s="11" t="s">
        <v>156</v>
      </c>
      <c r="G712" s="11" t="s">
        <v>157</v>
      </c>
      <c r="H712" s="11" t="s">
        <v>38</v>
      </c>
      <c r="I712" s="11" t="s">
        <v>95</v>
      </c>
      <c r="J712" s="11" t="s">
        <v>96</v>
      </c>
      <c r="K712" s="25">
        <v>3</v>
      </c>
      <c r="L712" s="25">
        <v>6000</v>
      </c>
      <c r="M712" s="29">
        <v>0</v>
      </c>
      <c r="N712" s="25">
        <v>18000</v>
      </c>
      <c r="O712" s="25">
        <v>13423.44</v>
      </c>
      <c r="P712" s="25">
        <v>4576.5600000000004</v>
      </c>
      <c r="Q712" s="21">
        <v>25.43</v>
      </c>
      <c r="R712" s="11" t="s">
        <v>41</v>
      </c>
      <c r="S712" s="11" t="s">
        <v>42</v>
      </c>
      <c r="T712" s="11" t="s">
        <v>63</v>
      </c>
      <c r="U712" s="11" t="s">
        <v>151</v>
      </c>
      <c r="V712" s="11">
        <v>2025</v>
      </c>
      <c r="W712" s="11" t="s">
        <v>109</v>
      </c>
      <c r="X712" s="11">
        <v>2</v>
      </c>
      <c r="Y712" s="10" t="s">
        <v>1021</v>
      </c>
      <c r="Z712" s="11" t="s">
        <v>110</v>
      </c>
      <c r="AA712" s="11" t="s">
        <v>90</v>
      </c>
      <c r="AB712" s="11" t="s">
        <v>78</v>
      </c>
      <c r="AC712" s="11" t="s">
        <v>121</v>
      </c>
      <c r="AD712" s="11">
        <v>4</v>
      </c>
      <c r="AE712" s="11" t="s">
        <v>118</v>
      </c>
      <c r="AF712" s="11" t="s">
        <v>2230</v>
      </c>
      <c r="AG712" s="25"/>
      <c r="AH712" s="11"/>
      <c r="AI712" s="11"/>
      <c r="AJ712" s="11"/>
      <c r="AK712" s="11"/>
      <c r="AL712" s="11"/>
      <c r="AM712" s="11" t="str">
        <f t="shared" si="59"/>
        <v>Needs Improvement</v>
      </c>
      <c r="AN712" s="11" t="str" cm="1">
        <f t="array" ref="AN712">_xlfn.IFS(N712&lt;10000,"Low",N712&lt;30000,"Medium",N712&gt;=30000,"High")</f>
        <v>Medium</v>
      </c>
      <c r="AO712" s="11" t="str">
        <f t="shared" si="60"/>
        <v>No</v>
      </c>
      <c r="AP712" s="11" t="str">
        <f t="shared" si="61"/>
        <v>Yes</v>
      </c>
      <c r="AQ712" s="11">
        <f t="shared" si="62"/>
        <v>0.25425333333333333</v>
      </c>
      <c r="AR712" s="33"/>
      <c r="AS712" s="33"/>
      <c r="AT712" s="33"/>
      <c r="AU712" s="33"/>
      <c r="AV712" s="33"/>
      <c r="AW712" s="33"/>
      <c r="AX712" s="33" t="str">
        <f t="shared" si="63"/>
        <v>Low</v>
      </c>
    </row>
    <row r="713" spans="1:50">
      <c r="A713" s="9" t="s">
        <v>1925</v>
      </c>
      <c r="B713" s="10" t="s">
        <v>1125</v>
      </c>
      <c r="C713" s="11" t="s">
        <v>1134</v>
      </c>
      <c r="D713" s="11" t="s">
        <v>542</v>
      </c>
      <c r="E713" s="11" t="s">
        <v>35</v>
      </c>
      <c r="F713" s="11" t="s">
        <v>56</v>
      </c>
      <c r="G713" s="11" t="s">
        <v>57</v>
      </c>
      <c r="H713" s="11" t="s">
        <v>38</v>
      </c>
      <c r="I713" s="11" t="s">
        <v>71</v>
      </c>
      <c r="J713" s="11" t="s">
        <v>72</v>
      </c>
      <c r="K713" s="25">
        <v>7</v>
      </c>
      <c r="L713" s="25">
        <v>1800</v>
      </c>
      <c r="M713" s="29">
        <v>0.1</v>
      </c>
      <c r="N713" s="25">
        <v>11340</v>
      </c>
      <c r="O713" s="25">
        <v>9028.1299999999992</v>
      </c>
      <c r="P713" s="25">
        <v>2311.87</v>
      </c>
      <c r="Q713" s="21">
        <v>20.39</v>
      </c>
      <c r="R713" s="11" t="s">
        <v>41</v>
      </c>
      <c r="S713" s="11" t="s">
        <v>42</v>
      </c>
      <c r="T713" s="11" t="s">
        <v>107</v>
      </c>
      <c r="U713" s="11" t="s">
        <v>218</v>
      </c>
      <c r="V713" s="11">
        <v>2024</v>
      </c>
      <c r="W713" s="11" t="s">
        <v>139</v>
      </c>
      <c r="X713" s="11">
        <v>5</v>
      </c>
      <c r="Y713" s="10" t="s">
        <v>1687</v>
      </c>
      <c r="Z713" s="11" t="s">
        <v>47</v>
      </c>
      <c r="AA713" s="11" t="s">
        <v>48</v>
      </c>
      <c r="AB713" s="11" t="s">
        <v>111</v>
      </c>
      <c r="AC713" s="11" t="s">
        <v>121</v>
      </c>
      <c r="AD713" s="11">
        <v>1</v>
      </c>
      <c r="AE713" s="11" t="s">
        <v>2220</v>
      </c>
      <c r="AF713" s="11" t="s">
        <v>2222</v>
      </c>
      <c r="AG713" s="25"/>
      <c r="AH713" s="11"/>
      <c r="AI713" s="11"/>
      <c r="AJ713" s="11"/>
      <c r="AK713" s="11"/>
      <c r="AL713" s="11"/>
      <c r="AM713" s="11" t="str">
        <f t="shared" si="59"/>
        <v>Needs Improvement</v>
      </c>
      <c r="AN713" s="11" t="str" cm="1">
        <f t="array" ref="AN713">_xlfn.IFS(N713&lt;10000,"Low",N713&lt;30000,"Medium",N713&gt;=30000,"High")</f>
        <v>Medium</v>
      </c>
      <c r="AO713" s="11" t="str">
        <f t="shared" si="60"/>
        <v>No</v>
      </c>
      <c r="AP713" s="11" t="str">
        <f t="shared" si="61"/>
        <v>Yes</v>
      </c>
      <c r="AQ713" s="11">
        <f t="shared" si="62"/>
        <v>0.20386860670194001</v>
      </c>
      <c r="AR713" s="33"/>
      <c r="AS713" s="33"/>
      <c r="AT713" s="33"/>
      <c r="AU713" s="33"/>
      <c r="AV713" s="33"/>
      <c r="AW713" s="33"/>
      <c r="AX713" s="33" t="str">
        <f t="shared" si="63"/>
        <v>Low</v>
      </c>
    </row>
    <row r="714" spans="1:50">
      <c r="A714" s="9" t="s">
        <v>2049</v>
      </c>
      <c r="B714" s="10" t="s">
        <v>1125</v>
      </c>
      <c r="C714" s="11" t="s">
        <v>989</v>
      </c>
      <c r="D714" s="11" t="s">
        <v>554</v>
      </c>
      <c r="E714" s="11" t="s">
        <v>103</v>
      </c>
      <c r="F714" s="11" t="s">
        <v>245</v>
      </c>
      <c r="G714" s="11" t="s">
        <v>246</v>
      </c>
      <c r="H714" s="11" t="s">
        <v>94</v>
      </c>
      <c r="I714" s="11" t="s">
        <v>59</v>
      </c>
      <c r="J714" s="11" t="s">
        <v>60</v>
      </c>
      <c r="K714" s="25">
        <v>7</v>
      </c>
      <c r="L714" s="25">
        <v>500</v>
      </c>
      <c r="M714" s="29">
        <v>0.1</v>
      </c>
      <c r="N714" s="25">
        <v>3150</v>
      </c>
      <c r="O714" s="25">
        <v>2548.7800000000002</v>
      </c>
      <c r="P714" s="25">
        <v>601.22</v>
      </c>
      <c r="Q714" s="21">
        <v>19.09</v>
      </c>
      <c r="R714" s="11" t="s">
        <v>166</v>
      </c>
      <c r="S714" s="11" t="s">
        <v>42</v>
      </c>
      <c r="T714" s="11" t="s">
        <v>173</v>
      </c>
      <c r="U714" s="11" t="s">
        <v>218</v>
      </c>
      <c r="V714" s="11">
        <v>2024</v>
      </c>
      <c r="W714" s="11" t="s">
        <v>139</v>
      </c>
      <c r="X714" s="11">
        <v>10</v>
      </c>
      <c r="Y714" s="10">
        <v>45300</v>
      </c>
      <c r="Z714" s="11" t="s">
        <v>110</v>
      </c>
      <c r="AA714" s="11" t="s">
        <v>67</v>
      </c>
      <c r="AB714" s="11" t="s">
        <v>78</v>
      </c>
      <c r="AC714" s="11" t="s">
        <v>121</v>
      </c>
      <c r="AD714" s="11">
        <v>4</v>
      </c>
      <c r="AE714" s="11" t="s">
        <v>2220</v>
      </c>
      <c r="AF714" s="11" t="s">
        <v>2238</v>
      </c>
      <c r="AG714" s="25"/>
      <c r="AH714" s="11"/>
      <c r="AI714" s="11"/>
      <c r="AJ714" s="11"/>
      <c r="AK714" s="11"/>
      <c r="AL714" s="11"/>
      <c r="AM714" s="11" t="str">
        <f t="shared" si="59"/>
        <v>Needs Improvement</v>
      </c>
      <c r="AN714" s="11" t="str" cm="1">
        <f t="array" ref="AN714">_xlfn.IFS(N714&lt;10000,"Low",N714&lt;30000,"Medium",N714&gt;=30000,"High")</f>
        <v>Low</v>
      </c>
      <c r="AO714" s="11" t="str">
        <f t="shared" si="60"/>
        <v>No</v>
      </c>
      <c r="AP714" s="11" t="str">
        <f t="shared" si="61"/>
        <v>Yes</v>
      </c>
      <c r="AQ714" s="11">
        <f t="shared" si="62"/>
        <v>0.19086349206349207</v>
      </c>
      <c r="AR714" s="33"/>
      <c r="AS714" s="33"/>
      <c r="AT714" s="33"/>
      <c r="AU714" s="33"/>
      <c r="AV714" s="33"/>
      <c r="AW714" s="33"/>
      <c r="AX714" s="33" t="str">
        <f t="shared" si="63"/>
        <v>Low</v>
      </c>
    </row>
    <row r="715" spans="1:50">
      <c r="A715" s="9" t="s">
        <v>2123</v>
      </c>
      <c r="B715" s="10" t="s">
        <v>1125</v>
      </c>
      <c r="C715" s="11" t="s">
        <v>347</v>
      </c>
      <c r="D715" s="11" t="s">
        <v>512</v>
      </c>
      <c r="E715" s="11" t="s">
        <v>35</v>
      </c>
      <c r="F715" s="11" t="s">
        <v>36</v>
      </c>
      <c r="G715" s="11" t="s">
        <v>37</v>
      </c>
      <c r="H715" s="11" t="s">
        <v>58</v>
      </c>
      <c r="I715" s="11" t="s">
        <v>71</v>
      </c>
      <c r="J715" s="11" t="s">
        <v>240</v>
      </c>
      <c r="K715" s="25">
        <v>10</v>
      </c>
      <c r="L715" s="25">
        <v>3500</v>
      </c>
      <c r="M715" s="29">
        <v>0.1</v>
      </c>
      <c r="N715" s="25">
        <v>31500</v>
      </c>
      <c r="O715" s="25">
        <v>23234.21</v>
      </c>
      <c r="P715" s="25">
        <v>8265.7900000000009</v>
      </c>
      <c r="Q715" s="21">
        <v>26.24</v>
      </c>
      <c r="R715" s="11" t="s">
        <v>73</v>
      </c>
      <c r="S715" s="11" t="s">
        <v>74</v>
      </c>
      <c r="T715" s="11" t="s">
        <v>159</v>
      </c>
      <c r="U715" s="11" t="s">
        <v>218</v>
      </c>
      <c r="V715" s="11">
        <v>2024</v>
      </c>
      <c r="W715" s="11" t="s">
        <v>139</v>
      </c>
      <c r="X715" s="11">
        <v>1</v>
      </c>
      <c r="Y715" s="10" t="s">
        <v>835</v>
      </c>
      <c r="Z715" s="11" t="s">
        <v>47</v>
      </c>
      <c r="AA715" s="11" t="s">
        <v>90</v>
      </c>
      <c r="AB715" s="11" t="s">
        <v>78</v>
      </c>
      <c r="AC715" s="11" t="s">
        <v>50</v>
      </c>
      <c r="AD715" s="11">
        <v>4</v>
      </c>
      <c r="AE715" s="11" t="s">
        <v>2221</v>
      </c>
      <c r="AF715" s="11" t="s">
        <v>2222</v>
      </c>
      <c r="AG715" s="25"/>
      <c r="AH715" s="11"/>
      <c r="AI715" s="11"/>
      <c r="AJ715" s="11"/>
      <c r="AK715" s="11"/>
      <c r="AL715" s="11"/>
      <c r="AM715" s="11" t="str">
        <f t="shared" si="59"/>
        <v>Needs Improvement</v>
      </c>
      <c r="AN715" s="11" t="str" cm="1">
        <f t="array" ref="AN715">_xlfn.IFS(N715&lt;10000,"Low",N715&lt;30000,"Medium",N715&gt;=30000,"High")</f>
        <v>High</v>
      </c>
      <c r="AO715" s="11" t="str">
        <f t="shared" si="60"/>
        <v>No</v>
      </c>
      <c r="AP715" s="11" t="str">
        <f t="shared" si="61"/>
        <v>Yes</v>
      </c>
      <c r="AQ715" s="11">
        <f t="shared" si="62"/>
        <v>0.26240603174603178</v>
      </c>
      <c r="AR715" s="33"/>
      <c r="AS715" s="33"/>
      <c r="AT715" s="33"/>
      <c r="AU715" s="33"/>
      <c r="AV715" s="33"/>
      <c r="AW715" s="33"/>
      <c r="AX715" s="33" t="str">
        <f t="shared" si="63"/>
        <v>Average</v>
      </c>
    </row>
    <row r="716" spans="1:50">
      <c r="A716" s="9" t="s">
        <v>1938</v>
      </c>
      <c r="B716" s="10" t="s">
        <v>1939</v>
      </c>
      <c r="C716" s="11" t="s">
        <v>1245</v>
      </c>
      <c r="D716" s="11" t="s">
        <v>434</v>
      </c>
      <c r="E716" s="11" t="s">
        <v>103</v>
      </c>
      <c r="F716" s="11" t="s">
        <v>144</v>
      </c>
      <c r="G716" s="11" t="s">
        <v>145</v>
      </c>
      <c r="H716" s="11" t="s">
        <v>58</v>
      </c>
      <c r="I716" s="11" t="s">
        <v>84</v>
      </c>
      <c r="J716" s="11" t="s">
        <v>229</v>
      </c>
      <c r="K716" s="25">
        <v>6</v>
      </c>
      <c r="L716" s="25">
        <v>100</v>
      </c>
      <c r="M716" s="29">
        <v>0.2</v>
      </c>
      <c r="N716" s="25">
        <v>480</v>
      </c>
      <c r="O716" s="25">
        <v>362.3</v>
      </c>
      <c r="P716" s="25">
        <v>117.7</v>
      </c>
      <c r="Q716" s="21">
        <v>24.52</v>
      </c>
      <c r="R716" s="11" t="s">
        <v>73</v>
      </c>
      <c r="S716" s="11" t="s">
        <v>62</v>
      </c>
      <c r="T716" s="11" t="s">
        <v>97</v>
      </c>
      <c r="U716" s="11" t="s">
        <v>218</v>
      </c>
      <c r="V716" s="11">
        <v>2025</v>
      </c>
      <c r="W716" s="11" t="s">
        <v>194</v>
      </c>
      <c r="X716" s="11">
        <v>2</v>
      </c>
      <c r="Y716" s="10" t="s">
        <v>414</v>
      </c>
      <c r="Z716" s="11" t="s">
        <v>110</v>
      </c>
      <c r="AA716" s="11" t="s">
        <v>48</v>
      </c>
      <c r="AB716" s="11" t="s">
        <v>111</v>
      </c>
      <c r="AC716" s="11" t="s">
        <v>50</v>
      </c>
      <c r="AD716" s="11">
        <v>3</v>
      </c>
      <c r="AE716" s="11" t="s">
        <v>2227</v>
      </c>
      <c r="AF716" s="11" t="s">
        <v>2231</v>
      </c>
      <c r="AG716" s="25"/>
      <c r="AH716" s="11"/>
      <c r="AI716" s="11"/>
      <c r="AJ716" s="11"/>
      <c r="AK716" s="11"/>
      <c r="AL716" s="11"/>
      <c r="AM716" s="11" t="str">
        <f t="shared" si="59"/>
        <v>Needs Improvement</v>
      </c>
      <c r="AN716" s="11" t="str" cm="1">
        <f t="array" ref="AN716">_xlfn.IFS(N716&lt;10000,"Low",N716&lt;30000,"Medium",N716&gt;=30000,"High")</f>
        <v>Low</v>
      </c>
      <c r="AO716" s="11" t="str">
        <f t="shared" si="60"/>
        <v>No</v>
      </c>
      <c r="AP716" s="11" t="str">
        <f t="shared" si="61"/>
        <v>No</v>
      </c>
      <c r="AQ716" s="11">
        <f t="shared" si="62"/>
        <v>0.24520833333333333</v>
      </c>
      <c r="AR716" s="33"/>
      <c r="AS716" s="33"/>
      <c r="AT716" s="33"/>
      <c r="AU716" s="33"/>
      <c r="AV716" s="33"/>
      <c r="AW716" s="33"/>
      <c r="AX716" s="33" t="str">
        <f t="shared" si="63"/>
        <v>Low</v>
      </c>
    </row>
    <row r="717" spans="1:50">
      <c r="A717" s="9" t="s">
        <v>1488</v>
      </c>
      <c r="B717" s="10" t="s">
        <v>1489</v>
      </c>
      <c r="C717" s="11" t="s">
        <v>1490</v>
      </c>
      <c r="D717" s="11" t="s">
        <v>905</v>
      </c>
      <c r="E717" s="11" t="s">
        <v>55</v>
      </c>
      <c r="F717" s="11" t="s">
        <v>131</v>
      </c>
      <c r="G717" s="11" t="s">
        <v>132</v>
      </c>
      <c r="H717" s="11" t="s">
        <v>171</v>
      </c>
      <c r="I717" s="11" t="s">
        <v>59</v>
      </c>
      <c r="J717" s="11" t="s">
        <v>133</v>
      </c>
      <c r="K717" s="25">
        <v>8</v>
      </c>
      <c r="L717" s="25">
        <v>3000</v>
      </c>
      <c r="M717" s="29">
        <v>0.05</v>
      </c>
      <c r="N717" s="25">
        <v>22800</v>
      </c>
      <c r="O717" s="25">
        <v>16930.599999999999</v>
      </c>
      <c r="P717" s="25">
        <v>5869.4</v>
      </c>
      <c r="Q717" s="21">
        <v>25.74</v>
      </c>
      <c r="R717" s="11" t="s">
        <v>106</v>
      </c>
      <c r="S717" s="11" t="s">
        <v>42</v>
      </c>
      <c r="T717" s="11" t="s">
        <v>97</v>
      </c>
      <c r="U717" s="11" t="s">
        <v>108</v>
      </c>
      <c r="V717" s="11">
        <v>2024</v>
      </c>
      <c r="W717" s="11" t="s">
        <v>45</v>
      </c>
      <c r="X717" s="11">
        <v>1</v>
      </c>
      <c r="Y717" s="10" t="s">
        <v>789</v>
      </c>
      <c r="Z717" s="11" t="s">
        <v>89</v>
      </c>
      <c r="AA717" s="11" t="s">
        <v>48</v>
      </c>
      <c r="AB717" s="11" t="s">
        <v>49</v>
      </c>
      <c r="AC717" s="11" t="s">
        <v>50</v>
      </c>
      <c r="AD717" s="11">
        <v>4</v>
      </c>
      <c r="AE717" s="11" t="s">
        <v>2233</v>
      </c>
      <c r="AF717" s="11" t="s">
        <v>2222</v>
      </c>
      <c r="AG717" s="25"/>
      <c r="AH717" s="11"/>
      <c r="AI717" s="11"/>
      <c r="AJ717" s="11"/>
      <c r="AK717" s="11"/>
      <c r="AL717" s="11"/>
      <c r="AM717" s="11" t="str">
        <f t="shared" si="59"/>
        <v>Needs Improvement</v>
      </c>
      <c r="AN717" s="11" t="str" cm="1">
        <f t="array" ref="AN717">_xlfn.IFS(N717&lt;10000,"Low",N717&lt;30000,"Medium",N717&gt;=30000,"High")</f>
        <v>Medium</v>
      </c>
      <c r="AO717" s="11" t="str">
        <f t="shared" si="60"/>
        <v>No</v>
      </c>
      <c r="AP717" s="11" t="str">
        <f t="shared" si="61"/>
        <v>Yes</v>
      </c>
      <c r="AQ717" s="11">
        <f t="shared" si="62"/>
        <v>0.25742982456140351</v>
      </c>
      <c r="AR717" s="33"/>
      <c r="AS717" s="33"/>
      <c r="AT717" s="33"/>
      <c r="AU717" s="33"/>
      <c r="AV717" s="33"/>
      <c r="AW717" s="33"/>
      <c r="AX717" s="33" t="str">
        <f t="shared" si="63"/>
        <v>Average</v>
      </c>
    </row>
    <row r="718" spans="1:50">
      <c r="A718" s="9" t="s">
        <v>1922</v>
      </c>
      <c r="B718" s="10" t="s">
        <v>750</v>
      </c>
      <c r="C718" s="11" t="s">
        <v>729</v>
      </c>
      <c r="D718" s="11" t="s">
        <v>717</v>
      </c>
      <c r="E718" s="11" t="s">
        <v>35</v>
      </c>
      <c r="F718" s="11" t="s">
        <v>131</v>
      </c>
      <c r="G718" s="11" t="s">
        <v>132</v>
      </c>
      <c r="H718" s="11" t="s">
        <v>94</v>
      </c>
      <c r="I718" s="11" t="s">
        <v>84</v>
      </c>
      <c r="J718" s="11" t="s">
        <v>229</v>
      </c>
      <c r="K718" s="25">
        <v>1</v>
      </c>
      <c r="L718" s="25">
        <v>500</v>
      </c>
      <c r="M718" s="29">
        <v>0.2</v>
      </c>
      <c r="N718" s="25">
        <v>400</v>
      </c>
      <c r="O718" s="25">
        <v>285.51</v>
      </c>
      <c r="P718" s="25">
        <v>114.49</v>
      </c>
      <c r="Q718" s="21">
        <v>28.62</v>
      </c>
      <c r="R718" s="11" t="s">
        <v>73</v>
      </c>
      <c r="S718" s="11" t="s">
        <v>62</v>
      </c>
      <c r="T718" s="11" t="s">
        <v>86</v>
      </c>
      <c r="U718" s="11" t="s">
        <v>108</v>
      </c>
      <c r="V718" s="11">
        <v>2025</v>
      </c>
      <c r="W718" s="11" t="s">
        <v>126</v>
      </c>
      <c r="X718" s="11">
        <v>7</v>
      </c>
      <c r="Y718" s="10" t="s">
        <v>1923</v>
      </c>
      <c r="Z718" s="11" t="s">
        <v>110</v>
      </c>
      <c r="AA718" s="11" t="s">
        <v>90</v>
      </c>
      <c r="AB718" s="11" t="s">
        <v>78</v>
      </c>
      <c r="AC718" s="11" t="s">
        <v>50</v>
      </c>
      <c r="AD718" s="11">
        <v>4</v>
      </c>
      <c r="AE718" s="11" t="s">
        <v>2233</v>
      </c>
      <c r="AF718" s="11" t="s">
        <v>2214</v>
      </c>
      <c r="AG718" s="25"/>
      <c r="AH718" s="11"/>
      <c r="AI718" s="11"/>
      <c r="AJ718" s="11"/>
      <c r="AK718" s="11"/>
      <c r="AL718" s="11"/>
      <c r="AM718" s="11" t="str">
        <f t="shared" si="59"/>
        <v>Needs Improvement</v>
      </c>
      <c r="AN718" s="11" t="str" cm="1">
        <f t="array" ref="AN718">_xlfn.IFS(N718&lt;10000,"Low",N718&lt;30000,"Medium",N718&gt;=30000,"High")</f>
        <v>Low</v>
      </c>
      <c r="AO718" s="11" t="str">
        <f t="shared" si="60"/>
        <v>No</v>
      </c>
      <c r="AP718" s="11" t="str">
        <f t="shared" si="61"/>
        <v>No</v>
      </c>
      <c r="AQ718" s="11">
        <f t="shared" si="62"/>
        <v>0.28622500000000001</v>
      </c>
      <c r="AR718" s="33"/>
      <c r="AS718" s="33"/>
      <c r="AT718" s="33"/>
      <c r="AU718" s="33"/>
      <c r="AV718" s="33"/>
      <c r="AW718" s="33"/>
      <c r="AX718" s="33" t="str">
        <f t="shared" si="63"/>
        <v>Low</v>
      </c>
    </row>
    <row r="719" spans="1:50">
      <c r="A719" s="9" t="s">
        <v>1949</v>
      </c>
      <c r="B719" s="10" t="s">
        <v>750</v>
      </c>
      <c r="C719" s="11" t="s">
        <v>1285</v>
      </c>
      <c r="D719" s="11" t="s">
        <v>515</v>
      </c>
      <c r="E719" s="11" t="s">
        <v>55</v>
      </c>
      <c r="F719" s="11" t="s">
        <v>156</v>
      </c>
      <c r="G719" s="11" t="s">
        <v>157</v>
      </c>
      <c r="H719" s="11" t="s">
        <v>171</v>
      </c>
      <c r="I719" s="11" t="s">
        <v>71</v>
      </c>
      <c r="J719" s="11" t="s">
        <v>72</v>
      </c>
      <c r="K719" s="25">
        <v>5</v>
      </c>
      <c r="L719" s="25">
        <v>3500</v>
      </c>
      <c r="M719" s="29">
        <v>0.1</v>
      </c>
      <c r="N719" s="25">
        <v>15750</v>
      </c>
      <c r="O719" s="25">
        <v>12199.74</v>
      </c>
      <c r="P719" s="25">
        <v>3550.26</v>
      </c>
      <c r="Q719" s="21">
        <v>22.54</v>
      </c>
      <c r="R719" s="11" t="s">
        <v>73</v>
      </c>
      <c r="S719" s="11" t="s">
        <v>42</v>
      </c>
      <c r="T719" s="11" t="s">
        <v>107</v>
      </c>
      <c r="U719" s="11" t="s">
        <v>108</v>
      </c>
      <c r="V719" s="11">
        <v>2025</v>
      </c>
      <c r="W719" s="11" t="s">
        <v>126</v>
      </c>
      <c r="X719" s="11">
        <v>9</v>
      </c>
      <c r="Y719" s="10">
        <v>45667</v>
      </c>
      <c r="Z719" s="11" t="s">
        <v>47</v>
      </c>
      <c r="AA719" s="11" t="s">
        <v>90</v>
      </c>
      <c r="AB719" s="11" t="s">
        <v>78</v>
      </c>
      <c r="AC719" s="11" t="s">
        <v>121</v>
      </c>
      <c r="AD719" s="11">
        <v>3</v>
      </c>
      <c r="AE719" s="11" t="s">
        <v>2233</v>
      </c>
      <c r="AF719" s="11" t="s">
        <v>2224</v>
      </c>
      <c r="AG719" s="25"/>
      <c r="AH719" s="11"/>
      <c r="AI719" s="11"/>
      <c r="AJ719" s="11"/>
      <c r="AK719" s="11"/>
      <c r="AL719" s="11"/>
      <c r="AM719" s="11" t="str">
        <f t="shared" si="59"/>
        <v>Needs Improvement</v>
      </c>
      <c r="AN719" s="11" t="str" cm="1">
        <f t="array" ref="AN719">_xlfn.IFS(N719&lt;10000,"Low",N719&lt;30000,"Medium",N719&gt;=30000,"High")</f>
        <v>Medium</v>
      </c>
      <c r="AO719" s="11" t="str">
        <f t="shared" si="60"/>
        <v>No</v>
      </c>
      <c r="AP719" s="11" t="str">
        <f t="shared" si="61"/>
        <v>Yes</v>
      </c>
      <c r="AQ719" s="11">
        <f t="shared" si="62"/>
        <v>0.22541333333333335</v>
      </c>
      <c r="AR719" s="33"/>
      <c r="AS719" s="33"/>
      <c r="AT719" s="33"/>
      <c r="AU719" s="33"/>
      <c r="AV719" s="33"/>
      <c r="AW719" s="33"/>
      <c r="AX719" s="33" t="str">
        <f t="shared" si="63"/>
        <v>Low</v>
      </c>
    </row>
    <row r="720" spans="1:50">
      <c r="A720" s="9" t="s">
        <v>1741</v>
      </c>
      <c r="B720" s="10" t="s">
        <v>1040</v>
      </c>
      <c r="C720" s="11" t="s">
        <v>565</v>
      </c>
      <c r="D720" s="11" t="s">
        <v>802</v>
      </c>
      <c r="E720" s="11" t="s">
        <v>35</v>
      </c>
      <c r="F720" s="11" t="s">
        <v>56</v>
      </c>
      <c r="G720" s="11" t="s">
        <v>57</v>
      </c>
      <c r="H720" s="11" t="s">
        <v>94</v>
      </c>
      <c r="I720" s="11" t="s">
        <v>84</v>
      </c>
      <c r="J720" s="11" t="s">
        <v>290</v>
      </c>
      <c r="K720" s="25">
        <v>3</v>
      </c>
      <c r="L720" s="25">
        <v>200</v>
      </c>
      <c r="M720" s="29">
        <v>0.15</v>
      </c>
      <c r="N720" s="25">
        <v>510</v>
      </c>
      <c r="O720" s="25">
        <v>394.77</v>
      </c>
      <c r="P720" s="25">
        <v>115.23</v>
      </c>
      <c r="Q720" s="21">
        <v>22.59</v>
      </c>
      <c r="R720" s="11" t="s">
        <v>41</v>
      </c>
      <c r="S720" s="11" t="s">
        <v>42</v>
      </c>
      <c r="T720" s="11" t="s">
        <v>75</v>
      </c>
      <c r="U720" s="11" t="s">
        <v>87</v>
      </c>
      <c r="V720" s="11">
        <v>2024</v>
      </c>
      <c r="W720" s="11" t="s">
        <v>109</v>
      </c>
      <c r="X720" s="11">
        <v>1</v>
      </c>
      <c r="Y720" s="10" t="s">
        <v>497</v>
      </c>
      <c r="Z720" s="11" t="s">
        <v>89</v>
      </c>
      <c r="AA720" s="11" t="s">
        <v>67</v>
      </c>
      <c r="AB720" s="11" t="s">
        <v>78</v>
      </c>
      <c r="AC720" s="11" t="s">
        <v>121</v>
      </c>
      <c r="AD720" s="11">
        <v>1</v>
      </c>
      <c r="AE720" s="11" t="s">
        <v>2248</v>
      </c>
      <c r="AF720" s="11" t="s">
        <v>2235</v>
      </c>
      <c r="AG720" s="25"/>
      <c r="AH720" s="11"/>
      <c r="AI720" s="11"/>
      <c r="AJ720" s="11"/>
      <c r="AK720" s="11"/>
      <c r="AL720" s="11"/>
      <c r="AM720" s="11" t="str">
        <f t="shared" si="59"/>
        <v>Needs Improvement</v>
      </c>
      <c r="AN720" s="11" t="str" cm="1">
        <f t="array" ref="AN720">_xlfn.IFS(N720&lt;10000,"Low",N720&lt;30000,"Medium",N720&gt;=30000,"High")</f>
        <v>Low</v>
      </c>
      <c r="AO720" s="11" t="str">
        <f t="shared" si="60"/>
        <v>No</v>
      </c>
      <c r="AP720" s="11" t="str">
        <f t="shared" si="61"/>
        <v>Yes</v>
      </c>
      <c r="AQ720" s="11">
        <f t="shared" si="62"/>
        <v>0.22594117647058826</v>
      </c>
      <c r="AR720" s="33"/>
      <c r="AS720" s="33"/>
      <c r="AT720" s="33"/>
      <c r="AU720" s="33"/>
      <c r="AV720" s="33"/>
      <c r="AW720" s="33"/>
      <c r="AX720" s="33" t="str">
        <f t="shared" si="63"/>
        <v>Low</v>
      </c>
    </row>
    <row r="721" spans="1:50">
      <c r="A721" s="9" t="s">
        <v>1003</v>
      </c>
      <c r="B721" s="10" t="s">
        <v>1004</v>
      </c>
      <c r="C721" s="11" t="s">
        <v>1005</v>
      </c>
      <c r="D721" s="11" t="s">
        <v>197</v>
      </c>
      <c r="E721" s="11" t="s">
        <v>103</v>
      </c>
      <c r="F721" s="11" t="s">
        <v>36</v>
      </c>
      <c r="G721" s="11" t="s">
        <v>37</v>
      </c>
      <c r="H721" s="11" t="s">
        <v>38</v>
      </c>
      <c r="I721" s="11" t="s">
        <v>95</v>
      </c>
      <c r="J721" s="11" t="s">
        <v>440</v>
      </c>
      <c r="K721" s="25">
        <v>4</v>
      </c>
      <c r="L721" s="25">
        <v>6000</v>
      </c>
      <c r="M721" s="29">
        <v>0.2</v>
      </c>
      <c r="N721" s="25">
        <v>19200</v>
      </c>
      <c r="O721" s="25">
        <v>14360.85</v>
      </c>
      <c r="P721" s="25">
        <v>4839.1499999999996</v>
      </c>
      <c r="Q721" s="21">
        <v>25.2</v>
      </c>
      <c r="R721" s="11" t="s">
        <v>61</v>
      </c>
      <c r="S721" s="11" t="s">
        <v>74</v>
      </c>
      <c r="T721" s="11" t="s">
        <v>138</v>
      </c>
      <c r="U721" s="11" t="s">
        <v>87</v>
      </c>
      <c r="V721" s="11">
        <v>2025</v>
      </c>
      <c r="W721" s="11" t="s">
        <v>134</v>
      </c>
      <c r="X721" s="11">
        <v>6</v>
      </c>
      <c r="Y721" s="10" t="s">
        <v>1006</v>
      </c>
      <c r="Z721" s="11" t="s">
        <v>110</v>
      </c>
      <c r="AA721" s="11" t="s">
        <v>48</v>
      </c>
      <c r="AB721" s="11" t="s">
        <v>78</v>
      </c>
      <c r="AC721" s="11" t="s">
        <v>50</v>
      </c>
      <c r="AD721" s="11">
        <v>5</v>
      </c>
      <c r="AE721" s="11" t="s">
        <v>118</v>
      </c>
      <c r="AF721" s="11" t="s">
        <v>2236</v>
      </c>
      <c r="AG721" s="25"/>
      <c r="AH721" s="11"/>
      <c r="AI721" s="11"/>
      <c r="AJ721" s="11"/>
      <c r="AK721" s="11"/>
      <c r="AL721" s="11"/>
      <c r="AM721" s="11" t="str">
        <f t="shared" si="59"/>
        <v>Needs Improvement</v>
      </c>
      <c r="AN721" s="11" t="str" cm="1">
        <f t="array" ref="AN721">_xlfn.IFS(N721&lt;10000,"Low",N721&lt;30000,"Medium",N721&gt;=30000,"High")</f>
        <v>Medium</v>
      </c>
      <c r="AO721" s="11" t="str">
        <f t="shared" si="60"/>
        <v>No</v>
      </c>
      <c r="AP721" s="11" t="str">
        <f t="shared" si="61"/>
        <v>Yes</v>
      </c>
      <c r="AQ721" s="11">
        <f t="shared" si="62"/>
        <v>0.25203906249999997</v>
      </c>
      <c r="AR721" s="33"/>
      <c r="AS721" s="33"/>
      <c r="AT721" s="33"/>
      <c r="AU721" s="33"/>
      <c r="AV721" s="33"/>
      <c r="AW721" s="33"/>
      <c r="AX721" s="33" t="str">
        <f t="shared" si="63"/>
        <v>Low</v>
      </c>
    </row>
    <row r="722" spans="1:50">
      <c r="A722" s="9" t="s">
        <v>349</v>
      </c>
      <c r="B722" s="10" t="s">
        <v>259</v>
      </c>
      <c r="C722" s="11" t="s">
        <v>350</v>
      </c>
      <c r="D722" s="11" t="s">
        <v>351</v>
      </c>
      <c r="E722" s="11" t="s">
        <v>103</v>
      </c>
      <c r="F722" s="11" t="s">
        <v>82</v>
      </c>
      <c r="G722" s="11" t="s">
        <v>83</v>
      </c>
      <c r="H722" s="11" t="s">
        <v>38</v>
      </c>
      <c r="I722" s="11" t="s">
        <v>84</v>
      </c>
      <c r="J722" s="11" t="s">
        <v>217</v>
      </c>
      <c r="K722" s="25">
        <v>7</v>
      </c>
      <c r="L722" s="25">
        <v>350</v>
      </c>
      <c r="M722" s="29">
        <v>0</v>
      </c>
      <c r="N722" s="25">
        <v>2450</v>
      </c>
      <c r="O722" s="25">
        <v>1364.05</v>
      </c>
      <c r="P722" s="25">
        <v>1085.95</v>
      </c>
      <c r="Q722" s="21">
        <v>44.32</v>
      </c>
      <c r="R722" s="11" t="s">
        <v>106</v>
      </c>
      <c r="S722" s="11" t="s">
        <v>42</v>
      </c>
      <c r="T722" s="11" t="s">
        <v>138</v>
      </c>
      <c r="U722" s="11" t="s">
        <v>198</v>
      </c>
      <c r="V722" s="11">
        <v>2025</v>
      </c>
      <c r="W722" s="11" t="s">
        <v>65</v>
      </c>
      <c r="X722" s="11">
        <v>4</v>
      </c>
      <c r="Y722" s="10" t="s">
        <v>352</v>
      </c>
      <c r="Z722" s="11" t="s">
        <v>110</v>
      </c>
      <c r="AA722" s="11" t="s">
        <v>48</v>
      </c>
      <c r="AB722" s="11" t="s">
        <v>78</v>
      </c>
      <c r="AC722" s="11" t="s">
        <v>50</v>
      </c>
      <c r="AD722" s="11">
        <v>1</v>
      </c>
      <c r="AE722" s="11" t="s">
        <v>2216</v>
      </c>
      <c r="AF722" s="11" t="s">
        <v>2230</v>
      </c>
      <c r="AG722" s="25"/>
      <c r="AH722" s="11"/>
      <c r="AI722" s="11"/>
      <c r="AJ722" s="11"/>
      <c r="AK722" s="11"/>
      <c r="AL722" s="11"/>
      <c r="AM722" s="11" t="str">
        <f t="shared" si="59"/>
        <v>Good</v>
      </c>
      <c r="AN722" s="11" t="str" cm="1">
        <f t="array" ref="AN722">_xlfn.IFS(N722&lt;10000,"Low",N722&lt;30000,"Medium",N722&gt;=30000,"High")</f>
        <v>Low</v>
      </c>
      <c r="AO722" s="11" t="str">
        <f t="shared" si="60"/>
        <v>No</v>
      </c>
      <c r="AP722" s="11" t="str">
        <f t="shared" si="61"/>
        <v>Yes</v>
      </c>
      <c r="AQ722" s="11">
        <f t="shared" si="62"/>
        <v>0.4432448979591837</v>
      </c>
      <c r="AR722" s="33"/>
      <c r="AS722" s="33"/>
      <c r="AT722" s="33"/>
      <c r="AU722" s="33"/>
      <c r="AV722" s="33"/>
      <c r="AW722" s="33"/>
      <c r="AX722" s="33" t="str">
        <f t="shared" si="63"/>
        <v>Low</v>
      </c>
    </row>
    <row r="723" spans="1:50">
      <c r="A723" s="9" t="s">
        <v>531</v>
      </c>
      <c r="B723" s="10" t="s">
        <v>247</v>
      </c>
      <c r="C723" s="11" t="s">
        <v>408</v>
      </c>
      <c r="D723" s="11" t="s">
        <v>532</v>
      </c>
      <c r="E723" s="11" t="s">
        <v>103</v>
      </c>
      <c r="F723" s="11" t="s">
        <v>116</v>
      </c>
      <c r="G723" s="11" t="s">
        <v>37</v>
      </c>
      <c r="H723" s="11" t="s">
        <v>171</v>
      </c>
      <c r="I723" s="11" t="s">
        <v>59</v>
      </c>
      <c r="J723" s="11" t="s">
        <v>60</v>
      </c>
      <c r="K723" s="25">
        <v>4</v>
      </c>
      <c r="L723" s="25">
        <v>1200</v>
      </c>
      <c r="M723" s="29">
        <v>0.1</v>
      </c>
      <c r="N723" s="25">
        <v>4320</v>
      </c>
      <c r="O723" s="25">
        <v>2745.8</v>
      </c>
      <c r="P723" s="25">
        <v>1574.2</v>
      </c>
      <c r="Q723" s="21">
        <v>36.44</v>
      </c>
      <c r="R723" s="11" t="s">
        <v>61</v>
      </c>
      <c r="S723" s="11" t="s">
        <v>74</v>
      </c>
      <c r="T723" s="11" t="s">
        <v>63</v>
      </c>
      <c r="U723" s="11" t="s">
        <v>64</v>
      </c>
      <c r="V723" s="11">
        <v>2025</v>
      </c>
      <c r="W723" s="11" t="s">
        <v>126</v>
      </c>
      <c r="X723" s="11">
        <v>4</v>
      </c>
      <c r="Y723" s="10" t="s">
        <v>140</v>
      </c>
      <c r="Z723" s="11" t="s">
        <v>110</v>
      </c>
      <c r="AA723" s="11" t="s">
        <v>48</v>
      </c>
      <c r="AB723" s="11" t="s">
        <v>111</v>
      </c>
      <c r="AC723" s="11" t="s">
        <v>50</v>
      </c>
      <c r="AD723" s="11">
        <v>4</v>
      </c>
      <c r="AE723" s="11" t="s">
        <v>2240</v>
      </c>
      <c r="AF723" s="11" t="s">
        <v>2230</v>
      </c>
      <c r="AG723" s="25"/>
      <c r="AH723" s="11"/>
      <c r="AI723" s="11"/>
      <c r="AJ723" s="11"/>
      <c r="AK723" s="11"/>
      <c r="AL723" s="11"/>
      <c r="AM723" s="11" t="str">
        <f t="shared" si="59"/>
        <v>Good</v>
      </c>
      <c r="AN723" s="11" t="str" cm="1">
        <f t="array" ref="AN723">_xlfn.IFS(N723&lt;10000,"Low",N723&lt;30000,"Medium",N723&gt;=30000,"High")</f>
        <v>Low</v>
      </c>
      <c r="AO723" s="11" t="str">
        <f t="shared" si="60"/>
        <v>No</v>
      </c>
      <c r="AP723" s="11" t="str">
        <f t="shared" si="61"/>
        <v>Yes</v>
      </c>
      <c r="AQ723" s="11">
        <f t="shared" si="62"/>
        <v>0.36439814814814814</v>
      </c>
      <c r="AR723" s="33"/>
      <c r="AS723" s="33"/>
      <c r="AT723" s="33"/>
      <c r="AU723" s="33"/>
      <c r="AV723" s="33"/>
      <c r="AW723" s="33"/>
      <c r="AX723" s="33" t="str">
        <f t="shared" si="63"/>
        <v>Low</v>
      </c>
    </row>
    <row r="724" spans="1:50">
      <c r="A724" s="9" t="s">
        <v>1298</v>
      </c>
      <c r="B724" s="10" t="s">
        <v>247</v>
      </c>
      <c r="C724" s="11" t="s">
        <v>354</v>
      </c>
      <c r="D724" s="11" t="s">
        <v>634</v>
      </c>
      <c r="E724" s="11" t="s">
        <v>55</v>
      </c>
      <c r="F724" s="11" t="s">
        <v>245</v>
      </c>
      <c r="G724" s="11" t="s">
        <v>246</v>
      </c>
      <c r="H724" s="11" t="s">
        <v>171</v>
      </c>
      <c r="I724" s="11" t="s">
        <v>95</v>
      </c>
      <c r="J724" s="11" t="s">
        <v>440</v>
      </c>
      <c r="K724" s="25">
        <v>1</v>
      </c>
      <c r="L724" s="25">
        <v>2500</v>
      </c>
      <c r="M724" s="29">
        <v>0.15</v>
      </c>
      <c r="N724" s="25">
        <v>2125</v>
      </c>
      <c r="O724" s="25">
        <v>1505.66</v>
      </c>
      <c r="P724" s="25">
        <v>619.34</v>
      </c>
      <c r="Q724" s="21">
        <v>29.15</v>
      </c>
      <c r="R724" s="11" t="s">
        <v>73</v>
      </c>
      <c r="S724" s="11" t="s">
        <v>74</v>
      </c>
      <c r="T724" s="11" t="s">
        <v>118</v>
      </c>
      <c r="U724" s="11" t="s">
        <v>64</v>
      </c>
      <c r="V724" s="11">
        <v>2025</v>
      </c>
      <c r="W724" s="11" t="s">
        <v>126</v>
      </c>
      <c r="X724" s="11">
        <v>5</v>
      </c>
      <c r="Y724" s="10" t="s">
        <v>1299</v>
      </c>
      <c r="Z724" s="11" t="s">
        <v>47</v>
      </c>
      <c r="AA724" s="11" t="s">
        <v>90</v>
      </c>
      <c r="AB724" s="11" t="s">
        <v>111</v>
      </c>
      <c r="AC724" s="11" t="s">
        <v>50</v>
      </c>
      <c r="AD724" s="11">
        <v>1</v>
      </c>
      <c r="AE724" s="11" t="s">
        <v>2239</v>
      </c>
      <c r="AF724" s="11" t="s">
        <v>2249</v>
      </c>
      <c r="AG724" s="25"/>
      <c r="AH724" s="11"/>
      <c r="AI724" s="11"/>
      <c r="AJ724" s="11"/>
      <c r="AK724" s="11"/>
      <c r="AL724" s="11"/>
      <c r="AM724" s="11" t="str">
        <f t="shared" si="59"/>
        <v>Needs Improvement</v>
      </c>
      <c r="AN724" s="11" t="str" cm="1">
        <f t="array" ref="AN724">_xlfn.IFS(N724&lt;10000,"Low",N724&lt;30000,"Medium",N724&gt;=30000,"High")</f>
        <v>Low</v>
      </c>
      <c r="AO724" s="11" t="str">
        <f t="shared" si="60"/>
        <v>No</v>
      </c>
      <c r="AP724" s="11" t="str">
        <f t="shared" si="61"/>
        <v>Yes</v>
      </c>
      <c r="AQ724" s="11">
        <f t="shared" si="62"/>
        <v>0.29145411764705886</v>
      </c>
      <c r="AR724" s="33"/>
      <c r="AS724" s="33"/>
      <c r="AT724" s="33"/>
      <c r="AU724" s="33"/>
      <c r="AV724" s="33"/>
      <c r="AW724" s="33"/>
      <c r="AX724" s="33" t="str">
        <f t="shared" si="63"/>
        <v>Low</v>
      </c>
    </row>
    <row r="725" spans="1:50">
      <c r="A725" s="9" t="s">
        <v>1675</v>
      </c>
      <c r="B725" s="10" t="s">
        <v>247</v>
      </c>
      <c r="C725" s="11" t="s">
        <v>596</v>
      </c>
      <c r="D725" s="11" t="s">
        <v>1146</v>
      </c>
      <c r="E725" s="11" t="s">
        <v>103</v>
      </c>
      <c r="F725" s="11" t="s">
        <v>245</v>
      </c>
      <c r="G725" s="11" t="s">
        <v>246</v>
      </c>
      <c r="H725" s="11" t="s">
        <v>38</v>
      </c>
      <c r="I725" s="11" t="s">
        <v>71</v>
      </c>
      <c r="J725" s="11" t="s">
        <v>240</v>
      </c>
      <c r="K725" s="25">
        <v>2</v>
      </c>
      <c r="L725" s="25">
        <v>1800</v>
      </c>
      <c r="M725" s="29">
        <v>0.15</v>
      </c>
      <c r="N725" s="25">
        <v>3060</v>
      </c>
      <c r="O725" s="25">
        <v>2377.11</v>
      </c>
      <c r="P725" s="25">
        <v>682.89</v>
      </c>
      <c r="Q725" s="21">
        <v>22.32</v>
      </c>
      <c r="R725" s="11" t="s">
        <v>106</v>
      </c>
      <c r="S725" s="11" t="s">
        <v>62</v>
      </c>
      <c r="T725" s="11" t="s">
        <v>159</v>
      </c>
      <c r="U725" s="11" t="s">
        <v>64</v>
      </c>
      <c r="V725" s="11">
        <v>2025</v>
      </c>
      <c r="W725" s="11" t="s">
        <v>126</v>
      </c>
      <c r="X725" s="11">
        <v>3</v>
      </c>
      <c r="Y725" s="10" t="s">
        <v>136</v>
      </c>
      <c r="Z725" s="11" t="s">
        <v>110</v>
      </c>
      <c r="AA725" s="11" t="s">
        <v>48</v>
      </c>
      <c r="AB725" s="11" t="s">
        <v>49</v>
      </c>
      <c r="AC725" s="11" t="s">
        <v>50</v>
      </c>
      <c r="AD725" s="11">
        <v>1</v>
      </c>
      <c r="AE725" s="11" t="s">
        <v>2234</v>
      </c>
      <c r="AF725" s="11" t="s">
        <v>2223</v>
      </c>
      <c r="AG725" s="25"/>
      <c r="AH725" s="11"/>
      <c r="AI725" s="11"/>
      <c r="AJ725" s="11"/>
      <c r="AK725" s="11"/>
      <c r="AL725" s="11"/>
      <c r="AM725" s="11" t="str">
        <f t="shared" si="59"/>
        <v>Needs Improvement</v>
      </c>
      <c r="AN725" s="11" t="str" cm="1">
        <f t="array" ref="AN725">_xlfn.IFS(N725&lt;10000,"Low",N725&lt;30000,"Medium",N725&gt;=30000,"High")</f>
        <v>Low</v>
      </c>
      <c r="AO725" s="11" t="str">
        <f t="shared" si="60"/>
        <v>No</v>
      </c>
      <c r="AP725" s="11" t="str">
        <f t="shared" si="61"/>
        <v>No</v>
      </c>
      <c r="AQ725" s="11">
        <f t="shared" si="62"/>
        <v>0.22316666666666665</v>
      </c>
      <c r="AR725" s="33"/>
      <c r="AS725" s="33"/>
      <c r="AT725" s="33"/>
      <c r="AU725" s="33"/>
      <c r="AV725" s="33"/>
      <c r="AW725" s="33"/>
      <c r="AX725" s="33" t="str">
        <f t="shared" si="63"/>
        <v>Low</v>
      </c>
    </row>
    <row r="726" spans="1:50">
      <c r="A726" s="9" t="s">
        <v>336</v>
      </c>
      <c r="B726" s="10" t="s">
        <v>337</v>
      </c>
      <c r="C726" s="11" t="s">
        <v>338</v>
      </c>
      <c r="D726" s="11" t="s">
        <v>339</v>
      </c>
      <c r="E726" s="11" t="s">
        <v>55</v>
      </c>
      <c r="F726" s="11" t="s">
        <v>156</v>
      </c>
      <c r="G726" s="11" t="s">
        <v>157</v>
      </c>
      <c r="H726" s="11" t="s">
        <v>171</v>
      </c>
      <c r="I726" s="11" t="s">
        <v>59</v>
      </c>
      <c r="J726" s="11" t="s">
        <v>60</v>
      </c>
      <c r="K726" s="25">
        <v>10</v>
      </c>
      <c r="L726" s="25">
        <v>1200</v>
      </c>
      <c r="M726" s="29">
        <v>0.1</v>
      </c>
      <c r="N726" s="25">
        <v>10800</v>
      </c>
      <c r="O726" s="25">
        <v>5963.61</v>
      </c>
      <c r="P726" s="25">
        <v>4836.3900000000003</v>
      </c>
      <c r="Q726" s="21">
        <v>44.78</v>
      </c>
      <c r="R726" s="11" t="s">
        <v>73</v>
      </c>
      <c r="S726" s="11" t="s">
        <v>42</v>
      </c>
      <c r="T726" s="11" t="s">
        <v>97</v>
      </c>
      <c r="U726" s="11" t="s">
        <v>76</v>
      </c>
      <c r="V726" s="11">
        <v>2024</v>
      </c>
      <c r="W726" s="11" t="s">
        <v>109</v>
      </c>
      <c r="X726" s="11">
        <v>7</v>
      </c>
      <c r="Y726" s="10" t="s">
        <v>340</v>
      </c>
      <c r="Z726" s="11" t="s">
        <v>47</v>
      </c>
      <c r="AA726" s="11" t="s">
        <v>90</v>
      </c>
      <c r="AB726" s="11" t="s">
        <v>111</v>
      </c>
      <c r="AC726" s="11" t="s">
        <v>121</v>
      </c>
      <c r="AD726" s="11">
        <v>5</v>
      </c>
      <c r="AE726" s="11" t="s">
        <v>2234</v>
      </c>
      <c r="AF726" s="11" t="s">
        <v>2214</v>
      </c>
      <c r="AG726" s="25"/>
      <c r="AH726" s="11"/>
      <c r="AI726" s="11"/>
      <c r="AJ726" s="11"/>
      <c r="AK726" s="11"/>
      <c r="AL726" s="11"/>
      <c r="AM726" s="11" t="str">
        <f t="shared" si="59"/>
        <v>Good</v>
      </c>
      <c r="AN726" s="11" t="str" cm="1">
        <f t="array" ref="AN726">_xlfn.IFS(N726&lt;10000,"Low",N726&lt;30000,"Medium",N726&gt;=30000,"High")</f>
        <v>Medium</v>
      </c>
      <c r="AO726" s="11" t="str">
        <f t="shared" si="60"/>
        <v>No</v>
      </c>
      <c r="AP726" s="11" t="str">
        <f t="shared" si="61"/>
        <v>Yes</v>
      </c>
      <c r="AQ726" s="11">
        <f t="shared" si="62"/>
        <v>0.4478138888888889</v>
      </c>
      <c r="AR726" s="33"/>
      <c r="AS726" s="33"/>
      <c r="AT726" s="33"/>
      <c r="AU726" s="33"/>
      <c r="AV726" s="33"/>
      <c r="AW726" s="33"/>
      <c r="AX726" s="33" t="str">
        <f t="shared" si="63"/>
        <v>Low</v>
      </c>
    </row>
    <row r="727" spans="1:50">
      <c r="A727" s="9" t="s">
        <v>1643</v>
      </c>
      <c r="B727" s="10" t="s">
        <v>928</v>
      </c>
      <c r="C727" s="11" t="s">
        <v>1111</v>
      </c>
      <c r="D727" s="11" t="s">
        <v>1449</v>
      </c>
      <c r="E727" s="11" t="s">
        <v>103</v>
      </c>
      <c r="F727" s="11" t="s">
        <v>156</v>
      </c>
      <c r="G727" s="11" t="s">
        <v>157</v>
      </c>
      <c r="H727" s="11" t="s">
        <v>171</v>
      </c>
      <c r="I727" s="11" t="s">
        <v>71</v>
      </c>
      <c r="J727" s="11" t="s">
        <v>158</v>
      </c>
      <c r="K727" s="25">
        <v>1</v>
      </c>
      <c r="L727" s="25">
        <v>1200</v>
      </c>
      <c r="M727" s="29">
        <v>0.05</v>
      </c>
      <c r="N727" s="25">
        <v>1140</v>
      </c>
      <c r="O727" s="25">
        <v>790.9</v>
      </c>
      <c r="P727" s="25">
        <v>349.1</v>
      </c>
      <c r="Q727" s="21">
        <v>30.62</v>
      </c>
      <c r="R727" s="11" t="s">
        <v>106</v>
      </c>
      <c r="S727" s="11" t="s">
        <v>42</v>
      </c>
      <c r="T727" s="11" t="s">
        <v>97</v>
      </c>
      <c r="U727" s="11" t="s">
        <v>76</v>
      </c>
      <c r="V727" s="11">
        <v>2025</v>
      </c>
      <c r="W727" s="11" t="s">
        <v>139</v>
      </c>
      <c r="X727" s="11">
        <v>3</v>
      </c>
      <c r="Y727" s="10" t="s">
        <v>431</v>
      </c>
      <c r="Z727" s="11" t="s">
        <v>110</v>
      </c>
      <c r="AA727" s="11" t="s">
        <v>67</v>
      </c>
      <c r="AB727" s="11" t="s">
        <v>111</v>
      </c>
      <c r="AC727" s="11" t="s">
        <v>121</v>
      </c>
      <c r="AD727" s="11">
        <v>1</v>
      </c>
      <c r="AE727" s="11" t="s">
        <v>2218</v>
      </c>
      <c r="AF727" s="11" t="s">
        <v>2231</v>
      </c>
      <c r="AG727" s="25"/>
      <c r="AH727" s="11"/>
      <c r="AI727" s="11"/>
      <c r="AJ727" s="11"/>
      <c r="AK727" s="11"/>
      <c r="AL727" s="11"/>
      <c r="AM727" s="11" t="str">
        <f t="shared" si="59"/>
        <v>Good</v>
      </c>
      <c r="AN727" s="11" t="str" cm="1">
        <f t="array" ref="AN727">_xlfn.IFS(N727&lt;10000,"Low",N727&lt;30000,"Medium",N727&gt;=30000,"High")</f>
        <v>Low</v>
      </c>
      <c r="AO727" s="11" t="str">
        <f t="shared" si="60"/>
        <v>No</v>
      </c>
      <c r="AP727" s="11" t="str">
        <f t="shared" si="61"/>
        <v>Yes</v>
      </c>
      <c r="AQ727" s="11">
        <f t="shared" si="62"/>
        <v>0.30622807017543863</v>
      </c>
      <c r="AR727" s="33"/>
      <c r="AS727" s="33"/>
      <c r="AT727" s="33"/>
      <c r="AU727" s="33"/>
      <c r="AV727" s="33"/>
      <c r="AW727" s="33"/>
      <c r="AX727" s="33" t="str">
        <f t="shared" si="63"/>
        <v>Low</v>
      </c>
    </row>
    <row r="728" spans="1:50">
      <c r="A728" s="9" t="s">
        <v>1968</v>
      </c>
      <c r="B728" s="10" t="s">
        <v>928</v>
      </c>
      <c r="C728" s="11" t="s">
        <v>142</v>
      </c>
      <c r="D728" s="11" t="s">
        <v>422</v>
      </c>
      <c r="E728" s="11" t="s">
        <v>55</v>
      </c>
      <c r="F728" s="11" t="s">
        <v>36</v>
      </c>
      <c r="G728" s="11" t="s">
        <v>37</v>
      </c>
      <c r="H728" s="11" t="s">
        <v>58</v>
      </c>
      <c r="I728" s="11" t="s">
        <v>39</v>
      </c>
      <c r="J728" s="11" t="s">
        <v>40</v>
      </c>
      <c r="K728" s="25">
        <v>3</v>
      </c>
      <c r="L728" s="25">
        <v>50000</v>
      </c>
      <c r="M728" s="29">
        <v>0.1</v>
      </c>
      <c r="N728" s="25">
        <v>135000</v>
      </c>
      <c r="O728" s="25">
        <v>86640.86</v>
      </c>
      <c r="P728" s="25">
        <v>48359.14</v>
      </c>
      <c r="Q728" s="21">
        <v>35.82</v>
      </c>
      <c r="R728" s="11" t="s">
        <v>166</v>
      </c>
      <c r="S728" s="11" t="s">
        <v>62</v>
      </c>
      <c r="T728" s="11" t="s">
        <v>159</v>
      </c>
      <c r="U728" s="11" t="s">
        <v>76</v>
      </c>
      <c r="V728" s="11">
        <v>2025</v>
      </c>
      <c r="W728" s="11" t="s">
        <v>139</v>
      </c>
      <c r="X728" s="11">
        <v>3</v>
      </c>
      <c r="Y728" s="10" t="s">
        <v>431</v>
      </c>
      <c r="Z728" s="11" t="s">
        <v>47</v>
      </c>
      <c r="AA728" s="11" t="s">
        <v>67</v>
      </c>
      <c r="AB728" s="11" t="s">
        <v>49</v>
      </c>
      <c r="AC728" s="11" t="s">
        <v>121</v>
      </c>
      <c r="AD728" s="11">
        <v>3</v>
      </c>
      <c r="AE728" s="11" t="s">
        <v>2237</v>
      </c>
      <c r="AF728" s="11" t="s">
        <v>2210</v>
      </c>
      <c r="AG728" s="25"/>
      <c r="AH728" s="11"/>
      <c r="AI728" s="11"/>
      <c r="AJ728" s="11"/>
      <c r="AK728" s="11"/>
      <c r="AL728" s="11"/>
      <c r="AM728" s="11" t="str">
        <f t="shared" si="59"/>
        <v>Good</v>
      </c>
      <c r="AN728" s="11" t="str" cm="1">
        <f t="array" ref="AN728">_xlfn.IFS(N728&lt;10000,"Low",N728&lt;30000,"Medium",N728&gt;=30000,"High")</f>
        <v>High</v>
      </c>
      <c r="AO728" s="11" t="str">
        <f t="shared" si="60"/>
        <v>Yes</v>
      </c>
      <c r="AP728" s="11" t="str">
        <f t="shared" si="61"/>
        <v>No</v>
      </c>
      <c r="AQ728" s="11">
        <f t="shared" si="62"/>
        <v>0.35821585185185184</v>
      </c>
      <c r="AR728" s="33"/>
      <c r="AS728" s="33"/>
      <c r="AT728" s="33"/>
      <c r="AU728" s="33"/>
      <c r="AV728" s="33"/>
      <c r="AW728" s="33"/>
      <c r="AX728" s="33" t="str">
        <f t="shared" si="63"/>
        <v>Excellent</v>
      </c>
    </row>
    <row r="729" spans="1:50">
      <c r="A729" s="9" t="s">
        <v>423</v>
      </c>
      <c r="B729" s="10" t="s">
        <v>424</v>
      </c>
      <c r="C729" s="11" t="s">
        <v>425</v>
      </c>
      <c r="D729" s="11" t="s">
        <v>426</v>
      </c>
      <c r="E729" s="11" t="s">
        <v>55</v>
      </c>
      <c r="F729" s="11" t="s">
        <v>82</v>
      </c>
      <c r="G729" s="11" t="s">
        <v>83</v>
      </c>
      <c r="H729" s="11" t="s">
        <v>38</v>
      </c>
      <c r="I729" s="11" t="s">
        <v>84</v>
      </c>
      <c r="J729" s="11" t="s">
        <v>290</v>
      </c>
      <c r="K729" s="25">
        <v>7</v>
      </c>
      <c r="L729" s="25">
        <v>350</v>
      </c>
      <c r="M729" s="29">
        <v>0.2</v>
      </c>
      <c r="N729" s="25">
        <v>1960</v>
      </c>
      <c r="O729" s="25">
        <v>1252.47</v>
      </c>
      <c r="P729" s="25">
        <v>707.53</v>
      </c>
      <c r="Q729" s="21">
        <v>36.1</v>
      </c>
      <c r="R729" s="11" t="s">
        <v>61</v>
      </c>
      <c r="S729" s="11" t="s">
        <v>74</v>
      </c>
      <c r="T729" s="11" t="s">
        <v>63</v>
      </c>
      <c r="U729" s="11" t="s">
        <v>98</v>
      </c>
      <c r="V729" s="11">
        <v>2024</v>
      </c>
      <c r="W729" s="11" t="s">
        <v>194</v>
      </c>
      <c r="X729" s="11">
        <v>6</v>
      </c>
      <c r="Y729" s="10" t="s">
        <v>427</v>
      </c>
      <c r="Z729" s="11" t="s">
        <v>47</v>
      </c>
      <c r="AA729" s="11" t="s">
        <v>48</v>
      </c>
      <c r="AB729" s="11" t="s">
        <v>49</v>
      </c>
      <c r="AC729" s="11" t="s">
        <v>50</v>
      </c>
      <c r="AD729" s="11">
        <v>3</v>
      </c>
      <c r="AE729" s="11" t="s">
        <v>118</v>
      </c>
      <c r="AF729" s="11" t="s">
        <v>2228</v>
      </c>
      <c r="AG729" s="25"/>
      <c r="AH729" s="11"/>
      <c r="AI729" s="11"/>
      <c r="AJ729" s="11"/>
      <c r="AK729" s="11"/>
      <c r="AL729" s="11"/>
      <c r="AM729" s="11" t="str">
        <f t="shared" si="59"/>
        <v>Good</v>
      </c>
      <c r="AN729" s="11" t="str" cm="1">
        <f t="array" ref="AN729">_xlfn.IFS(N729&lt;10000,"Low",N729&lt;30000,"Medium",N729&gt;=30000,"High")</f>
        <v>Low</v>
      </c>
      <c r="AO729" s="11" t="str">
        <f t="shared" si="60"/>
        <v>No</v>
      </c>
      <c r="AP729" s="11" t="str">
        <f t="shared" si="61"/>
        <v>Yes</v>
      </c>
      <c r="AQ729" s="11">
        <f t="shared" si="62"/>
        <v>0.360984693877551</v>
      </c>
      <c r="AR729" s="33"/>
      <c r="AS729" s="33"/>
      <c r="AT729" s="33"/>
      <c r="AU729" s="33"/>
      <c r="AV729" s="33"/>
      <c r="AW729" s="33"/>
      <c r="AX729" s="33" t="str">
        <f t="shared" si="63"/>
        <v>Low</v>
      </c>
    </row>
    <row r="730" spans="1:50">
      <c r="A730" s="9" t="s">
        <v>1349</v>
      </c>
      <c r="B730" s="10" t="s">
        <v>424</v>
      </c>
      <c r="C730" s="11" t="s">
        <v>334</v>
      </c>
      <c r="D730" s="11" t="s">
        <v>310</v>
      </c>
      <c r="E730" s="11" t="s">
        <v>103</v>
      </c>
      <c r="F730" s="11" t="s">
        <v>245</v>
      </c>
      <c r="G730" s="11" t="s">
        <v>246</v>
      </c>
      <c r="H730" s="11" t="s">
        <v>94</v>
      </c>
      <c r="I730" s="11" t="s">
        <v>71</v>
      </c>
      <c r="J730" s="11" t="s">
        <v>240</v>
      </c>
      <c r="K730" s="25">
        <v>5</v>
      </c>
      <c r="L730" s="25">
        <v>2500</v>
      </c>
      <c r="M730" s="29">
        <v>0</v>
      </c>
      <c r="N730" s="25">
        <v>12500</v>
      </c>
      <c r="O730" s="25">
        <v>9413.4500000000007</v>
      </c>
      <c r="P730" s="25">
        <v>3086.55</v>
      </c>
      <c r="Q730" s="21">
        <v>24.69</v>
      </c>
      <c r="R730" s="11" t="s">
        <v>106</v>
      </c>
      <c r="S730" s="11" t="s">
        <v>62</v>
      </c>
      <c r="T730" s="11" t="s">
        <v>43</v>
      </c>
      <c r="U730" s="11" t="s">
        <v>98</v>
      </c>
      <c r="V730" s="11">
        <v>2024</v>
      </c>
      <c r="W730" s="11" t="s">
        <v>194</v>
      </c>
      <c r="X730" s="11">
        <v>4</v>
      </c>
      <c r="Y730" s="10" t="s">
        <v>786</v>
      </c>
      <c r="Z730" s="11" t="s">
        <v>47</v>
      </c>
      <c r="AA730" s="11" t="s">
        <v>67</v>
      </c>
      <c r="AB730" s="11" t="s">
        <v>78</v>
      </c>
      <c r="AC730" s="11" t="s">
        <v>50</v>
      </c>
      <c r="AD730" s="11">
        <v>1</v>
      </c>
      <c r="AE730" s="11" t="s">
        <v>2213</v>
      </c>
      <c r="AF730" s="11" t="s">
        <v>2219</v>
      </c>
      <c r="AG730" s="25"/>
      <c r="AH730" s="11"/>
      <c r="AI730" s="11"/>
      <c r="AJ730" s="11"/>
      <c r="AK730" s="11"/>
      <c r="AL730" s="11"/>
      <c r="AM730" s="11" t="str">
        <f t="shared" si="59"/>
        <v>Needs Improvement</v>
      </c>
      <c r="AN730" s="11" t="str" cm="1">
        <f t="array" ref="AN730">_xlfn.IFS(N730&lt;10000,"Low",N730&lt;30000,"Medium",N730&gt;=30000,"High")</f>
        <v>Medium</v>
      </c>
      <c r="AO730" s="11" t="str">
        <f t="shared" si="60"/>
        <v>No</v>
      </c>
      <c r="AP730" s="11" t="str">
        <f t="shared" si="61"/>
        <v>No</v>
      </c>
      <c r="AQ730" s="11">
        <f t="shared" si="62"/>
        <v>0.246924</v>
      </c>
      <c r="AR730" s="33"/>
      <c r="AS730" s="33"/>
      <c r="AT730" s="33"/>
      <c r="AU730" s="33"/>
      <c r="AV730" s="33"/>
      <c r="AW730" s="33"/>
      <c r="AX730" s="33" t="str">
        <f t="shared" si="63"/>
        <v>Low</v>
      </c>
    </row>
    <row r="731" spans="1:50">
      <c r="A731" s="9" t="s">
        <v>321</v>
      </c>
      <c r="B731" s="10" t="s">
        <v>322</v>
      </c>
      <c r="C731" s="11" t="s">
        <v>154</v>
      </c>
      <c r="D731" s="11" t="s">
        <v>323</v>
      </c>
      <c r="E731" s="11" t="s">
        <v>103</v>
      </c>
      <c r="F731" s="11" t="s">
        <v>56</v>
      </c>
      <c r="G731" s="11" t="s">
        <v>57</v>
      </c>
      <c r="H731" s="11" t="s">
        <v>94</v>
      </c>
      <c r="I731" s="11" t="s">
        <v>39</v>
      </c>
      <c r="J731" s="11" t="s">
        <v>165</v>
      </c>
      <c r="K731" s="25">
        <v>8</v>
      </c>
      <c r="L731" s="25">
        <v>8000</v>
      </c>
      <c r="M731" s="29">
        <v>0.05</v>
      </c>
      <c r="N731" s="25">
        <v>60800</v>
      </c>
      <c r="O731" s="25">
        <v>41147.160000000003</v>
      </c>
      <c r="P731" s="25">
        <v>19652.84</v>
      </c>
      <c r="Q731" s="21">
        <v>32.32</v>
      </c>
      <c r="R731" s="11" t="s">
        <v>106</v>
      </c>
      <c r="S731" s="11" t="s">
        <v>62</v>
      </c>
      <c r="T731" s="11" t="s">
        <v>107</v>
      </c>
      <c r="U731" s="11" t="s">
        <v>98</v>
      </c>
      <c r="V731" s="11">
        <v>2025</v>
      </c>
      <c r="W731" s="11" t="s">
        <v>45</v>
      </c>
      <c r="X731" s="11">
        <v>3</v>
      </c>
      <c r="Y731" s="10" t="s">
        <v>324</v>
      </c>
      <c r="Z731" s="11" t="s">
        <v>47</v>
      </c>
      <c r="AA731" s="11" t="s">
        <v>67</v>
      </c>
      <c r="AB731" s="11" t="s">
        <v>78</v>
      </c>
      <c r="AC731" s="11" t="s">
        <v>50</v>
      </c>
      <c r="AD731" s="11">
        <v>5</v>
      </c>
      <c r="AE731" s="11" t="s">
        <v>2216</v>
      </c>
      <c r="AF731" s="11" t="s">
        <v>2249</v>
      </c>
      <c r="AG731" s="25"/>
      <c r="AH731" s="11"/>
      <c r="AI731" s="11"/>
      <c r="AJ731" s="11"/>
      <c r="AK731" s="11"/>
      <c r="AL731" s="11"/>
      <c r="AM731" s="11" t="str">
        <f t="shared" si="59"/>
        <v>Good</v>
      </c>
      <c r="AN731" s="11" t="str" cm="1">
        <f t="array" ref="AN731">_xlfn.IFS(N731&lt;10000,"Low",N731&lt;30000,"Medium",N731&gt;=30000,"High")</f>
        <v>High</v>
      </c>
      <c r="AO731" s="11" t="str">
        <f t="shared" si="60"/>
        <v>Yes</v>
      </c>
      <c r="AP731" s="11" t="str">
        <f t="shared" si="61"/>
        <v>No</v>
      </c>
      <c r="AQ731" s="11">
        <f t="shared" si="62"/>
        <v>0.32323750000000001</v>
      </c>
      <c r="AR731" s="33"/>
      <c r="AS731" s="33"/>
      <c r="AT731" s="33"/>
      <c r="AU731" s="33"/>
      <c r="AV731" s="33"/>
      <c r="AW731" s="33"/>
      <c r="AX731" s="33" t="str">
        <f t="shared" si="63"/>
        <v>Good</v>
      </c>
    </row>
    <row r="732" spans="1:50">
      <c r="A732" s="9" t="s">
        <v>1070</v>
      </c>
      <c r="B732" s="10" t="s">
        <v>322</v>
      </c>
      <c r="C732" s="11" t="s">
        <v>980</v>
      </c>
      <c r="D732" s="11" t="s">
        <v>1071</v>
      </c>
      <c r="E732" s="11" t="s">
        <v>103</v>
      </c>
      <c r="F732" s="11" t="s">
        <v>56</v>
      </c>
      <c r="G732" s="11" t="s">
        <v>57</v>
      </c>
      <c r="H732" s="11" t="s">
        <v>171</v>
      </c>
      <c r="I732" s="11" t="s">
        <v>95</v>
      </c>
      <c r="J732" s="11" t="s">
        <v>319</v>
      </c>
      <c r="K732" s="25">
        <v>10</v>
      </c>
      <c r="L732" s="25">
        <v>9000</v>
      </c>
      <c r="M732" s="29">
        <v>0.15</v>
      </c>
      <c r="N732" s="25">
        <v>76500</v>
      </c>
      <c r="O732" s="25">
        <v>54493.13</v>
      </c>
      <c r="P732" s="25">
        <v>22006.87</v>
      </c>
      <c r="Q732" s="21">
        <v>28.77</v>
      </c>
      <c r="R732" s="11" t="s">
        <v>41</v>
      </c>
      <c r="S732" s="11" t="s">
        <v>42</v>
      </c>
      <c r="T732" s="11" t="s">
        <v>107</v>
      </c>
      <c r="U732" s="11" t="s">
        <v>98</v>
      </c>
      <c r="V732" s="11">
        <v>2025</v>
      </c>
      <c r="W732" s="11" t="s">
        <v>45</v>
      </c>
      <c r="X732" s="11">
        <v>8</v>
      </c>
      <c r="Y732" s="10">
        <v>45719</v>
      </c>
      <c r="Z732" s="11" t="s">
        <v>47</v>
      </c>
      <c r="AA732" s="11" t="s">
        <v>90</v>
      </c>
      <c r="AB732" s="11" t="s">
        <v>49</v>
      </c>
      <c r="AC732" s="11" t="s">
        <v>121</v>
      </c>
      <c r="AD732" s="11">
        <v>2</v>
      </c>
      <c r="AE732" s="11" t="s">
        <v>2213</v>
      </c>
      <c r="AF732" s="11" t="s">
        <v>2230</v>
      </c>
      <c r="AG732" s="25"/>
      <c r="AH732" s="11"/>
      <c r="AI732" s="11"/>
      <c r="AJ732" s="11"/>
      <c r="AK732" s="11"/>
      <c r="AL732" s="11"/>
      <c r="AM732" s="11" t="str">
        <f t="shared" si="59"/>
        <v>Needs Improvement</v>
      </c>
      <c r="AN732" s="11" t="str" cm="1">
        <f t="array" ref="AN732">_xlfn.IFS(N732&lt;10000,"Low",N732&lt;30000,"Medium",N732&gt;=30000,"High")</f>
        <v>High</v>
      </c>
      <c r="AO732" s="11" t="str">
        <f t="shared" si="60"/>
        <v>Yes</v>
      </c>
      <c r="AP732" s="11" t="str">
        <f t="shared" si="61"/>
        <v>Yes</v>
      </c>
      <c r="AQ732" s="11">
        <f t="shared" si="62"/>
        <v>0.28767150326797386</v>
      </c>
      <c r="AR732" s="33"/>
      <c r="AS732" s="33"/>
      <c r="AT732" s="33"/>
      <c r="AU732" s="33"/>
      <c r="AV732" s="33"/>
      <c r="AW732" s="33"/>
      <c r="AX732" s="33" t="str">
        <f t="shared" si="63"/>
        <v>Excellent</v>
      </c>
    </row>
    <row r="733" spans="1:50">
      <c r="A733" s="9" t="s">
        <v>1164</v>
      </c>
      <c r="B733" s="10" t="s">
        <v>1165</v>
      </c>
      <c r="C733" s="11" t="s">
        <v>1001</v>
      </c>
      <c r="D733" s="11" t="s">
        <v>1166</v>
      </c>
      <c r="E733" s="11" t="s">
        <v>55</v>
      </c>
      <c r="F733" s="11" t="s">
        <v>36</v>
      </c>
      <c r="G733" s="11" t="s">
        <v>37</v>
      </c>
      <c r="H733" s="11" t="s">
        <v>94</v>
      </c>
      <c r="I733" s="11" t="s">
        <v>59</v>
      </c>
      <c r="J733" s="11" t="s">
        <v>133</v>
      </c>
      <c r="K733" s="25">
        <v>3</v>
      </c>
      <c r="L733" s="25">
        <v>500</v>
      </c>
      <c r="M733" s="29">
        <v>0.15</v>
      </c>
      <c r="N733" s="25">
        <v>1275</v>
      </c>
      <c r="O733" s="25">
        <v>763.01</v>
      </c>
      <c r="P733" s="25">
        <v>511.99</v>
      </c>
      <c r="Q733" s="21">
        <v>40.159999999999997</v>
      </c>
      <c r="R733" s="11" t="s">
        <v>166</v>
      </c>
      <c r="S733" s="11" t="s">
        <v>42</v>
      </c>
      <c r="T733" s="11" t="s">
        <v>118</v>
      </c>
      <c r="U733" s="11" t="s">
        <v>178</v>
      </c>
      <c r="V733" s="11">
        <v>2024</v>
      </c>
      <c r="W733" s="11" t="s">
        <v>65</v>
      </c>
      <c r="X733" s="11">
        <v>1</v>
      </c>
      <c r="Y733" s="10" t="s">
        <v>486</v>
      </c>
      <c r="Z733" s="11" t="s">
        <v>47</v>
      </c>
      <c r="AA733" s="11" t="s">
        <v>90</v>
      </c>
      <c r="AB733" s="11" t="s">
        <v>49</v>
      </c>
      <c r="AC733" s="11" t="s">
        <v>50</v>
      </c>
      <c r="AD733" s="11">
        <v>5</v>
      </c>
      <c r="AE733" s="11" t="s">
        <v>2229</v>
      </c>
      <c r="AF733" s="11" t="s">
        <v>2230</v>
      </c>
      <c r="AG733" s="25"/>
      <c r="AH733" s="11"/>
      <c r="AI733" s="11"/>
      <c r="AJ733" s="11"/>
      <c r="AK733" s="11"/>
      <c r="AL733" s="11"/>
      <c r="AM733" s="11" t="str">
        <f t="shared" si="59"/>
        <v>Good</v>
      </c>
      <c r="AN733" s="11" t="str" cm="1">
        <f t="array" ref="AN733">_xlfn.IFS(N733&lt;10000,"Low",N733&lt;30000,"Medium",N733&gt;=30000,"High")</f>
        <v>Low</v>
      </c>
      <c r="AO733" s="11" t="str">
        <f t="shared" si="60"/>
        <v>No</v>
      </c>
      <c r="AP733" s="11" t="str">
        <f t="shared" si="61"/>
        <v>Yes</v>
      </c>
      <c r="AQ733" s="11">
        <f t="shared" si="62"/>
        <v>0.40156078431372549</v>
      </c>
      <c r="AR733" s="33"/>
      <c r="AS733" s="33"/>
      <c r="AT733" s="33"/>
      <c r="AU733" s="33"/>
      <c r="AV733" s="33"/>
      <c r="AW733" s="33"/>
      <c r="AX733" s="33" t="str">
        <f t="shared" si="63"/>
        <v>Low</v>
      </c>
    </row>
    <row r="734" spans="1:50">
      <c r="A734" s="9" t="s">
        <v>1185</v>
      </c>
      <c r="B734" s="10" t="s">
        <v>1165</v>
      </c>
      <c r="C734" s="11" t="s">
        <v>1186</v>
      </c>
      <c r="D734" s="11" t="s">
        <v>1187</v>
      </c>
      <c r="E734" s="11" t="s">
        <v>55</v>
      </c>
      <c r="F734" s="11" t="s">
        <v>144</v>
      </c>
      <c r="G734" s="11" t="s">
        <v>145</v>
      </c>
      <c r="H734" s="11" t="s">
        <v>58</v>
      </c>
      <c r="I734" s="11" t="s">
        <v>84</v>
      </c>
      <c r="J734" s="11" t="s">
        <v>390</v>
      </c>
      <c r="K734" s="25">
        <v>4</v>
      </c>
      <c r="L734" s="25">
        <v>500</v>
      </c>
      <c r="M734" s="29">
        <v>0</v>
      </c>
      <c r="N734" s="25">
        <v>2000</v>
      </c>
      <c r="O734" s="25">
        <v>1255.72</v>
      </c>
      <c r="P734" s="25">
        <v>744.28</v>
      </c>
      <c r="Q734" s="21">
        <v>37.21</v>
      </c>
      <c r="R734" s="11" t="s">
        <v>73</v>
      </c>
      <c r="S734" s="11" t="s">
        <v>62</v>
      </c>
      <c r="T734" s="11" t="s">
        <v>118</v>
      </c>
      <c r="U734" s="11" t="s">
        <v>178</v>
      </c>
      <c r="V734" s="11">
        <v>2024</v>
      </c>
      <c r="W734" s="11" t="s">
        <v>65</v>
      </c>
      <c r="X734" s="11">
        <v>7</v>
      </c>
      <c r="Y734" s="10" t="s">
        <v>1188</v>
      </c>
      <c r="Z734" s="11" t="s">
        <v>47</v>
      </c>
      <c r="AA734" s="11" t="s">
        <v>90</v>
      </c>
      <c r="AB734" s="11" t="s">
        <v>111</v>
      </c>
      <c r="AC734" s="11" t="s">
        <v>121</v>
      </c>
      <c r="AD734" s="11">
        <v>3</v>
      </c>
      <c r="AE734" s="11" t="s">
        <v>2209</v>
      </c>
      <c r="AF734" s="11" t="s">
        <v>2222</v>
      </c>
      <c r="AG734" s="25"/>
      <c r="AH734" s="11"/>
      <c r="AI734" s="11"/>
      <c r="AJ734" s="11"/>
      <c r="AK734" s="11"/>
      <c r="AL734" s="11"/>
      <c r="AM734" s="11" t="str">
        <f t="shared" si="59"/>
        <v>Good</v>
      </c>
      <c r="AN734" s="11" t="str" cm="1">
        <f t="array" ref="AN734">_xlfn.IFS(N734&lt;10000,"Low",N734&lt;30000,"Medium",N734&gt;=30000,"High")</f>
        <v>Low</v>
      </c>
      <c r="AO734" s="11" t="str">
        <f t="shared" si="60"/>
        <v>No</v>
      </c>
      <c r="AP734" s="11" t="str">
        <f t="shared" si="61"/>
        <v>No</v>
      </c>
      <c r="AQ734" s="11">
        <f t="shared" si="62"/>
        <v>0.37213999999999997</v>
      </c>
      <c r="AR734" s="33"/>
      <c r="AS734" s="33"/>
      <c r="AT734" s="33"/>
      <c r="AU734" s="33"/>
      <c r="AV734" s="33"/>
      <c r="AW734" s="33"/>
      <c r="AX734" s="33" t="str">
        <f t="shared" si="63"/>
        <v>Low</v>
      </c>
    </row>
    <row r="735" spans="1:50">
      <c r="A735" s="9" t="s">
        <v>1742</v>
      </c>
      <c r="B735" s="10" t="s">
        <v>1165</v>
      </c>
      <c r="C735" s="11" t="s">
        <v>989</v>
      </c>
      <c r="D735" s="11" t="s">
        <v>323</v>
      </c>
      <c r="E735" s="11" t="s">
        <v>35</v>
      </c>
      <c r="F735" s="11" t="s">
        <v>144</v>
      </c>
      <c r="G735" s="11" t="s">
        <v>145</v>
      </c>
      <c r="H735" s="11" t="s">
        <v>38</v>
      </c>
      <c r="I735" s="11" t="s">
        <v>95</v>
      </c>
      <c r="J735" s="11" t="s">
        <v>319</v>
      </c>
      <c r="K735" s="25">
        <v>10</v>
      </c>
      <c r="L735" s="25">
        <v>15000</v>
      </c>
      <c r="M735" s="29">
        <v>0.2</v>
      </c>
      <c r="N735" s="25">
        <v>120000</v>
      </c>
      <c r="O735" s="25">
        <v>89721.600000000006</v>
      </c>
      <c r="P735" s="25">
        <v>30278.400000000001</v>
      </c>
      <c r="Q735" s="21">
        <v>25.23</v>
      </c>
      <c r="R735" s="11" t="s">
        <v>41</v>
      </c>
      <c r="S735" s="11" t="s">
        <v>42</v>
      </c>
      <c r="T735" s="11" t="s">
        <v>138</v>
      </c>
      <c r="U735" s="11" t="s">
        <v>178</v>
      </c>
      <c r="V735" s="11">
        <v>2024</v>
      </c>
      <c r="W735" s="11" t="s">
        <v>65</v>
      </c>
      <c r="X735" s="11">
        <v>10</v>
      </c>
      <c r="Y735" s="10">
        <v>45326</v>
      </c>
      <c r="Z735" s="11" t="s">
        <v>89</v>
      </c>
      <c r="AA735" s="11" t="s">
        <v>48</v>
      </c>
      <c r="AB735" s="11" t="s">
        <v>49</v>
      </c>
      <c r="AC735" s="11" t="s">
        <v>50</v>
      </c>
      <c r="AD735" s="11">
        <v>1</v>
      </c>
      <c r="AE735" s="11" t="s">
        <v>2216</v>
      </c>
      <c r="AF735" s="11" t="s">
        <v>2249</v>
      </c>
      <c r="AG735" s="25"/>
      <c r="AH735" s="11"/>
      <c r="AI735" s="11"/>
      <c r="AJ735" s="11"/>
      <c r="AK735" s="11"/>
      <c r="AL735" s="11"/>
      <c r="AM735" s="11" t="str">
        <f t="shared" si="59"/>
        <v>Needs Improvement</v>
      </c>
      <c r="AN735" s="11" t="str" cm="1">
        <f t="array" ref="AN735">_xlfn.IFS(N735&lt;10000,"Low",N735&lt;30000,"Medium",N735&gt;=30000,"High")</f>
        <v>High</v>
      </c>
      <c r="AO735" s="11" t="str">
        <f t="shared" si="60"/>
        <v>Yes</v>
      </c>
      <c r="AP735" s="11" t="str">
        <f t="shared" si="61"/>
        <v>Yes</v>
      </c>
      <c r="AQ735" s="11">
        <f t="shared" si="62"/>
        <v>0.25231999999999999</v>
      </c>
      <c r="AR735" s="33"/>
      <c r="AS735" s="33"/>
      <c r="AT735" s="33"/>
      <c r="AU735" s="33"/>
      <c r="AV735" s="33"/>
      <c r="AW735" s="33"/>
      <c r="AX735" s="33" t="str">
        <f t="shared" si="63"/>
        <v>Excellent</v>
      </c>
    </row>
    <row r="736" spans="1:50">
      <c r="A736" s="9" t="s">
        <v>1996</v>
      </c>
      <c r="B736" s="10" t="s">
        <v>1165</v>
      </c>
      <c r="C736" s="11" t="s">
        <v>769</v>
      </c>
      <c r="D736" s="11" t="s">
        <v>1556</v>
      </c>
      <c r="E736" s="11" t="s">
        <v>35</v>
      </c>
      <c r="F736" s="11" t="s">
        <v>245</v>
      </c>
      <c r="G736" s="11" t="s">
        <v>246</v>
      </c>
      <c r="H736" s="11" t="s">
        <v>58</v>
      </c>
      <c r="I736" s="11" t="s">
        <v>59</v>
      </c>
      <c r="J736" s="11" t="s">
        <v>133</v>
      </c>
      <c r="K736" s="25">
        <v>2</v>
      </c>
      <c r="L736" s="25">
        <v>2000</v>
      </c>
      <c r="M736" s="29">
        <v>0.2</v>
      </c>
      <c r="N736" s="25">
        <v>3200</v>
      </c>
      <c r="O736" s="25">
        <v>1902.24</v>
      </c>
      <c r="P736" s="25">
        <v>1297.76</v>
      </c>
      <c r="Q736" s="21">
        <v>40.549999999999997</v>
      </c>
      <c r="R736" s="11" t="s">
        <v>106</v>
      </c>
      <c r="S736" s="11" t="s">
        <v>42</v>
      </c>
      <c r="T736" s="11" t="s">
        <v>43</v>
      </c>
      <c r="U736" s="11" t="s">
        <v>178</v>
      </c>
      <c r="V736" s="11">
        <v>2024</v>
      </c>
      <c r="W736" s="11" t="s">
        <v>65</v>
      </c>
      <c r="X736" s="11">
        <v>6</v>
      </c>
      <c r="Y736" s="10" t="s">
        <v>956</v>
      </c>
      <c r="Z736" s="11" t="s">
        <v>110</v>
      </c>
      <c r="AA736" s="11" t="s">
        <v>48</v>
      </c>
      <c r="AB736" s="11" t="s">
        <v>49</v>
      </c>
      <c r="AC736" s="11" t="s">
        <v>121</v>
      </c>
      <c r="AD736" s="11">
        <v>3</v>
      </c>
      <c r="AE736" s="11" t="s">
        <v>2216</v>
      </c>
      <c r="AF736" s="11" t="s">
        <v>2231</v>
      </c>
      <c r="AG736" s="25"/>
      <c r="AH736" s="11"/>
      <c r="AI736" s="11"/>
      <c r="AJ736" s="11"/>
      <c r="AK736" s="11"/>
      <c r="AL736" s="11"/>
      <c r="AM736" s="11" t="str">
        <f t="shared" si="59"/>
        <v>Good</v>
      </c>
      <c r="AN736" s="11" t="str" cm="1">
        <f t="array" ref="AN736">_xlfn.IFS(N736&lt;10000,"Low",N736&lt;30000,"Medium",N736&gt;=30000,"High")</f>
        <v>Low</v>
      </c>
      <c r="AO736" s="11" t="str">
        <f t="shared" si="60"/>
        <v>No</v>
      </c>
      <c r="AP736" s="11" t="str">
        <f t="shared" si="61"/>
        <v>Yes</v>
      </c>
      <c r="AQ736" s="11">
        <f t="shared" si="62"/>
        <v>0.40555000000000002</v>
      </c>
      <c r="AR736" s="33"/>
      <c r="AS736" s="33"/>
      <c r="AT736" s="33"/>
      <c r="AU736" s="33"/>
      <c r="AV736" s="33"/>
      <c r="AW736" s="33"/>
      <c r="AX736" s="33" t="str">
        <f t="shared" si="63"/>
        <v>Low</v>
      </c>
    </row>
    <row r="737" spans="1:50">
      <c r="A737" s="9" t="s">
        <v>1772</v>
      </c>
      <c r="B737" s="10" t="s">
        <v>759</v>
      </c>
      <c r="C737" s="11" t="s">
        <v>1770</v>
      </c>
      <c r="D737" s="11" t="s">
        <v>893</v>
      </c>
      <c r="E737" s="11" t="s">
        <v>55</v>
      </c>
      <c r="F737" s="11" t="s">
        <v>131</v>
      </c>
      <c r="G737" s="11" t="s">
        <v>132</v>
      </c>
      <c r="H737" s="11" t="s">
        <v>171</v>
      </c>
      <c r="I737" s="11" t="s">
        <v>39</v>
      </c>
      <c r="J737" s="11" t="s">
        <v>165</v>
      </c>
      <c r="K737" s="25">
        <v>6</v>
      </c>
      <c r="L737" s="25">
        <v>8000</v>
      </c>
      <c r="M737" s="29">
        <v>0.2</v>
      </c>
      <c r="N737" s="25">
        <v>38400</v>
      </c>
      <c r="O737" s="25">
        <v>30172.1</v>
      </c>
      <c r="P737" s="25">
        <v>8227.9</v>
      </c>
      <c r="Q737" s="21">
        <v>21.43</v>
      </c>
      <c r="R737" s="11" t="s">
        <v>106</v>
      </c>
      <c r="S737" s="11" t="s">
        <v>42</v>
      </c>
      <c r="T737" s="11" t="s">
        <v>173</v>
      </c>
      <c r="U737" s="11" t="s">
        <v>178</v>
      </c>
      <c r="V737" s="11">
        <v>2025</v>
      </c>
      <c r="W737" s="11" t="s">
        <v>45</v>
      </c>
      <c r="X737" s="11">
        <v>1</v>
      </c>
      <c r="Y737" s="10" t="s">
        <v>305</v>
      </c>
      <c r="Z737" s="11" t="s">
        <v>89</v>
      </c>
      <c r="AA737" s="11" t="s">
        <v>48</v>
      </c>
      <c r="AB737" s="11" t="s">
        <v>49</v>
      </c>
      <c r="AC737" s="11" t="s">
        <v>121</v>
      </c>
      <c r="AD737" s="11">
        <v>5</v>
      </c>
      <c r="AE737" s="11" t="s">
        <v>2240</v>
      </c>
      <c r="AF737" s="11" t="s">
        <v>2219</v>
      </c>
      <c r="AG737" s="25"/>
      <c r="AH737" s="11"/>
      <c r="AI737" s="11"/>
      <c r="AJ737" s="11"/>
      <c r="AK737" s="11"/>
      <c r="AL737" s="11"/>
      <c r="AM737" s="11" t="str">
        <f t="shared" si="59"/>
        <v>Needs Improvement</v>
      </c>
      <c r="AN737" s="11" t="str" cm="1">
        <f t="array" ref="AN737">_xlfn.IFS(N737&lt;10000,"Low",N737&lt;30000,"Medium",N737&gt;=30000,"High")</f>
        <v>High</v>
      </c>
      <c r="AO737" s="11" t="str">
        <f t="shared" si="60"/>
        <v>No</v>
      </c>
      <c r="AP737" s="11" t="str">
        <f t="shared" si="61"/>
        <v>Yes</v>
      </c>
      <c r="AQ737" s="11">
        <f t="shared" si="62"/>
        <v>0.21426822916666666</v>
      </c>
      <c r="AR737" s="33"/>
      <c r="AS737" s="33"/>
      <c r="AT737" s="33"/>
      <c r="AU737" s="33"/>
      <c r="AV737" s="33"/>
      <c r="AW737" s="33"/>
      <c r="AX737" s="33" t="str">
        <f t="shared" si="63"/>
        <v>Average</v>
      </c>
    </row>
    <row r="738" spans="1:50">
      <c r="A738" s="9" t="s">
        <v>1143</v>
      </c>
      <c r="B738" s="10" t="s">
        <v>46</v>
      </c>
      <c r="C738" s="11" t="s">
        <v>1111</v>
      </c>
      <c r="D738" s="11" t="s">
        <v>418</v>
      </c>
      <c r="E738" s="11" t="s">
        <v>55</v>
      </c>
      <c r="F738" s="11" t="s">
        <v>36</v>
      </c>
      <c r="G738" s="11" t="s">
        <v>37</v>
      </c>
      <c r="H738" s="11" t="s">
        <v>171</v>
      </c>
      <c r="I738" s="11" t="s">
        <v>59</v>
      </c>
      <c r="J738" s="11" t="s">
        <v>206</v>
      </c>
      <c r="K738" s="25">
        <v>7</v>
      </c>
      <c r="L738" s="25">
        <v>3000</v>
      </c>
      <c r="M738" s="29">
        <v>0.05</v>
      </c>
      <c r="N738" s="25">
        <v>19950</v>
      </c>
      <c r="O738" s="25">
        <v>12559.19</v>
      </c>
      <c r="P738" s="25">
        <v>7390.81</v>
      </c>
      <c r="Q738" s="21">
        <v>37.049999999999997</v>
      </c>
      <c r="R738" s="11" t="s">
        <v>166</v>
      </c>
      <c r="S738" s="11" t="s">
        <v>42</v>
      </c>
      <c r="T738" s="11" t="s">
        <v>97</v>
      </c>
      <c r="U738" s="11" t="s">
        <v>44</v>
      </c>
      <c r="V738" s="11">
        <v>2024</v>
      </c>
      <c r="W738" s="11" t="s">
        <v>109</v>
      </c>
      <c r="X738" s="11">
        <v>3</v>
      </c>
      <c r="Y738" s="10" t="s">
        <v>1066</v>
      </c>
      <c r="Z738" s="11" t="s">
        <v>47</v>
      </c>
      <c r="AA738" s="11" t="s">
        <v>67</v>
      </c>
      <c r="AB738" s="11" t="s">
        <v>49</v>
      </c>
      <c r="AC738" s="11" t="s">
        <v>121</v>
      </c>
      <c r="AD738" s="11">
        <v>3</v>
      </c>
      <c r="AE738" s="11" t="s">
        <v>2237</v>
      </c>
      <c r="AF738" s="11" t="s">
        <v>2235</v>
      </c>
      <c r="AG738" s="25"/>
      <c r="AH738" s="11"/>
      <c r="AI738" s="11"/>
      <c r="AJ738" s="11"/>
      <c r="AK738" s="11"/>
      <c r="AL738" s="11"/>
      <c r="AM738" s="11" t="str">
        <f t="shared" si="59"/>
        <v>Good</v>
      </c>
      <c r="AN738" s="11" t="str" cm="1">
        <f t="array" ref="AN738">_xlfn.IFS(N738&lt;10000,"Low",N738&lt;30000,"Medium",N738&gt;=30000,"High")</f>
        <v>Medium</v>
      </c>
      <c r="AO738" s="11" t="str">
        <f t="shared" si="60"/>
        <v>No</v>
      </c>
      <c r="AP738" s="11" t="str">
        <f t="shared" si="61"/>
        <v>Yes</v>
      </c>
      <c r="AQ738" s="11">
        <f t="shared" si="62"/>
        <v>0.37046666666666667</v>
      </c>
      <c r="AR738" s="33"/>
      <c r="AS738" s="33"/>
      <c r="AT738" s="33"/>
      <c r="AU738" s="33"/>
      <c r="AV738" s="33"/>
      <c r="AW738" s="33"/>
      <c r="AX738" s="33" t="str">
        <f t="shared" si="63"/>
        <v>Average</v>
      </c>
    </row>
    <row r="739" spans="1:50">
      <c r="A739" s="9" t="s">
        <v>1977</v>
      </c>
      <c r="B739" s="10" t="s">
        <v>46</v>
      </c>
      <c r="C739" s="11" t="s">
        <v>757</v>
      </c>
      <c r="D739" s="11" t="s">
        <v>327</v>
      </c>
      <c r="E739" s="11" t="s">
        <v>35</v>
      </c>
      <c r="F739" s="11" t="s">
        <v>149</v>
      </c>
      <c r="G739" s="11" t="s">
        <v>150</v>
      </c>
      <c r="H739" s="11" t="s">
        <v>58</v>
      </c>
      <c r="I739" s="11" t="s">
        <v>84</v>
      </c>
      <c r="J739" s="11" t="s">
        <v>390</v>
      </c>
      <c r="K739" s="25">
        <v>10</v>
      </c>
      <c r="L739" s="25">
        <v>100</v>
      </c>
      <c r="M739" s="29">
        <v>0.05</v>
      </c>
      <c r="N739" s="25">
        <v>950</v>
      </c>
      <c r="O739" s="25">
        <v>549.92999999999995</v>
      </c>
      <c r="P739" s="25">
        <v>400.07</v>
      </c>
      <c r="Q739" s="21">
        <v>42.11</v>
      </c>
      <c r="R739" s="11" t="s">
        <v>61</v>
      </c>
      <c r="S739" s="11" t="s">
        <v>62</v>
      </c>
      <c r="T739" s="11" t="s">
        <v>75</v>
      </c>
      <c r="U739" s="11" t="s">
        <v>44</v>
      </c>
      <c r="V739" s="11">
        <v>2024</v>
      </c>
      <c r="W739" s="11" t="s">
        <v>109</v>
      </c>
      <c r="X739" s="11">
        <v>1</v>
      </c>
      <c r="Y739" s="10" t="s">
        <v>1252</v>
      </c>
      <c r="Z739" s="11" t="s">
        <v>110</v>
      </c>
      <c r="AA739" s="11" t="s">
        <v>67</v>
      </c>
      <c r="AB739" s="11" t="s">
        <v>111</v>
      </c>
      <c r="AC739" s="11" t="s">
        <v>50</v>
      </c>
      <c r="AD739" s="11">
        <v>4</v>
      </c>
      <c r="AE739" s="11" t="s">
        <v>2239</v>
      </c>
      <c r="AF739" s="11" t="s">
        <v>2222</v>
      </c>
      <c r="AG739" s="25"/>
      <c r="AH739" s="11"/>
      <c r="AI739" s="11"/>
      <c r="AJ739" s="11"/>
      <c r="AK739" s="11"/>
      <c r="AL739" s="11"/>
      <c r="AM739" s="11" t="str">
        <f t="shared" si="59"/>
        <v>Good</v>
      </c>
      <c r="AN739" s="11" t="str" cm="1">
        <f t="array" ref="AN739">_xlfn.IFS(N739&lt;10000,"Low",N739&lt;30000,"Medium",N739&gt;=30000,"High")</f>
        <v>Low</v>
      </c>
      <c r="AO739" s="11" t="str">
        <f t="shared" si="60"/>
        <v>No</v>
      </c>
      <c r="AP739" s="11" t="str">
        <f t="shared" si="61"/>
        <v>No</v>
      </c>
      <c r="AQ739" s="11">
        <f t="shared" si="62"/>
        <v>0.42112631578947368</v>
      </c>
      <c r="AR739" s="33"/>
      <c r="AS739" s="33"/>
      <c r="AT739" s="33"/>
      <c r="AU739" s="33"/>
      <c r="AV739" s="33"/>
      <c r="AW739" s="33"/>
      <c r="AX739" s="33" t="str">
        <f t="shared" si="63"/>
        <v>Low</v>
      </c>
    </row>
    <row r="740" spans="1:50">
      <c r="A740" s="9" t="s">
        <v>1985</v>
      </c>
      <c r="B740" s="10" t="s">
        <v>1397</v>
      </c>
      <c r="C740" s="11" t="s">
        <v>633</v>
      </c>
      <c r="D740" s="11" t="s">
        <v>643</v>
      </c>
      <c r="E740" s="11" t="s">
        <v>103</v>
      </c>
      <c r="F740" s="11" t="s">
        <v>144</v>
      </c>
      <c r="G740" s="11" t="s">
        <v>145</v>
      </c>
      <c r="H740" s="11" t="s">
        <v>94</v>
      </c>
      <c r="I740" s="11" t="s">
        <v>95</v>
      </c>
      <c r="J740" s="11" t="s">
        <v>319</v>
      </c>
      <c r="K740" s="25">
        <v>7</v>
      </c>
      <c r="L740" s="25">
        <v>2500</v>
      </c>
      <c r="M740" s="29">
        <v>0.05</v>
      </c>
      <c r="N740" s="25">
        <v>16625</v>
      </c>
      <c r="O740" s="25">
        <v>13614.35</v>
      </c>
      <c r="P740" s="25">
        <v>3010.65</v>
      </c>
      <c r="Q740" s="21">
        <v>18.11</v>
      </c>
      <c r="R740" s="11" t="s">
        <v>73</v>
      </c>
      <c r="S740" s="11" t="s">
        <v>74</v>
      </c>
      <c r="T740" s="11" t="s">
        <v>86</v>
      </c>
      <c r="U740" s="11" t="s">
        <v>44</v>
      </c>
      <c r="V740" s="11">
        <v>2025</v>
      </c>
      <c r="W740" s="11" t="s">
        <v>134</v>
      </c>
      <c r="X740" s="11">
        <v>7</v>
      </c>
      <c r="Y740" s="10" t="s">
        <v>518</v>
      </c>
      <c r="Z740" s="11" t="s">
        <v>89</v>
      </c>
      <c r="AA740" s="11" t="s">
        <v>90</v>
      </c>
      <c r="AB740" s="11" t="s">
        <v>78</v>
      </c>
      <c r="AC740" s="11" t="s">
        <v>121</v>
      </c>
      <c r="AD740" s="11">
        <v>1</v>
      </c>
      <c r="AE740" s="11" t="s">
        <v>2209</v>
      </c>
      <c r="AF740" s="11" t="s">
        <v>2235</v>
      </c>
      <c r="AG740" s="25"/>
      <c r="AH740" s="11"/>
      <c r="AI740" s="11"/>
      <c r="AJ740" s="11"/>
      <c r="AK740" s="11"/>
      <c r="AL740" s="11"/>
      <c r="AM740" s="11" t="str">
        <f t="shared" si="59"/>
        <v>Needs Improvement</v>
      </c>
      <c r="AN740" s="11" t="str" cm="1">
        <f t="array" ref="AN740">_xlfn.IFS(N740&lt;10000,"Low",N740&lt;30000,"Medium",N740&gt;=30000,"High")</f>
        <v>Medium</v>
      </c>
      <c r="AO740" s="11" t="str">
        <f t="shared" si="60"/>
        <v>No</v>
      </c>
      <c r="AP740" s="11" t="str">
        <f t="shared" si="61"/>
        <v>Yes</v>
      </c>
      <c r="AQ740" s="11">
        <f t="shared" si="62"/>
        <v>0.18109172932330828</v>
      </c>
      <c r="AR740" s="33"/>
      <c r="AS740" s="33"/>
      <c r="AT740" s="33"/>
      <c r="AU740" s="33"/>
      <c r="AV740" s="33"/>
      <c r="AW740" s="33"/>
      <c r="AX740" s="33" t="str">
        <f t="shared" si="63"/>
        <v>Low</v>
      </c>
    </row>
    <row r="741" spans="1:50">
      <c r="A741" s="9" t="s">
        <v>1750</v>
      </c>
      <c r="B741" s="10" t="s">
        <v>1751</v>
      </c>
      <c r="C741" s="11" t="s">
        <v>1212</v>
      </c>
      <c r="D741" s="11" t="s">
        <v>1038</v>
      </c>
      <c r="E741" s="11" t="s">
        <v>55</v>
      </c>
      <c r="F741" s="11" t="s">
        <v>56</v>
      </c>
      <c r="G741" s="11" t="s">
        <v>57</v>
      </c>
      <c r="H741" s="11" t="s">
        <v>171</v>
      </c>
      <c r="I741" s="11" t="s">
        <v>84</v>
      </c>
      <c r="J741" s="11" t="s">
        <v>217</v>
      </c>
      <c r="K741" s="25">
        <v>5</v>
      </c>
      <c r="L741" s="25">
        <v>800</v>
      </c>
      <c r="M741" s="29">
        <v>0</v>
      </c>
      <c r="N741" s="25">
        <v>4000</v>
      </c>
      <c r="O741" s="25">
        <v>2511.5</v>
      </c>
      <c r="P741" s="25">
        <v>1488.5</v>
      </c>
      <c r="Q741" s="21">
        <v>37.21</v>
      </c>
      <c r="R741" s="11" t="s">
        <v>61</v>
      </c>
      <c r="S741" s="11" t="s">
        <v>42</v>
      </c>
      <c r="T741" s="11" t="s">
        <v>118</v>
      </c>
      <c r="U741" s="11" t="s">
        <v>119</v>
      </c>
      <c r="V741" s="11">
        <v>2024</v>
      </c>
      <c r="W741" s="11" t="s">
        <v>139</v>
      </c>
      <c r="X741" s="11">
        <v>3</v>
      </c>
      <c r="Y741" s="10" t="s">
        <v>1448</v>
      </c>
      <c r="Z741" s="11" t="s">
        <v>89</v>
      </c>
      <c r="AA741" s="11" t="s">
        <v>48</v>
      </c>
      <c r="AB741" s="11" t="s">
        <v>111</v>
      </c>
      <c r="AC741" s="11" t="s">
        <v>50</v>
      </c>
      <c r="AD741" s="11">
        <v>4</v>
      </c>
      <c r="AE741" s="11" t="s">
        <v>159</v>
      </c>
      <c r="AF741" s="11" t="s">
        <v>2249</v>
      </c>
      <c r="AG741" s="25"/>
      <c r="AH741" s="11"/>
      <c r="AI741" s="11"/>
      <c r="AJ741" s="11"/>
      <c r="AK741" s="11"/>
      <c r="AL741" s="11"/>
      <c r="AM741" s="11" t="str">
        <f t="shared" si="59"/>
        <v>Good</v>
      </c>
      <c r="AN741" s="11" t="str" cm="1">
        <f t="array" ref="AN741">_xlfn.IFS(N741&lt;10000,"Low",N741&lt;30000,"Medium",N741&gt;=30000,"High")</f>
        <v>Low</v>
      </c>
      <c r="AO741" s="11" t="str">
        <f t="shared" si="60"/>
        <v>No</v>
      </c>
      <c r="AP741" s="11" t="str">
        <f t="shared" si="61"/>
        <v>Yes</v>
      </c>
      <c r="AQ741" s="11">
        <f t="shared" si="62"/>
        <v>0.37212499999999998</v>
      </c>
      <c r="AR741" s="33"/>
      <c r="AS741" s="33"/>
      <c r="AT741" s="33"/>
      <c r="AU741" s="33"/>
      <c r="AV741" s="33"/>
      <c r="AW741" s="33"/>
      <c r="AX741" s="33" t="str">
        <f t="shared" si="63"/>
        <v>Low</v>
      </c>
    </row>
    <row r="742" spans="1:50">
      <c r="A742" s="9" t="s">
        <v>1158</v>
      </c>
      <c r="B742" s="10" t="s">
        <v>940</v>
      </c>
      <c r="C742" s="11" t="s">
        <v>1159</v>
      </c>
      <c r="D742" s="11" t="s">
        <v>1014</v>
      </c>
      <c r="E742" s="11" t="s">
        <v>103</v>
      </c>
      <c r="F742" s="11" t="s">
        <v>245</v>
      </c>
      <c r="G742" s="11" t="s">
        <v>246</v>
      </c>
      <c r="H742" s="11" t="s">
        <v>38</v>
      </c>
      <c r="I742" s="11" t="s">
        <v>39</v>
      </c>
      <c r="J742" s="11" t="s">
        <v>40</v>
      </c>
      <c r="K742" s="25">
        <v>2</v>
      </c>
      <c r="L742" s="25">
        <v>22000</v>
      </c>
      <c r="M742" s="29">
        <v>0.2</v>
      </c>
      <c r="N742" s="25">
        <v>35200</v>
      </c>
      <c r="O742" s="25">
        <v>27132.37</v>
      </c>
      <c r="P742" s="25">
        <v>8067.63</v>
      </c>
      <c r="Q742" s="21">
        <v>22.92</v>
      </c>
      <c r="R742" s="11" t="s">
        <v>106</v>
      </c>
      <c r="S742" s="11" t="s">
        <v>74</v>
      </c>
      <c r="T742" s="11" t="s">
        <v>75</v>
      </c>
      <c r="U742" s="11" t="s">
        <v>160</v>
      </c>
      <c r="V742" s="11">
        <v>2024</v>
      </c>
      <c r="W742" s="11" t="s">
        <v>45</v>
      </c>
      <c r="X742" s="11">
        <v>10</v>
      </c>
      <c r="Y742" s="10">
        <v>45358</v>
      </c>
      <c r="Z742" s="11" t="s">
        <v>47</v>
      </c>
      <c r="AA742" s="11" t="s">
        <v>67</v>
      </c>
      <c r="AB742" s="11" t="s">
        <v>111</v>
      </c>
      <c r="AC742" s="11" t="s">
        <v>50</v>
      </c>
      <c r="AD742" s="11">
        <v>3</v>
      </c>
      <c r="AE742" s="11" t="s">
        <v>2209</v>
      </c>
      <c r="AF742" s="11" t="s">
        <v>2219</v>
      </c>
      <c r="AG742" s="25"/>
      <c r="AH742" s="11"/>
      <c r="AI742" s="11"/>
      <c r="AJ742" s="11"/>
      <c r="AK742" s="11"/>
      <c r="AL742" s="11"/>
      <c r="AM742" s="11" t="str">
        <f t="shared" si="59"/>
        <v>Needs Improvement</v>
      </c>
      <c r="AN742" s="11" t="str" cm="1">
        <f t="array" ref="AN742">_xlfn.IFS(N742&lt;10000,"Low",N742&lt;30000,"Medium",N742&gt;=30000,"High")</f>
        <v>High</v>
      </c>
      <c r="AO742" s="11" t="str">
        <f t="shared" si="60"/>
        <v>No</v>
      </c>
      <c r="AP742" s="11" t="str">
        <f t="shared" si="61"/>
        <v>Yes</v>
      </c>
      <c r="AQ742" s="11">
        <f t="shared" si="62"/>
        <v>0.2291940340909091</v>
      </c>
      <c r="AR742" s="33"/>
      <c r="AS742" s="33"/>
      <c r="AT742" s="33"/>
      <c r="AU742" s="33"/>
      <c r="AV742" s="33"/>
      <c r="AW742" s="33"/>
      <c r="AX742" s="33" t="str">
        <f t="shared" si="63"/>
        <v>Average</v>
      </c>
    </row>
    <row r="743" spans="1:50">
      <c r="A743" s="9" t="s">
        <v>1293</v>
      </c>
      <c r="B743" s="10" t="s">
        <v>1294</v>
      </c>
      <c r="C743" s="11" t="s">
        <v>1295</v>
      </c>
      <c r="D743" s="11" t="s">
        <v>710</v>
      </c>
      <c r="E743" s="11" t="s">
        <v>55</v>
      </c>
      <c r="F743" s="11" t="s">
        <v>131</v>
      </c>
      <c r="G743" s="11" t="s">
        <v>132</v>
      </c>
      <c r="H743" s="11" t="s">
        <v>171</v>
      </c>
      <c r="I743" s="11" t="s">
        <v>84</v>
      </c>
      <c r="J743" s="11" t="s">
        <v>290</v>
      </c>
      <c r="K743" s="25">
        <v>4</v>
      </c>
      <c r="L743" s="25">
        <v>200</v>
      </c>
      <c r="M743" s="29">
        <v>0.15</v>
      </c>
      <c r="N743" s="25">
        <v>680</v>
      </c>
      <c r="O743" s="25">
        <v>427.37</v>
      </c>
      <c r="P743" s="25">
        <v>252.63</v>
      </c>
      <c r="Q743" s="21">
        <v>37.15</v>
      </c>
      <c r="R743" s="11" t="s">
        <v>73</v>
      </c>
      <c r="S743" s="11" t="s">
        <v>74</v>
      </c>
      <c r="T743" s="11" t="s">
        <v>159</v>
      </c>
      <c r="U743" s="11" t="s">
        <v>160</v>
      </c>
      <c r="V743" s="11">
        <v>2025</v>
      </c>
      <c r="W743" s="11" t="s">
        <v>126</v>
      </c>
      <c r="X743" s="11">
        <v>9</v>
      </c>
      <c r="Y743" s="10">
        <v>45695</v>
      </c>
      <c r="Z743" s="11" t="s">
        <v>47</v>
      </c>
      <c r="AA743" s="11" t="s">
        <v>90</v>
      </c>
      <c r="AB743" s="11" t="s">
        <v>111</v>
      </c>
      <c r="AC743" s="11" t="s">
        <v>50</v>
      </c>
      <c r="AD743" s="11">
        <v>3</v>
      </c>
      <c r="AE743" s="11" t="s">
        <v>2237</v>
      </c>
      <c r="AF743" s="11" t="s">
        <v>2230</v>
      </c>
      <c r="AG743" s="25"/>
      <c r="AH743" s="11"/>
      <c r="AI743" s="11"/>
      <c r="AJ743" s="11"/>
      <c r="AK743" s="11"/>
      <c r="AL743" s="11"/>
      <c r="AM743" s="11" t="str">
        <f t="shared" si="59"/>
        <v>Good</v>
      </c>
      <c r="AN743" s="11" t="str" cm="1">
        <f t="array" ref="AN743">_xlfn.IFS(N743&lt;10000,"Low",N743&lt;30000,"Medium",N743&gt;=30000,"High")</f>
        <v>Low</v>
      </c>
      <c r="AO743" s="11" t="str">
        <f t="shared" si="60"/>
        <v>No</v>
      </c>
      <c r="AP743" s="11" t="str">
        <f t="shared" si="61"/>
        <v>Yes</v>
      </c>
      <c r="AQ743" s="11">
        <f t="shared" si="62"/>
        <v>0.37151470588235291</v>
      </c>
      <c r="AR743" s="33"/>
      <c r="AS743" s="33"/>
      <c r="AT743" s="33"/>
      <c r="AU743" s="33"/>
      <c r="AV743" s="33"/>
      <c r="AW743" s="33"/>
      <c r="AX743" s="33" t="str">
        <f t="shared" si="63"/>
        <v>Low</v>
      </c>
    </row>
    <row r="744" spans="1:50">
      <c r="A744" s="9" t="s">
        <v>1528</v>
      </c>
      <c r="B744" s="10" t="s">
        <v>1294</v>
      </c>
      <c r="C744" s="11" t="s">
        <v>477</v>
      </c>
      <c r="D744" s="11" t="s">
        <v>703</v>
      </c>
      <c r="E744" s="11" t="s">
        <v>35</v>
      </c>
      <c r="F744" s="11" t="s">
        <v>131</v>
      </c>
      <c r="G744" s="11" t="s">
        <v>132</v>
      </c>
      <c r="H744" s="11" t="s">
        <v>58</v>
      </c>
      <c r="I744" s="11" t="s">
        <v>95</v>
      </c>
      <c r="J744" s="11" t="s">
        <v>440</v>
      </c>
      <c r="K744" s="25">
        <v>2</v>
      </c>
      <c r="L744" s="25">
        <v>15000</v>
      </c>
      <c r="M744" s="29">
        <v>0.15</v>
      </c>
      <c r="N744" s="25">
        <v>25500</v>
      </c>
      <c r="O744" s="25">
        <v>18865.8</v>
      </c>
      <c r="P744" s="25">
        <v>6634.2</v>
      </c>
      <c r="Q744" s="21">
        <v>26.02</v>
      </c>
      <c r="R744" s="11" t="s">
        <v>61</v>
      </c>
      <c r="S744" s="11" t="s">
        <v>42</v>
      </c>
      <c r="T744" s="11" t="s">
        <v>138</v>
      </c>
      <c r="U744" s="11" t="s">
        <v>160</v>
      </c>
      <c r="V744" s="11">
        <v>2025</v>
      </c>
      <c r="W744" s="11" t="s">
        <v>126</v>
      </c>
      <c r="X744" s="11">
        <v>10</v>
      </c>
      <c r="Y744" s="10">
        <v>45723</v>
      </c>
      <c r="Z744" s="11" t="s">
        <v>47</v>
      </c>
      <c r="AA744" s="11" t="s">
        <v>90</v>
      </c>
      <c r="AB744" s="11" t="s">
        <v>49</v>
      </c>
      <c r="AC744" s="11" t="s">
        <v>121</v>
      </c>
      <c r="AD744" s="11">
        <v>3</v>
      </c>
      <c r="AE744" s="11" t="s">
        <v>159</v>
      </c>
      <c r="AF744" s="11" t="s">
        <v>2231</v>
      </c>
      <c r="AG744" s="25"/>
      <c r="AH744" s="11"/>
      <c r="AI744" s="11"/>
      <c r="AJ744" s="11"/>
      <c r="AK744" s="11"/>
      <c r="AL744" s="11"/>
      <c r="AM744" s="11" t="str">
        <f t="shared" si="59"/>
        <v>Needs Improvement</v>
      </c>
      <c r="AN744" s="11" t="str" cm="1">
        <f t="array" ref="AN744">_xlfn.IFS(N744&lt;10000,"Low",N744&lt;30000,"Medium",N744&gt;=30000,"High")</f>
        <v>Medium</v>
      </c>
      <c r="AO744" s="11" t="str">
        <f t="shared" si="60"/>
        <v>No</v>
      </c>
      <c r="AP744" s="11" t="str">
        <f t="shared" si="61"/>
        <v>Yes</v>
      </c>
      <c r="AQ744" s="11">
        <f t="shared" si="62"/>
        <v>0.26016470588235291</v>
      </c>
      <c r="AR744" s="33"/>
      <c r="AS744" s="33"/>
      <c r="AT744" s="33"/>
      <c r="AU744" s="33"/>
      <c r="AV744" s="33"/>
      <c r="AW744" s="33"/>
      <c r="AX744" s="33" t="str">
        <f t="shared" si="63"/>
        <v>Average</v>
      </c>
    </row>
    <row r="745" spans="1:50">
      <c r="A745" s="9" t="s">
        <v>442</v>
      </c>
      <c r="B745" s="10" t="s">
        <v>443</v>
      </c>
      <c r="C745" s="11" t="s">
        <v>444</v>
      </c>
      <c r="D745" s="11" t="s">
        <v>313</v>
      </c>
      <c r="E745" s="11" t="s">
        <v>55</v>
      </c>
      <c r="F745" s="11" t="s">
        <v>116</v>
      </c>
      <c r="G745" s="11" t="s">
        <v>37</v>
      </c>
      <c r="H745" s="11" t="s">
        <v>58</v>
      </c>
      <c r="I745" s="11" t="s">
        <v>71</v>
      </c>
      <c r="J745" s="11" t="s">
        <v>172</v>
      </c>
      <c r="K745" s="25">
        <v>9</v>
      </c>
      <c r="L745" s="25">
        <v>2500</v>
      </c>
      <c r="M745" s="29">
        <v>0.05</v>
      </c>
      <c r="N745" s="25">
        <v>21375</v>
      </c>
      <c r="O745" s="25">
        <v>16794.560000000001</v>
      </c>
      <c r="P745" s="25">
        <v>4580.4399999999996</v>
      </c>
      <c r="Q745" s="21">
        <v>21.43</v>
      </c>
      <c r="R745" s="11" t="s">
        <v>41</v>
      </c>
      <c r="S745" s="11" t="s">
        <v>74</v>
      </c>
      <c r="T745" s="11" t="s">
        <v>159</v>
      </c>
      <c r="U745" s="11" t="s">
        <v>151</v>
      </c>
      <c r="V745" s="11">
        <v>2024</v>
      </c>
      <c r="W745" s="11" t="s">
        <v>109</v>
      </c>
      <c r="X745" s="11">
        <v>10</v>
      </c>
      <c r="Y745" s="10">
        <v>45330</v>
      </c>
      <c r="Z745" s="11" t="s">
        <v>47</v>
      </c>
      <c r="AA745" s="11" t="s">
        <v>90</v>
      </c>
      <c r="AB745" s="11" t="s">
        <v>49</v>
      </c>
      <c r="AC745" s="11" t="s">
        <v>50</v>
      </c>
      <c r="AD745" s="11">
        <v>4</v>
      </c>
      <c r="AE745" s="11" t="s">
        <v>2220</v>
      </c>
      <c r="AF745" s="11" t="s">
        <v>2217</v>
      </c>
      <c r="AG745" s="25"/>
      <c r="AH745" s="11"/>
      <c r="AI745" s="11"/>
      <c r="AJ745" s="11"/>
      <c r="AK745" s="11"/>
      <c r="AL745" s="11"/>
      <c r="AM745" s="11" t="str">
        <f t="shared" si="59"/>
        <v>Needs Improvement</v>
      </c>
      <c r="AN745" s="11" t="str" cm="1">
        <f t="array" ref="AN745">_xlfn.IFS(N745&lt;10000,"Low",N745&lt;30000,"Medium",N745&gt;=30000,"High")</f>
        <v>Medium</v>
      </c>
      <c r="AO745" s="11" t="str">
        <f t="shared" si="60"/>
        <v>No</v>
      </c>
      <c r="AP745" s="11" t="str">
        <f t="shared" si="61"/>
        <v>Yes</v>
      </c>
      <c r="AQ745" s="11">
        <f t="shared" si="62"/>
        <v>0.21428959064327482</v>
      </c>
      <c r="AR745" s="33"/>
      <c r="AS745" s="33"/>
      <c r="AT745" s="33"/>
      <c r="AU745" s="33"/>
      <c r="AV745" s="33"/>
      <c r="AW745" s="33"/>
      <c r="AX745" s="33" t="str">
        <f t="shared" si="63"/>
        <v>Low</v>
      </c>
    </row>
    <row r="746" spans="1:50">
      <c r="A746" s="9" t="s">
        <v>1769</v>
      </c>
      <c r="B746" s="10" t="s">
        <v>443</v>
      </c>
      <c r="C746" s="11" t="s">
        <v>1770</v>
      </c>
      <c r="D746" s="11" t="s">
        <v>189</v>
      </c>
      <c r="E746" s="11" t="s">
        <v>103</v>
      </c>
      <c r="F746" s="11" t="s">
        <v>156</v>
      </c>
      <c r="G746" s="11" t="s">
        <v>157</v>
      </c>
      <c r="H746" s="11" t="s">
        <v>171</v>
      </c>
      <c r="I746" s="11" t="s">
        <v>95</v>
      </c>
      <c r="J746" s="11" t="s">
        <v>319</v>
      </c>
      <c r="K746" s="25">
        <v>10</v>
      </c>
      <c r="L746" s="25">
        <v>6000</v>
      </c>
      <c r="M746" s="29">
        <v>0.2</v>
      </c>
      <c r="N746" s="25">
        <v>48000</v>
      </c>
      <c r="O746" s="25">
        <v>32079.87</v>
      </c>
      <c r="P746" s="25">
        <v>15920.13</v>
      </c>
      <c r="Q746" s="21">
        <v>33.17</v>
      </c>
      <c r="R746" s="11" t="s">
        <v>41</v>
      </c>
      <c r="S746" s="11" t="s">
        <v>42</v>
      </c>
      <c r="T746" s="11" t="s">
        <v>159</v>
      </c>
      <c r="U746" s="11" t="s">
        <v>151</v>
      </c>
      <c r="V746" s="11">
        <v>2024</v>
      </c>
      <c r="W746" s="11" t="s">
        <v>109</v>
      </c>
      <c r="X746" s="11">
        <v>9</v>
      </c>
      <c r="Y746" s="10">
        <v>45299</v>
      </c>
      <c r="Z746" s="11" t="s">
        <v>47</v>
      </c>
      <c r="AA746" s="11" t="s">
        <v>48</v>
      </c>
      <c r="AB746" s="11" t="s">
        <v>49</v>
      </c>
      <c r="AC746" s="11" t="s">
        <v>121</v>
      </c>
      <c r="AD746" s="11">
        <v>1</v>
      </c>
      <c r="AE746" s="11" t="s">
        <v>2229</v>
      </c>
      <c r="AF746" s="11" t="s">
        <v>2210</v>
      </c>
      <c r="AG746" s="25"/>
      <c r="AH746" s="11"/>
      <c r="AI746" s="11"/>
      <c r="AJ746" s="11"/>
      <c r="AK746" s="11"/>
      <c r="AL746" s="11"/>
      <c r="AM746" s="11" t="str">
        <f t="shared" si="59"/>
        <v>Good</v>
      </c>
      <c r="AN746" s="11" t="str" cm="1">
        <f t="array" ref="AN746">_xlfn.IFS(N746&lt;10000,"Low",N746&lt;30000,"Medium",N746&gt;=30000,"High")</f>
        <v>High</v>
      </c>
      <c r="AO746" s="11" t="str">
        <f t="shared" si="60"/>
        <v>Yes</v>
      </c>
      <c r="AP746" s="11" t="str">
        <f t="shared" si="61"/>
        <v>Yes</v>
      </c>
      <c r="AQ746" s="11">
        <f t="shared" si="62"/>
        <v>0.33166937499999999</v>
      </c>
      <c r="AR746" s="33"/>
      <c r="AS746" s="33"/>
      <c r="AT746" s="33"/>
      <c r="AU746" s="33"/>
      <c r="AV746" s="33"/>
      <c r="AW746" s="33"/>
      <c r="AX746" s="33" t="str">
        <f t="shared" si="63"/>
        <v>Good</v>
      </c>
    </row>
    <row r="747" spans="1:50">
      <c r="A747" s="9" t="s">
        <v>768</v>
      </c>
      <c r="B747" s="10" t="s">
        <v>269</v>
      </c>
      <c r="C747" s="11" t="s">
        <v>769</v>
      </c>
      <c r="D747" s="11" t="s">
        <v>770</v>
      </c>
      <c r="E747" s="11" t="s">
        <v>35</v>
      </c>
      <c r="F747" s="11" t="s">
        <v>144</v>
      </c>
      <c r="G747" s="11" t="s">
        <v>145</v>
      </c>
      <c r="H747" s="11" t="s">
        <v>94</v>
      </c>
      <c r="I747" s="11" t="s">
        <v>84</v>
      </c>
      <c r="J747" s="11" t="s">
        <v>229</v>
      </c>
      <c r="K747" s="25">
        <v>2</v>
      </c>
      <c r="L747" s="25">
        <v>100</v>
      </c>
      <c r="M747" s="29">
        <v>0.15</v>
      </c>
      <c r="N747" s="25">
        <v>170</v>
      </c>
      <c r="O747" s="25">
        <v>108.47</v>
      </c>
      <c r="P747" s="25">
        <v>61.53</v>
      </c>
      <c r="Q747" s="21">
        <v>36.19</v>
      </c>
      <c r="R747" s="11" t="s">
        <v>106</v>
      </c>
      <c r="S747" s="11" t="s">
        <v>62</v>
      </c>
      <c r="T747" s="11" t="s">
        <v>118</v>
      </c>
      <c r="U747" s="11" t="s">
        <v>151</v>
      </c>
      <c r="V747" s="11">
        <v>2025</v>
      </c>
      <c r="W747" s="11" t="s">
        <v>134</v>
      </c>
      <c r="X747" s="11">
        <v>7</v>
      </c>
      <c r="Y747" s="10" t="s">
        <v>771</v>
      </c>
      <c r="Z747" s="11" t="s">
        <v>89</v>
      </c>
      <c r="AA747" s="11" t="s">
        <v>90</v>
      </c>
      <c r="AB747" s="11" t="s">
        <v>111</v>
      </c>
      <c r="AC747" s="11" t="s">
        <v>121</v>
      </c>
      <c r="AD747" s="11">
        <v>1</v>
      </c>
      <c r="AE747" s="11" t="s">
        <v>2227</v>
      </c>
      <c r="AF747" s="11" t="s">
        <v>2219</v>
      </c>
      <c r="AG747" s="25"/>
      <c r="AH747" s="11"/>
      <c r="AI747" s="11"/>
      <c r="AJ747" s="11"/>
      <c r="AK747" s="11"/>
      <c r="AL747" s="11"/>
      <c r="AM747" s="11" t="str">
        <f t="shared" si="59"/>
        <v>Good</v>
      </c>
      <c r="AN747" s="11" t="str" cm="1">
        <f t="array" ref="AN747">_xlfn.IFS(N747&lt;10000,"Low",N747&lt;30000,"Medium",N747&gt;=30000,"High")</f>
        <v>Low</v>
      </c>
      <c r="AO747" s="11" t="str">
        <f t="shared" si="60"/>
        <v>No</v>
      </c>
      <c r="AP747" s="11" t="str">
        <f t="shared" si="61"/>
        <v>No</v>
      </c>
      <c r="AQ747" s="11">
        <f t="shared" si="62"/>
        <v>0.36194117647058827</v>
      </c>
      <c r="AR747" s="33"/>
      <c r="AS747" s="33"/>
      <c r="AT747" s="33"/>
      <c r="AU747" s="33"/>
      <c r="AV747" s="33"/>
      <c r="AW747" s="33"/>
      <c r="AX747" s="33" t="str">
        <f t="shared" si="63"/>
        <v>Low</v>
      </c>
    </row>
    <row r="748" spans="1:50">
      <c r="A748" s="9" t="s">
        <v>1739</v>
      </c>
      <c r="B748" s="10" t="s">
        <v>269</v>
      </c>
      <c r="C748" s="11" t="s">
        <v>659</v>
      </c>
      <c r="D748" s="11" t="s">
        <v>1049</v>
      </c>
      <c r="E748" s="11" t="s">
        <v>103</v>
      </c>
      <c r="F748" s="11" t="s">
        <v>82</v>
      </c>
      <c r="G748" s="11" t="s">
        <v>83</v>
      </c>
      <c r="H748" s="11" t="s">
        <v>58</v>
      </c>
      <c r="I748" s="11" t="s">
        <v>59</v>
      </c>
      <c r="J748" s="11" t="s">
        <v>133</v>
      </c>
      <c r="K748" s="25">
        <v>7</v>
      </c>
      <c r="L748" s="25">
        <v>500</v>
      </c>
      <c r="M748" s="29">
        <v>0.1</v>
      </c>
      <c r="N748" s="25">
        <v>3150</v>
      </c>
      <c r="O748" s="25">
        <v>2051.6799999999998</v>
      </c>
      <c r="P748" s="25">
        <v>1098.32</v>
      </c>
      <c r="Q748" s="21">
        <v>34.869999999999997</v>
      </c>
      <c r="R748" s="11" t="s">
        <v>106</v>
      </c>
      <c r="S748" s="11" t="s">
        <v>62</v>
      </c>
      <c r="T748" s="11" t="s">
        <v>86</v>
      </c>
      <c r="U748" s="11" t="s">
        <v>151</v>
      </c>
      <c r="V748" s="11">
        <v>2025</v>
      </c>
      <c r="W748" s="11" t="s">
        <v>134</v>
      </c>
      <c r="X748" s="11">
        <v>8</v>
      </c>
      <c r="Y748" s="10" t="s">
        <v>1354</v>
      </c>
      <c r="Z748" s="11" t="s">
        <v>47</v>
      </c>
      <c r="AA748" s="11" t="s">
        <v>90</v>
      </c>
      <c r="AB748" s="11" t="s">
        <v>49</v>
      </c>
      <c r="AC748" s="11" t="s">
        <v>50</v>
      </c>
      <c r="AD748" s="11">
        <v>2</v>
      </c>
      <c r="AE748" s="11" t="s">
        <v>2233</v>
      </c>
      <c r="AF748" s="11" t="s">
        <v>2223</v>
      </c>
      <c r="AG748" s="25"/>
      <c r="AH748" s="11"/>
      <c r="AI748" s="11"/>
      <c r="AJ748" s="11"/>
      <c r="AK748" s="11"/>
      <c r="AL748" s="11"/>
      <c r="AM748" s="11" t="str">
        <f t="shared" si="59"/>
        <v>Good</v>
      </c>
      <c r="AN748" s="11" t="str" cm="1">
        <f t="array" ref="AN748">_xlfn.IFS(N748&lt;10000,"Low",N748&lt;30000,"Medium",N748&gt;=30000,"High")</f>
        <v>Low</v>
      </c>
      <c r="AO748" s="11" t="str">
        <f t="shared" si="60"/>
        <v>No</v>
      </c>
      <c r="AP748" s="11" t="str">
        <f t="shared" si="61"/>
        <v>No</v>
      </c>
      <c r="AQ748" s="11">
        <f t="shared" si="62"/>
        <v>0.34867301587301586</v>
      </c>
      <c r="AR748" s="33"/>
      <c r="AS748" s="33"/>
      <c r="AT748" s="33"/>
      <c r="AU748" s="33"/>
      <c r="AV748" s="33"/>
      <c r="AW748" s="33"/>
      <c r="AX748" s="33" t="str">
        <f t="shared" si="63"/>
        <v>Low</v>
      </c>
    </row>
    <row r="749" spans="1:50">
      <c r="A749" s="9" t="s">
        <v>903</v>
      </c>
      <c r="B749" s="10" t="s">
        <v>835</v>
      </c>
      <c r="C749" s="11" t="s">
        <v>904</v>
      </c>
      <c r="D749" s="11" t="s">
        <v>905</v>
      </c>
      <c r="E749" s="11" t="s">
        <v>35</v>
      </c>
      <c r="F749" s="11" t="s">
        <v>144</v>
      </c>
      <c r="G749" s="11" t="s">
        <v>145</v>
      </c>
      <c r="H749" s="11" t="s">
        <v>171</v>
      </c>
      <c r="I749" s="11" t="s">
        <v>39</v>
      </c>
      <c r="J749" s="11" t="s">
        <v>165</v>
      </c>
      <c r="K749" s="25">
        <v>3</v>
      </c>
      <c r="L749" s="25">
        <v>22000</v>
      </c>
      <c r="M749" s="29">
        <v>0.05</v>
      </c>
      <c r="N749" s="25">
        <v>62700</v>
      </c>
      <c r="O749" s="25">
        <v>45378.42</v>
      </c>
      <c r="P749" s="25">
        <v>17321.580000000002</v>
      </c>
      <c r="Q749" s="21">
        <v>27.63</v>
      </c>
      <c r="R749" s="11" t="s">
        <v>41</v>
      </c>
      <c r="S749" s="11" t="s">
        <v>42</v>
      </c>
      <c r="T749" s="11" t="s">
        <v>173</v>
      </c>
      <c r="U749" s="11" t="s">
        <v>218</v>
      </c>
      <c r="V749" s="11">
        <v>2024</v>
      </c>
      <c r="W749" s="11" t="s">
        <v>194</v>
      </c>
      <c r="X749" s="11">
        <v>2</v>
      </c>
      <c r="Y749" s="10" t="s">
        <v>906</v>
      </c>
      <c r="Z749" s="11" t="s">
        <v>89</v>
      </c>
      <c r="AA749" s="11" t="s">
        <v>48</v>
      </c>
      <c r="AB749" s="11" t="s">
        <v>49</v>
      </c>
      <c r="AC749" s="11" t="s">
        <v>50</v>
      </c>
      <c r="AD749" s="11">
        <v>3</v>
      </c>
      <c r="AE749" s="11" t="s">
        <v>2233</v>
      </c>
      <c r="AF749" s="11" t="s">
        <v>2222</v>
      </c>
      <c r="AG749" s="25"/>
      <c r="AH749" s="11"/>
      <c r="AI749" s="11"/>
      <c r="AJ749" s="11"/>
      <c r="AK749" s="11"/>
      <c r="AL749" s="11"/>
      <c r="AM749" s="11" t="str">
        <f t="shared" si="59"/>
        <v>Needs Improvement</v>
      </c>
      <c r="AN749" s="11" t="str" cm="1">
        <f t="array" ref="AN749">_xlfn.IFS(N749&lt;10000,"Low",N749&lt;30000,"Medium",N749&gt;=30000,"High")</f>
        <v>High</v>
      </c>
      <c r="AO749" s="11" t="str">
        <f t="shared" si="60"/>
        <v>Yes</v>
      </c>
      <c r="AP749" s="11" t="str">
        <f t="shared" si="61"/>
        <v>Yes</v>
      </c>
      <c r="AQ749" s="11">
        <f t="shared" si="62"/>
        <v>0.27626124401913876</v>
      </c>
      <c r="AR749" s="33"/>
      <c r="AS749" s="33"/>
      <c r="AT749" s="33"/>
      <c r="AU749" s="33"/>
      <c r="AV749" s="33"/>
      <c r="AW749" s="33"/>
      <c r="AX749" s="33" t="str">
        <f t="shared" si="63"/>
        <v>Good</v>
      </c>
    </row>
    <row r="750" spans="1:50">
      <c r="A750" s="9" t="s">
        <v>1176</v>
      </c>
      <c r="B750" s="10" t="s">
        <v>835</v>
      </c>
      <c r="C750" s="11" t="s">
        <v>596</v>
      </c>
      <c r="D750" s="11" t="s">
        <v>364</v>
      </c>
      <c r="E750" s="11" t="s">
        <v>55</v>
      </c>
      <c r="F750" s="11" t="s">
        <v>144</v>
      </c>
      <c r="G750" s="11" t="s">
        <v>145</v>
      </c>
      <c r="H750" s="11" t="s">
        <v>94</v>
      </c>
      <c r="I750" s="11" t="s">
        <v>95</v>
      </c>
      <c r="J750" s="11" t="s">
        <v>96</v>
      </c>
      <c r="K750" s="25">
        <v>3</v>
      </c>
      <c r="L750" s="25">
        <v>15000</v>
      </c>
      <c r="M750" s="29">
        <v>0.2</v>
      </c>
      <c r="N750" s="25">
        <v>36000</v>
      </c>
      <c r="O750" s="25">
        <v>28129.78</v>
      </c>
      <c r="P750" s="25">
        <v>7870.22</v>
      </c>
      <c r="Q750" s="21">
        <v>21.86</v>
      </c>
      <c r="R750" s="11" t="s">
        <v>61</v>
      </c>
      <c r="S750" s="11" t="s">
        <v>74</v>
      </c>
      <c r="T750" s="11" t="s">
        <v>75</v>
      </c>
      <c r="U750" s="11" t="s">
        <v>218</v>
      </c>
      <c r="V750" s="11">
        <v>2024</v>
      </c>
      <c r="W750" s="11" t="s">
        <v>194</v>
      </c>
      <c r="X750" s="11">
        <v>2</v>
      </c>
      <c r="Y750" s="10" t="s">
        <v>906</v>
      </c>
      <c r="Z750" s="11" t="s">
        <v>110</v>
      </c>
      <c r="AA750" s="11" t="s">
        <v>48</v>
      </c>
      <c r="AB750" s="11" t="s">
        <v>49</v>
      </c>
      <c r="AC750" s="11" t="s">
        <v>121</v>
      </c>
      <c r="AD750" s="11">
        <v>3</v>
      </c>
      <c r="AE750" s="11" t="s">
        <v>86</v>
      </c>
      <c r="AF750" s="11" t="s">
        <v>2249</v>
      </c>
      <c r="AG750" s="25"/>
      <c r="AH750" s="11"/>
      <c r="AI750" s="11"/>
      <c r="AJ750" s="11"/>
      <c r="AK750" s="11"/>
      <c r="AL750" s="11"/>
      <c r="AM750" s="11" t="str">
        <f t="shared" si="59"/>
        <v>Needs Improvement</v>
      </c>
      <c r="AN750" s="11" t="str" cm="1">
        <f t="array" ref="AN750">_xlfn.IFS(N750&lt;10000,"Low",N750&lt;30000,"Medium",N750&gt;=30000,"High")</f>
        <v>High</v>
      </c>
      <c r="AO750" s="11" t="str">
        <f t="shared" si="60"/>
        <v>No</v>
      </c>
      <c r="AP750" s="11" t="str">
        <f t="shared" si="61"/>
        <v>Yes</v>
      </c>
      <c r="AQ750" s="11">
        <f t="shared" si="62"/>
        <v>0.21861722222222224</v>
      </c>
      <c r="AR750" s="33"/>
      <c r="AS750" s="33"/>
      <c r="AT750" s="33"/>
      <c r="AU750" s="33"/>
      <c r="AV750" s="33"/>
      <c r="AW750" s="33"/>
      <c r="AX750" s="33" t="str">
        <f t="shared" si="63"/>
        <v>Average</v>
      </c>
    </row>
    <row r="751" spans="1:50">
      <c r="A751" s="9" t="s">
        <v>380</v>
      </c>
      <c r="B751" s="10" t="s">
        <v>381</v>
      </c>
      <c r="C751" s="11" t="s">
        <v>382</v>
      </c>
      <c r="D751" s="11" t="s">
        <v>383</v>
      </c>
      <c r="E751" s="11" t="s">
        <v>103</v>
      </c>
      <c r="F751" s="11" t="s">
        <v>156</v>
      </c>
      <c r="G751" s="11" t="s">
        <v>157</v>
      </c>
      <c r="H751" s="11" t="s">
        <v>94</v>
      </c>
      <c r="I751" s="11" t="s">
        <v>39</v>
      </c>
      <c r="J751" s="11" t="s">
        <v>40</v>
      </c>
      <c r="K751" s="25">
        <v>3</v>
      </c>
      <c r="L751" s="25">
        <v>35000</v>
      </c>
      <c r="M751" s="29">
        <v>0</v>
      </c>
      <c r="N751" s="25">
        <v>105000</v>
      </c>
      <c r="O751" s="25">
        <v>67095.460000000006</v>
      </c>
      <c r="P751" s="25">
        <v>37904.54</v>
      </c>
      <c r="Q751" s="21">
        <v>36.1</v>
      </c>
      <c r="R751" s="11" t="s">
        <v>106</v>
      </c>
      <c r="S751" s="11" t="s">
        <v>62</v>
      </c>
      <c r="T751" s="11" t="s">
        <v>63</v>
      </c>
      <c r="U751" s="11" t="s">
        <v>218</v>
      </c>
      <c r="V751" s="11">
        <v>2025</v>
      </c>
      <c r="W751" s="11" t="s">
        <v>65</v>
      </c>
      <c r="X751" s="11">
        <v>9</v>
      </c>
      <c r="Y751" s="10">
        <v>45666</v>
      </c>
      <c r="Z751" s="11" t="s">
        <v>89</v>
      </c>
      <c r="AA751" s="11" t="s">
        <v>67</v>
      </c>
      <c r="AB751" s="11" t="s">
        <v>78</v>
      </c>
      <c r="AC751" s="11" t="s">
        <v>121</v>
      </c>
      <c r="AD751" s="11">
        <v>5</v>
      </c>
      <c r="AE751" s="11" t="s">
        <v>2221</v>
      </c>
      <c r="AF751" s="11" t="s">
        <v>2236</v>
      </c>
      <c r="AG751" s="25"/>
      <c r="AH751" s="11"/>
      <c r="AI751" s="11"/>
      <c r="AJ751" s="11"/>
      <c r="AK751" s="11"/>
      <c r="AL751" s="11"/>
      <c r="AM751" s="11" t="str">
        <f t="shared" si="59"/>
        <v>Good</v>
      </c>
      <c r="AN751" s="11" t="str" cm="1">
        <f t="array" ref="AN751">_xlfn.IFS(N751&lt;10000,"Low",N751&lt;30000,"Medium",N751&gt;=30000,"High")</f>
        <v>High</v>
      </c>
      <c r="AO751" s="11" t="str">
        <f t="shared" si="60"/>
        <v>Yes</v>
      </c>
      <c r="AP751" s="11" t="str">
        <f t="shared" si="61"/>
        <v>No</v>
      </c>
      <c r="AQ751" s="11">
        <f t="shared" si="62"/>
        <v>0.36099561904761907</v>
      </c>
      <c r="AR751" s="33"/>
      <c r="AS751" s="33"/>
      <c r="AT751" s="33"/>
      <c r="AU751" s="33"/>
      <c r="AV751" s="33"/>
      <c r="AW751" s="33"/>
      <c r="AX751" s="33" t="str">
        <f t="shared" si="63"/>
        <v>Excellent</v>
      </c>
    </row>
    <row r="752" spans="1:50">
      <c r="A752" s="9" t="s">
        <v>1992</v>
      </c>
      <c r="B752" s="10" t="s">
        <v>789</v>
      </c>
      <c r="C752" s="11" t="s">
        <v>1005</v>
      </c>
      <c r="D752" s="11" t="s">
        <v>758</v>
      </c>
      <c r="E752" s="11" t="s">
        <v>55</v>
      </c>
      <c r="F752" s="11" t="s">
        <v>156</v>
      </c>
      <c r="G752" s="11" t="s">
        <v>157</v>
      </c>
      <c r="H752" s="11" t="s">
        <v>94</v>
      </c>
      <c r="I752" s="11" t="s">
        <v>95</v>
      </c>
      <c r="J752" s="11" t="s">
        <v>96</v>
      </c>
      <c r="K752" s="25">
        <v>8</v>
      </c>
      <c r="L752" s="25">
        <v>6000</v>
      </c>
      <c r="M752" s="29">
        <v>0.1</v>
      </c>
      <c r="N752" s="25">
        <v>43200</v>
      </c>
      <c r="O752" s="25">
        <v>34563.35</v>
      </c>
      <c r="P752" s="25">
        <v>8636.65</v>
      </c>
      <c r="Q752" s="21">
        <v>19.989999999999998</v>
      </c>
      <c r="R752" s="11" t="s">
        <v>41</v>
      </c>
      <c r="S752" s="11" t="s">
        <v>62</v>
      </c>
      <c r="T752" s="11" t="s">
        <v>173</v>
      </c>
      <c r="U752" s="11" t="s">
        <v>108</v>
      </c>
      <c r="V752" s="11">
        <v>2024</v>
      </c>
      <c r="W752" s="11" t="s">
        <v>126</v>
      </c>
      <c r="X752" s="11">
        <v>10</v>
      </c>
      <c r="Y752" s="10">
        <v>45361</v>
      </c>
      <c r="Z752" s="11" t="s">
        <v>47</v>
      </c>
      <c r="AA752" s="11" t="s">
        <v>48</v>
      </c>
      <c r="AB752" s="11" t="s">
        <v>49</v>
      </c>
      <c r="AC752" s="11" t="s">
        <v>121</v>
      </c>
      <c r="AD752" s="11">
        <v>1</v>
      </c>
      <c r="AE752" s="11" t="s">
        <v>86</v>
      </c>
      <c r="AF752" s="11" t="s">
        <v>2223</v>
      </c>
      <c r="AG752" s="25"/>
      <c r="AH752" s="11"/>
      <c r="AI752" s="11"/>
      <c r="AJ752" s="11"/>
      <c r="AK752" s="11"/>
      <c r="AL752" s="11"/>
      <c r="AM752" s="11" t="str">
        <f t="shared" si="59"/>
        <v>Needs Improvement</v>
      </c>
      <c r="AN752" s="11" t="str" cm="1">
        <f t="array" ref="AN752">_xlfn.IFS(N752&lt;10000,"Low",N752&lt;30000,"Medium",N752&gt;=30000,"High")</f>
        <v>High</v>
      </c>
      <c r="AO752" s="11" t="str">
        <f t="shared" si="60"/>
        <v>No</v>
      </c>
      <c r="AP752" s="11" t="str">
        <f t="shared" si="61"/>
        <v>No</v>
      </c>
      <c r="AQ752" s="11">
        <f t="shared" si="62"/>
        <v>0.19992245370370371</v>
      </c>
      <c r="AR752" s="33"/>
      <c r="AS752" s="33"/>
      <c r="AT752" s="33"/>
      <c r="AU752" s="33"/>
      <c r="AV752" s="33"/>
      <c r="AW752" s="33"/>
      <c r="AX752" s="33" t="str">
        <f t="shared" si="63"/>
        <v>Average</v>
      </c>
    </row>
    <row r="753" spans="1:50">
      <c r="A753" s="9" t="s">
        <v>2117</v>
      </c>
      <c r="B753" s="10" t="s">
        <v>1679</v>
      </c>
      <c r="C753" s="11" t="s">
        <v>1262</v>
      </c>
      <c r="D753" s="11" t="s">
        <v>1243</v>
      </c>
      <c r="E753" s="11" t="s">
        <v>103</v>
      </c>
      <c r="F753" s="11" t="s">
        <v>245</v>
      </c>
      <c r="G753" s="11" t="s">
        <v>246</v>
      </c>
      <c r="H753" s="11" t="s">
        <v>94</v>
      </c>
      <c r="I753" s="11" t="s">
        <v>71</v>
      </c>
      <c r="J753" s="11" t="s">
        <v>158</v>
      </c>
      <c r="K753" s="25">
        <v>5</v>
      </c>
      <c r="L753" s="25">
        <v>3500</v>
      </c>
      <c r="M753" s="29">
        <v>0.15</v>
      </c>
      <c r="N753" s="25">
        <v>14875</v>
      </c>
      <c r="O753" s="25">
        <v>11413.39</v>
      </c>
      <c r="P753" s="25">
        <v>3461.61</v>
      </c>
      <c r="Q753" s="21">
        <v>23.27</v>
      </c>
      <c r="R753" s="11" t="s">
        <v>61</v>
      </c>
      <c r="S753" s="11" t="s">
        <v>42</v>
      </c>
      <c r="T753" s="11" t="s">
        <v>75</v>
      </c>
      <c r="U753" s="11" t="s">
        <v>108</v>
      </c>
      <c r="V753" s="11">
        <v>2025</v>
      </c>
      <c r="W753" s="11" t="s">
        <v>109</v>
      </c>
      <c r="X753" s="11">
        <v>9</v>
      </c>
      <c r="Y753" s="10">
        <v>45698</v>
      </c>
      <c r="Z753" s="11" t="s">
        <v>89</v>
      </c>
      <c r="AA753" s="11" t="s">
        <v>48</v>
      </c>
      <c r="AB753" s="11" t="s">
        <v>78</v>
      </c>
      <c r="AC753" s="11" t="s">
        <v>121</v>
      </c>
      <c r="AD753" s="11">
        <v>3</v>
      </c>
      <c r="AE753" s="11" t="s">
        <v>2229</v>
      </c>
      <c r="AF753" s="11" t="s">
        <v>2223</v>
      </c>
      <c r="AG753" s="25"/>
      <c r="AH753" s="11"/>
      <c r="AI753" s="11"/>
      <c r="AJ753" s="11"/>
      <c r="AK753" s="11"/>
      <c r="AL753" s="11"/>
      <c r="AM753" s="11" t="str">
        <f t="shared" si="59"/>
        <v>Needs Improvement</v>
      </c>
      <c r="AN753" s="11" t="str" cm="1">
        <f t="array" ref="AN753">_xlfn.IFS(N753&lt;10000,"Low",N753&lt;30000,"Medium",N753&gt;=30000,"High")</f>
        <v>Medium</v>
      </c>
      <c r="AO753" s="11" t="str">
        <f t="shared" si="60"/>
        <v>No</v>
      </c>
      <c r="AP753" s="11" t="str">
        <f t="shared" si="61"/>
        <v>Yes</v>
      </c>
      <c r="AQ753" s="11">
        <f t="shared" si="62"/>
        <v>0.23271327731092437</v>
      </c>
      <c r="AR753" s="33"/>
      <c r="AS753" s="33"/>
      <c r="AT753" s="33"/>
      <c r="AU753" s="33"/>
      <c r="AV753" s="33"/>
      <c r="AW753" s="33"/>
      <c r="AX753" s="33" t="str">
        <f t="shared" si="63"/>
        <v>Low</v>
      </c>
    </row>
    <row r="754" spans="1:50">
      <c r="A754" s="9" t="s">
        <v>496</v>
      </c>
      <c r="B754" s="10" t="s">
        <v>497</v>
      </c>
      <c r="C754" s="11" t="s">
        <v>498</v>
      </c>
      <c r="D754" s="11" t="s">
        <v>499</v>
      </c>
      <c r="E754" s="11" t="s">
        <v>35</v>
      </c>
      <c r="F754" s="11" t="s">
        <v>144</v>
      </c>
      <c r="G754" s="11" t="s">
        <v>145</v>
      </c>
      <c r="H754" s="11" t="s">
        <v>58</v>
      </c>
      <c r="I754" s="11" t="s">
        <v>71</v>
      </c>
      <c r="J754" s="11" t="s">
        <v>172</v>
      </c>
      <c r="K754" s="25">
        <v>1</v>
      </c>
      <c r="L754" s="25">
        <v>2500</v>
      </c>
      <c r="M754" s="29">
        <v>0.2</v>
      </c>
      <c r="N754" s="25">
        <v>2000</v>
      </c>
      <c r="O754" s="25">
        <v>1232.23</v>
      </c>
      <c r="P754" s="25">
        <v>767.77</v>
      </c>
      <c r="Q754" s="21">
        <v>38.39</v>
      </c>
      <c r="R754" s="11" t="s">
        <v>73</v>
      </c>
      <c r="S754" s="11" t="s">
        <v>62</v>
      </c>
      <c r="T754" s="11" t="s">
        <v>75</v>
      </c>
      <c r="U754" s="11" t="s">
        <v>87</v>
      </c>
      <c r="V754" s="11">
        <v>2024</v>
      </c>
      <c r="W754" s="11" t="s">
        <v>134</v>
      </c>
      <c r="X754" s="11">
        <v>5</v>
      </c>
      <c r="Y754" s="10" t="s">
        <v>500</v>
      </c>
      <c r="Z754" s="11" t="s">
        <v>110</v>
      </c>
      <c r="AA754" s="11" t="s">
        <v>67</v>
      </c>
      <c r="AB754" s="11" t="s">
        <v>78</v>
      </c>
      <c r="AC754" s="11" t="s">
        <v>121</v>
      </c>
      <c r="AD754" s="11">
        <v>3</v>
      </c>
      <c r="AE754" s="11" t="s">
        <v>2218</v>
      </c>
      <c r="AF754" s="11" t="s">
        <v>2219</v>
      </c>
      <c r="AG754" s="25"/>
      <c r="AH754" s="11"/>
      <c r="AI754" s="11"/>
      <c r="AJ754" s="11"/>
      <c r="AK754" s="11"/>
      <c r="AL754" s="11"/>
      <c r="AM754" s="11" t="str">
        <f t="shared" si="59"/>
        <v>Good</v>
      </c>
      <c r="AN754" s="11" t="str" cm="1">
        <f t="array" ref="AN754">_xlfn.IFS(N754&lt;10000,"Low",N754&lt;30000,"Medium",N754&gt;=30000,"High")</f>
        <v>Low</v>
      </c>
      <c r="AO754" s="11" t="str">
        <f t="shared" si="60"/>
        <v>No</v>
      </c>
      <c r="AP754" s="11" t="str">
        <f t="shared" si="61"/>
        <v>No</v>
      </c>
      <c r="AQ754" s="11">
        <f t="shared" si="62"/>
        <v>0.38388499999999998</v>
      </c>
      <c r="AR754" s="33"/>
      <c r="AS754" s="33"/>
      <c r="AT754" s="33"/>
      <c r="AU754" s="33"/>
      <c r="AV754" s="33"/>
      <c r="AW754" s="33"/>
      <c r="AX754" s="33" t="str">
        <f t="shared" si="63"/>
        <v>Low</v>
      </c>
    </row>
    <row r="755" spans="1:50">
      <c r="A755" s="9" t="s">
        <v>1617</v>
      </c>
      <c r="B755" s="10" t="s">
        <v>497</v>
      </c>
      <c r="C755" s="11" t="s">
        <v>1618</v>
      </c>
      <c r="D755" s="11" t="s">
        <v>791</v>
      </c>
      <c r="E755" s="11" t="s">
        <v>55</v>
      </c>
      <c r="F755" s="11" t="s">
        <v>131</v>
      </c>
      <c r="G755" s="11" t="s">
        <v>132</v>
      </c>
      <c r="H755" s="11" t="s">
        <v>58</v>
      </c>
      <c r="I755" s="11" t="s">
        <v>59</v>
      </c>
      <c r="J755" s="11" t="s">
        <v>206</v>
      </c>
      <c r="K755" s="25">
        <v>8</v>
      </c>
      <c r="L755" s="25">
        <v>2000</v>
      </c>
      <c r="M755" s="29">
        <v>0.1</v>
      </c>
      <c r="N755" s="25">
        <v>14400</v>
      </c>
      <c r="O755" s="25">
        <v>9836.64</v>
      </c>
      <c r="P755" s="25">
        <v>4563.3599999999997</v>
      </c>
      <c r="Q755" s="21">
        <v>31.69</v>
      </c>
      <c r="R755" s="11" t="s">
        <v>166</v>
      </c>
      <c r="S755" s="11" t="s">
        <v>62</v>
      </c>
      <c r="T755" s="11" t="s">
        <v>75</v>
      </c>
      <c r="U755" s="11" t="s">
        <v>87</v>
      </c>
      <c r="V755" s="11">
        <v>2024</v>
      </c>
      <c r="W755" s="11" t="s">
        <v>134</v>
      </c>
      <c r="X755" s="11">
        <v>2</v>
      </c>
      <c r="Y755" s="10" t="s">
        <v>1619</v>
      </c>
      <c r="Z755" s="11" t="s">
        <v>89</v>
      </c>
      <c r="AA755" s="11" t="s">
        <v>90</v>
      </c>
      <c r="AB755" s="11" t="s">
        <v>49</v>
      </c>
      <c r="AC755" s="11" t="s">
        <v>50</v>
      </c>
      <c r="AD755" s="11">
        <v>4</v>
      </c>
      <c r="AE755" s="11" t="s">
        <v>2225</v>
      </c>
      <c r="AF755" s="11" t="s">
        <v>2223</v>
      </c>
      <c r="AG755" s="25"/>
      <c r="AH755" s="11"/>
      <c r="AI755" s="11"/>
      <c r="AJ755" s="11"/>
      <c r="AK755" s="11"/>
      <c r="AL755" s="11"/>
      <c r="AM755" s="11" t="str">
        <f t="shared" si="59"/>
        <v>Good</v>
      </c>
      <c r="AN755" s="11" t="str" cm="1">
        <f t="array" ref="AN755">_xlfn.IFS(N755&lt;10000,"Low",N755&lt;30000,"Medium",N755&gt;=30000,"High")</f>
        <v>Medium</v>
      </c>
      <c r="AO755" s="11" t="str">
        <f t="shared" si="60"/>
        <v>No</v>
      </c>
      <c r="AP755" s="11" t="str">
        <f t="shared" si="61"/>
        <v>No</v>
      </c>
      <c r="AQ755" s="11">
        <f t="shared" si="62"/>
        <v>0.31689999999999996</v>
      </c>
      <c r="AR755" s="33"/>
      <c r="AS755" s="33"/>
      <c r="AT755" s="33"/>
      <c r="AU755" s="33"/>
      <c r="AV755" s="33"/>
      <c r="AW755" s="33"/>
      <c r="AX755" s="33" t="str">
        <f t="shared" si="63"/>
        <v>Low</v>
      </c>
    </row>
    <row r="756" spans="1:50">
      <c r="A756" s="9" t="s">
        <v>1875</v>
      </c>
      <c r="B756" s="10" t="s">
        <v>1876</v>
      </c>
      <c r="C756" s="11" t="s">
        <v>830</v>
      </c>
      <c r="D756" s="11" t="s">
        <v>1506</v>
      </c>
      <c r="E756" s="11" t="s">
        <v>55</v>
      </c>
      <c r="F756" s="11" t="s">
        <v>245</v>
      </c>
      <c r="G756" s="11" t="s">
        <v>246</v>
      </c>
      <c r="H756" s="11" t="s">
        <v>171</v>
      </c>
      <c r="I756" s="11" t="s">
        <v>84</v>
      </c>
      <c r="J756" s="11" t="s">
        <v>290</v>
      </c>
      <c r="K756" s="25">
        <v>9</v>
      </c>
      <c r="L756" s="25">
        <v>100</v>
      </c>
      <c r="M756" s="29">
        <v>0.15</v>
      </c>
      <c r="N756" s="25">
        <v>765</v>
      </c>
      <c r="O756" s="25">
        <v>457.52</v>
      </c>
      <c r="P756" s="25">
        <v>307.48</v>
      </c>
      <c r="Q756" s="21">
        <v>40.19</v>
      </c>
      <c r="R756" s="11" t="s">
        <v>41</v>
      </c>
      <c r="S756" s="11" t="s">
        <v>42</v>
      </c>
      <c r="T756" s="11" t="s">
        <v>43</v>
      </c>
      <c r="U756" s="11" t="s">
        <v>87</v>
      </c>
      <c r="V756" s="11">
        <v>2025</v>
      </c>
      <c r="W756" s="11" t="s">
        <v>139</v>
      </c>
      <c r="X756" s="11">
        <v>6</v>
      </c>
      <c r="Y756" s="10" t="s">
        <v>735</v>
      </c>
      <c r="Z756" s="11" t="s">
        <v>110</v>
      </c>
      <c r="AA756" s="11" t="s">
        <v>48</v>
      </c>
      <c r="AB756" s="11" t="s">
        <v>49</v>
      </c>
      <c r="AC756" s="11" t="s">
        <v>121</v>
      </c>
      <c r="AD756" s="11">
        <v>4</v>
      </c>
      <c r="AE756" s="11" t="s">
        <v>2226</v>
      </c>
      <c r="AF756" s="11" t="s">
        <v>2235</v>
      </c>
      <c r="AG756" s="25"/>
      <c r="AH756" s="11"/>
      <c r="AI756" s="11"/>
      <c r="AJ756" s="11"/>
      <c r="AK756" s="11"/>
      <c r="AL756" s="11"/>
      <c r="AM756" s="11" t="str">
        <f t="shared" si="59"/>
        <v>Good</v>
      </c>
      <c r="AN756" s="11" t="str" cm="1">
        <f t="array" ref="AN756">_xlfn.IFS(N756&lt;10000,"Low",N756&lt;30000,"Medium",N756&gt;=30000,"High")</f>
        <v>Low</v>
      </c>
      <c r="AO756" s="11" t="str">
        <f t="shared" si="60"/>
        <v>No</v>
      </c>
      <c r="AP756" s="11" t="str">
        <f t="shared" si="61"/>
        <v>Yes</v>
      </c>
      <c r="AQ756" s="11">
        <f t="shared" si="62"/>
        <v>0.40193464052287586</v>
      </c>
      <c r="AR756" s="33"/>
      <c r="AS756" s="33"/>
      <c r="AT756" s="33"/>
      <c r="AU756" s="33"/>
      <c r="AV756" s="33"/>
      <c r="AW756" s="33"/>
      <c r="AX756" s="33" t="str">
        <f t="shared" si="63"/>
        <v>Low</v>
      </c>
    </row>
    <row r="757" spans="1:50">
      <c r="A757" s="9" t="s">
        <v>2091</v>
      </c>
      <c r="B757" s="10" t="s">
        <v>303</v>
      </c>
      <c r="C757" s="11" t="s">
        <v>809</v>
      </c>
      <c r="D757" s="11" t="s">
        <v>1721</v>
      </c>
      <c r="E757" s="11" t="s">
        <v>103</v>
      </c>
      <c r="F757" s="11" t="s">
        <v>245</v>
      </c>
      <c r="G757" s="11" t="s">
        <v>246</v>
      </c>
      <c r="H757" s="11" t="s">
        <v>171</v>
      </c>
      <c r="I757" s="11" t="s">
        <v>95</v>
      </c>
      <c r="J757" s="11" t="s">
        <v>184</v>
      </c>
      <c r="K757" s="25">
        <v>9</v>
      </c>
      <c r="L757" s="25">
        <v>2500</v>
      </c>
      <c r="M757" s="29">
        <v>0.1</v>
      </c>
      <c r="N757" s="25">
        <v>20250</v>
      </c>
      <c r="O757" s="25">
        <v>15663.32</v>
      </c>
      <c r="P757" s="25">
        <v>4586.68</v>
      </c>
      <c r="Q757" s="21">
        <v>22.65</v>
      </c>
      <c r="R757" s="11" t="s">
        <v>106</v>
      </c>
      <c r="S757" s="11" t="s">
        <v>74</v>
      </c>
      <c r="T757" s="11" t="s">
        <v>43</v>
      </c>
      <c r="U757" s="11" t="s">
        <v>198</v>
      </c>
      <c r="V757" s="11">
        <v>2024</v>
      </c>
      <c r="W757" s="11" t="s">
        <v>65</v>
      </c>
      <c r="X757" s="11">
        <v>5</v>
      </c>
      <c r="Y757" s="10" t="s">
        <v>405</v>
      </c>
      <c r="Z757" s="11" t="s">
        <v>47</v>
      </c>
      <c r="AA757" s="11" t="s">
        <v>90</v>
      </c>
      <c r="AB757" s="11" t="s">
        <v>49</v>
      </c>
      <c r="AC757" s="11" t="s">
        <v>50</v>
      </c>
      <c r="AD757" s="11">
        <v>4</v>
      </c>
      <c r="AE757" s="11" t="s">
        <v>2232</v>
      </c>
      <c r="AF757" s="11" t="s">
        <v>2212</v>
      </c>
      <c r="AG757" s="25"/>
      <c r="AH757" s="11"/>
      <c r="AI757" s="11"/>
      <c r="AJ757" s="11"/>
      <c r="AK757" s="11"/>
      <c r="AL757" s="11"/>
      <c r="AM757" s="11" t="str">
        <f t="shared" si="59"/>
        <v>Needs Improvement</v>
      </c>
      <c r="AN757" s="11" t="str" cm="1">
        <f t="array" ref="AN757">_xlfn.IFS(N757&lt;10000,"Low",N757&lt;30000,"Medium",N757&gt;=30000,"High")</f>
        <v>Medium</v>
      </c>
      <c r="AO757" s="11" t="str">
        <f t="shared" si="60"/>
        <v>No</v>
      </c>
      <c r="AP757" s="11" t="str">
        <f t="shared" si="61"/>
        <v>Yes</v>
      </c>
      <c r="AQ757" s="11">
        <f t="shared" si="62"/>
        <v>0.22650271604938274</v>
      </c>
      <c r="AR757" s="33"/>
      <c r="AS757" s="33"/>
      <c r="AT757" s="33"/>
      <c r="AU757" s="33"/>
      <c r="AV757" s="33"/>
      <c r="AW757" s="33"/>
      <c r="AX757" s="33" t="str">
        <f t="shared" si="63"/>
        <v>Low</v>
      </c>
    </row>
    <row r="758" spans="1:50">
      <c r="A758" s="9" t="s">
        <v>436</v>
      </c>
      <c r="B758" s="10" t="s">
        <v>437</v>
      </c>
      <c r="C758" s="11" t="s">
        <v>438</v>
      </c>
      <c r="D758" s="11" t="s">
        <v>439</v>
      </c>
      <c r="E758" s="11" t="s">
        <v>35</v>
      </c>
      <c r="F758" s="11" t="s">
        <v>144</v>
      </c>
      <c r="G758" s="11" t="s">
        <v>145</v>
      </c>
      <c r="H758" s="11" t="s">
        <v>171</v>
      </c>
      <c r="I758" s="11" t="s">
        <v>95</v>
      </c>
      <c r="J758" s="11" t="s">
        <v>440</v>
      </c>
      <c r="K758" s="25">
        <v>1</v>
      </c>
      <c r="L758" s="25">
        <v>9000</v>
      </c>
      <c r="M758" s="29">
        <v>0.1</v>
      </c>
      <c r="N758" s="25">
        <v>8100</v>
      </c>
      <c r="O758" s="25">
        <v>5790.37</v>
      </c>
      <c r="P758" s="25">
        <v>2309.63</v>
      </c>
      <c r="Q758" s="21">
        <v>28.51</v>
      </c>
      <c r="R758" s="11" t="s">
        <v>166</v>
      </c>
      <c r="S758" s="11" t="s">
        <v>74</v>
      </c>
      <c r="T758" s="11" t="s">
        <v>97</v>
      </c>
      <c r="U758" s="11" t="s">
        <v>198</v>
      </c>
      <c r="V758" s="11">
        <v>2025</v>
      </c>
      <c r="W758" s="11" t="s">
        <v>45</v>
      </c>
      <c r="X758" s="11">
        <v>4</v>
      </c>
      <c r="Y758" s="10" t="s">
        <v>441</v>
      </c>
      <c r="Z758" s="11" t="s">
        <v>110</v>
      </c>
      <c r="AA758" s="11" t="s">
        <v>48</v>
      </c>
      <c r="AB758" s="11" t="s">
        <v>111</v>
      </c>
      <c r="AC758" s="11" t="s">
        <v>50</v>
      </c>
      <c r="AD758" s="11">
        <v>4</v>
      </c>
      <c r="AE758" s="11" t="s">
        <v>2213</v>
      </c>
      <c r="AF758" s="11" t="s">
        <v>2210</v>
      </c>
      <c r="AG758" s="25"/>
      <c r="AH758" s="11"/>
      <c r="AI758" s="11"/>
      <c r="AJ758" s="11"/>
      <c r="AK758" s="11"/>
      <c r="AL758" s="11"/>
      <c r="AM758" s="11" t="str">
        <f t="shared" si="59"/>
        <v>Needs Improvement</v>
      </c>
      <c r="AN758" s="11" t="str" cm="1">
        <f t="array" ref="AN758">_xlfn.IFS(N758&lt;10000,"Low",N758&lt;30000,"Medium",N758&gt;=30000,"High")</f>
        <v>Low</v>
      </c>
      <c r="AO758" s="11" t="str">
        <f t="shared" si="60"/>
        <v>No</v>
      </c>
      <c r="AP758" s="11" t="str">
        <f t="shared" si="61"/>
        <v>Yes</v>
      </c>
      <c r="AQ758" s="11">
        <f t="shared" si="62"/>
        <v>0.28513950617283951</v>
      </c>
      <c r="AR758" s="33"/>
      <c r="AS758" s="33"/>
      <c r="AT758" s="33"/>
      <c r="AU758" s="33"/>
      <c r="AV758" s="33"/>
      <c r="AW758" s="33"/>
      <c r="AX758" s="33" t="str">
        <f t="shared" si="63"/>
        <v>Low</v>
      </c>
    </row>
    <row r="759" spans="1:50">
      <c r="A759" s="9" t="s">
        <v>445</v>
      </c>
      <c r="B759" s="10" t="s">
        <v>446</v>
      </c>
      <c r="C759" s="11" t="s">
        <v>447</v>
      </c>
      <c r="D759" s="11" t="s">
        <v>448</v>
      </c>
      <c r="E759" s="11" t="s">
        <v>55</v>
      </c>
      <c r="F759" s="11" t="s">
        <v>131</v>
      </c>
      <c r="G759" s="11" t="s">
        <v>132</v>
      </c>
      <c r="H759" s="11" t="s">
        <v>58</v>
      </c>
      <c r="I759" s="11" t="s">
        <v>95</v>
      </c>
      <c r="J759" s="11" t="s">
        <v>440</v>
      </c>
      <c r="K759" s="25">
        <v>2</v>
      </c>
      <c r="L759" s="25">
        <v>4000</v>
      </c>
      <c r="M759" s="29">
        <v>0.15</v>
      </c>
      <c r="N759" s="25">
        <v>6800</v>
      </c>
      <c r="O759" s="25">
        <v>3837.78</v>
      </c>
      <c r="P759" s="25">
        <v>2962.22</v>
      </c>
      <c r="Q759" s="21">
        <v>43.56</v>
      </c>
      <c r="R759" s="11" t="s">
        <v>61</v>
      </c>
      <c r="S759" s="11" t="s">
        <v>74</v>
      </c>
      <c r="T759" s="11" t="s">
        <v>43</v>
      </c>
      <c r="U759" s="11" t="s">
        <v>64</v>
      </c>
      <c r="V759" s="11">
        <v>2024</v>
      </c>
      <c r="W759" s="11" t="s">
        <v>126</v>
      </c>
      <c r="X759" s="11">
        <v>1</v>
      </c>
      <c r="Y759" s="10" t="s">
        <v>385</v>
      </c>
      <c r="Z759" s="11" t="s">
        <v>110</v>
      </c>
      <c r="AA759" s="11" t="s">
        <v>67</v>
      </c>
      <c r="AB759" s="11" t="s">
        <v>49</v>
      </c>
      <c r="AC759" s="11" t="s">
        <v>50</v>
      </c>
      <c r="AD759" s="11">
        <v>2</v>
      </c>
      <c r="AE759" s="11" t="s">
        <v>159</v>
      </c>
      <c r="AF759" s="11" t="s">
        <v>2212</v>
      </c>
      <c r="AG759" s="25"/>
      <c r="AH759" s="11"/>
      <c r="AI759" s="11"/>
      <c r="AJ759" s="11"/>
      <c r="AK759" s="11"/>
      <c r="AL759" s="11"/>
      <c r="AM759" s="11" t="str">
        <f t="shared" si="59"/>
        <v>Good</v>
      </c>
      <c r="AN759" s="11" t="str" cm="1">
        <f t="array" ref="AN759">_xlfn.IFS(N759&lt;10000,"Low",N759&lt;30000,"Medium",N759&gt;=30000,"High")</f>
        <v>Low</v>
      </c>
      <c r="AO759" s="11" t="str">
        <f t="shared" si="60"/>
        <v>No</v>
      </c>
      <c r="AP759" s="11" t="str">
        <f t="shared" si="61"/>
        <v>Yes</v>
      </c>
      <c r="AQ759" s="11">
        <f t="shared" si="62"/>
        <v>0.43562058823529409</v>
      </c>
      <c r="AR759" s="33"/>
      <c r="AS759" s="33"/>
      <c r="AT759" s="33"/>
      <c r="AU759" s="33"/>
      <c r="AV759" s="33"/>
      <c r="AW759" s="33"/>
      <c r="AX759" s="33" t="str">
        <f t="shared" si="63"/>
        <v>Low</v>
      </c>
    </row>
    <row r="760" spans="1:50">
      <c r="A760" s="9" t="s">
        <v>449</v>
      </c>
      <c r="B760" s="10" t="s">
        <v>450</v>
      </c>
      <c r="C760" s="11" t="s">
        <v>124</v>
      </c>
      <c r="D760" s="11" t="s">
        <v>451</v>
      </c>
      <c r="E760" s="11" t="s">
        <v>35</v>
      </c>
      <c r="F760" s="11" t="s">
        <v>245</v>
      </c>
      <c r="G760" s="11" t="s">
        <v>246</v>
      </c>
      <c r="H760" s="11" t="s">
        <v>38</v>
      </c>
      <c r="I760" s="11" t="s">
        <v>39</v>
      </c>
      <c r="J760" s="11" t="s">
        <v>40</v>
      </c>
      <c r="K760" s="25">
        <v>8</v>
      </c>
      <c r="L760" s="25">
        <v>50000</v>
      </c>
      <c r="M760" s="29">
        <v>0.05</v>
      </c>
      <c r="N760" s="25">
        <v>380000</v>
      </c>
      <c r="O760" s="25">
        <v>272134.73</v>
      </c>
      <c r="P760" s="25">
        <v>107865.27</v>
      </c>
      <c r="Q760" s="21">
        <v>28.39</v>
      </c>
      <c r="R760" s="11" t="s">
        <v>41</v>
      </c>
      <c r="S760" s="11" t="s">
        <v>42</v>
      </c>
      <c r="T760" s="11" t="s">
        <v>63</v>
      </c>
      <c r="U760" s="11" t="s">
        <v>64</v>
      </c>
      <c r="V760" s="11">
        <v>2025</v>
      </c>
      <c r="W760" s="11" t="s">
        <v>109</v>
      </c>
      <c r="X760" s="11">
        <v>8</v>
      </c>
      <c r="Y760" s="10" t="s">
        <v>128</v>
      </c>
      <c r="Z760" s="11" t="s">
        <v>110</v>
      </c>
      <c r="AA760" s="11" t="s">
        <v>48</v>
      </c>
      <c r="AB760" s="11" t="s">
        <v>78</v>
      </c>
      <c r="AC760" s="11" t="s">
        <v>121</v>
      </c>
      <c r="AD760" s="11">
        <v>3</v>
      </c>
      <c r="AE760" s="11" t="s">
        <v>2232</v>
      </c>
      <c r="AF760" s="11" t="s">
        <v>2228</v>
      </c>
      <c r="AG760" s="25"/>
      <c r="AH760" s="11"/>
      <c r="AI760" s="11"/>
      <c r="AJ760" s="11"/>
      <c r="AK760" s="11"/>
      <c r="AL760" s="11"/>
      <c r="AM760" s="11" t="str">
        <f t="shared" si="59"/>
        <v>Needs Improvement</v>
      </c>
      <c r="AN760" s="11" t="str" cm="1">
        <f t="array" ref="AN760">_xlfn.IFS(N760&lt;10000,"Low",N760&lt;30000,"Medium",N760&gt;=30000,"High")</f>
        <v>High</v>
      </c>
      <c r="AO760" s="11" t="str">
        <f t="shared" si="60"/>
        <v>Yes</v>
      </c>
      <c r="AP760" s="11" t="str">
        <f t="shared" si="61"/>
        <v>Yes</v>
      </c>
      <c r="AQ760" s="11">
        <f t="shared" si="62"/>
        <v>0.28385597368421056</v>
      </c>
      <c r="AR760" s="33"/>
      <c r="AS760" s="33"/>
      <c r="AT760" s="33"/>
      <c r="AU760" s="33"/>
      <c r="AV760" s="33"/>
      <c r="AW760" s="33"/>
      <c r="AX760" s="33" t="str">
        <f t="shared" si="63"/>
        <v>Excellent</v>
      </c>
    </row>
    <row r="761" spans="1:50">
      <c r="A761" s="9" t="s">
        <v>587</v>
      </c>
      <c r="B761" s="10" t="s">
        <v>588</v>
      </c>
      <c r="C761" s="11" t="s">
        <v>589</v>
      </c>
      <c r="D761" s="11" t="s">
        <v>590</v>
      </c>
      <c r="E761" s="11" t="s">
        <v>103</v>
      </c>
      <c r="F761" s="11" t="s">
        <v>149</v>
      </c>
      <c r="G761" s="11" t="s">
        <v>150</v>
      </c>
      <c r="H761" s="11" t="s">
        <v>94</v>
      </c>
      <c r="I761" s="11" t="s">
        <v>71</v>
      </c>
      <c r="J761" s="11" t="s">
        <v>117</v>
      </c>
      <c r="K761" s="25">
        <v>9</v>
      </c>
      <c r="L761" s="25">
        <v>1800</v>
      </c>
      <c r="M761" s="29">
        <v>0.1</v>
      </c>
      <c r="N761" s="25">
        <v>14580</v>
      </c>
      <c r="O761" s="25">
        <v>10572.76</v>
      </c>
      <c r="P761" s="25">
        <v>4007.24</v>
      </c>
      <c r="Q761" s="21">
        <v>27.48</v>
      </c>
      <c r="R761" s="11" t="s">
        <v>166</v>
      </c>
      <c r="S761" s="11" t="s">
        <v>74</v>
      </c>
      <c r="T761" s="11" t="s">
        <v>138</v>
      </c>
      <c r="U761" s="11" t="s">
        <v>76</v>
      </c>
      <c r="V761" s="11">
        <v>2025</v>
      </c>
      <c r="W761" s="11" t="s">
        <v>194</v>
      </c>
      <c r="X761" s="11">
        <v>8</v>
      </c>
      <c r="Y761" s="10">
        <v>45659</v>
      </c>
      <c r="Z761" s="11" t="s">
        <v>89</v>
      </c>
      <c r="AA761" s="11" t="s">
        <v>67</v>
      </c>
      <c r="AB761" s="11" t="s">
        <v>49</v>
      </c>
      <c r="AC761" s="11" t="s">
        <v>50</v>
      </c>
      <c r="AD761" s="11">
        <v>3</v>
      </c>
      <c r="AE761" s="11" t="s">
        <v>2225</v>
      </c>
      <c r="AF761" s="11" t="s">
        <v>2236</v>
      </c>
      <c r="AG761" s="25"/>
      <c r="AH761" s="11"/>
      <c r="AI761" s="11"/>
      <c r="AJ761" s="11"/>
      <c r="AK761" s="11"/>
      <c r="AL761" s="11"/>
      <c r="AM761" s="11" t="str">
        <f t="shared" si="59"/>
        <v>Needs Improvement</v>
      </c>
      <c r="AN761" s="11" t="str" cm="1">
        <f t="array" ref="AN761">_xlfn.IFS(N761&lt;10000,"Low",N761&lt;30000,"Medium",N761&gt;=30000,"High")</f>
        <v>Medium</v>
      </c>
      <c r="AO761" s="11" t="str">
        <f t="shared" si="60"/>
        <v>No</v>
      </c>
      <c r="AP761" s="11" t="str">
        <f t="shared" si="61"/>
        <v>Yes</v>
      </c>
      <c r="AQ761" s="11">
        <f t="shared" si="62"/>
        <v>0.27484499314128941</v>
      </c>
      <c r="AR761" s="33"/>
      <c r="AS761" s="33"/>
      <c r="AT761" s="33"/>
      <c r="AU761" s="33"/>
      <c r="AV761" s="33"/>
      <c r="AW761" s="33"/>
      <c r="AX761" s="33" t="str">
        <f t="shared" si="63"/>
        <v>Low</v>
      </c>
    </row>
    <row r="762" spans="1:50">
      <c r="A762" s="9" t="s">
        <v>1439</v>
      </c>
      <c r="B762" s="10" t="s">
        <v>588</v>
      </c>
      <c r="C762" s="11" t="s">
        <v>614</v>
      </c>
      <c r="D762" s="11" t="s">
        <v>1020</v>
      </c>
      <c r="E762" s="11" t="s">
        <v>55</v>
      </c>
      <c r="F762" s="11" t="s">
        <v>144</v>
      </c>
      <c r="G762" s="11" t="s">
        <v>145</v>
      </c>
      <c r="H762" s="11" t="s">
        <v>58</v>
      </c>
      <c r="I762" s="11" t="s">
        <v>59</v>
      </c>
      <c r="J762" s="11" t="s">
        <v>206</v>
      </c>
      <c r="K762" s="25">
        <v>9</v>
      </c>
      <c r="L762" s="25">
        <v>800</v>
      </c>
      <c r="M762" s="29">
        <v>0.1</v>
      </c>
      <c r="N762" s="25">
        <v>6480</v>
      </c>
      <c r="O762" s="25">
        <v>4357.62</v>
      </c>
      <c r="P762" s="25">
        <v>2122.38</v>
      </c>
      <c r="Q762" s="21">
        <v>32.75</v>
      </c>
      <c r="R762" s="11" t="s">
        <v>61</v>
      </c>
      <c r="S762" s="11" t="s">
        <v>74</v>
      </c>
      <c r="T762" s="11" t="s">
        <v>138</v>
      </c>
      <c r="U762" s="11" t="s">
        <v>76</v>
      </c>
      <c r="V762" s="11">
        <v>2025</v>
      </c>
      <c r="W762" s="11" t="s">
        <v>194</v>
      </c>
      <c r="X762" s="11">
        <v>8</v>
      </c>
      <c r="Y762" s="10">
        <v>45659</v>
      </c>
      <c r="Z762" s="11" t="s">
        <v>47</v>
      </c>
      <c r="AA762" s="11" t="s">
        <v>90</v>
      </c>
      <c r="AB762" s="11" t="s">
        <v>49</v>
      </c>
      <c r="AC762" s="11" t="s">
        <v>121</v>
      </c>
      <c r="AD762" s="11">
        <v>1</v>
      </c>
      <c r="AE762" s="11" t="s">
        <v>2240</v>
      </c>
      <c r="AF762" s="11" t="s">
        <v>2249</v>
      </c>
      <c r="AG762" s="25"/>
      <c r="AH762" s="11"/>
      <c r="AI762" s="11"/>
      <c r="AJ762" s="11"/>
      <c r="AK762" s="11"/>
      <c r="AL762" s="11"/>
      <c r="AM762" s="11" t="str">
        <f t="shared" si="59"/>
        <v>Good</v>
      </c>
      <c r="AN762" s="11" t="str" cm="1">
        <f t="array" ref="AN762">_xlfn.IFS(N762&lt;10000,"Low",N762&lt;30000,"Medium",N762&gt;=30000,"High")</f>
        <v>Low</v>
      </c>
      <c r="AO762" s="11" t="str">
        <f t="shared" si="60"/>
        <v>No</v>
      </c>
      <c r="AP762" s="11" t="str">
        <f t="shared" si="61"/>
        <v>Yes</v>
      </c>
      <c r="AQ762" s="11">
        <f t="shared" si="62"/>
        <v>0.32752777777777781</v>
      </c>
      <c r="AR762" s="33"/>
      <c r="AS762" s="33"/>
      <c r="AT762" s="33"/>
      <c r="AU762" s="33"/>
      <c r="AV762" s="33"/>
      <c r="AW762" s="33"/>
      <c r="AX762" s="33" t="str">
        <f t="shared" si="63"/>
        <v>Low</v>
      </c>
    </row>
    <row r="763" spans="1:50">
      <c r="A763" s="9" t="s">
        <v>1279</v>
      </c>
      <c r="B763" s="10" t="s">
        <v>1280</v>
      </c>
      <c r="C763" s="11" t="s">
        <v>1281</v>
      </c>
      <c r="D763" s="11" t="s">
        <v>1282</v>
      </c>
      <c r="E763" s="11" t="s">
        <v>55</v>
      </c>
      <c r="F763" s="11" t="s">
        <v>245</v>
      </c>
      <c r="G763" s="11" t="s">
        <v>246</v>
      </c>
      <c r="H763" s="11" t="s">
        <v>38</v>
      </c>
      <c r="I763" s="11" t="s">
        <v>84</v>
      </c>
      <c r="J763" s="11" t="s">
        <v>290</v>
      </c>
      <c r="K763" s="25">
        <v>3</v>
      </c>
      <c r="L763" s="25">
        <v>800</v>
      </c>
      <c r="M763" s="29">
        <v>0.15</v>
      </c>
      <c r="N763" s="25">
        <v>2040</v>
      </c>
      <c r="O763" s="25">
        <v>1152.06</v>
      </c>
      <c r="P763" s="25">
        <v>887.94</v>
      </c>
      <c r="Q763" s="21">
        <v>43.53</v>
      </c>
      <c r="R763" s="11" t="s">
        <v>166</v>
      </c>
      <c r="S763" s="11" t="s">
        <v>62</v>
      </c>
      <c r="T763" s="11" t="s">
        <v>173</v>
      </c>
      <c r="U763" s="11" t="s">
        <v>98</v>
      </c>
      <c r="V763" s="11">
        <v>2024</v>
      </c>
      <c r="W763" s="11" t="s">
        <v>65</v>
      </c>
      <c r="X763" s="11">
        <v>4</v>
      </c>
      <c r="Y763" s="10" t="s">
        <v>1283</v>
      </c>
      <c r="Z763" s="11" t="s">
        <v>47</v>
      </c>
      <c r="AA763" s="11" t="s">
        <v>67</v>
      </c>
      <c r="AB763" s="11" t="s">
        <v>49</v>
      </c>
      <c r="AC763" s="11" t="s">
        <v>50</v>
      </c>
      <c r="AD763" s="11">
        <v>3</v>
      </c>
      <c r="AE763" s="11" t="s">
        <v>2226</v>
      </c>
      <c r="AF763" s="11" t="s">
        <v>2219</v>
      </c>
      <c r="AG763" s="25"/>
      <c r="AH763" s="11"/>
      <c r="AI763" s="11"/>
      <c r="AJ763" s="11"/>
      <c r="AK763" s="11"/>
      <c r="AL763" s="11"/>
      <c r="AM763" s="11" t="str">
        <f t="shared" si="59"/>
        <v>Good</v>
      </c>
      <c r="AN763" s="11" t="str" cm="1">
        <f t="array" ref="AN763">_xlfn.IFS(N763&lt;10000,"Low",N763&lt;30000,"Medium",N763&gt;=30000,"High")</f>
        <v>Low</v>
      </c>
      <c r="AO763" s="11" t="str">
        <f t="shared" si="60"/>
        <v>No</v>
      </c>
      <c r="AP763" s="11" t="str">
        <f t="shared" si="61"/>
        <v>No</v>
      </c>
      <c r="AQ763" s="11">
        <f t="shared" si="62"/>
        <v>0.43526470588235294</v>
      </c>
      <c r="AR763" s="33"/>
      <c r="AS763" s="33"/>
      <c r="AT763" s="33"/>
      <c r="AU763" s="33"/>
      <c r="AV763" s="33"/>
      <c r="AW763" s="33"/>
      <c r="AX763" s="33" t="str">
        <f t="shared" si="63"/>
        <v>Low</v>
      </c>
    </row>
    <row r="764" spans="1:50">
      <c r="A764" s="9" t="s">
        <v>1888</v>
      </c>
      <c r="B764" s="10" t="s">
        <v>1280</v>
      </c>
      <c r="C764" s="11" t="s">
        <v>1292</v>
      </c>
      <c r="D764" s="11" t="s">
        <v>403</v>
      </c>
      <c r="E764" s="11" t="s">
        <v>55</v>
      </c>
      <c r="F764" s="11" t="s">
        <v>116</v>
      </c>
      <c r="G764" s="11" t="s">
        <v>37</v>
      </c>
      <c r="H764" s="11" t="s">
        <v>94</v>
      </c>
      <c r="I764" s="11" t="s">
        <v>71</v>
      </c>
      <c r="J764" s="11" t="s">
        <v>158</v>
      </c>
      <c r="K764" s="25">
        <v>10</v>
      </c>
      <c r="L764" s="25">
        <v>1200</v>
      </c>
      <c r="M764" s="29">
        <v>0</v>
      </c>
      <c r="N764" s="25">
        <v>12000</v>
      </c>
      <c r="O764" s="25">
        <v>8692.2999999999993</v>
      </c>
      <c r="P764" s="25">
        <v>3307.7</v>
      </c>
      <c r="Q764" s="21">
        <v>27.56</v>
      </c>
      <c r="R764" s="11" t="s">
        <v>106</v>
      </c>
      <c r="S764" s="11" t="s">
        <v>62</v>
      </c>
      <c r="T764" s="11" t="s">
        <v>43</v>
      </c>
      <c r="U764" s="11" t="s">
        <v>98</v>
      </c>
      <c r="V764" s="11">
        <v>2024</v>
      </c>
      <c r="W764" s="11" t="s">
        <v>65</v>
      </c>
      <c r="X764" s="11">
        <v>6</v>
      </c>
      <c r="Y764" s="10">
        <v>45294</v>
      </c>
      <c r="Z764" s="11" t="s">
        <v>47</v>
      </c>
      <c r="AA764" s="11" t="s">
        <v>90</v>
      </c>
      <c r="AB764" s="11" t="s">
        <v>78</v>
      </c>
      <c r="AC764" s="11" t="s">
        <v>121</v>
      </c>
      <c r="AD764" s="11">
        <v>3</v>
      </c>
      <c r="AE764" s="11" t="s">
        <v>159</v>
      </c>
      <c r="AF764" s="11" t="s">
        <v>2224</v>
      </c>
      <c r="AG764" s="25"/>
      <c r="AH764" s="11"/>
      <c r="AI764" s="11"/>
      <c r="AJ764" s="11"/>
      <c r="AK764" s="11"/>
      <c r="AL764" s="11"/>
      <c r="AM764" s="11" t="str">
        <f t="shared" si="59"/>
        <v>Needs Improvement</v>
      </c>
      <c r="AN764" s="11" t="str" cm="1">
        <f t="array" ref="AN764">_xlfn.IFS(N764&lt;10000,"Low",N764&lt;30000,"Medium",N764&gt;=30000,"High")</f>
        <v>Medium</v>
      </c>
      <c r="AO764" s="11" t="str">
        <f t="shared" si="60"/>
        <v>No</v>
      </c>
      <c r="AP764" s="11" t="str">
        <f t="shared" si="61"/>
        <v>No</v>
      </c>
      <c r="AQ764" s="11">
        <f t="shared" si="62"/>
        <v>0.27564166666666667</v>
      </c>
      <c r="AR764" s="33"/>
      <c r="AS764" s="33"/>
      <c r="AT764" s="33"/>
      <c r="AU764" s="33"/>
      <c r="AV764" s="33"/>
      <c r="AW764" s="33"/>
      <c r="AX764" s="33" t="str">
        <f t="shared" si="63"/>
        <v>Low</v>
      </c>
    </row>
    <row r="765" spans="1:50">
      <c r="A765" s="9" t="s">
        <v>2021</v>
      </c>
      <c r="B765" s="10" t="s">
        <v>1280</v>
      </c>
      <c r="C765" s="11" t="s">
        <v>2022</v>
      </c>
      <c r="D765" s="11" t="s">
        <v>2023</v>
      </c>
      <c r="E765" s="11" t="s">
        <v>35</v>
      </c>
      <c r="F765" s="11" t="s">
        <v>104</v>
      </c>
      <c r="G765" s="11" t="s">
        <v>104</v>
      </c>
      <c r="H765" s="11" t="s">
        <v>171</v>
      </c>
      <c r="I765" s="11" t="s">
        <v>95</v>
      </c>
      <c r="J765" s="11" t="s">
        <v>319</v>
      </c>
      <c r="K765" s="25">
        <v>6</v>
      </c>
      <c r="L765" s="25">
        <v>15000</v>
      </c>
      <c r="M765" s="29">
        <v>0</v>
      </c>
      <c r="N765" s="25">
        <v>90000</v>
      </c>
      <c r="O765" s="25">
        <v>60472.27</v>
      </c>
      <c r="P765" s="25">
        <v>29527.73</v>
      </c>
      <c r="Q765" s="21">
        <v>32.81</v>
      </c>
      <c r="R765" s="11" t="s">
        <v>41</v>
      </c>
      <c r="S765" s="11" t="s">
        <v>42</v>
      </c>
      <c r="T765" s="11" t="s">
        <v>173</v>
      </c>
      <c r="U765" s="11" t="s">
        <v>98</v>
      </c>
      <c r="V765" s="11">
        <v>2024</v>
      </c>
      <c r="W765" s="11" t="s">
        <v>65</v>
      </c>
      <c r="X765" s="11">
        <v>2</v>
      </c>
      <c r="Y765" s="10" t="s">
        <v>1163</v>
      </c>
      <c r="Z765" s="11" t="s">
        <v>47</v>
      </c>
      <c r="AA765" s="11" t="s">
        <v>67</v>
      </c>
      <c r="AB765" s="11" t="s">
        <v>78</v>
      </c>
      <c r="AC765" s="11" t="s">
        <v>121</v>
      </c>
      <c r="AD765" s="11">
        <v>1</v>
      </c>
      <c r="AE765" s="11" t="s">
        <v>2234</v>
      </c>
      <c r="AF765" s="11" t="s">
        <v>2217</v>
      </c>
      <c r="AG765" s="25"/>
      <c r="AH765" s="11"/>
      <c r="AI765" s="11"/>
      <c r="AJ765" s="11"/>
      <c r="AK765" s="11"/>
      <c r="AL765" s="11"/>
      <c r="AM765" s="11" t="str">
        <f t="shared" si="59"/>
        <v>Good</v>
      </c>
      <c r="AN765" s="11" t="str" cm="1">
        <f t="array" ref="AN765">_xlfn.IFS(N765&lt;10000,"Low",N765&lt;30000,"Medium",N765&gt;=30000,"High")</f>
        <v>High</v>
      </c>
      <c r="AO765" s="11" t="str">
        <f t="shared" si="60"/>
        <v>Yes</v>
      </c>
      <c r="AP765" s="11" t="str">
        <f t="shared" si="61"/>
        <v>Yes</v>
      </c>
      <c r="AQ765" s="11">
        <f t="shared" si="62"/>
        <v>0.3280858888888889</v>
      </c>
      <c r="AR765" s="33"/>
      <c r="AS765" s="33"/>
      <c r="AT765" s="33"/>
      <c r="AU765" s="33"/>
      <c r="AV765" s="33"/>
      <c r="AW765" s="33"/>
      <c r="AX765" s="33" t="str">
        <f t="shared" si="63"/>
        <v>Excellent</v>
      </c>
    </row>
    <row r="766" spans="1:50">
      <c r="A766" s="9" t="s">
        <v>315</v>
      </c>
      <c r="B766" s="10" t="s">
        <v>316</v>
      </c>
      <c r="C766" s="11" t="s">
        <v>317</v>
      </c>
      <c r="D766" s="11" t="s">
        <v>318</v>
      </c>
      <c r="E766" s="11" t="s">
        <v>103</v>
      </c>
      <c r="F766" s="11" t="s">
        <v>82</v>
      </c>
      <c r="G766" s="11" t="s">
        <v>83</v>
      </c>
      <c r="H766" s="11" t="s">
        <v>38</v>
      </c>
      <c r="I766" s="11" t="s">
        <v>95</v>
      </c>
      <c r="J766" s="11" t="s">
        <v>319</v>
      </c>
      <c r="K766" s="25">
        <v>10</v>
      </c>
      <c r="L766" s="25">
        <v>9000</v>
      </c>
      <c r="M766" s="29">
        <v>0.05</v>
      </c>
      <c r="N766" s="25">
        <v>85500</v>
      </c>
      <c r="O766" s="25">
        <v>64216.52</v>
      </c>
      <c r="P766" s="25">
        <v>21283.48</v>
      </c>
      <c r="Q766" s="21">
        <v>24.89</v>
      </c>
      <c r="R766" s="11" t="s">
        <v>166</v>
      </c>
      <c r="S766" s="11" t="s">
        <v>74</v>
      </c>
      <c r="T766" s="11" t="s">
        <v>118</v>
      </c>
      <c r="U766" s="11" t="s">
        <v>98</v>
      </c>
      <c r="V766" s="11">
        <v>2025</v>
      </c>
      <c r="W766" s="11" t="s">
        <v>126</v>
      </c>
      <c r="X766" s="11">
        <v>1</v>
      </c>
      <c r="Y766" s="10" t="s">
        <v>320</v>
      </c>
      <c r="Z766" s="11" t="s">
        <v>47</v>
      </c>
      <c r="AA766" s="11" t="s">
        <v>48</v>
      </c>
      <c r="AB766" s="11" t="s">
        <v>111</v>
      </c>
      <c r="AC766" s="11" t="s">
        <v>50</v>
      </c>
      <c r="AD766" s="11">
        <v>1</v>
      </c>
      <c r="AE766" s="11" t="s">
        <v>118</v>
      </c>
      <c r="AF766" s="11" t="s">
        <v>2235</v>
      </c>
      <c r="AG766" s="25"/>
      <c r="AH766" s="11"/>
      <c r="AI766" s="11"/>
      <c r="AJ766" s="11"/>
      <c r="AK766" s="11"/>
      <c r="AL766" s="11"/>
      <c r="AM766" s="11" t="str">
        <f t="shared" si="59"/>
        <v>Needs Improvement</v>
      </c>
      <c r="AN766" s="11" t="str" cm="1">
        <f t="array" ref="AN766">_xlfn.IFS(N766&lt;10000,"Low",N766&lt;30000,"Medium",N766&gt;=30000,"High")</f>
        <v>High</v>
      </c>
      <c r="AO766" s="11" t="str">
        <f t="shared" si="60"/>
        <v>Yes</v>
      </c>
      <c r="AP766" s="11" t="str">
        <f t="shared" si="61"/>
        <v>Yes</v>
      </c>
      <c r="AQ766" s="11">
        <f t="shared" si="62"/>
        <v>0.24892959064327486</v>
      </c>
      <c r="AR766" s="33"/>
      <c r="AS766" s="33"/>
      <c r="AT766" s="33"/>
      <c r="AU766" s="33"/>
      <c r="AV766" s="33"/>
      <c r="AW766" s="33"/>
      <c r="AX766" s="33" t="str">
        <f t="shared" si="63"/>
        <v>Excellent</v>
      </c>
    </row>
    <row r="767" spans="1:50">
      <c r="A767" s="9" t="s">
        <v>304</v>
      </c>
      <c r="B767" s="10" t="s">
        <v>305</v>
      </c>
      <c r="C767" s="11" t="s">
        <v>306</v>
      </c>
      <c r="D767" s="11" t="s">
        <v>307</v>
      </c>
      <c r="E767" s="11" t="s">
        <v>35</v>
      </c>
      <c r="F767" s="11" t="s">
        <v>104</v>
      </c>
      <c r="G767" s="11" t="s">
        <v>104</v>
      </c>
      <c r="H767" s="11" t="s">
        <v>38</v>
      </c>
      <c r="I767" s="11" t="s">
        <v>95</v>
      </c>
      <c r="J767" s="11" t="s">
        <v>184</v>
      </c>
      <c r="K767" s="25">
        <v>9</v>
      </c>
      <c r="L767" s="25">
        <v>4000</v>
      </c>
      <c r="M767" s="29">
        <v>0.1</v>
      </c>
      <c r="N767" s="25">
        <v>32400</v>
      </c>
      <c r="O767" s="25">
        <v>18072.55</v>
      </c>
      <c r="P767" s="25">
        <v>14327.45</v>
      </c>
      <c r="Q767" s="21">
        <v>44.22</v>
      </c>
      <c r="R767" s="11" t="s">
        <v>61</v>
      </c>
      <c r="S767" s="11" t="s">
        <v>42</v>
      </c>
      <c r="T767" s="11" t="s">
        <v>43</v>
      </c>
      <c r="U767" s="11" t="s">
        <v>178</v>
      </c>
      <c r="V767" s="11">
        <v>2025</v>
      </c>
      <c r="W767" s="11" t="s">
        <v>126</v>
      </c>
      <c r="X767" s="11">
        <v>8</v>
      </c>
      <c r="Y767" s="10">
        <v>45661</v>
      </c>
      <c r="Z767" s="11" t="s">
        <v>47</v>
      </c>
      <c r="AA767" s="11" t="s">
        <v>48</v>
      </c>
      <c r="AB767" s="11" t="s">
        <v>78</v>
      </c>
      <c r="AC767" s="11" t="s">
        <v>121</v>
      </c>
      <c r="AD767" s="11">
        <v>2</v>
      </c>
      <c r="AE767" s="11" t="s">
        <v>2234</v>
      </c>
      <c r="AF767" s="11" t="s">
        <v>2238</v>
      </c>
      <c r="AG767" s="25"/>
      <c r="AH767" s="11"/>
      <c r="AI767" s="11"/>
      <c r="AJ767" s="11"/>
      <c r="AK767" s="11"/>
      <c r="AL767" s="11"/>
      <c r="AM767" s="11" t="str">
        <f t="shared" si="59"/>
        <v>Good</v>
      </c>
      <c r="AN767" s="11" t="str" cm="1">
        <f t="array" ref="AN767">_xlfn.IFS(N767&lt;10000,"Low",N767&lt;30000,"Medium",N767&gt;=30000,"High")</f>
        <v>High</v>
      </c>
      <c r="AO767" s="11" t="str">
        <f t="shared" si="60"/>
        <v>Yes</v>
      </c>
      <c r="AP767" s="11" t="str">
        <f t="shared" si="61"/>
        <v>Yes</v>
      </c>
      <c r="AQ767" s="11">
        <f t="shared" si="62"/>
        <v>0.44220524691358026</v>
      </c>
      <c r="AR767" s="33"/>
      <c r="AS767" s="33"/>
      <c r="AT767" s="33"/>
      <c r="AU767" s="33"/>
      <c r="AV767" s="33"/>
      <c r="AW767" s="33"/>
      <c r="AX767" s="33" t="str">
        <f t="shared" si="63"/>
        <v>Good</v>
      </c>
    </row>
    <row r="768" spans="1:50">
      <c r="A768" s="9" t="s">
        <v>1627</v>
      </c>
      <c r="B768" s="10" t="s">
        <v>305</v>
      </c>
      <c r="C768" s="11" t="s">
        <v>1628</v>
      </c>
      <c r="D768" s="11" t="s">
        <v>1370</v>
      </c>
      <c r="E768" s="11" t="s">
        <v>103</v>
      </c>
      <c r="F768" s="11" t="s">
        <v>144</v>
      </c>
      <c r="G768" s="11" t="s">
        <v>145</v>
      </c>
      <c r="H768" s="11" t="s">
        <v>38</v>
      </c>
      <c r="I768" s="11" t="s">
        <v>59</v>
      </c>
      <c r="J768" s="11" t="s">
        <v>206</v>
      </c>
      <c r="K768" s="25">
        <v>4</v>
      </c>
      <c r="L768" s="25">
        <v>1200</v>
      </c>
      <c r="M768" s="29">
        <v>0.15</v>
      </c>
      <c r="N768" s="25">
        <v>4080</v>
      </c>
      <c r="O768" s="25">
        <v>2465.63</v>
      </c>
      <c r="P768" s="25">
        <v>1614.37</v>
      </c>
      <c r="Q768" s="21">
        <v>39.57</v>
      </c>
      <c r="R768" s="11" t="s">
        <v>106</v>
      </c>
      <c r="S768" s="11" t="s">
        <v>42</v>
      </c>
      <c r="T768" s="11" t="s">
        <v>43</v>
      </c>
      <c r="U768" s="11" t="s">
        <v>178</v>
      </c>
      <c r="V768" s="11">
        <v>2025</v>
      </c>
      <c r="W768" s="11" t="s">
        <v>126</v>
      </c>
      <c r="X768" s="11">
        <v>5</v>
      </c>
      <c r="Y768" s="10" t="s">
        <v>993</v>
      </c>
      <c r="Z768" s="11" t="s">
        <v>47</v>
      </c>
      <c r="AA768" s="11" t="s">
        <v>48</v>
      </c>
      <c r="AB768" s="11" t="s">
        <v>111</v>
      </c>
      <c r="AC768" s="11" t="s">
        <v>121</v>
      </c>
      <c r="AD768" s="11">
        <v>2</v>
      </c>
      <c r="AE768" s="11" t="s">
        <v>2221</v>
      </c>
      <c r="AF768" s="11" t="s">
        <v>2217</v>
      </c>
      <c r="AG768" s="25"/>
      <c r="AH768" s="11"/>
      <c r="AI768" s="11"/>
      <c r="AJ768" s="11"/>
      <c r="AK768" s="11"/>
      <c r="AL768" s="11"/>
      <c r="AM768" s="11" t="str">
        <f t="shared" si="59"/>
        <v>Good</v>
      </c>
      <c r="AN768" s="11" t="str" cm="1">
        <f t="array" ref="AN768">_xlfn.IFS(N768&lt;10000,"Low",N768&lt;30000,"Medium",N768&gt;=30000,"High")</f>
        <v>Low</v>
      </c>
      <c r="AO768" s="11" t="str">
        <f t="shared" si="60"/>
        <v>No</v>
      </c>
      <c r="AP768" s="11" t="str">
        <f t="shared" si="61"/>
        <v>Yes</v>
      </c>
      <c r="AQ768" s="11">
        <f t="shared" si="62"/>
        <v>0.39567892156862744</v>
      </c>
      <c r="AR768" s="33"/>
      <c r="AS768" s="33"/>
      <c r="AT768" s="33"/>
      <c r="AU768" s="33"/>
      <c r="AV768" s="33"/>
      <c r="AW768" s="33"/>
      <c r="AX768" s="33" t="str">
        <f t="shared" si="63"/>
        <v>Low</v>
      </c>
    </row>
    <row r="769" spans="1:50">
      <c r="A769" s="9" t="s">
        <v>1251</v>
      </c>
      <c r="B769" s="10" t="s">
        <v>1252</v>
      </c>
      <c r="C769" s="11" t="s">
        <v>251</v>
      </c>
      <c r="D769" s="11" t="s">
        <v>1201</v>
      </c>
      <c r="E769" s="11" t="s">
        <v>103</v>
      </c>
      <c r="F769" s="11" t="s">
        <v>156</v>
      </c>
      <c r="G769" s="11" t="s">
        <v>157</v>
      </c>
      <c r="H769" s="11" t="s">
        <v>171</v>
      </c>
      <c r="I769" s="11" t="s">
        <v>84</v>
      </c>
      <c r="J769" s="11" t="s">
        <v>390</v>
      </c>
      <c r="K769" s="25">
        <v>7</v>
      </c>
      <c r="L769" s="25">
        <v>200</v>
      </c>
      <c r="M769" s="29">
        <v>0.05</v>
      </c>
      <c r="N769" s="25">
        <v>1330</v>
      </c>
      <c r="O769" s="25">
        <v>1066.52</v>
      </c>
      <c r="P769" s="25">
        <v>263.48</v>
      </c>
      <c r="Q769" s="21">
        <v>19.809999999999999</v>
      </c>
      <c r="R769" s="11" t="s">
        <v>166</v>
      </c>
      <c r="S769" s="11" t="s">
        <v>74</v>
      </c>
      <c r="T769" s="11" t="s">
        <v>86</v>
      </c>
      <c r="U769" s="11" t="s">
        <v>44</v>
      </c>
      <c r="V769" s="11">
        <v>2024</v>
      </c>
      <c r="W769" s="11" t="s">
        <v>134</v>
      </c>
      <c r="X769" s="11">
        <v>10</v>
      </c>
      <c r="Y769" s="10">
        <v>45387</v>
      </c>
      <c r="Z769" s="11" t="s">
        <v>89</v>
      </c>
      <c r="AA769" s="11" t="s">
        <v>48</v>
      </c>
      <c r="AB769" s="11" t="s">
        <v>49</v>
      </c>
      <c r="AC769" s="11" t="s">
        <v>50</v>
      </c>
      <c r="AD769" s="11">
        <v>3</v>
      </c>
      <c r="AE769" s="11" t="s">
        <v>2229</v>
      </c>
      <c r="AF769" s="11" t="s">
        <v>2238</v>
      </c>
      <c r="AG769" s="25"/>
      <c r="AH769" s="11"/>
      <c r="AI769" s="11"/>
      <c r="AJ769" s="11"/>
      <c r="AK769" s="11"/>
      <c r="AL769" s="11"/>
      <c r="AM769" s="11" t="str">
        <f t="shared" si="59"/>
        <v>Needs Improvement</v>
      </c>
      <c r="AN769" s="11" t="str" cm="1">
        <f t="array" ref="AN769">_xlfn.IFS(N769&lt;10000,"Low",N769&lt;30000,"Medium",N769&gt;=30000,"High")</f>
        <v>Low</v>
      </c>
      <c r="AO769" s="11" t="str">
        <f t="shared" si="60"/>
        <v>No</v>
      </c>
      <c r="AP769" s="11" t="str">
        <f t="shared" si="61"/>
        <v>Yes</v>
      </c>
      <c r="AQ769" s="11">
        <f t="shared" si="62"/>
        <v>0.19810526315789476</v>
      </c>
      <c r="AR769" s="33"/>
      <c r="AS769" s="33"/>
      <c r="AT769" s="33"/>
      <c r="AU769" s="33"/>
      <c r="AV769" s="33"/>
      <c r="AW769" s="33"/>
      <c r="AX769" s="33" t="str">
        <f t="shared" si="63"/>
        <v>Low</v>
      </c>
    </row>
    <row r="770" spans="1:50">
      <c r="A770" s="9" t="s">
        <v>1507</v>
      </c>
      <c r="B770" s="10" t="s">
        <v>1252</v>
      </c>
      <c r="C770" s="11" t="s">
        <v>1392</v>
      </c>
      <c r="D770" s="11" t="s">
        <v>870</v>
      </c>
      <c r="E770" s="11" t="s">
        <v>103</v>
      </c>
      <c r="F770" s="11" t="s">
        <v>245</v>
      </c>
      <c r="G770" s="11" t="s">
        <v>246</v>
      </c>
      <c r="H770" s="11" t="s">
        <v>171</v>
      </c>
      <c r="I770" s="11" t="s">
        <v>84</v>
      </c>
      <c r="J770" s="11" t="s">
        <v>290</v>
      </c>
      <c r="K770" s="25">
        <v>6</v>
      </c>
      <c r="L770" s="25">
        <v>350</v>
      </c>
      <c r="M770" s="29">
        <v>0.1</v>
      </c>
      <c r="N770" s="25">
        <v>1890</v>
      </c>
      <c r="O770" s="25">
        <v>1388.02</v>
      </c>
      <c r="P770" s="25">
        <v>501.98</v>
      </c>
      <c r="Q770" s="21">
        <v>26.56</v>
      </c>
      <c r="R770" s="11" t="s">
        <v>41</v>
      </c>
      <c r="S770" s="11" t="s">
        <v>42</v>
      </c>
      <c r="T770" s="11" t="s">
        <v>63</v>
      </c>
      <c r="U770" s="11" t="s">
        <v>44</v>
      </c>
      <c r="V770" s="11">
        <v>2024</v>
      </c>
      <c r="W770" s="11" t="s">
        <v>134</v>
      </c>
      <c r="X770" s="11">
        <v>2</v>
      </c>
      <c r="Y770" s="10" t="s">
        <v>1066</v>
      </c>
      <c r="Z770" s="11" t="s">
        <v>47</v>
      </c>
      <c r="AA770" s="11" t="s">
        <v>67</v>
      </c>
      <c r="AB770" s="11" t="s">
        <v>49</v>
      </c>
      <c r="AC770" s="11" t="s">
        <v>50</v>
      </c>
      <c r="AD770" s="11">
        <v>2</v>
      </c>
      <c r="AE770" s="11" t="s">
        <v>2216</v>
      </c>
      <c r="AF770" s="11" t="s">
        <v>2236</v>
      </c>
      <c r="AG770" s="25"/>
      <c r="AH770" s="11"/>
      <c r="AI770" s="11"/>
      <c r="AJ770" s="11"/>
      <c r="AK770" s="11"/>
      <c r="AL770" s="11"/>
      <c r="AM770" s="11" t="str">
        <f t="shared" ref="AM770:AM833" si="64">IF(Q770&gt;=30,"Good","Needs Improvement")</f>
        <v>Needs Improvement</v>
      </c>
      <c r="AN770" s="11" t="str" cm="1">
        <f t="array" ref="AN770">_xlfn.IFS(N770&lt;10000,"Low",N770&lt;30000,"Medium",N770&gt;=30000,"High")</f>
        <v>Low</v>
      </c>
      <c r="AO770" s="11" t="str">
        <f t="shared" ref="AO770:AO833" si="65">IF(AND(N770&gt;=30000,P770&gt;=10000),"Yes","No")</f>
        <v>No</v>
      </c>
      <c r="AP770" s="11" t="str">
        <f t="shared" ref="AP770:AP833" si="66">IF(OR(S770="Online",S770="Marketplace"),"Yes","No")</f>
        <v>Yes</v>
      </c>
      <c r="AQ770" s="11">
        <f t="shared" ref="AQ770:AQ833" si="67">IFERROR(P770/N770,"No Error")</f>
        <v>0.26559788359788361</v>
      </c>
      <c r="AR770" s="33"/>
      <c r="AS770" s="33"/>
      <c r="AT770" s="33"/>
      <c r="AU770" s="33"/>
      <c r="AV770" s="33"/>
      <c r="AW770" s="33"/>
      <c r="AX770" s="33" t="str">
        <f t="shared" ref="AX770:AX833" si="68">IF(P770&gt;=20000,"Excellent",IF(P770&gt;=10000,"Good",IF(P770&gt;=5000,"Average","Low")))</f>
        <v>Low</v>
      </c>
    </row>
    <row r="771" spans="1:50">
      <c r="A771" s="9" t="s">
        <v>1771</v>
      </c>
      <c r="B771" s="10" t="s">
        <v>1106</v>
      </c>
      <c r="C771" s="11" t="s">
        <v>885</v>
      </c>
      <c r="D771" s="11" t="s">
        <v>1514</v>
      </c>
      <c r="E771" s="11" t="s">
        <v>103</v>
      </c>
      <c r="F771" s="11" t="s">
        <v>82</v>
      </c>
      <c r="G771" s="11" t="s">
        <v>83</v>
      </c>
      <c r="H771" s="11" t="s">
        <v>58</v>
      </c>
      <c r="I771" s="11" t="s">
        <v>84</v>
      </c>
      <c r="J771" s="11" t="s">
        <v>290</v>
      </c>
      <c r="K771" s="25">
        <v>4</v>
      </c>
      <c r="L771" s="25">
        <v>200</v>
      </c>
      <c r="M771" s="29">
        <v>0.1</v>
      </c>
      <c r="N771" s="25">
        <v>720</v>
      </c>
      <c r="O771" s="25">
        <v>466.41</v>
      </c>
      <c r="P771" s="25">
        <v>253.59</v>
      </c>
      <c r="Q771" s="21">
        <v>35.22</v>
      </c>
      <c r="R771" s="11" t="s">
        <v>73</v>
      </c>
      <c r="S771" s="11" t="s">
        <v>74</v>
      </c>
      <c r="T771" s="11" t="s">
        <v>75</v>
      </c>
      <c r="U771" s="11" t="s">
        <v>44</v>
      </c>
      <c r="V771" s="11">
        <v>2025</v>
      </c>
      <c r="W771" s="11" t="s">
        <v>139</v>
      </c>
      <c r="X771" s="11">
        <v>4</v>
      </c>
      <c r="Y771" s="10" t="s">
        <v>705</v>
      </c>
      <c r="Z771" s="11" t="s">
        <v>110</v>
      </c>
      <c r="AA771" s="11" t="s">
        <v>67</v>
      </c>
      <c r="AB771" s="11" t="s">
        <v>78</v>
      </c>
      <c r="AC771" s="11" t="s">
        <v>50</v>
      </c>
      <c r="AD771" s="11">
        <v>1</v>
      </c>
      <c r="AE771" s="11" t="s">
        <v>2225</v>
      </c>
      <c r="AF771" s="11" t="s">
        <v>2228</v>
      </c>
      <c r="AG771" s="25"/>
      <c r="AH771" s="11"/>
      <c r="AI771" s="11"/>
      <c r="AJ771" s="11"/>
      <c r="AK771" s="11"/>
      <c r="AL771" s="11"/>
      <c r="AM771" s="11" t="str">
        <f t="shared" si="64"/>
        <v>Good</v>
      </c>
      <c r="AN771" s="11" t="str" cm="1">
        <f t="array" ref="AN771">_xlfn.IFS(N771&lt;10000,"Low",N771&lt;30000,"Medium",N771&gt;=30000,"High")</f>
        <v>Low</v>
      </c>
      <c r="AO771" s="11" t="str">
        <f t="shared" si="65"/>
        <v>No</v>
      </c>
      <c r="AP771" s="11" t="str">
        <f t="shared" si="66"/>
        <v>Yes</v>
      </c>
      <c r="AQ771" s="11">
        <f t="shared" si="67"/>
        <v>0.35220833333333335</v>
      </c>
      <c r="AR771" s="33"/>
      <c r="AS771" s="33"/>
      <c r="AT771" s="33"/>
      <c r="AU771" s="33"/>
      <c r="AV771" s="33"/>
      <c r="AW771" s="33"/>
      <c r="AX771" s="33" t="str">
        <f t="shared" si="68"/>
        <v>Low</v>
      </c>
    </row>
    <row r="772" spans="1:50">
      <c r="A772" s="9" t="s">
        <v>1690</v>
      </c>
      <c r="B772" s="10" t="s">
        <v>1586</v>
      </c>
      <c r="C772" s="11" t="s">
        <v>897</v>
      </c>
      <c r="D772" s="11" t="s">
        <v>361</v>
      </c>
      <c r="E772" s="11" t="s">
        <v>103</v>
      </c>
      <c r="F772" s="11" t="s">
        <v>131</v>
      </c>
      <c r="G772" s="11" t="s">
        <v>132</v>
      </c>
      <c r="H772" s="11" t="s">
        <v>171</v>
      </c>
      <c r="I772" s="11" t="s">
        <v>84</v>
      </c>
      <c r="J772" s="11" t="s">
        <v>217</v>
      </c>
      <c r="K772" s="25">
        <v>6</v>
      </c>
      <c r="L772" s="25">
        <v>800</v>
      </c>
      <c r="M772" s="29">
        <v>0.05</v>
      </c>
      <c r="N772" s="25">
        <v>4560</v>
      </c>
      <c r="O772" s="25">
        <v>3351.4</v>
      </c>
      <c r="P772" s="25">
        <v>1208.5999999999999</v>
      </c>
      <c r="Q772" s="21">
        <v>26.5</v>
      </c>
      <c r="R772" s="11" t="s">
        <v>166</v>
      </c>
      <c r="S772" s="11" t="s">
        <v>62</v>
      </c>
      <c r="T772" s="11" t="s">
        <v>86</v>
      </c>
      <c r="U772" s="11" t="s">
        <v>119</v>
      </c>
      <c r="V772" s="11">
        <v>2024</v>
      </c>
      <c r="W772" s="11" t="s">
        <v>194</v>
      </c>
      <c r="X772" s="11">
        <v>5</v>
      </c>
      <c r="Y772" s="10" t="s">
        <v>1691</v>
      </c>
      <c r="Z772" s="11" t="s">
        <v>89</v>
      </c>
      <c r="AA772" s="11" t="s">
        <v>67</v>
      </c>
      <c r="AB772" s="11" t="s">
        <v>111</v>
      </c>
      <c r="AC772" s="11" t="s">
        <v>121</v>
      </c>
      <c r="AD772" s="11">
        <v>2</v>
      </c>
      <c r="AE772" s="11" t="s">
        <v>159</v>
      </c>
      <c r="AF772" s="11" t="s">
        <v>2210</v>
      </c>
      <c r="AG772" s="25"/>
      <c r="AH772" s="11"/>
      <c r="AI772" s="11"/>
      <c r="AJ772" s="11"/>
      <c r="AK772" s="11"/>
      <c r="AL772" s="11"/>
      <c r="AM772" s="11" t="str">
        <f t="shared" si="64"/>
        <v>Needs Improvement</v>
      </c>
      <c r="AN772" s="11" t="str" cm="1">
        <f t="array" ref="AN772">_xlfn.IFS(N772&lt;10000,"Low",N772&lt;30000,"Medium",N772&gt;=30000,"High")</f>
        <v>Low</v>
      </c>
      <c r="AO772" s="11" t="str">
        <f t="shared" si="65"/>
        <v>No</v>
      </c>
      <c r="AP772" s="11" t="str">
        <f t="shared" si="66"/>
        <v>No</v>
      </c>
      <c r="AQ772" s="11">
        <f t="shared" si="67"/>
        <v>0.2650438596491228</v>
      </c>
      <c r="AR772" s="33"/>
      <c r="AS772" s="33"/>
      <c r="AT772" s="33"/>
      <c r="AU772" s="33"/>
      <c r="AV772" s="33"/>
      <c r="AW772" s="33"/>
      <c r="AX772" s="33" t="str">
        <f t="shared" si="68"/>
        <v>Low</v>
      </c>
    </row>
    <row r="773" spans="1:50">
      <c r="A773" s="9" t="s">
        <v>1828</v>
      </c>
      <c r="B773" s="10" t="s">
        <v>264</v>
      </c>
      <c r="C773" s="11" t="s">
        <v>830</v>
      </c>
      <c r="D773" s="11" t="s">
        <v>1083</v>
      </c>
      <c r="E773" s="11" t="s">
        <v>103</v>
      </c>
      <c r="F773" s="11" t="s">
        <v>82</v>
      </c>
      <c r="G773" s="11" t="s">
        <v>83</v>
      </c>
      <c r="H773" s="11" t="s">
        <v>94</v>
      </c>
      <c r="I773" s="11" t="s">
        <v>95</v>
      </c>
      <c r="J773" s="11" t="s">
        <v>96</v>
      </c>
      <c r="K773" s="25">
        <v>9</v>
      </c>
      <c r="L773" s="25">
        <v>4000</v>
      </c>
      <c r="M773" s="29">
        <v>0</v>
      </c>
      <c r="N773" s="25">
        <v>36000</v>
      </c>
      <c r="O773" s="25">
        <v>21309.06</v>
      </c>
      <c r="P773" s="25">
        <v>14690.94</v>
      </c>
      <c r="Q773" s="21">
        <v>40.81</v>
      </c>
      <c r="R773" s="11" t="s">
        <v>166</v>
      </c>
      <c r="S773" s="11" t="s">
        <v>74</v>
      </c>
      <c r="T773" s="11" t="s">
        <v>107</v>
      </c>
      <c r="U773" s="11" t="s">
        <v>119</v>
      </c>
      <c r="V773" s="11">
        <v>2025</v>
      </c>
      <c r="W773" s="11" t="s">
        <v>65</v>
      </c>
      <c r="X773" s="11">
        <v>4</v>
      </c>
      <c r="Y773" s="10" t="s">
        <v>1705</v>
      </c>
      <c r="Z773" s="11" t="s">
        <v>89</v>
      </c>
      <c r="AA773" s="11" t="s">
        <v>90</v>
      </c>
      <c r="AB773" s="11" t="s">
        <v>78</v>
      </c>
      <c r="AC773" s="11" t="s">
        <v>121</v>
      </c>
      <c r="AD773" s="11">
        <v>3</v>
      </c>
      <c r="AE773" s="11" t="s">
        <v>2216</v>
      </c>
      <c r="AF773" s="11" t="s">
        <v>2219</v>
      </c>
      <c r="AG773" s="25"/>
      <c r="AH773" s="11"/>
      <c r="AI773" s="11"/>
      <c r="AJ773" s="11"/>
      <c r="AK773" s="11"/>
      <c r="AL773" s="11"/>
      <c r="AM773" s="11" t="str">
        <f t="shared" si="64"/>
        <v>Good</v>
      </c>
      <c r="AN773" s="11" t="str" cm="1">
        <f t="array" ref="AN773">_xlfn.IFS(N773&lt;10000,"Low",N773&lt;30000,"Medium",N773&gt;=30000,"High")</f>
        <v>High</v>
      </c>
      <c r="AO773" s="11" t="str">
        <f t="shared" si="65"/>
        <v>Yes</v>
      </c>
      <c r="AP773" s="11" t="str">
        <f t="shared" si="66"/>
        <v>Yes</v>
      </c>
      <c r="AQ773" s="11">
        <f t="shared" si="67"/>
        <v>0.40808166666666668</v>
      </c>
      <c r="AR773" s="33"/>
      <c r="AS773" s="33"/>
      <c r="AT773" s="33"/>
      <c r="AU773" s="33"/>
      <c r="AV773" s="33"/>
      <c r="AW773" s="33"/>
      <c r="AX773" s="33" t="str">
        <f t="shared" si="68"/>
        <v>Good</v>
      </c>
    </row>
    <row r="774" spans="1:50">
      <c r="A774" s="9" t="s">
        <v>647</v>
      </c>
      <c r="B774" s="10" t="s">
        <v>648</v>
      </c>
      <c r="C774" s="11" t="s">
        <v>649</v>
      </c>
      <c r="D774" s="11" t="s">
        <v>650</v>
      </c>
      <c r="E774" s="11" t="s">
        <v>55</v>
      </c>
      <c r="F774" s="11" t="s">
        <v>82</v>
      </c>
      <c r="G774" s="11" t="s">
        <v>83</v>
      </c>
      <c r="H774" s="11" t="s">
        <v>171</v>
      </c>
      <c r="I774" s="11" t="s">
        <v>95</v>
      </c>
      <c r="J774" s="11" t="s">
        <v>440</v>
      </c>
      <c r="K774" s="25">
        <v>2</v>
      </c>
      <c r="L774" s="25">
        <v>6000</v>
      </c>
      <c r="M774" s="29">
        <v>0.15</v>
      </c>
      <c r="N774" s="25">
        <v>10200</v>
      </c>
      <c r="O774" s="25">
        <v>6680.31</v>
      </c>
      <c r="P774" s="25">
        <v>3519.69</v>
      </c>
      <c r="Q774" s="21">
        <v>34.51</v>
      </c>
      <c r="R774" s="11" t="s">
        <v>166</v>
      </c>
      <c r="S774" s="11" t="s">
        <v>42</v>
      </c>
      <c r="T774" s="11" t="s">
        <v>118</v>
      </c>
      <c r="U774" s="11" t="s">
        <v>160</v>
      </c>
      <c r="V774" s="11">
        <v>2025</v>
      </c>
      <c r="W774" s="11" t="s">
        <v>109</v>
      </c>
      <c r="X774" s="11">
        <v>6</v>
      </c>
      <c r="Y774" s="10" t="s">
        <v>235</v>
      </c>
      <c r="Z774" s="11" t="s">
        <v>89</v>
      </c>
      <c r="AA774" s="11" t="s">
        <v>48</v>
      </c>
      <c r="AB774" s="11" t="s">
        <v>111</v>
      </c>
      <c r="AC774" s="11" t="s">
        <v>50</v>
      </c>
      <c r="AD774" s="11">
        <v>5</v>
      </c>
      <c r="AE774" s="11" t="s">
        <v>2229</v>
      </c>
      <c r="AF774" s="11" t="s">
        <v>2224</v>
      </c>
      <c r="AG774" s="25"/>
      <c r="AH774" s="11"/>
      <c r="AI774" s="11"/>
      <c r="AJ774" s="11"/>
      <c r="AK774" s="11"/>
      <c r="AL774" s="11"/>
      <c r="AM774" s="11" t="str">
        <f t="shared" si="64"/>
        <v>Good</v>
      </c>
      <c r="AN774" s="11" t="str" cm="1">
        <f t="array" ref="AN774">_xlfn.IFS(N774&lt;10000,"Low",N774&lt;30000,"Medium",N774&gt;=30000,"High")</f>
        <v>Medium</v>
      </c>
      <c r="AO774" s="11" t="str">
        <f t="shared" si="65"/>
        <v>No</v>
      </c>
      <c r="AP774" s="11" t="str">
        <f t="shared" si="66"/>
        <v>Yes</v>
      </c>
      <c r="AQ774" s="11">
        <f t="shared" si="67"/>
        <v>0.34506764705882353</v>
      </c>
      <c r="AR774" s="33"/>
      <c r="AS774" s="33"/>
      <c r="AT774" s="33"/>
      <c r="AU774" s="33"/>
      <c r="AV774" s="33"/>
      <c r="AW774" s="33"/>
      <c r="AX774" s="33" t="str">
        <f t="shared" si="68"/>
        <v>Low</v>
      </c>
    </row>
    <row r="775" spans="1:50">
      <c r="A775" s="9" t="s">
        <v>487</v>
      </c>
      <c r="B775" s="10" t="s">
        <v>488</v>
      </c>
      <c r="C775" s="11" t="s">
        <v>481</v>
      </c>
      <c r="D775" s="11" t="s">
        <v>361</v>
      </c>
      <c r="E775" s="11" t="s">
        <v>103</v>
      </c>
      <c r="F775" s="11" t="s">
        <v>245</v>
      </c>
      <c r="G775" s="11" t="s">
        <v>246</v>
      </c>
      <c r="H775" s="11" t="s">
        <v>171</v>
      </c>
      <c r="I775" s="11" t="s">
        <v>95</v>
      </c>
      <c r="J775" s="11" t="s">
        <v>184</v>
      </c>
      <c r="K775" s="25">
        <v>9</v>
      </c>
      <c r="L775" s="25">
        <v>4000</v>
      </c>
      <c r="M775" s="29">
        <v>0</v>
      </c>
      <c r="N775" s="25">
        <v>36000</v>
      </c>
      <c r="O775" s="25">
        <v>27482.43</v>
      </c>
      <c r="P775" s="25">
        <v>8517.57</v>
      </c>
      <c r="Q775" s="21">
        <v>23.66</v>
      </c>
      <c r="R775" s="11" t="s">
        <v>166</v>
      </c>
      <c r="S775" s="11" t="s">
        <v>42</v>
      </c>
      <c r="T775" s="11" t="s">
        <v>118</v>
      </c>
      <c r="U775" s="11" t="s">
        <v>151</v>
      </c>
      <c r="V775" s="11">
        <v>2024</v>
      </c>
      <c r="W775" s="11" t="s">
        <v>134</v>
      </c>
      <c r="X775" s="11">
        <v>3</v>
      </c>
      <c r="Y775" s="10" t="s">
        <v>489</v>
      </c>
      <c r="Z775" s="11" t="s">
        <v>47</v>
      </c>
      <c r="AA775" s="11" t="s">
        <v>48</v>
      </c>
      <c r="AB775" s="11" t="s">
        <v>49</v>
      </c>
      <c r="AC775" s="11" t="s">
        <v>121</v>
      </c>
      <c r="AD775" s="11">
        <v>3</v>
      </c>
      <c r="AE775" s="11" t="s">
        <v>159</v>
      </c>
      <c r="AF775" s="11" t="s">
        <v>2210</v>
      </c>
      <c r="AG775" s="25"/>
      <c r="AH775" s="11"/>
      <c r="AI775" s="11"/>
      <c r="AJ775" s="11"/>
      <c r="AK775" s="11"/>
      <c r="AL775" s="11"/>
      <c r="AM775" s="11" t="str">
        <f t="shared" si="64"/>
        <v>Needs Improvement</v>
      </c>
      <c r="AN775" s="11" t="str" cm="1">
        <f t="array" ref="AN775">_xlfn.IFS(N775&lt;10000,"Low",N775&lt;30000,"Medium",N775&gt;=30000,"High")</f>
        <v>High</v>
      </c>
      <c r="AO775" s="11" t="str">
        <f t="shared" si="65"/>
        <v>No</v>
      </c>
      <c r="AP775" s="11" t="str">
        <f t="shared" si="66"/>
        <v>Yes</v>
      </c>
      <c r="AQ775" s="11">
        <f t="shared" si="67"/>
        <v>0.23659916666666667</v>
      </c>
      <c r="AR775" s="33"/>
      <c r="AS775" s="33"/>
      <c r="AT775" s="33"/>
      <c r="AU775" s="33"/>
      <c r="AV775" s="33"/>
      <c r="AW775" s="33"/>
      <c r="AX775" s="33" t="str">
        <f t="shared" si="68"/>
        <v>Average</v>
      </c>
    </row>
    <row r="776" spans="1:50">
      <c r="A776" s="9" t="s">
        <v>1017</v>
      </c>
      <c r="B776" s="10" t="s">
        <v>373</v>
      </c>
      <c r="C776" s="11" t="s">
        <v>430</v>
      </c>
      <c r="D776" s="11" t="s">
        <v>942</v>
      </c>
      <c r="E776" s="11" t="s">
        <v>103</v>
      </c>
      <c r="F776" s="11" t="s">
        <v>116</v>
      </c>
      <c r="G776" s="11" t="s">
        <v>37</v>
      </c>
      <c r="H776" s="11" t="s">
        <v>38</v>
      </c>
      <c r="I776" s="11" t="s">
        <v>39</v>
      </c>
      <c r="J776" s="11" t="s">
        <v>105</v>
      </c>
      <c r="K776" s="25">
        <v>9</v>
      </c>
      <c r="L776" s="25">
        <v>8000</v>
      </c>
      <c r="M776" s="29">
        <v>0</v>
      </c>
      <c r="N776" s="25">
        <v>72000</v>
      </c>
      <c r="O776" s="25">
        <v>43283.11</v>
      </c>
      <c r="P776" s="25">
        <v>28716.89</v>
      </c>
      <c r="Q776" s="21">
        <v>39.880000000000003</v>
      </c>
      <c r="R776" s="11" t="s">
        <v>41</v>
      </c>
      <c r="S776" s="11" t="s">
        <v>42</v>
      </c>
      <c r="T776" s="11" t="s">
        <v>107</v>
      </c>
      <c r="U776" s="11" t="s">
        <v>218</v>
      </c>
      <c r="V776" s="11">
        <v>2024</v>
      </c>
      <c r="W776" s="11" t="s">
        <v>65</v>
      </c>
      <c r="X776" s="11">
        <v>9</v>
      </c>
      <c r="Y776" s="10">
        <v>45331</v>
      </c>
      <c r="Z776" s="11" t="s">
        <v>110</v>
      </c>
      <c r="AA776" s="11" t="s">
        <v>67</v>
      </c>
      <c r="AB776" s="11" t="s">
        <v>111</v>
      </c>
      <c r="AC776" s="11" t="s">
        <v>121</v>
      </c>
      <c r="AD776" s="11">
        <v>5</v>
      </c>
      <c r="AE776" s="11" t="s">
        <v>2213</v>
      </c>
      <c r="AF776" s="11" t="s">
        <v>2249</v>
      </c>
      <c r="AG776" s="25"/>
      <c r="AH776" s="11"/>
      <c r="AI776" s="11"/>
      <c r="AJ776" s="11"/>
      <c r="AK776" s="11"/>
      <c r="AL776" s="11"/>
      <c r="AM776" s="11" t="str">
        <f t="shared" si="64"/>
        <v>Good</v>
      </c>
      <c r="AN776" s="11" t="str" cm="1">
        <f t="array" ref="AN776">_xlfn.IFS(N776&lt;10000,"Low",N776&lt;30000,"Medium",N776&gt;=30000,"High")</f>
        <v>High</v>
      </c>
      <c r="AO776" s="11" t="str">
        <f t="shared" si="65"/>
        <v>Yes</v>
      </c>
      <c r="AP776" s="11" t="str">
        <f t="shared" si="66"/>
        <v>Yes</v>
      </c>
      <c r="AQ776" s="11">
        <f t="shared" si="67"/>
        <v>0.39884569444444445</v>
      </c>
      <c r="AR776" s="33"/>
      <c r="AS776" s="33"/>
      <c r="AT776" s="33"/>
      <c r="AU776" s="33"/>
      <c r="AV776" s="33"/>
      <c r="AW776" s="33"/>
      <c r="AX776" s="33" t="str">
        <f t="shared" si="68"/>
        <v>Excellent</v>
      </c>
    </row>
    <row r="777" spans="1:50">
      <c r="A777" s="9" t="s">
        <v>2090</v>
      </c>
      <c r="B777" s="10" t="s">
        <v>373</v>
      </c>
      <c r="C777" s="11" t="s">
        <v>766</v>
      </c>
      <c r="D777" s="11" t="s">
        <v>2026</v>
      </c>
      <c r="E777" s="11" t="s">
        <v>35</v>
      </c>
      <c r="F777" s="11" t="s">
        <v>156</v>
      </c>
      <c r="G777" s="11" t="s">
        <v>157</v>
      </c>
      <c r="H777" s="11" t="s">
        <v>94</v>
      </c>
      <c r="I777" s="11" t="s">
        <v>39</v>
      </c>
      <c r="J777" s="11" t="s">
        <v>40</v>
      </c>
      <c r="K777" s="25">
        <v>10</v>
      </c>
      <c r="L777" s="25">
        <v>12000</v>
      </c>
      <c r="M777" s="29">
        <v>0.15</v>
      </c>
      <c r="N777" s="25">
        <v>102000</v>
      </c>
      <c r="O777" s="25">
        <v>63754.21</v>
      </c>
      <c r="P777" s="25">
        <v>38245.79</v>
      </c>
      <c r="Q777" s="21">
        <v>37.5</v>
      </c>
      <c r="R777" s="11" t="s">
        <v>106</v>
      </c>
      <c r="S777" s="11" t="s">
        <v>62</v>
      </c>
      <c r="T777" s="11" t="s">
        <v>75</v>
      </c>
      <c r="U777" s="11" t="s">
        <v>218</v>
      </c>
      <c r="V777" s="11">
        <v>2024</v>
      </c>
      <c r="W777" s="11" t="s">
        <v>65</v>
      </c>
      <c r="X777" s="11">
        <v>9</v>
      </c>
      <c r="Y777" s="10">
        <v>45331</v>
      </c>
      <c r="Z777" s="11" t="s">
        <v>110</v>
      </c>
      <c r="AA777" s="11" t="s">
        <v>48</v>
      </c>
      <c r="AB777" s="11" t="s">
        <v>49</v>
      </c>
      <c r="AC777" s="11" t="s">
        <v>50</v>
      </c>
      <c r="AD777" s="11">
        <v>2</v>
      </c>
      <c r="AE777" s="11" t="s">
        <v>2234</v>
      </c>
      <c r="AF777" s="11" t="s">
        <v>2249</v>
      </c>
      <c r="AG777" s="25"/>
      <c r="AH777" s="11"/>
      <c r="AI777" s="11"/>
      <c r="AJ777" s="11"/>
      <c r="AK777" s="11"/>
      <c r="AL777" s="11"/>
      <c r="AM777" s="11" t="str">
        <f t="shared" si="64"/>
        <v>Good</v>
      </c>
      <c r="AN777" s="11" t="str" cm="1">
        <f t="array" ref="AN777">_xlfn.IFS(N777&lt;10000,"Low",N777&lt;30000,"Medium",N777&gt;=30000,"High")</f>
        <v>High</v>
      </c>
      <c r="AO777" s="11" t="str">
        <f t="shared" si="65"/>
        <v>Yes</v>
      </c>
      <c r="AP777" s="11" t="str">
        <f t="shared" si="66"/>
        <v>No</v>
      </c>
      <c r="AQ777" s="11">
        <f t="shared" si="67"/>
        <v>0.3749587254901961</v>
      </c>
      <c r="AR777" s="33"/>
      <c r="AS777" s="33"/>
      <c r="AT777" s="33"/>
      <c r="AU777" s="33"/>
      <c r="AV777" s="33"/>
      <c r="AW777" s="33"/>
      <c r="AX777" s="33" t="str">
        <f t="shared" si="68"/>
        <v>Excellent</v>
      </c>
    </row>
    <row r="778" spans="1:50">
      <c r="A778" s="9" t="s">
        <v>584</v>
      </c>
      <c r="B778" s="10" t="s">
        <v>414</v>
      </c>
      <c r="C778" s="11" t="s">
        <v>585</v>
      </c>
      <c r="D778" s="11" t="s">
        <v>586</v>
      </c>
      <c r="E778" s="11" t="s">
        <v>35</v>
      </c>
      <c r="F778" s="11" t="s">
        <v>156</v>
      </c>
      <c r="G778" s="11" t="s">
        <v>157</v>
      </c>
      <c r="H778" s="11" t="s">
        <v>38</v>
      </c>
      <c r="I778" s="11" t="s">
        <v>59</v>
      </c>
      <c r="J778" s="11" t="s">
        <v>372</v>
      </c>
      <c r="K778" s="25">
        <v>1</v>
      </c>
      <c r="L778" s="25">
        <v>500</v>
      </c>
      <c r="M778" s="29">
        <v>0.05</v>
      </c>
      <c r="N778" s="25">
        <v>475</v>
      </c>
      <c r="O778" s="25">
        <v>322.73</v>
      </c>
      <c r="P778" s="25">
        <v>152.27000000000001</v>
      </c>
      <c r="Q778" s="21">
        <v>32.06</v>
      </c>
      <c r="R778" s="11" t="s">
        <v>73</v>
      </c>
      <c r="S778" s="11" t="s">
        <v>42</v>
      </c>
      <c r="T778" s="11" t="s">
        <v>173</v>
      </c>
      <c r="U778" s="11" t="s">
        <v>218</v>
      </c>
      <c r="V778" s="11">
        <v>2025</v>
      </c>
      <c r="W778" s="11" t="s">
        <v>45</v>
      </c>
      <c r="X778" s="11">
        <v>9</v>
      </c>
      <c r="Y778" s="10">
        <v>45697</v>
      </c>
      <c r="Z778" s="11" t="s">
        <v>47</v>
      </c>
      <c r="AA778" s="11" t="s">
        <v>48</v>
      </c>
      <c r="AB778" s="11" t="s">
        <v>78</v>
      </c>
      <c r="AC778" s="11" t="s">
        <v>121</v>
      </c>
      <c r="AD778" s="11">
        <v>5</v>
      </c>
      <c r="AE778" s="11" t="s">
        <v>2218</v>
      </c>
      <c r="AF778" s="11" t="s">
        <v>2230</v>
      </c>
      <c r="AG778" s="25"/>
      <c r="AH778" s="11"/>
      <c r="AI778" s="11"/>
      <c r="AJ778" s="11"/>
      <c r="AK778" s="11"/>
      <c r="AL778" s="11"/>
      <c r="AM778" s="11" t="str">
        <f t="shared" si="64"/>
        <v>Good</v>
      </c>
      <c r="AN778" s="11" t="str" cm="1">
        <f t="array" ref="AN778">_xlfn.IFS(N778&lt;10000,"Low",N778&lt;30000,"Medium",N778&gt;=30000,"High")</f>
        <v>Low</v>
      </c>
      <c r="AO778" s="11" t="str">
        <f t="shared" si="65"/>
        <v>No</v>
      </c>
      <c r="AP778" s="11" t="str">
        <f t="shared" si="66"/>
        <v>Yes</v>
      </c>
      <c r="AQ778" s="11">
        <f t="shared" si="67"/>
        <v>0.32056842105263161</v>
      </c>
      <c r="AR778" s="33"/>
      <c r="AS778" s="33"/>
      <c r="AT778" s="33"/>
      <c r="AU778" s="33"/>
      <c r="AV778" s="33"/>
      <c r="AW778" s="33"/>
      <c r="AX778" s="33" t="str">
        <f t="shared" si="68"/>
        <v>Low</v>
      </c>
    </row>
    <row r="779" spans="1:50">
      <c r="A779" s="9" t="s">
        <v>1861</v>
      </c>
      <c r="B779" s="10" t="s">
        <v>414</v>
      </c>
      <c r="C779" s="11" t="s">
        <v>1862</v>
      </c>
      <c r="D779" s="11" t="s">
        <v>1749</v>
      </c>
      <c r="E779" s="11" t="s">
        <v>55</v>
      </c>
      <c r="F779" s="11" t="s">
        <v>116</v>
      </c>
      <c r="G779" s="11" t="s">
        <v>37</v>
      </c>
      <c r="H779" s="11" t="s">
        <v>171</v>
      </c>
      <c r="I779" s="11" t="s">
        <v>71</v>
      </c>
      <c r="J779" s="11" t="s">
        <v>240</v>
      </c>
      <c r="K779" s="25">
        <v>9</v>
      </c>
      <c r="L779" s="25">
        <v>1200</v>
      </c>
      <c r="M779" s="29">
        <v>0.05</v>
      </c>
      <c r="N779" s="25">
        <v>10260</v>
      </c>
      <c r="O779" s="25">
        <v>7556.83</v>
      </c>
      <c r="P779" s="25">
        <v>2703.17</v>
      </c>
      <c r="Q779" s="21">
        <v>26.35</v>
      </c>
      <c r="R779" s="11" t="s">
        <v>166</v>
      </c>
      <c r="S779" s="11" t="s">
        <v>62</v>
      </c>
      <c r="T779" s="11" t="s">
        <v>138</v>
      </c>
      <c r="U779" s="11" t="s">
        <v>218</v>
      </c>
      <c r="V779" s="11">
        <v>2025</v>
      </c>
      <c r="W779" s="11" t="s">
        <v>45</v>
      </c>
      <c r="X779" s="11">
        <v>3</v>
      </c>
      <c r="Y779" s="10" t="s">
        <v>892</v>
      </c>
      <c r="Z779" s="11" t="s">
        <v>47</v>
      </c>
      <c r="AA779" s="11" t="s">
        <v>67</v>
      </c>
      <c r="AB779" s="11" t="s">
        <v>49</v>
      </c>
      <c r="AC779" s="11" t="s">
        <v>121</v>
      </c>
      <c r="AD779" s="11">
        <v>4</v>
      </c>
      <c r="AE779" s="11" t="s">
        <v>2239</v>
      </c>
      <c r="AF779" s="11" t="s">
        <v>2230</v>
      </c>
      <c r="AG779" s="25"/>
      <c r="AH779" s="11"/>
      <c r="AI779" s="11"/>
      <c r="AJ779" s="11"/>
      <c r="AK779" s="11"/>
      <c r="AL779" s="11"/>
      <c r="AM779" s="11" t="str">
        <f t="shared" si="64"/>
        <v>Needs Improvement</v>
      </c>
      <c r="AN779" s="11" t="str" cm="1">
        <f t="array" ref="AN779">_xlfn.IFS(N779&lt;10000,"Low",N779&lt;30000,"Medium",N779&gt;=30000,"High")</f>
        <v>Medium</v>
      </c>
      <c r="AO779" s="11" t="str">
        <f t="shared" si="65"/>
        <v>No</v>
      </c>
      <c r="AP779" s="11" t="str">
        <f t="shared" si="66"/>
        <v>No</v>
      </c>
      <c r="AQ779" s="11">
        <f t="shared" si="67"/>
        <v>0.26346686159844057</v>
      </c>
      <c r="AR779" s="33"/>
      <c r="AS779" s="33"/>
      <c r="AT779" s="33"/>
      <c r="AU779" s="33"/>
      <c r="AV779" s="33"/>
      <c r="AW779" s="33"/>
      <c r="AX779" s="33" t="str">
        <f t="shared" si="68"/>
        <v>Low</v>
      </c>
    </row>
    <row r="780" spans="1:50">
      <c r="A780" s="9" t="s">
        <v>167</v>
      </c>
      <c r="B780" s="10" t="s">
        <v>168</v>
      </c>
      <c r="C780" s="11" t="s">
        <v>169</v>
      </c>
      <c r="D780" s="11" t="s">
        <v>170</v>
      </c>
      <c r="E780" s="11" t="s">
        <v>103</v>
      </c>
      <c r="F780" s="11" t="s">
        <v>36</v>
      </c>
      <c r="G780" s="11" t="s">
        <v>37</v>
      </c>
      <c r="H780" s="11" t="s">
        <v>171</v>
      </c>
      <c r="I780" s="11" t="s">
        <v>71</v>
      </c>
      <c r="J780" s="11" t="s">
        <v>172</v>
      </c>
      <c r="K780" s="25">
        <v>10</v>
      </c>
      <c r="L780" s="25">
        <v>3500</v>
      </c>
      <c r="M780" s="29">
        <v>0.1</v>
      </c>
      <c r="N780" s="25">
        <v>31500</v>
      </c>
      <c r="O780" s="25">
        <v>19355.02</v>
      </c>
      <c r="P780" s="25">
        <v>12144.98</v>
      </c>
      <c r="Q780" s="21">
        <v>38.56</v>
      </c>
      <c r="R780" s="11" t="s">
        <v>166</v>
      </c>
      <c r="S780" s="11" t="s">
        <v>62</v>
      </c>
      <c r="T780" s="11" t="s">
        <v>173</v>
      </c>
      <c r="U780" s="11" t="s">
        <v>108</v>
      </c>
      <c r="V780" s="11">
        <v>2024</v>
      </c>
      <c r="W780" s="11" t="s">
        <v>109</v>
      </c>
      <c r="X780" s="11">
        <v>4</v>
      </c>
      <c r="Y780" s="10" t="s">
        <v>174</v>
      </c>
      <c r="Z780" s="11" t="s">
        <v>47</v>
      </c>
      <c r="AA780" s="11" t="s">
        <v>90</v>
      </c>
      <c r="AB780" s="11" t="s">
        <v>78</v>
      </c>
      <c r="AC780" s="11" t="s">
        <v>121</v>
      </c>
      <c r="AD780" s="11">
        <v>1</v>
      </c>
      <c r="AE780" s="11" t="s">
        <v>2233</v>
      </c>
      <c r="AF780" s="11" t="s">
        <v>2235</v>
      </c>
      <c r="AG780" s="25"/>
      <c r="AH780" s="11"/>
      <c r="AI780" s="11"/>
      <c r="AJ780" s="11"/>
      <c r="AK780" s="11"/>
      <c r="AL780" s="11"/>
      <c r="AM780" s="11" t="str">
        <f t="shared" si="64"/>
        <v>Good</v>
      </c>
      <c r="AN780" s="11" t="str" cm="1">
        <f t="array" ref="AN780">_xlfn.IFS(N780&lt;10000,"Low",N780&lt;30000,"Medium",N780&gt;=30000,"High")</f>
        <v>High</v>
      </c>
      <c r="AO780" s="11" t="str">
        <f t="shared" si="65"/>
        <v>Yes</v>
      </c>
      <c r="AP780" s="11" t="str">
        <f t="shared" si="66"/>
        <v>No</v>
      </c>
      <c r="AQ780" s="11">
        <f t="shared" si="67"/>
        <v>0.38555492063492064</v>
      </c>
      <c r="AR780" s="33"/>
      <c r="AS780" s="33"/>
      <c r="AT780" s="33"/>
      <c r="AU780" s="33"/>
      <c r="AV780" s="33"/>
      <c r="AW780" s="33"/>
      <c r="AX780" s="33" t="str">
        <f t="shared" si="68"/>
        <v>Good</v>
      </c>
    </row>
    <row r="781" spans="1:50">
      <c r="A781" s="9" t="s">
        <v>1315</v>
      </c>
      <c r="B781" s="10" t="s">
        <v>168</v>
      </c>
      <c r="C781" s="11" t="s">
        <v>447</v>
      </c>
      <c r="D781" s="11" t="s">
        <v>935</v>
      </c>
      <c r="E781" s="11" t="s">
        <v>35</v>
      </c>
      <c r="F781" s="11" t="s">
        <v>149</v>
      </c>
      <c r="G781" s="11" t="s">
        <v>150</v>
      </c>
      <c r="H781" s="11" t="s">
        <v>171</v>
      </c>
      <c r="I781" s="11" t="s">
        <v>95</v>
      </c>
      <c r="J781" s="11" t="s">
        <v>96</v>
      </c>
      <c r="K781" s="25">
        <v>1</v>
      </c>
      <c r="L781" s="25">
        <v>2500</v>
      </c>
      <c r="M781" s="29">
        <v>0.1</v>
      </c>
      <c r="N781" s="25">
        <v>2250</v>
      </c>
      <c r="O781" s="25">
        <v>1343.64</v>
      </c>
      <c r="P781" s="25">
        <v>906.36</v>
      </c>
      <c r="Q781" s="21">
        <v>40.28</v>
      </c>
      <c r="R781" s="11" t="s">
        <v>166</v>
      </c>
      <c r="S781" s="11" t="s">
        <v>74</v>
      </c>
      <c r="T781" s="11" t="s">
        <v>63</v>
      </c>
      <c r="U781" s="11" t="s">
        <v>108</v>
      </c>
      <c r="V781" s="11">
        <v>2024</v>
      </c>
      <c r="W781" s="11" t="s">
        <v>109</v>
      </c>
      <c r="X781" s="11">
        <v>6</v>
      </c>
      <c r="Y781" s="10" t="s">
        <v>1316</v>
      </c>
      <c r="Z781" s="11" t="s">
        <v>47</v>
      </c>
      <c r="AA781" s="11" t="s">
        <v>90</v>
      </c>
      <c r="AB781" s="11" t="s">
        <v>49</v>
      </c>
      <c r="AC781" s="11" t="s">
        <v>121</v>
      </c>
      <c r="AD781" s="11">
        <v>4</v>
      </c>
      <c r="AE781" s="11" t="s">
        <v>2226</v>
      </c>
      <c r="AF781" s="11" t="s">
        <v>2238</v>
      </c>
      <c r="AG781" s="25"/>
      <c r="AH781" s="11"/>
      <c r="AI781" s="11"/>
      <c r="AJ781" s="11"/>
      <c r="AK781" s="11"/>
      <c r="AL781" s="11"/>
      <c r="AM781" s="11" t="str">
        <f t="shared" si="64"/>
        <v>Good</v>
      </c>
      <c r="AN781" s="11" t="str" cm="1">
        <f t="array" ref="AN781">_xlfn.IFS(N781&lt;10000,"Low",N781&lt;30000,"Medium",N781&gt;=30000,"High")</f>
        <v>Low</v>
      </c>
      <c r="AO781" s="11" t="str">
        <f t="shared" si="65"/>
        <v>No</v>
      </c>
      <c r="AP781" s="11" t="str">
        <f t="shared" si="66"/>
        <v>Yes</v>
      </c>
      <c r="AQ781" s="11">
        <f t="shared" si="67"/>
        <v>0.40282666666666667</v>
      </c>
      <c r="AR781" s="33"/>
      <c r="AS781" s="33"/>
      <c r="AT781" s="33"/>
      <c r="AU781" s="33"/>
      <c r="AV781" s="33"/>
      <c r="AW781" s="33"/>
      <c r="AX781" s="33" t="str">
        <f t="shared" si="68"/>
        <v>Low</v>
      </c>
    </row>
    <row r="782" spans="1:50">
      <c r="A782" s="9" t="s">
        <v>2003</v>
      </c>
      <c r="B782" s="10" t="s">
        <v>168</v>
      </c>
      <c r="C782" s="11" t="s">
        <v>773</v>
      </c>
      <c r="D782" s="11" t="s">
        <v>850</v>
      </c>
      <c r="E782" s="11" t="s">
        <v>35</v>
      </c>
      <c r="F782" s="11" t="s">
        <v>116</v>
      </c>
      <c r="G782" s="11" t="s">
        <v>37</v>
      </c>
      <c r="H782" s="11" t="s">
        <v>38</v>
      </c>
      <c r="I782" s="11" t="s">
        <v>59</v>
      </c>
      <c r="J782" s="11" t="s">
        <v>328</v>
      </c>
      <c r="K782" s="25">
        <v>9</v>
      </c>
      <c r="L782" s="25">
        <v>3000</v>
      </c>
      <c r="M782" s="29">
        <v>0</v>
      </c>
      <c r="N782" s="25">
        <v>27000</v>
      </c>
      <c r="O782" s="25">
        <v>18841.11</v>
      </c>
      <c r="P782" s="25">
        <v>8158.89</v>
      </c>
      <c r="Q782" s="21">
        <v>30.22</v>
      </c>
      <c r="R782" s="11" t="s">
        <v>166</v>
      </c>
      <c r="S782" s="11" t="s">
        <v>42</v>
      </c>
      <c r="T782" s="11" t="s">
        <v>86</v>
      </c>
      <c r="U782" s="11" t="s">
        <v>108</v>
      </c>
      <c r="V782" s="11">
        <v>2024</v>
      </c>
      <c r="W782" s="11" t="s">
        <v>109</v>
      </c>
      <c r="X782" s="11">
        <v>5</v>
      </c>
      <c r="Y782" s="10" t="s">
        <v>286</v>
      </c>
      <c r="Z782" s="11" t="s">
        <v>47</v>
      </c>
      <c r="AA782" s="11" t="s">
        <v>48</v>
      </c>
      <c r="AB782" s="11" t="s">
        <v>111</v>
      </c>
      <c r="AC782" s="11" t="s">
        <v>121</v>
      </c>
      <c r="AD782" s="11">
        <v>4</v>
      </c>
      <c r="AE782" s="11" t="s">
        <v>2220</v>
      </c>
      <c r="AF782" s="11" t="s">
        <v>2230</v>
      </c>
      <c r="AG782" s="25"/>
      <c r="AH782" s="11"/>
      <c r="AI782" s="11"/>
      <c r="AJ782" s="11"/>
      <c r="AK782" s="11"/>
      <c r="AL782" s="11"/>
      <c r="AM782" s="11" t="str">
        <f t="shared" si="64"/>
        <v>Good</v>
      </c>
      <c r="AN782" s="11" t="str" cm="1">
        <f t="array" ref="AN782">_xlfn.IFS(N782&lt;10000,"Low",N782&lt;30000,"Medium",N782&gt;=30000,"High")</f>
        <v>Medium</v>
      </c>
      <c r="AO782" s="11" t="str">
        <f t="shared" si="65"/>
        <v>No</v>
      </c>
      <c r="AP782" s="11" t="str">
        <f t="shared" si="66"/>
        <v>Yes</v>
      </c>
      <c r="AQ782" s="11">
        <f t="shared" si="67"/>
        <v>0.30218111111111112</v>
      </c>
      <c r="AR782" s="33"/>
      <c r="AS782" s="33"/>
      <c r="AT782" s="33"/>
      <c r="AU782" s="33"/>
      <c r="AV782" s="33"/>
      <c r="AW782" s="33"/>
      <c r="AX782" s="33" t="str">
        <f t="shared" si="68"/>
        <v>Average</v>
      </c>
    </row>
    <row r="783" spans="1:50">
      <c r="A783" s="9" t="s">
        <v>733</v>
      </c>
      <c r="B783" s="10" t="s">
        <v>734</v>
      </c>
      <c r="C783" s="11" t="s">
        <v>553</v>
      </c>
      <c r="D783" s="11" t="s">
        <v>732</v>
      </c>
      <c r="E783" s="11" t="s">
        <v>35</v>
      </c>
      <c r="F783" s="11" t="s">
        <v>245</v>
      </c>
      <c r="G783" s="11" t="s">
        <v>246</v>
      </c>
      <c r="H783" s="11" t="s">
        <v>171</v>
      </c>
      <c r="I783" s="11" t="s">
        <v>39</v>
      </c>
      <c r="J783" s="11" t="s">
        <v>165</v>
      </c>
      <c r="K783" s="25">
        <v>10</v>
      </c>
      <c r="L783" s="25">
        <v>35000</v>
      </c>
      <c r="M783" s="29">
        <v>0.05</v>
      </c>
      <c r="N783" s="25">
        <v>332500</v>
      </c>
      <c r="O783" s="25">
        <v>219861.6</v>
      </c>
      <c r="P783" s="25">
        <v>112638.39999999999</v>
      </c>
      <c r="Q783" s="21">
        <v>33.880000000000003</v>
      </c>
      <c r="R783" s="11" t="s">
        <v>166</v>
      </c>
      <c r="S783" s="11" t="s">
        <v>74</v>
      </c>
      <c r="T783" s="11" t="s">
        <v>75</v>
      </c>
      <c r="U783" s="11" t="s">
        <v>87</v>
      </c>
      <c r="V783" s="11">
        <v>2025</v>
      </c>
      <c r="W783" s="11" t="s">
        <v>194</v>
      </c>
      <c r="X783" s="11">
        <v>5</v>
      </c>
      <c r="Y783" s="10" t="s">
        <v>735</v>
      </c>
      <c r="Z783" s="11" t="s">
        <v>110</v>
      </c>
      <c r="AA783" s="11" t="s">
        <v>90</v>
      </c>
      <c r="AB783" s="11" t="s">
        <v>111</v>
      </c>
      <c r="AC783" s="11" t="s">
        <v>121</v>
      </c>
      <c r="AD783" s="11">
        <v>5</v>
      </c>
      <c r="AE783" s="11" t="s">
        <v>2220</v>
      </c>
      <c r="AF783" s="11" t="s">
        <v>2231</v>
      </c>
      <c r="AG783" s="25"/>
      <c r="AH783" s="11"/>
      <c r="AI783" s="11"/>
      <c r="AJ783" s="11"/>
      <c r="AK783" s="11"/>
      <c r="AL783" s="11"/>
      <c r="AM783" s="11" t="str">
        <f t="shared" si="64"/>
        <v>Good</v>
      </c>
      <c r="AN783" s="11" t="str" cm="1">
        <f t="array" ref="AN783">_xlfn.IFS(N783&lt;10000,"Low",N783&lt;30000,"Medium",N783&gt;=30000,"High")</f>
        <v>High</v>
      </c>
      <c r="AO783" s="11" t="str">
        <f t="shared" si="65"/>
        <v>Yes</v>
      </c>
      <c r="AP783" s="11" t="str">
        <f t="shared" si="66"/>
        <v>Yes</v>
      </c>
      <c r="AQ783" s="11">
        <f t="shared" si="67"/>
        <v>0.33876210526315786</v>
      </c>
      <c r="AR783" s="33"/>
      <c r="AS783" s="33"/>
      <c r="AT783" s="33"/>
      <c r="AU783" s="33"/>
      <c r="AV783" s="33"/>
      <c r="AW783" s="33"/>
      <c r="AX783" s="33" t="str">
        <f t="shared" si="68"/>
        <v>Excellent</v>
      </c>
    </row>
    <row r="784" spans="1:50">
      <c r="A784" s="9" t="s">
        <v>1781</v>
      </c>
      <c r="B784" s="10" t="s">
        <v>734</v>
      </c>
      <c r="C784" s="11" t="s">
        <v>1262</v>
      </c>
      <c r="D784" s="11" t="s">
        <v>1268</v>
      </c>
      <c r="E784" s="11" t="s">
        <v>35</v>
      </c>
      <c r="F784" s="11" t="s">
        <v>149</v>
      </c>
      <c r="G784" s="11" t="s">
        <v>150</v>
      </c>
      <c r="H784" s="11" t="s">
        <v>38</v>
      </c>
      <c r="I784" s="11" t="s">
        <v>39</v>
      </c>
      <c r="J784" s="11" t="s">
        <v>253</v>
      </c>
      <c r="K784" s="25">
        <v>8</v>
      </c>
      <c r="L784" s="25">
        <v>8000</v>
      </c>
      <c r="M784" s="29">
        <v>0.1</v>
      </c>
      <c r="N784" s="25">
        <v>57600</v>
      </c>
      <c r="O784" s="25">
        <v>33868.720000000001</v>
      </c>
      <c r="P784" s="25">
        <v>23731.279999999999</v>
      </c>
      <c r="Q784" s="21">
        <v>41.2</v>
      </c>
      <c r="R784" s="11" t="s">
        <v>41</v>
      </c>
      <c r="S784" s="11" t="s">
        <v>74</v>
      </c>
      <c r="T784" s="11" t="s">
        <v>118</v>
      </c>
      <c r="U784" s="11" t="s">
        <v>87</v>
      </c>
      <c r="V784" s="11">
        <v>2025</v>
      </c>
      <c r="W784" s="11" t="s">
        <v>194</v>
      </c>
      <c r="X784" s="11">
        <v>6</v>
      </c>
      <c r="Y784" s="10" t="s">
        <v>685</v>
      </c>
      <c r="Z784" s="11" t="s">
        <v>47</v>
      </c>
      <c r="AA784" s="11" t="s">
        <v>48</v>
      </c>
      <c r="AB784" s="11" t="s">
        <v>78</v>
      </c>
      <c r="AC784" s="11" t="s">
        <v>121</v>
      </c>
      <c r="AD784" s="11">
        <v>1</v>
      </c>
      <c r="AE784" s="11" t="s">
        <v>2248</v>
      </c>
      <c r="AF784" s="11" t="s">
        <v>2249</v>
      </c>
      <c r="AG784" s="25"/>
      <c r="AH784" s="11"/>
      <c r="AI784" s="11"/>
      <c r="AJ784" s="11"/>
      <c r="AK784" s="11"/>
      <c r="AL784" s="11"/>
      <c r="AM784" s="11" t="str">
        <f t="shared" si="64"/>
        <v>Good</v>
      </c>
      <c r="AN784" s="11" t="str" cm="1">
        <f t="array" ref="AN784">_xlfn.IFS(N784&lt;10000,"Low",N784&lt;30000,"Medium",N784&gt;=30000,"High")</f>
        <v>High</v>
      </c>
      <c r="AO784" s="11" t="str">
        <f t="shared" si="65"/>
        <v>Yes</v>
      </c>
      <c r="AP784" s="11" t="str">
        <f t="shared" si="66"/>
        <v>Yes</v>
      </c>
      <c r="AQ784" s="11">
        <f t="shared" si="67"/>
        <v>0.41200138888888888</v>
      </c>
      <c r="AR784" s="33"/>
      <c r="AS784" s="33"/>
      <c r="AT784" s="33"/>
      <c r="AU784" s="33"/>
      <c r="AV784" s="33"/>
      <c r="AW784" s="33"/>
      <c r="AX784" s="33" t="str">
        <f t="shared" si="68"/>
        <v>Excellent</v>
      </c>
    </row>
    <row r="785" spans="1:50">
      <c r="A785" s="9" t="s">
        <v>1961</v>
      </c>
      <c r="B785" s="10" t="s">
        <v>734</v>
      </c>
      <c r="C785" s="11" t="s">
        <v>1392</v>
      </c>
      <c r="D785" s="11" t="s">
        <v>1162</v>
      </c>
      <c r="E785" s="11" t="s">
        <v>103</v>
      </c>
      <c r="F785" s="11" t="s">
        <v>131</v>
      </c>
      <c r="G785" s="11" t="s">
        <v>132</v>
      </c>
      <c r="H785" s="11" t="s">
        <v>171</v>
      </c>
      <c r="I785" s="11" t="s">
        <v>95</v>
      </c>
      <c r="J785" s="11" t="s">
        <v>344</v>
      </c>
      <c r="K785" s="25">
        <v>7</v>
      </c>
      <c r="L785" s="25">
        <v>2500</v>
      </c>
      <c r="M785" s="29">
        <v>0.1</v>
      </c>
      <c r="N785" s="25">
        <v>15750</v>
      </c>
      <c r="O785" s="25">
        <v>8750.49</v>
      </c>
      <c r="P785" s="25">
        <v>6999.51</v>
      </c>
      <c r="Q785" s="21">
        <v>44.44</v>
      </c>
      <c r="R785" s="11" t="s">
        <v>61</v>
      </c>
      <c r="S785" s="11" t="s">
        <v>62</v>
      </c>
      <c r="T785" s="11" t="s">
        <v>118</v>
      </c>
      <c r="U785" s="11" t="s">
        <v>87</v>
      </c>
      <c r="V785" s="11">
        <v>2025</v>
      </c>
      <c r="W785" s="11" t="s">
        <v>194</v>
      </c>
      <c r="X785" s="11">
        <v>4</v>
      </c>
      <c r="Y785" s="10" t="s">
        <v>1006</v>
      </c>
      <c r="Z785" s="11" t="s">
        <v>110</v>
      </c>
      <c r="AA785" s="11" t="s">
        <v>67</v>
      </c>
      <c r="AB785" s="11" t="s">
        <v>49</v>
      </c>
      <c r="AC785" s="11" t="s">
        <v>121</v>
      </c>
      <c r="AD785" s="11">
        <v>3</v>
      </c>
      <c r="AE785" s="11" t="s">
        <v>2225</v>
      </c>
      <c r="AF785" s="11" t="s">
        <v>2222</v>
      </c>
      <c r="AG785" s="25"/>
      <c r="AH785" s="11"/>
      <c r="AI785" s="11"/>
      <c r="AJ785" s="11"/>
      <c r="AK785" s="11"/>
      <c r="AL785" s="11"/>
      <c r="AM785" s="11" t="str">
        <f t="shared" si="64"/>
        <v>Good</v>
      </c>
      <c r="AN785" s="11" t="str" cm="1">
        <f t="array" ref="AN785">_xlfn.IFS(N785&lt;10000,"Low",N785&lt;30000,"Medium",N785&gt;=30000,"High")</f>
        <v>Medium</v>
      </c>
      <c r="AO785" s="11" t="str">
        <f t="shared" si="65"/>
        <v>No</v>
      </c>
      <c r="AP785" s="11" t="str">
        <f t="shared" si="66"/>
        <v>No</v>
      </c>
      <c r="AQ785" s="11">
        <f t="shared" si="67"/>
        <v>0.44441333333333333</v>
      </c>
      <c r="AR785" s="33"/>
      <c r="AS785" s="33"/>
      <c r="AT785" s="33"/>
      <c r="AU785" s="33"/>
      <c r="AV785" s="33"/>
      <c r="AW785" s="33"/>
      <c r="AX785" s="33" t="str">
        <f t="shared" si="68"/>
        <v>Average</v>
      </c>
    </row>
    <row r="786" spans="1:50">
      <c r="A786" s="9" t="s">
        <v>2100</v>
      </c>
      <c r="B786" s="10" t="s">
        <v>734</v>
      </c>
      <c r="C786" s="11" t="s">
        <v>169</v>
      </c>
      <c r="D786" s="11" t="s">
        <v>455</v>
      </c>
      <c r="E786" s="11" t="s">
        <v>55</v>
      </c>
      <c r="F786" s="11" t="s">
        <v>144</v>
      </c>
      <c r="G786" s="11" t="s">
        <v>145</v>
      </c>
      <c r="H786" s="11" t="s">
        <v>38</v>
      </c>
      <c r="I786" s="11" t="s">
        <v>59</v>
      </c>
      <c r="J786" s="11" t="s">
        <v>372</v>
      </c>
      <c r="K786" s="25">
        <v>1</v>
      </c>
      <c r="L786" s="25">
        <v>3000</v>
      </c>
      <c r="M786" s="29">
        <v>0.1</v>
      </c>
      <c r="N786" s="25">
        <v>2700</v>
      </c>
      <c r="O786" s="25">
        <v>2162.4299999999998</v>
      </c>
      <c r="P786" s="25">
        <v>537.57000000000005</v>
      </c>
      <c r="Q786" s="21">
        <v>19.91</v>
      </c>
      <c r="R786" s="11" t="s">
        <v>106</v>
      </c>
      <c r="S786" s="11" t="s">
        <v>74</v>
      </c>
      <c r="T786" s="11" t="s">
        <v>138</v>
      </c>
      <c r="U786" s="11" t="s">
        <v>87</v>
      </c>
      <c r="V786" s="11">
        <v>2025</v>
      </c>
      <c r="W786" s="11" t="s">
        <v>194</v>
      </c>
      <c r="X786" s="11">
        <v>10</v>
      </c>
      <c r="Y786" s="10">
        <v>45727</v>
      </c>
      <c r="Z786" s="11" t="s">
        <v>110</v>
      </c>
      <c r="AA786" s="11" t="s">
        <v>48</v>
      </c>
      <c r="AB786" s="11" t="s">
        <v>78</v>
      </c>
      <c r="AC786" s="11" t="s">
        <v>121</v>
      </c>
      <c r="AD786" s="11">
        <v>4</v>
      </c>
      <c r="AE786" s="11" t="s">
        <v>2234</v>
      </c>
      <c r="AF786" s="11" t="s">
        <v>2210</v>
      </c>
      <c r="AG786" s="25"/>
      <c r="AH786" s="11"/>
      <c r="AI786" s="11"/>
      <c r="AJ786" s="11"/>
      <c r="AK786" s="11"/>
      <c r="AL786" s="11"/>
      <c r="AM786" s="11" t="str">
        <f t="shared" si="64"/>
        <v>Needs Improvement</v>
      </c>
      <c r="AN786" s="11" t="str" cm="1">
        <f t="array" ref="AN786">_xlfn.IFS(N786&lt;10000,"Low",N786&lt;30000,"Medium",N786&gt;=30000,"High")</f>
        <v>Low</v>
      </c>
      <c r="AO786" s="11" t="str">
        <f t="shared" si="65"/>
        <v>No</v>
      </c>
      <c r="AP786" s="11" t="str">
        <f t="shared" si="66"/>
        <v>Yes</v>
      </c>
      <c r="AQ786" s="11">
        <f t="shared" si="67"/>
        <v>0.19910000000000003</v>
      </c>
      <c r="AR786" s="33"/>
      <c r="AS786" s="33"/>
      <c r="AT786" s="33"/>
      <c r="AU786" s="33"/>
      <c r="AV786" s="33"/>
      <c r="AW786" s="33"/>
      <c r="AX786" s="33" t="str">
        <f t="shared" si="68"/>
        <v>Low</v>
      </c>
    </row>
    <row r="787" spans="1:50">
      <c r="A787" s="9" t="s">
        <v>1234</v>
      </c>
      <c r="B787" s="10" t="s">
        <v>1235</v>
      </c>
      <c r="C787" s="11" t="s">
        <v>908</v>
      </c>
      <c r="D787" s="11" t="s">
        <v>478</v>
      </c>
      <c r="E787" s="11" t="s">
        <v>103</v>
      </c>
      <c r="F787" s="11" t="s">
        <v>56</v>
      </c>
      <c r="G787" s="11" t="s">
        <v>57</v>
      </c>
      <c r="H787" s="11" t="s">
        <v>58</v>
      </c>
      <c r="I787" s="11" t="s">
        <v>59</v>
      </c>
      <c r="J787" s="11" t="s">
        <v>133</v>
      </c>
      <c r="K787" s="25">
        <v>10</v>
      </c>
      <c r="L787" s="25">
        <v>1200</v>
      </c>
      <c r="M787" s="29">
        <v>0.1</v>
      </c>
      <c r="N787" s="25">
        <v>10800</v>
      </c>
      <c r="O787" s="25">
        <v>7661.79</v>
      </c>
      <c r="P787" s="25">
        <v>3138.21</v>
      </c>
      <c r="Q787" s="21">
        <v>29.06</v>
      </c>
      <c r="R787" s="11" t="s">
        <v>61</v>
      </c>
      <c r="S787" s="11" t="s">
        <v>62</v>
      </c>
      <c r="T787" s="11" t="s">
        <v>173</v>
      </c>
      <c r="U787" s="11" t="s">
        <v>198</v>
      </c>
      <c r="V787" s="11">
        <v>2024</v>
      </c>
      <c r="W787" s="11" t="s">
        <v>45</v>
      </c>
      <c r="X787" s="11">
        <v>1</v>
      </c>
      <c r="Y787" s="10" t="s">
        <v>1236</v>
      </c>
      <c r="Z787" s="11" t="s">
        <v>47</v>
      </c>
      <c r="AA787" s="11" t="s">
        <v>67</v>
      </c>
      <c r="AB787" s="11" t="s">
        <v>78</v>
      </c>
      <c r="AC787" s="11" t="s">
        <v>50</v>
      </c>
      <c r="AD787" s="11">
        <v>4</v>
      </c>
      <c r="AE787" s="11" t="s">
        <v>159</v>
      </c>
      <c r="AF787" s="11" t="s">
        <v>2236</v>
      </c>
      <c r="AG787" s="25"/>
      <c r="AH787" s="11"/>
      <c r="AI787" s="11"/>
      <c r="AJ787" s="11"/>
      <c r="AK787" s="11"/>
      <c r="AL787" s="11"/>
      <c r="AM787" s="11" t="str">
        <f t="shared" si="64"/>
        <v>Needs Improvement</v>
      </c>
      <c r="AN787" s="11" t="str" cm="1">
        <f t="array" ref="AN787">_xlfn.IFS(N787&lt;10000,"Low",N787&lt;30000,"Medium",N787&gt;=30000,"High")</f>
        <v>Medium</v>
      </c>
      <c r="AO787" s="11" t="str">
        <f t="shared" si="65"/>
        <v>No</v>
      </c>
      <c r="AP787" s="11" t="str">
        <f t="shared" si="66"/>
        <v>No</v>
      </c>
      <c r="AQ787" s="11">
        <f t="shared" si="67"/>
        <v>0.29057500000000003</v>
      </c>
      <c r="AR787" s="33"/>
      <c r="AS787" s="33"/>
      <c r="AT787" s="33"/>
      <c r="AU787" s="33"/>
      <c r="AV787" s="33"/>
      <c r="AW787" s="33"/>
      <c r="AX787" s="33" t="str">
        <f t="shared" si="68"/>
        <v>Low</v>
      </c>
    </row>
    <row r="788" spans="1:50">
      <c r="A788" s="9" t="s">
        <v>1286</v>
      </c>
      <c r="B788" s="10" t="s">
        <v>1287</v>
      </c>
      <c r="C788" s="11" t="s">
        <v>1288</v>
      </c>
      <c r="D788" s="11" t="s">
        <v>834</v>
      </c>
      <c r="E788" s="11" t="s">
        <v>55</v>
      </c>
      <c r="F788" s="11" t="s">
        <v>144</v>
      </c>
      <c r="G788" s="11" t="s">
        <v>145</v>
      </c>
      <c r="H788" s="11" t="s">
        <v>58</v>
      </c>
      <c r="I788" s="11" t="s">
        <v>95</v>
      </c>
      <c r="J788" s="11" t="s">
        <v>440</v>
      </c>
      <c r="K788" s="25">
        <v>2</v>
      </c>
      <c r="L788" s="25">
        <v>4000</v>
      </c>
      <c r="M788" s="29">
        <v>0.15</v>
      </c>
      <c r="N788" s="25">
        <v>6800</v>
      </c>
      <c r="O788" s="25">
        <v>3787.67</v>
      </c>
      <c r="P788" s="25">
        <v>3012.33</v>
      </c>
      <c r="Q788" s="21">
        <v>44.3</v>
      </c>
      <c r="R788" s="11" t="s">
        <v>61</v>
      </c>
      <c r="S788" s="11" t="s">
        <v>74</v>
      </c>
      <c r="T788" s="11" t="s">
        <v>43</v>
      </c>
      <c r="U788" s="11" t="s">
        <v>198</v>
      </c>
      <c r="V788" s="11">
        <v>2025</v>
      </c>
      <c r="W788" s="11" t="s">
        <v>126</v>
      </c>
      <c r="X788" s="11">
        <v>2</v>
      </c>
      <c r="Y788" s="10" t="s">
        <v>352</v>
      </c>
      <c r="Z788" s="11" t="s">
        <v>47</v>
      </c>
      <c r="AA788" s="11" t="s">
        <v>90</v>
      </c>
      <c r="AB788" s="11" t="s">
        <v>78</v>
      </c>
      <c r="AC788" s="11" t="s">
        <v>50</v>
      </c>
      <c r="AD788" s="11">
        <v>4</v>
      </c>
      <c r="AE788" s="11" t="s">
        <v>2209</v>
      </c>
      <c r="AF788" s="11" t="s">
        <v>2223</v>
      </c>
      <c r="AG788" s="25"/>
      <c r="AH788" s="11"/>
      <c r="AI788" s="11"/>
      <c r="AJ788" s="11"/>
      <c r="AK788" s="11"/>
      <c r="AL788" s="11"/>
      <c r="AM788" s="11" t="str">
        <f t="shared" si="64"/>
        <v>Good</v>
      </c>
      <c r="AN788" s="11" t="str" cm="1">
        <f t="array" ref="AN788">_xlfn.IFS(N788&lt;10000,"Low",N788&lt;30000,"Medium",N788&gt;=30000,"High")</f>
        <v>Low</v>
      </c>
      <c r="AO788" s="11" t="str">
        <f t="shared" si="65"/>
        <v>No</v>
      </c>
      <c r="AP788" s="11" t="str">
        <f t="shared" si="66"/>
        <v>Yes</v>
      </c>
      <c r="AQ788" s="11">
        <f t="shared" si="67"/>
        <v>0.44298970588235292</v>
      </c>
      <c r="AR788" s="33"/>
      <c r="AS788" s="33"/>
      <c r="AT788" s="33"/>
      <c r="AU788" s="33"/>
      <c r="AV788" s="33"/>
      <c r="AW788" s="33"/>
      <c r="AX788" s="33" t="str">
        <f t="shared" si="68"/>
        <v>Low</v>
      </c>
    </row>
    <row r="789" spans="1:50">
      <c r="A789" s="9" t="s">
        <v>384</v>
      </c>
      <c r="B789" s="10" t="s">
        <v>385</v>
      </c>
      <c r="C789" s="11" t="s">
        <v>386</v>
      </c>
      <c r="D789" s="11" t="s">
        <v>387</v>
      </c>
      <c r="E789" s="11" t="s">
        <v>55</v>
      </c>
      <c r="F789" s="11" t="s">
        <v>131</v>
      </c>
      <c r="G789" s="11" t="s">
        <v>132</v>
      </c>
      <c r="H789" s="11" t="s">
        <v>58</v>
      </c>
      <c r="I789" s="11" t="s">
        <v>95</v>
      </c>
      <c r="J789" s="11" t="s">
        <v>319</v>
      </c>
      <c r="K789" s="25">
        <v>8</v>
      </c>
      <c r="L789" s="25">
        <v>4000</v>
      </c>
      <c r="M789" s="29">
        <v>0</v>
      </c>
      <c r="N789" s="25">
        <v>32000</v>
      </c>
      <c r="O789" s="25">
        <v>18592.61</v>
      </c>
      <c r="P789" s="25">
        <v>13407.39</v>
      </c>
      <c r="Q789" s="21">
        <v>41.9</v>
      </c>
      <c r="R789" s="11" t="s">
        <v>41</v>
      </c>
      <c r="S789" s="11" t="s">
        <v>42</v>
      </c>
      <c r="T789" s="11" t="s">
        <v>159</v>
      </c>
      <c r="U789" s="11" t="s">
        <v>64</v>
      </c>
      <c r="V789" s="11">
        <v>2024</v>
      </c>
      <c r="W789" s="11" t="s">
        <v>109</v>
      </c>
      <c r="X789" s="11">
        <v>9</v>
      </c>
      <c r="Y789" s="10">
        <v>45689</v>
      </c>
      <c r="Z789" s="11" t="s">
        <v>47</v>
      </c>
      <c r="AA789" s="11" t="s">
        <v>90</v>
      </c>
      <c r="AB789" s="11" t="s">
        <v>49</v>
      </c>
      <c r="AC789" s="11" t="s">
        <v>50</v>
      </c>
      <c r="AD789" s="11">
        <v>3</v>
      </c>
      <c r="AE789" s="11" t="s">
        <v>2229</v>
      </c>
      <c r="AF789" s="11" t="s">
        <v>2212</v>
      </c>
      <c r="AG789" s="25"/>
      <c r="AH789" s="11"/>
      <c r="AI789" s="11"/>
      <c r="AJ789" s="11"/>
      <c r="AK789" s="11"/>
      <c r="AL789" s="11"/>
      <c r="AM789" s="11" t="str">
        <f t="shared" si="64"/>
        <v>Good</v>
      </c>
      <c r="AN789" s="11" t="str" cm="1">
        <f t="array" ref="AN789">_xlfn.IFS(N789&lt;10000,"Low",N789&lt;30000,"Medium",N789&gt;=30000,"High")</f>
        <v>High</v>
      </c>
      <c r="AO789" s="11" t="str">
        <f t="shared" si="65"/>
        <v>Yes</v>
      </c>
      <c r="AP789" s="11" t="str">
        <f t="shared" si="66"/>
        <v>Yes</v>
      </c>
      <c r="AQ789" s="11">
        <f t="shared" si="67"/>
        <v>0.41898093749999998</v>
      </c>
      <c r="AR789" s="33"/>
      <c r="AS789" s="33"/>
      <c r="AT789" s="33"/>
      <c r="AU789" s="33"/>
      <c r="AV789" s="33"/>
      <c r="AW789" s="33"/>
      <c r="AX789" s="33" t="str">
        <f t="shared" si="68"/>
        <v>Good</v>
      </c>
    </row>
    <row r="790" spans="1:50">
      <c r="A790" s="9" t="s">
        <v>751</v>
      </c>
      <c r="B790" s="10" t="s">
        <v>385</v>
      </c>
      <c r="C790" s="11" t="s">
        <v>752</v>
      </c>
      <c r="D790" s="11" t="s">
        <v>669</v>
      </c>
      <c r="E790" s="11" t="s">
        <v>103</v>
      </c>
      <c r="F790" s="11" t="s">
        <v>56</v>
      </c>
      <c r="G790" s="11" t="s">
        <v>57</v>
      </c>
      <c r="H790" s="11" t="s">
        <v>94</v>
      </c>
      <c r="I790" s="11" t="s">
        <v>39</v>
      </c>
      <c r="J790" s="11" t="s">
        <v>40</v>
      </c>
      <c r="K790" s="25">
        <v>4</v>
      </c>
      <c r="L790" s="25">
        <v>12000</v>
      </c>
      <c r="M790" s="29">
        <v>0</v>
      </c>
      <c r="N790" s="25">
        <v>48000</v>
      </c>
      <c r="O790" s="25">
        <v>35736.559999999998</v>
      </c>
      <c r="P790" s="25">
        <v>12263.44</v>
      </c>
      <c r="Q790" s="21">
        <v>25.55</v>
      </c>
      <c r="R790" s="11" t="s">
        <v>73</v>
      </c>
      <c r="S790" s="11" t="s">
        <v>62</v>
      </c>
      <c r="T790" s="11" t="s">
        <v>138</v>
      </c>
      <c r="U790" s="11" t="s">
        <v>64</v>
      </c>
      <c r="V790" s="11">
        <v>2024</v>
      </c>
      <c r="W790" s="11" t="s">
        <v>109</v>
      </c>
      <c r="X790" s="11">
        <v>5</v>
      </c>
      <c r="Y790" s="10" t="s">
        <v>598</v>
      </c>
      <c r="Z790" s="11" t="s">
        <v>47</v>
      </c>
      <c r="AA790" s="11" t="s">
        <v>67</v>
      </c>
      <c r="AB790" s="11" t="s">
        <v>78</v>
      </c>
      <c r="AC790" s="11" t="s">
        <v>50</v>
      </c>
      <c r="AD790" s="11">
        <v>1</v>
      </c>
      <c r="AE790" s="11" t="s">
        <v>118</v>
      </c>
      <c r="AF790" s="11" t="s">
        <v>2219</v>
      </c>
      <c r="AG790" s="25"/>
      <c r="AH790" s="11"/>
      <c r="AI790" s="11"/>
      <c r="AJ790" s="11"/>
      <c r="AK790" s="11"/>
      <c r="AL790" s="11"/>
      <c r="AM790" s="11" t="str">
        <f t="shared" si="64"/>
        <v>Needs Improvement</v>
      </c>
      <c r="AN790" s="11" t="str" cm="1">
        <f t="array" ref="AN790">_xlfn.IFS(N790&lt;10000,"Low",N790&lt;30000,"Medium",N790&gt;=30000,"High")</f>
        <v>High</v>
      </c>
      <c r="AO790" s="11" t="str">
        <f t="shared" si="65"/>
        <v>Yes</v>
      </c>
      <c r="AP790" s="11" t="str">
        <f t="shared" si="66"/>
        <v>No</v>
      </c>
      <c r="AQ790" s="11">
        <f t="shared" si="67"/>
        <v>0.25548833333333332</v>
      </c>
      <c r="AR790" s="33"/>
      <c r="AS790" s="33"/>
      <c r="AT790" s="33"/>
      <c r="AU790" s="33"/>
      <c r="AV790" s="33"/>
      <c r="AW790" s="33"/>
      <c r="AX790" s="33" t="str">
        <f t="shared" si="68"/>
        <v>Good</v>
      </c>
    </row>
    <row r="791" spans="1:50">
      <c r="A791" s="9" t="s">
        <v>1934</v>
      </c>
      <c r="B791" s="10" t="s">
        <v>385</v>
      </c>
      <c r="C791" s="11" t="s">
        <v>1245</v>
      </c>
      <c r="D791" s="11" t="s">
        <v>164</v>
      </c>
      <c r="E791" s="11" t="s">
        <v>55</v>
      </c>
      <c r="F791" s="11" t="s">
        <v>149</v>
      </c>
      <c r="G791" s="11" t="s">
        <v>150</v>
      </c>
      <c r="H791" s="11" t="s">
        <v>171</v>
      </c>
      <c r="I791" s="11" t="s">
        <v>95</v>
      </c>
      <c r="J791" s="11" t="s">
        <v>344</v>
      </c>
      <c r="K791" s="25">
        <v>5</v>
      </c>
      <c r="L791" s="25">
        <v>6000</v>
      </c>
      <c r="M791" s="29">
        <v>0</v>
      </c>
      <c r="N791" s="25">
        <v>30000</v>
      </c>
      <c r="O791" s="25">
        <v>23685.08</v>
      </c>
      <c r="P791" s="25">
        <v>6314.92</v>
      </c>
      <c r="Q791" s="21">
        <v>21.05</v>
      </c>
      <c r="R791" s="11" t="s">
        <v>41</v>
      </c>
      <c r="S791" s="11" t="s">
        <v>42</v>
      </c>
      <c r="T791" s="11" t="s">
        <v>138</v>
      </c>
      <c r="U791" s="11" t="s">
        <v>64</v>
      </c>
      <c r="V791" s="11">
        <v>2024</v>
      </c>
      <c r="W791" s="11" t="s">
        <v>109</v>
      </c>
      <c r="X791" s="11">
        <v>8</v>
      </c>
      <c r="Y791" s="10">
        <v>45658</v>
      </c>
      <c r="Z791" s="11" t="s">
        <v>110</v>
      </c>
      <c r="AA791" s="11" t="s">
        <v>90</v>
      </c>
      <c r="AB791" s="11" t="s">
        <v>78</v>
      </c>
      <c r="AC791" s="11" t="s">
        <v>121</v>
      </c>
      <c r="AD791" s="11">
        <v>3</v>
      </c>
      <c r="AE791" s="11" t="s">
        <v>2237</v>
      </c>
      <c r="AF791" s="11" t="s">
        <v>2249</v>
      </c>
      <c r="AG791" s="25"/>
      <c r="AH791" s="11"/>
      <c r="AI791" s="11"/>
      <c r="AJ791" s="11"/>
      <c r="AK791" s="11"/>
      <c r="AL791" s="11"/>
      <c r="AM791" s="11" t="str">
        <f t="shared" si="64"/>
        <v>Needs Improvement</v>
      </c>
      <c r="AN791" s="11" t="str" cm="1">
        <f t="array" ref="AN791">_xlfn.IFS(N791&lt;10000,"Low",N791&lt;30000,"Medium",N791&gt;=30000,"High")</f>
        <v>High</v>
      </c>
      <c r="AO791" s="11" t="str">
        <f t="shared" si="65"/>
        <v>No</v>
      </c>
      <c r="AP791" s="11" t="str">
        <f t="shared" si="66"/>
        <v>Yes</v>
      </c>
      <c r="AQ791" s="11">
        <f t="shared" si="67"/>
        <v>0.21049733333333334</v>
      </c>
      <c r="AR791" s="33"/>
      <c r="AS791" s="33"/>
      <c r="AT791" s="33"/>
      <c r="AU791" s="33"/>
      <c r="AV791" s="33"/>
      <c r="AW791" s="33"/>
      <c r="AX791" s="33" t="str">
        <f t="shared" si="68"/>
        <v>Average</v>
      </c>
    </row>
    <row r="792" spans="1:50">
      <c r="A792" s="9" t="s">
        <v>2024</v>
      </c>
      <c r="B792" s="10" t="s">
        <v>2025</v>
      </c>
      <c r="C792" s="11" t="s">
        <v>1259</v>
      </c>
      <c r="D792" s="11" t="s">
        <v>2026</v>
      </c>
      <c r="E792" s="11" t="s">
        <v>55</v>
      </c>
      <c r="F792" s="11" t="s">
        <v>56</v>
      </c>
      <c r="G792" s="11" t="s">
        <v>57</v>
      </c>
      <c r="H792" s="11" t="s">
        <v>171</v>
      </c>
      <c r="I792" s="11" t="s">
        <v>84</v>
      </c>
      <c r="J792" s="11" t="s">
        <v>217</v>
      </c>
      <c r="K792" s="25">
        <v>3</v>
      </c>
      <c r="L792" s="25">
        <v>500</v>
      </c>
      <c r="M792" s="29">
        <v>0.2</v>
      </c>
      <c r="N792" s="25">
        <v>1200</v>
      </c>
      <c r="O792" s="25">
        <v>965.4</v>
      </c>
      <c r="P792" s="25">
        <v>234.6</v>
      </c>
      <c r="Q792" s="21">
        <v>19.55</v>
      </c>
      <c r="R792" s="11" t="s">
        <v>41</v>
      </c>
      <c r="S792" s="11" t="s">
        <v>42</v>
      </c>
      <c r="T792" s="11" t="s">
        <v>63</v>
      </c>
      <c r="U792" s="11" t="s">
        <v>64</v>
      </c>
      <c r="V792" s="11">
        <v>2025</v>
      </c>
      <c r="W792" s="11" t="s">
        <v>134</v>
      </c>
      <c r="X792" s="11">
        <v>10</v>
      </c>
      <c r="Y792" s="10">
        <v>46082</v>
      </c>
      <c r="Z792" s="11" t="s">
        <v>89</v>
      </c>
      <c r="AA792" s="11" t="s">
        <v>48</v>
      </c>
      <c r="AB792" s="11" t="s">
        <v>111</v>
      </c>
      <c r="AC792" s="11" t="s">
        <v>50</v>
      </c>
      <c r="AD792" s="11">
        <v>1</v>
      </c>
      <c r="AE792" s="11" t="s">
        <v>2234</v>
      </c>
      <c r="AF792" s="11" t="s">
        <v>2249</v>
      </c>
      <c r="AG792" s="25"/>
      <c r="AH792" s="11"/>
      <c r="AI792" s="11"/>
      <c r="AJ792" s="11"/>
      <c r="AK792" s="11"/>
      <c r="AL792" s="11"/>
      <c r="AM792" s="11" t="str">
        <f t="shared" si="64"/>
        <v>Needs Improvement</v>
      </c>
      <c r="AN792" s="11" t="str" cm="1">
        <f t="array" ref="AN792">_xlfn.IFS(N792&lt;10000,"Low",N792&lt;30000,"Medium",N792&gt;=30000,"High")</f>
        <v>Low</v>
      </c>
      <c r="AO792" s="11" t="str">
        <f t="shared" si="65"/>
        <v>No</v>
      </c>
      <c r="AP792" s="11" t="str">
        <f t="shared" si="66"/>
        <v>Yes</v>
      </c>
      <c r="AQ792" s="11">
        <f t="shared" si="67"/>
        <v>0.19550000000000001</v>
      </c>
      <c r="AR792" s="33"/>
      <c r="AS792" s="33"/>
      <c r="AT792" s="33"/>
      <c r="AU792" s="33"/>
      <c r="AV792" s="33"/>
      <c r="AW792" s="33"/>
      <c r="AX792" s="33" t="str">
        <f t="shared" si="68"/>
        <v>Low</v>
      </c>
    </row>
    <row r="793" spans="1:50">
      <c r="A793" s="9" t="s">
        <v>1853</v>
      </c>
      <c r="B793" s="10" t="s">
        <v>1046</v>
      </c>
      <c r="C793" s="11" t="s">
        <v>444</v>
      </c>
      <c r="D793" s="11" t="s">
        <v>1469</v>
      </c>
      <c r="E793" s="11" t="s">
        <v>55</v>
      </c>
      <c r="F793" s="11" t="s">
        <v>82</v>
      </c>
      <c r="G793" s="11" t="s">
        <v>83</v>
      </c>
      <c r="H793" s="11" t="s">
        <v>171</v>
      </c>
      <c r="I793" s="11" t="s">
        <v>84</v>
      </c>
      <c r="J793" s="11" t="s">
        <v>85</v>
      </c>
      <c r="K793" s="25">
        <v>9</v>
      </c>
      <c r="L793" s="25">
        <v>350</v>
      </c>
      <c r="M793" s="29">
        <v>0.2</v>
      </c>
      <c r="N793" s="25">
        <v>2520</v>
      </c>
      <c r="O793" s="25">
        <v>2002.32</v>
      </c>
      <c r="P793" s="25">
        <v>517.67999999999995</v>
      </c>
      <c r="Q793" s="21">
        <v>20.54</v>
      </c>
      <c r="R793" s="11" t="s">
        <v>166</v>
      </c>
      <c r="S793" s="11" t="s">
        <v>62</v>
      </c>
      <c r="T793" s="11" t="s">
        <v>97</v>
      </c>
      <c r="U793" s="11" t="s">
        <v>76</v>
      </c>
      <c r="V793" s="11">
        <v>2024</v>
      </c>
      <c r="W793" s="11" t="s">
        <v>139</v>
      </c>
      <c r="X793" s="11">
        <v>8</v>
      </c>
      <c r="Y793" s="10">
        <v>45324</v>
      </c>
      <c r="Z793" s="11" t="s">
        <v>47</v>
      </c>
      <c r="AA793" s="11" t="s">
        <v>90</v>
      </c>
      <c r="AB793" s="11" t="s">
        <v>78</v>
      </c>
      <c r="AC793" s="11" t="s">
        <v>50</v>
      </c>
      <c r="AD793" s="11">
        <v>1</v>
      </c>
      <c r="AE793" s="11" t="s">
        <v>2213</v>
      </c>
      <c r="AF793" s="11" t="s">
        <v>2214</v>
      </c>
      <c r="AG793" s="25"/>
      <c r="AH793" s="11"/>
      <c r="AI793" s="11"/>
      <c r="AJ793" s="11"/>
      <c r="AK793" s="11"/>
      <c r="AL793" s="11"/>
      <c r="AM793" s="11" t="str">
        <f t="shared" si="64"/>
        <v>Needs Improvement</v>
      </c>
      <c r="AN793" s="11" t="str" cm="1">
        <f t="array" ref="AN793">_xlfn.IFS(N793&lt;10000,"Low",N793&lt;30000,"Medium",N793&gt;=30000,"High")</f>
        <v>Low</v>
      </c>
      <c r="AO793" s="11" t="str">
        <f t="shared" si="65"/>
        <v>No</v>
      </c>
      <c r="AP793" s="11" t="str">
        <f t="shared" si="66"/>
        <v>No</v>
      </c>
      <c r="AQ793" s="11">
        <f t="shared" si="67"/>
        <v>0.2054285714285714</v>
      </c>
      <c r="AR793" s="33"/>
      <c r="AS793" s="33"/>
      <c r="AT793" s="33"/>
      <c r="AU793" s="33"/>
      <c r="AV793" s="33"/>
      <c r="AW793" s="33"/>
      <c r="AX793" s="33" t="str">
        <f t="shared" si="68"/>
        <v>Low</v>
      </c>
    </row>
    <row r="794" spans="1:50">
      <c r="A794" s="9" t="s">
        <v>957</v>
      </c>
      <c r="B794" s="10" t="s">
        <v>958</v>
      </c>
      <c r="C794" s="11" t="s">
        <v>238</v>
      </c>
      <c r="D794" s="11" t="s">
        <v>707</v>
      </c>
      <c r="E794" s="11" t="s">
        <v>55</v>
      </c>
      <c r="F794" s="11" t="s">
        <v>131</v>
      </c>
      <c r="G794" s="11" t="s">
        <v>132</v>
      </c>
      <c r="H794" s="11" t="s">
        <v>94</v>
      </c>
      <c r="I794" s="11" t="s">
        <v>84</v>
      </c>
      <c r="J794" s="11" t="s">
        <v>290</v>
      </c>
      <c r="K794" s="25">
        <v>4</v>
      </c>
      <c r="L794" s="25">
        <v>800</v>
      </c>
      <c r="M794" s="29">
        <v>0.05</v>
      </c>
      <c r="N794" s="25">
        <v>3040</v>
      </c>
      <c r="O794" s="25">
        <v>2064.61</v>
      </c>
      <c r="P794" s="25">
        <v>975.39</v>
      </c>
      <c r="Q794" s="21">
        <v>32.090000000000003</v>
      </c>
      <c r="R794" s="11" t="s">
        <v>73</v>
      </c>
      <c r="S794" s="11" t="s">
        <v>62</v>
      </c>
      <c r="T794" s="11" t="s">
        <v>173</v>
      </c>
      <c r="U794" s="11" t="s">
        <v>98</v>
      </c>
      <c r="V794" s="11">
        <v>2024</v>
      </c>
      <c r="W794" s="11" t="s">
        <v>45</v>
      </c>
      <c r="X794" s="11">
        <v>9</v>
      </c>
      <c r="Y794" s="10">
        <v>45415</v>
      </c>
      <c r="Z794" s="11" t="s">
        <v>110</v>
      </c>
      <c r="AA794" s="11" t="s">
        <v>48</v>
      </c>
      <c r="AB794" s="11" t="s">
        <v>111</v>
      </c>
      <c r="AC794" s="11" t="s">
        <v>50</v>
      </c>
      <c r="AD794" s="11">
        <v>3</v>
      </c>
      <c r="AE794" s="11" t="s">
        <v>2226</v>
      </c>
      <c r="AF794" s="11" t="s">
        <v>2210</v>
      </c>
      <c r="AG794" s="25"/>
      <c r="AH794" s="11"/>
      <c r="AI794" s="11"/>
      <c r="AJ794" s="11"/>
      <c r="AK794" s="11"/>
      <c r="AL794" s="11"/>
      <c r="AM794" s="11" t="str">
        <f t="shared" si="64"/>
        <v>Good</v>
      </c>
      <c r="AN794" s="11" t="str" cm="1">
        <f t="array" ref="AN794">_xlfn.IFS(N794&lt;10000,"Low",N794&lt;30000,"Medium",N794&gt;=30000,"High")</f>
        <v>Low</v>
      </c>
      <c r="AO794" s="11" t="str">
        <f t="shared" si="65"/>
        <v>No</v>
      </c>
      <c r="AP794" s="11" t="str">
        <f t="shared" si="66"/>
        <v>No</v>
      </c>
      <c r="AQ794" s="11">
        <f t="shared" si="67"/>
        <v>0.32085197368421053</v>
      </c>
      <c r="AR794" s="33"/>
      <c r="AS794" s="33"/>
      <c r="AT794" s="33"/>
      <c r="AU794" s="33"/>
      <c r="AV794" s="33"/>
      <c r="AW794" s="33"/>
      <c r="AX794" s="33" t="str">
        <f t="shared" si="68"/>
        <v>Low</v>
      </c>
    </row>
    <row r="795" spans="1:50">
      <c r="A795" s="9" t="s">
        <v>1436</v>
      </c>
      <c r="B795" s="10" t="s">
        <v>958</v>
      </c>
      <c r="C795" s="11" t="s">
        <v>317</v>
      </c>
      <c r="D795" s="11" t="s">
        <v>1328</v>
      </c>
      <c r="E795" s="11" t="s">
        <v>35</v>
      </c>
      <c r="F795" s="11" t="s">
        <v>149</v>
      </c>
      <c r="G795" s="11" t="s">
        <v>150</v>
      </c>
      <c r="H795" s="11" t="s">
        <v>94</v>
      </c>
      <c r="I795" s="11" t="s">
        <v>84</v>
      </c>
      <c r="J795" s="11" t="s">
        <v>229</v>
      </c>
      <c r="K795" s="25">
        <v>4</v>
      </c>
      <c r="L795" s="25">
        <v>200</v>
      </c>
      <c r="M795" s="29">
        <v>0.2</v>
      </c>
      <c r="N795" s="25">
        <v>640</v>
      </c>
      <c r="O795" s="25">
        <v>457.07</v>
      </c>
      <c r="P795" s="25">
        <v>182.93</v>
      </c>
      <c r="Q795" s="21">
        <v>28.58</v>
      </c>
      <c r="R795" s="11" t="s">
        <v>106</v>
      </c>
      <c r="S795" s="11" t="s">
        <v>74</v>
      </c>
      <c r="T795" s="11" t="s">
        <v>138</v>
      </c>
      <c r="U795" s="11" t="s">
        <v>98</v>
      </c>
      <c r="V795" s="11">
        <v>2024</v>
      </c>
      <c r="W795" s="11" t="s">
        <v>45</v>
      </c>
      <c r="X795" s="11">
        <v>4</v>
      </c>
      <c r="Y795" s="10" t="s">
        <v>427</v>
      </c>
      <c r="Z795" s="11" t="s">
        <v>47</v>
      </c>
      <c r="AA795" s="11" t="s">
        <v>90</v>
      </c>
      <c r="AB795" s="11" t="s">
        <v>49</v>
      </c>
      <c r="AC795" s="11" t="s">
        <v>121</v>
      </c>
      <c r="AD795" s="11">
        <v>2</v>
      </c>
      <c r="AE795" s="11" t="s">
        <v>2227</v>
      </c>
      <c r="AF795" s="11" t="s">
        <v>2236</v>
      </c>
      <c r="AG795" s="25"/>
      <c r="AH795" s="11"/>
      <c r="AI795" s="11"/>
      <c r="AJ795" s="11"/>
      <c r="AK795" s="11"/>
      <c r="AL795" s="11"/>
      <c r="AM795" s="11" t="str">
        <f t="shared" si="64"/>
        <v>Needs Improvement</v>
      </c>
      <c r="AN795" s="11" t="str" cm="1">
        <f t="array" ref="AN795">_xlfn.IFS(N795&lt;10000,"Low",N795&lt;30000,"Medium",N795&gt;=30000,"High")</f>
        <v>Low</v>
      </c>
      <c r="AO795" s="11" t="str">
        <f t="shared" si="65"/>
        <v>No</v>
      </c>
      <c r="AP795" s="11" t="str">
        <f t="shared" si="66"/>
        <v>Yes</v>
      </c>
      <c r="AQ795" s="11">
        <f t="shared" si="67"/>
        <v>0.28582812499999999</v>
      </c>
      <c r="AR795" s="33"/>
      <c r="AS795" s="33"/>
      <c r="AT795" s="33"/>
      <c r="AU795" s="33"/>
      <c r="AV795" s="33"/>
      <c r="AW795" s="33"/>
      <c r="AX795" s="33" t="str">
        <f t="shared" si="68"/>
        <v>Low</v>
      </c>
    </row>
    <row r="796" spans="1:50">
      <c r="A796" s="9" t="s">
        <v>1553</v>
      </c>
      <c r="B796" s="10" t="s">
        <v>958</v>
      </c>
      <c r="C796" s="11" t="s">
        <v>1242</v>
      </c>
      <c r="D796" s="11" t="s">
        <v>1554</v>
      </c>
      <c r="E796" s="11" t="s">
        <v>55</v>
      </c>
      <c r="F796" s="11" t="s">
        <v>56</v>
      </c>
      <c r="G796" s="11" t="s">
        <v>57</v>
      </c>
      <c r="H796" s="11" t="s">
        <v>94</v>
      </c>
      <c r="I796" s="11" t="s">
        <v>71</v>
      </c>
      <c r="J796" s="11" t="s">
        <v>172</v>
      </c>
      <c r="K796" s="25">
        <v>4</v>
      </c>
      <c r="L796" s="25">
        <v>1800</v>
      </c>
      <c r="M796" s="29">
        <v>0.05</v>
      </c>
      <c r="N796" s="25">
        <v>6840</v>
      </c>
      <c r="O796" s="25">
        <v>4393.6400000000003</v>
      </c>
      <c r="P796" s="25">
        <v>2446.36</v>
      </c>
      <c r="Q796" s="21">
        <v>35.770000000000003</v>
      </c>
      <c r="R796" s="11" t="s">
        <v>166</v>
      </c>
      <c r="S796" s="11" t="s">
        <v>62</v>
      </c>
      <c r="T796" s="11" t="s">
        <v>107</v>
      </c>
      <c r="U796" s="11" t="s">
        <v>98</v>
      </c>
      <c r="V796" s="11">
        <v>2024</v>
      </c>
      <c r="W796" s="11" t="s">
        <v>45</v>
      </c>
      <c r="X796" s="11">
        <v>2</v>
      </c>
      <c r="Y796" s="10" t="s">
        <v>786</v>
      </c>
      <c r="Z796" s="11" t="s">
        <v>110</v>
      </c>
      <c r="AA796" s="11" t="s">
        <v>48</v>
      </c>
      <c r="AB796" s="11" t="s">
        <v>49</v>
      </c>
      <c r="AC796" s="11" t="s">
        <v>50</v>
      </c>
      <c r="AD796" s="11">
        <v>3</v>
      </c>
      <c r="AE796" s="11" t="s">
        <v>2248</v>
      </c>
      <c r="AF796" s="11" t="s">
        <v>2212</v>
      </c>
      <c r="AG796" s="25"/>
      <c r="AH796" s="11"/>
      <c r="AI796" s="11"/>
      <c r="AJ796" s="11"/>
      <c r="AK796" s="11"/>
      <c r="AL796" s="11"/>
      <c r="AM796" s="11" t="str">
        <f t="shared" si="64"/>
        <v>Good</v>
      </c>
      <c r="AN796" s="11" t="str" cm="1">
        <f t="array" ref="AN796">_xlfn.IFS(N796&lt;10000,"Low",N796&lt;30000,"Medium",N796&gt;=30000,"High")</f>
        <v>Low</v>
      </c>
      <c r="AO796" s="11" t="str">
        <f t="shared" si="65"/>
        <v>No</v>
      </c>
      <c r="AP796" s="11" t="str">
        <f t="shared" si="66"/>
        <v>No</v>
      </c>
      <c r="AQ796" s="11">
        <f t="shared" si="67"/>
        <v>0.35765497076023395</v>
      </c>
      <c r="AR796" s="33"/>
      <c r="AS796" s="33"/>
      <c r="AT796" s="33"/>
      <c r="AU796" s="33"/>
      <c r="AV796" s="33"/>
      <c r="AW796" s="33"/>
      <c r="AX796" s="33" t="str">
        <f t="shared" si="68"/>
        <v>Low</v>
      </c>
    </row>
    <row r="797" spans="1:50">
      <c r="A797" s="9" t="s">
        <v>1640</v>
      </c>
      <c r="B797" s="10" t="s">
        <v>958</v>
      </c>
      <c r="C797" s="11" t="s">
        <v>1597</v>
      </c>
      <c r="D797" s="11" t="s">
        <v>468</v>
      </c>
      <c r="E797" s="11" t="s">
        <v>35</v>
      </c>
      <c r="F797" s="11" t="s">
        <v>131</v>
      </c>
      <c r="G797" s="11" t="s">
        <v>132</v>
      </c>
      <c r="H797" s="11" t="s">
        <v>38</v>
      </c>
      <c r="I797" s="11" t="s">
        <v>84</v>
      </c>
      <c r="J797" s="11" t="s">
        <v>229</v>
      </c>
      <c r="K797" s="25">
        <v>9</v>
      </c>
      <c r="L797" s="25">
        <v>800</v>
      </c>
      <c r="M797" s="29">
        <v>0</v>
      </c>
      <c r="N797" s="25">
        <v>7200</v>
      </c>
      <c r="O797" s="25">
        <v>5331.5</v>
      </c>
      <c r="P797" s="25">
        <v>1868.5</v>
      </c>
      <c r="Q797" s="21">
        <v>25.95</v>
      </c>
      <c r="R797" s="11" t="s">
        <v>73</v>
      </c>
      <c r="S797" s="11" t="s">
        <v>42</v>
      </c>
      <c r="T797" s="11" t="s">
        <v>86</v>
      </c>
      <c r="U797" s="11" t="s">
        <v>98</v>
      </c>
      <c r="V797" s="11">
        <v>2024</v>
      </c>
      <c r="W797" s="11" t="s">
        <v>45</v>
      </c>
      <c r="X797" s="11">
        <v>6</v>
      </c>
      <c r="Y797" s="10">
        <v>45325</v>
      </c>
      <c r="Z797" s="11" t="s">
        <v>110</v>
      </c>
      <c r="AA797" s="11" t="s">
        <v>67</v>
      </c>
      <c r="AB797" s="11" t="s">
        <v>111</v>
      </c>
      <c r="AC797" s="11" t="s">
        <v>121</v>
      </c>
      <c r="AD797" s="11">
        <v>1</v>
      </c>
      <c r="AE797" s="11" t="s">
        <v>2220</v>
      </c>
      <c r="AF797" s="11" t="s">
        <v>2228</v>
      </c>
      <c r="AG797" s="25"/>
      <c r="AH797" s="11"/>
      <c r="AI797" s="11"/>
      <c r="AJ797" s="11"/>
      <c r="AK797" s="11"/>
      <c r="AL797" s="11"/>
      <c r="AM797" s="11" t="str">
        <f t="shared" si="64"/>
        <v>Needs Improvement</v>
      </c>
      <c r="AN797" s="11" t="str" cm="1">
        <f t="array" ref="AN797">_xlfn.IFS(N797&lt;10000,"Low",N797&lt;30000,"Medium",N797&gt;=30000,"High")</f>
        <v>Low</v>
      </c>
      <c r="AO797" s="11" t="str">
        <f t="shared" si="65"/>
        <v>No</v>
      </c>
      <c r="AP797" s="11" t="str">
        <f t="shared" si="66"/>
        <v>Yes</v>
      </c>
      <c r="AQ797" s="11">
        <f t="shared" si="67"/>
        <v>0.25951388888888888</v>
      </c>
      <c r="AR797" s="33"/>
      <c r="AS797" s="33"/>
      <c r="AT797" s="33"/>
      <c r="AU797" s="33"/>
      <c r="AV797" s="33"/>
      <c r="AW797" s="33"/>
      <c r="AX797" s="33" t="str">
        <f t="shared" si="68"/>
        <v>Low</v>
      </c>
    </row>
    <row r="798" spans="1:50">
      <c r="A798" s="9" t="s">
        <v>2080</v>
      </c>
      <c r="B798" s="10" t="s">
        <v>958</v>
      </c>
      <c r="C798" s="11" t="s">
        <v>1428</v>
      </c>
      <c r="D798" s="11" t="s">
        <v>225</v>
      </c>
      <c r="E798" s="11" t="s">
        <v>103</v>
      </c>
      <c r="F798" s="11" t="s">
        <v>245</v>
      </c>
      <c r="G798" s="11" t="s">
        <v>246</v>
      </c>
      <c r="H798" s="11" t="s">
        <v>94</v>
      </c>
      <c r="I798" s="11" t="s">
        <v>39</v>
      </c>
      <c r="J798" s="11" t="s">
        <v>356</v>
      </c>
      <c r="K798" s="25">
        <v>3</v>
      </c>
      <c r="L798" s="25">
        <v>15000</v>
      </c>
      <c r="M798" s="29">
        <v>0.15</v>
      </c>
      <c r="N798" s="25">
        <v>38250</v>
      </c>
      <c r="O798" s="25">
        <v>22826.91</v>
      </c>
      <c r="P798" s="25">
        <v>15423.09</v>
      </c>
      <c r="Q798" s="21">
        <v>40.32</v>
      </c>
      <c r="R798" s="11" t="s">
        <v>41</v>
      </c>
      <c r="S798" s="11" t="s">
        <v>42</v>
      </c>
      <c r="T798" s="11" t="s">
        <v>138</v>
      </c>
      <c r="U798" s="11" t="s">
        <v>98</v>
      </c>
      <c r="V798" s="11">
        <v>2024</v>
      </c>
      <c r="W798" s="11" t="s">
        <v>45</v>
      </c>
      <c r="X798" s="11">
        <v>9</v>
      </c>
      <c r="Y798" s="10">
        <v>45415</v>
      </c>
      <c r="Z798" s="11" t="s">
        <v>47</v>
      </c>
      <c r="AA798" s="11" t="s">
        <v>48</v>
      </c>
      <c r="AB798" s="11" t="s">
        <v>111</v>
      </c>
      <c r="AC798" s="11" t="s">
        <v>50</v>
      </c>
      <c r="AD798" s="11">
        <v>3</v>
      </c>
      <c r="AE798" s="11" t="s">
        <v>2225</v>
      </c>
      <c r="AF798" s="11" t="s">
        <v>2238</v>
      </c>
      <c r="AG798" s="25"/>
      <c r="AH798" s="11"/>
      <c r="AI798" s="11"/>
      <c r="AJ798" s="11"/>
      <c r="AK798" s="11"/>
      <c r="AL798" s="11"/>
      <c r="AM798" s="11" t="str">
        <f t="shared" si="64"/>
        <v>Good</v>
      </c>
      <c r="AN798" s="11" t="str" cm="1">
        <f t="array" ref="AN798">_xlfn.IFS(N798&lt;10000,"Low",N798&lt;30000,"Medium",N798&gt;=30000,"High")</f>
        <v>High</v>
      </c>
      <c r="AO798" s="11" t="str">
        <f t="shared" si="65"/>
        <v>Yes</v>
      </c>
      <c r="AP798" s="11" t="str">
        <f t="shared" si="66"/>
        <v>Yes</v>
      </c>
      <c r="AQ798" s="11">
        <f t="shared" si="67"/>
        <v>0.40321803921568627</v>
      </c>
      <c r="AR798" s="33"/>
      <c r="AS798" s="33"/>
      <c r="AT798" s="33"/>
      <c r="AU798" s="33"/>
      <c r="AV798" s="33"/>
      <c r="AW798" s="33"/>
      <c r="AX798" s="33" t="str">
        <f t="shared" si="68"/>
        <v>Good</v>
      </c>
    </row>
    <row r="799" spans="1:50">
      <c r="A799" s="9" t="s">
        <v>2083</v>
      </c>
      <c r="B799" s="10" t="s">
        <v>435</v>
      </c>
      <c r="C799" s="11" t="s">
        <v>687</v>
      </c>
      <c r="D799" s="11" t="s">
        <v>1187</v>
      </c>
      <c r="E799" s="11" t="s">
        <v>55</v>
      </c>
      <c r="F799" s="11" t="s">
        <v>144</v>
      </c>
      <c r="G799" s="11" t="s">
        <v>145</v>
      </c>
      <c r="H799" s="11" t="s">
        <v>58</v>
      </c>
      <c r="I799" s="11" t="s">
        <v>95</v>
      </c>
      <c r="J799" s="11" t="s">
        <v>344</v>
      </c>
      <c r="K799" s="25">
        <v>10</v>
      </c>
      <c r="L799" s="25">
        <v>9000</v>
      </c>
      <c r="M799" s="29">
        <v>0.15</v>
      </c>
      <c r="N799" s="25">
        <v>76500</v>
      </c>
      <c r="O799" s="25">
        <v>52399.72</v>
      </c>
      <c r="P799" s="25">
        <v>24100.28</v>
      </c>
      <c r="Q799" s="21">
        <v>31.5</v>
      </c>
      <c r="R799" s="11" t="s">
        <v>73</v>
      </c>
      <c r="S799" s="11" t="s">
        <v>42</v>
      </c>
      <c r="T799" s="11" t="s">
        <v>118</v>
      </c>
      <c r="U799" s="11" t="s">
        <v>178</v>
      </c>
      <c r="V799" s="11">
        <v>2024</v>
      </c>
      <c r="W799" s="11" t="s">
        <v>126</v>
      </c>
      <c r="X799" s="11">
        <v>4</v>
      </c>
      <c r="Y799" s="10" t="s">
        <v>956</v>
      </c>
      <c r="Z799" s="11" t="s">
        <v>89</v>
      </c>
      <c r="AA799" s="11" t="s">
        <v>90</v>
      </c>
      <c r="AB799" s="11" t="s">
        <v>49</v>
      </c>
      <c r="AC799" s="11" t="s">
        <v>121</v>
      </c>
      <c r="AD799" s="11">
        <v>1</v>
      </c>
      <c r="AE799" s="11" t="s">
        <v>2209</v>
      </c>
      <c r="AF799" s="11" t="s">
        <v>2222</v>
      </c>
      <c r="AG799" s="25"/>
      <c r="AH799" s="11"/>
      <c r="AI799" s="11"/>
      <c r="AJ799" s="11"/>
      <c r="AK799" s="11"/>
      <c r="AL799" s="11"/>
      <c r="AM799" s="11" t="str">
        <f t="shared" si="64"/>
        <v>Good</v>
      </c>
      <c r="AN799" s="11" t="str" cm="1">
        <f t="array" ref="AN799">_xlfn.IFS(N799&lt;10000,"Low",N799&lt;30000,"Medium",N799&gt;=30000,"High")</f>
        <v>High</v>
      </c>
      <c r="AO799" s="11" t="str">
        <f t="shared" si="65"/>
        <v>Yes</v>
      </c>
      <c r="AP799" s="11" t="str">
        <f t="shared" si="66"/>
        <v>Yes</v>
      </c>
      <c r="AQ799" s="11">
        <f t="shared" si="67"/>
        <v>0.31503633986928103</v>
      </c>
      <c r="AR799" s="33"/>
      <c r="AS799" s="33"/>
      <c r="AT799" s="33"/>
      <c r="AU799" s="33"/>
      <c r="AV799" s="33"/>
      <c r="AW799" s="33"/>
      <c r="AX799" s="33" t="str">
        <f t="shared" si="68"/>
        <v>Excellent</v>
      </c>
    </row>
    <row r="800" spans="1:50">
      <c r="A800" s="9" t="s">
        <v>1814</v>
      </c>
      <c r="B800" s="10" t="s">
        <v>1269</v>
      </c>
      <c r="C800" s="11" t="s">
        <v>1815</v>
      </c>
      <c r="D800" s="11" t="s">
        <v>758</v>
      </c>
      <c r="E800" s="11" t="s">
        <v>35</v>
      </c>
      <c r="F800" s="11" t="s">
        <v>104</v>
      </c>
      <c r="G800" s="11" t="s">
        <v>104</v>
      </c>
      <c r="H800" s="11" t="s">
        <v>94</v>
      </c>
      <c r="I800" s="11" t="s">
        <v>84</v>
      </c>
      <c r="J800" s="11" t="s">
        <v>85</v>
      </c>
      <c r="K800" s="25">
        <v>1</v>
      </c>
      <c r="L800" s="25">
        <v>800</v>
      </c>
      <c r="M800" s="29">
        <v>0.15</v>
      </c>
      <c r="N800" s="25">
        <v>680</v>
      </c>
      <c r="O800" s="25">
        <v>475.21</v>
      </c>
      <c r="P800" s="25">
        <v>204.79</v>
      </c>
      <c r="Q800" s="21">
        <v>30.12</v>
      </c>
      <c r="R800" s="11" t="s">
        <v>41</v>
      </c>
      <c r="S800" s="11" t="s">
        <v>62</v>
      </c>
      <c r="T800" s="11" t="s">
        <v>159</v>
      </c>
      <c r="U800" s="11" t="s">
        <v>178</v>
      </c>
      <c r="V800" s="11">
        <v>2025</v>
      </c>
      <c r="W800" s="11" t="s">
        <v>109</v>
      </c>
      <c r="X800" s="11">
        <v>7</v>
      </c>
      <c r="Y800" s="10">
        <v>45661</v>
      </c>
      <c r="Z800" s="11" t="s">
        <v>89</v>
      </c>
      <c r="AA800" s="11" t="s">
        <v>48</v>
      </c>
      <c r="AB800" s="11" t="s">
        <v>78</v>
      </c>
      <c r="AC800" s="11" t="s">
        <v>50</v>
      </c>
      <c r="AD800" s="11">
        <v>4</v>
      </c>
      <c r="AE800" s="11" t="s">
        <v>86</v>
      </c>
      <c r="AF800" s="11" t="s">
        <v>2223</v>
      </c>
      <c r="AG800" s="25"/>
      <c r="AH800" s="11"/>
      <c r="AI800" s="11"/>
      <c r="AJ800" s="11"/>
      <c r="AK800" s="11"/>
      <c r="AL800" s="11"/>
      <c r="AM800" s="11" t="str">
        <f t="shared" si="64"/>
        <v>Good</v>
      </c>
      <c r="AN800" s="11" t="str" cm="1">
        <f t="array" ref="AN800">_xlfn.IFS(N800&lt;10000,"Low",N800&lt;30000,"Medium",N800&gt;=30000,"High")</f>
        <v>Low</v>
      </c>
      <c r="AO800" s="11" t="str">
        <f t="shared" si="65"/>
        <v>No</v>
      </c>
      <c r="AP800" s="11" t="str">
        <f t="shared" si="66"/>
        <v>No</v>
      </c>
      <c r="AQ800" s="11">
        <f t="shared" si="67"/>
        <v>0.30116176470588235</v>
      </c>
      <c r="AR800" s="33"/>
      <c r="AS800" s="33"/>
      <c r="AT800" s="33"/>
      <c r="AU800" s="33"/>
      <c r="AV800" s="33"/>
      <c r="AW800" s="33"/>
      <c r="AX800" s="33" t="str">
        <f t="shared" si="68"/>
        <v>Low</v>
      </c>
    </row>
    <row r="801" spans="1:50">
      <c r="A801" s="9" t="s">
        <v>1600</v>
      </c>
      <c r="B801" s="10" t="s">
        <v>1601</v>
      </c>
      <c r="C801" s="11" t="s">
        <v>1005</v>
      </c>
      <c r="D801" s="11" t="s">
        <v>1049</v>
      </c>
      <c r="E801" s="11" t="s">
        <v>35</v>
      </c>
      <c r="F801" s="11" t="s">
        <v>82</v>
      </c>
      <c r="G801" s="11" t="s">
        <v>83</v>
      </c>
      <c r="H801" s="11" t="s">
        <v>38</v>
      </c>
      <c r="I801" s="11" t="s">
        <v>84</v>
      </c>
      <c r="J801" s="11" t="s">
        <v>229</v>
      </c>
      <c r="K801" s="25">
        <v>9</v>
      </c>
      <c r="L801" s="25">
        <v>800</v>
      </c>
      <c r="M801" s="29">
        <v>0.15</v>
      </c>
      <c r="N801" s="25">
        <v>6120</v>
      </c>
      <c r="O801" s="25">
        <v>4569.3</v>
      </c>
      <c r="P801" s="25">
        <v>1550.7</v>
      </c>
      <c r="Q801" s="21">
        <v>25.34</v>
      </c>
      <c r="R801" s="11" t="s">
        <v>61</v>
      </c>
      <c r="S801" s="11" t="s">
        <v>62</v>
      </c>
      <c r="T801" s="11" t="s">
        <v>43</v>
      </c>
      <c r="U801" s="11" t="s">
        <v>44</v>
      </c>
      <c r="V801" s="11">
        <v>2024</v>
      </c>
      <c r="W801" s="11" t="s">
        <v>139</v>
      </c>
      <c r="X801" s="11">
        <v>5</v>
      </c>
      <c r="Y801" s="10" t="s">
        <v>819</v>
      </c>
      <c r="Z801" s="11" t="s">
        <v>89</v>
      </c>
      <c r="AA801" s="11" t="s">
        <v>90</v>
      </c>
      <c r="AB801" s="11" t="s">
        <v>111</v>
      </c>
      <c r="AC801" s="11" t="s">
        <v>50</v>
      </c>
      <c r="AD801" s="11">
        <v>3</v>
      </c>
      <c r="AE801" s="11" t="s">
        <v>2233</v>
      </c>
      <c r="AF801" s="11" t="s">
        <v>2223</v>
      </c>
      <c r="AG801" s="25"/>
      <c r="AH801" s="11"/>
      <c r="AI801" s="11"/>
      <c r="AJ801" s="11"/>
      <c r="AK801" s="11"/>
      <c r="AL801" s="11"/>
      <c r="AM801" s="11" t="str">
        <f t="shared" si="64"/>
        <v>Needs Improvement</v>
      </c>
      <c r="AN801" s="11" t="str" cm="1">
        <f t="array" ref="AN801">_xlfn.IFS(N801&lt;10000,"Low",N801&lt;30000,"Medium",N801&gt;=30000,"High")</f>
        <v>Low</v>
      </c>
      <c r="AO801" s="11" t="str">
        <f t="shared" si="65"/>
        <v>No</v>
      </c>
      <c r="AP801" s="11" t="str">
        <f t="shared" si="66"/>
        <v>No</v>
      </c>
      <c r="AQ801" s="11">
        <f t="shared" si="67"/>
        <v>0.2533823529411765</v>
      </c>
      <c r="AR801" s="33"/>
      <c r="AS801" s="33"/>
      <c r="AT801" s="33"/>
      <c r="AU801" s="33"/>
      <c r="AV801" s="33"/>
      <c r="AW801" s="33"/>
      <c r="AX801" s="33" t="str">
        <f t="shared" si="68"/>
        <v>Low</v>
      </c>
    </row>
    <row r="802" spans="1:50">
      <c r="A802" s="9" t="s">
        <v>1924</v>
      </c>
      <c r="B802" s="10" t="s">
        <v>419</v>
      </c>
      <c r="C802" s="11" t="s">
        <v>1200</v>
      </c>
      <c r="D802" s="11" t="s">
        <v>1342</v>
      </c>
      <c r="E802" s="11" t="s">
        <v>35</v>
      </c>
      <c r="F802" s="11" t="s">
        <v>116</v>
      </c>
      <c r="G802" s="11" t="s">
        <v>37</v>
      </c>
      <c r="H802" s="11" t="s">
        <v>94</v>
      </c>
      <c r="I802" s="11" t="s">
        <v>95</v>
      </c>
      <c r="J802" s="11" t="s">
        <v>184</v>
      </c>
      <c r="K802" s="25">
        <v>4</v>
      </c>
      <c r="L802" s="25">
        <v>9000</v>
      </c>
      <c r="M802" s="29">
        <v>0.2</v>
      </c>
      <c r="N802" s="25">
        <v>28800</v>
      </c>
      <c r="O802" s="25">
        <v>17737.91</v>
      </c>
      <c r="P802" s="25">
        <v>11062.09</v>
      </c>
      <c r="Q802" s="21">
        <v>38.409999999999997</v>
      </c>
      <c r="R802" s="11" t="s">
        <v>41</v>
      </c>
      <c r="S802" s="11" t="s">
        <v>62</v>
      </c>
      <c r="T802" s="11" t="s">
        <v>97</v>
      </c>
      <c r="U802" s="11" t="s">
        <v>44</v>
      </c>
      <c r="V802" s="11">
        <v>2025</v>
      </c>
      <c r="W802" s="11" t="s">
        <v>194</v>
      </c>
      <c r="X802" s="11">
        <v>1</v>
      </c>
      <c r="Y802" s="10" t="s">
        <v>714</v>
      </c>
      <c r="Z802" s="11" t="s">
        <v>89</v>
      </c>
      <c r="AA802" s="11" t="s">
        <v>67</v>
      </c>
      <c r="AB802" s="11" t="s">
        <v>49</v>
      </c>
      <c r="AC802" s="11" t="s">
        <v>50</v>
      </c>
      <c r="AD802" s="11">
        <v>4</v>
      </c>
      <c r="AE802" s="11" t="s">
        <v>2239</v>
      </c>
      <c r="AF802" s="11" t="s">
        <v>2214</v>
      </c>
      <c r="AG802" s="25"/>
      <c r="AH802" s="11"/>
      <c r="AI802" s="11"/>
      <c r="AJ802" s="11"/>
      <c r="AK802" s="11"/>
      <c r="AL802" s="11"/>
      <c r="AM802" s="11" t="str">
        <f t="shared" si="64"/>
        <v>Good</v>
      </c>
      <c r="AN802" s="11" t="str" cm="1">
        <f t="array" ref="AN802">_xlfn.IFS(N802&lt;10000,"Low",N802&lt;30000,"Medium",N802&gt;=30000,"High")</f>
        <v>Medium</v>
      </c>
      <c r="AO802" s="11" t="str">
        <f t="shared" si="65"/>
        <v>No</v>
      </c>
      <c r="AP802" s="11" t="str">
        <f t="shared" si="66"/>
        <v>No</v>
      </c>
      <c r="AQ802" s="11">
        <f t="shared" si="67"/>
        <v>0.38410034722222225</v>
      </c>
      <c r="AR802" s="33"/>
      <c r="AS802" s="33"/>
      <c r="AT802" s="33"/>
      <c r="AU802" s="33"/>
      <c r="AV802" s="33"/>
      <c r="AW802" s="33"/>
      <c r="AX802" s="33" t="str">
        <f t="shared" si="68"/>
        <v>Good</v>
      </c>
    </row>
    <row r="803" spans="1:50">
      <c r="A803" s="9" t="s">
        <v>1276</v>
      </c>
      <c r="B803" s="10" t="s">
        <v>1277</v>
      </c>
      <c r="C803" s="11" t="s">
        <v>908</v>
      </c>
      <c r="D803" s="11" t="s">
        <v>313</v>
      </c>
      <c r="E803" s="11" t="s">
        <v>55</v>
      </c>
      <c r="F803" s="11" t="s">
        <v>56</v>
      </c>
      <c r="G803" s="11" t="s">
        <v>57</v>
      </c>
      <c r="H803" s="11" t="s">
        <v>171</v>
      </c>
      <c r="I803" s="11" t="s">
        <v>95</v>
      </c>
      <c r="J803" s="11" t="s">
        <v>344</v>
      </c>
      <c r="K803" s="25">
        <v>6</v>
      </c>
      <c r="L803" s="25">
        <v>15000</v>
      </c>
      <c r="M803" s="29">
        <v>0.15</v>
      </c>
      <c r="N803" s="25">
        <v>76500</v>
      </c>
      <c r="O803" s="25">
        <v>48545.58</v>
      </c>
      <c r="P803" s="25">
        <v>27954.42</v>
      </c>
      <c r="Q803" s="21">
        <v>36.54</v>
      </c>
      <c r="R803" s="11" t="s">
        <v>166</v>
      </c>
      <c r="S803" s="11" t="s">
        <v>62</v>
      </c>
      <c r="T803" s="11" t="s">
        <v>159</v>
      </c>
      <c r="U803" s="11" t="s">
        <v>119</v>
      </c>
      <c r="V803" s="11">
        <v>2024</v>
      </c>
      <c r="W803" s="11" t="s">
        <v>65</v>
      </c>
      <c r="X803" s="11">
        <v>5</v>
      </c>
      <c r="Y803" s="10" t="s">
        <v>1278</v>
      </c>
      <c r="Z803" s="11" t="s">
        <v>47</v>
      </c>
      <c r="AA803" s="11" t="s">
        <v>48</v>
      </c>
      <c r="AB803" s="11" t="s">
        <v>78</v>
      </c>
      <c r="AC803" s="11" t="s">
        <v>50</v>
      </c>
      <c r="AD803" s="11">
        <v>4</v>
      </c>
      <c r="AE803" s="11" t="s">
        <v>2220</v>
      </c>
      <c r="AF803" s="11" t="s">
        <v>2217</v>
      </c>
      <c r="AG803" s="25"/>
      <c r="AH803" s="11"/>
      <c r="AI803" s="11"/>
      <c r="AJ803" s="11"/>
      <c r="AK803" s="11"/>
      <c r="AL803" s="11"/>
      <c r="AM803" s="11" t="str">
        <f t="shared" si="64"/>
        <v>Good</v>
      </c>
      <c r="AN803" s="11" t="str" cm="1">
        <f t="array" ref="AN803">_xlfn.IFS(N803&lt;10000,"Low",N803&lt;30000,"Medium",N803&gt;=30000,"High")</f>
        <v>High</v>
      </c>
      <c r="AO803" s="11" t="str">
        <f t="shared" si="65"/>
        <v>Yes</v>
      </c>
      <c r="AP803" s="11" t="str">
        <f t="shared" si="66"/>
        <v>No</v>
      </c>
      <c r="AQ803" s="11">
        <f t="shared" si="67"/>
        <v>0.36541725490196075</v>
      </c>
      <c r="AR803" s="33"/>
      <c r="AS803" s="33"/>
      <c r="AT803" s="33"/>
      <c r="AU803" s="33"/>
      <c r="AV803" s="33"/>
      <c r="AW803" s="33"/>
      <c r="AX803" s="33" t="str">
        <f t="shared" si="68"/>
        <v>Excellent</v>
      </c>
    </row>
    <row r="804" spans="1:50">
      <c r="A804" s="9" t="s">
        <v>1569</v>
      </c>
      <c r="B804" s="10" t="s">
        <v>1277</v>
      </c>
      <c r="C804" s="11" t="s">
        <v>1570</v>
      </c>
      <c r="D804" s="11" t="s">
        <v>297</v>
      </c>
      <c r="E804" s="11" t="s">
        <v>55</v>
      </c>
      <c r="F804" s="11" t="s">
        <v>36</v>
      </c>
      <c r="G804" s="11" t="s">
        <v>37</v>
      </c>
      <c r="H804" s="11" t="s">
        <v>38</v>
      </c>
      <c r="I804" s="11" t="s">
        <v>39</v>
      </c>
      <c r="J804" s="11" t="s">
        <v>253</v>
      </c>
      <c r="K804" s="25">
        <v>10</v>
      </c>
      <c r="L804" s="25">
        <v>8000</v>
      </c>
      <c r="M804" s="29">
        <v>0</v>
      </c>
      <c r="N804" s="25">
        <v>80000</v>
      </c>
      <c r="O804" s="25">
        <v>63323.46</v>
      </c>
      <c r="P804" s="25">
        <v>16676.54</v>
      </c>
      <c r="Q804" s="21">
        <v>20.85</v>
      </c>
      <c r="R804" s="11" t="s">
        <v>166</v>
      </c>
      <c r="S804" s="11" t="s">
        <v>74</v>
      </c>
      <c r="T804" s="11" t="s">
        <v>138</v>
      </c>
      <c r="U804" s="11" t="s">
        <v>119</v>
      </c>
      <c r="V804" s="11">
        <v>2024</v>
      </c>
      <c r="W804" s="11" t="s">
        <v>65</v>
      </c>
      <c r="X804" s="11">
        <v>5</v>
      </c>
      <c r="Y804" s="10" t="s">
        <v>1278</v>
      </c>
      <c r="Z804" s="11" t="s">
        <v>47</v>
      </c>
      <c r="AA804" s="11" t="s">
        <v>90</v>
      </c>
      <c r="AB804" s="11" t="s">
        <v>78</v>
      </c>
      <c r="AC804" s="11" t="s">
        <v>121</v>
      </c>
      <c r="AD804" s="11">
        <v>4</v>
      </c>
      <c r="AE804" s="11" t="s">
        <v>2237</v>
      </c>
      <c r="AF804" s="11" t="s">
        <v>2219</v>
      </c>
      <c r="AG804" s="25"/>
      <c r="AH804" s="11"/>
      <c r="AI804" s="11"/>
      <c r="AJ804" s="11"/>
      <c r="AK804" s="11"/>
      <c r="AL804" s="11"/>
      <c r="AM804" s="11" t="str">
        <f t="shared" si="64"/>
        <v>Needs Improvement</v>
      </c>
      <c r="AN804" s="11" t="str" cm="1">
        <f t="array" ref="AN804">_xlfn.IFS(N804&lt;10000,"Low",N804&lt;30000,"Medium",N804&gt;=30000,"High")</f>
        <v>High</v>
      </c>
      <c r="AO804" s="11" t="str">
        <f t="shared" si="65"/>
        <v>Yes</v>
      </c>
      <c r="AP804" s="11" t="str">
        <f t="shared" si="66"/>
        <v>Yes</v>
      </c>
      <c r="AQ804" s="11">
        <f t="shared" si="67"/>
        <v>0.20845675000000002</v>
      </c>
      <c r="AR804" s="33"/>
      <c r="AS804" s="33"/>
      <c r="AT804" s="33"/>
      <c r="AU804" s="33"/>
      <c r="AV804" s="33"/>
      <c r="AW804" s="33"/>
      <c r="AX804" s="33" t="str">
        <f t="shared" si="68"/>
        <v>Good</v>
      </c>
    </row>
    <row r="805" spans="1:50">
      <c r="A805" s="9" t="s">
        <v>1334</v>
      </c>
      <c r="B805" s="10" t="s">
        <v>1216</v>
      </c>
      <c r="C805" s="11" t="s">
        <v>33</v>
      </c>
      <c r="D805" s="11" t="s">
        <v>1335</v>
      </c>
      <c r="E805" s="11" t="s">
        <v>55</v>
      </c>
      <c r="F805" s="11" t="s">
        <v>131</v>
      </c>
      <c r="G805" s="11" t="s">
        <v>132</v>
      </c>
      <c r="H805" s="11" t="s">
        <v>58</v>
      </c>
      <c r="I805" s="11" t="s">
        <v>95</v>
      </c>
      <c r="J805" s="11" t="s">
        <v>440</v>
      </c>
      <c r="K805" s="25">
        <v>8</v>
      </c>
      <c r="L805" s="25">
        <v>4000</v>
      </c>
      <c r="M805" s="29">
        <v>0.2</v>
      </c>
      <c r="N805" s="25">
        <v>25600</v>
      </c>
      <c r="O805" s="25">
        <v>17227.95</v>
      </c>
      <c r="P805" s="25">
        <v>8372.0499999999993</v>
      </c>
      <c r="Q805" s="21">
        <v>32.700000000000003</v>
      </c>
      <c r="R805" s="11" t="s">
        <v>41</v>
      </c>
      <c r="S805" s="11" t="s">
        <v>62</v>
      </c>
      <c r="T805" s="11" t="s">
        <v>173</v>
      </c>
      <c r="U805" s="11" t="s">
        <v>160</v>
      </c>
      <c r="V805" s="11">
        <v>2025</v>
      </c>
      <c r="W805" s="11" t="s">
        <v>134</v>
      </c>
      <c r="X805" s="11">
        <v>2</v>
      </c>
      <c r="Y805" s="10" t="s">
        <v>849</v>
      </c>
      <c r="Z805" s="11" t="s">
        <v>47</v>
      </c>
      <c r="AA805" s="11" t="s">
        <v>90</v>
      </c>
      <c r="AB805" s="11" t="s">
        <v>78</v>
      </c>
      <c r="AC805" s="11" t="s">
        <v>50</v>
      </c>
      <c r="AD805" s="11">
        <v>1</v>
      </c>
      <c r="AE805" s="11" t="s">
        <v>2248</v>
      </c>
      <c r="AF805" s="11" t="s">
        <v>2210</v>
      </c>
      <c r="AG805" s="25"/>
      <c r="AH805" s="11"/>
      <c r="AI805" s="11"/>
      <c r="AJ805" s="11"/>
      <c r="AK805" s="11"/>
      <c r="AL805" s="11"/>
      <c r="AM805" s="11" t="str">
        <f t="shared" si="64"/>
        <v>Good</v>
      </c>
      <c r="AN805" s="11" t="str" cm="1">
        <f t="array" ref="AN805">_xlfn.IFS(N805&lt;10000,"Low",N805&lt;30000,"Medium",N805&gt;=30000,"High")</f>
        <v>Medium</v>
      </c>
      <c r="AO805" s="11" t="str">
        <f t="shared" si="65"/>
        <v>No</v>
      </c>
      <c r="AP805" s="11" t="str">
        <f t="shared" si="66"/>
        <v>No</v>
      </c>
      <c r="AQ805" s="11">
        <f t="shared" si="67"/>
        <v>0.32703320312499995</v>
      </c>
      <c r="AR805" s="33"/>
      <c r="AS805" s="33"/>
      <c r="AT805" s="33"/>
      <c r="AU805" s="33"/>
      <c r="AV805" s="33"/>
      <c r="AW805" s="33"/>
      <c r="AX805" s="33" t="str">
        <f t="shared" si="68"/>
        <v>Average</v>
      </c>
    </row>
    <row r="806" spans="1:50">
      <c r="A806" s="9" t="s">
        <v>1869</v>
      </c>
      <c r="B806" s="10" t="s">
        <v>1216</v>
      </c>
      <c r="C806" s="11" t="s">
        <v>1870</v>
      </c>
      <c r="D806" s="11" t="s">
        <v>297</v>
      </c>
      <c r="E806" s="11" t="s">
        <v>55</v>
      </c>
      <c r="F806" s="11" t="s">
        <v>36</v>
      </c>
      <c r="G806" s="11" t="s">
        <v>37</v>
      </c>
      <c r="H806" s="11" t="s">
        <v>38</v>
      </c>
      <c r="I806" s="11" t="s">
        <v>71</v>
      </c>
      <c r="J806" s="11" t="s">
        <v>117</v>
      </c>
      <c r="K806" s="25">
        <v>10</v>
      </c>
      <c r="L806" s="25">
        <v>1800</v>
      </c>
      <c r="M806" s="29">
        <v>0</v>
      </c>
      <c r="N806" s="25">
        <v>18000</v>
      </c>
      <c r="O806" s="25">
        <v>12828.63</v>
      </c>
      <c r="P806" s="25">
        <v>5171.37</v>
      </c>
      <c r="Q806" s="21">
        <v>28.73</v>
      </c>
      <c r="R806" s="11" t="s">
        <v>61</v>
      </c>
      <c r="S806" s="11" t="s">
        <v>42</v>
      </c>
      <c r="T806" s="11" t="s">
        <v>118</v>
      </c>
      <c r="U806" s="11" t="s">
        <v>160</v>
      </c>
      <c r="V806" s="11">
        <v>2025</v>
      </c>
      <c r="W806" s="11" t="s">
        <v>134</v>
      </c>
      <c r="X806" s="11">
        <v>8</v>
      </c>
      <c r="Y806" s="10">
        <v>45723</v>
      </c>
      <c r="Z806" s="11" t="s">
        <v>110</v>
      </c>
      <c r="AA806" s="11" t="s">
        <v>67</v>
      </c>
      <c r="AB806" s="11" t="s">
        <v>49</v>
      </c>
      <c r="AC806" s="11" t="s">
        <v>50</v>
      </c>
      <c r="AD806" s="11">
        <v>2</v>
      </c>
      <c r="AE806" s="11" t="s">
        <v>2237</v>
      </c>
      <c r="AF806" s="11" t="s">
        <v>2219</v>
      </c>
      <c r="AG806" s="25"/>
      <c r="AH806" s="11"/>
      <c r="AI806" s="11"/>
      <c r="AJ806" s="11"/>
      <c r="AK806" s="11"/>
      <c r="AL806" s="11"/>
      <c r="AM806" s="11" t="str">
        <f t="shared" si="64"/>
        <v>Needs Improvement</v>
      </c>
      <c r="AN806" s="11" t="str" cm="1">
        <f t="array" ref="AN806">_xlfn.IFS(N806&lt;10000,"Low",N806&lt;30000,"Medium",N806&gt;=30000,"High")</f>
        <v>Medium</v>
      </c>
      <c r="AO806" s="11" t="str">
        <f t="shared" si="65"/>
        <v>No</v>
      </c>
      <c r="AP806" s="11" t="str">
        <f t="shared" si="66"/>
        <v>Yes</v>
      </c>
      <c r="AQ806" s="11">
        <f t="shared" si="67"/>
        <v>0.28729833333333332</v>
      </c>
      <c r="AR806" s="33"/>
      <c r="AS806" s="33"/>
      <c r="AT806" s="33"/>
      <c r="AU806" s="33"/>
      <c r="AV806" s="33"/>
      <c r="AW806" s="33"/>
      <c r="AX806" s="33" t="str">
        <f t="shared" si="68"/>
        <v>Average</v>
      </c>
    </row>
    <row r="807" spans="1:50">
      <c r="A807" s="9" t="s">
        <v>1538</v>
      </c>
      <c r="B807" s="10" t="s">
        <v>1539</v>
      </c>
      <c r="C807" s="11" t="s">
        <v>1174</v>
      </c>
      <c r="D807" s="11" t="s">
        <v>1220</v>
      </c>
      <c r="E807" s="11" t="s">
        <v>103</v>
      </c>
      <c r="F807" s="11" t="s">
        <v>149</v>
      </c>
      <c r="G807" s="11" t="s">
        <v>150</v>
      </c>
      <c r="H807" s="11" t="s">
        <v>94</v>
      </c>
      <c r="I807" s="11" t="s">
        <v>59</v>
      </c>
      <c r="J807" s="11" t="s">
        <v>328</v>
      </c>
      <c r="K807" s="25">
        <v>5</v>
      </c>
      <c r="L807" s="25">
        <v>800</v>
      </c>
      <c r="M807" s="29">
        <v>0.2</v>
      </c>
      <c r="N807" s="25">
        <v>3200</v>
      </c>
      <c r="O807" s="25">
        <v>1992.56</v>
      </c>
      <c r="P807" s="25">
        <v>1207.44</v>
      </c>
      <c r="Q807" s="21">
        <v>37.729999999999997</v>
      </c>
      <c r="R807" s="11" t="s">
        <v>106</v>
      </c>
      <c r="S807" s="11" t="s">
        <v>74</v>
      </c>
      <c r="T807" s="11" t="s">
        <v>97</v>
      </c>
      <c r="U807" s="11" t="s">
        <v>151</v>
      </c>
      <c r="V807" s="11">
        <v>2024</v>
      </c>
      <c r="W807" s="11" t="s">
        <v>139</v>
      </c>
      <c r="X807" s="11">
        <v>1</v>
      </c>
      <c r="Y807" s="10" t="s">
        <v>1173</v>
      </c>
      <c r="Z807" s="11" t="s">
        <v>47</v>
      </c>
      <c r="AA807" s="11" t="s">
        <v>90</v>
      </c>
      <c r="AB807" s="11" t="s">
        <v>78</v>
      </c>
      <c r="AC807" s="11" t="s">
        <v>121</v>
      </c>
      <c r="AD807" s="11">
        <v>3</v>
      </c>
      <c r="AE807" s="11" t="s">
        <v>2229</v>
      </c>
      <c r="AF807" s="11" t="s">
        <v>2231</v>
      </c>
      <c r="AG807" s="25"/>
      <c r="AH807" s="11"/>
      <c r="AI807" s="11"/>
      <c r="AJ807" s="11"/>
      <c r="AK807" s="11"/>
      <c r="AL807" s="11"/>
      <c r="AM807" s="11" t="str">
        <f t="shared" si="64"/>
        <v>Good</v>
      </c>
      <c r="AN807" s="11" t="str" cm="1">
        <f t="array" ref="AN807">_xlfn.IFS(N807&lt;10000,"Low",N807&lt;30000,"Medium",N807&gt;=30000,"High")</f>
        <v>Low</v>
      </c>
      <c r="AO807" s="11" t="str">
        <f t="shared" si="65"/>
        <v>No</v>
      </c>
      <c r="AP807" s="11" t="str">
        <f t="shared" si="66"/>
        <v>Yes</v>
      </c>
      <c r="AQ807" s="11">
        <f t="shared" si="67"/>
        <v>0.37732500000000002</v>
      </c>
      <c r="AR807" s="33"/>
      <c r="AS807" s="33"/>
      <c r="AT807" s="33"/>
      <c r="AU807" s="33"/>
      <c r="AV807" s="33"/>
      <c r="AW807" s="33"/>
      <c r="AX807" s="33" t="str">
        <f t="shared" si="68"/>
        <v>Low</v>
      </c>
    </row>
    <row r="808" spans="1:50">
      <c r="A808" s="9" t="s">
        <v>279</v>
      </c>
      <c r="B808" s="10" t="s">
        <v>280</v>
      </c>
      <c r="C808" s="11" t="s">
        <v>281</v>
      </c>
      <c r="D808" s="11" t="s">
        <v>70</v>
      </c>
      <c r="E808" s="11" t="s">
        <v>103</v>
      </c>
      <c r="F808" s="11" t="s">
        <v>245</v>
      </c>
      <c r="G808" s="11" t="s">
        <v>246</v>
      </c>
      <c r="H808" s="11" t="s">
        <v>94</v>
      </c>
      <c r="I808" s="11" t="s">
        <v>59</v>
      </c>
      <c r="J808" s="11" t="s">
        <v>60</v>
      </c>
      <c r="K808" s="25">
        <v>2</v>
      </c>
      <c r="L808" s="25">
        <v>800</v>
      </c>
      <c r="M808" s="29">
        <v>0</v>
      </c>
      <c r="N808" s="25">
        <v>1600</v>
      </c>
      <c r="O808" s="25">
        <v>1137.53</v>
      </c>
      <c r="P808" s="25">
        <v>462.47</v>
      </c>
      <c r="Q808" s="21">
        <v>28.9</v>
      </c>
      <c r="R808" s="11" t="s">
        <v>166</v>
      </c>
      <c r="S808" s="11" t="s">
        <v>62</v>
      </c>
      <c r="T808" s="11" t="s">
        <v>159</v>
      </c>
      <c r="U808" s="11" t="s">
        <v>151</v>
      </c>
      <c r="V808" s="11">
        <v>2025</v>
      </c>
      <c r="W808" s="11" t="s">
        <v>194</v>
      </c>
      <c r="X808" s="11">
        <v>7</v>
      </c>
      <c r="Y808" s="10">
        <v>45665</v>
      </c>
      <c r="Z808" s="11" t="s">
        <v>89</v>
      </c>
      <c r="AA808" s="11" t="s">
        <v>48</v>
      </c>
      <c r="AB808" s="11" t="s">
        <v>78</v>
      </c>
      <c r="AC808" s="11" t="s">
        <v>50</v>
      </c>
      <c r="AD808" s="11">
        <v>5</v>
      </c>
      <c r="AE808" s="11" t="s">
        <v>2213</v>
      </c>
      <c r="AF808" s="11" t="s">
        <v>2238</v>
      </c>
      <c r="AG808" s="25"/>
      <c r="AH808" s="11"/>
      <c r="AI808" s="11"/>
      <c r="AJ808" s="11"/>
      <c r="AK808" s="11"/>
      <c r="AL808" s="11"/>
      <c r="AM808" s="11" t="str">
        <f t="shared" si="64"/>
        <v>Needs Improvement</v>
      </c>
      <c r="AN808" s="11" t="str" cm="1">
        <f t="array" ref="AN808">_xlfn.IFS(N808&lt;10000,"Low",N808&lt;30000,"Medium",N808&gt;=30000,"High")</f>
        <v>Low</v>
      </c>
      <c r="AO808" s="11" t="str">
        <f t="shared" si="65"/>
        <v>No</v>
      </c>
      <c r="AP808" s="11" t="str">
        <f t="shared" si="66"/>
        <v>No</v>
      </c>
      <c r="AQ808" s="11">
        <f t="shared" si="67"/>
        <v>0.28904375000000004</v>
      </c>
      <c r="AR808" s="33"/>
      <c r="AS808" s="33"/>
      <c r="AT808" s="33"/>
      <c r="AU808" s="33"/>
      <c r="AV808" s="33"/>
      <c r="AW808" s="33"/>
      <c r="AX808" s="33" t="str">
        <f t="shared" si="68"/>
        <v>Low</v>
      </c>
    </row>
    <row r="809" spans="1:50">
      <c r="A809" s="9" t="s">
        <v>1487</v>
      </c>
      <c r="B809" s="10" t="s">
        <v>943</v>
      </c>
      <c r="C809" s="11" t="s">
        <v>1025</v>
      </c>
      <c r="D809" s="11" t="s">
        <v>205</v>
      </c>
      <c r="E809" s="11" t="s">
        <v>55</v>
      </c>
      <c r="F809" s="11" t="s">
        <v>156</v>
      </c>
      <c r="G809" s="11" t="s">
        <v>157</v>
      </c>
      <c r="H809" s="11" t="s">
        <v>58</v>
      </c>
      <c r="I809" s="11" t="s">
        <v>39</v>
      </c>
      <c r="J809" s="11" t="s">
        <v>356</v>
      </c>
      <c r="K809" s="25">
        <v>3</v>
      </c>
      <c r="L809" s="25">
        <v>35000</v>
      </c>
      <c r="M809" s="29">
        <v>0.1</v>
      </c>
      <c r="N809" s="25">
        <v>94500</v>
      </c>
      <c r="O809" s="25">
        <v>65471.42</v>
      </c>
      <c r="P809" s="25">
        <v>29028.58</v>
      </c>
      <c r="Q809" s="21">
        <v>30.72</v>
      </c>
      <c r="R809" s="11" t="s">
        <v>106</v>
      </c>
      <c r="S809" s="11" t="s">
        <v>74</v>
      </c>
      <c r="T809" s="11" t="s">
        <v>97</v>
      </c>
      <c r="U809" s="11" t="s">
        <v>218</v>
      </c>
      <c r="V809" s="11">
        <v>2025</v>
      </c>
      <c r="W809" s="11" t="s">
        <v>126</v>
      </c>
      <c r="X809" s="11">
        <v>8</v>
      </c>
      <c r="Y809" s="10">
        <v>45697</v>
      </c>
      <c r="Z809" s="11" t="s">
        <v>47</v>
      </c>
      <c r="AA809" s="11" t="s">
        <v>67</v>
      </c>
      <c r="AB809" s="11" t="s">
        <v>49</v>
      </c>
      <c r="AC809" s="11" t="s">
        <v>50</v>
      </c>
      <c r="AD809" s="11">
        <v>5</v>
      </c>
      <c r="AE809" s="11" t="s">
        <v>2218</v>
      </c>
      <c r="AF809" s="11" t="s">
        <v>2210</v>
      </c>
      <c r="AG809" s="25"/>
      <c r="AH809" s="11"/>
      <c r="AI809" s="11"/>
      <c r="AJ809" s="11"/>
      <c r="AK809" s="11"/>
      <c r="AL809" s="11"/>
      <c r="AM809" s="11" t="str">
        <f t="shared" si="64"/>
        <v>Good</v>
      </c>
      <c r="AN809" s="11" t="str" cm="1">
        <f t="array" ref="AN809">_xlfn.IFS(N809&lt;10000,"Low",N809&lt;30000,"Medium",N809&gt;=30000,"High")</f>
        <v>High</v>
      </c>
      <c r="AO809" s="11" t="str">
        <f t="shared" si="65"/>
        <v>Yes</v>
      </c>
      <c r="AP809" s="11" t="str">
        <f t="shared" si="66"/>
        <v>Yes</v>
      </c>
      <c r="AQ809" s="11">
        <f t="shared" si="67"/>
        <v>0.30718074074074075</v>
      </c>
      <c r="AR809" s="33"/>
      <c r="AS809" s="33"/>
      <c r="AT809" s="33"/>
      <c r="AU809" s="33"/>
      <c r="AV809" s="33"/>
      <c r="AW809" s="33"/>
      <c r="AX809" s="33" t="str">
        <f t="shared" si="68"/>
        <v>Excellent</v>
      </c>
    </row>
    <row r="810" spans="1:50">
      <c r="A810" s="9" t="s">
        <v>2138</v>
      </c>
      <c r="B810" s="10" t="s">
        <v>943</v>
      </c>
      <c r="C810" s="11" t="s">
        <v>885</v>
      </c>
      <c r="D810" s="11" t="s">
        <v>1405</v>
      </c>
      <c r="E810" s="11" t="s">
        <v>55</v>
      </c>
      <c r="F810" s="11" t="s">
        <v>131</v>
      </c>
      <c r="G810" s="11" t="s">
        <v>132</v>
      </c>
      <c r="H810" s="11" t="s">
        <v>38</v>
      </c>
      <c r="I810" s="11" t="s">
        <v>95</v>
      </c>
      <c r="J810" s="11" t="s">
        <v>319</v>
      </c>
      <c r="K810" s="25">
        <v>6</v>
      </c>
      <c r="L810" s="25">
        <v>6000</v>
      </c>
      <c r="M810" s="29">
        <v>0.15</v>
      </c>
      <c r="N810" s="25">
        <v>30600</v>
      </c>
      <c r="O810" s="25">
        <v>17118.09</v>
      </c>
      <c r="P810" s="25">
        <v>13481.91</v>
      </c>
      <c r="Q810" s="21">
        <v>44.06</v>
      </c>
      <c r="R810" s="11" t="s">
        <v>106</v>
      </c>
      <c r="S810" s="11" t="s">
        <v>62</v>
      </c>
      <c r="T810" s="11" t="s">
        <v>159</v>
      </c>
      <c r="U810" s="11" t="s">
        <v>218</v>
      </c>
      <c r="V810" s="11">
        <v>2025</v>
      </c>
      <c r="W810" s="11" t="s">
        <v>126</v>
      </c>
      <c r="X810" s="11">
        <v>6</v>
      </c>
      <c r="Y810" s="10" t="s">
        <v>894</v>
      </c>
      <c r="Z810" s="11" t="s">
        <v>47</v>
      </c>
      <c r="AA810" s="11" t="s">
        <v>67</v>
      </c>
      <c r="AB810" s="11" t="s">
        <v>111</v>
      </c>
      <c r="AC810" s="11" t="s">
        <v>50</v>
      </c>
      <c r="AD810" s="11">
        <v>4</v>
      </c>
      <c r="AE810" s="11" t="s">
        <v>2232</v>
      </c>
      <c r="AF810" s="11" t="s">
        <v>2219</v>
      </c>
      <c r="AG810" s="25"/>
      <c r="AH810" s="11"/>
      <c r="AI810" s="11"/>
      <c r="AJ810" s="11"/>
      <c r="AK810" s="11"/>
      <c r="AL810" s="11"/>
      <c r="AM810" s="11" t="str">
        <f t="shared" si="64"/>
        <v>Good</v>
      </c>
      <c r="AN810" s="11" t="str" cm="1">
        <f t="array" ref="AN810">_xlfn.IFS(N810&lt;10000,"Low",N810&lt;30000,"Medium",N810&gt;=30000,"High")</f>
        <v>High</v>
      </c>
      <c r="AO810" s="11" t="str">
        <f t="shared" si="65"/>
        <v>Yes</v>
      </c>
      <c r="AP810" s="11" t="str">
        <f t="shared" si="66"/>
        <v>No</v>
      </c>
      <c r="AQ810" s="11">
        <f t="shared" si="67"/>
        <v>0.44058529411764707</v>
      </c>
      <c r="AR810" s="33"/>
      <c r="AS810" s="33"/>
      <c r="AT810" s="33"/>
      <c r="AU810" s="33"/>
      <c r="AV810" s="33"/>
      <c r="AW810" s="33"/>
      <c r="AX810" s="33" t="str">
        <f t="shared" si="68"/>
        <v>Good</v>
      </c>
    </row>
    <row r="811" spans="1:50">
      <c r="A811" s="9" t="s">
        <v>1811</v>
      </c>
      <c r="B811" s="10" t="s">
        <v>1366</v>
      </c>
      <c r="C811" s="11" t="s">
        <v>397</v>
      </c>
      <c r="D811" s="11" t="s">
        <v>348</v>
      </c>
      <c r="E811" s="11" t="s">
        <v>55</v>
      </c>
      <c r="F811" s="11" t="s">
        <v>131</v>
      </c>
      <c r="G811" s="11" t="s">
        <v>132</v>
      </c>
      <c r="H811" s="11" t="s">
        <v>38</v>
      </c>
      <c r="I811" s="11" t="s">
        <v>84</v>
      </c>
      <c r="J811" s="11" t="s">
        <v>217</v>
      </c>
      <c r="K811" s="25">
        <v>9</v>
      </c>
      <c r="L811" s="25">
        <v>200</v>
      </c>
      <c r="M811" s="29">
        <v>0.15</v>
      </c>
      <c r="N811" s="25">
        <v>1530</v>
      </c>
      <c r="O811" s="25">
        <v>880.07</v>
      </c>
      <c r="P811" s="25">
        <v>649.92999999999995</v>
      </c>
      <c r="Q811" s="21">
        <v>42.48</v>
      </c>
      <c r="R811" s="11" t="s">
        <v>61</v>
      </c>
      <c r="S811" s="11" t="s">
        <v>42</v>
      </c>
      <c r="T811" s="11" t="s">
        <v>97</v>
      </c>
      <c r="U811" s="11" t="s">
        <v>108</v>
      </c>
      <c r="V811" s="11">
        <v>2025</v>
      </c>
      <c r="W811" s="11" t="s">
        <v>139</v>
      </c>
      <c r="X811" s="11">
        <v>2</v>
      </c>
      <c r="Y811" s="10" t="s">
        <v>1010</v>
      </c>
      <c r="Z811" s="11" t="s">
        <v>47</v>
      </c>
      <c r="AA811" s="11" t="s">
        <v>67</v>
      </c>
      <c r="AB811" s="11" t="s">
        <v>49</v>
      </c>
      <c r="AC811" s="11" t="s">
        <v>50</v>
      </c>
      <c r="AD811" s="11">
        <v>1</v>
      </c>
      <c r="AE811" s="11" t="s">
        <v>118</v>
      </c>
      <c r="AF811" s="11" t="s">
        <v>2217</v>
      </c>
      <c r="AG811" s="25"/>
      <c r="AH811" s="11"/>
      <c r="AI811" s="11"/>
      <c r="AJ811" s="11"/>
      <c r="AK811" s="11"/>
      <c r="AL811" s="11"/>
      <c r="AM811" s="11" t="str">
        <f t="shared" si="64"/>
        <v>Good</v>
      </c>
      <c r="AN811" s="11" t="str" cm="1">
        <f t="array" ref="AN811">_xlfn.IFS(N811&lt;10000,"Low",N811&lt;30000,"Medium",N811&gt;=30000,"High")</f>
        <v>Low</v>
      </c>
      <c r="AO811" s="11" t="str">
        <f t="shared" si="65"/>
        <v>No</v>
      </c>
      <c r="AP811" s="11" t="str">
        <f t="shared" si="66"/>
        <v>Yes</v>
      </c>
      <c r="AQ811" s="11">
        <f t="shared" si="67"/>
        <v>0.42479084967320258</v>
      </c>
      <c r="AR811" s="33"/>
      <c r="AS811" s="33"/>
      <c r="AT811" s="33"/>
      <c r="AU811" s="33"/>
      <c r="AV811" s="33"/>
      <c r="AW811" s="33"/>
      <c r="AX811" s="33" t="str">
        <f t="shared" si="68"/>
        <v>Low</v>
      </c>
    </row>
    <row r="812" spans="1:50">
      <c r="A812" s="9" t="s">
        <v>2004</v>
      </c>
      <c r="B812" s="10" t="s">
        <v>1366</v>
      </c>
      <c r="C812" s="11" t="s">
        <v>262</v>
      </c>
      <c r="D812" s="11" t="s">
        <v>1077</v>
      </c>
      <c r="E812" s="11" t="s">
        <v>55</v>
      </c>
      <c r="F812" s="11" t="s">
        <v>116</v>
      </c>
      <c r="G812" s="11" t="s">
        <v>37</v>
      </c>
      <c r="H812" s="11" t="s">
        <v>38</v>
      </c>
      <c r="I812" s="11" t="s">
        <v>95</v>
      </c>
      <c r="J812" s="11" t="s">
        <v>319</v>
      </c>
      <c r="K812" s="25">
        <v>2</v>
      </c>
      <c r="L812" s="25">
        <v>4000</v>
      </c>
      <c r="M812" s="29">
        <v>0.15</v>
      </c>
      <c r="N812" s="25">
        <v>6800</v>
      </c>
      <c r="O812" s="25">
        <v>4697.88</v>
      </c>
      <c r="P812" s="25">
        <v>2102.12</v>
      </c>
      <c r="Q812" s="21">
        <v>30.91</v>
      </c>
      <c r="R812" s="11" t="s">
        <v>106</v>
      </c>
      <c r="S812" s="11" t="s">
        <v>74</v>
      </c>
      <c r="T812" s="11" t="s">
        <v>75</v>
      </c>
      <c r="U812" s="11" t="s">
        <v>108</v>
      </c>
      <c r="V812" s="11">
        <v>2025</v>
      </c>
      <c r="W812" s="11" t="s">
        <v>139</v>
      </c>
      <c r="X812" s="11">
        <v>5</v>
      </c>
      <c r="Y812" s="10" t="s">
        <v>1615</v>
      </c>
      <c r="Z812" s="11" t="s">
        <v>47</v>
      </c>
      <c r="AA812" s="11" t="s">
        <v>48</v>
      </c>
      <c r="AB812" s="11" t="s">
        <v>49</v>
      </c>
      <c r="AC812" s="11" t="s">
        <v>50</v>
      </c>
      <c r="AD812" s="11">
        <v>5</v>
      </c>
      <c r="AE812" s="11" t="s">
        <v>2218</v>
      </c>
      <c r="AF812" s="11" t="s">
        <v>2223</v>
      </c>
      <c r="AG812" s="25"/>
      <c r="AH812" s="11"/>
      <c r="AI812" s="11"/>
      <c r="AJ812" s="11"/>
      <c r="AK812" s="11"/>
      <c r="AL812" s="11"/>
      <c r="AM812" s="11" t="str">
        <f t="shared" si="64"/>
        <v>Good</v>
      </c>
      <c r="AN812" s="11" t="str" cm="1">
        <f t="array" ref="AN812">_xlfn.IFS(N812&lt;10000,"Low",N812&lt;30000,"Medium",N812&gt;=30000,"High")</f>
        <v>Low</v>
      </c>
      <c r="AO812" s="11" t="str">
        <f t="shared" si="65"/>
        <v>No</v>
      </c>
      <c r="AP812" s="11" t="str">
        <f t="shared" si="66"/>
        <v>Yes</v>
      </c>
      <c r="AQ812" s="11">
        <f t="shared" si="67"/>
        <v>0.30913529411764706</v>
      </c>
      <c r="AR812" s="33"/>
      <c r="AS812" s="33"/>
      <c r="AT812" s="33"/>
      <c r="AU812" s="33"/>
      <c r="AV812" s="33"/>
      <c r="AW812" s="33"/>
      <c r="AX812" s="33" t="str">
        <f t="shared" si="68"/>
        <v>Low</v>
      </c>
    </row>
    <row r="813" spans="1:50">
      <c r="A813" s="9" t="s">
        <v>1120</v>
      </c>
      <c r="B813" s="10" t="s">
        <v>1121</v>
      </c>
      <c r="C813" s="11" t="s">
        <v>965</v>
      </c>
      <c r="D813" s="11" t="s">
        <v>512</v>
      </c>
      <c r="E813" s="11" t="s">
        <v>35</v>
      </c>
      <c r="F813" s="11" t="s">
        <v>245</v>
      </c>
      <c r="G813" s="11" t="s">
        <v>246</v>
      </c>
      <c r="H813" s="11" t="s">
        <v>38</v>
      </c>
      <c r="I813" s="11" t="s">
        <v>84</v>
      </c>
      <c r="J813" s="11" t="s">
        <v>85</v>
      </c>
      <c r="K813" s="25">
        <v>3</v>
      </c>
      <c r="L813" s="25">
        <v>100</v>
      </c>
      <c r="M813" s="29">
        <v>0</v>
      </c>
      <c r="N813" s="25">
        <v>300</v>
      </c>
      <c r="O813" s="25">
        <v>223.43</v>
      </c>
      <c r="P813" s="25">
        <v>76.569999999999993</v>
      </c>
      <c r="Q813" s="21">
        <v>25.52</v>
      </c>
      <c r="R813" s="11" t="s">
        <v>166</v>
      </c>
      <c r="S813" s="11" t="s">
        <v>62</v>
      </c>
      <c r="T813" s="11" t="s">
        <v>63</v>
      </c>
      <c r="U813" s="11" t="s">
        <v>87</v>
      </c>
      <c r="V813" s="11">
        <v>2025</v>
      </c>
      <c r="W813" s="11" t="s">
        <v>65</v>
      </c>
      <c r="X813" s="11">
        <v>1</v>
      </c>
      <c r="Y813" s="10" t="s">
        <v>456</v>
      </c>
      <c r="Z813" s="11" t="s">
        <v>47</v>
      </c>
      <c r="AA813" s="11" t="s">
        <v>67</v>
      </c>
      <c r="AB813" s="11" t="s">
        <v>111</v>
      </c>
      <c r="AC813" s="11" t="s">
        <v>121</v>
      </c>
      <c r="AD813" s="11">
        <v>4</v>
      </c>
      <c r="AE813" s="11" t="s">
        <v>2221</v>
      </c>
      <c r="AF813" s="11" t="s">
        <v>2222</v>
      </c>
      <c r="AG813" s="25"/>
      <c r="AH813" s="11"/>
      <c r="AI813" s="11"/>
      <c r="AJ813" s="11"/>
      <c r="AK813" s="11"/>
      <c r="AL813" s="11"/>
      <c r="AM813" s="11" t="str">
        <f t="shared" si="64"/>
        <v>Needs Improvement</v>
      </c>
      <c r="AN813" s="11" t="str" cm="1">
        <f t="array" ref="AN813">_xlfn.IFS(N813&lt;10000,"Low",N813&lt;30000,"Medium",N813&gt;=30000,"High")</f>
        <v>Low</v>
      </c>
      <c r="AO813" s="11" t="str">
        <f t="shared" si="65"/>
        <v>No</v>
      </c>
      <c r="AP813" s="11" t="str">
        <f t="shared" si="66"/>
        <v>No</v>
      </c>
      <c r="AQ813" s="11">
        <f t="shared" si="67"/>
        <v>0.25523333333333331</v>
      </c>
      <c r="AR813" s="33"/>
      <c r="AS813" s="33"/>
      <c r="AT813" s="33"/>
      <c r="AU813" s="33"/>
      <c r="AV813" s="33"/>
      <c r="AW813" s="33"/>
      <c r="AX813" s="33" t="str">
        <f t="shared" si="68"/>
        <v>Low</v>
      </c>
    </row>
    <row r="814" spans="1:50">
      <c r="A814" s="9" t="s">
        <v>475</v>
      </c>
      <c r="B814" s="10" t="s">
        <v>476</v>
      </c>
      <c r="C814" s="11" t="s">
        <v>477</v>
      </c>
      <c r="D814" s="11" t="s">
        <v>478</v>
      </c>
      <c r="E814" s="11" t="s">
        <v>55</v>
      </c>
      <c r="F814" s="11" t="s">
        <v>82</v>
      </c>
      <c r="G814" s="11" t="s">
        <v>83</v>
      </c>
      <c r="H814" s="11" t="s">
        <v>58</v>
      </c>
      <c r="I814" s="11" t="s">
        <v>59</v>
      </c>
      <c r="J814" s="11" t="s">
        <v>206</v>
      </c>
      <c r="K814" s="25">
        <v>1</v>
      </c>
      <c r="L814" s="25">
        <v>800</v>
      </c>
      <c r="M814" s="29">
        <v>0.2</v>
      </c>
      <c r="N814" s="25">
        <v>640</v>
      </c>
      <c r="O814" s="25">
        <v>373.81</v>
      </c>
      <c r="P814" s="25">
        <v>266.19</v>
      </c>
      <c r="Q814" s="21">
        <v>41.59</v>
      </c>
      <c r="R814" s="11" t="s">
        <v>41</v>
      </c>
      <c r="S814" s="11" t="s">
        <v>74</v>
      </c>
      <c r="T814" s="11" t="s">
        <v>138</v>
      </c>
      <c r="U814" s="11" t="s">
        <v>198</v>
      </c>
      <c r="V814" s="11">
        <v>2025</v>
      </c>
      <c r="W814" s="11" t="s">
        <v>109</v>
      </c>
      <c r="X814" s="11">
        <v>8</v>
      </c>
      <c r="Y814" s="10">
        <v>45728</v>
      </c>
      <c r="Z814" s="11" t="s">
        <v>47</v>
      </c>
      <c r="AA814" s="11" t="s">
        <v>67</v>
      </c>
      <c r="AB814" s="11" t="s">
        <v>78</v>
      </c>
      <c r="AC814" s="11" t="s">
        <v>50</v>
      </c>
      <c r="AD814" s="11">
        <v>1</v>
      </c>
      <c r="AE814" s="11" t="s">
        <v>159</v>
      </c>
      <c r="AF814" s="11" t="s">
        <v>2236</v>
      </c>
      <c r="AG814" s="25"/>
      <c r="AH814" s="11"/>
      <c r="AI814" s="11"/>
      <c r="AJ814" s="11"/>
      <c r="AK814" s="11"/>
      <c r="AL814" s="11"/>
      <c r="AM814" s="11" t="str">
        <f t="shared" si="64"/>
        <v>Good</v>
      </c>
      <c r="AN814" s="11" t="str" cm="1">
        <f t="array" ref="AN814">_xlfn.IFS(N814&lt;10000,"Low",N814&lt;30000,"Medium",N814&gt;=30000,"High")</f>
        <v>Low</v>
      </c>
      <c r="AO814" s="11" t="str">
        <f t="shared" si="65"/>
        <v>No</v>
      </c>
      <c r="AP814" s="11" t="str">
        <f t="shared" si="66"/>
        <v>Yes</v>
      </c>
      <c r="AQ814" s="11">
        <f t="shared" si="67"/>
        <v>0.415921875</v>
      </c>
      <c r="AR814" s="33"/>
      <c r="AS814" s="33"/>
      <c r="AT814" s="33"/>
      <c r="AU814" s="33"/>
      <c r="AV814" s="33"/>
      <c r="AW814" s="33"/>
      <c r="AX814" s="33" t="str">
        <f t="shared" si="68"/>
        <v>Low</v>
      </c>
    </row>
    <row r="815" spans="1:50">
      <c r="A815" s="9" t="s">
        <v>1047</v>
      </c>
      <c r="B815" s="10" t="s">
        <v>476</v>
      </c>
      <c r="C815" s="11" t="s">
        <v>1048</v>
      </c>
      <c r="D815" s="11" t="s">
        <v>1049</v>
      </c>
      <c r="E815" s="11" t="s">
        <v>55</v>
      </c>
      <c r="F815" s="11" t="s">
        <v>82</v>
      </c>
      <c r="G815" s="11" t="s">
        <v>83</v>
      </c>
      <c r="H815" s="11" t="s">
        <v>171</v>
      </c>
      <c r="I815" s="11" t="s">
        <v>71</v>
      </c>
      <c r="J815" s="11" t="s">
        <v>117</v>
      </c>
      <c r="K815" s="25">
        <v>2</v>
      </c>
      <c r="L815" s="25">
        <v>2500</v>
      </c>
      <c r="M815" s="29">
        <v>0.2</v>
      </c>
      <c r="N815" s="25">
        <v>4000</v>
      </c>
      <c r="O815" s="25">
        <v>2650.72</v>
      </c>
      <c r="P815" s="25">
        <v>1349.28</v>
      </c>
      <c r="Q815" s="21">
        <v>33.729999999999997</v>
      </c>
      <c r="R815" s="11" t="s">
        <v>166</v>
      </c>
      <c r="S815" s="11" t="s">
        <v>42</v>
      </c>
      <c r="T815" s="11" t="s">
        <v>118</v>
      </c>
      <c r="U815" s="11" t="s">
        <v>198</v>
      </c>
      <c r="V815" s="11">
        <v>2025</v>
      </c>
      <c r="W815" s="11" t="s">
        <v>109</v>
      </c>
      <c r="X815" s="11">
        <v>10</v>
      </c>
      <c r="Y815" s="10">
        <v>45789</v>
      </c>
      <c r="Z815" s="11" t="s">
        <v>47</v>
      </c>
      <c r="AA815" s="11" t="s">
        <v>90</v>
      </c>
      <c r="AB815" s="11" t="s">
        <v>111</v>
      </c>
      <c r="AC815" s="11" t="s">
        <v>121</v>
      </c>
      <c r="AD815" s="11">
        <v>5</v>
      </c>
      <c r="AE815" s="11" t="s">
        <v>2233</v>
      </c>
      <c r="AF815" s="11" t="s">
        <v>2223</v>
      </c>
      <c r="AG815" s="25"/>
      <c r="AH815" s="11"/>
      <c r="AI815" s="11"/>
      <c r="AJ815" s="11"/>
      <c r="AK815" s="11"/>
      <c r="AL815" s="11"/>
      <c r="AM815" s="11" t="str">
        <f t="shared" si="64"/>
        <v>Good</v>
      </c>
      <c r="AN815" s="11" t="str" cm="1">
        <f t="array" ref="AN815">_xlfn.IFS(N815&lt;10000,"Low",N815&lt;30000,"Medium",N815&gt;=30000,"High")</f>
        <v>Low</v>
      </c>
      <c r="AO815" s="11" t="str">
        <f t="shared" si="65"/>
        <v>No</v>
      </c>
      <c r="AP815" s="11" t="str">
        <f t="shared" si="66"/>
        <v>Yes</v>
      </c>
      <c r="AQ815" s="11">
        <f t="shared" si="67"/>
        <v>0.33732000000000001</v>
      </c>
      <c r="AR815" s="33"/>
      <c r="AS815" s="33"/>
      <c r="AT815" s="33"/>
      <c r="AU815" s="33"/>
      <c r="AV815" s="33"/>
      <c r="AW815" s="33"/>
      <c r="AX815" s="33" t="str">
        <f t="shared" si="68"/>
        <v>Low</v>
      </c>
    </row>
    <row r="816" spans="1:50">
      <c r="A816" s="9" t="s">
        <v>1650</v>
      </c>
      <c r="B816" s="10" t="s">
        <v>476</v>
      </c>
      <c r="C816" s="11" t="s">
        <v>1651</v>
      </c>
      <c r="D816" s="11" t="s">
        <v>1652</v>
      </c>
      <c r="E816" s="11" t="s">
        <v>35</v>
      </c>
      <c r="F816" s="11" t="s">
        <v>131</v>
      </c>
      <c r="G816" s="11" t="s">
        <v>132</v>
      </c>
      <c r="H816" s="11" t="s">
        <v>58</v>
      </c>
      <c r="I816" s="11" t="s">
        <v>95</v>
      </c>
      <c r="J816" s="11" t="s">
        <v>344</v>
      </c>
      <c r="K816" s="25">
        <v>5</v>
      </c>
      <c r="L816" s="25">
        <v>6000</v>
      </c>
      <c r="M816" s="29">
        <v>0</v>
      </c>
      <c r="N816" s="25">
        <v>30000</v>
      </c>
      <c r="O816" s="25">
        <v>22318.39</v>
      </c>
      <c r="P816" s="25">
        <v>7681.61</v>
      </c>
      <c r="Q816" s="21">
        <v>25.61</v>
      </c>
      <c r="R816" s="11" t="s">
        <v>41</v>
      </c>
      <c r="S816" s="11" t="s">
        <v>62</v>
      </c>
      <c r="T816" s="11" t="s">
        <v>173</v>
      </c>
      <c r="U816" s="11" t="s">
        <v>198</v>
      </c>
      <c r="V816" s="11">
        <v>2025</v>
      </c>
      <c r="W816" s="11" t="s">
        <v>109</v>
      </c>
      <c r="X816" s="11">
        <v>6</v>
      </c>
      <c r="Y816" s="10">
        <v>45669</v>
      </c>
      <c r="Z816" s="11" t="s">
        <v>89</v>
      </c>
      <c r="AA816" s="11" t="s">
        <v>48</v>
      </c>
      <c r="AB816" s="11" t="s">
        <v>49</v>
      </c>
      <c r="AC816" s="11" t="s">
        <v>121</v>
      </c>
      <c r="AD816" s="11">
        <v>2</v>
      </c>
      <c r="AE816" s="11" t="s">
        <v>2213</v>
      </c>
      <c r="AF816" s="11" t="s">
        <v>2236</v>
      </c>
      <c r="AG816" s="25"/>
      <c r="AH816" s="11"/>
      <c r="AI816" s="11"/>
      <c r="AJ816" s="11"/>
      <c r="AK816" s="11"/>
      <c r="AL816" s="11"/>
      <c r="AM816" s="11" t="str">
        <f t="shared" si="64"/>
        <v>Needs Improvement</v>
      </c>
      <c r="AN816" s="11" t="str" cm="1">
        <f t="array" ref="AN816">_xlfn.IFS(N816&lt;10000,"Low",N816&lt;30000,"Medium",N816&gt;=30000,"High")</f>
        <v>High</v>
      </c>
      <c r="AO816" s="11" t="str">
        <f t="shared" si="65"/>
        <v>No</v>
      </c>
      <c r="AP816" s="11" t="str">
        <f t="shared" si="66"/>
        <v>No</v>
      </c>
      <c r="AQ816" s="11">
        <f t="shared" si="67"/>
        <v>0.25605366666666668</v>
      </c>
      <c r="AR816" s="33"/>
      <c r="AS816" s="33"/>
      <c r="AT816" s="33"/>
      <c r="AU816" s="33"/>
      <c r="AV816" s="33"/>
      <c r="AW816" s="33"/>
      <c r="AX816" s="33" t="str">
        <f t="shared" si="68"/>
        <v>Average</v>
      </c>
    </row>
    <row r="817" spans="1:50">
      <c r="A817" s="9" t="s">
        <v>1141</v>
      </c>
      <c r="B817" s="10" t="s">
        <v>578</v>
      </c>
      <c r="C817" s="11" t="s">
        <v>1142</v>
      </c>
      <c r="D817" s="11" t="s">
        <v>1094</v>
      </c>
      <c r="E817" s="11" t="s">
        <v>35</v>
      </c>
      <c r="F817" s="11" t="s">
        <v>156</v>
      </c>
      <c r="G817" s="11" t="s">
        <v>157</v>
      </c>
      <c r="H817" s="11" t="s">
        <v>58</v>
      </c>
      <c r="I817" s="11" t="s">
        <v>39</v>
      </c>
      <c r="J817" s="11" t="s">
        <v>165</v>
      </c>
      <c r="K817" s="25">
        <v>2</v>
      </c>
      <c r="L817" s="25">
        <v>50000</v>
      </c>
      <c r="M817" s="29">
        <v>0.15</v>
      </c>
      <c r="N817" s="25">
        <v>85000</v>
      </c>
      <c r="O817" s="25">
        <v>52531.02</v>
      </c>
      <c r="P817" s="25">
        <v>32468.98</v>
      </c>
      <c r="Q817" s="21">
        <v>38.200000000000003</v>
      </c>
      <c r="R817" s="11" t="s">
        <v>41</v>
      </c>
      <c r="S817" s="11" t="s">
        <v>42</v>
      </c>
      <c r="T817" s="11" t="s">
        <v>86</v>
      </c>
      <c r="U817" s="11" t="s">
        <v>64</v>
      </c>
      <c r="V817" s="11">
        <v>2024</v>
      </c>
      <c r="W817" s="11" t="s">
        <v>134</v>
      </c>
      <c r="X817" s="11">
        <v>4</v>
      </c>
      <c r="Y817" s="10" t="s">
        <v>598</v>
      </c>
      <c r="Z817" s="11" t="s">
        <v>47</v>
      </c>
      <c r="AA817" s="11" t="s">
        <v>48</v>
      </c>
      <c r="AB817" s="11" t="s">
        <v>111</v>
      </c>
      <c r="AC817" s="11" t="s">
        <v>121</v>
      </c>
      <c r="AD817" s="11">
        <v>1</v>
      </c>
      <c r="AE817" s="11" t="s">
        <v>2232</v>
      </c>
      <c r="AF817" s="11" t="s">
        <v>2249</v>
      </c>
      <c r="AG817" s="25"/>
      <c r="AH817" s="11"/>
      <c r="AI817" s="11"/>
      <c r="AJ817" s="11"/>
      <c r="AK817" s="11"/>
      <c r="AL817" s="11"/>
      <c r="AM817" s="11" t="str">
        <f t="shared" si="64"/>
        <v>Good</v>
      </c>
      <c r="AN817" s="11" t="str" cm="1">
        <f t="array" ref="AN817">_xlfn.IFS(N817&lt;10000,"Low",N817&lt;30000,"Medium",N817&gt;=30000,"High")</f>
        <v>High</v>
      </c>
      <c r="AO817" s="11" t="str">
        <f t="shared" si="65"/>
        <v>Yes</v>
      </c>
      <c r="AP817" s="11" t="str">
        <f t="shared" si="66"/>
        <v>Yes</v>
      </c>
      <c r="AQ817" s="11">
        <f t="shared" si="67"/>
        <v>0.38198799999999999</v>
      </c>
      <c r="AR817" s="33"/>
      <c r="AS817" s="33"/>
      <c r="AT817" s="33"/>
      <c r="AU817" s="33"/>
      <c r="AV817" s="33"/>
      <c r="AW817" s="33"/>
      <c r="AX817" s="33" t="str">
        <f t="shared" si="68"/>
        <v>Excellent</v>
      </c>
    </row>
    <row r="818" spans="1:50">
      <c r="A818" s="9" t="s">
        <v>135</v>
      </c>
      <c r="B818" s="10" t="s">
        <v>136</v>
      </c>
      <c r="C818" s="11" t="s">
        <v>33</v>
      </c>
      <c r="D818" s="11" t="s">
        <v>137</v>
      </c>
      <c r="E818" s="11" t="s">
        <v>103</v>
      </c>
      <c r="F818" s="11" t="s">
        <v>131</v>
      </c>
      <c r="G818" s="11" t="s">
        <v>132</v>
      </c>
      <c r="H818" s="11" t="s">
        <v>38</v>
      </c>
      <c r="I818" s="11" t="s">
        <v>95</v>
      </c>
      <c r="J818" s="11" t="s">
        <v>96</v>
      </c>
      <c r="K818" s="25">
        <v>4</v>
      </c>
      <c r="L818" s="25">
        <v>2500</v>
      </c>
      <c r="M818" s="29">
        <v>0</v>
      </c>
      <c r="N818" s="25">
        <v>10000</v>
      </c>
      <c r="O818" s="25">
        <v>5681.98</v>
      </c>
      <c r="P818" s="25">
        <v>4318.0200000000004</v>
      </c>
      <c r="Q818" s="21">
        <v>43.18</v>
      </c>
      <c r="R818" s="11" t="s">
        <v>61</v>
      </c>
      <c r="S818" s="11" t="s">
        <v>42</v>
      </c>
      <c r="T818" s="11" t="s">
        <v>138</v>
      </c>
      <c r="U818" s="11" t="s">
        <v>64</v>
      </c>
      <c r="V818" s="11">
        <v>2025</v>
      </c>
      <c r="W818" s="11" t="s">
        <v>139</v>
      </c>
      <c r="X818" s="11">
        <v>1</v>
      </c>
      <c r="Y818" s="10" t="s">
        <v>140</v>
      </c>
      <c r="Z818" s="11" t="s">
        <v>47</v>
      </c>
      <c r="AA818" s="11" t="s">
        <v>90</v>
      </c>
      <c r="AB818" s="11" t="s">
        <v>111</v>
      </c>
      <c r="AC818" s="11" t="s">
        <v>121</v>
      </c>
      <c r="AD818" s="11">
        <v>5</v>
      </c>
      <c r="AE818" s="11" t="s">
        <v>2216</v>
      </c>
      <c r="AF818" s="11" t="s">
        <v>2224</v>
      </c>
      <c r="AG818" s="25"/>
      <c r="AH818" s="11"/>
      <c r="AI818" s="11"/>
      <c r="AJ818" s="11"/>
      <c r="AK818" s="11"/>
      <c r="AL818" s="11"/>
      <c r="AM818" s="11" t="str">
        <f t="shared" si="64"/>
        <v>Good</v>
      </c>
      <c r="AN818" s="11" t="str" cm="1">
        <f t="array" ref="AN818">_xlfn.IFS(N818&lt;10000,"Low",N818&lt;30000,"Medium",N818&gt;=30000,"High")</f>
        <v>Medium</v>
      </c>
      <c r="AO818" s="11" t="str">
        <f t="shared" si="65"/>
        <v>No</v>
      </c>
      <c r="AP818" s="11" t="str">
        <f t="shared" si="66"/>
        <v>Yes</v>
      </c>
      <c r="AQ818" s="11">
        <f t="shared" si="67"/>
        <v>0.43180200000000002</v>
      </c>
      <c r="AR818" s="33"/>
      <c r="AS818" s="33"/>
      <c r="AT818" s="33"/>
      <c r="AU818" s="33"/>
      <c r="AV818" s="33"/>
      <c r="AW818" s="33"/>
      <c r="AX818" s="33" t="str">
        <f t="shared" si="68"/>
        <v>Low</v>
      </c>
    </row>
    <row r="819" spans="1:50">
      <c r="A819" s="9" t="s">
        <v>250</v>
      </c>
      <c r="B819" s="10" t="s">
        <v>136</v>
      </c>
      <c r="C819" s="11" t="s">
        <v>251</v>
      </c>
      <c r="D819" s="11" t="s">
        <v>252</v>
      </c>
      <c r="E819" s="11" t="s">
        <v>103</v>
      </c>
      <c r="F819" s="11" t="s">
        <v>56</v>
      </c>
      <c r="G819" s="11" t="s">
        <v>57</v>
      </c>
      <c r="H819" s="11" t="s">
        <v>94</v>
      </c>
      <c r="I819" s="11" t="s">
        <v>39</v>
      </c>
      <c r="J819" s="11" t="s">
        <v>253</v>
      </c>
      <c r="K819" s="25">
        <v>6</v>
      </c>
      <c r="L819" s="25">
        <v>50000</v>
      </c>
      <c r="M819" s="29">
        <v>0.15</v>
      </c>
      <c r="N819" s="25">
        <v>255000</v>
      </c>
      <c r="O819" s="25">
        <v>152377.03</v>
      </c>
      <c r="P819" s="25">
        <v>102622.97</v>
      </c>
      <c r="Q819" s="21">
        <v>40.24</v>
      </c>
      <c r="R819" s="11" t="s">
        <v>166</v>
      </c>
      <c r="S819" s="11" t="s">
        <v>62</v>
      </c>
      <c r="T819" s="11" t="s">
        <v>63</v>
      </c>
      <c r="U819" s="11" t="s">
        <v>64</v>
      </c>
      <c r="V819" s="11">
        <v>2025</v>
      </c>
      <c r="W819" s="11" t="s">
        <v>139</v>
      </c>
      <c r="X819" s="11">
        <v>3</v>
      </c>
      <c r="Y819" s="10" t="s">
        <v>254</v>
      </c>
      <c r="Z819" s="11" t="s">
        <v>110</v>
      </c>
      <c r="AA819" s="11" t="s">
        <v>67</v>
      </c>
      <c r="AB819" s="11" t="s">
        <v>78</v>
      </c>
      <c r="AC819" s="11" t="s">
        <v>121</v>
      </c>
      <c r="AD819" s="11">
        <v>1</v>
      </c>
      <c r="AE819" s="11" t="s">
        <v>2225</v>
      </c>
      <c r="AF819" s="11" t="s">
        <v>2249</v>
      </c>
      <c r="AG819" s="25"/>
      <c r="AH819" s="11"/>
      <c r="AI819" s="11"/>
      <c r="AJ819" s="11"/>
      <c r="AK819" s="11"/>
      <c r="AL819" s="11"/>
      <c r="AM819" s="11" t="str">
        <f t="shared" si="64"/>
        <v>Good</v>
      </c>
      <c r="AN819" s="11" t="str" cm="1">
        <f t="array" ref="AN819">_xlfn.IFS(N819&lt;10000,"Low",N819&lt;30000,"Medium",N819&gt;=30000,"High")</f>
        <v>High</v>
      </c>
      <c r="AO819" s="11" t="str">
        <f t="shared" si="65"/>
        <v>Yes</v>
      </c>
      <c r="AP819" s="11" t="str">
        <f t="shared" si="66"/>
        <v>No</v>
      </c>
      <c r="AQ819" s="11">
        <f t="shared" si="67"/>
        <v>0.40244301960784312</v>
      </c>
      <c r="AR819" s="33"/>
      <c r="AS819" s="33"/>
      <c r="AT819" s="33"/>
      <c r="AU819" s="33"/>
      <c r="AV819" s="33"/>
      <c r="AW819" s="33"/>
      <c r="AX819" s="33" t="str">
        <f t="shared" si="68"/>
        <v>Excellent</v>
      </c>
    </row>
    <row r="820" spans="1:50">
      <c r="A820" s="9" t="s">
        <v>1809</v>
      </c>
      <c r="B820" s="10" t="s">
        <v>136</v>
      </c>
      <c r="C820" s="11" t="s">
        <v>176</v>
      </c>
      <c r="D820" s="11" t="s">
        <v>1810</v>
      </c>
      <c r="E820" s="11" t="s">
        <v>35</v>
      </c>
      <c r="F820" s="11" t="s">
        <v>144</v>
      </c>
      <c r="G820" s="11" t="s">
        <v>145</v>
      </c>
      <c r="H820" s="11" t="s">
        <v>38</v>
      </c>
      <c r="I820" s="11" t="s">
        <v>71</v>
      </c>
      <c r="J820" s="11" t="s">
        <v>117</v>
      </c>
      <c r="K820" s="25">
        <v>7</v>
      </c>
      <c r="L820" s="25">
        <v>1200</v>
      </c>
      <c r="M820" s="29">
        <v>0.1</v>
      </c>
      <c r="N820" s="25">
        <v>7560</v>
      </c>
      <c r="O820" s="25">
        <v>4845.8900000000003</v>
      </c>
      <c r="P820" s="25">
        <v>2714.11</v>
      </c>
      <c r="Q820" s="21">
        <v>35.9</v>
      </c>
      <c r="R820" s="11" t="s">
        <v>61</v>
      </c>
      <c r="S820" s="11" t="s">
        <v>74</v>
      </c>
      <c r="T820" s="11" t="s">
        <v>173</v>
      </c>
      <c r="U820" s="11" t="s">
        <v>64</v>
      </c>
      <c r="V820" s="11">
        <v>2025</v>
      </c>
      <c r="W820" s="11" t="s">
        <v>139</v>
      </c>
      <c r="X820" s="11">
        <v>8</v>
      </c>
      <c r="Y820" s="10">
        <v>46054</v>
      </c>
      <c r="Z820" s="11" t="s">
        <v>47</v>
      </c>
      <c r="AA820" s="11" t="s">
        <v>90</v>
      </c>
      <c r="AB820" s="11" t="s">
        <v>111</v>
      </c>
      <c r="AC820" s="11" t="s">
        <v>50</v>
      </c>
      <c r="AD820" s="11">
        <v>5</v>
      </c>
      <c r="AE820" s="11" t="s">
        <v>159</v>
      </c>
      <c r="AF820" s="11" t="s">
        <v>2238</v>
      </c>
      <c r="AG820" s="25"/>
      <c r="AH820" s="11"/>
      <c r="AI820" s="11"/>
      <c r="AJ820" s="11"/>
      <c r="AK820" s="11"/>
      <c r="AL820" s="11"/>
      <c r="AM820" s="11" t="str">
        <f t="shared" si="64"/>
        <v>Good</v>
      </c>
      <c r="AN820" s="11" t="str" cm="1">
        <f t="array" ref="AN820">_xlfn.IFS(N820&lt;10000,"Low",N820&lt;30000,"Medium",N820&gt;=30000,"High")</f>
        <v>Low</v>
      </c>
      <c r="AO820" s="11" t="str">
        <f t="shared" si="65"/>
        <v>No</v>
      </c>
      <c r="AP820" s="11" t="str">
        <f t="shared" si="66"/>
        <v>Yes</v>
      </c>
      <c r="AQ820" s="11">
        <f t="shared" si="67"/>
        <v>0.35900925925925925</v>
      </c>
      <c r="AR820" s="33"/>
      <c r="AS820" s="33"/>
      <c r="AT820" s="33"/>
      <c r="AU820" s="33"/>
      <c r="AV820" s="33"/>
      <c r="AW820" s="33"/>
      <c r="AX820" s="33" t="str">
        <f t="shared" si="68"/>
        <v>Low</v>
      </c>
    </row>
    <row r="821" spans="1:50">
      <c r="A821" s="9" t="s">
        <v>2120</v>
      </c>
      <c r="B821" s="10" t="s">
        <v>1097</v>
      </c>
      <c r="C821" s="11" t="s">
        <v>562</v>
      </c>
      <c r="D821" s="11" t="s">
        <v>205</v>
      </c>
      <c r="E821" s="11" t="s">
        <v>103</v>
      </c>
      <c r="F821" s="11" t="s">
        <v>144</v>
      </c>
      <c r="G821" s="11" t="s">
        <v>145</v>
      </c>
      <c r="H821" s="11" t="s">
        <v>171</v>
      </c>
      <c r="I821" s="11" t="s">
        <v>39</v>
      </c>
      <c r="J821" s="11" t="s">
        <v>253</v>
      </c>
      <c r="K821" s="25">
        <v>8</v>
      </c>
      <c r="L821" s="25">
        <v>8000</v>
      </c>
      <c r="M821" s="29">
        <v>0</v>
      </c>
      <c r="N821" s="25">
        <v>64000</v>
      </c>
      <c r="O821" s="25">
        <v>40403.57</v>
      </c>
      <c r="P821" s="25">
        <v>23596.43</v>
      </c>
      <c r="Q821" s="21">
        <v>36.869999999999997</v>
      </c>
      <c r="R821" s="11" t="s">
        <v>73</v>
      </c>
      <c r="S821" s="11" t="s">
        <v>74</v>
      </c>
      <c r="T821" s="11" t="s">
        <v>159</v>
      </c>
      <c r="U821" s="11" t="s">
        <v>76</v>
      </c>
      <c r="V821" s="11">
        <v>2024</v>
      </c>
      <c r="W821" s="11" t="s">
        <v>194</v>
      </c>
      <c r="X821" s="11">
        <v>10</v>
      </c>
      <c r="Y821" s="10">
        <v>45414</v>
      </c>
      <c r="Z821" s="11" t="s">
        <v>89</v>
      </c>
      <c r="AA821" s="11" t="s">
        <v>67</v>
      </c>
      <c r="AB821" s="11" t="s">
        <v>78</v>
      </c>
      <c r="AC821" s="11" t="s">
        <v>50</v>
      </c>
      <c r="AD821" s="11">
        <v>5</v>
      </c>
      <c r="AE821" s="11" t="s">
        <v>2218</v>
      </c>
      <c r="AF821" s="11" t="s">
        <v>2210</v>
      </c>
      <c r="AG821" s="25"/>
      <c r="AH821" s="11"/>
      <c r="AI821" s="11"/>
      <c r="AJ821" s="11"/>
      <c r="AK821" s="11"/>
      <c r="AL821" s="11"/>
      <c r="AM821" s="11" t="str">
        <f t="shared" si="64"/>
        <v>Good</v>
      </c>
      <c r="AN821" s="11" t="str" cm="1">
        <f t="array" ref="AN821">_xlfn.IFS(N821&lt;10000,"Low",N821&lt;30000,"Medium",N821&gt;=30000,"High")</f>
        <v>High</v>
      </c>
      <c r="AO821" s="11" t="str">
        <f t="shared" si="65"/>
        <v>Yes</v>
      </c>
      <c r="AP821" s="11" t="str">
        <f t="shared" si="66"/>
        <v>Yes</v>
      </c>
      <c r="AQ821" s="11">
        <f t="shared" si="67"/>
        <v>0.36869421875000002</v>
      </c>
      <c r="AR821" s="33"/>
      <c r="AS821" s="33"/>
      <c r="AT821" s="33"/>
      <c r="AU821" s="33"/>
      <c r="AV821" s="33"/>
      <c r="AW821" s="33"/>
      <c r="AX821" s="33" t="str">
        <f t="shared" si="68"/>
        <v>Excellent</v>
      </c>
    </row>
    <row r="822" spans="1:50">
      <c r="A822" s="9" t="s">
        <v>1433</v>
      </c>
      <c r="B822" s="10" t="s">
        <v>431</v>
      </c>
      <c r="C822" s="11" t="s">
        <v>691</v>
      </c>
      <c r="D822" s="11" t="s">
        <v>1434</v>
      </c>
      <c r="E822" s="11" t="s">
        <v>103</v>
      </c>
      <c r="F822" s="11" t="s">
        <v>36</v>
      </c>
      <c r="G822" s="11" t="s">
        <v>37</v>
      </c>
      <c r="H822" s="11" t="s">
        <v>58</v>
      </c>
      <c r="I822" s="11" t="s">
        <v>84</v>
      </c>
      <c r="J822" s="11" t="s">
        <v>390</v>
      </c>
      <c r="K822" s="25">
        <v>10</v>
      </c>
      <c r="L822" s="25">
        <v>800</v>
      </c>
      <c r="M822" s="29">
        <v>0.15</v>
      </c>
      <c r="N822" s="25">
        <v>6800</v>
      </c>
      <c r="O822" s="25">
        <v>4664.28</v>
      </c>
      <c r="P822" s="25">
        <v>2135.7199999999998</v>
      </c>
      <c r="Q822" s="21">
        <v>31.41</v>
      </c>
      <c r="R822" s="11" t="s">
        <v>61</v>
      </c>
      <c r="S822" s="11" t="s">
        <v>74</v>
      </c>
      <c r="T822" s="11" t="s">
        <v>75</v>
      </c>
      <c r="U822" s="11" t="s">
        <v>76</v>
      </c>
      <c r="V822" s="11">
        <v>2025</v>
      </c>
      <c r="W822" s="11" t="s">
        <v>45</v>
      </c>
      <c r="X822" s="11">
        <v>9</v>
      </c>
      <c r="Y822" s="10">
        <v>45749</v>
      </c>
      <c r="Z822" s="11" t="s">
        <v>47</v>
      </c>
      <c r="AA822" s="11" t="s">
        <v>90</v>
      </c>
      <c r="AB822" s="11" t="s">
        <v>111</v>
      </c>
      <c r="AC822" s="11" t="s">
        <v>121</v>
      </c>
      <c r="AD822" s="11">
        <v>1</v>
      </c>
      <c r="AE822" s="11" t="s">
        <v>2213</v>
      </c>
      <c r="AF822" s="11" t="s">
        <v>2231</v>
      </c>
      <c r="AG822" s="25"/>
      <c r="AH822" s="11"/>
      <c r="AI822" s="11"/>
      <c r="AJ822" s="11"/>
      <c r="AK822" s="11"/>
      <c r="AL822" s="11"/>
      <c r="AM822" s="11" t="str">
        <f t="shared" si="64"/>
        <v>Good</v>
      </c>
      <c r="AN822" s="11" t="str" cm="1">
        <f t="array" ref="AN822">_xlfn.IFS(N822&lt;10000,"Low",N822&lt;30000,"Medium",N822&gt;=30000,"High")</f>
        <v>Low</v>
      </c>
      <c r="AO822" s="11" t="str">
        <f t="shared" si="65"/>
        <v>No</v>
      </c>
      <c r="AP822" s="11" t="str">
        <f t="shared" si="66"/>
        <v>Yes</v>
      </c>
      <c r="AQ822" s="11">
        <f t="shared" si="67"/>
        <v>0.31407647058823529</v>
      </c>
      <c r="AR822" s="33"/>
      <c r="AS822" s="33"/>
      <c r="AT822" s="33"/>
      <c r="AU822" s="33"/>
      <c r="AV822" s="33"/>
      <c r="AW822" s="33"/>
      <c r="AX822" s="33" t="str">
        <f t="shared" si="68"/>
        <v>Low</v>
      </c>
    </row>
    <row r="823" spans="1:50">
      <c r="A823" s="9" t="s">
        <v>2101</v>
      </c>
      <c r="B823" s="10" t="s">
        <v>431</v>
      </c>
      <c r="C823" s="11" t="s">
        <v>417</v>
      </c>
      <c r="D823" s="11" t="s">
        <v>1282</v>
      </c>
      <c r="E823" s="11" t="s">
        <v>55</v>
      </c>
      <c r="F823" s="11" t="s">
        <v>156</v>
      </c>
      <c r="G823" s="11" t="s">
        <v>157</v>
      </c>
      <c r="H823" s="11" t="s">
        <v>171</v>
      </c>
      <c r="I823" s="11" t="s">
        <v>59</v>
      </c>
      <c r="J823" s="11" t="s">
        <v>372</v>
      </c>
      <c r="K823" s="25">
        <v>5</v>
      </c>
      <c r="L823" s="25">
        <v>500</v>
      </c>
      <c r="M823" s="29">
        <v>0.15</v>
      </c>
      <c r="N823" s="25">
        <v>2125</v>
      </c>
      <c r="O823" s="25">
        <v>1292.8399999999999</v>
      </c>
      <c r="P823" s="25">
        <v>832.16</v>
      </c>
      <c r="Q823" s="21">
        <v>39.159999999999997</v>
      </c>
      <c r="R823" s="11" t="s">
        <v>73</v>
      </c>
      <c r="S823" s="11" t="s">
        <v>74</v>
      </c>
      <c r="T823" s="11" t="s">
        <v>118</v>
      </c>
      <c r="U823" s="11" t="s">
        <v>76</v>
      </c>
      <c r="V823" s="11">
        <v>2025</v>
      </c>
      <c r="W823" s="11" t="s">
        <v>45</v>
      </c>
      <c r="X823" s="11">
        <v>2</v>
      </c>
      <c r="Y823" s="10" t="s">
        <v>1827</v>
      </c>
      <c r="Z823" s="11" t="s">
        <v>47</v>
      </c>
      <c r="AA823" s="11" t="s">
        <v>67</v>
      </c>
      <c r="AB823" s="11" t="s">
        <v>78</v>
      </c>
      <c r="AC823" s="11" t="s">
        <v>121</v>
      </c>
      <c r="AD823" s="11">
        <v>2</v>
      </c>
      <c r="AE823" s="11" t="s">
        <v>2226</v>
      </c>
      <c r="AF823" s="11" t="s">
        <v>2219</v>
      </c>
      <c r="AG823" s="25"/>
      <c r="AH823" s="11"/>
      <c r="AI823" s="11"/>
      <c r="AJ823" s="11"/>
      <c r="AK823" s="11"/>
      <c r="AL823" s="11"/>
      <c r="AM823" s="11" t="str">
        <f t="shared" si="64"/>
        <v>Good</v>
      </c>
      <c r="AN823" s="11" t="str" cm="1">
        <f t="array" ref="AN823">_xlfn.IFS(N823&lt;10000,"Low",N823&lt;30000,"Medium",N823&gt;=30000,"High")</f>
        <v>Low</v>
      </c>
      <c r="AO823" s="11" t="str">
        <f t="shared" si="65"/>
        <v>No</v>
      </c>
      <c r="AP823" s="11" t="str">
        <f t="shared" si="66"/>
        <v>Yes</v>
      </c>
      <c r="AQ823" s="11">
        <f t="shared" si="67"/>
        <v>0.39160470588235291</v>
      </c>
      <c r="AR823" s="33"/>
      <c r="AS823" s="33"/>
      <c r="AT823" s="33"/>
      <c r="AU823" s="33"/>
      <c r="AV823" s="33"/>
      <c r="AW823" s="33"/>
      <c r="AX823" s="33" t="str">
        <f t="shared" si="68"/>
        <v>Low</v>
      </c>
    </row>
    <row r="824" spans="1:50">
      <c r="A824" s="9" t="s">
        <v>1171</v>
      </c>
      <c r="B824" s="10" t="s">
        <v>324</v>
      </c>
      <c r="C824" s="11" t="s">
        <v>633</v>
      </c>
      <c r="D824" s="11" t="s">
        <v>855</v>
      </c>
      <c r="E824" s="11" t="s">
        <v>55</v>
      </c>
      <c r="F824" s="11" t="s">
        <v>149</v>
      </c>
      <c r="G824" s="11" t="s">
        <v>150</v>
      </c>
      <c r="H824" s="11" t="s">
        <v>58</v>
      </c>
      <c r="I824" s="11" t="s">
        <v>39</v>
      </c>
      <c r="J824" s="11" t="s">
        <v>40</v>
      </c>
      <c r="K824" s="25">
        <v>4</v>
      </c>
      <c r="L824" s="25">
        <v>8000</v>
      </c>
      <c r="M824" s="29">
        <v>0.05</v>
      </c>
      <c r="N824" s="25">
        <v>30400</v>
      </c>
      <c r="O824" s="25">
        <v>24036.33</v>
      </c>
      <c r="P824" s="25">
        <v>6363.67</v>
      </c>
      <c r="Q824" s="21">
        <v>20.93</v>
      </c>
      <c r="R824" s="11" t="s">
        <v>166</v>
      </c>
      <c r="S824" s="11" t="s">
        <v>74</v>
      </c>
      <c r="T824" s="11" t="s">
        <v>86</v>
      </c>
      <c r="U824" s="11" t="s">
        <v>98</v>
      </c>
      <c r="V824" s="11">
        <v>2025</v>
      </c>
      <c r="W824" s="11" t="s">
        <v>134</v>
      </c>
      <c r="X824" s="11">
        <v>4</v>
      </c>
      <c r="Y824" s="10">
        <v>45691</v>
      </c>
      <c r="Z824" s="11" t="s">
        <v>110</v>
      </c>
      <c r="AA824" s="11" t="s">
        <v>48</v>
      </c>
      <c r="AB824" s="11" t="s">
        <v>78</v>
      </c>
      <c r="AC824" s="11" t="s">
        <v>121</v>
      </c>
      <c r="AD824" s="11">
        <v>4</v>
      </c>
      <c r="AE824" s="11" t="s">
        <v>2220</v>
      </c>
      <c r="AF824" s="11" t="s">
        <v>2249</v>
      </c>
      <c r="AG824" s="25"/>
      <c r="AH824" s="11"/>
      <c r="AI824" s="11"/>
      <c r="AJ824" s="11"/>
      <c r="AK824" s="11"/>
      <c r="AL824" s="11"/>
      <c r="AM824" s="11" t="str">
        <f t="shared" si="64"/>
        <v>Needs Improvement</v>
      </c>
      <c r="AN824" s="11" t="str" cm="1">
        <f t="array" ref="AN824">_xlfn.IFS(N824&lt;10000,"Low",N824&lt;30000,"Medium",N824&gt;=30000,"High")</f>
        <v>High</v>
      </c>
      <c r="AO824" s="11" t="str">
        <f t="shared" si="65"/>
        <v>No</v>
      </c>
      <c r="AP824" s="11" t="str">
        <f t="shared" si="66"/>
        <v>Yes</v>
      </c>
      <c r="AQ824" s="11">
        <f t="shared" si="67"/>
        <v>0.20933125</v>
      </c>
      <c r="AR824" s="33"/>
      <c r="AS824" s="33"/>
      <c r="AT824" s="33"/>
      <c r="AU824" s="33"/>
      <c r="AV824" s="33"/>
      <c r="AW824" s="33"/>
      <c r="AX824" s="33" t="str">
        <f t="shared" si="68"/>
        <v>Average</v>
      </c>
    </row>
    <row r="825" spans="1:50">
      <c r="A825" s="9" t="s">
        <v>1247</v>
      </c>
      <c r="B825" s="10" t="s">
        <v>324</v>
      </c>
      <c r="C825" s="11" t="s">
        <v>1248</v>
      </c>
      <c r="D825" s="11" t="s">
        <v>1249</v>
      </c>
      <c r="E825" s="11" t="s">
        <v>55</v>
      </c>
      <c r="F825" s="11" t="s">
        <v>116</v>
      </c>
      <c r="G825" s="11" t="s">
        <v>37</v>
      </c>
      <c r="H825" s="11" t="s">
        <v>38</v>
      </c>
      <c r="I825" s="11" t="s">
        <v>71</v>
      </c>
      <c r="J825" s="11" t="s">
        <v>158</v>
      </c>
      <c r="K825" s="25">
        <v>6</v>
      </c>
      <c r="L825" s="25">
        <v>700</v>
      </c>
      <c r="M825" s="29">
        <v>0.05</v>
      </c>
      <c r="N825" s="25">
        <v>3990</v>
      </c>
      <c r="O825" s="25">
        <v>2890.48</v>
      </c>
      <c r="P825" s="25">
        <v>1099.52</v>
      </c>
      <c r="Q825" s="21">
        <v>27.56</v>
      </c>
      <c r="R825" s="11" t="s">
        <v>106</v>
      </c>
      <c r="S825" s="11" t="s">
        <v>74</v>
      </c>
      <c r="T825" s="11" t="s">
        <v>86</v>
      </c>
      <c r="U825" s="11" t="s">
        <v>98</v>
      </c>
      <c r="V825" s="11">
        <v>2025</v>
      </c>
      <c r="W825" s="11" t="s">
        <v>134</v>
      </c>
      <c r="X825" s="11">
        <v>5</v>
      </c>
      <c r="Y825" s="10">
        <v>45719</v>
      </c>
      <c r="Z825" s="11" t="s">
        <v>47</v>
      </c>
      <c r="AA825" s="11" t="s">
        <v>90</v>
      </c>
      <c r="AB825" s="11" t="s">
        <v>49</v>
      </c>
      <c r="AC825" s="11" t="s">
        <v>50</v>
      </c>
      <c r="AD825" s="11">
        <v>4</v>
      </c>
      <c r="AE825" s="11" t="s">
        <v>2234</v>
      </c>
      <c r="AF825" s="11" t="s">
        <v>2212</v>
      </c>
      <c r="AG825" s="25"/>
      <c r="AH825" s="11"/>
      <c r="AI825" s="11"/>
      <c r="AJ825" s="11"/>
      <c r="AK825" s="11"/>
      <c r="AL825" s="11"/>
      <c r="AM825" s="11" t="str">
        <f t="shared" si="64"/>
        <v>Needs Improvement</v>
      </c>
      <c r="AN825" s="11" t="str" cm="1">
        <f t="array" ref="AN825">_xlfn.IFS(N825&lt;10000,"Low",N825&lt;30000,"Medium",N825&gt;=30000,"High")</f>
        <v>Low</v>
      </c>
      <c r="AO825" s="11" t="str">
        <f t="shared" si="65"/>
        <v>No</v>
      </c>
      <c r="AP825" s="11" t="str">
        <f t="shared" si="66"/>
        <v>Yes</v>
      </c>
      <c r="AQ825" s="11">
        <f t="shared" si="67"/>
        <v>0.27556892230576441</v>
      </c>
      <c r="AR825" s="33"/>
      <c r="AS825" s="33"/>
      <c r="AT825" s="33"/>
      <c r="AU825" s="33"/>
      <c r="AV825" s="33"/>
      <c r="AW825" s="33"/>
      <c r="AX825" s="33" t="str">
        <f t="shared" si="68"/>
        <v>Low</v>
      </c>
    </row>
    <row r="826" spans="1:50">
      <c r="A826" s="9" t="s">
        <v>1662</v>
      </c>
      <c r="B826" s="10" t="s">
        <v>1663</v>
      </c>
      <c r="C826" s="11" t="s">
        <v>188</v>
      </c>
      <c r="D826" s="11" t="s">
        <v>81</v>
      </c>
      <c r="E826" s="11" t="s">
        <v>55</v>
      </c>
      <c r="F826" s="11" t="s">
        <v>116</v>
      </c>
      <c r="G826" s="11" t="s">
        <v>37</v>
      </c>
      <c r="H826" s="11" t="s">
        <v>94</v>
      </c>
      <c r="I826" s="11" t="s">
        <v>71</v>
      </c>
      <c r="J826" s="11" t="s">
        <v>117</v>
      </c>
      <c r="K826" s="25">
        <v>3</v>
      </c>
      <c r="L826" s="25">
        <v>3500</v>
      </c>
      <c r="M826" s="29">
        <v>0.2</v>
      </c>
      <c r="N826" s="25">
        <v>8400</v>
      </c>
      <c r="O826" s="25">
        <v>5966.18</v>
      </c>
      <c r="P826" s="25">
        <v>2433.8200000000002</v>
      </c>
      <c r="Q826" s="21">
        <v>28.97</v>
      </c>
      <c r="R826" s="11" t="s">
        <v>73</v>
      </c>
      <c r="S826" s="11" t="s">
        <v>42</v>
      </c>
      <c r="T826" s="11" t="s">
        <v>63</v>
      </c>
      <c r="U826" s="11" t="s">
        <v>178</v>
      </c>
      <c r="V826" s="11">
        <v>2024</v>
      </c>
      <c r="W826" s="11" t="s">
        <v>109</v>
      </c>
      <c r="X826" s="11">
        <v>3</v>
      </c>
      <c r="Y826" s="10" t="s">
        <v>956</v>
      </c>
      <c r="Z826" s="11" t="s">
        <v>47</v>
      </c>
      <c r="AA826" s="11" t="s">
        <v>67</v>
      </c>
      <c r="AB826" s="11" t="s">
        <v>49</v>
      </c>
      <c r="AC826" s="11" t="s">
        <v>121</v>
      </c>
      <c r="AD826" s="11">
        <v>3</v>
      </c>
      <c r="AE826" s="11" t="s">
        <v>2239</v>
      </c>
      <c r="AF826" s="11" t="s">
        <v>2223</v>
      </c>
      <c r="AG826" s="25"/>
      <c r="AH826" s="11"/>
      <c r="AI826" s="11"/>
      <c r="AJ826" s="11"/>
      <c r="AK826" s="11"/>
      <c r="AL826" s="11"/>
      <c r="AM826" s="11" t="str">
        <f t="shared" si="64"/>
        <v>Needs Improvement</v>
      </c>
      <c r="AN826" s="11" t="str" cm="1">
        <f t="array" ref="AN826">_xlfn.IFS(N826&lt;10000,"Low",N826&lt;30000,"Medium",N826&gt;=30000,"High")</f>
        <v>Low</v>
      </c>
      <c r="AO826" s="11" t="str">
        <f t="shared" si="65"/>
        <v>No</v>
      </c>
      <c r="AP826" s="11" t="str">
        <f t="shared" si="66"/>
        <v>Yes</v>
      </c>
      <c r="AQ826" s="11">
        <f t="shared" si="67"/>
        <v>0.28974047619047621</v>
      </c>
      <c r="AR826" s="33"/>
      <c r="AS826" s="33"/>
      <c r="AT826" s="33"/>
      <c r="AU826" s="33"/>
      <c r="AV826" s="33"/>
      <c r="AW826" s="33"/>
      <c r="AX826" s="33" t="str">
        <f t="shared" si="68"/>
        <v>Low</v>
      </c>
    </row>
    <row r="827" spans="1:50">
      <c r="A827" s="9" t="s">
        <v>1065</v>
      </c>
      <c r="B827" s="10" t="s">
        <v>1066</v>
      </c>
      <c r="C827" s="11" t="s">
        <v>1067</v>
      </c>
      <c r="D827" s="11" t="s">
        <v>1068</v>
      </c>
      <c r="E827" s="11" t="s">
        <v>35</v>
      </c>
      <c r="F827" s="11" t="s">
        <v>36</v>
      </c>
      <c r="G827" s="11" t="s">
        <v>37</v>
      </c>
      <c r="H827" s="11" t="s">
        <v>94</v>
      </c>
      <c r="I827" s="11" t="s">
        <v>84</v>
      </c>
      <c r="J827" s="11" t="s">
        <v>229</v>
      </c>
      <c r="K827" s="25">
        <v>3</v>
      </c>
      <c r="L827" s="25">
        <v>100</v>
      </c>
      <c r="M827" s="29">
        <v>0</v>
      </c>
      <c r="N827" s="25">
        <v>300</v>
      </c>
      <c r="O827" s="25">
        <v>171.91</v>
      </c>
      <c r="P827" s="25">
        <v>128.09</v>
      </c>
      <c r="Q827" s="21">
        <v>42.7</v>
      </c>
      <c r="R827" s="11" t="s">
        <v>41</v>
      </c>
      <c r="S827" s="11" t="s">
        <v>62</v>
      </c>
      <c r="T827" s="11" t="s">
        <v>43</v>
      </c>
      <c r="U827" s="11" t="s">
        <v>44</v>
      </c>
      <c r="V827" s="11">
        <v>2024</v>
      </c>
      <c r="W827" s="11" t="s">
        <v>194</v>
      </c>
      <c r="X827" s="11">
        <v>8</v>
      </c>
      <c r="Y827" s="10">
        <v>45387</v>
      </c>
      <c r="Z827" s="11" t="s">
        <v>47</v>
      </c>
      <c r="AA827" s="11" t="s">
        <v>90</v>
      </c>
      <c r="AB827" s="11" t="s">
        <v>78</v>
      </c>
      <c r="AC827" s="11" t="s">
        <v>121</v>
      </c>
      <c r="AD827" s="11">
        <v>2</v>
      </c>
      <c r="AE827" s="11" t="s">
        <v>2227</v>
      </c>
      <c r="AF827" s="11" t="s">
        <v>2249</v>
      </c>
      <c r="AG827" s="25"/>
      <c r="AH827" s="11"/>
      <c r="AI827" s="11"/>
      <c r="AJ827" s="11"/>
      <c r="AK827" s="11"/>
      <c r="AL827" s="11"/>
      <c r="AM827" s="11" t="str">
        <f t="shared" si="64"/>
        <v>Good</v>
      </c>
      <c r="AN827" s="11" t="str" cm="1">
        <f t="array" ref="AN827">_xlfn.IFS(N827&lt;10000,"Low",N827&lt;30000,"Medium",N827&gt;=30000,"High")</f>
        <v>Low</v>
      </c>
      <c r="AO827" s="11" t="str">
        <f t="shared" si="65"/>
        <v>No</v>
      </c>
      <c r="AP827" s="11" t="str">
        <f t="shared" si="66"/>
        <v>No</v>
      </c>
      <c r="AQ827" s="11">
        <f t="shared" si="67"/>
        <v>0.42696666666666666</v>
      </c>
      <c r="AR827" s="33"/>
      <c r="AS827" s="33"/>
      <c r="AT827" s="33"/>
      <c r="AU827" s="33"/>
      <c r="AV827" s="33"/>
      <c r="AW827" s="33"/>
      <c r="AX827" s="33" t="str">
        <f t="shared" si="68"/>
        <v>Low</v>
      </c>
    </row>
    <row r="828" spans="1:50">
      <c r="A828" s="9" t="s">
        <v>1641</v>
      </c>
      <c r="B828" s="10" t="s">
        <v>1066</v>
      </c>
      <c r="C828" s="11" t="s">
        <v>267</v>
      </c>
      <c r="D828" s="11" t="s">
        <v>252</v>
      </c>
      <c r="E828" s="11" t="s">
        <v>55</v>
      </c>
      <c r="F828" s="11" t="s">
        <v>82</v>
      </c>
      <c r="G828" s="11" t="s">
        <v>83</v>
      </c>
      <c r="H828" s="11" t="s">
        <v>171</v>
      </c>
      <c r="I828" s="11" t="s">
        <v>95</v>
      </c>
      <c r="J828" s="11" t="s">
        <v>344</v>
      </c>
      <c r="K828" s="25">
        <v>4</v>
      </c>
      <c r="L828" s="25">
        <v>9000</v>
      </c>
      <c r="M828" s="29">
        <v>0.15</v>
      </c>
      <c r="N828" s="25">
        <v>30600</v>
      </c>
      <c r="O828" s="25">
        <v>23739.72</v>
      </c>
      <c r="P828" s="25">
        <v>6860.28</v>
      </c>
      <c r="Q828" s="21">
        <v>22.42</v>
      </c>
      <c r="R828" s="11" t="s">
        <v>106</v>
      </c>
      <c r="S828" s="11" t="s">
        <v>74</v>
      </c>
      <c r="T828" s="11" t="s">
        <v>159</v>
      </c>
      <c r="U828" s="11" t="s">
        <v>44</v>
      </c>
      <c r="V828" s="11">
        <v>2024</v>
      </c>
      <c r="W828" s="11" t="s">
        <v>194</v>
      </c>
      <c r="X828" s="11">
        <v>1</v>
      </c>
      <c r="Y828" s="10" t="s">
        <v>1642</v>
      </c>
      <c r="Z828" s="11" t="s">
        <v>110</v>
      </c>
      <c r="AA828" s="11" t="s">
        <v>48</v>
      </c>
      <c r="AB828" s="11" t="s">
        <v>78</v>
      </c>
      <c r="AC828" s="11" t="s">
        <v>50</v>
      </c>
      <c r="AD828" s="11">
        <v>1</v>
      </c>
      <c r="AE828" s="11" t="s">
        <v>2225</v>
      </c>
      <c r="AF828" s="11" t="s">
        <v>2249</v>
      </c>
      <c r="AG828" s="25"/>
      <c r="AH828" s="11"/>
      <c r="AI828" s="11"/>
      <c r="AJ828" s="11"/>
      <c r="AK828" s="11"/>
      <c r="AL828" s="11"/>
      <c r="AM828" s="11" t="str">
        <f t="shared" si="64"/>
        <v>Needs Improvement</v>
      </c>
      <c r="AN828" s="11" t="str" cm="1">
        <f t="array" ref="AN828">_xlfn.IFS(N828&lt;10000,"Low",N828&lt;30000,"Medium",N828&gt;=30000,"High")</f>
        <v>High</v>
      </c>
      <c r="AO828" s="11" t="str">
        <f t="shared" si="65"/>
        <v>No</v>
      </c>
      <c r="AP828" s="11" t="str">
        <f t="shared" si="66"/>
        <v>Yes</v>
      </c>
      <c r="AQ828" s="11">
        <f t="shared" si="67"/>
        <v>0.2241921568627451</v>
      </c>
      <c r="AR828" s="33"/>
      <c r="AS828" s="33"/>
      <c r="AT828" s="33"/>
      <c r="AU828" s="33"/>
      <c r="AV828" s="33"/>
      <c r="AW828" s="33"/>
      <c r="AX828" s="33" t="str">
        <f t="shared" si="68"/>
        <v>Average</v>
      </c>
    </row>
    <row r="829" spans="1:50">
      <c r="A829" s="9" t="s">
        <v>2102</v>
      </c>
      <c r="B829" s="10" t="s">
        <v>1066</v>
      </c>
      <c r="C829" s="11" t="s">
        <v>1183</v>
      </c>
      <c r="D829" s="11" t="s">
        <v>1162</v>
      </c>
      <c r="E829" s="11" t="s">
        <v>55</v>
      </c>
      <c r="F829" s="11" t="s">
        <v>131</v>
      </c>
      <c r="G829" s="11" t="s">
        <v>132</v>
      </c>
      <c r="H829" s="11" t="s">
        <v>38</v>
      </c>
      <c r="I829" s="11" t="s">
        <v>59</v>
      </c>
      <c r="J829" s="11" t="s">
        <v>372</v>
      </c>
      <c r="K829" s="25">
        <v>5</v>
      </c>
      <c r="L829" s="25">
        <v>3000</v>
      </c>
      <c r="M829" s="29">
        <v>0.2</v>
      </c>
      <c r="N829" s="25">
        <v>12000</v>
      </c>
      <c r="O829" s="25">
        <v>9214.7199999999993</v>
      </c>
      <c r="P829" s="25">
        <v>2785.28</v>
      </c>
      <c r="Q829" s="21">
        <v>23.21</v>
      </c>
      <c r="R829" s="11" t="s">
        <v>106</v>
      </c>
      <c r="S829" s="11" t="s">
        <v>74</v>
      </c>
      <c r="T829" s="11" t="s">
        <v>138</v>
      </c>
      <c r="U829" s="11" t="s">
        <v>44</v>
      </c>
      <c r="V829" s="11">
        <v>2024</v>
      </c>
      <c r="W829" s="11" t="s">
        <v>194</v>
      </c>
      <c r="X829" s="11">
        <v>10</v>
      </c>
      <c r="Y829" s="10">
        <v>45448</v>
      </c>
      <c r="Z829" s="11" t="s">
        <v>110</v>
      </c>
      <c r="AA829" s="11" t="s">
        <v>90</v>
      </c>
      <c r="AB829" s="11" t="s">
        <v>111</v>
      </c>
      <c r="AC829" s="11" t="s">
        <v>50</v>
      </c>
      <c r="AD829" s="11">
        <v>5</v>
      </c>
      <c r="AE829" s="11" t="s">
        <v>2225</v>
      </c>
      <c r="AF829" s="11" t="s">
        <v>2222</v>
      </c>
      <c r="AG829" s="25"/>
      <c r="AH829" s="11"/>
      <c r="AI829" s="11"/>
      <c r="AJ829" s="11"/>
      <c r="AK829" s="11"/>
      <c r="AL829" s="11"/>
      <c r="AM829" s="11" t="str">
        <f t="shared" si="64"/>
        <v>Needs Improvement</v>
      </c>
      <c r="AN829" s="11" t="str" cm="1">
        <f t="array" ref="AN829">_xlfn.IFS(N829&lt;10000,"Low",N829&lt;30000,"Medium",N829&gt;=30000,"High")</f>
        <v>Medium</v>
      </c>
      <c r="AO829" s="11" t="str">
        <f t="shared" si="65"/>
        <v>No</v>
      </c>
      <c r="AP829" s="11" t="str">
        <f t="shared" si="66"/>
        <v>Yes</v>
      </c>
      <c r="AQ829" s="11">
        <f t="shared" si="67"/>
        <v>0.23210666666666668</v>
      </c>
      <c r="AR829" s="33"/>
      <c r="AS829" s="33"/>
      <c r="AT829" s="33"/>
      <c r="AU829" s="33"/>
      <c r="AV829" s="33"/>
      <c r="AW829" s="33"/>
      <c r="AX829" s="33" t="str">
        <f t="shared" si="68"/>
        <v>Low</v>
      </c>
    </row>
    <row r="830" spans="1:50">
      <c r="A830" s="9" t="s">
        <v>804</v>
      </c>
      <c r="B830" s="10" t="s">
        <v>714</v>
      </c>
      <c r="C830" s="11" t="s">
        <v>805</v>
      </c>
      <c r="D830" s="11" t="s">
        <v>297</v>
      </c>
      <c r="E830" s="11" t="s">
        <v>35</v>
      </c>
      <c r="F830" s="11" t="s">
        <v>82</v>
      </c>
      <c r="G830" s="11" t="s">
        <v>83</v>
      </c>
      <c r="H830" s="11" t="s">
        <v>58</v>
      </c>
      <c r="I830" s="11" t="s">
        <v>84</v>
      </c>
      <c r="J830" s="11" t="s">
        <v>217</v>
      </c>
      <c r="K830" s="25">
        <v>5</v>
      </c>
      <c r="L830" s="25">
        <v>500</v>
      </c>
      <c r="M830" s="29">
        <v>0</v>
      </c>
      <c r="N830" s="25">
        <v>2500</v>
      </c>
      <c r="O830" s="25">
        <v>1766.71</v>
      </c>
      <c r="P830" s="25">
        <v>733.29</v>
      </c>
      <c r="Q830" s="21">
        <v>29.33</v>
      </c>
      <c r="R830" s="11" t="s">
        <v>166</v>
      </c>
      <c r="S830" s="11" t="s">
        <v>42</v>
      </c>
      <c r="T830" s="11" t="s">
        <v>159</v>
      </c>
      <c r="U830" s="11" t="s">
        <v>44</v>
      </c>
      <c r="V830" s="11">
        <v>2025</v>
      </c>
      <c r="W830" s="11" t="s">
        <v>65</v>
      </c>
      <c r="X830" s="11">
        <v>1</v>
      </c>
      <c r="Y830" s="10" t="s">
        <v>806</v>
      </c>
      <c r="Z830" s="11" t="s">
        <v>89</v>
      </c>
      <c r="AA830" s="11" t="s">
        <v>67</v>
      </c>
      <c r="AB830" s="11" t="s">
        <v>49</v>
      </c>
      <c r="AC830" s="11" t="s">
        <v>121</v>
      </c>
      <c r="AD830" s="11">
        <v>2</v>
      </c>
      <c r="AE830" s="11" t="s">
        <v>2237</v>
      </c>
      <c r="AF830" s="11" t="s">
        <v>2219</v>
      </c>
      <c r="AG830" s="25"/>
      <c r="AH830" s="11"/>
      <c r="AI830" s="11"/>
      <c r="AJ830" s="11"/>
      <c r="AK830" s="11"/>
      <c r="AL830" s="11"/>
      <c r="AM830" s="11" t="str">
        <f t="shared" si="64"/>
        <v>Needs Improvement</v>
      </c>
      <c r="AN830" s="11" t="str" cm="1">
        <f t="array" ref="AN830">_xlfn.IFS(N830&lt;10000,"Low",N830&lt;30000,"Medium",N830&gt;=30000,"High")</f>
        <v>Low</v>
      </c>
      <c r="AO830" s="11" t="str">
        <f t="shared" si="65"/>
        <v>No</v>
      </c>
      <c r="AP830" s="11" t="str">
        <f t="shared" si="66"/>
        <v>Yes</v>
      </c>
      <c r="AQ830" s="11">
        <f t="shared" si="67"/>
        <v>0.29331599999999997</v>
      </c>
      <c r="AR830" s="33"/>
      <c r="AS830" s="33"/>
      <c r="AT830" s="33"/>
      <c r="AU830" s="33"/>
      <c r="AV830" s="33"/>
      <c r="AW830" s="33"/>
      <c r="AX830" s="33" t="str">
        <f t="shared" si="68"/>
        <v>Low</v>
      </c>
    </row>
    <row r="831" spans="1:50">
      <c r="A831" s="9" t="s">
        <v>2007</v>
      </c>
      <c r="B831" s="10" t="s">
        <v>714</v>
      </c>
      <c r="C831" s="11" t="s">
        <v>1395</v>
      </c>
      <c r="D831" s="11" t="s">
        <v>205</v>
      </c>
      <c r="E831" s="11" t="s">
        <v>103</v>
      </c>
      <c r="F831" s="11" t="s">
        <v>131</v>
      </c>
      <c r="G831" s="11" t="s">
        <v>132</v>
      </c>
      <c r="H831" s="11" t="s">
        <v>58</v>
      </c>
      <c r="I831" s="11" t="s">
        <v>95</v>
      </c>
      <c r="J831" s="11" t="s">
        <v>184</v>
      </c>
      <c r="K831" s="25">
        <v>4</v>
      </c>
      <c r="L831" s="25">
        <v>2500</v>
      </c>
      <c r="M831" s="29">
        <v>0</v>
      </c>
      <c r="N831" s="25">
        <v>10000</v>
      </c>
      <c r="O831" s="25">
        <v>6610.22</v>
      </c>
      <c r="P831" s="25">
        <v>3389.78</v>
      </c>
      <c r="Q831" s="21">
        <v>33.9</v>
      </c>
      <c r="R831" s="11" t="s">
        <v>73</v>
      </c>
      <c r="S831" s="11" t="s">
        <v>42</v>
      </c>
      <c r="T831" s="11" t="s">
        <v>173</v>
      </c>
      <c r="U831" s="11" t="s">
        <v>44</v>
      </c>
      <c r="V831" s="11">
        <v>2025</v>
      </c>
      <c r="W831" s="11" t="s">
        <v>65</v>
      </c>
      <c r="X831" s="11">
        <v>7</v>
      </c>
      <c r="Y831" s="10">
        <v>45721</v>
      </c>
      <c r="Z831" s="11" t="s">
        <v>47</v>
      </c>
      <c r="AA831" s="11" t="s">
        <v>67</v>
      </c>
      <c r="AB831" s="11" t="s">
        <v>49</v>
      </c>
      <c r="AC831" s="11" t="s">
        <v>121</v>
      </c>
      <c r="AD831" s="11">
        <v>3</v>
      </c>
      <c r="AE831" s="11" t="s">
        <v>2218</v>
      </c>
      <c r="AF831" s="11" t="s">
        <v>2210</v>
      </c>
      <c r="AG831" s="25"/>
      <c r="AH831" s="11"/>
      <c r="AI831" s="11"/>
      <c r="AJ831" s="11"/>
      <c r="AK831" s="11"/>
      <c r="AL831" s="11"/>
      <c r="AM831" s="11" t="str">
        <f t="shared" si="64"/>
        <v>Good</v>
      </c>
      <c r="AN831" s="11" t="str" cm="1">
        <f t="array" ref="AN831">_xlfn.IFS(N831&lt;10000,"Low",N831&lt;30000,"Medium",N831&gt;=30000,"High")</f>
        <v>Medium</v>
      </c>
      <c r="AO831" s="11" t="str">
        <f t="shared" si="65"/>
        <v>No</v>
      </c>
      <c r="AP831" s="11" t="str">
        <f t="shared" si="66"/>
        <v>Yes</v>
      </c>
      <c r="AQ831" s="11">
        <f t="shared" si="67"/>
        <v>0.338978</v>
      </c>
      <c r="AR831" s="33"/>
      <c r="AS831" s="33"/>
      <c r="AT831" s="33"/>
      <c r="AU831" s="33"/>
      <c r="AV831" s="33"/>
      <c r="AW831" s="33"/>
      <c r="AX831" s="33" t="str">
        <f t="shared" si="68"/>
        <v>Low</v>
      </c>
    </row>
    <row r="832" spans="1:50">
      <c r="A832" s="9" t="s">
        <v>1447</v>
      </c>
      <c r="B832" s="10" t="s">
        <v>1448</v>
      </c>
      <c r="C832" s="11" t="s">
        <v>541</v>
      </c>
      <c r="D832" s="11" t="s">
        <v>1449</v>
      </c>
      <c r="E832" s="11" t="s">
        <v>35</v>
      </c>
      <c r="F832" s="11" t="s">
        <v>116</v>
      </c>
      <c r="G832" s="11" t="s">
        <v>37</v>
      </c>
      <c r="H832" s="11" t="s">
        <v>94</v>
      </c>
      <c r="I832" s="11" t="s">
        <v>71</v>
      </c>
      <c r="J832" s="11" t="s">
        <v>72</v>
      </c>
      <c r="K832" s="25">
        <v>2</v>
      </c>
      <c r="L832" s="25">
        <v>3500</v>
      </c>
      <c r="M832" s="29">
        <v>0.1</v>
      </c>
      <c r="N832" s="25">
        <v>6300</v>
      </c>
      <c r="O832" s="25">
        <v>5046.96</v>
      </c>
      <c r="P832" s="25">
        <v>1253.04</v>
      </c>
      <c r="Q832" s="21">
        <v>19.89</v>
      </c>
      <c r="R832" s="11" t="s">
        <v>106</v>
      </c>
      <c r="S832" s="11" t="s">
        <v>74</v>
      </c>
      <c r="T832" s="11" t="s">
        <v>173</v>
      </c>
      <c r="U832" s="11" t="s">
        <v>119</v>
      </c>
      <c r="V832" s="11">
        <v>2024</v>
      </c>
      <c r="W832" s="11" t="s">
        <v>45</v>
      </c>
      <c r="X832" s="11">
        <v>5</v>
      </c>
      <c r="Y832" s="10" t="s">
        <v>526</v>
      </c>
      <c r="Z832" s="11" t="s">
        <v>47</v>
      </c>
      <c r="AA832" s="11" t="s">
        <v>48</v>
      </c>
      <c r="AB832" s="11" t="s">
        <v>78</v>
      </c>
      <c r="AC832" s="11" t="s">
        <v>50</v>
      </c>
      <c r="AD832" s="11">
        <v>3</v>
      </c>
      <c r="AE832" s="11" t="s">
        <v>2218</v>
      </c>
      <c r="AF832" s="11" t="s">
        <v>2231</v>
      </c>
      <c r="AG832" s="25"/>
      <c r="AH832" s="11"/>
      <c r="AI832" s="11"/>
      <c r="AJ832" s="11"/>
      <c r="AK832" s="11"/>
      <c r="AL832" s="11"/>
      <c r="AM832" s="11" t="str">
        <f t="shared" si="64"/>
        <v>Needs Improvement</v>
      </c>
      <c r="AN832" s="11" t="str" cm="1">
        <f t="array" ref="AN832">_xlfn.IFS(N832&lt;10000,"Low",N832&lt;30000,"Medium",N832&gt;=30000,"High")</f>
        <v>Low</v>
      </c>
      <c r="AO832" s="11" t="str">
        <f t="shared" si="65"/>
        <v>No</v>
      </c>
      <c r="AP832" s="11" t="str">
        <f t="shared" si="66"/>
        <v>Yes</v>
      </c>
      <c r="AQ832" s="11">
        <f t="shared" si="67"/>
        <v>0.1988952380952381</v>
      </c>
      <c r="AR832" s="33"/>
      <c r="AS832" s="33"/>
      <c r="AT832" s="33"/>
      <c r="AU832" s="33"/>
      <c r="AV832" s="33"/>
      <c r="AW832" s="33"/>
      <c r="AX832" s="33" t="str">
        <f t="shared" si="68"/>
        <v>Low</v>
      </c>
    </row>
    <row r="833" spans="1:50">
      <c r="A833" s="9" t="s">
        <v>1606</v>
      </c>
      <c r="B833" s="10" t="s">
        <v>1448</v>
      </c>
      <c r="C833" s="11" t="s">
        <v>1446</v>
      </c>
      <c r="D833" s="11" t="s">
        <v>859</v>
      </c>
      <c r="E833" s="11" t="s">
        <v>35</v>
      </c>
      <c r="F833" s="11" t="s">
        <v>116</v>
      </c>
      <c r="G833" s="11" t="s">
        <v>37</v>
      </c>
      <c r="H833" s="11" t="s">
        <v>94</v>
      </c>
      <c r="I833" s="11" t="s">
        <v>59</v>
      </c>
      <c r="J833" s="11" t="s">
        <v>372</v>
      </c>
      <c r="K833" s="25">
        <v>3</v>
      </c>
      <c r="L833" s="25">
        <v>500</v>
      </c>
      <c r="M833" s="29">
        <v>0.1</v>
      </c>
      <c r="N833" s="25">
        <v>1350</v>
      </c>
      <c r="O833" s="25">
        <v>955.81</v>
      </c>
      <c r="P833" s="25">
        <v>394.19</v>
      </c>
      <c r="Q833" s="21">
        <v>29.2</v>
      </c>
      <c r="R833" s="11" t="s">
        <v>61</v>
      </c>
      <c r="S833" s="11" t="s">
        <v>74</v>
      </c>
      <c r="T833" s="11" t="s">
        <v>75</v>
      </c>
      <c r="U833" s="11" t="s">
        <v>119</v>
      </c>
      <c r="V833" s="11">
        <v>2024</v>
      </c>
      <c r="W833" s="11" t="s">
        <v>45</v>
      </c>
      <c r="X833" s="11">
        <v>4</v>
      </c>
      <c r="Y833" s="10" t="s">
        <v>1278</v>
      </c>
      <c r="Z833" s="11" t="s">
        <v>110</v>
      </c>
      <c r="AA833" s="11" t="s">
        <v>67</v>
      </c>
      <c r="AB833" s="11" t="s">
        <v>78</v>
      </c>
      <c r="AC833" s="11" t="s">
        <v>121</v>
      </c>
      <c r="AD833" s="11">
        <v>3</v>
      </c>
      <c r="AE833" s="11" t="s">
        <v>2218</v>
      </c>
      <c r="AF833" s="11" t="s">
        <v>2212</v>
      </c>
      <c r="AG833" s="25"/>
      <c r="AH833" s="11"/>
      <c r="AI833" s="11"/>
      <c r="AJ833" s="11"/>
      <c r="AK833" s="11"/>
      <c r="AL833" s="11"/>
      <c r="AM833" s="11" t="str">
        <f t="shared" si="64"/>
        <v>Needs Improvement</v>
      </c>
      <c r="AN833" s="11" t="str" cm="1">
        <f t="array" ref="AN833">_xlfn.IFS(N833&lt;10000,"Low",N833&lt;30000,"Medium",N833&gt;=30000,"High")</f>
        <v>Low</v>
      </c>
      <c r="AO833" s="11" t="str">
        <f t="shared" si="65"/>
        <v>No</v>
      </c>
      <c r="AP833" s="11" t="str">
        <f t="shared" si="66"/>
        <v>Yes</v>
      </c>
      <c r="AQ833" s="11">
        <f t="shared" si="67"/>
        <v>0.29199259259259258</v>
      </c>
      <c r="AR833" s="33"/>
      <c r="AS833" s="33"/>
      <c r="AT833" s="33"/>
      <c r="AU833" s="33"/>
      <c r="AV833" s="33"/>
      <c r="AW833" s="33"/>
      <c r="AX833" s="33" t="str">
        <f t="shared" si="68"/>
        <v>Low</v>
      </c>
    </row>
    <row r="834" spans="1:50">
      <c r="A834" s="9" t="s">
        <v>1429</v>
      </c>
      <c r="B834" s="10" t="s">
        <v>1430</v>
      </c>
      <c r="C834" s="11" t="s">
        <v>691</v>
      </c>
      <c r="D834" s="11" t="s">
        <v>1431</v>
      </c>
      <c r="E834" s="11" t="s">
        <v>55</v>
      </c>
      <c r="F834" s="11" t="s">
        <v>36</v>
      </c>
      <c r="G834" s="11" t="s">
        <v>37</v>
      </c>
      <c r="H834" s="11" t="s">
        <v>38</v>
      </c>
      <c r="I834" s="11" t="s">
        <v>95</v>
      </c>
      <c r="J834" s="11" t="s">
        <v>319</v>
      </c>
      <c r="K834" s="25">
        <v>2</v>
      </c>
      <c r="L834" s="25">
        <v>6000</v>
      </c>
      <c r="M834" s="29">
        <v>0.1</v>
      </c>
      <c r="N834" s="25">
        <v>10800</v>
      </c>
      <c r="O834" s="25">
        <v>7847.04</v>
      </c>
      <c r="P834" s="25">
        <v>2952.96</v>
      </c>
      <c r="Q834" s="21">
        <v>27.34</v>
      </c>
      <c r="R834" s="11" t="s">
        <v>106</v>
      </c>
      <c r="S834" s="11" t="s">
        <v>42</v>
      </c>
      <c r="T834" s="11" t="s">
        <v>159</v>
      </c>
      <c r="U834" s="11" t="s">
        <v>160</v>
      </c>
      <c r="V834" s="11">
        <v>2024</v>
      </c>
      <c r="W834" s="11" t="s">
        <v>134</v>
      </c>
      <c r="X834" s="11">
        <v>1</v>
      </c>
      <c r="Y834" s="10" t="s">
        <v>624</v>
      </c>
      <c r="Z834" s="11" t="s">
        <v>110</v>
      </c>
      <c r="AA834" s="11" t="s">
        <v>48</v>
      </c>
      <c r="AB834" s="11" t="s">
        <v>111</v>
      </c>
      <c r="AC834" s="11" t="s">
        <v>50</v>
      </c>
      <c r="AD834" s="11">
        <v>1</v>
      </c>
      <c r="AE834" s="11" t="s">
        <v>118</v>
      </c>
      <c r="AF834" s="11" t="s">
        <v>2212</v>
      </c>
      <c r="AG834" s="25"/>
      <c r="AH834" s="11"/>
      <c r="AI834" s="11"/>
      <c r="AJ834" s="11"/>
      <c r="AK834" s="11"/>
      <c r="AL834" s="11"/>
      <c r="AM834" s="11" t="str">
        <f t="shared" ref="AM834:AM897" si="69">IF(Q834&gt;=30,"Good","Needs Improvement")</f>
        <v>Needs Improvement</v>
      </c>
      <c r="AN834" s="11" t="str" cm="1">
        <f t="array" ref="AN834">_xlfn.IFS(N834&lt;10000,"Low",N834&lt;30000,"Medium",N834&gt;=30000,"High")</f>
        <v>Medium</v>
      </c>
      <c r="AO834" s="11" t="str">
        <f t="shared" ref="AO834:AO897" si="70">IF(AND(N834&gt;=30000,P834&gt;=10000),"Yes","No")</f>
        <v>No</v>
      </c>
      <c r="AP834" s="11" t="str">
        <f t="shared" ref="AP834:AP897" si="71">IF(OR(S834="Online",S834="Marketplace"),"Yes","No")</f>
        <v>Yes</v>
      </c>
      <c r="AQ834" s="11">
        <f t="shared" ref="AQ834:AQ897" si="72">IFERROR(P834/N834,"No Error")</f>
        <v>0.27342222222222223</v>
      </c>
      <c r="AR834" s="33"/>
      <c r="AS834" s="33"/>
      <c r="AT834" s="33"/>
      <c r="AU834" s="33"/>
      <c r="AV834" s="33"/>
      <c r="AW834" s="33"/>
      <c r="AX834" s="33" t="str">
        <f t="shared" ref="AX834:AX897" si="73">IF(P834&gt;=20000,"Excellent",IF(P834&gt;=10000,"Good",IF(P834&gt;=5000,"Average","Low")))</f>
        <v>Low</v>
      </c>
    </row>
    <row r="835" spans="1:50">
      <c r="A835" s="9" t="s">
        <v>1913</v>
      </c>
      <c r="B835" s="10" t="s">
        <v>1430</v>
      </c>
      <c r="C835" s="11" t="s">
        <v>757</v>
      </c>
      <c r="D835" s="11" t="s">
        <v>307</v>
      </c>
      <c r="E835" s="11" t="s">
        <v>103</v>
      </c>
      <c r="F835" s="11" t="s">
        <v>131</v>
      </c>
      <c r="G835" s="11" t="s">
        <v>132</v>
      </c>
      <c r="H835" s="11" t="s">
        <v>171</v>
      </c>
      <c r="I835" s="11" t="s">
        <v>84</v>
      </c>
      <c r="J835" s="11" t="s">
        <v>85</v>
      </c>
      <c r="K835" s="25">
        <v>8</v>
      </c>
      <c r="L835" s="25">
        <v>800</v>
      </c>
      <c r="M835" s="29">
        <v>0.2</v>
      </c>
      <c r="N835" s="25">
        <v>5120</v>
      </c>
      <c r="O835" s="25">
        <v>3698.79</v>
      </c>
      <c r="P835" s="25">
        <v>1421.21</v>
      </c>
      <c r="Q835" s="21">
        <v>27.76</v>
      </c>
      <c r="R835" s="11" t="s">
        <v>73</v>
      </c>
      <c r="S835" s="11" t="s">
        <v>42</v>
      </c>
      <c r="T835" s="11" t="s">
        <v>138</v>
      </c>
      <c r="U835" s="11" t="s">
        <v>160</v>
      </c>
      <c r="V835" s="11">
        <v>2024</v>
      </c>
      <c r="W835" s="11" t="s">
        <v>134</v>
      </c>
      <c r="X835" s="11">
        <v>2</v>
      </c>
      <c r="Y835" s="10" t="s">
        <v>1914</v>
      </c>
      <c r="Z835" s="11" t="s">
        <v>47</v>
      </c>
      <c r="AA835" s="11" t="s">
        <v>67</v>
      </c>
      <c r="AB835" s="11" t="s">
        <v>49</v>
      </c>
      <c r="AC835" s="11" t="s">
        <v>50</v>
      </c>
      <c r="AD835" s="11">
        <v>4</v>
      </c>
      <c r="AE835" s="11" t="s">
        <v>2234</v>
      </c>
      <c r="AF835" s="11" t="s">
        <v>2238</v>
      </c>
      <c r="AG835" s="25"/>
      <c r="AH835" s="11"/>
      <c r="AI835" s="11"/>
      <c r="AJ835" s="11"/>
      <c r="AK835" s="11"/>
      <c r="AL835" s="11"/>
      <c r="AM835" s="11" t="str">
        <f t="shared" si="69"/>
        <v>Needs Improvement</v>
      </c>
      <c r="AN835" s="11" t="str" cm="1">
        <f t="array" ref="AN835">_xlfn.IFS(N835&lt;10000,"Low",N835&lt;30000,"Medium",N835&gt;=30000,"High")</f>
        <v>Low</v>
      </c>
      <c r="AO835" s="11" t="str">
        <f t="shared" si="70"/>
        <v>No</v>
      </c>
      <c r="AP835" s="11" t="str">
        <f t="shared" si="71"/>
        <v>Yes</v>
      </c>
      <c r="AQ835" s="11">
        <f t="shared" si="72"/>
        <v>0.27758007812500002</v>
      </c>
      <c r="AR835" s="33"/>
      <c r="AS835" s="33"/>
      <c r="AT835" s="33"/>
      <c r="AU835" s="33"/>
      <c r="AV835" s="33"/>
      <c r="AW835" s="33"/>
      <c r="AX835" s="33" t="str">
        <f t="shared" si="73"/>
        <v>Low</v>
      </c>
    </row>
    <row r="836" spans="1:50">
      <c r="A836" s="9" t="s">
        <v>579</v>
      </c>
      <c r="B836" s="10" t="s">
        <v>580</v>
      </c>
      <c r="C836" s="11" t="s">
        <v>581</v>
      </c>
      <c r="D836" s="11" t="s">
        <v>582</v>
      </c>
      <c r="E836" s="11" t="s">
        <v>35</v>
      </c>
      <c r="F836" s="11" t="s">
        <v>56</v>
      </c>
      <c r="G836" s="11" t="s">
        <v>57</v>
      </c>
      <c r="H836" s="11" t="s">
        <v>94</v>
      </c>
      <c r="I836" s="11" t="s">
        <v>39</v>
      </c>
      <c r="J836" s="11" t="s">
        <v>165</v>
      </c>
      <c r="K836" s="25">
        <v>7</v>
      </c>
      <c r="L836" s="25">
        <v>22000</v>
      </c>
      <c r="M836" s="29">
        <v>0.2</v>
      </c>
      <c r="N836" s="25">
        <v>123200</v>
      </c>
      <c r="O836" s="25">
        <v>75838.45</v>
      </c>
      <c r="P836" s="25">
        <v>47361.55</v>
      </c>
      <c r="Q836" s="21">
        <v>38.44</v>
      </c>
      <c r="R836" s="11" t="s">
        <v>61</v>
      </c>
      <c r="S836" s="11" t="s">
        <v>74</v>
      </c>
      <c r="T836" s="11" t="s">
        <v>107</v>
      </c>
      <c r="U836" s="11" t="s">
        <v>160</v>
      </c>
      <c r="V836" s="11">
        <v>2025</v>
      </c>
      <c r="W836" s="11" t="s">
        <v>139</v>
      </c>
      <c r="X836" s="11">
        <v>3</v>
      </c>
      <c r="Y836" s="10" t="s">
        <v>583</v>
      </c>
      <c r="Z836" s="11" t="s">
        <v>110</v>
      </c>
      <c r="AA836" s="11" t="s">
        <v>48</v>
      </c>
      <c r="AB836" s="11" t="s">
        <v>49</v>
      </c>
      <c r="AC836" s="11" t="s">
        <v>121</v>
      </c>
      <c r="AD836" s="11">
        <v>3</v>
      </c>
      <c r="AE836" s="11" t="s">
        <v>2216</v>
      </c>
      <c r="AF836" s="11" t="s">
        <v>2235</v>
      </c>
      <c r="AG836" s="25"/>
      <c r="AH836" s="11"/>
      <c r="AI836" s="11"/>
      <c r="AJ836" s="11"/>
      <c r="AK836" s="11"/>
      <c r="AL836" s="11"/>
      <c r="AM836" s="11" t="str">
        <f t="shared" si="69"/>
        <v>Good</v>
      </c>
      <c r="AN836" s="11" t="str" cm="1">
        <f t="array" ref="AN836">_xlfn.IFS(N836&lt;10000,"Low",N836&lt;30000,"Medium",N836&gt;=30000,"High")</f>
        <v>High</v>
      </c>
      <c r="AO836" s="11" t="str">
        <f t="shared" si="70"/>
        <v>Yes</v>
      </c>
      <c r="AP836" s="11" t="str">
        <f t="shared" si="71"/>
        <v>Yes</v>
      </c>
      <c r="AQ836" s="11">
        <f t="shared" si="72"/>
        <v>0.38442816558441562</v>
      </c>
      <c r="AR836" s="33"/>
      <c r="AS836" s="33"/>
      <c r="AT836" s="33"/>
      <c r="AU836" s="33"/>
      <c r="AV836" s="33"/>
      <c r="AW836" s="33"/>
      <c r="AX836" s="33" t="str">
        <f t="shared" si="73"/>
        <v>Excellent</v>
      </c>
    </row>
    <row r="837" spans="1:50">
      <c r="A837" s="9" t="s">
        <v>715</v>
      </c>
      <c r="B837" s="10" t="s">
        <v>580</v>
      </c>
      <c r="C837" s="11" t="s">
        <v>716</v>
      </c>
      <c r="D837" s="11" t="s">
        <v>717</v>
      </c>
      <c r="E837" s="11" t="s">
        <v>55</v>
      </c>
      <c r="F837" s="11" t="s">
        <v>82</v>
      </c>
      <c r="G837" s="11" t="s">
        <v>83</v>
      </c>
      <c r="H837" s="11" t="s">
        <v>58</v>
      </c>
      <c r="I837" s="11" t="s">
        <v>39</v>
      </c>
      <c r="J837" s="11" t="s">
        <v>253</v>
      </c>
      <c r="K837" s="25">
        <v>5</v>
      </c>
      <c r="L837" s="25">
        <v>8000</v>
      </c>
      <c r="M837" s="29">
        <v>0.05</v>
      </c>
      <c r="N837" s="25">
        <v>38000</v>
      </c>
      <c r="O837" s="25">
        <v>25948.22</v>
      </c>
      <c r="P837" s="25">
        <v>12051.78</v>
      </c>
      <c r="Q837" s="21">
        <v>31.72</v>
      </c>
      <c r="R837" s="11" t="s">
        <v>106</v>
      </c>
      <c r="S837" s="11" t="s">
        <v>74</v>
      </c>
      <c r="T837" s="11" t="s">
        <v>107</v>
      </c>
      <c r="U837" s="11" t="s">
        <v>160</v>
      </c>
      <c r="V837" s="11">
        <v>2025</v>
      </c>
      <c r="W837" s="11" t="s">
        <v>139</v>
      </c>
      <c r="X837" s="11">
        <v>4</v>
      </c>
      <c r="Y837" s="10" t="s">
        <v>235</v>
      </c>
      <c r="Z837" s="11" t="s">
        <v>110</v>
      </c>
      <c r="AA837" s="11" t="s">
        <v>67</v>
      </c>
      <c r="AB837" s="11" t="s">
        <v>111</v>
      </c>
      <c r="AC837" s="11" t="s">
        <v>50</v>
      </c>
      <c r="AD837" s="11">
        <v>4</v>
      </c>
      <c r="AE837" s="11" t="s">
        <v>2233</v>
      </c>
      <c r="AF837" s="11" t="s">
        <v>2214</v>
      </c>
      <c r="AG837" s="25"/>
      <c r="AH837" s="11"/>
      <c r="AI837" s="11"/>
      <c r="AJ837" s="11"/>
      <c r="AK837" s="11"/>
      <c r="AL837" s="11"/>
      <c r="AM837" s="11" t="str">
        <f t="shared" si="69"/>
        <v>Good</v>
      </c>
      <c r="AN837" s="11" t="str" cm="1">
        <f t="array" ref="AN837">_xlfn.IFS(N837&lt;10000,"Low",N837&lt;30000,"Medium",N837&gt;=30000,"High")</f>
        <v>High</v>
      </c>
      <c r="AO837" s="11" t="str">
        <f t="shared" si="70"/>
        <v>Yes</v>
      </c>
      <c r="AP837" s="11" t="str">
        <f t="shared" si="71"/>
        <v>Yes</v>
      </c>
      <c r="AQ837" s="11">
        <f t="shared" si="72"/>
        <v>0.3171521052631579</v>
      </c>
      <c r="AR837" s="33"/>
      <c r="AS837" s="33"/>
      <c r="AT837" s="33"/>
      <c r="AU837" s="33"/>
      <c r="AV837" s="33"/>
      <c r="AW837" s="33"/>
      <c r="AX837" s="33" t="str">
        <f t="shared" si="73"/>
        <v>Good</v>
      </c>
    </row>
    <row r="838" spans="1:50">
      <c r="A838" s="9" t="s">
        <v>2154</v>
      </c>
      <c r="B838" s="10" t="s">
        <v>580</v>
      </c>
      <c r="C838" s="11" t="s">
        <v>880</v>
      </c>
      <c r="D838" s="11" t="s">
        <v>193</v>
      </c>
      <c r="E838" s="11" t="s">
        <v>103</v>
      </c>
      <c r="F838" s="11" t="s">
        <v>116</v>
      </c>
      <c r="G838" s="11" t="s">
        <v>37</v>
      </c>
      <c r="H838" s="11" t="s">
        <v>94</v>
      </c>
      <c r="I838" s="11" t="s">
        <v>59</v>
      </c>
      <c r="J838" s="11" t="s">
        <v>206</v>
      </c>
      <c r="K838" s="25">
        <v>6</v>
      </c>
      <c r="L838" s="25">
        <v>800</v>
      </c>
      <c r="M838" s="29">
        <v>0.15</v>
      </c>
      <c r="N838" s="25">
        <v>4080</v>
      </c>
      <c r="O838" s="25">
        <v>3193.63</v>
      </c>
      <c r="P838" s="25">
        <v>886.37</v>
      </c>
      <c r="Q838" s="21">
        <v>21.72</v>
      </c>
      <c r="R838" s="11" t="s">
        <v>166</v>
      </c>
      <c r="S838" s="11" t="s">
        <v>74</v>
      </c>
      <c r="T838" s="11" t="s">
        <v>63</v>
      </c>
      <c r="U838" s="11" t="s">
        <v>160</v>
      </c>
      <c r="V838" s="11">
        <v>2025</v>
      </c>
      <c r="W838" s="11" t="s">
        <v>139</v>
      </c>
      <c r="X838" s="11">
        <v>1</v>
      </c>
      <c r="Y838" s="10" t="s">
        <v>849</v>
      </c>
      <c r="Z838" s="11" t="s">
        <v>110</v>
      </c>
      <c r="AA838" s="11" t="s">
        <v>48</v>
      </c>
      <c r="AB838" s="11" t="s">
        <v>49</v>
      </c>
      <c r="AC838" s="11" t="s">
        <v>50</v>
      </c>
      <c r="AD838" s="11">
        <v>3</v>
      </c>
      <c r="AE838" s="11" t="s">
        <v>2221</v>
      </c>
      <c r="AF838" s="11" t="s">
        <v>2231</v>
      </c>
      <c r="AG838" s="25"/>
      <c r="AH838" s="11"/>
      <c r="AI838" s="11"/>
      <c r="AJ838" s="11"/>
      <c r="AK838" s="11"/>
      <c r="AL838" s="11"/>
      <c r="AM838" s="11" t="str">
        <f t="shared" si="69"/>
        <v>Needs Improvement</v>
      </c>
      <c r="AN838" s="11" t="str" cm="1">
        <f t="array" ref="AN838">_xlfn.IFS(N838&lt;10000,"Low",N838&lt;30000,"Medium",N838&gt;=30000,"High")</f>
        <v>Low</v>
      </c>
      <c r="AO838" s="11" t="str">
        <f t="shared" si="70"/>
        <v>No</v>
      </c>
      <c r="AP838" s="11" t="str">
        <f t="shared" si="71"/>
        <v>Yes</v>
      </c>
      <c r="AQ838" s="11">
        <f t="shared" si="72"/>
        <v>0.21724754901960786</v>
      </c>
      <c r="AR838" s="33"/>
      <c r="AS838" s="33"/>
      <c r="AT838" s="33"/>
      <c r="AU838" s="33"/>
      <c r="AV838" s="33"/>
      <c r="AW838" s="33"/>
      <c r="AX838" s="33" t="str">
        <f t="shared" si="73"/>
        <v>Low</v>
      </c>
    </row>
    <row r="839" spans="1:50">
      <c r="A839" s="9" t="s">
        <v>1172</v>
      </c>
      <c r="B839" s="10" t="s">
        <v>1173</v>
      </c>
      <c r="C839" s="11" t="s">
        <v>1174</v>
      </c>
      <c r="D839" s="11" t="s">
        <v>1175</v>
      </c>
      <c r="E839" s="11" t="s">
        <v>35</v>
      </c>
      <c r="F839" s="11" t="s">
        <v>82</v>
      </c>
      <c r="G839" s="11" t="s">
        <v>83</v>
      </c>
      <c r="H839" s="11" t="s">
        <v>58</v>
      </c>
      <c r="I839" s="11" t="s">
        <v>95</v>
      </c>
      <c r="J839" s="11" t="s">
        <v>440</v>
      </c>
      <c r="K839" s="25">
        <v>4</v>
      </c>
      <c r="L839" s="25">
        <v>6000</v>
      </c>
      <c r="M839" s="29">
        <v>0.1</v>
      </c>
      <c r="N839" s="25">
        <v>21600</v>
      </c>
      <c r="O839" s="25">
        <v>12067.18</v>
      </c>
      <c r="P839" s="25">
        <v>9532.82</v>
      </c>
      <c r="Q839" s="21">
        <v>44.13</v>
      </c>
      <c r="R839" s="11" t="s">
        <v>166</v>
      </c>
      <c r="S839" s="11" t="s">
        <v>62</v>
      </c>
      <c r="T839" s="11" t="s">
        <v>75</v>
      </c>
      <c r="U839" s="11" t="s">
        <v>151</v>
      </c>
      <c r="V839" s="11">
        <v>2024</v>
      </c>
      <c r="W839" s="11" t="s">
        <v>194</v>
      </c>
      <c r="X839" s="11">
        <v>6</v>
      </c>
      <c r="Y839" s="10">
        <v>45299</v>
      </c>
      <c r="Z839" s="11" t="s">
        <v>47</v>
      </c>
      <c r="AA839" s="11" t="s">
        <v>90</v>
      </c>
      <c r="AB839" s="11" t="s">
        <v>78</v>
      </c>
      <c r="AC839" s="11" t="s">
        <v>121</v>
      </c>
      <c r="AD839" s="11">
        <v>3</v>
      </c>
      <c r="AE839" s="11" t="s">
        <v>2226</v>
      </c>
      <c r="AF839" s="11" t="s">
        <v>2228</v>
      </c>
      <c r="AG839" s="25"/>
      <c r="AH839" s="11"/>
      <c r="AI839" s="11"/>
      <c r="AJ839" s="11"/>
      <c r="AK839" s="11"/>
      <c r="AL839" s="11"/>
      <c r="AM839" s="11" t="str">
        <f t="shared" si="69"/>
        <v>Good</v>
      </c>
      <c r="AN839" s="11" t="str" cm="1">
        <f t="array" ref="AN839">_xlfn.IFS(N839&lt;10000,"Low",N839&lt;30000,"Medium",N839&gt;=30000,"High")</f>
        <v>Medium</v>
      </c>
      <c r="AO839" s="11" t="str">
        <f t="shared" si="70"/>
        <v>No</v>
      </c>
      <c r="AP839" s="11" t="str">
        <f t="shared" si="71"/>
        <v>No</v>
      </c>
      <c r="AQ839" s="11">
        <f t="shared" si="72"/>
        <v>0.44133425925925923</v>
      </c>
      <c r="AR839" s="33"/>
      <c r="AS839" s="33"/>
      <c r="AT839" s="33"/>
      <c r="AU839" s="33"/>
      <c r="AV839" s="33"/>
      <c r="AW839" s="33"/>
      <c r="AX839" s="33" t="str">
        <f t="shared" si="73"/>
        <v>Average</v>
      </c>
    </row>
    <row r="840" spans="1:50">
      <c r="A840" s="9" t="s">
        <v>2041</v>
      </c>
      <c r="B840" s="10" t="s">
        <v>1173</v>
      </c>
      <c r="C840" s="11" t="s">
        <v>912</v>
      </c>
      <c r="D840" s="11" t="s">
        <v>870</v>
      </c>
      <c r="E840" s="11" t="s">
        <v>103</v>
      </c>
      <c r="F840" s="11" t="s">
        <v>131</v>
      </c>
      <c r="G840" s="11" t="s">
        <v>132</v>
      </c>
      <c r="H840" s="11" t="s">
        <v>38</v>
      </c>
      <c r="I840" s="11" t="s">
        <v>59</v>
      </c>
      <c r="J840" s="11" t="s">
        <v>60</v>
      </c>
      <c r="K840" s="25">
        <v>2</v>
      </c>
      <c r="L840" s="25">
        <v>800</v>
      </c>
      <c r="M840" s="29">
        <v>0.05</v>
      </c>
      <c r="N840" s="25">
        <v>1520</v>
      </c>
      <c r="O840" s="25">
        <v>872.6</v>
      </c>
      <c r="P840" s="25">
        <v>647.4</v>
      </c>
      <c r="Q840" s="21">
        <v>42.59</v>
      </c>
      <c r="R840" s="11" t="s">
        <v>73</v>
      </c>
      <c r="S840" s="11" t="s">
        <v>62</v>
      </c>
      <c r="T840" s="11" t="s">
        <v>75</v>
      </c>
      <c r="U840" s="11" t="s">
        <v>151</v>
      </c>
      <c r="V840" s="11">
        <v>2024</v>
      </c>
      <c r="W840" s="11" t="s">
        <v>194</v>
      </c>
      <c r="X840" s="11">
        <v>8</v>
      </c>
      <c r="Y840" s="10">
        <v>45359</v>
      </c>
      <c r="Z840" s="11" t="s">
        <v>47</v>
      </c>
      <c r="AA840" s="11" t="s">
        <v>90</v>
      </c>
      <c r="AB840" s="11" t="s">
        <v>78</v>
      </c>
      <c r="AC840" s="11" t="s">
        <v>121</v>
      </c>
      <c r="AD840" s="11">
        <v>4</v>
      </c>
      <c r="AE840" s="11" t="s">
        <v>2216</v>
      </c>
      <c r="AF840" s="11" t="s">
        <v>2236</v>
      </c>
      <c r="AG840" s="25"/>
      <c r="AH840" s="11"/>
      <c r="AI840" s="11"/>
      <c r="AJ840" s="11"/>
      <c r="AK840" s="11"/>
      <c r="AL840" s="11"/>
      <c r="AM840" s="11" t="str">
        <f t="shared" si="69"/>
        <v>Good</v>
      </c>
      <c r="AN840" s="11" t="str" cm="1">
        <f t="array" ref="AN840">_xlfn.IFS(N840&lt;10000,"Low",N840&lt;30000,"Medium",N840&gt;=30000,"High")</f>
        <v>Low</v>
      </c>
      <c r="AO840" s="11" t="str">
        <f t="shared" si="70"/>
        <v>No</v>
      </c>
      <c r="AP840" s="11" t="str">
        <f t="shared" si="71"/>
        <v>No</v>
      </c>
      <c r="AQ840" s="11">
        <f t="shared" si="72"/>
        <v>0.42592105263157892</v>
      </c>
      <c r="AR840" s="33"/>
      <c r="AS840" s="33"/>
      <c r="AT840" s="33"/>
      <c r="AU840" s="33"/>
      <c r="AV840" s="33"/>
      <c r="AW840" s="33"/>
      <c r="AX840" s="33" t="str">
        <f t="shared" si="73"/>
        <v>Low</v>
      </c>
    </row>
    <row r="841" spans="1:50">
      <c r="A841" s="9" t="s">
        <v>1033</v>
      </c>
      <c r="B841" s="10" t="s">
        <v>1034</v>
      </c>
      <c r="C841" s="11" t="s">
        <v>1025</v>
      </c>
      <c r="D841" s="11" t="s">
        <v>1035</v>
      </c>
      <c r="E841" s="11" t="s">
        <v>103</v>
      </c>
      <c r="F841" s="11" t="s">
        <v>156</v>
      </c>
      <c r="G841" s="11" t="s">
        <v>157</v>
      </c>
      <c r="H841" s="11" t="s">
        <v>38</v>
      </c>
      <c r="I841" s="11" t="s">
        <v>59</v>
      </c>
      <c r="J841" s="11" t="s">
        <v>133</v>
      </c>
      <c r="K841" s="25">
        <v>3</v>
      </c>
      <c r="L841" s="25">
        <v>800</v>
      </c>
      <c r="M841" s="29">
        <v>0.15</v>
      </c>
      <c r="N841" s="25">
        <v>2040</v>
      </c>
      <c r="O841" s="25">
        <v>1339.74</v>
      </c>
      <c r="P841" s="25">
        <v>700.26</v>
      </c>
      <c r="Q841" s="21">
        <v>34.33</v>
      </c>
      <c r="R841" s="11" t="s">
        <v>73</v>
      </c>
      <c r="S841" s="11" t="s">
        <v>74</v>
      </c>
      <c r="T841" s="11" t="s">
        <v>159</v>
      </c>
      <c r="U841" s="11" t="s">
        <v>151</v>
      </c>
      <c r="V841" s="11">
        <v>2025</v>
      </c>
      <c r="W841" s="11" t="s">
        <v>65</v>
      </c>
      <c r="X841" s="11">
        <v>4</v>
      </c>
      <c r="Y841" s="10" t="s">
        <v>771</v>
      </c>
      <c r="Z841" s="11" t="s">
        <v>110</v>
      </c>
      <c r="AA841" s="11" t="s">
        <v>67</v>
      </c>
      <c r="AB841" s="11" t="s">
        <v>78</v>
      </c>
      <c r="AC841" s="11" t="s">
        <v>121</v>
      </c>
      <c r="AD841" s="11">
        <v>1</v>
      </c>
      <c r="AE841" s="11" t="s">
        <v>86</v>
      </c>
      <c r="AF841" s="11" t="s">
        <v>2210</v>
      </c>
      <c r="AG841" s="25"/>
      <c r="AH841" s="11"/>
      <c r="AI841" s="11"/>
      <c r="AJ841" s="11"/>
      <c r="AK841" s="11"/>
      <c r="AL841" s="11"/>
      <c r="AM841" s="11" t="str">
        <f t="shared" si="69"/>
        <v>Good</v>
      </c>
      <c r="AN841" s="11" t="str" cm="1">
        <f t="array" ref="AN841">_xlfn.IFS(N841&lt;10000,"Low",N841&lt;30000,"Medium",N841&gt;=30000,"High")</f>
        <v>Low</v>
      </c>
      <c r="AO841" s="11" t="str">
        <f t="shared" si="70"/>
        <v>No</v>
      </c>
      <c r="AP841" s="11" t="str">
        <f t="shared" si="71"/>
        <v>Yes</v>
      </c>
      <c r="AQ841" s="11">
        <f t="shared" si="72"/>
        <v>0.34326470588235292</v>
      </c>
      <c r="AR841" s="33"/>
      <c r="AS841" s="33"/>
      <c r="AT841" s="33"/>
      <c r="AU841" s="33"/>
      <c r="AV841" s="33"/>
      <c r="AW841" s="33"/>
      <c r="AX841" s="33" t="str">
        <f t="shared" si="73"/>
        <v>Low</v>
      </c>
    </row>
    <row r="842" spans="1:50">
      <c r="A842" s="9" t="s">
        <v>2143</v>
      </c>
      <c r="B842" s="10" t="s">
        <v>1034</v>
      </c>
      <c r="C842" s="11" t="s">
        <v>124</v>
      </c>
      <c r="D842" s="11" t="s">
        <v>1011</v>
      </c>
      <c r="E842" s="11" t="s">
        <v>35</v>
      </c>
      <c r="F842" s="11" t="s">
        <v>245</v>
      </c>
      <c r="G842" s="11" t="s">
        <v>246</v>
      </c>
      <c r="H842" s="11" t="s">
        <v>171</v>
      </c>
      <c r="I842" s="11" t="s">
        <v>71</v>
      </c>
      <c r="J842" s="11" t="s">
        <v>240</v>
      </c>
      <c r="K842" s="25">
        <v>8</v>
      </c>
      <c r="L842" s="25">
        <v>3500</v>
      </c>
      <c r="M842" s="29">
        <v>0.2</v>
      </c>
      <c r="N842" s="25">
        <v>22400</v>
      </c>
      <c r="O842" s="25">
        <v>12408.86</v>
      </c>
      <c r="P842" s="25">
        <v>9991.14</v>
      </c>
      <c r="Q842" s="21">
        <v>44.6</v>
      </c>
      <c r="R842" s="11" t="s">
        <v>73</v>
      </c>
      <c r="S842" s="11" t="s">
        <v>74</v>
      </c>
      <c r="T842" s="11" t="s">
        <v>138</v>
      </c>
      <c r="U842" s="11" t="s">
        <v>151</v>
      </c>
      <c r="V842" s="11">
        <v>2025</v>
      </c>
      <c r="W842" s="11" t="s">
        <v>65</v>
      </c>
      <c r="X842" s="11">
        <v>3</v>
      </c>
      <c r="Y842" s="10" t="s">
        <v>1026</v>
      </c>
      <c r="Z842" s="11" t="s">
        <v>110</v>
      </c>
      <c r="AA842" s="11" t="s">
        <v>67</v>
      </c>
      <c r="AB842" s="11" t="s">
        <v>78</v>
      </c>
      <c r="AC842" s="11" t="s">
        <v>50</v>
      </c>
      <c r="AD842" s="11">
        <v>1</v>
      </c>
      <c r="AE842" s="11" t="s">
        <v>2240</v>
      </c>
      <c r="AF842" s="11" t="s">
        <v>2217</v>
      </c>
      <c r="AG842" s="25"/>
      <c r="AH842" s="11"/>
      <c r="AI842" s="11"/>
      <c r="AJ842" s="11"/>
      <c r="AK842" s="11"/>
      <c r="AL842" s="11"/>
      <c r="AM842" s="11" t="str">
        <f t="shared" si="69"/>
        <v>Good</v>
      </c>
      <c r="AN842" s="11" t="str" cm="1">
        <f t="array" ref="AN842">_xlfn.IFS(N842&lt;10000,"Low",N842&lt;30000,"Medium",N842&gt;=30000,"High")</f>
        <v>Medium</v>
      </c>
      <c r="AO842" s="11" t="str">
        <f t="shared" si="70"/>
        <v>No</v>
      </c>
      <c r="AP842" s="11" t="str">
        <f t="shared" si="71"/>
        <v>Yes</v>
      </c>
      <c r="AQ842" s="11">
        <f t="shared" si="72"/>
        <v>0.44603303571428571</v>
      </c>
      <c r="AR842" s="33"/>
      <c r="AS842" s="33"/>
      <c r="AT842" s="33"/>
      <c r="AU842" s="33"/>
      <c r="AV842" s="33"/>
      <c r="AW842" s="33"/>
      <c r="AX842" s="33" t="str">
        <f t="shared" si="73"/>
        <v>Average</v>
      </c>
    </row>
    <row r="843" spans="1:50">
      <c r="A843" s="9" t="s">
        <v>1339</v>
      </c>
      <c r="B843" s="10" t="s">
        <v>1340</v>
      </c>
      <c r="C843" s="11" t="s">
        <v>1341</v>
      </c>
      <c r="D843" s="11" t="s">
        <v>1342</v>
      </c>
      <c r="E843" s="11" t="s">
        <v>55</v>
      </c>
      <c r="F843" s="11" t="s">
        <v>82</v>
      </c>
      <c r="G843" s="11" t="s">
        <v>83</v>
      </c>
      <c r="H843" s="11" t="s">
        <v>58</v>
      </c>
      <c r="I843" s="11" t="s">
        <v>39</v>
      </c>
      <c r="J843" s="11" t="s">
        <v>165</v>
      </c>
      <c r="K843" s="25">
        <v>10</v>
      </c>
      <c r="L843" s="25">
        <v>22000</v>
      </c>
      <c r="M843" s="29">
        <v>0.15</v>
      </c>
      <c r="N843" s="25">
        <v>187000</v>
      </c>
      <c r="O843" s="25">
        <v>130164.81</v>
      </c>
      <c r="P843" s="25">
        <v>56835.19</v>
      </c>
      <c r="Q843" s="21">
        <v>30.39</v>
      </c>
      <c r="R843" s="11" t="s">
        <v>73</v>
      </c>
      <c r="S843" s="11" t="s">
        <v>42</v>
      </c>
      <c r="T843" s="11" t="s">
        <v>43</v>
      </c>
      <c r="U843" s="11" t="s">
        <v>218</v>
      </c>
      <c r="V843" s="11">
        <v>2024</v>
      </c>
      <c r="W843" s="11" t="s">
        <v>126</v>
      </c>
      <c r="X843" s="11">
        <v>7</v>
      </c>
      <c r="Y843" s="10">
        <v>45331</v>
      </c>
      <c r="Z843" s="11" t="s">
        <v>47</v>
      </c>
      <c r="AA843" s="11" t="s">
        <v>48</v>
      </c>
      <c r="AB843" s="11" t="s">
        <v>111</v>
      </c>
      <c r="AC843" s="11" t="s">
        <v>50</v>
      </c>
      <c r="AD843" s="11">
        <v>5</v>
      </c>
      <c r="AE843" s="11" t="s">
        <v>2239</v>
      </c>
      <c r="AF843" s="11" t="s">
        <v>2214</v>
      </c>
      <c r="AG843" s="25"/>
      <c r="AH843" s="11"/>
      <c r="AI843" s="11"/>
      <c r="AJ843" s="11"/>
      <c r="AK843" s="11"/>
      <c r="AL843" s="11"/>
      <c r="AM843" s="11" t="str">
        <f t="shared" si="69"/>
        <v>Good</v>
      </c>
      <c r="AN843" s="11" t="str" cm="1">
        <f t="array" ref="AN843">_xlfn.IFS(N843&lt;10000,"Low",N843&lt;30000,"Medium",N843&gt;=30000,"High")</f>
        <v>High</v>
      </c>
      <c r="AO843" s="11" t="str">
        <f t="shared" si="70"/>
        <v>Yes</v>
      </c>
      <c r="AP843" s="11" t="str">
        <f t="shared" si="71"/>
        <v>Yes</v>
      </c>
      <c r="AQ843" s="11">
        <f t="shared" si="72"/>
        <v>0.30393149732620323</v>
      </c>
      <c r="AR843" s="33"/>
      <c r="AS843" s="33"/>
      <c r="AT843" s="33"/>
      <c r="AU843" s="33"/>
      <c r="AV843" s="33"/>
      <c r="AW843" s="33"/>
      <c r="AX843" s="33" t="str">
        <f t="shared" si="73"/>
        <v>Excellent</v>
      </c>
    </row>
    <row r="844" spans="1:50">
      <c r="A844" s="9" t="s">
        <v>1412</v>
      </c>
      <c r="B844" s="10" t="s">
        <v>1340</v>
      </c>
      <c r="C844" s="11" t="s">
        <v>1413</v>
      </c>
      <c r="D844" s="11" t="s">
        <v>361</v>
      </c>
      <c r="E844" s="11" t="s">
        <v>35</v>
      </c>
      <c r="F844" s="11" t="s">
        <v>245</v>
      </c>
      <c r="G844" s="11" t="s">
        <v>246</v>
      </c>
      <c r="H844" s="11" t="s">
        <v>38</v>
      </c>
      <c r="I844" s="11" t="s">
        <v>95</v>
      </c>
      <c r="J844" s="11" t="s">
        <v>344</v>
      </c>
      <c r="K844" s="25">
        <v>7</v>
      </c>
      <c r="L844" s="25">
        <v>6000</v>
      </c>
      <c r="M844" s="29">
        <v>0.05</v>
      </c>
      <c r="N844" s="25">
        <v>39900</v>
      </c>
      <c r="O844" s="25">
        <v>22698.89</v>
      </c>
      <c r="P844" s="25">
        <v>17201.11</v>
      </c>
      <c r="Q844" s="21">
        <v>43.11</v>
      </c>
      <c r="R844" s="11" t="s">
        <v>61</v>
      </c>
      <c r="S844" s="11" t="s">
        <v>62</v>
      </c>
      <c r="T844" s="11" t="s">
        <v>75</v>
      </c>
      <c r="U844" s="11" t="s">
        <v>218</v>
      </c>
      <c r="V844" s="11">
        <v>2024</v>
      </c>
      <c r="W844" s="11" t="s">
        <v>126</v>
      </c>
      <c r="X844" s="11">
        <v>5</v>
      </c>
      <c r="Y844" s="10" t="s">
        <v>1088</v>
      </c>
      <c r="Z844" s="11" t="s">
        <v>89</v>
      </c>
      <c r="AA844" s="11" t="s">
        <v>90</v>
      </c>
      <c r="AB844" s="11" t="s">
        <v>49</v>
      </c>
      <c r="AC844" s="11" t="s">
        <v>121</v>
      </c>
      <c r="AD844" s="11">
        <v>5</v>
      </c>
      <c r="AE844" s="11" t="s">
        <v>159</v>
      </c>
      <c r="AF844" s="11" t="s">
        <v>2210</v>
      </c>
      <c r="AG844" s="25"/>
      <c r="AH844" s="11"/>
      <c r="AI844" s="11"/>
      <c r="AJ844" s="11"/>
      <c r="AK844" s="11"/>
      <c r="AL844" s="11"/>
      <c r="AM844" s="11" t="str">
        <f t="shared" si="69"/>
        <v>Good</v>
      </c>
      <c r="AN844" s="11" t="str" cm="1">
        <f t="array" ref="AN844">_xlfn.IFS(N844&lt;10000,"Low",N844&lt;30000,"Medium",N844&gt;=30000,"High")</f>
        <v>High</v>
      </c>
      <c r="AO844" s="11" t="str">
        <f t="shared" si="70"/>
        <v>Yes</v>
      </c>
      <c r="AP844" s="11" t="str">
        <f t="shared" si="71"/>
        <v>No</v>
      </c>
      <c r="AQ844" s="11">
        <f t="shared" si="72"/>
        <v>0.43110551378446116</v>
      </c>
      <c r="AR844" s="33"/>
      <c r="AS844" s="33"/>
      <c r="AT844" s="33"/>
      <c r="AU844" s="33"/>
      <c r="AV844" s="33"/>
      <c r="AW844" s="33"/>
      <c r="AX844" s="33" t="str">
        <f t="shared" si="73"/>
        <v>Good</v>
      </c>
    </row>
    <row r="845" spans="1:50">
      <c r="A845" s="9" t="s">
        <v>1686</v>
      </c>
      <c r="B845" s="10" t="s">
        <v>1340</v>
      </c>
      <c r="C845" s="11" t="s">
        <v>1093</v>
      </c>
      <c r="D845" s="11" t="s">
        <v>413</v>
      </c>
      <c r="E845" s="11" t="s">
        <v>35</v>
      </c>
      <c r="F845" s="11" t="s">
        <v>245</v>
      </c>
      <c r="G845" s="11" t="s">
        <v>246</v>
      </c>
      <c r="H845" s="11" t="s">
        <v>58</v>
      </c>
      <c r="I845" s="11" t="s">
        <v>71</v>
      </c>
      <c r="J845" s="11" t="s">
        <v>172</v>
      </c>
      <c r="K845" s="25">
        <v>8</v>
      </c>
      <c r="L845" s="25">
        <v>3500</v>
      </c>
      <c r="M845" s="29">
        <v>0.2</v>
      </c>
      <c r="N845" s="25">
        <v>22400</v>
      </c>
      <c r="O845" s="25">
        <v>13844.24</v>
      </c>
      <c r="P845" s="25">
        <v>8555.76</v>
      </c>
      <c r="Q845" s="21">
        <v>38.200000000000003</v>
      </c>
      <c r="R845" s="11" t="s">
        <v>61</v>
      </c>
      <c r="S845" s="11" t="s">
        <v>42</v>
      </c>
      <c r="T845" s="11" t="s">
        <v>63</v>
      </c>
      <c r="U845" s="11" t="s">
        <v>218</v>
      </c>
      <c r="V845" s="11">
        <v>2024</v>
      </c>
      <c r="W845" s="11" t="s">
        <v>126</v>
      </c>
      <c r="X845" s="11">
        <v>1</v>
      </c>
      <c r="Y845" s="10" t="s">
        <v>1687</v>
      </c>
      <c r="Z845" s="11" t="s">
        <v>110</v>
      </c>
      <c r="AA845" s="11" t="s">
        <v>48</v>
      </c>
      <c r="AB845" s="11" t="s">
        <v>78</v>
      </c>
      <c r="AC845" s="11" t="s">
        <v>121</v>
      </c>
      <c r="AD845" s="11">
        <v>3</v>
      </c>
      <c r="AE845" s="11" t="s">
        <v>2216</v>
      </c>
      <c r="AF845" s="11" t="s">
        <v>2217</v>
      </c>
      <c r="AG845" s="25"/>
      <c r="AH845" s="11"/>
      <c r="AI845" s="11"/>
      <c r="AJ845" s="11"/>
      <c r="AK845" s="11"/>
      <c r="AL845" s="11"/>
      <c r="AM845" s="11" t="str">
        <f t="shared" si="69"/>
        <v>Good</v>
      </c>
      <c r="AN845" s="11" t="str" cm="1">
        <f t="array" ref="AN845">_xlfn.IFS(N845&lt;10000,"Low",N845&lt;30000,"Medium",N845&gt;=30000,"High")</f>
        <v>Medium</v>
      </c>
      <c r="AO845" s="11" t="str">
        <f t="shared" si="70"/>
        <v>No</v>
      </c>
      <c r="AP845" s="11" t="str">
        <f t="shared" si="71"/>
        <v>Yes</v>
      </c>
      <c r="AQ845" s="11">
        <f t="shared" si="72"/>
        <v>0.38195357142857145</v>
      </c>
      <c r="AR845" s="33"/>
      <c r="AS845" s="33"/>
      <c r="AT845" s="33"/>
      <c r="AU845" s="33"/>
      <c r="AV845" s="33"/>
      <c r="AW845" s="33"/>
      <c r="AX845" s="33" t="str">
        <f t="shared" si="73"/>
        <v>Average</v>
      </c>
    </row>
    <row r="846" spans="1:50">
      <c r="A846" s="9" t="s">
        <v>1346</v>
      </c>
      <c r="B846" s="10" t="s">
        <v>1347</v>
      </c>
      <c r="C846" s="11" t="s">
        <v>989</v>
      </c>
      <c r="D846" s="11" t="s">
        <v>379</v>
      </c>
      <c r="E846" s="11" t="s">
        <v>35</v>
      </c>
      <c r="F846" s="11" t="s">
        <v>56</v>
      </c>
      <c r="G846" s="11" t="s">
        <v>57</v>
      </c>
      <c r="H846" s="11" t="s">
        <v>94</v>
      </c>
      <c r="I846" s="11" t="s">
        <v>39</v>
      </c>
      <c r="J846" s="11" t="s">
        <v>165</v>
      </c>
      <c r="K846" s="25">
        <v>10</v>
      </c>
      <c r="L846" s="25">
        <v>15000</v>
      </c>
      <c r="M846" s="29">
        <v>0.15</v>
      </c>
      <c r="N846" s="25">
        <v>127500</v>
      </c>
      <c r="O846" s="25">
        <v>99798.47</v>
      </c>
      <c r="P846" s="25">
        <v>27701.53</v>
      </c>
      <c r="Q846" s="21">
        <v>21.73</v>
      </c>
      <c r="R846" s="11" t="s">
        <v>106</v>
      </c>
      <c r="S846" s="11" t="s">
        <v>42</v>
      </c>
      <c r="T846" s="11" t="s">
        <v>97</v>
      </c>
      <c r="U846" s="11" t="s">
        <v>218</v>
      </c>
      <c r="V846" s="11">
        <v>2025</v>
      </c>
      <c r="W846" s="11" t="s">
        <v>109</v>
      </c>
      <c r="X846" s="11">
        <v>1</v>
      </c>
      <c r="Y846" s="10" t="s">
        <v>892</v>
      </c>
      <c r="Z846" s="11" t="s">
        <v>110</v>
      </c>
      <c r="AA846" s="11" t="s">
        <v>67</v>
      </c>
      <c r="AB846" s="11" t="s">
        <v>78</v>
      </c>
      <c r="AC846" s="11" t="s">
        <v>121</v>
      </c>
      <c r="AD846" s="11">
        <v>1</v>
      </c>
      <c r="AE846" s="11" t="s">
        <v>2216</v>
      </c>
      <c r="AF846" s="11" t="s">
        <v>2223</v>
      </c>
      <c r="AG846" s="25"/>
      <c r="AH846" s="11"/>
      <c r="AI846" s="11"/>
      <c r="AJ846" s="11"/>
      <c r="AK846" s="11"/>
      <c r="AL846" s="11"/>
      <c r="AM846" s="11" t="str">
        <f t="shared" si="69"/>
        <v>Needs Improvement</v>
      </c>
      <c r="AN846" s="11" t="str" cm="1">
        <f t="array" ref="AN846">_xlfn.IFS(N846&lt;10000,"Low",N846&lt;30000,"Medium",N846&gt;=30000,"High")</f>
        <v>High</v>
      </c>
      <c r="AO846" s="11" t="str">
        <f t="shared" si="70"/>
        <v>Yes</v>
      </c>
      <c r="AP846" s="11" t="str">
        <f t="shared" si="71"/>
        <v>Yes</v>
      </c>
      <c r="AQ846" s="11">
        <f t="shared" si="72"/>
        <v>0.2172669019607843</v>
      </c>
      <c r="AR846" s="33"/>
      <c r="AS846" s="33"/>
      <c r="AT846" s="33"/>
      <c r="AU846" s="33"/>
      <c r="AV846" s="33"/>
      <c r="AW846" s="33"/>
      <c r="AX846" s="33" t="str">
        <f t="shared" si="73"/>
        <v>Excellent</v>
      </c>
    </row>
    <row r="847" spans="1:50">
      <c r="A847" s="9" t="s">
        <v>1694</v>
      </c>
      <c r="B847" s="10" t="s">
        <v>1695</v>
      </c>
      <c r="C847" s="11" t="s">
        <v>251</v>
      </c>
      <c r="D847" s="11" t="s">
        <v>821</v>
      </c>
      <c r="E847" s="11" t="s">
        <v>55</v>
      </c>
      <c r="F847" s="11" t="s">
        <v>144</v>
      </c>
      <c r="G847" s="11" t="s">
        <v>145</v>
      </c>
      <c r="H847" s="11" t="s">
        <v>171</v>
      </c>
      <c r="I847" s="11" t="s">
        <v>95</v>
      </c>
      <c r="J847" s="11" t="s">
        <v>344</v>
      </c>
      <c r="K847" s="25">
        <v>4</v>
      </c>
      <c r="L847" s="25">
        <v>6000</v>
      </c>
      <c r="M847" s="29">
        <v>0.05</v>
      </c>
      <c r="N847" s="25">
        <v>22800</v>
      </c>
      <c r="O847" s="25">
        <v>13319.99</v>
      </c>
      <c r="P847" s="25">
        <v>9480.01</v>
      </c>
      <c r="Q847" s="21">
        <v>41.58</v>
      </c>
      <c r="R847" s="11" t="s">
        <v>41</v>
      </c>
      <c r="S847" s="11" t="s">
        <v>42</v>
      </c>
      <c r="T847" s="11" t="s">
        <v>63</v>
      </c>
      <c r="U847" s="11" t="s">
        <v>108</v>
      </c>
      <c r="V847" s="11">
        <v>2024</v>
      </c>
      <c r="W847" s="11" t="s">
        <v>139</v>
      </c>
      <c r="X847" s="11">
        <v>10</v>
      </c>
      <c r="Y847" s="10">
        <v>45453</v>
      </c>
      <c r="Z847" s="11" t="s">
        <v>47</v>
      </c>
      <c r="AA847" s="11" t="s">
        <v>67</v>
      </c>
      <c r="AB847" s="11" t="s">
        <v>111</v>
      </c>
      <c r="AC847" s="11" t="s">
        <v>50</v>
      </c>
      <c r="AD847" s="11">
        <v>2</v>
      </c>
      <c r="AE847" s="11" t="s">
        <v>2229</v>
      </c>
      <c r="AF847" s="11" t="s">
        <v>2235</v>
      </c>
      <c r="AG847" s="25"/>
      <c r="AH847" s="11"/>
      <c r="AI847" s="11"/>
      <c r="AJ847" s="11"/>
      <c r="AK847" s="11"/>
      <c r="AL847" s="11"/>
      <c r="AM847" s="11" t="str">
        <f t="shared" si="69"/>
        <v>Good</v>
      </c>
      <c r="AN847" s="11" t="str" cm="1">
        <f t="array" ref="AN847">_xlfn.IFS(N847&lt;10000,"Low",N847&lt;30000,"Medium",N847&gt;=30000,"High")</f>
        <v>Medium</v>
      </c>
      <c r="AO847" s="11" t="str">
        <f t="shared" si="70"/>
        <v>No</v>
      </c>
      <c r="AP847" s="11" t="str">
        <f t="shared" si="71"/>
        <v>Yes</v>
      </c>
      <c r="AQ847" s="11">
        <f t="shared" si="72"/>
        <v>0.41578991228070178</v>
      </c>
      <c r="AR847" s="33"/>
      <c r="AS847" s="33"/>
      <c r="AT847" s="33"/>
      <c r="AU847" s="33"/>
      <c r="AV847" s="33"/>
      <c r="AW847" s="33"/>
      <c r="AX847" s="33" t="str">
        <f t="shared" si="73"/>
        <v>Average</v>
      </c>
    </row>
    <row r="848" spans="1:50">
      <c r="A848" s="9" t="s">
        <v>840</v>
      </c>
      <c r="B848" s="10" t="s">
        <v>841</v>
      </c>
      <c r="C848" s="11" t="s">
        <v>842</v>
      </c>
      <c r="D848" s="11" t="s">
        <v>843</v>
      </c>
      <c r="E848" s="11" t="s">
        <v>35</v>
      </c>
      <c r="F848" s="11" t="s">
        <v>82</v>
      </c>
      <c r="G848" s="11" t="s">
        <v>83</v>
      </c>
      <c r="H848" s="11" t="s">
        <v>38</v>
      </c>
      <c r="I848" s="11" t="s">
        <v>39</v>
      </c>
      <c r="J848" s="11" t="s">
        <v>105</v>
      </c>
      <c r="K848" s="25">
        <v>8</v>
      </c>
      <c r="L848" s="25">
        <v>15000</v>
      </c>
      <c r="M848" s="29">
        <v>0.2</v>
      </c>
      <c r="N848" s="25">
        <v>96000</v>
      </c>
      <c r="O848" s="25">
        <v>71375.78</v>
      </c>
      <c r="P848" s="25">
        <v>24624.22</v>
      </c>
      <c r="Q848" s="21">
        <v>25.65</v>
      </c>
      <c r="R848" s="11" t="s">
        <v>106</v>
      </c>
      <c r="S848" s="11" t="s">
        <v>62</v>
      </c>
      <c r="T848" s="11" t="s">
        <v>97</v>
      </c>
      <c r="U848" s="11" t="s">
        <v>108</v>
      </c>
      <c r="V848" s="11">
        <v>2025</v>
      </c>
      <c r="W848" s="11" t="s">
        <v>194</v>
      </c>
      <c r="X848" s="11">
        <v>10</v>
      </c>
      <c r="Y848" s="10">
        <v>45818</v>
      </c>
      <c r="Z848" s="11" t="s">
        <v>110</v>
      </c>
      <c r="AA848" s="11" t="s">
        <v>48</v>
      </c>
      <c r="AB848" s="11" t="s">
        <v>78</v>
      </c>
      <c r="AC848" s="11" t="s">
        <v>50</v>
      </c>
      <c r="AD848" s="11">
        <v>1</v>
      </c>
      <c r="AE848" s="11" t="s">
        <v>2239</v>
      </c>
      <c r="AF848" s="11" t="s">
        <v>2224</v>
      </c>
      <c r="AG848" s="25"/>
      <c r="AH848" s="11"/>
      <c r="AI848" s="11"/>
      <c r="AJ848" s="11"/>
      <c r="AK848" s="11"/>
      <c r="AL848" s="11"/>
      <c r="AM848" s="11" t="str">
        <f t="shared" si="69"/>
        <v>Needs Improvement</v>
      </c>
      <c r="AN848" s="11" t="str" cm="1">
        <f t="array" ref="AN848">_xlfn.IFS(N848&lt;10000,"Low",N848&lt;30000,"Medium",N848&gt;=30000,"High")</f>
        <v>High</v>
      </c>
      <c r="AO848" s="11" t="str">
        <f t="shared" si="70"/>
        <v>Yes</v>
      </c>
      <c r="AP848" s="11" t="str">
        <f t="shared" si="71"/>
        <v>No</v>
      </c>
      <c r="AQ848" s="11">
        <f t="shared" si="72"/>
        <v>0.25650229166666666</v>
      </c>
      <c r="AR848" s="33"/>
      <c r="AS848" s="33"/>
      <c r="AT848" s="33"/>
      <c r="AU848" s="33"/>
      <c r="AV848" s="33"/>
      <c r="AW848" s="33"/>
      <c r="AX848" s="33" t="str">
        <f t="shared" si="73"/>
        <v>Excellent</v>
      </c>
    </row>
    <row r="849" spans="1:50">
      <c r="A849" s="9" t="s">
        <v>2057</v>
      </c>
      <c r="B849" s="10" t="s">
        <v>841</v>
      </c>
      <c r="C849" s="11" t="s">
        <v>1085</v>
      </c>
      <c r="D849" s="11" t="s">
        <v>1187</v>
      </c>
      <c r="E849" s="11" t="s">
        <v>55</v>
      </c>
      <c r="F849" s="11" t="s">
        <v>104</v>
      </c>
      <c r="G849" s="11" t="s">
        <v>104</v>
      </c>
      <c r="H849" s="11" t="s">
        <v>38</v>
      </c>
      <c r="I849" s="11" t="s">
        <v>84</v>
      </c>
      <c r="J849" s="11" t="s">
        <v>390</v>
      </c>
      <c r="K849" s="25">
        <v>6</v>
      </c>
      <c r="L849" s="25">
        <v>500</v>
      </c>
      <c r="M849" s="29">
        <v>0.15</v>
      </c>
      <c r="N849" s="25">
        <v>2550</v>
      </c>
      <c r="O849" s="25">
        <v>1794.39</v>
      </c>
      <c r="P849" s="25">
        <v>755.61</v>
      </c>
      <c r="Q849" s="21">
        <v>29.63</v>
      </c>
      <c r="R849" s="11" t="s">
        <v>61</v>
      </c>
      <c r="S849" s="11" t="s">
        <v>62</v>
      </c>
      <c r="T849" s="11" t="s">
        <v>159</v>
      </c>
      <c r="U849" s="11" t="s">
        <v>108</v>
      </c>
      <c r="V849" s="11">
        <v>2025</v>
      </c>
      <c r="W849" s="11" t="s">
        <v>194</v>
      </c>
      <c r="X849" s="11">
        <v>6</v>
      </c>
      <c r="Y849" s="10">
        <v>45698</v>
      </c>
      <c r="Z849" s="11" t="s">
        <v>110</v>
      </c>
      <c r="AA849" s="11" t="s">
        <v>67</v>
      </c>
      <c r="AB849" s="11" t="s">
        <v>49</v>
      </c>
      <c r="AC849" s="11" t="s">
        <v>50</v>
      </c>
      <c r="AD849" s="11">
        <v>4</v>
      </c>
      <c r="AE849" s="11" t="s">
        <v>2209</v>
      </c>
      <c r="AF849" s="11" t="s">
        <v>2222</v>
      </c>
      <c r="AG849" s="25"/>
      <c r="AH849" s="11"/>
      <c r="AI849" s="11"/>
      <c r="AJ849" s="11"/>
      <c r="AK849" s="11"/>
      <c r="AL849" s="11"/>
      <c r="AM849" s="11" t="str">
        <f t="shared" si="69"/>
        <v>Needs Improvement</v>
      </c>
      <c r="AN849" s="11" t="str" cm="1">
        <f t="array" ref="AN849">_xlfn.IFS(N849&lt;10000,"Low",N849&lt;30000,"Medium",N849&gt;=30000,"High")</f>
        <v>Low</v>
      </c>
      <c r="AO849" s="11" t="str">
        <f t="shared" si="70"/>
        <v>No</v>
      </c>
      <c r="AP849" s="11" t="str">
        <f t="shared" si="71"/>
        <v>No</v>
      </c>
      <c r="AQ849" s="11">
        <f t="shared" si="72"/>
        <v>0.29631764705882352</v>
      </c>
      <c r="AR849" s="33"/>
      <c r="AS849" s="33"/>
      <c r="AT849" s="33"/>
      <c r="AU849" s="33"/>
      <c r="AV849" s="33"/>
      <c r="AW849" s="33"/>
      <c r="AX849" s="33" t="str">
        <f t="shared" si="73"/>
        <v>Low</v>
      </c>
    </row>
    <row r="850" spans="1:50">
      <c r="A850" s="9" t="s">
        <v>1318</v>
      </c>
      <c r="B850" s="10" t="s">
        <v>1319</v>
      </c>
      <c r="C850" s="11" t="s">
        <v>360</v>
      </c>
      <c r="D850" s="11" t="s">
        <v>170</v>
      </c>
      <c r="E850" s="11" t="s">
        <v>55</v>
      </c>
      <c r="F850" s="11" t="s">
        <v>36</v>
      </c>
      <c r="G850" s="11" t="s">
        <v>37</v>
      </c>
      <c r="H850" s="11" t="s">
        <v>171</v>
      </c>
      <c r="I850" s="11" t="s">
        <v>95</v>
      </c>
      <c r="J850" s="11" t="s">
        <v>344</v>
      </c>
      <c r="K850" s="25">
        <v>4</v>
      </c>
      <c r="L850" s="25">
        <v>6000</v>
      </c>
      <c r="M850" s="29">
        <v>0.05</v>
      </c>
      <c r="N850" s="25">
        <v>22800</v>
      </c>
      <c r="O850" s="25">
        <v>15608.09</v>
      </c>
      <c r="P850" s="25">
        <v>7191.91</v>
      </c>
      <c r="Q850" s="21">
        <v>31.54</v>
      </c>
      <c r="R850" s="11" t="s">
        <v>73</v>
      </c>
      <c r="S850" s="11" t="s">
        <v>74</v>
      </c>
      <c r="T850" s="11" t="s">
        <v>86</v>
      </c>
      <c r="U850" s="11" t="s">
        <v>87</v>
      </c>
      <c r="V850" s="11">
        <v>2024</v>
      </c>
      <c r="W850" s="11" t="s">
        <v>65</v>
      </c>
      <c r="X850" s="11">
        <v>8</v>
      </c>
      <c r="Y850" s="10">
        <v>45362</v>
      </c>
      <c r="Z850" s="11" t="s">
        <v>89</v>
      </c>
      <c r="AA850" s="11" t="s">
        <v>67</v>
      </c>
      <c r="AB850" s="11" t="s">
        <v>78</v>
      </c>
      <c r="AC850" s="11" t="s">
        <v>121</v>
      </c>
      <c r="AD850" s="11">
        <v>2</v>
      </c>
      <c r="AE850" s="11" t="s">
        <v>2233</v>
      </c>
      <c r="AF850" s="11" t="s">
        <v>2235</v>
      </c>
      <c r="AG850" s="25"/>
      <c r="AH850" s="11"/>
      <c r="AI850" s="11"/>
      <c r="AJ850" s="11"/>
      <c r="AK850" s="11"/>
      <c r="AL850" s="11"/>
      <c r="AM850" s="11" t="str">
        <f t="shared" si="69"/>
        <v>Good</v>
      </c>
      <c r="AN850" s="11" t="str" cm="1">
        <f t="array" ref="AN850">_xlfn.IFS(N850&lt;10000,"Low",N850&lt;30000,"Medium",N850&gt;=30000,"High")</f>
        <v>Medium</v>
      </c>
      <c r="AO850" s="11" t="str">
        <f t="shared" si="70"/>
        <v>No</v>
      </c>
      <c r="AP850" s="11" t="str">
        <f t="shared" si="71"/>
        <v>Yes</v>
      </c>
      <c r="AQ850" s="11">
        <f t="shared" si="72"/>
        <v>0.315434649122807</v>
      </c>
      <c r="AR850" s="33"/>
      <c r="AS850" s="33"/>
      <c r="AT850" s="33"/>
      <c r="AU850" s="33"/>
      <c r="AV850" s="33"/>
      <c r="AW850" s="33"/>
      <c r="AX850" s="33" t="str">
        <f t="shared" si="73"/>
        <v>Average</v>
      </c>
    </row>
    <row r="851" spans="1:50">
      <c r="A851" s="9" t="s">
        <v>1752</v>
      </c>
      <c r="B851" s="10" t="s">
        <v>1319</v>
      </c>
      <c r="C851" s="11" t="s">
        <v>1215</v>
      </c>
      <c r="D851" s="11" t="s">
        <v>364</v>
      </c>
      <c r="E851" s="11" t="s">
        <v>55</v>
      </c>
      <c r="F851" s="11" t="s">
        <v>56</v>
      </c>
      <c r="G851" s="11" t="s">
        <v>57</v>
      </c>
      <c r="H851" s="11" t="s">
        <v>38</v>
      </c>
      <c r="I851" s="11" t="s">
        <v>84</v>
      </c>
      <c r="J851" s="11" t="s">
        <v>85</v>
      </c>
      <c r="K851" s="25">
        <v>3</v>
      </c>
      <c r="L851" s="25">
        <v>200</v>
      </c>
      <c r="M851" s="29">
        <v>0.2</v>
      </c>
      <c r="N851" s="25">
        <v>480</v>
      </c>
      <c r="O851" s="25">
        <v>346.52</v>
      </c>
      <c r="P851" s="25">
        <v>133.47999999999999</v>
      </c>
      <c r="Q851" s="21">
        <v>27.81</v>
      </c>
      <c r="R851" s="11" t="s">
        <v>41</v>
      </c>
      <c r="S851" s="11" t="s">
        <v>74</v>
      </c>
      <c r="T851" s="11" t="s">
        <v>159</v>
      </c>
      <c r="U851" s="11" t="s">
        <v>87</v>
      </c>
      <c r="V851" s="11">
        <v>2024</v>
      </c>
      <c r="W851" s="11" t="s">
        <v>65</v>
      </c>
      <c r="X851" s="11">
        <v>7</v>
      </c>
      <c r="Y851" s="10">
        <v>45333</v>
      </c>
      <c r="Z851" s="11" t="s">
        <v>47</v>
      </c>
      <c r="AA851" s="11" t="s">
        <v>67</v>
      </c>
      <c r="AB851" s="11" t="s">
        <v>111</v>
      </c>
      <c r="AC851" s="11" t="s">
        <v>50</v>
      </c>
      <c r="AD851" s="11">
        <v>4</v>
      </c>
      <c r="AE851" s="11" t="s">
        <v>86</v>
      </c>
      <c r="AF851" s="11" t="s">
        <v>2249</v>
      </c>
      <c r="AG851" s="25"/>
      <c r="AH851" s="11"/>
      <c r="AI851" s="11"/>
      <c r="AJ851" s="11"/>
      <c r="AK851" s="11"/>
      <c r="AL851" s="11"/>
      <c r="AM851" s="11" t="str">
        <f t="shared" si="69"/>
        <v>Needs Improvement</v>
      </c>
      <c r="AN851" s="11" t="str" cm="1">
        <f t="array" ref="AN851">_xlfn.IFS(N851&lt;10000,"Low",N851&lt;30000,"Medium",N851&gt;=30000,"High")</f>
        <v>Low</v>
      </c>
      <c r="AO851" s="11" t="str">
        <f t="shared" si="70"/>
        <v>No</v>
      </c>
      <c r="AP851" s="11" t="str">
        <f t="shared" si="71"/>
        <v>Yes</v>
      </c>
      <c r="AQ851" s="11">
        <f t="shared" si="72"/>
        <v>0.27808333333333329</v>
      </c>
      <c r="AR851" s="33"/>
      <c r="AS851" s="33"/>
      <c r="AT851" s="33"/>
      <c r="AU851" s="33"/>
      <c r="AV851" s="33"/>
      <c r="AW851" s="33"/>
      <c r="AX851" s="33" t="str">
        <f t="shared" si="73"/>
        <v>Low</v>
      </c>
    </row>
    <row r="852" spans="1:50">
      <c r="A852" s="9" t="s">
        <v>1807</v>
      </c>
      <c r="B852" s="10" t="s">
        <v>1319</v>
      </c>
      <c r="C852" s="11" t="s">
        <v>277</v>
      </c>
      <c r="D852" s="11" t="s">
        <v>672</v>
      </c>
      <c r="E852" s="11" t="s">
        <v>103</v>
      </c>
      <c r="F852" s="11" t="s">
        <v>149</v>
      </c>
      <c r="G852" s="11" t="s">
        <v>150</v>
      </c>
      <c r="H852" s="11" t="s">
        <v>171</v>
      </c>
      <c r="I852" s="11" t="s">
        <v>59</v>
      </c>
      <c r="J852" s="11" t="s">
        <v>206</v>
      </c>
      <c r="K852" s="25">
        <v>1</v>
      </c>
      <c r="L852" s="25">
        <v>1200</v>
      </c>
      <c r="M852" s="29">
        <v>0</v>
      </c>
      <c r="N852" s="25">
        <v>1200</v>
      </c>
      <c r="O852" s="25">
        <v>896.21</v>
      </c>
      <c r="P852" s="25">
        <v>303.79000000000002</v>
      </c>
      <c r="Q852" s="21">
        <v>25.32</v>
      </c>
      <c r="R852" s="11" t="s">
        <v>61</v>
      </c>
      <c r="S852" s="11" t="s">
        <v>74</v>
      </c>
      <c r="T852" s="11" t="s">
        <v>159</v>
      </c>
      <c r="U852" s="11" t="s">
        <v>87</v>
      </c>
      <c r="V852" s="11">
        <v>2024</v>
      </c>
      <c r="W852" s="11" t="s">
        <v>65</v>
      </c>
      <c r="X852" s="11">
        <v>7</v>
      </c>
      <c r="Y852" s="10">
        <v>45333</v>
      </c>
      <c r="Z852" s="11" t="s">
        <v>47</v>
      </c>
      <c r="AA852" s="11" t="s">
        <v>67</v>
      </c>
      <c r="AB852" s="11" t="s">
        <v>49</v>
      </c>
      <c r="AC852" s="11" t="s">
        <v>50</v>
      </c>
      <c r="AD852" s="11">
        <v>4</v>
      </c>
      <c r="AE852" s="11" t="s">
        <v>159</v>
      </c>
      <c r="AF852" s="11" t="s">
        <v>2217</v>
      </c>
      <c r="AG852" s="25"/>
      <c r="AH852" s="11"/>
      <c r="AI852" s="11"/>
      <c r="AJ852" s="11"/>
      <c r="AK852" s="11"/>
      <c r="AL852" s="11"/>
      <c r="AM852" s="11" t="str">
        <f t="shared" si="69"/>
        <v>Needs Improvement</v>
      </c>
      <c r="AN852" s="11" t="str" cm="1">
        <f t="array" ref="AN852">_xlfn.IFS(N852&lt;10000,"Low",N852&lt;30000,"Medium",N852&gt;=30000,"High")</f>
        <v>Low</v>
      </c>
      <c r="AO852" s="11" t="str">
        <f t="shared" si="70"/>
        <v>No</v>
      </c>
      <c r="AP852" s="11" t="str">
        <f t="shared" si="71"/>
        <v>Yes</v>
      </c>
      <c r="AQ852" s="11">
        <f t="shared" si="72"/>
        <v>0.25315833333333337</v>
      </c>
      <c r="AR852" s="33"/>
      <c r="AS852" s="33"/>
      <c r="AT852" s="33"/>
      <c r="AU852" s="33"/>
      <c r="AV852" s="33"/>
      <c r="AW852" s="33"/>
      <c r="AX852" s="33" t="str">
        <f t="shared" si="73"/>
        <v>Low</v>
      </c>
    </row>
    <row r="853" spans="1:50">
      <c r="A853" s="9" t="s">
        <v>1830</v>
      </c>
      <c r="B853" s="10" t="s">
        <v>1319</v>
      </c>
      <c r="C853" s="11" t="s">
        <v>919</v>
      </c>
      <c r="D853" s="11" t="s">
        <v>732</v>
      </c>
      <c r="E853" s="11" t="s">
        <v>55</v>
      </c>
      <c r="F853" s="11" t="s">
        <v>149</v>
      </c>
      <c r="G853" s="11" t="s">
        <v>150</v>
      </c>
      <c r="H853" s="11" t="s">
        <v>58</v>
      </c>
      <c r="I853" s="11" t="s">
        <v>84</v>
      </c>
      <c r="J853" s="11" t="s">
        <v>229</v>
      </c>
      <c r="K853" s="25">
        <v>3</v>
      </c>
      <c r="L853" s="25">
        <v>500</v>
      </c>
      <c r="M853" s="29">
        <v>0.05</v>
      </c>
      <c r="N853" s="25">
        <v>1425</v>
      </c>
      <c r="O853" s="25">
        <v>951.17</v>
      </c>
      <c r="P853" s="25">
        <v>473.83</v>
      </c>
      <c r="Q853" s="21">
        <v>33.25</v>
      </c>
      <c r="R853" s="11" t="s">
        <v>61</v>
      </c>
      <c r="S853" s="11" t="s">
        <v>42</v>
      </c>
      <c r="T853" s="11" t="s">
        <v>138</v>
      </c>
      <c r="U853" s="11" t="s">
        <v>87</v>
      </c>
      <c r="V853" s="11">
        <v>2024</v>
      </c>
      <c r="W853" s="11" t="s">
        <v>65</v>
      </c>
      <c r="X853" s="11">
        <v>7</v>
      </c>
      <c r="Y853" s="10">
        <v>45333</v>
      </c>
      <c r="Z853" s="11" t="s">
        <v>110</v>
      </c>
      <c r="AA853" s="11" t="s">
        <v>48</v>
      </c>
      <c r="AB853" s="11" t="s">
        <v>78</v>
      </c>
      <c r="AC853" s="11" t="s">
        <v>50</v>
      </c>
      <c r="AD853" s="11">
        <v>4</v>
      </c>
      <c r="AE853" s="11" t="s">
        <v>2220</v>
      </c>
      <c r="AF853" s="11" t="s">
        <v>2231</v>
      </c>
      <c r="AG853" s="25"/>
      <c r="AH853" s="11"/>
      <c r="AI853" s="11"/>
      <c r="AJ853" s="11"/>
      <c r="AK853" s="11"/>
      <c r="AL853" s="11"/>
      <c r="AM853" s="11" t="str">
        <f t="shared" si="69"/>
        <v>Good</v>
      </c>
      <c r="AN853" s="11" t="str" cm="1">
        <f t="array" ref="AN853">_xlfn.IFS(N853&lt;10000,"Low",N853&lt;30000,"Medium",N853&gt;=30000,"High")</f>
        <v>Low</v>
      </c>
      <c r="AO853" s="11" t="str">
        <f t="shared" si="70"/>
        <v>No</v>
      </c>
      <c r="AP853" s="11" t="str">
        <f t="shared" si="71"/>
        <v>Yes</v>
      </c>
      <c r="AQ853" s="11">
        <f t="shared" si="72"/>
        <v>0.33251228070175437</v>
      </c>
      <c r="AR853" s="33"/>
      <c r="AS853" s="33"/>
      <c r="AT853" s="33"/>
      <c r="AU853" s="33"/>
      <c r="AV853" s="33"/>
      <c r="AW853" s="33"/>
      <c r="AX853" s="33" t="str">
        <f t="shared" si="73"/>
        <v>Low</v>
      </c>
    </row>
    <row r="854" spans="1:50">
      <c r="A854" s="9" t="s">
        <v>1712</v>
      </c>
      <c r="B854" s="10" t="s">
        <v>1713</v>
      </c>
      <c r="C854" s="11" t="s">
        <v>655</v>
      </c>
      <c r="D854" s="11" t="s">
        <v>1714</v>
      </c>
      <c r="E854" s="11" t="s">
        <v>55</v>
      </c>
      <c r="F854" s="11" t="s">
        <v>82</v>
      </c>
      <c r="G854" s="11" t="s">
        <v>83</v>
      </c>
      <c r="H854" s="11" t="s">
        <v>171</v>
      </c>
      <c r="I854" s="11" t="s">
        <v>84</v>
      </c>
      <c r="J854" s="11" t="s">
        <v>217</v>
      </c>
      <c r="K854" s="25">
        <v>7</v>
      </c>
      <c r="L854" s="25">
        <v>800</v>
      </c>
      <c r="M854" s="29">
        <v>0</v>
      </c>
      <c r="N854" s="25">
        <v>5600</v>
      </c>
      <c r="O854" s="25">
        <v>4394.43</v>
      </c>
      <c r="P854" s="25">
        <v>1205.57</v>
      </c>
      <c r="Q854" s="21">
        <v>21.53</v>
      </c>
      <c r="R854" s="11" t="s">
        <v>61</v>
      </c>
      <c r="S854" s="11" t="s">
        <v>42</v>
      </c>
      <c r="T854" s="11" t="s">
        <v>173</v>
      </c>
      <c r="U854" s="11" t="s">
        <v>198</v>
      </c>
      <c r="V854" s="11">
        <v>2024</v>
      </c>
      <c r="W854" s="11" t="s">
        <v>109</v>
      </c>
      <c r="X854" s="11">
        <v>2</v>
      </c>
      <c r="Y854" s="10" t="s">
        <v>405</v>
      </c>
      <c r="Z854" s="11" t="s">
        <v>47</v>
      </c>
      <c r="AA854" s="11" t="s">
        <v>90</v>
      </c>
      <c r="AB854" s="11" t="s">
        <v>78</v>
      </c>
      <c r="AC854" s="11" t="s">
        <v>50</v>
      </c>
      <c r="AD854" s="11">
        <v>2</v>
      </c>
      <c r="AE854" s="11" t="s">
        <v>2248</v>
      </c>
      <c r="AF854" s="11" t="s">
        <v>2223</v>
      </c>
      <c r="AG854" s="25"/>
      <c r="AH854" s="11"/>
      <c r="AI854" s="11"/>
      <c r="AJ854" s="11"/>
      <c r="AK854" s="11"/>
      <c r="AL854" s="11"/>
      <c r="AM854" s="11" t="str">
        <f t="shared" si="69"/>
        <v>Needs Improvement</v>
      </c>
      <c r="AN854" s="11" t="str" cm="1">
        <f t="array" ref="AN854">_xlfn.IFS(N854&lt;10000,"Low",N854&lt;30000,"Medium",N854&gt;=30000,"High")</f>
        <v>Low</v>
      </c>
      <c r="AO854" s="11" t="str">
        <f t="shared" si="70"/>
        <v>No</v>
      </c>
      <c r="AP854" s="11" t="str">
        <f t="shared" si="71"/>
        <v>Yes</v>
      </c>
      <c r="AQ854" s="11">
        <f t="shared" si="72"/>
        <v>0.21528035714285712</v>
      </c>
      <c r="AR854" s="33"/>
      <c r="AS854" s="33"/>
      <c r="AT854" s="33"/>
      <c r="AU854" s="33"/>
      <c r="AV854" s="33"/>
      <c r="AW854" s="33"/>
      <c r="AX854" s="33" t="str">
        <f t="shared" si="73"/>
        <v>Low</v>
      </c>
    </row>
    <row r="855" spans="1:50">
      <c r="A855" s="9" t="s">
        <v>1607</v>
      </c>
      <c r="B855" s="10" t="s">
        <v>352</v>
      </c>
      <c r="C855" s="11" t="s">
        <v>1145</v>
      </c>
      <c r="D855" s="11" t="s">
        <v>1162</v>
      </c>
      <c r="E855" s="11" t="s">
        <v>55</v>
      </c>
      <c r="F855" s="11" t="s">
        <v>116</v>
      </c>
      <c r="G855" s="11" t="s">
        <v>37</v>
      </c>
      <c r="H855" s="11" t="s">
        <v>38</v>
      </c>
      <c r="I855" s="11" t="s">
        <v>59</v>
      </c>
      <c r="J855" s="11" t="s">
        <v>60</v>
      </c>
      <c r="K855" s="25">
        <v>3</v>
      </c>
      <c r="L855" s="25">
        <v>3000</v>
      </c>
      <c r="M855" s="29">
        <v>0.15</v>
      </c>
      <c r="N855" s="25">
        <v>7650</v>
      </c>
      <c r="O855" s="25">
        <v>4494.97</v>
      </c>
      <c r="P855" s="25">
        <v>3155.03</v>
      </c>
      <c r="Q855" s="21">
        <v>41.24</v>
      </c>
      <c r="R855" s="11" t="s">
        <v>61</v>
      </c>
      <c r="S855" s="11" t="s">
        <v>62</v>
      </c>
      <c r="T855" s="11" t="s">
        <v>173</v>
      </c>
      <c r="U855" s="11" t="s">
        <v>198</v>
      </c>
      <c r="V855" s="11">
        <v>2025</v>
      </c>
      <c r="W855" s="11" t="s">
        <v>134</v>
      </c>
      <c r="X855" s="11">
        <v>6</v>
      </c>
      <c r="Y855" s="10">
        <v>45700</v>
      </c>
      <c r="Z855" s="11" t="s">
        <v>89</v>
      </c>
      <c r="AA855" s="11" t="s">
        <v>67</v>
      </c>
      <c r="AB855" s="11" t="s">
        <v>111</v>
      </c>
      <c r="AC855" s="11" t="s">
        <v>50</v>
      </c>
      <c r="AD855" s="11">
        <v>5</v>
      </c>
      <c r="AE855" s="11" t="s">
        <v>2225</v>
      </c>
      <c r="AF855" s="11" t="s">
        <v>2222</v>
      </c>
      <c r="AG855" s="25"/>
      <c r="AH855" s="11"/>
      <c r="AI855" s="11"/>
      <c r="AJ855" s="11"/>
      <c r="AK855" s="11"/>
      <c r="AL855" s="11"/>
      <c r="AM855" s="11" t="str">
        <f t="shared" si="69"/>
        <v>Good</v>
      </c>
      <c r="AN855" s="11" t="str" cm="1">
        <f t="array" ref="AN855">_xlfn.IFS(N855&lt;10000,"Low",N855&lt;30000,"Medium",N855&gt;=30000,"High")</f>
        <v>Low</v>
      </c>
      <c r="AO855" s="11" t="str">
        <f t="shared" si="70"/>
        <v>No</v>
      </c>
      <c r="AP855" s="11" t="str">
        <f t="shared" si="71"/>
        <v>No</v>
      </c>
      <c r="AQ855" s="11">
        <f t="shared" si="72"/>
        <v>0.41242222222222225</v>
      </c>
      <c r="AR855" s="33"/>
      <c r="AS855" s="33"/>
      <c r="AT855" s="33"/>
      <c r="AU855" s="33"/>
      <c r="AV855" s="33"/>
      <c r="AW855" s="33"/>
      <c r="AX855" s="33" t="str">
        <f t="shared" si="73"/>
        <v>Low</v>
      </c>
    </row>
    <row r="856" spans="1:50">
      <c r="A856" s="9" t="s">
        <v>230</v>
      </c>
      <c r="B856" s="10" t="s">
        <v>231</v>
      </c>
      <c r="C856" s="11" t="s">
        <v>232</v>
      </c>
      <c r="D856" s="11" t="s">
        <v>177</v>
      </c>
      <c r="E856" s="11" t="s">
        <v>103</v>
      </c>
      <c r="F856" s="11" t="s">
        <v>144</v>
      </c>
      <c r="G856" s="11" t="s">
        <v>145</v>
      </c>
      <c r="H856" s="11" t="s">
        <v>38</v>
      </c>
      <c r="I856" s="11" t="s">
        <v>39</v>
      </c>
      <c r="J856" s="11" t="s">
        <v>165</v>
      </c>
      <c r="K856" s="25">
        <v>7</v>
      </c>
      <c r="L856" s="25">
        <v>22000</v>
      </c>
      <c r="M856" s="29">
        <v>0</v>
      </c>
      <c r="N856" s="25">
        <v>154000</v>
      </c>
      <c r="O856" s="25">
        <v>120186.37</v>
      </c>
      <c r="P856" s="25">
        <v>33813.629999999997</v>
      </c>
      <c r="Q856" s="21">
        <v>21.96</v>
      </c>
      <c r="R856" s="11" t="s">
        <v>166</v>
      </c>
      <c r="S856" s="11" t="s">
        <v>74</v>
      </c>
      <c r="T856" s="11" t="s">
        <v>159</v>
      </c>
      <c r="U856" s="11" t="s">
        <v>64</v>
      </c>
      <c r="V856" s="11">
        <v>2024</v>
      </c>
      <c r="W856" s="11" t="s">
        <v>139</v>
      </c>
      <c r="X856" s="11">
        <v>5</v>
      </c>
      <c r="Y856" s="10" t="s">
        <v>233</v>
      </c>
      <c r="Z856" s="11" t="s">
        <v>110</v>
      </c>
      <c r="AA856" s="11" t="s">
        <v>67</v>
      </c>
      <c r="AB856" s="11" t="s">
        <v>78</v>
      </c>
      <c r="AC856" s="11" t="s">
        <v>121</v>
      </c>
      <c r="AD856" s="11">
        <v>4</v>
      </c>
      <c r="AE856" s="11" t="s">
        <v>2240</v>
      </c>
      <c r="AF856" s="11" t="s">
        <v>2214</v>
      </c>
      <c r="AG856" s="25"/>
      <c r="AH856" s="11"/>
      <c r="AI856" s="11"/>
      <c r="AJ856" s="11"/>
      <c r="AK856" s="11"/>
      <c r="AL856" s="11"/>
      <c r="AM856" s="11" t="str">
        <f t="shared" si="69"/>
        <v>Needs Improvement</v>
      </c>
      <c r="AN856" s="11" t="str" cm="1">
        <f t="array" ref="AN856">_xlfn.IFS(N856&lt;10000,"Low",N856&lt;30000,"Medium",N856&gt;=30000,"High")</f>
        <v>High</v>
      </c>
      <c r="AO856" s="11" t="str">
        <f t="shared" si="70"/>
        <v>Yes</v>
      </c>
      <c r="AP856" s="11" t="str">
        <f t="shared" si="71"/>
        <v>Yes</v>
      </c>
      <c r="AQ856" s="11">
        <f t="shared" si="72"/>
        <v>0.21956902597402594</v>
      </c>
      <c r="AR856" s="33"/>
      <c r="AS856" s="33"/>
      <c r="AT856" s="33"/>
      <c r="AU856" s="33"/>
      <c r="AV856" s="33"/>
      <c r="AW856" s="33"/>
      <c r="AX856" s="33" t="str">
        <f t="shared" si="73"/>
        <v>Excellent</v>
      </c>
    </row>
    <row r="857" spans="1:50">
      <c r="A857" s="9" t="s">
        <v>595</v>
      </c>
      <c r="B857" s="10" t="s">
        <v>231</v>
      </c>
      <c r="C857" s="11" t="s">
        <v>596</v>
      </c>
      <c r="D857" s="11" t="s">
        <v>597</v>
      </c>
      <c r="E857" s="11" t="s">
        <v>103</v>
      </c>
      <c r="F857" s="11" t="s">
        <v>82</v>
      </c>
      <c r="G857" s="11" t="s">
        <v>83</v>
      </c>
      <c r="H857" s="11" t="s">
        <v>58</v>
      </c>
      <c r="I857" s="11" t="s">
        <v>84</v>
      </c>
      <c r="J857" s="11" t="s">
        <v>290</v>
      </c>
      <c r="K857" s="25">
        <v>8</v>
      </c>
      <c r="L857" s="25">
        <v>500</v>
      </c>
      <c r="M857" s="29">
        <v>0.05</v>
      </c>
      <c r="N857" s="25">
        <v>3800</v>
      </c>
      <c r="O857" s="25">
        <v>2829.04</v>
      </c>
      <c r="P857" s="25">
        <v>970.96</v>
      </c>
      <c r="Q857" s="21">
        <v>25.55</v>
      </c>
      <c r="R857" s="11" t="s">
        <v>41</v>
      </c>
      <c r="S857" s="11" t="s">
        <v>74</v>
      </c>
      <c r="T857" s="11" t="s">
        <v>173</v>
      </c>
      <c r="U857" s="11" t="s">
        <v>64</v>
      </c>
      <c r="V857" s="11">
        <v>2024</v>
      </c>
      <c r="W857" s="11" t="s">
        <v>139</v>
      </c>
      <c r="X857" s="11">
        <v>3</v>
      </c>
      <c r="Y857" s="10" t="s">
        <v>598</v>
      </c>
      <c r="Z857" s="11" t="s">
        <v>47</v>
      </c>
      <c r="AA857" s="11" t="s">
        <v>48</v>
      </c>
      <c r="AB857" s="11" t="s">
        <v>49</v>
      </c>
      <c r="AC857" s="11" t="s">
        <v>121</v>
      </c>
      <c r="AD857" s="11">
        <v>4</v>
      </c>
      <c r="AE857" s="11" t="s">
        <v>2248</v>
      </c>
      <c r="AF857" s="11" t="s">
        <v>2230</v>
      </c>
      <c r="AG857" s="25"/>
      <c r="AH857" s="11"/>
      <c r="AI857" s="11"/>
      <c r="AJ857" s="11"/>
      <c r="AK857" s="11"/>
      <c r="AL857" s="11"/>
      <c r="AM857" s="11" t="str">
        <f t="shared" si="69"/>
        <v>Needs Improvement</v>
      </c>
      <c r="AN857" s="11" t="str" cm="1">
        <f t="array" ref="AN857">_xlfn.IFS(N857&lt;10000,"Low",N857&lt;30000,"Medium",N857&gt;=30000,"High")</f>
        <v>Low</v>
      </c>
      <c r="AO857" s="11" t="str">
        <f t="shared" si="70"/>
        <v>No</v>
      </c>
      <c r="AP857" s="11" t="str">
        <f t="shared" si="71"/>
        <v>Yes</v>
      </c>
      <c r="AQ857" s="11">
        <f t="shared" si="72"/>
        <v>0.2555157894736842</v>
      </c>
      <c r="AR857" s="33"/>
      <c r="AS857" s="33"/>
      <c r="AT857" s="33"/>
      <c r="AU857" s="33"/>
      <c r="AV857" s="33"/>
      <c r="AW857" s="33"/>
      <c r="AX857" s="33" t="str">
        <f t="shared" si="73"/>
        <v>Low</v>
      </c>
    </row>
    <row r="858" spans="1:50">
      <c r="A858" s="9" t="s">
        <v>1622</v>
      </c>
      <c r="B858" s="10" t="s">
        <v>231</v>
      </c>
      <c r="C858" s="11" t="s">
        <v>612</v>
      </c>
      <c r="D858" s="11" t="s">
        <v>225</v>
      </c>
      <c r="E858" s="11" t="s">
        <v>103</v>
      </c>
      <c r="F858" s="11" t="s">
        <v>131</v>
      </c>
      <c r="G858" s="11" t="s">
        <v>132</v>
      </c>
      <c r="H858" s="11" t="s">
        <v>171</v>
      </c>
      <c r="I858" s="11" t="s">
        <v>71</v>
      </c>
      <c r="J858" s="11" t="s">
        <v>172</v>
      </c>
      <c r="K858" s="25">
        <v>2</v>
      </c>
      <c r="L858" s="25">
        <v>1200</v>
      </c>
      <c r="M858" s="29">
        <v>0.05</v>
      </c>
      <c r="N858" s="25">
        <v>2280</v>
      </c>
      <c r="O858" s="25">
        <v>1536.86</v>
      </c>
      <c r="P858" s="25">
        <v>743.14</v>
      </c>
      <c r="Q858" s="21">
        <v>32.590000000000003</v>
      </c>
      <c r="R858" s="11" t="s">
        <v>166</v>
      </c>
      <c r="S858" s="11" t="s">
        <v>74</v>
      </c>
      <c r="T858" s="11" t="s">
        <v>138</v>
      </c>
      <c r="U858" s="11" t="s">
        <v>64</v>
      </c>
      <c r="V858" s="11">
        <v>2024</v>
      </c>
      <c r="W858" s="11" t="s">
        <v>139</v>
      </c>
      <c r="X858" s="11">
        <v>10</v>
      </c>
      <c r="Y858" s="10">
        <v>45778</v>
      </c>
      <c r="Z858" s="11" t="s">
        <v>47</v>
      </c>
      <c r="AA858" s="11" t="s">
        <v>67</v>
      </c>
      <c r="AB858" s="11" t="s">
        <v>78</v>
      </c>
      <c r="AC858" s="11" t="s">
        <v>121</v>
      </c>
      <c r="AD858" s="11">
        <v>5</v>
      </c>
      <c r="AE858" s="11" t="s">
        <v>2225</v>
      </c>
      <c r="AF858" s="11" t="s">
        <v>2238</v>
      </c>
      <c r="AG858" s="25"/>
      <c r="AH858" s="11"/>
      <c r="AI858" s="11"/>
      <c r="AJ858" s="11"/>
      <c r="AK858" s="11"/>
      <c r="AL858" s="11"/>
      <c r="AM858" s="11" t="str">
        <f t="shared" si="69"/>
        <v>Good</v>
      </c>
      <c r="AN858" s="11" t="str" cm="1">
        <f t="array" ref="AN858">_xlfn.IFS(N858&lt;10000,"Low",N858&lt;30000,"Medium",N858&gt;=30000,"High")</f>
        <v>Low</v>
      </c>
      <c r="AO858" s="11" t="str">
        <f t="shared" si="70"/>
        <v>No</v>
      </c>
      <c r="AP858" s="11" t="str">
        <f t="shared" si="71"/>
        <v>Yes</v>
      </c>
      <c r="AQ858" s="11">
        <f t="shared" si="72"/>
        <v>0.32593859649122808</v>
      </c>
      <c r="AR858" s="33"/>
      <c r="AS858" s="33"/>
      <c r="AT858" s="33"/>
      <c r="AU858" s="33"/>
      <c r="AV858" s="33"/>
      <c r="AW858" s="33"/>
      <c r="AX858" s="33" t="str">
        <f t="shared" si="73"/>
        <v>Low</v>
      </c>
    </row>
    <row r="859" spans="1:50">
      <c r="A859" s="9" t="s">
        <v>1573</v>
      </c>
      <c r="B859" s="10" t="s">
        <v>140</v>
      </c>
      <c r="C859" s="11" t="s">
        <v>1574</v>
      </c>
      <c r="D859" s="11" t="s">
        <v>917</v>
      </c>
      <c r="E859" s="11" t="s">
        <v>55</v>
      </c>
      <c r="F859" s="11" t="s">
        <v>116</v>
      </c>
      <c r="G859" s="11" t="s">
        <v>37</v>
      </c>
      <c r="H859" s="11" t="s">
        <v>38</v>
      </c>
      <c r="I859" s="11" t="s">
        <v>84</v>
      </c>
      <c r="J859" s="11" t="s">
        <v>290</v>
      </c>
      <c r="K859" s="25">
        <v>4</v>
      </c>
      <c r="L859" s="25">
        <v>100</v>
      </c>
      <c r="M859" s="29">
        <v>0.1</v>
      </c>
      <c r="N859" s="25">
        <v>360</v>
      </c>
      <c r="O859" s="25">
        <v>243.4</v>
      </c>
      <c r="P859" s="25">
        <v>116.6</v>
      </c>
      <c r="Q859" s="21">
        <v>32.39</v>
      </c>
      <c r="R859" s="11" t="s">
        <v>61</v>
      </c>
      <c r="S859" s="11" t="s">
        <v>74</v>
      </c>
      <c r="T859" s="11" t="s">
        <v>86</v>
      </c>
      <c r="U859" s="11" t="s">
        <v>64</v>
      </c>
      <c r="V859" s="11">
        <v>2025</v>
      </c>
      <c r="W859" s="11" t="s">
        <v>194</v>
      </c>
      <c r="X859" s="11">
        <v>9</v>
      </c>
      <c r="Y859" s="10">
        <v>46113</v>
      </c>
      <c r="Z859" s="11" t="s">
        <v>47</v>
      </c>
      <c r="AA859" s="11" t="s">
        <v>48</v>
      </c>
      <c r="AB859" s="11" t="s">
        <v>111</v>
      </c>
      <c r="AC859" s="11" t="s">
        <v>50</v>
      </c>
      <c r="AD859" s="11">
        <v>4</v>
      </c>
      <c r="AE859" s="11" t="s">
        <v>2221</v>
      </c>
      <c r="AF859" s="11" t="s">
        <v>2210</v>
      </c>
      <c r="AG859" s="25"/>
      <c r="AH859" s="11"/>
      <c r="AI859" s="11"/>
      <c r="AJ859" s="11"/>
      <c r="AK859" s="11"/>
      <c r="AL859" s="11"/>
      <c r="AM859" s="11" t="str">
        <f t="shared" si="69"/>
        <v>Good</v>
      </c>
      <c r="AN859" s="11" t="str" cm="1">
        <f t="array" ref="AN859">_xlfn.IFS(N859&lt;10000,"Low",N859&lt;30000,"Medium",N859&gt;=30000,"High")</f>
        <v>Low</v>
      </c>
      <c r="AO859" s="11" t="str">
        <f t="shared" si="70"/>
        <v>No</v>
      </c>
      <c r="AP859" s="11" t="str">
        <f t="shared" si="71"/>
        <v>Yes</v>
      </c>
      <c r="AQ859" s="11">
        <f t="shared" si="72"/>
        <v>0.32388888888888889</v>
      </c>
      <c r="AR859" s="33"/>
      <c r="AS859" s="33"/>
      <c r="AT859" s="33"/>
      <c r="AU859" s="33"/>
      <c r="AV859" s="33"/>
      <c r="AW859" s="33"/>
      <c r="AX859" s="33" t="str">
        <f t="shared" si="73"/>
        <v>Low</v>
      </c>
    </row>
    <row r="860" spans="1:50">
      <c r="A860" s="9" t="s">
        <v>1783</v>
      </c>
      <c r="B860" s="10" t="s">
        <v>1784</v>
      </c>
      <c r="C860" s="11" t="s">
        <v>1142</v>
      </c>
      <c r="D860" s="11" t="s">
        <v>684</v>
      </c>
      <c r="E860" s="11" t="s">
        <v>55</v>
      </c>
      <c r="F860" s="11" t="s">
        <v>156</v>
      </c>
      <c r="G860" s="11" t="s">
        <v>157</v>
      </c>
      <c r="H860" s="11" t="s">
        <v>58</v>
      </c>
      <c r="I860" s="11" t="s">
        <v>84</v>
      </c>
      <c r="J860" s="11" t="s">
        <v>229</v>
      </c>
      <c r="K860" s="25">
        <v>10</v>
      </c>
      <c r="L860" s="25">
        <v>350</v>
      </c>
      <c r="M860" s="29">
        <v>0</v>
      </c>
      <c r="N860" s="25">
        <v>3500</v>
      </c>
      <c r="O860" s="25">
        <v>2764.94</v>
      </c>
      <c r="P860" s="25">
        <v>735.06</v>
      </c>
      <c r="Q860" s="21">
        <v>21</v>
      </c>
      <c r="R860" s="11" t="s">
        <v>41</v>
      </c>
      <c r="S860" s="11" t="s">
        <v>62</v>
      </c>
      <c r="T860" s="11" t="s">
        <v>63</v>
      </c>
      <c r="U860" s="11" t="s">
        <v>76</v>
      </c>
      <c r="V860" s="11">
        <v>2024</v>
      </c>
      <c r="W860" s="11" t="s">
        <v>65</v>
      </c>
      <c r="X860" s="11">
        <v>6</v>
      </c>
      <c r="Y860" s="10">
        <v>45324</v>
      </c>
      <c r="Z860" s="11" t="s">
        <v>47</v>
      </c>
      <c r="AA860" s="11" t="s">
        <v>48</v>
      </c>
      <c r="AB860" s="11" t="s">
        <v>111</v>
      </c>
      <c r="AC860" s="11" t="s">
        <v>121</v>
      </c>
      <c r="AD860" s="11">
        <v>2</v>
      </c>
      <c r="AE860" s="11" t="s">
        <v>2233</v>
      </c>
      <c r="AF860" s="11" t="s">
        <v>2230</v>
      </c>
      <c r="AG860" s="25"/>
      <c r="AH860" s="11"/>
      <c r="AI860" s="11"/>
      <c r="AJ860" s="11"/>
      <c r="AK860" s="11"/>
      <c r="AL860" s="11"/>
      <c r="AM860" s="11" t="str">
        <f t="shared" si="69"/>
        <v>Needs Improvement</v>
      </c>
      <c r="AN860" s="11" t="str" cm="1">
        <f t="array" ref="AN860">_xlfn.IFS(N860&lt;10000,"Low",N860&lt;30000,"Medium",N860&gt;=30000,"High")</f>
        <v>Low</v>
      </c>
      <c r="AO860" s="11" t="str">
        <f t="shared" si="70"/>
        <v>No</v>
      </c>
      <c r="AP860" s="11" t="str">
        <f t="shared" si="71"/>
        <v>No</v>
      </c>
      <c r="AQ860" s="11">
        <f t="shared" si="72"/>
        <v>0.21001714285714285</v>
      </c>
      <c r="AR860" s="33"/>
      <c r="AS860" s="33"/>
      <c r="AT860" s="33"/>
      <c r="AU860" s="33"/>
      <c r="AV860" s="33"/>
      <c r="AW860" s="33"/>
      <c r="AX860" s="33" t="str">
        <f t="shared" si="73"/>
        <v>Low</v>
      </c>
    </row>
    <row r="861" spans="1:50">
      <c r="A861" s="9" t="s">
        <v>376</v>
      </c>
      <c r="B861" s="10" t="s">
        <v>377</v>
      </c>
      <c r="C861" s="11" t="s">
        <v>378</v>
      </c>
      <c r="D861" s="11" t="s">
        <v>379</v>
      </c>
      <c r="E861" s="11" t="s">
        <v>55</v>
      </c>
      <c r="F861" s="11" t="s">
        <v>36</v>
      </c>
      <c r="G861" s="11" t="s">
        <v>37</v>
      </c>
      <c r="H861" s="11" t="s">
        <v>171</v>
      </c>
      <c r="I861" s="11" t="s">
        <v>59</v>
      </c>
      <c r="J861" s="11" t="s">
        <v>206</v>
      </c>
      <c r="K861" s="25">
        <v>7</v>
      </c>
      <c r="L861" s="25">
        <v>2000</v>
      </c>
      <c r="M861" s="29">
        <v>0.05</v>
      </c>
      <c r="N861" s="25">
        <v>13300</v>
      </c>
      <c r="O861" s="25">
        <v>8746.84</v>
      </c>
      <c r="P861" s="25">
        <v>4553.16</v>
      </c>
      <c r="Q861" s="21">
        <v>34.229999999999997</v>
      </c>
      <c r="R861" s="11" t="s">
        <v>61</v>
      </c>
      <c r="S861" s="11" t="s">
        <v>74</v>
      </c>
      <c r="T861" s="11" t="s">
        <v>138</v>
      </c>
      <c r="U861" s="11" t="s">
        <v>98</v>
      </c>
      <c r="V861" s="11">
        <v>2025</v>
      </c>
      <c r="W861" s="11" t="s">
        <v>139</v>
      </c>
      <c r="X861" s="11">
        <v>6</v>
      </c>
      <c r="Y861" s="10">
        <v>45780</v>
      </c>
      <c r="Z861" s="11" t="s">
        <v>110</v>
      </c>
      <c r="AA861" s="11" t="s">
        <v>90</v>
      </c>
      <c r="AB861" s="11" t="s">
        <v>49</v>
      </c>
      <c r="AC861" s="11" t="s">
        <v>121</v>
      </c>
      <c r="AD861" s="11">
        <v>1</v>
      </c>
      <c r="AE861" s="11" t="s">
        <v>2216</v>
      </c>
      <c r="AF861" s="11" t="s">
        <v>2223</v>
      </c>
      <c r="AG861" s="25"/>
      <c r="AH861" s="11"/>
      <c r="AI861" s="11"/>
      <c r="AJ861" s="11"/>
      <c r="AK861" s="11"/>
      <c r="AL861" s="11"/>
      <c r="AM861" s="11" t="str">
        <f t="shared" si="69"/>
        <v>Good</v>
      </c>
      <c r="AN861" s="11" t="str" cm="1">
        <f t="array" ref="AN861">_xlfn.IFS(N861&lt;10000,"Low",N861&lt;30000,"Medium",N861&gt;=30000,"High")</f>
        <v>Medium</v>
      </c>
      <c r="AO861" s="11" t="str">
        <f t="shared" si="70"/>
        <v>No</v>
      </c>
      <c r="AP861" s="11" t="str">
        <f t="shared" si="71"/>
        <v>Yes</v>
      </c>
      <c r="AQ861" s="11">
        <f t="shared" si="72"/>
        <v>0.34234285714285712</v>
      </c>
      <c r="AR861" s="33"/>
      <c r="AS861" s="33"/>
      <c r="AT861" s="33"/>
      <c r="AU861" s="33"/>
      <c r="AV861" s="33"/>
      <c r="AW861" s="33"/>
      <c r="AX861" s="33" t="str">
        <f t="shared" si="73"/>
        <v>Low</v>
      </c>
    </row>
    <row r="862" spans="1:50">
      <c r="A862" s="9" t="s">
        <v>537</v>
      </c>
      <c r="B862" s="10" t="s">
        <v>377</v>
      </c>
      <c r="C862" s="11" t="s">
        <v>538</v>
      </c>
      <c r="D862" s="11" t="s">
        <v>539</v>
      </c>
      <c r="E862" s="11" t="s">
        <v>35</v>
      </c>
      <c r="F862" s="11" t="s">
        <v>104</v>
      </c>
      <c r="G862" s="11" t="s">
        <v>104</v>
      </c>
      <c r="H862" s="11" t="s">
        <v>94</v>
      </c>
      <c r="I862" s="11" t="s">
        <v>59</v>
      </c>
      <c r="J862" s="11" t="s">
        <v>206</v>
      </c>
      <c r="K862" s="25">
        <v>4</v>
      </c>
      <c r="L862" s="25">
        <v>500</v>
      </c>
      <c r="M862" s="29">
        <v>0</v>
      </c>
      <c r="N862" s="25">
        <v>2000</v>
      </c>
      <c r="O862" s="25">
        <v>1154.29</v>
      </c>
      <c r="P862" s="25">
        <v>845.71</v>
      </c>
      <c r="Q862" s="21">
        <v>42.29</v>
      </c>
      <c r="R862" s="11" t="s">
        <v>166</v>
      </c>
      <c r="S862" s="11" t="s">
        <v>62</v>
      </c>
      <c r="T862" s="11" t="s">
        <v>86</v>
      </c>
      <c r="U862" s="11" t="s">
        <v>98</v>
      </c>
      <c r="V862" s="11">
        <v>2025</v>
      </c>
      <c r="W862" s="11" t="s">
        <v>139</v>
      </c>
      <c r="X862" s="11">
        <v>6</v>
      </c>
      <c r="Y862" s="10">
        <v>45780</v>
      </c>
      <c r="Z862" s="11" t="s">
        <v>110</v>
      </c>
      <c r="AA862" s="11" t="s">
        <v>67</v>
      </c>
      <c r="AB862" s="11" t="s">
        <v>78</v>
      </c>
      <c r="AC862" s="11" t="s">
        <v>50</v>
      </c>
      <c r="AD862" s="11">
        <v>1</v>
      </c>
      <c r="AE862" s="11" t="s">
        <v>2232</v>
      </c>
      <c r="AF862" s="11" t="s">
        <v>2210</v>
      </c>
      <c r="AG862" s="25"/>
      <c r="AH862" s="11"/>
      <c r="AI862" s="11"/>
      <c r="AJ862" s="11"/>
      <c r="AK862" s="11"/>
      <c r="AL862" s="11"/>
      <c r="AM862" s="11" t="str">
        <f t="shared" si="69"/>
        <v>Good</v>
      </c>
      <c r="AN862" s="11" t="str" cm="1">
        <f t="array" ref="AN862">_xlfn.IFS(N862&lt;10000,"Low",N862&lt;30000,"Medium",N862&gt;=30000,"High")</f>
        <v>Low</v>
      </c>
      <c r="AO862" s="11" t="str">
        <f t="shared" si="70"/>
        <v>No</v>
      </c>
      <c r="AP862" s="11" t="str">
        <f t="shared" si="71"/>
        <v>No</v>
      </c>
      <c r="AQ862" s="11">
        <f t="shared" si="72"/>
        <v>0.42285500000000004</v>
      </c>
      <c r="AR862" s="33"/>
      <c r="AS862" s="33"/>
      <c r="AT862" s="33"/>
      <c r="AU862" s="33"/>
      <c r="AV862" s="33"/>
      <c r="AW862" s="33"/>
      <c r="AX862" s="33" t="str">
        <f t="shared" si="73"/>
        <v>Low</v>
      </c>
    </row>
    <row r="863" spans="1:50">
      <c r="A863" s="9" t="s">
        <v>764</v>
      </c>
      <c r="B863" s="10" t="s">
        <v>377</v>
      </c>
      <c r="C863" s="11" t="s">
        <v>739</v>
      </c>
      <c r="D863" s="11" t="s">
        <v>653</v>
      </c>
      <c r="E863" s="11" t="s">
        <v>103</v>
      </c>
      <c r="F863" s="11" t="s">
        <v>104</v>
      </c>
      <c r="G863" s="11" t="s">
        <v>104</v>
      </c>
      <c r="H863" s="11" t="s">
        <v>94</v>
      </c>
      <c r="I863" s="11" t="s">
        <v>95</v>
      </c>
      <c r="J863" s="11" t="s">
        <v>344</v>
      </c>
      <c r="K863" s="25">
        <v>2</v>
      </c>
      <c r="L863" s="25">
        <v>6000</v>
      </c>
      <c r="M863" s="29">
        <v>0.2</v>
      </c>
      <c r="N863" s="25">
        <v>9600</v>
      </c>
      <c r="O863" s="25">
        <v>6714.94</v>
      </c>
      <c r="P863" s="25">
        <v>2885.06</v>
      </c>
      <c r="Q863" s="21">
        <v>30.05</v>
      </c>
      <c r="R863" s="11" t="s">
        <v>41</v>
      </c>
      <c r="S863" s="11" t="s">
        <v>74</v>
      </c>
      <c r="T863" s="11" t="s">
        <v>138</v>
      </c>
      <c r="U863" s="11" t="s">
        <v>98</v>
      </c>
      <c r="V863" s="11">
        <v>2025</v>
      </c>
      <c r="W863" s="11" t="s">
        <v>139</v>
      </c>
      <c r="X863" s="11">
        <v>10</v>
      </c>
      <c r="Y863" s="10">
        <v>45903</v>
      </c>
      <c r="Z863" s="11" t="s">
        <v>47</v>
      </c>
      <c r="AA863" s="11" t="s">
        <v>67</v>
      </c>
      <c r="AB863" s="11" t="s">
        <v>49</v>
      </c>
      <c r="AC863" s="11" t="s">
        <v>50</v>
      </c>
      <c r="AD863" s="11">
        <v>1</v>
      </c>
      <c r="AE863" s="11" t="s">
        <v>2227</v>
      </c>
      <c r="AF863" s="11" t="s">
        <v>2223</v>
      </c>
      <c r="AG863" s="25"/>
      <c r="AH863" s="11"/>
      <c r="AI863" s="11"/>
      <c r="AJ863" s="11"/>
      <c r="AK863" s="11"/>
      <c r="AL863" s="11"/>
      <c r="AM863" s="11" t="str">
        <f t="shared" si="69"/>
        <v>Good</v>
      </c>
      <c r="AN863" s="11" t="str" cm="1">
        <f t="array" ref="AN863">_xlfn.IFS(N863&lt;10000,"Low",N863&lt;30000,"Medium",N863&gt;=30000,"High")</f>
        <v>Low</v>
      </c>
      <c r="AO863" s="11" t="str">
        <f t="shared" si="70"/>
        <v>No</v>
      </c>
      <c r="AP863" s="11" t="str">
        <f t="shared" si="71"/>
        <v>Yes</v>
      </c>
      <c r="AQ863" s="11">
        <f t="shared" si="72"/>
        <v>0.30052708333333333</v>
      </c>
      <c r="AR863" s="33"/>
      <c r="AS863" s="33"/>
      <c r="AT863" s="33"/>
      <c r="AU863" s="33"/>
      <c r="AV863" s="33"/>
      <c r="AW863" s="33"/>
      <c r="AX863" s="33" t="str">
        <f t="shared" si="73"/>
        <v>Low</v>
      </c>
    </row>
    <row r="864" spans="1:50">
      <c r="A864" s="9" t="s">
        <v>1264</v>
      </c>
      <c r="B864" s="10" t="s">
        <v>721</v>
      </c>
      <c r="C864" s="11" t="s">
        <v>1265</v>
      </c>
      <c r="D864" s="11" t="s">
        <v>387</v>
      </c>
      <c r="E864" s="11" t="s">
        <v>35</v>
      </c>
      <c r="F864" s="11" t="s">
        <v>116</v>
      </c>
      <c r="G864" s="11" t="s">
        <v>37</v>
      </c>
      <c r="H864" s="11" t="s">
        <v>58</v>
      </c>
      <c r="I864" s="11" t="s">
        <v>95</v>
      </c>
      <c r="J864" s="11" t="s">
        <v>96</v>
      </c>
      <c r="K864" s="25">
        <v>6</v>
      </c>
      <c r="L864" s="25">
        <v>6000</v>
      </c>
      <c r="M864" s="29">
        <v>0.05</v>
      </c>
      <c r="N864" s="25">
        <v>34200</v>
      </c>
      <c r="O864" s="25">
        <v>20489.57</v>
      </c>
      <c r="P864" s="25">
        <v>13710.43</v>
      </c>
      <c r="Q864" s="21">
        <v>40.090000000000003</v>
      </c>
      <c r="R864" s="11" t="s">
        <v>41</v>
      </c>
      <c r="S864" s="11" t="s">
        <v>42</v>
      </c>
      <c r="T864" s="11" t="s">
        <v>63</v>
      </c>
      <c r="U864" s="11" t="s">
        <v>178</v>
      </c>
      <c r="V864" s="11">
        <v>2024</v>
      </c>
      <c r="W864" s="11" t="s">
        <v>134</v>
      </c>
      <c r="X864" s="11">
        <v>7</v>
      </c>
      <c r="Y864" s="10">
        <v>45355</v>
      </c>
      <c r="Z864" s="11" t="s">
        <v>47</v>
      </c>
      <c r="AA864" s="11" t="s">
        <v>48</v>
      </c>
      <c r="AB864" s="11" t="s">
        <v>49</v>
      </c>
      <c r="AC864" s="11" t="s">
        <v>121</v>
      </c>
      <c r="AD864" s="11">
        <v>4</v>
      </c>
      <c r="AE864" s="11" t="s">
        <v>2229</v>
      </c>
      <c r="AF864" s="11" t="s">
        <v>2212</v>
      </c>
      <c r="AG864" s="25"/>
      <c r="AH864" s="11"/>
      <c r="AI864" s="11"/>
      <c r="AJ864" s="11"/>
      <c r="AK864" s="11"/>
      <c r="AL864" s="11"/>
      <c r="AM864" s="11" t="str">
        <f t="shared" si="69"/>
        <v>Good</v>
      </c>
      <c r="AN864" s="11" t="str" cm="1">
        <f t="array" ref="AN864">_xlfn.IFS(N864&lt;10000,"Low",N864&lt;30000,"Medium",N864&gt;=30000,"High")</f>
        <v>High</v>
      </c>
      <c r="AO864" s="11" t="str">
        <f t="shared" si="70"/>
        <v>Yes</v>
      </c>
      <c r="AP864" s="11" t="str">
        <f t="shared" si="71"/>
        <v>Yes</v>
      </c>
      <c r="AQ864" s="11">
        <f t="shared" si="72"/>
        <v>0.40088976608187138</v>
      </c>
      <c r="AR864" s="33"/>
      <c r="AS864" s="33"/>
      <c r="AT864" s="33"/>
      <c r="AU864" s="33"/>
      <c r="AV864" s="33"/>
      <c r="AW864" s="33"/>
      <c r="AX864" s="33" t="str">
        <f t="shared" si="73"/>
        <v>Good</v>
      </c>
    </row>
    <row r="865" spans="1:50">
      <c r="A865" s="9" t="s">
        <v>1525</v>
      </c>
      <c r="B865" s="10" t="s">
        <v>721</v>
      </c>
      <c r="C865" s="11" t="s">
        <v>645</v>
      </c>
      <c r="D865" s="11" t="s">
        <v>1328</v>
      </c>
      <c r="E865" s="11" t="s">
        <v>103</v>
      </c>
      <c r="F865" s="11" t="s">
        <v>82</v>
      </c>
      <c r="G865" s="11" t="s">
        <v>83</v>
      </c>
      <c r="H865" s="11" t="s">
        <v>38</v>
      </c>
      <c r="I865" s="11" t="s">
        <v>39</v>
      </c>
      <c r="J865" s="11" t="s">
        <v>165</v>
      </c>
      <c r="K865" s="25">
        <v>6</v>
      </c>
      <c r="L865" s="25">
        <v>8000</v>
      </c>
      <c r="M865" s="29">
        <v>0.1</v>
      </c>
      <c r="N865" s="25">
        <v>43200</v>
      </c>
      <c r="O865" s="25">
        <v>25522.47</v>
      </c>
      <c r="P865" s="25">
        <v>17677.53</v>
      </c>
      <c r="Q865" s="21">
        <v>40.92</v>
      </c>
      <c r="R865" s="11" t="s">
        <v>166</v>
      </c>
      <c r="S865" s="11" t="s">
        <v>74</v>
      </c>
      <c r="T865" s="11" t="s">
        <v>159</v>
      </c>
      <c r="U865" s="11" t="s">
        <v>178</v>
      </c>
      <c r="V865" s="11">
        <v>2024</v>
      </c>
      <c r="W865" s="11" t="s">
        <v>134</v>
      </c>
      <c r="X865" s="11">
        <v>1</v>
      </c>
      <c r="Y865" s="10" t="s">
        <v>882</v>
      </c>
      <c r="Z865" s="11" t="s">
        <v>89</v>
      </c>
      <c r="AA865" s="11" t="s">
        <v>48</v>
      </c>
      <c r="AB865" s="11" t="s">
        <v>78</v>
      </c>
      <c r="AC865" s="11" t="s">
        <v>50</v>
      </c>
      <c r="AD865" s="11">
        <v>1</v>
      </c>
      <c r="AE865" s="11" t="s">
        <v>2227</v>
      </c>
      <c r="AF865" s="11" t="s">
        <v>2236</v>
      </c>
      <c r="AG865" s="25"/>
      <c r="AH865" s="11"/>
      <c r="AI865" s="11"/>
      <c r="AJ865" s="11"/>
      <c r="AK865" s="11"/>
      <c r="AL865" s="11"/>
      <c r="AM865" s="11" t="str">
        <f t="shared" si="69"/>
        <v>Good</v>
      </c>
      <c r="AN865" s="11" t="str" cm="1">
        <f t="array" ref="AN865">_xlfn.IFS(N865&lt;10000,"Low",N865&lt;30000,"Medium",N865&gt;=30000,"High")</f>
        <v>High</v>
      </c>
      <c r="AO865" s="11" t="str">
        <f t="shared" si="70"/>
        <v>Yes</v>
      </c>
      <c r="AP865" s="11" t="str">
        <f t="shared" si="71"/>
        <v>Yes</v>
      </c>
      <c r="AQ865" s="11">
        <f t="shared" si="72"/>
        <v>0.4092020833333333</v>
      </c>
      <c r="AR865" s="33"/>
      <c r="AS865" s="33"/>
      <c r="AT865" s="33"/>
      <c r="AU865" s="33"/>
      <c r="AV865" s="33"/>
      <c r="AW865" s="33"/>
      <c r="AX865" s="33" t="str">
        <f t="shared" si="73"/>
        <v>Good</v>
      </c>
    </row>
    <row r="866" spans="1:50">
      <c r="A866" s="9" t="s">
        <v>1909</v>
      </c>
      <c r="B866" s="10" t="s">
        <v>721</v>
      </c>
      <c r="C866" s="11" t="s">
        <v>846</v>
      </c>
      <c r="D866" s="11" t="s">
        <v>1127</v>
      </c>
      <c r="E866" s="11" t="s">
        <v>103</v>
      </c>
      <c r="F866" s="11" t="s">
        <v>156</v>
      </c>
      <c r="G866" s="11" t="s">
        <v>157</v>
      </c>
      <c r="H866" s="11" t="s">
        <v>171</v>
      </c>
      <c r="I866" s="11" t="s">
        <v>59</v>
      </c>
      <c r="J866" s="11" t="s">
        <v>328</v>
      </c>
      <c r="K866" s="25">
        <v>7</v>
      </c>
      <c r="L866" s="25">
        <v>500</v>
      </c>
      <c r="M866" s="29">
        <v>0.2</v>
      </c>
      <c r="N866" s="25">
        <v>2800</v>
      </c>
      <c r="O866" s="25">
        <v>1819.36</v>
      </c>
      <c r="P866" s="25">
        <v>980.64</v>
      </c>
      <c r="Q866" s="21">
        <v>35.020000000000003</v>
      </c>
      <c r="R866" s="11" t="s">
        <v>61</v>
      </c>
      <c r="S866" s="11" t="s">
        <v>42</v>
      </c>
      <c r="T866" s="11" t="s">
        <v>63</v>
      </c>
      <c r="U866" s="11" t="s">
        <v>178</v>
      </c>
      <c r="V866" s="11">
        <v>2024</v>
      </c>
      <c r="W866" s="11" t="s">
        <v>134</v>
      </c>
      <c r="X866" s="11">
        <v>3</v>
      </c>
      <c r="Y866" s="10" t="s">
        <v>1188</v>
      </c>
      <c r="Z866" s="11" t="s">
        <v>47</v>
      </c>
      <c r="AA866" s="11" t="s">
        <v>67</v>
      </c>
      <c r="AB866" s="11" t="s">
        <v>78</v>
      </c>
      <c r="AC866" s="11" t="s">
        <v>50</v>
      </c>
      <c r="AD866" s="11">
        <v>5</v>
      </c>
      <c r="AE866" s="11" t="s">
        <v>2225</v>
      </c>
      <c r="AF866" s="11" t="s">
        <v>2219</v>
      </c>
      <c r="AG866" s="25"/>
      <c r="AH866" s="11"/>
      <c r="AI866" s="11"/>
      <c r="AJ866" s="11"/>
      <c r="AK866" s="11"/>
      <c r="AL866" s="11"/>
      <c r="AM866" s="11" t="str">
        <f t="shared" si="69"/>
        <v>Good</v>
      </c>
      <c r="AN866" s="11" t="str" cm="1">
        <f t="array" ref="AN866">_xlfn.IFS(N866&lt;10000,"Low",N866&lt;30000,"Medium",N866&gt;=30000,"High")</f>
        <v>Low</v>
      </c>
      <c r="AO866" s="11" t="str">
        <f t="shared" si="70"/>
        <v>No</v>
      </c>
      <c r="AP866" s="11" t="str">
        <f t="shared" si="71"/>
        <v>Yes</v>
      </c>
      <c r="AQ866" s="11">
        <f t="shared" si="72"/>
        <v>0.35022857142857144</v>
      </c>
      <c r="AR866" s="33"/>
      <c r="AS866" s="33"/>
      <c r="AT866" s="33"/>
      <c r="AU866" s="33"/>
      <c r="AV866" s="33"/>
      <c r="AW866" s="33"/>
      <c r="AX866" s="33" t="str">
        <f t="shared" si="73"/>
        <v>Low</v>
      </c>
    </row>
    <row r="867" spans="1:50">
      <c r="A867" s="9" t="s">
        <v>275</v>
      </c>
      <c r="B867" s="10" t="s">
        <v>276</v>
      </c>
      <c r="C867" s="11" t="s">
        <v>277</v>
      </c>
      <c r="D867" s="11" t="s">
        <v>278</v>
      </c>
      <c r="E867" s="11" t="s">
        <v>35</v>
      </c>
      <c r="F867" s="11" t="s">
        <v>36</v>
      </c>
      <c r="G867" s="11" t="s">
        <v>37</v>
      </c>
      <c r="H867" s="11" t="s">
        <v>94</v>
      </c>
      <c r="I867" s="11" t="s">
        <v>39</v>
      </c>
      <c r="J867" s="11" t="s">
        <v>165</v>
      </c>
      <c r="K867" s="25">
        <v>5</v>
      </c>
      <c r="L867" s="25">
        <v>22000</v>
      </c>
      <c r="M867" s="29">
        <v>0.15</v>
      </c>
      <c r="N867" s="25">
        <v>93500</v>
      </c>
      <c r="O867" s="25">
        <v>75798.990000000005</v>
      </c>
      <c r="P867" s="25">
        <v>17701.009999999998</v>
      </c>
      <c r="Q867" s="21">
        <v>18.93</v>
      </c>
      <c r="R867" s="11" t="s">
        <v>166</v>
      </c>
      <c r="S867" s="11" t="s">
        <v>74</v>
      </c>
      <c r="T867" s="11" t="s">
        <v>63</v>
      </c>
      <c r="U867" s="11" t="s">
        <v>178</v>
      </c>
      <c r="V867" s="11">
        <v>2025</v>
      </c>
      <c r="W867" s="11" t="s">
        <v>139</v>
      </c>
      <c r="X867" s="11">
        <v>6</v>
      </c>
      <c r="Y867" s="10">
        <v>45692</v>
      </c>
      <c r="Z867" s="11" t="s">
        <v>47</v>
      </c>
      <c r="AA867" s="11" t="s">
        <v>48</v>
      </c>
      <c r="AB867" s="11" t="s">
        <v>111</v>
      </c>
      <c r="AC867" s="11" t="s">
        <v>121</v>
      </c>
      <c r="AD867" s="11">
        <v>2</v>
      </c>
      <c r="AE867" s="11" t="s">
        <v>2220</v>
      </c>
      <c r="AF867" s="11" t="s">
        <v>2224</v>
      </c>
      <c r="AG867" s="25"/>
      <c r="AH867" s="11"/>
      <c r="AI867" s="11"/>
      <c r="AJ867" s="11"/>
      <c r="AK867" s="11"/>
      <c r="AL867" s="11"/>
      <c r="AM867" s="11" t="str">
        <f t="shared" si="69"/>
        <v>Needs Improvement</v>
      </c>
      <c r="AN867" s="11" t="str" cm="1">
        <f t="array" ref="AN867">_xlfn.IFS(N867&lt;10000,"Low",N867&lt;30000,"Medium",N867&gt;=30000,"High")</f>
        <v>High</v>
      </c>
      <c r="AO867" s="11" t="str">
        <f t="shared" si="70"/>
        <v>Yes</v>
      </c>
      <c r="AP867" s="11" t="str">
        <f t="shared" si="71"/>
        <v>Yes</v>
      </c>
      <c r="AQ867" s="11">
        <f t="shared" si="72"/>
        <v>0.18931561497326202</v>
      </c>
      <c r="AR867" s="33"/>
      <c r="AS867" s="33"/>
      <c r="AT867" s="33"/>
      <c r="AU867" s="33"/>
      <c r="AV867" s="33"/>
      <c r="AW867" s="33"/>
      <c r="AX867" s="33" t="str">
        <f t="shared" si="73"/>
        <v>Good</v>
      </c>
    </row>
    <row r="868" spans="1:50">
      <c r="A868" s="9" t="s">
        <v>2131</v>
      </c>
      <c r="B868" s="10" t="s">
        <v>276</v>
      </c>
      <c r="C868" s="11" t="s">
        <v>1183</v>
      </c>
      <c r="D868" s="11" t="s">
        <v>383</v>
      </c>
      <c r="E868" s="11" t="s">
        <v>35</v>
      </c>
      <c r="F868" s="11" t="s">
        <v>104</v>
      </c>
      <c r="G868" s="11" t="s">
        <v>104</v>
      </c>
      <c r="H868" s="11" t="s">
        <v>171</v>
      </c>
      <c r="I868" s="11" t="s">
        <v>39</v>
      </c>
      <c r="J868" s="11" t="s">
        <v>165</v>
      </c>
      <c r="K868" s="25">
        <v>2</v>
      </c>
      <c r="L868" s="25">
        <v>50000</v>
      </c>
      <c r="M868" s="29">
        <v>0.15</v>
      </c>
      <c r="N868" s="25">
        <v>85000</v>
      </c>
      <c r="O868" s="25">
        <v>53327.6</v>
      </c>
      <c r="P868" s="25">
        <v>31672.400000000001</v>
      </c>
      <c r="Q868" s="21">
        <v>37.26</v>
      </c>
      <c r="R868" s="11" t="s">
        <v>61</v>
      </c>
      <c r="S868" s="11" t="s">
        <v>62</v>
      </c>
      <c r="T868" s="11" t="s">
        <v>97</v>
      </c>
      <c r="U868" s="11" t="s">
        <v>178</v>
      </c>
      <c r="V868" s="11">
        <v>2025</v>
      </c>
      <c r="W868" s="11" t="s">
        <v>139</v>
      </c>
      <c r="X868" s="11">
        <v>8</v>
      </c>
      <c r="Y868" s="10">
        <v>45751</v>
      </c>
      <c r="Z868" s="11" t="s">
        <v>89</v>
      </c>
      <c r="AA868" s="11" t="s">
        <v>67</v>
      </c>
      <c r="AB868" s="11" t="s">
        <v>78</v>
      </c>
      <c r="AC868" s="11" t="s">
        <v>50</v>
      </c>
      <c r="AD868" s="11">
        <v>1</v>
      </c>
      <c r="AE868" s="11" t="s">
        <v>2221</v>
      </c>
      <c r="AF868" s="11" t="s">
        <v>2236</v>
      </c>
      <c r="AG868" s="25"/>
      <c r="AH868" s="11"/>
      <c r="AI868" s="11"/>
      <c r="AJ868" s="11"/>
      <c r="AK868" s="11"/>
      <c r="AL868" s="11"/>
      <c r="AM868" s="11" t="str">
        <f t="shared" si="69"/>
        <v>Good</v>
      </c>
      <c r="AN868" s="11" t="str" cm="1">
        <f t="array" ref="AN868">_xlfn.IFS(N868&lt;10000,"Low",N868&lt;30000,"Medium",N868&gt;=30000,"High")</f>
        <v>High</v>
      </c>
      <c r="AO868" s="11" t="str">
        <f t="shared" si="70"/>
        <v>Yes</v>
      </c>
      <c r="AP868" s="11" t="str">
        <f t="shared" si="71"/>
        <v>No</v>
      </c>
      <c r="AQ868" s="11">
        <f t="shared" si="72"/>
        <v>0.37261647058823533</v>
      </c>
      <c r="AR868" s="33"/>
      <c r="AS868" s="33"/>
      <c r="AT868" s="33"/>
      <c r="AU868" s="33"/>
      <c r="AV868" s="33"/>
      <c r="AW868" s="33"/>
      <c r="AX868" s="33" t="str">
        <f t="shared" si="73"/>
        <v>Excellent</v>
      </c>
    </row>
    <row r="869" spans="1:50">
      <c r="A869" s="9" t="s">
        <v>1701</v>
      </c>
      <c r="B869" s="10" t="s">
        <v>806</v>
      </c>
      <c r="C869" s="11" t="s">
        <v>773</v>
      </c>
      <c r="D869" s="11" t="s">
        <v>713</v>
      </c>
      <c r="E869" s="11" t="s">
        <v>35</v>
      </c>
      <c r="F869" s="11" t="s">
        <v>104</v>
      </c>
      <c r="G869" s="11" t="s">
        <v>104</v>
      </c>
      <c r="H869" s="11" t="s">
        <v>58</v>
      </c>
      <c r="I869" s="11" t="s">
        <v>84</v>
      </c>
      <c r="J869" s="11" t="s">
        <v>229</v>
      </c>
      <c r="K869" s="25">
        <v>1</v>
      </c>
      <c r="L869" s="25">
        <v>800</v>
      </c>
      <c r="M869" s="29">
        <v>0</v>
      </c>
      <c r="N869" s="25">
        <v>800</v>
      </c>
      <c r="O869" s="25">
        <v>545.9</v>
      </c>
      <c r="P869" s="25">
        <v>254.1</v>
      </c>
      <c r="Q869" s="21">
        <v>31.76</v>
      </c>
      <c r="R869" s="11" t="s">
        <v>61</v>
      </c>
      <c r="S869" s="11" t="s">
        <v>74</v>
      </c>
      <c r="T869" s="11" t="s">
        <v>63</v>
      </c>
      <c r="U869" s="11" t="s">
        <v>44</v>
      </c>
      <c r="V869" s="11">
        <v>2025</v>
      </c>
      <c r="W869" s="11" t="s">
        <v>45</v>
      </c>
      <c r="X869" s="11">
        <v>10</v>
      </c>
      <c r="Y869" s="10">
        <v>45843</v>
      </c>
      <c r="Z869" s="11" t="s">
        <v>110</v>
      </c>
      <c r="AA869" s="11" t="s">
        <v>48</v>
      </c>
      <c r="AB869" s="11" t="s">
        <v>49</v>
      </c>
      <c r="AC869" s="11" t="s">
        <v>121</v>
      </c>
      <c r="AD869" s="11">
        <v>2</v>
      </c>
      <c r="AE869" s="11" t="s">
        <v>2240</v>
      </c>
      <c r="AF869" s="11" t="s">
        <v>2238</v>
      </c>
      <c r="AG869" s="25"/>
      <c r="AH869" s="11"/>
      <c r="AI869" s="11"/>
      <c r="AJ869" s="11"/>
      <c r="AK869" s="11"/>
      <c r="AL869" s="11"/>
      <c r="AM869" s="11" t="str">
        <f t="shared" si="69"/>
        <v>Good</v>
      </c>
      <c r="AN869" s="11" t="str" cm="1">
        <f t="array" ref="AN869">_xlfn.IFS(N869&lt;10000,"Low",N869&lt;30000,"Medium",N869&gt;=30000,"High")</f>
        <v>Low</v>
      </c>
      <c r="AO869" s="11" t="str">
        <f t="shared" si="70"/>
        <v>No</v>
      </c>
      <c r="AP869" s="11" t="str">
        <f t="shared" si="71"/>
        <v>Yes</v>
      </c>
      <c r="AQ869" s="11">
        <f t="shared" si="72"/>
        <v>0.31762499999999999</v>
      </c>
      <c r="AR869" s="33"/>
      <c r="AS869" s="33"/>
      <c r="AT869" s="33"/>
      <c r="AU869" s="33"/>
      <c r="AV869" s="33"/>
      <c r="AW869" s="33"/>
      <c r="AX869" s="33" t="str">
        <f t="shared" si="73"/>
        <v>Low</v>
      </c>
    </row>
    <row r="870" spans="1:50">
      <c r="A870" s="9" t="s">
        <v>1797</v>
      </c>
      <c r="B870" s="10" t="s">
        <v>1798</v>
      </c>
      <c r="C870" s="11" t="s">
        <v>1799</v>
      </c>
      <c r="D870" s="11" t="s">
        <v>620</v>
      </c>
      <c r="E870" s="11" t="s">
        <v>35</v>
      </c>
      <c r="F870" s="11" t="s">
        <v>144</v>
      </c>
      <c r="G870" s="11" t="s">
        <v>145</v>
      </c>
      <c r="H870" s="11" t="s">
        <v>94</v>
      </c>
      <c r="I870" s="11" t="s">
        <v>59</v>
      </c>
      <c r="J870" s="11" t="s">
        <v>328</v>
      </c>
      <c r="K870" s="25">
        <v>1</v>
      </c>
      <c r="L870" s="25">
        <v>2000</v>
      </c>
      <c r="M870" s="29">
        <v>0.05</v>
      </c>
      <c r="N870" s="25">
        <v>1900</v>
      </c>
      <c r="O870" s="25">
        <v>1437.24</v>
      </c>
      <c r="P870" s="25">
        <v>462.76</v>
      </c>
      <c r="Q870" s="21">
        <v>24.36</v>
      </c>
      <c r="R870" s="11" t="s">
        <v>166</v>
      </c>
      <c r="S870" s="11" t="s">
        <v>42</v>
      </c>
      <c r="T870" s="11" t="s">
        <v>86</v>
      </c>
      <c r="U870" s="11" t="s">
        <v>119</v>
      </c>
      <c r="V870" s="11">
        <v>2024</v>
      </c>
      <c r="W870" s="11" t="s">
        <v>126</v>
      </c>
      <c r="X870" s="11">
        <v>8</v>
      </c>
      <c r="Y870" s="10">
        <v>45388</v>
      </c>
      <c r="Z870" s="11" t="s">
        <v>47</v>
      </c>
      <c r="AA870" s="11" t="s">
        <v>90</v>
      </c>
      <c r="AB870" s="11" t="s">
        <v>78</v>
      </c>
      <c r="AC870" s="11" t="s">
        <v>121</v>
      </c>
      <c r="AD870" s="11">
        <v>2</v>
      </c>
      <c r="AE870" s="11" t="s">
        <v>118</v>
      </c>
      <c r="AF870" s="11" t="s">
        <v>2238</v>
      </c>
      <c r="AG870" s="25"/>
      <c r="AH870" s="11"/>
      <c r="AI870" s="11"/>
      <c r="AJ870" s="11"/>
      <c r="AK870" s="11"/>
      <c r="AL870" s="11"/>
      <c r="AM870" s="11" t="str">
        <f t="shared" si="69"/>
        <v>Needs Improvement</v>
      </c>
      <c r="AN870" s="11" t="str" cm="1">
        <f t="array" ref="AN870">_xlfn.IFS(N870&lt;10000,"Low",N870&lt;30000,"Medium",N870&gt;=30000,"High")</f>
        <v>Low</v>
      </c>
      <c r="AO870" s="11" t="str">
        <f t="shared" si="70"/>
        <v>No</v>
      </c>
      <c r="AP870" s="11" t="str">
        <f t="shared" si="71"/>
        <v>Yes</v>
      </c>
      <c r="AQ870" s="11">
        <f t="shared" si="72"/>
        <v>0.24355789473684211</v>
      </c>
      <c r="AR870" s="33"/>
      <c r="AS870" s="33"/>
      <c r="AT870" s="33"/>
      <c r="AU870" s="33"/>
      <c r="AV870" s="33"/>
      <c r="AW870" s="33"/>
      <c r="AX870" s="33" t="str">
        <f t="shared" si="73"/>
        <v>Low</v>
      </c>
    </row>
    <row r="871" spans="1:50">
      <c r="A871" s="9" t="s">
        <v>112</v>
      </c>
      <c r="B871" s="10" t="s">
        <v>113</v>
      </c>
      <c r="C871" s="11" t="s">
        <v>114</v>
      </c>
      <c r="D871" s="11" t="s">
        <v>115</v>
      </c>
      <c r="E871" s="11" t="s">
        <v>103</v>
      </c>
      <c r="F871" s="11" t="s">
        <v>116</v>
      </c>
      <c r="G871" s="11" t="s">
        <v>37</v>
      </c>
      <c r="H871" s="11" t="s">
        <v>38</v>
      </c>
      <c r="I871" s="11" t="s">
        <v>71</v>
      </c>
      <c r="J871" s="11" t="s">
        <v>117</v>
      </c>
      <c r="K871" s="25">
        <v>8</v>
      </c>
      <c r="L871" s="25">
        <v>700</v>
      </c>
      <c r="M871" s="29">
        <v>0.1</v>
      </c>
      <c r="N871" s="25">
        <v>5040</v>
      </c>
      <c r="O871" s="25">
        <v>4013.9</v>
      </c>
      <c r="P871" s="25">
        <v>1026.0999999999999</v>
      </c>
      <c r="Q871" s="21">
        <v>20.36</v>
      </c>
      <c r="R871" s="11" t="s">
        <v>73</v>
      </c>
      <c r="S871" s="11" t="s">
        <v>62</v>
      </c>
      <c r="T871" s="11" t="s">
        <v>118</v>
      </c>
      <c r="U871" s="11" t="s">
        <v>119</v>
      </c>
      <c r="V871" s="11">
        <v>2025</v>
      </c>
      <c r="W871" s="11" t="s">
        <v>109</v>
      </c>
      <c r="X871" s="11">
        <v>3</v>
      </c>
      <c r="Y871" s="10" t="s">
        <v>120</v>
      </c>
      <c r="Z871" s="11" t="s">
        <v>89</v>
      </c>
      <c r="AA871" s="11" t="s">
        <v>48</v>
      </c>
      <c r="AB871" s="11" t="s">
        <v>111</v>
      </c>
      <c r="AC871" s="11" t="s">
        <v>121</v>
      </c>
      <c r="AD871" s="11">
        <v>5</v>
      </c>
      <c r="AE871" s="11" t="s">
        <v>2218</v>
      </c>
      <c r="AF871" s="11" t="s">
        <v>2217</v>
      </c>
      <c r="AG871" s="25"/>
      <c r="AH871" s="11"/>
      <c r="AI871" s="11"/>
      <c r="AJ871" s="11"/>
      <c r="AK871" s="11"/>
      <c r="AL871" s="11"/>
      <c r="AM871" s="11" t="str">
        <f t="shared" si="69"/>
        <v>Needs Improvement</v>
      </c>
      <c r="AN871" s="11" t="str" cm="1">
        <f t="array" ref="AN871">_xlfn.IFS(N871&lt;10000,"Low",N871&lt;30000,"Medium",N871&gt;=30000,"High")</f>
        <v>Low</v>
      </c>
      <c r="AO871" s="11" t="str">
        <f t="shared" si="70"/>
        <v>No</v>
      </c>
      <c r="AP871" s="11" t="str">
        <f t="shared" si="71"/>
        <v>No</v>
      </c>
      <c r="AQ871" s="11">
        <f t="shared" si="72"/>
        <v>0.20359126984126982</v>
      </c>
      <c r="AR871" s="33"/>
      <c r="AS871" s="33"/>
      <c r="AT871" s="33"/>
      <c r="AU871" s="33"/>
      <c r="AV871" s="33"/>
      <c r="AW871" s="33"/>
      <c r="AX871" s="33" t="str">
        <f t="shared" si="73"/>
        <v>Low</v>
      </c>
    </row>
    <row r="872" spans="1:50">
      <c r="A872" s="9" t="s">
        <v>744</v>
      </c>
      <c r="B872" s="10" t="s">
        <v>624</v>
      </c>
      <c r="C872" s="11" t="s">
        <v>745</v>
      </c>
      <c r="D872" s="11" t="s">
        <v>746</v>
      </c>
      <c r="E872" s="11" t="s">
        <v>35</v>
      </c>
      <c r="F872" s="11" t="s">
        <v>82</v>
      </c>
      <c r="G872" s="11" t="s">
        <v>83</v>
      </c>
      <c r="H872" s="11" t="s">
        <v>94</v>
      </c>
      <c r="I872" s="11" t="s">
        <v>95</v>
      </c>
      <c r="J872" s="11" t="s">
        <v>319</v>
      </c>
      <c r="K872" s="25">
        <v>7</v>
      </c>
      <c r="L872" s="25">
        <v>9000</v>
      </c>
      <c r="M872" s="29">
        <v>0.1</v>
      </c>
      <c r="N872" s="25">
        <v>56700</v>
      </c>
      <c r="O872" s="25">
        <v>43233.06</v>
      </c>
      <c r="P872" s="25">
        <v>13466.94</v>
      </c>
      <c r="Q872" s="21">
        <v>23.75</v>
      </c>
      <c r="R872" s="11" t="s">
        <v>61</v>
      </c>
      <c r="S872" s="11" t="s">
        <v>42</v>
      </c>
      <c r="T872" s="11" t="s">
        <v>159</v>
      </c>
      <c r="U872" s="11" t="s">
        <v>160</v>
      </c>
      <c r="V872" s="11">
        <v>2024</v>
      </c>
      <c r="W872" s="11" t="s">
        <v>139</v>
      </c>
      <c r="X872" s="11">
        <v>9</v>
      </c>
      <c r="Y872" s="10">
        <v>45450</v>
      </c>
      <c r="Z872" s="11" t="s">
        <v>89</v>
      </c>
      <c r="AA872" s="11" t="s">
        <v>90</v>
      </c>
      <c r="AB872" s="11" t="s">
        <v>49</v>
      </c>
      <c r="AC872" s="11" t="s">
        <v>121</v>
      </c>
      <c r="AD872" s="11">
        <v>5</v>
      </c>
      <c r="AE872" s="11" t="s">
        <v>2229</v>
      </c>
      <c r="AF872" s="11" t="s">
        <v>2217</v>
      </c>
      <c r="AG872" s="25"/>
      <c r="AH872" s="11"/>
      <c r="AI872" s="11"/>
      <c r="AJ872" s="11"/>
      <c r="AK872" s="11"/>
      <c r="AL872" s="11"/>
      <c r="AM872" s="11" t="str">
        <f t="shared" si="69"/>
        <v>Needs Improvement</v>
      </c>
      <c r="AN872" s="11" t="str" cm="1">
        <f t="array" ref="AN872">_xlfn.IFS(N872&lt;10000,"Low",N872&lt;30000,"Medium",N872&gt;=30000,"High")</f>
        <v>High</v>
      </c>
      <c r="AO872" s="11" t="str">
        <f t="shared" si="70"/>
        <v>Yes</v>
      </c>
      <c r="AP872" s="11" t="str">
        <f t="shared" si="71"/>
        <v>Yes</v>
      </c>
      <c r="AQ872" s="11">
        <f t="shared" si="72"/>
        <v>0.23751216931216931</v>
      </c>
      <c r="AR872" s="33"/>
      <c r="AS872" s="33"/>
      <c r="AT872" s="33"/>
      <c r="AU872" s="33"/>
      <c r="AV872" s="33"/>
      <c r="AW872" s="33"/>
      <c r="AX872" s="33" t="str">
        <f t="shared" si="73"/>
        <v>Good</v>
      </c>
    </row>
    <row r="873" spans="1:50">
      <c r="A873" s="9" t="s">
        <v>901</v>
      </c>
      <c r="B873" s="10" t="s">
        <v>624</v>
      </c>
      <c r="C873" s="11" t="s">
        <v>902</v>
      </c>
      <c r="D873" s="11" t="s">
        <v>422</v>
      </c>
      <c r="E873" s="11" t="s">
        <v>55</v>
      </c>
      <c r="F873" s="11" t="s">
        <v>131</v>
      </c>
      <c r="G873" s="11" t="s">
        <v>132</v>
      </c>
      <c r="H873" s="11" t="s">
        <v>94</v>
      </c>
      <c r="I873" s="11" t="s">
        <v>84</v>
      </c>
      <c r="J873" s="11" t="s">
        <v>229</v>
      </c>
      <c r="K873" s="25">
        <v>10</v>
      </c>
      <c r="L873" s="25">
        <v>800</v>
      </c>
      <c r="M873" s="29">
        <v>0.2</v>
      </c>
      <c r="N873" s="25">
        <v>6400</v>
      </c>
      <c r="O873" s="25">
        <v>4151.2299999999996</v>
      </c>
      <c r="P873" s="25">
        <v>2248.77</v>
      </c>
      <c r="Q873" s="21">
        <v>35.14</v>
      </c>
      <c r="R873" s="11" t="s">
        <v>73</v>
      </c>
      <c r="S873" s="11" t="s">
        <v>42</v>
      </c>
      <c r="T873" s="11" t="s">
        <v>75</v>
      </c>
      <c r="U873" s="11" t="s">
        <v>160</v>
      </c>
      <c r="V873" s="11">
        <v>2024</v>
      </c>
      <c r="W873" s="11" t="s">
        <v>139</v>
      </c>
      <c r="X873" s="11">
        <v>7</v>
      </c>
      <c r="Y873" s="10">
        <v>45389</v>
      </c>
      <c r="Z873" s="11" t="s">
        <v>110</v>
      </c>
      <c r="AA873" s="11" t="s">
        <v>67</v>
      </c>
      <c r="AB873" s="11" t="s">
        <v>78</v>
      </c>
      <c r="AC873" s="11" t="s">
        <v>50</v>
      </c>
      <c r="AD873" s="11">
        <v>4</v>
      </c>
      <c r="AE873" s="11" t="s">
        <v>2237</v>
      </c>
      <c r="AF873" s="11" t="s">
        <v>2210</v>
      </c>
      <c r="AG873" s="25"/>
      <c r="AH873" s="11"/>
      <c r="AI873" s="11"/>
      <c r="AJ873" s="11"/>
      <c r="AK873" s="11"/>
      <c r="AL873" s="11"/>
      <c r="AM873" s="11" t="str">
        <f t="shared" si="69"/>
        <v>Good</v>
      </c>
      <c r="AN873" s="11" t="str" cm="1">
        <f t="array" ref="AN873">_xlfn.IFS(N873&lt;10000,"Low",N873&lt;30000,"Medium",N873&gt;=30000,"High")</f>
        <v>Low</v>
      </c>
      <c r="AO873" s="11" t="str">
        <f t="shared" si="70"/>
        <v>No</v>
      </c>
      <c r="AP873" s="11" t="str">
        <f t="shared" si="71"/>
        <v>Yes</v>
      </c>
      <c r="AQ873" s="11">
        <f t="shared" si="72"/>
        <v>0.3513703125</v>
      </c>
      <c r="AR873" s="33"/>
      <c r="AS873" s="33"/>
      <c r="AT873" s="33"/>
      <c r="AU873" s="33"/>
      <c r="AV873" s="33"/>
      <c r="AW873" s="33"/>
      <c r="AX873" s="33" t="str">
        <f t="shared" si="73"/>
        <v>Low</v>
      </c>
    </row>
    <row r="874" spans="1:50">
      <c r="A874" s="9" t="s">
        <v>848</v>
      </c>
      <c r="B874" s="10" t="s">
        <v>849</v>
      </c>
      <c r="C874" s="11" t="s">
        <v>375</v>
      </c>
      <c r="D874" s="11" t="s">
        <v>850</v>
      </c>
      <c r="E874" s="11" t="s">
        <v>103</v>
      </c>
      <c r="F874" s="11" t="s">
        <v>56</v>
      </c>
      <c r="G874" s="11" t="s">
        <v>57</v>
      </c>
      <c r="H874" s="11" t="s">
        <v>38</v>
      </c>
      <c r="I874" s="11" t="s">
        <v>59</v>
      </c>
      <c r="J874" s="11" t="s">
        <v>372</v>
      </c>
      <c r="K874" s="25">
        <v>3</v>
      </c>
      <c r="L874" s="25">
        <v>2000</v>
      </c>
      <c r="M874" s="29">
        <v>0</v>
      </c>
      <c r="N874" s="25">
        <v>6000</v>
      </c>
      <c r="O874" s="25">
        <v>4815.2</v>
      </c>
      <c r="P874" s="25">
        <v>1184.8</v>
      </c>
      <c r="Q874" s="21">
        <v>19.75</v>
      </c>
      <c r="R874" s="11" t="s">
        <v>41</v>
      </c>
      <c r="S874" s="11" t="s">
        <v>74</v>
      </c>
      <c r="T874" s="11" t="s">
        <v>118</v>
      </c>
      <c r="U874" s="11" t="s">
        <v>160</v>
      </c>
      <c r="V874" s="11">
        <v>2025</v>
      </c>
      <c r="W874" s="11" t="s">
        <v>194</v>
      </c>
      <c r="X874" s="11">
        <v>1</v>
      </c>
      <c r="Y874" s="10" t="s">
        <v>851</v>
      </c>
      <c r="Z874" s="11" t="s">
        <v>89</v>
      </c>
      <c r="AA874" s="11" t="s">
        <v>90</v>
      </c>
      <c r="AB874" s="11" t="s">
        <v>78</v>
      </c>
      <c r="AC874" s="11" t="s">
        <v>50</v>
      </c>
      <c r="AD874" s="11">
        <v>5</v>
      </c>
      <c r="AE874" s="11" t="s">
        <v>2220</v>
      </c>
      <c r="AF874" s="11" t="s">
        <v>2230</v>
      </c>
      <c r="AG874" s="25"/>
      <c r="AH874" s="11"/>
      <c r="AI874" s="11"/>
      <c r="AJ874" s="11"/>
      <c r="AK874" s="11"/>
      <c r="AL874" s="11"/>
      <c r="AM874" s="11" t="str">
        <f t="shared" si="69"/>
        <v>Needs Improvement</v>
      </c>
      <c r="AN874" s="11" t="str" cm="1">
        <f t="array" ref="AN874">_xlfn.IFS(N874&lt;10000,"Low",N874&lt;30000,"Medium",N874&gt;=30000,"High")</f>
        <v>Low</v>
      </c>
      <c r="AO874" s="11" t="str">
        <f t="shared" si="70"/>
        <v>No</v>
      </c>
      <c r="AP874" s="11" t="str">
        <f t="shared" si="71"/>
        <v>Yes</v>
      </c>
      <c r="AQ874" s="11">
        <f t="shared" si="72"/>
        <v>0.19746666666666665</v>
      </c>
      <c r="AR874" s="33"/>
      <c r="AS874" s="33"/>
      <c r="AT874" s="33"/>
      <c r="AU874" s="33"/>
      <c r="AV874" s="33"/>
      <c r="AW874" s="33"/>
      <c r="AX874" s="33" t="str">
        <f t="shared" si="73"/>
        <v>Low</v>
      </c>
    </row>
    <row r="875" spans="1:50">
      <c r="A875" s="9" t="s">
        <v>1795</v>
      </c>
      <c r="B875" s="10" t="s">
        <v>849</v>
      </c>
      <c r="C875" s="11" t="s">
        <v>406</v>
      </c>
      <c r="D875" s="11" t="s">
        <v>1118</v>
      </c>
      <c r="E875" s="11" t="s">
        <v>103</v>
      </c>
      <c r="F875" s="11" t="s">
        <v>149</v>
      </c>
      <c r="G875" s="11" t="s">
        <v>150</v>
      </c>
      <c r="H875" s="11" t="s">
        <v>38</v>
      </c>
      <c r="I875" s="11" t="s">
        <v>84</v>
      </c>
      <c r="J875" s="11" t="s">
        <v>217</v>
      </c>
      <c r="K875" s="25">
        <v>10</v>
      </c>
      <c r="L875" s="25">
        <v>200</v>
      </c>
      <c r="M875" s="29">
        <v>0.2</v>
      </c>
      <c r="N875" s="25">
        <v>1600</v>
      </c>
      <c r="O875" s="25">
        <v>1225.71</v>
      </c>
      <c r="P875" s="25">
        <v>374.29</v>
      </c>
      <c r="Q875" s="21">
        <v>23.39</v>
      </c>
      <c r="R875" s="11" t="s">
        <v>61</v>
      </c>
      <c r="S875" s="11" t="s">
        <v>74</v>
      </c>
      <c r="T875" s="11" t="s">
        <v>173</v>
      </c>
      <c r="U875" s="11" t="s">
        <v>160</v>
      </c>
      <c r="V875" s="11">
        <v>2025</v>
      </c>
      <c r="W875" s="11" t="s">
        <v>194</v>
      </c>
      <c r="X875" s="11">
        <v>9</v>
      </c>
      <c r="Y875" s="10">
        <v>45815</v>
      </c>
      <c r="Z875" s="11" t="s">
        <v>47</v>
      </c>
      <c r="AA875" s="11" t="s">
        <v>48</v>
      </c>
      <c r="AB875" s="11" t="s">
        <v>49</v>
      </c>
      <c r="AC875" s="11" t="s">
        <v>121</v>
      </c>
      <c r="AD875" s="11">
        <v>2</v>
      </c>
      <c r="AE875" s="11" t="s">
        <v>2240</v>
      </c>
      <c r="AF875" s="11" t="s">
        <v>2212</v>
      </c>
      <c r="AG875" s="25"/>
      <c r="AH875" s="11"/>
      <c r="AI875" s="11"/>
      <c r="AJ875" s="11"/>
      <c r="AK875" s="11"/>
      <c r="AL875" s="11"/>
      <c r="AM875" s="11" t="str">
        <f t="shared" si="69"/>
        <v>Needs Improvement</v>
      </c>
      <c r="AN875" s="11" t="str" cm="1">
        <f t="array" ref="AN875">_xlfn.IFS(N875&lt;10000,"Low",N875&lt;30000,"Medium",N875&gt;=30000,"High")</f>
        <v>Low</v>
      </c>
      <c r="AO875" s="11" t="str">
        <f t="shared" si="70"/>
        <v>No</v>
      </c>
      <c r="AP875" s="11" t="str">
        <f t="shared" si="71"/>
        <v>Yes</v>
      </c>
      <c r="AQ875" s="11">
        <f t="shared" si="72"/>
        <v>0.23393125000000001</v>
      </c>
      <c r="AR875" s="33"/>
      <c r="AS875" s="33"/>
      <c r="AT875" s="33"/>
      <c r="AU875" s="33"/>
      <c r="AV875" s="33"/>
      <c r="AW875" s="33"/>
      <c r="AX875" s="33" t="str">
        <f t="shared" si="73"/>
        <v>Low</v>
      </c>
    </row>
    <row r="876" spans="1:50">
      <c r="A876" s="9" t="s">
        <v>966</v>
      </c>
      <c r="B876" s="10" t="s">
        <v>967</v>
      </c>
      <c r="C876" s="11" t="s">
        <v>142</v>
      </c>
      <c r="D876" s="11" t="s">
        <v>968</v>
      </c>
      <c r="E876" s="11" t="s">
        <v>103</v>
      </c>
      <c r="F876" s="11" t="s">
        <v>36</v>
      </c>
      <c r="G876" s="11" t="s">
        <v>37</v>
      </c>
      <c r="H876" s="11" t="s">
        <v>38</v>
      </c>
      <c r="I876" s="11" t="s">
        <v>71</v>
      </c>
      <c r="J876" s="11" t="s">
        <v>240</v>
      </c>
      <c r="K876" s="25">
        <v>5</v>
      </c>
      <c r="L876" s="25">
        <v>1800</v>
      </c>
      <c r="M876" s="29">
        <v>0.1</v>
      </c>
      <c r="N876" s="25">
        <v>8100</v>
      </c>
      <c r="O876" s="25">
        <v>5207.63</v>
      </c>
      <c r="P876" s="25">
        <v>2892.37</v>
      </c>
      <c r="Q876" s="21">
        <v>35.71</v>
      </c>
      <c r="R876" s="11" t="s">
        <v>41</v>
      </c>
      <c r="S876" s="11" t="s">
        <v>42</v>
      </c>
      <c r="T876" s="11" t="s">
        <v>107</v>
      </c>
      <c r="U876" s="11" t="s">
        <v>151</v>
      </c>
      <c r="V876" s="11">
        <v>2025</v>
      </c>
      <c r="W876" s="11" t="s">
        <v>45</v>
      </c>
      <c r="X876" s="11">
        <v>9</v>
      </c>
      <c r="Y876" s="10">
        <v>45785</v>
      </c>
      <c r="Z876" s="11" t="s">
        <v>47</v>
      </c>
      <c r="AA876" s="11" t="s">
        <v>90</v>
      </c>
      <c r="AB876" s="11" t="s">
        <v>78</v>
      </c>
      <c r="AC876" s="11" t="s">
        <v>50</v>
      </c>
      <c r="AD876" s="11">
        <v>3</v>
      </c>
      <c r="AE876" s="11" t="s">
        <v>2209</v>
      </c>
      <c r="AF876" s="11" t="s">
        <v>2236</v>
      </c>
      <c r="AG876" s="25"/>
      <c r="AH876" s="11"/>
      <c r="AI876" s="11"/>
      <c r="AJ876" s="11"/>
      <c r="AK876" s="11"/>
      <c r="AL876" s="11"/>
      <c r="AM876" s="11" t="str">
        <f t="shared" si="69"/>
        <v>Good</v>
      </c>
      <c r="AN876" s="11" t="str" cm="1">
        <f t="array" ref="AN876">_xlfn.IFS(N876&lt;10000,"Low",N876&lt;30000,"Medium",N876&gt;=30000,"High")</f>
        <v>Low</v>
      </c>
      <c r="AO876" s="11" t="str">
        <f t="shared" si="70"/>
        <v>No</v>
      </c>
      <c r="AP876" s="11" t="str">
        <f t="shared" si="71"/>
        <v>Yes</v>
      </c>
      <c r="AQ876" s="11">
        <f t="shared" si="72"/>
        <v>0.35708271604938269</v>
      </c>
      <c r="AR876" s="33"/>
      <c r="AS876" s="33"/>
      <c r="AT876" s="33"/>
      <c r="AU876" s="33"/>
      <c r="AV876" s="33"/>
      <c r="AW876" s="33"/>
      <c r="AX876" s="33" t="str">
        <f t="shared" si="73"/>
        <v>Low</v>
      </c>
    </row>
    <row r="877" spans="1:50">
      <c r="A877" s="9" t="s">
        <v>2028</v>
      </c>
      <c r="B877" s="10" t="s">
        <v>967</v>
      </c>
      <c r="C877" s="11" t="s">
        <v>989</v>
      </c>
      <c r="D877" s="11" t="s">
        <v>893</v>
      </c>
      <c r="E877" s="11" t="s">
        <v>35</v>
      </c>
      <c r="F877" s="11" t="s">
        <v>149</v>
      </c>
      <c r="G877" s="11" t="s">
        <v>150</v>
      </c>
      <c r="H877" s="11" t="s">
        <v>94</v>
      </c>
      <c r="I877" s="11" t="s">
        <v>84</v>
      </c>
      <c r="J877" s="11" t="s">
        <v>85</v>
      </c>
      <c r="K877" s="25">
        <v>7</v>
      </c>
      <c r="L877" s="25">
        <v>500</v>
      </c>
      <c r="M877" s="29">
        <v>0.2</v>
      </c>
      <c r="N877" s="25">
        <v>2800</v>
      </c>
      <c r="O877" s="25">
        <v>2010.4</v>
      </c>
      <c r="P877" s="25">
        <v>789.6</v>
      </c>
      <c r="Q877" s="21">
        <v>28.2</v>
      </c>
      <c r="R877" s="11" t="s">
        <v>106</v>
      </c>
      <c r="S877" s="11" t="s">
        <v>62</v>
      </c>
      <c r="T877" s="11" t="s">
        <v>75</v>
      </c>
      <c r="U877" s="11" t="s">
        <v>151</v>
      </c>
      <c r="V877" s="11">
        <v>2025</v>
      </c>
      <c r="W877" s="11" t="s">
        <v>45</v>
      </c>
      <c r="X877" s="11">
        <v>1</v>
      </c>
      <c r="Y877" s="10" t="s">
        <v>530</v>
      </c>
      <c r="Z877" s="11" t="s">
        <v>110</v>
      </c>
      <c r="AA877" s="11" t="s">
        <v>90</v>
      </c>
      <c r="AB877" s="11" t="s">
        <v>111</v>
      </c>
      <c r="AC877" s="11" t="s">
        <v>50</v>
      </c>
      <c r="AD877" s="11">
        <v>2</v>
      </c>
      <c r="AE877" s="11" t="s">
        <v>2240</v>
      </c>
      <c r="AF877" s="11" t="s">
        <v>2219</v>
      </c>
      <c r="AG877" s="25"/>
      <c r="AH877" s="11"/>
      <c r="AI877" s="11"/>
      <c r="AJ877" s="11"/>
      <c r="AK877" s="11"/>
      <c r="AL877" s="11"/>
      <c r="AM877" s="11" t="str">
        <f t="shared" si="69"/>
        <v>Needs Improvement</v>
      </c>
      <c r="AN877" s="11" t="str" cm="1">
        <f t="array" ref="AN877">_xlfn.IFS(N877&lt;10000,"Low",N877&lt;30000,"Medium",N877&gt;=30000,"High")</f>
        <v>Low</v>
      </c>
      <c r="AO877" s="11" t="str">
        <f t="shared" si="70"/>
        <v>No</v>
      </c>
      <c r="AP877" s="11" t="str">
        <f t="shared" si="71"/>
        <v>No</v>
      </c>
      <c r="AQ877" s="11">
        <f t="shared" si="72"/>
        <v>0.28200000000000003</v>
      </c>
      <c r="AR877" s="33"/>
      <c r="AS877" s="33"/>
      <c r="AT877" s="33"/>
      <c r="AU877" s="33"/>
      <c r="AV877" s="33"/>
      <c r="AW877" s="33"/>
      <c r="AX877" s="33" t="str">
        <f t="shared" si="73"/>
        <v>Low</v>
      </c>
    </row>
    <row r="878" spans="1:50">
      <c r="A878" s="9" t="s">
        <v>2061</v>
      </c>
      <c r="B878" s="10" t="s">
        <v>967</v>
      </c>
      <c r="C878" s="11" t="s">
        <v>262</v>
      </c>
      <c r="D878" s="11" t="s">
        <v>1205</v>
      </c>
      <c r="E878" s="11" t="s">
        <v>55</v>
      </c>
      <c r="F878" s="11" t="s">
        <v>144</v>
      </c>
      <c r="G878" s="11" t="s">
        <v>145</v>
      </c>
      <c r="H878" s="11" t="s">
        <v>94</v>
      </c>
      <c r="I878" s="11" t="s">
        <v>84</v>
      </c>
      <c r="J878" s="11" t="s">
        <v>390</v>
      </c>
      <c r="K878" s="25">
        <v>4</v>
      </c>
      <c r="L878" s="25">
        <v>800</v>
      </c>
      <c r="M878" s="29">
        <v>0</v>
      </c>
      <c r="N878" s="25">
        <v>3200</v>
      </c>
      <c r="O878" s="25">
        <v>2076.0500000000002</v>
      </c>
      <c r="P878" s="25">
        <v>1123.95</v>
      </c>
      <c r="Q878" s="21">
        <v>35.119999999999997</v>
      </c>
      <c r="R878" s="11" t="s">
        <v>41</v>
      </c>
      <c r="S878" s="11" t="s">
        <v>62</v>
      </c>
      <c r="T878" s="11" t="s">
        <v>43</v>
      </c>
      <c r="U878" s="11" t="s">
        <v>151</v>
      </c>
      <c r="V878" s="11">
        <v>2025</v>
      </c>
      <c r="W878" s="11" t="s">
        <v>45</v>
      </c>
      <c r="X878" s="11">
        <v>7</v>
      </c>
      <c r="Y878" s="10">
        <v>45724</v>
      </c>
      <c r="Z878" s="11" t="s">
        <v>47</v>
      </c>
      <c r="AA878" s="11" t="s">
        <v>48</v>
      </c>
      <c r="AB878" s="11" t="s">
        <v>78</v>
      </c>
      <c r="AC878" s="11" t="s">
        <v>50</v>
      </c>
      <c r="AD878" s="11">
        <v>3</v>
      </c>
      <c r="AE878" s="11" t="s">
        <v>2220</v>
      </c>
      <c r="AF878" s="11" t="s">
        <v>2210</v>
      </c>
      <c r="AG878" s="25"/>
      <c r="AH878" s="11"/>
      <c r="AI878" s="11"/>
      <c r="AJ878" s="11"/>
      <c r="AK878" s="11"/>
      <c r="AL878" s="11"/>
      <c r="AM878" s="11" t="str">
        <f t="shared" si="69"/>
        <v>Good</v>
      </c>
      <c r="AN878" s="11" t="str" cm="1">
        <f t="array" ref="AN878">_xlfn.IFS(N878&lt;10000,"Low",N878&lt;30000,"Medium",N878&gt;=30000,"High")</f>
        <v>Low</v>
      </c>
      <c r="AO878" s="11" t="str">
        <f t="shared" si="70"/>
        <v>No</v>
      </c>
      <c r="AP878" s="11" t="str">
        <f t="shared" si="71"/>
        <v>No</v>
      </c>
      <c r="AQ878" s="11">
        <f t="shared" si="72"/>
        <v>0.35123437499999999</v>
      </c>
      <c r="AR878" s="33"/>
      <c r="AS878" s="33"/>
      <c r="AT878" s="33"/>
      <c r="AU878" s="33"/>
      <c r="AV878" s="33"/>
      <c r="AW878" s="33"/>
      <c r="AX878" s="33" t="str">
        <f t="shared" si="73"/>
        <v>Low</v>
      </c>
    </row>
    <row r="879" spans="1:50">
      <c r="A879" s="9" t="s">
        <v>891</v>
      </c>
      <c r="B879" s="10" t="s">
        <v>892</v>
      </c>
      <c r="C879" s="11" t="s">
        <v>288</v>
      </c>
      <c r="D879" s="11" t="s">
        <v>893</v>
      </c>
      <c r="E879" s="11" t="s">
        <v>103</v>
      </c>
      <c r="F879" s="11" t="s">
        <v>104</v>
      </c>
      <c r="G879" s="11" t="s">
        <v>104</v>
      </c>
      <c r="H879" s="11" t="s">
        <v>38</v>
      </c>
      <c r="I879" s="11" t="s">
        <v>59</v>
      </c>
      <c r="J879" s="11" t="s">
        <v>328</v>
      </c>
      <c r="K879" s="25">
        <v>10</v>
      </c>
      <c r="L879" s="25">
        <v>3000</v>
      </c>
      <c r="M879" s="29">
        <v>0.15</v>
      </c>
      <c r="N879" s="25">
        <v>25500</v>
      </c>
      <c r="O879" s="25">
        <v>17822.72</v>
      </c>
      <c r="P879" s="25">
        <v>7677.28</v>
      </c>
      <c r="Q879" s="21">
        <v>30.11</v>
      </c>
      <c r="R879" s="11" t="s">
        <v>61</v>
      </c>
      <c r="S879" s="11" t="s">
        <v>62</v>
      </c>
      <c r="T879" s="11" t="s">
        <v>86</v>
      </c>
      <c r="U879" s="11" t="s">
        <v>218</v>
      </c>
      <c r="V879" s="11">
        <v>2025</v>
      </c>
      <c r="W879" s="11" t="s">
        <v>134</v>
      </c>
      <c r="X879" s="11">
        <v>4</v>
      </c>
      <c r="Y879" s="10" t="s">
        <v>894</v>
      </c>
      <c r="Z879" s="11" t="s">
        <v>47</v>
      </c>
      <c r="AA879" s="11" t="s">
        <v>48</v>
      </c>
      <c r="AB879" s="11" t="s">
        <v>111</v>
      </c>
      <c r="AC879" s="11" t="s">
        <v>50</v>
      </c>
      <c r="AD879" s="11">
        <v>2</v>
      </c>
      <c r="AE879" s="11" t="s">
        <v>2240</v>
      </c>
      <c r="AF879" s="11" t="s">
        <v>2219</v>
      </c>
      <c r="AG879" s="25"/>
      <c r="AH879" s="11"/>
      <c r="AI879" s="11"/>
      <c r="AJ879" s="11"/>
      <c r="AK879" s="11"/>
      <c r="AL879" s="11"/>
      <c r="AM879" s="11" t="str">
        <f t="shared" si="69"/>
        <v>Good</v>
      </c>
      <c r="AN879" s="11" t="str" cm="1">
        <f t="array" ref="AN879">_xlfn.IFS(N879&lt;10000,"Low",N879&lt;30000,"Medium",N879&gt;=30000,"High")</f>
        <v>Medium</v>
      </c>
      <c r="AO879" s="11" t="str">
        <f t="shared" si="70"/>
        <v>No</v>
      </c>
      <c r="AP879" s="11" t="str">
        <f t="shared" si="71"/>
        <v>No</v>
      </c>
      <c r="AQ879" s="11">
        <f t="shared" si="72"/>
        <v>0.30106980392156862</v>
      </c>
      <c r="AR879" s="33"/>
      <c r="AS879" s="33"/>
      <c r="AT879" s="33"/>
      <c r="AU879" s="33"/>
      <c r="AV879" s="33"/>
      <c r="AW879" s="33"/>
      <c r="AX879" s="33" t="str">
        <f t="shared" si="73"/>
        <v>Average</v>
      </c>
    </row>
    <row r="880" spans="1:50">
      <c r="A880" s="9" t="s">
        <v>911</v>
      </c>
      <c r="B880" s="10" t="s">
        <v>892</v>
      </c>
      <c r="C880" s="11" t="s">
        <v>912</v>
      </c>
      <c r="D880" s="11" t="s">
        <v>913</v>
      </c>
      <c r="E880" s="11" t="s">
        <v>35</v>
      </c>
      <c r="F880" s="11" t="s">
        <v>131</v>
      </c>
      <c r="G880" s="11" t="s">
        <v>132</v>
      </c>
      <c r="H880" s="11" t="s">
        <v>94</v>
      </c>
      <c r="I880" s="11" t="s">
        <v>84</v>
      </c>
      <c r="J880" s="11" t="s">
        <v>85</v>
      </c>
      <c r="K880" s="25">
        <v>6</v>
      </c>
      <c r="L880" s="25">
        <v>500</v>
      </c>
      <c r="M880" s="29">
        <v>0.2</v>
      </c>
      <c r="N880" s="25">
        <v>2400</v>
      </c>
      <c r="O880" s="25">
        <v>1565.08</v>
      </c>
      <c r="P880" s="25">
        <v>834.92</v>
      </c>
      <c r="Q880" s="21">
        <v>34.79</v>
      </c>
      <c r="R880" s="11" t="s">
        <v>73</v>
      </c>
      <c r="S880" s="11" t="s">
        <v>42</v>
      </c>
      <c r="T880" s="11" t="s">
        <v>173</v>
      </c>
      <c r="U880" s="11" t="s">
        <v>218</v>
      </c>
      <c r="V880" s="11">
        <v>2025</v>
      </c>
      <c r="W880" s="11" t="s">
        <v>134</v>
      </c>
      <c r="X880" s="11">
        <v>2</v>
      </c>
      <c r="Y880" s="10" t="s">
        <v>914</v>
      </c>
      <c r="Z880" s="11" t="s">
        <v>47</v>
      </c>
      <c r="AA880" s="11" t="s">
        <v>90</v>
      </c>
      <c r="AB880" s="11" t="s">
        <v>78</v>
      </c>
      <c r="AC880" s="11" t="s">
        <v>121</v>
      </c>
      <c r="AD880" s="11">
        <v>5</v>
      </c>
      <c r="AE880" s="11" t="s">
        <v>2209</v>
      </c>
      <c r="AF880" s="11" t="s">
        <v>2231</v>
      </c>
      <c r="AG880" s="25"/>
      <c r="AH880" s="11"/>
      <c r="AI880" s="11"/>
      <c r="AJ880" s="11"/>
      <c r="AK880" s="11"/>
      <c r="AL880" s="11"/>
      <c r="AM880" s="11" t="str">
        <f t="shared" si="69"/>
        <v>Good</v>
      </c>
      <c r="AN880" s="11" t="str" cm="1">
        <f t="array" ref="AN880">_xlfn.IFS(N880&lt;10000,"Low",N880&lt;30000,"Medium",N880&gt;=30000,"High")</f>
        <v>Low</v>
      </c>
      <c r="AO880" s="11" t="str">
        <f t="shared" si="70"/>
        <v>No</v>
      </c>
      <c r="AP880" s="11" t="str">
        <f t="shared" si="71"/>
        <v>Yes</v>
      </c>
      <c r="AQ880" s="11">
        <f t="shared" si="72"/>
        <v>0.34788333333333332</v>
      </c>
      <c r="AR880" s="33"/>
      <c r="AS880" s="33"/>
      <c r="AT880" s="33"/>
      <c r="AU880" s="33"/>
      <c r="AV880" s="33"/>
      <c r="AW880" s="33"/>
      <c r="AX880" s="33" t="str">
        <f t="shared" si="73"/>
        <v>Low</v>
      </c>
    </row>
    <row r="881" spans="1:50">
      <c r="A881" s="9" t="s">
        <v>282</v>
      </c>
      <c r="B881" s="10" t="s">
        <v>283</v>
      </c>
      <c r="C881" s="11" t="s">
        <v>284</v>
      </c>
      <c r="D881" s="11" t="s">
        <v>285</v>
      </c>
      <c r="E881" s="11" t="s">
        <v>35</v>
      </c>
      <c r="F881" s="11" t="s">
        <v>144</v>
      </c>
      <c r="G881" s="11" t="s">
        <v>145</v>
      </c>
      <c r="H881" s="11" t="s">
        <v>94</v>
      </c>
      <c r="I881" s="11" t="s">
        <v>39</v>
      </c>
      <c r="J881" s="11" t="s">
        <v>165</v>
      </c>
      <c r="K881" s="25">
        <v>2</v>
      </c>
      <c r="L881" s="25">
        <v>12000</v>
      </c>
      <c r="M881" s="29">
        <v>0.05</v>
      </c>
      <c r="N881" s="25">
        <v>22800</v>
      </c>
      <c r="O881" s="25">
        <v>14016.61</v>
      </c>
      <c r="P881" s="25">
        <v>8783.39</v>
      </c>
      <c r="Q881" s="21">
        <v>38.520000000000003</v>
      </c>
      <c r="R881" s="11" t="s">
        <v>166</v>
      </c>
      <c r="S881" s="11" t="s">
        <v>42</v>
      </c>
      <c r="T881" s="11" t="s">
        <v>63</v>
      </c>
      <c r="U881" s="11" t="s">
        <v>108</v>
      </c>
      <c r="V881" s="11">
        <v>2024</v>
      </c>
      <c r="W881" s="11" t="s">
        <v>194</v>
      </c>
      <c r="X881" s="11">
        <v>2</v>
      </c>
      <c r="Y881" s="10" t="s">
        <v>286</v>
      </c>
      <c r="Z881" s="11" t="s">
        <v>47</v>
      </c>
      <c r="AA881" s="11" t="s">
        <v>67</v>
      </c>
      <c r="AB881" s="11" t="s">
        <v>78</v>
      </c>
      <c r="AC881" s="11" t="s">
        <v>121</v>
      </c>
      <c r="AD881" s="11">
        <v>2</v>
      </c>
      <c r="AE881" s="11" t="s">
        <v>2237</v>
      </c>
      <c r="AF881" s="11" t="s">
        <v>2222</v>
      </c>
      <c r="AG881" s="25"/>
      <c r="AH881" s="11"/>
      <c r="AI881" s="11"/>
      <c r="AJ881" s="11"/>
      <c r="AK881" s="11"/>
      <c r="AL881" s="11"/>
      <c r="AM881" s="11" t="str">
        <f t="shared" si="69"/>
        <v>Good</v>
      </c>
      <c r="AN881" s="11" t="str" cm="1">
        <f t="array" ref="AN881">_xlfn.IFS(N881&lt;10000,"Low",N881&lt;30000,"Medium",N881&gt;=30000,"High")</f>
        <v>Medium</v>
      </c>
      <c r="AO881" s="11" t="str">
        <f t="shared" si="70"/>
        <v>No</v>
      </c>
      <c r="AP881" s="11" t="str">
        <f t="shared" si="71"/>
        <v>Yes</v>
      </c>
      <c r="AQ881" s="11">
        <f t="shared" si="72"/>
        <v>0.38523640350877192</v>
      </c>
      <c r="AR881" s="33"/>
      <c r="AS881" s="33"/>
      <c r="AT881" s="33"/>
      <c r="AU881" s="33"/>
      <c r="AV881" s="33"/>
      <c r="AW881" s="33"/>
      <c r="AX881" s="33" t="str">
        <f t="shared" si="73"/>
        <v>Average</v>
      </c>
    </row>
    <row r="882" spans="1:50">
      <c r="A882" s="9" t="s">
        <v>772</v>
      </c>
      <c r="B882" s="10" t="s">
        <v>283</v>
      </c>
      <c r="C882" s="11" t="s">
        <v>773</v>
      </c>
      <c r="D882" s="11" t="s">
        <v>774</v>
      </c>
      <c r="E882" s="11" t="s">
        <v>55</v>
      </c>
      <c r="F882" s="11" t="s">
        <v>144</v>
      </c>
      <c r="G882" s="11" t="s">
        <v>145</v>
      </c>
      <c r="H882" s="11" t="s">
        <v>94</v>
      </c>
      <c r="I882" s="11" t="s">
        <v>39</v>
      </c>
      <c r="J882" s="11" t="s">
        <v>40</v>
      </c>
      <c r="K882" s="25">
        <v>9</v>
      </c>
      <c r="L882" s="25">
        <v>15000</v>
      </c>
      <c r="M882" s="29">
        <v>0.15</v>
      </c>
      <c r="N882" s="25">
        <v>114750</v>
      </c>
      <c r="O882" s="25">
        <v>80835.210000000006</v>
      </c>
      <c r="P882" s="25">
        <v>33914.79</v>
      </c>
      <c r="Q882" s="21">
        <v>29.56</v>
      </c>
      <c r="R882" s="11" t="s">
        <v>73</v>
      </c>
      <c r="S882" s="11" t="s">
        <v>42</v>
      </c>
      <c r="T882" s="11" t="s">
        <v>63</v>
      </c>
      <c r="U882" s="11" t="s">
        <v>108</v>
      </c>
      <c r="V882" s="11">
        <v>2024</v>
      </c>
      <c r="W882" s="11" t="s">
        <v>194</v>
      </c>
      <c r="X882" s="11">
        <v>7</v>
      </c>
      <c r="Y882" s="10">
        <v>45392</v>
      </c>
      <c r="Z882" s="11" t="s">
        <v>110</v>
      </c>
      <c r="AA882" s="11" t="s">
        <v>48</v>
      </c>
      <c r="AB882" s="11" t="s">
        <v>111</v>
      </c>
      <c r="AC882" s="11" t="s">
        <v>50</v>
      </c>
      <c r="AD882" s="11">
        <v>1</v>
      </c>
      <c r="AE882" s="11" t="s">
        <v>2226</v>
      </c>
      <c r="AF882" s="11" t="s">
        <v>2222</v>
      </c>
      <c r="AG882" s="25"/>
      <c r="AH882" s="11"/>
      <c r="AI882" s="11"/>
      <c r="AJ882" s="11"/>
      <c r="AK882" s="11"/>
      <c r="AL882" s="11"/>
      <c r="AM882" s="11" t="str">
        <f t="shared" si="69"/>
        <v>Needs Improvement</v>
      </c>
      <c r="AN882" s="11" t="str" cm="1">
        <f t="array" ref="AN882">_xlfn.IFS(N882&lt;10000,"Low",N882&lt;30000,"Medium",N882&gt;=30000,"High")</f>
        <v>High</v>
      </c>
      <c r="AO882" s="11" t="str">
        <f t="shared" si="70"/>
        <v>Yes</v>
      </c>
      <c r="AP882" s="11" t="str">
        <f t="shared" si="71"/>
        <v>Yes</v>
      </c>
      <c r="AQ882" s="11">
        <f t="shared" si="72"/>
        <v>0.2955537254901961</v>
      </c>
      <c r="AR882" s="33"/>
      <c r="AS882" s="33"/>
      <c r="AT882" s="33"/>
      <c r="AU882" s="33"/>
      <c r="AV882" s="33"/>
      <c r="AW882" s="33"/>
      <c r="AX882" s="33" t="str">
        <f t="shared" si="73"/>
        <v>Excellent</v>
      </c>
    </row>
    <row r="883" spans="1:50">
      <c r="A883" s="9" t="s">
        <v>899</v>
      </c>
      <c r="B883" s="10" t="s">
        <v>283</v>
      </c>
      <c r="C883" s="11" t="s">
        <v>757</v>
      </c>
      <c r="D883" s="11" t="s">
        <v>900</v>
      </c>
      <c r="E883" s="11" t="s">
        <v>55</v>
      </c>
      <c r="F883" s="11" t="s">
        <v>82</v>
      </c>
      <c r="G883" s="11" t="s">
        <v>83</v>
      </c>
      <c r="H883" s="11" t="s">
        <v>94</v>
      </c>
      <c r="I883" s="11" t="s">
        <v>39</v>
      </c>
      <c r="J883" s="11" t="s">
        <v>105</v>
      </c>
      <c r="K883" s="25">
        <v>8</v>
      </c>
      <c r="L883" s="25">
        <v>12000</v>
      </c>
      <c r="M883" s="29">
        <v>0</v>
      </c>
      <c r="N883" s="25">
        <v>96000</v>
      </c>
      <c r="O883" s="25">
        <v>53909.59</v>
      </c>
      <c r="P883" s="25">
        <v>42090.41</v>
      </c>
      <c r="Q883" s="21">
        <v>43.84</v>
      </c>
      <c r="R883" s="11" t="s">
        <v>166</v>
      </c>
      <c r="S883" s="11" t="s">
        <v>62</v>
      </c>
      <c r="T883" s="11" t="s">
        <v>43</v>
      </c>
      <c r="U883" s="11" t="s">
        <v>108</v>
      </c>
      <c r="V883" s="11">
        <v>2024</v>
      </c>
      <c r="W883" s="11" t="s">
        <v>194</v>
      </c>
      <c r="X883" s="11">
        <v>6</v>
      </c>
      <c r="Y883" s="10">
        <v>45361</v>
      </c>
      <c r="Z883" s="11" t="s">
        <v>47</v>
      </c>
      <c r="AA883" s="11" t="s">
        <v>90</v>
      </c>
      <c r="AB883" s="11" t="s">
        <v>111</v>
      </c>
      <c r="AC883" s="11" t="s">
        <v>50</v>
      </c>
      <c r="AD883" s="11">
        <v>1</v>
      </c>
      <c r="AE883" s="11" t="s">
        <v>2227</v>
      </c>
      <c r="AF883" s="11" t="s">
        <v>2230</v>
      </c>
      <c r="AG883" s="25"/>
      <c r="AH883" s="11"/>
      <c r="AI883" s="11"/>
      <c r="AJ883" s="11"/>
      <c r="AK883" s="11"/>
      <c r="AL883" s="11"/>
      <c r="AM883" s="11" t="str">
        <f t="shared" si="69"/>
        <v>Good</v>
      </c>
      <c r="AN883" s="11" t="str" cm="1">
        <f t="array" ref="AN883">_xlfn.IFS(N883&lt;10000,"Low",N883&lt;30000,"Medium",N883&gt;=30000,"High")</f>
        <v>High</v>
      </c>
      <c r="AO883" s="11" t="str">
        <f t="shared" si="70"/>
        <v>Yes</v>
      </c>
      <c r="AP883" s="11" t="str">
        <f t="shared" si="71"/>
        <v>No</v>
      </c>
      <c r="AQ883" s="11">
        <f t="shared" si="72"/>
        <v>0.43844177083333336</v>
      </c>
      <c r="AR883" s="33"/>
      <c r="AS883" s="33"/>
      <c r="AT883" s="33"/>
      <c r="AU883" s="33"/>
      <c r="AV883" s="33"/>
      <c r="AW883" s="33"/>
      <c r="AX883" s="33" t="str">
        <f t="shared" si="73"/>
        <v>Excellent</v>
      </c>
    </row>
    <row r="884" spans="1:50">
      <c r="A884" s="9" t="s">
        <v>1009</v>
      </c>
      <c r="B884" s="10" t="s">
        <v>1010</v>
      </c>
      <c r="C884" s="11" t="s">
        <v>312</v>
      </c>
      <c r="D884" s="11" t="s">
        <v>1011</v>
      </c>
      <c r="E884" s="11" t="s">
        <v>55</v>
      </c>
      <c r="F884" s="11" t="s">
        <v>131</v>
      </c>
      <c r="G884" s="11" t="s">
        <v>132</v>
      </c>
      <c r="H884" s="11" t="s">
        <v>38</v>
      </c>
      <c r="I884" s="11" t="s">
        <v>71</v>
      </c>
      <c r="J884" s="11" t="s">
        <v>117</v>
      </c>
      <c r="K884" s="25">
        <v>1</v>
      </c>
      <c r="L884" s="25">
        <v>3500</v>
      </c>
      <c r="M884" s="29">
        <v>0.1</v>
      </c>
      <c r="N884" s="25">
        <v>3150</v>
      </c>
      <c r="O884" s="25">
        <v>2345.71</v>
      </c>
      <c r="P884" s="25">
        <v>804.29</v>
      </c>
      <c r="Q884" s="21">
        <v>25.53</v>
      </c>
      <c r="R884" s="11" t="s">
        <v>41</v>
      </c>
      <c r="S884" s="11" t="s">
        <v>42</v>
      </c>
      <c r="T884" s="11" t="s">
        <v>138</v>
      </c>
      <c r="U884" s="11" t="s">
        <v>108</v>
      </c>
      <c r="V884" s="11">
        <v>2025</v>
      </c>
      <c r="W884" s="11" t="s">
        <v>65</v>
      </c>
      <c r="X884" s="11">
        <v>4</v>
      </c>
      <c r="Y884" s="10">
        <v>45667</v>
      </c>
      <c r="Z884" s="11" t="s">
        <v>47</v>
      </c>
      <c r="AA884" s="11" t="s">
        <v>48</v>
      </c>
      <c r="AB884" s="11" t="s">
        <v>49</v>
      </c>
      <c r="AC884" s="11" t="s">
        <v>50</v>
      </c>
      <c r="AD884" s="11">
        <v>3</v>
      </c>
      <c r="AE884" s="11" t="s">
        <v>2240</v>
      </c>
      <c r="AF884" s="11" t="s">
        <v>2217</v>
      </c>
      <c r="AG884" s="25"/>
      <c r="AH884" s="11"/>
      <c r="AI884" s="11"/>
      <c r="AJ884" s="11"/>
      <c r="AK884" s="11"/>
      <c r="AL884" s="11"/>
      <c r="AM884" s="11" t="str">
        <f t="shared" si="69"/>
        <v>Needs Improvement</v>
      </c>
      <c r="AN884" s="11" t="str" cm="1">
        <f t="array" ref="AN884">_xlfn.IFS(N884&lt;10000,"Low",N884&lt;30000,"Medium",N884&gt;=30000,"High")</f>
        <v>Low</v>
      </c>
      <c r="AO884" s="11" t="str">
        <f t="shared" si="70"/>
        <v>No</v>
      </c>
      <c r="AP884" s="11" t="str">
        <f t="shared" si="71"/>
        <v>Yes</v>
      </c>
      <c r="AQ884" s="11">
        <f t="shared" si="72"/>
        <v>0.25533015873015874</v>
      </c>
      <c r="AR884" s="33"/>
      <c r="AS884" s="33"/>
      <c r="AT884" s="33"/>
      <c r="AU884" s="33"/>
      <c r="AV884" s="33"/>
      <c r="AW884" s="33"/>
      <c r="AX884" s="33" t="str">
        <f t="shared" si="73"/>
        <v>Low</v>
      </c>
    </row>
    <row r="885" spans="1:50">
      <c r="A885" s="9" t="s">
        <v>1576</v>
      </c>
      <c r="B885" s="10" t="s">
        <v>1577</v>
      </c>
      <c r="C885" s="11" t="s">
        <v>1085</v>
      </c>
      <c r="D885" s="11" t="s">
        <v>1187</v>
      </c>
      <c r="E885" s="11" t="s">
        <v>55</v>
      </c>
      <c r="F885" s="11" t="s">
        <v>245</v>
      </c>
      <c r="G885" s="11" t="s">
        <v>246</v>
      </c>
      <c r="H885" s="11" t="s">
        <v>94</v>
      </c>
      <c r="I885" s="11" t="s">
        <v>39</v>
      </c>
      <c r="J885" s="11" t="s">
        <v>165</v>
      </c>
      <c r="K885" s="25">
        <v>5</v>
      </c>
      <c r="L885" s="25">
        <v>35000</v>
      </c>
      <c r="M885" s="29">
        <v>0.15</v>
      </c>
      <c r="N885" s="25">
        <v>148750</v>
      </c>
      <c r="O885" s="25">
        <v>95959.87</v>
      </c>
      <c r="P885" s="25">
        <v>52790.13</v>
      </c>
      <c r="Q885" s="21">
        <v>35.49</v>
      </c>
      <c r="R885" s="11" t="s">
        <v>73</v>
      </c>
      <c r="S885" s="11" t="s">
        <v>62</v>
      </c>
      <c r="T885" s="11" t="s">
        <v>86</v>
      </c>
      <c r="U885" s="11" t="s">
        <v>87</v>
      </c>
      <c r="V885" s="11">
        <v>2024</v>
      </c>
      <c r="W885" s="11" t="s">
        <v>45</v>
      </c>
      <c r="X885" s="11">
        <v>10</v>
      </c>
      <c r="Y885" s="10">
        <v>45454</v>
      </c>
      <c r="Z885" s="11" t="s">
        <v>89</v>
      </c>
      <c r="AA885" s="11" t="s">
        <v>90</v>
      </c>
      <c r="AB885" s="11" t="s">
        <v>49</v>
      </c>
      <c r="AC885" s="11" t="s">
        <v>50</v>
      </c>
      <c r="AD885" s="11">
        <v>3</v>
      </c>
      <c r="AE885" s="11" t="s">
        <v>2209</v>
      </c>
      <c r="AF885" s="11" t="s">
        <v>2222</v>
      </c>
      <c r="AG885" s="25"/>
      <c r="AH885" s="11"/>
      <c r="AI885" s="11"/>
      <c r="AJ885" s="11"/>
      <c r="AK885" s="11"/>
      <c r="AL885" s="11"/>
      <c r="AM885" s="11" t="str">
        <f t="shared" si="69"/>
        <v>Good</v>
      </c>
      <c r="AN885" s="11" t="str" cm="1">
        <f t="array" ref="AN885">_xlfn.IFS(N885&lt;10000,"Low",N885&lt;30000,"Medium",N885&gt;=30000,"High")</f>
        <v>High</v>
      </c>
      <c r="AO885" s="11" t="str">
        <f t="shared" si="70"/>
        <v>Yes</v>
      </c>
      <c r="AP885" s="11" t="str">
        <f t="shared" si="71"/>
        <v>No</v>
      </c>
      <c r="AQ885" s="11">
        <f t="shared" si="72"/>
        <v>0.3548916302521008</v>
      </c>
      <c r="AR885" s="33"/>
      <c r="AS885" s="33"/>
      <c r="AT885" s="33"/>
      <c r="AU885" s="33"/>
      <c r="AV885" s="33"/>
      <c r="AW885" s="33"/>
      <c r="AX885" s="33" t="str">
        <f t="shared" si="73"/>
        <v>Excellent</v>
      </c>
    </row>
    <row r="886" spans="1:50">
      <c r="A886" s="9" t="s">
        <v>2085</v>
      </c>
      <c r="B886" s="10" t="s">
        <v>1577</v>
      </c>
      <c r="C886" s="11" t="s">
        <v>53</v>
      </c>
      <c r="D886" s="11" t="s">
        <v>1035</v>
      </c>
      <c r="E886" s="11" t="s">
        <v>35</v>
      </c>
      <c r="F886" s="11" t="s">
        <v>56</v>
      </c>
      <c r="G886" s="11" t="s">
        <v>57</v>
      </c>
      <c r="H886" s="11" t="s">
        <v>38</v>
      </c>
      <c r="I886" s="11" t="s">
        <v>95</v>
      </c>
      <c r="J886" s="11" t="s">
        <v>319</v>
      </c>
      <c r="K886" s="25">
        <v>10</v>
      </c>
      <c r="L886" s="25">
        <v>4000</v>
      </c>
      <c r="M886" s="29">
        <v>0</v>
      </c>
      <c r="N886" s="25">
        <v>40000</v>
      </c>
      <c r="O886" s="25">
        <v>26659.64</v>
      </c>
      <c r="P886" s="25">
        <v>13340.36</v>
      </c>
      <c r="Q886" s="21">
        <v>33.35</v>
      </c>
      <c r="R886" s="11" t="s">
        <v>166</v>
      </c>
      <c r="S886" s="11" t="s">
        <v>42</v>
      </c>
      <c r="T886" s="11" t="s">
        <v>159</v>
      </c>
      <c r="U886" s="11" t="s">
        <v>87</v>
      </c>
      <c r="V886" s="11">
        <v>2024</v>
      </c>
      <c r="W886" s="11" t="s">
        <v>45</v>
      </c>
      <c r="X886" s="11">
        <v>10</v>
      </c>
      <c r="Y886" s="10">
        <v>45454</v>
      </c>
      <c r="Z886" s="11" t="s">
        <v>47</v>
      </c>
      <c r="AA886" s="11" t="s">
        <v>48</v>
      </c>
      <c r="AB886" s="11" t="s">
        <v>49</v>
      </c>
      <c r="AC886" s="11" t="s">
        <v>121</v>
      </c>
      <c r="AD886" s="11">
        <v>3</v>
      </c>
      <c r="AE886" s="11" t="s">
        <v>86</v>
      </c>
      <c r="AF886" s="11" t="s">
        <v>2210</v>
      </c>
      <c r="AG886" s="25"/>
      <c r="AH886" s="11"/>
      <c r="AI886" s="11"/>
      <c r="AJ886" s="11"/>
      <c r="AK886" s="11"/>
      <c r="AL886" s="11"/>
      <c r="AM886" s="11" t="str">
        <f t="shared" si="69"/>
        <v>Good</v>
      </c>
      <c r="AN886" s="11" t="str" cm="1">
        <f t="array" ref="AN886">_xlfn.IFS(N886&lt;10000,"Low",N886&lt;30000,"Medium",N886&gt;=30000,"High")</f>
        <v>High</v>
      </c>
      <c r="AO886" s="11" t="str">
        <f t="shared" si="70"/>
        <v>Yes</v>
      </c>
      <c r="AP886" s="11" t="str">
        <f t="shared" si="71"/>
        <v>Yes</v>
      </c>
      <c r="AQ886" s="11">
        <f t="shared" si="72"/>
        <v>0.333509</v>
      </c>
      <c r="AR886" s="33"/>
      <c r="AS886" s="33"/>
      <c r="AT886" s="33"/>
      <c r="AU886" s="33"/>
      <c r="AV886" s="33"/>
      <c r="AW886" s="33"/>
      <c r="AX886" s="33" t="str">
        <f t="shared" si="73"/>
        <v>Good</v>
      </c>
    </row>
    <row r="887" spans="1:50">
      <c r="A887" s="9" t="s">
        <v>479</v>
      </c>
      <c r="B887" s="10" t="s">
        <v>480</v>
      </c>
      <c r="C887" s="11" t="s">
        <v>481</v>
      </c>
      <c r="D887" s="11" t="s">
        <v>258</v>
      </c>
      <c r="E887" s="11" t="s">
        <v>103</v>
      </c>
      <c r="F887" s="11" t="s">
        <v>144</v>
      </c>
      <c r="G887" s="11" t="s">
        <v>145</v>
      </c>
      <c r="H887" s="11" t="s">
        <v>94</v>
      </c>
      <c r="I887" s="11" t="s">
        <v>95</v>
      </c>
      <c r="J887" s="11" t="s">
        <v>96</v>
      </c>
      <c r="K887" s="25">
        <v>6</v>
      </c>
      <c r="L887" s="25">
        <v>9000</v>
      </c>
      <c r="M887" s="29">
        <v>0.1</v>
      </c>
      <c r="N887" s="25">
        <v>48600</v>
      </c>
      <c r="O887" s="25">
        <v>39333.94</v>
      </c>
      <c r="P887" s="25">
        <v>9266.06</v>
      </c>
      <c r="Q887" s="21">
        <v>19.07</v>
      </c>
      <c r="R887" s="11" t="s">
        <v>41</v>
      </c>
      <c r="S887" s="11" t="s">
        <v>74</v>
      </c>
      <c r="T887" s="11" t="s">
        <v>159</v>
      </c>
      <c r="U887" s="11" t="s">
        <v>87</v>
      </c>
      <c r="V887" s="11">
        <v>2025</v>
      </c>
      <c r="W887" s="11" t="s">
        <v>126</v>
      </c>
      <c r="X887" s="11">
        <v>5</v>
      </c>
      <c r="Y887" s="10">
        <v>45668</v>
      </c>
      <c r="Z887" s="11" t="s">
        <v>47</v>
      </c>
      <c r="AA887" s="11" t="s">
        <v>67</v>
      </c>
      <c r="AB887" s="11" t="s">
        <v>111</v>
      </c>
      <c r="AC887" s="11" t="s">
        <v>50</v>
      </c>
      <c r="AD887" s="11">
        <v>2</v>
      </c>
      <c r="AE887" s="11" t="s">
        <v>2248</v>
      </c>
      <c r="AF887" s="11" t="s">
        <v>2219</v>
      </c>
      <c r="AG887" s="25"/>
      <c r="AH887" s="11"/>
      <c r="AI887" s="11"/>
      <c r="AJ887" s="11"/>
      <c r="AK887" s="11"/>
      <c r="AL887" s="11"/>
      <c r="AM887" s="11" t="str">
        <f t="shared" si="69"/>
        <v>Needs Improvement</v>
      </c>
      <c r="AN887" s="11" t="str" cm="1">
        <f t="array" ref="AN887">_xlfn.IFS(N887&lt;10000,"Low",N887&lt;30000,"Medium",N887&gt;=30000,"High")</f>
        <v>High</v>
      </c>
      <c r="AO887" s="11" t="str">
        <f t="shared" si="70"/>
        <v>No</v>
      </c>
      <c r="AP887" s="11" t="str">
        <f t="shared" si="71"/>
        <v>Yes</v>
      </c>
      <c r="AQ887" s="11">
        <f t="shared" si="72"/>
        <v>0.190659670781893</v>
      </c>
      <c r="AR887" s="33"/>
      <c r="AS887" s="33"/>
      <c r="AT887" s="33"/>
      <c r="AU887" s="33"/>
      <c r="AV887" s="33"/>
      <c r="AW887" s="33"/>
      <c r="AX887" s="33" t="str">
        <f t="shared" si="73"/>
        <v>Average</v>
      </c>
    </row>
    <row r="888" spans="1:50">
      <c r="A888" s="9" t="s">
        <v>683</v>
      </c>
      <c r="B888" s="10" t="s">
        <v>480</v>
      </c>
      <c r="C888" s="11" t="s">
        <v>227</v>
      </c>
      <c r="D888" s="11" t="s">
        <v>684</v>
      </c>
      <c r="E888" s="11" t="s">
        <v>55</v>
      </c>
      <c r="F888" s="11" t="s">
        <v>245</v>
      </c>
      <c r="G888" s="11" t="s">
        <v>246</v>
      </c>
      <c r="H888" s="11" t="s">
        <v>94</v>
      </c>
      <c r="I888" s="11" t="s">
        <v>39</v>
      </c>
      <c r="J888" s="11" t="s">
        <v>165</v>
      </c>
      <c r="K888" s="25">
        <v>10</v>
      </c>
      <c r="L888" s="25">
        <v>8000</v>
      </c>
      <c r="M888" s="29">
        <v>0.2</v>
      </c>
      <c r="N888" s="25">
        <v>64000</v>
      </c>
      <c r="O888" s="25">
        <v>41268.519999999997</v>
      </c>
      <c r="P888" s="25">
        <v>22731.48</v>
      </c>
      <c r="Q888" s="21">
        <v>35.520000000000003</v>
      </c>
      <c r="R888" s="11" t="s">
        <v>73</v>
      </c>
      <c r="S888" s="11" t="s">
        <v>74</v>
      </c>
      <c r="T888" s="11" t="s">
        <v>173</v>
      </c>
      <c r="U888" s="11" t="s">
        <v>87</v>
      </c>
      <c r="V888" s="11">
        <v>2025</v>
      </c>
      <c r="W888" s="11" t="s">
        <v>126</v>
      </c>
      <c r="X888" s="11">
        <v>3</v>
      </c>
      <c r="Y888" s="10" t="s">
        <v>685</v>
      </c>
      <c r="Z888" s="11" t="s">
        <v>110</v>
      </c>
      <c r="AA888" s="11" t="s">
        <v>90</v>
      </c>
      <c r="AB888" s="11" t="s">
        <v>49</v>
      </c>
      <c r="AC888" s="11" t="s">
        <v>50</v>
      </c>
      <c r="AD888" s="11">
        <v>3</v>
      </c>
      <c r="AE888" s="11" t="s">
        <v>2233</v>
      </c>
      <c r="AF888" s="11" t="s">
        <v>2230</v>
      </c>
      <c r="AG888" s="25"/>
      <c r="AH888" s="11"/>
      <c r="AI888" s="11"/>
      <c r="AJ888" s="11"/>
      <c r="AK888" s="11"/>
      <c r="AL888" s="11"/>
      <c r="AM888" s="11" t="str">
        <f t="shared" si="69"/>
        <v>Good</v>
      </c>
      <c r="AN888" s="11" t="str" cm="1">
        <f t="array" ref="AN888">_xlfn.IFS(N888&lt;10000,"Low",N888&lt;30000,"Medium",N888&gt;=30000,"High")</f>
        <v>High</v>
      </c>
      <c r="AO888" s="11" t="str">
        <f t="shared" si="70"/>
        <v>Yes</v>
      </c>
      <c r="AP888" s="11" t="str">
        <f t="shared" si="71"/>
        <v>Yes</v>
      </c>
      <c r="AQ888" s="11">
        <f t="shared" si="72"/>
        <v>0.35517937500000002</v>
      </c>
      <c r="AR888" s="33"/>
      <c r="AS888" s="33"/>
      <c r="AT888" s="33"/>
      <c r="AU888" s="33"/>
      <c r="AV888" s="33"/>
      <c r="AW888" s="33"/>
      <c r="AX888" s="33" t="str">
        <f t="shared" si="73"/>
        <v>Excellent</v>
      </c>
    </row>
    <row r="889" spans="1:50">
      <c r="A889" s="9" t="s">
        <v>1474</v>
      </c>
      <c r="B889" s="10" t="s">
        <v>480</v>
      </c>
      <c r="C889" s="11" t="s">
        <v>1149</v>
      </c>
      <c r="D889" s="11" t="s">
        <v>1431</v>
      </c>
      <c r="E889" s="11" t="s">
        <v>35</v>
      </c>
      <c r="F889" s="11" t="s">
        <v>82</v>
      </c>
      <c r="G889" s="11" t="s">
        <v>83</v>
      </c>
      <c r="H889" s="11" t="s">
        <v>58</v>
      </c>
      <c r="I889" s="11" t="s">
        <v>71</v>
      </c>
      <c r="J889" s="11" t="s">
        <v>117</v>
      </c>
      <c r="K889" s="25">
        <v>1</v>
      </c>
      <c r="L889" s="25">
        <v>700</v>
      </c>
      <c r="M889" s="29">
        <v>0.2</v>
      </c>
      <c r="N889" s="25">
        <v>560</v>
      </c>
      <c r="O889" s="25">
        <v>373.59</v>
      </c>
      <c r="P889" s="25">
        <v>186.41</v>
      </c>
      <c r="Q889" s="21">
        <v>33.29</v>
      </c>
      <c r="R889" s="11" t="s">
        <v>73</v>
      </c>
      <c r="S889" s="11" t="s">
        <v>62</v>
      </c>
      <c r="T889" s="11" t="s">
        <v>138</v>
      </c>
      <c r="U889" s="11" t="s">
        <v>87</v>
      </c>
      <c r="V889" s="11">
        <v>2025</v>
      </c>
      <c r="W889" s="11" t="s">
        <v>126</v>
      </c>
      <c r="X889" s="11">
        <v>6</v>
      </c>
      <c r="Y889" s="10">
        <v>45699</v>
      </c>
      <c r="Z889" s="11" t="s">
        <v>89</v>
      </c>
      <c r="AA889" s="11" t="s">
        <v>67</v>
      </c>
      <c r="AB889" s="11" t="s">
        <v>111</v>
      </c>
      <c r="AC889" s="11" t="s">
        <v>121</v>
      </c>
      <c r="AD889" s="11">
        <v>4</v>
      </c>
      <c r="AE889" s="11" t="s">
        <v>118</v>
      </c>
      <c r="AF889" s="11" t="s">
        <v>2212</v>
      </c>
      <c r="AG889" s="25"/>
      <c r="AH889" s="11"/>
      <c r="AI889" s="11"/>
      <c r="AJ889" s="11"/>
      <c r="AK889" s="11"/>
      <c r="AL889" s="11"/>
      <c r="AM889" s="11" t="str">
        <f t="shared" si="69"/>
        <v>Good</v>
      </c>
      <c r="AN889" s="11" t="str" cm="1">
        <f t="array" ref="AN889">_xlfn.IFS(N889&lt;10000,"Low",N889&lt;30000,"Medium",N889&gt;=30000,"High")</f>
        <v>Low</v>
      </c>
      <c r="AO889" s="11" t="str">
        <f t="shared" si="70"/>
        <v>No</v>
      </c>
      <c r="AP889" s="11" t="str">
        <f t="shared" si="71"/>
        <v>No</v>
      </c>
      <c r="AQ889" s="11">
        <f t="shared" si="72"/>
        <v>0.33287499999999998</v>
      </c>
      <c r="AR889" s="33"/>
      <c r="AS889" s="33"/>
      <c r="AT889" s="33"/>
      <c r="AU889" s="33"/>
      <c r="AV889" s="33"/>
      <c r="AW889" s="33"/>
      <c r="AX889" s="33" t="str">
        <f t="shared" si="73"/>
        <v>Low</v>
      </c>
    </row>
    <row r="890" spans="1:50">
      <c r="A890" s="9" t="s">
        <v>1773</v>
      </c>
      <c r="B890" s="10" t="s">
        <v>480</v>
      </c>
      <c r="C890" s="11" t="s">
        <v>210</v>
      </c>
      <c r="D890" s="11" t="s">
        <v>1127</v>
      </c>
      <c r="E890" s="11" t="s">
        <v>55</v>
      </c>
      <c r="F890" s="11" t="s">
        <v>245</v>
      </c>
      <c r="G890" s="11" t="s">
        <v>246</v>
      </c>
      <c r="H890" s="11" t="s">
        <v>38</v>
      </c>
      <c r="I890" s="11" t="s">
        <v>59</v>
      </c>
      <c r="J890" s="11" t="s">
        <v>328</v>
      </c>
      <c r="K890" s="25">
        <v>10</v>
      </c>
      <c r="L890" s="25">
        <v>2000</v>
      </c>
      <c r="M890" s="29">
        <v>0.2</v>
      </c>
      <c r="N890" s="25">
        <v>16000</v>
      </c>
      <c r="O890" s="25">
        <v>12113.94</v>
      </c>
      <c r="P890" s="25">
        <v>3886.06</v>
      </c>
      <c r="Q890" s="21">
        <v>24.29</v>
      </c>
      <c r="R890" s="11" t="s">
        <v>61</v>
      </c>
      <c r="S890" s="11" t="s">
        <v>74</v>
      </c>
      <c r="T890" s="11" t="s">
        <v>118</v>
      </c>
      <c r="U890" s="11" t="s">
        <v>87</v>
      </c>
      <c r="V890" s="11">
        <v>2025</v>
      </c>
      <c r="W890" s="11" t="s">
        <v>126</v>
      </c>
      <c r="X890" s="11">
        <v>4</v>
      </c>
      <c r="Y890" s="10" t="s">
        <v>551</v>
      </c>
      <c r="Z890" s="11" t="s">
        <v>47</v>
      </c>
      <c r="AA890" s="11" t="s">
        <v>48</v>
      </c>
      <c r="AB890" s="11" t="s">
        <v>111</v>
      </c>
      <c r="AC890" s="11" t="s">
        <v>50</v>
      </c>
      <c r="AD890" s="11">
        <v>4</v>
      </c>
      <c r="AE890" s="11" t="s">
        <v>2225</v>
      </c>
      <c r="AF890" s="11" t="s">
        <v>2219</v>
      </c>
      <c r="AG890" s="25"/>
      <c r="AH890" s="11"/>
      <c r="AI890" s="11"/>
      <c r="AJ890" s="11"/>
      <c r="AK890" s="11"/>
      <c r="AL890" s="11"/>
      <c r="AM890" s="11" t="str">
        <f t="shared" si="69"/>
        <v>Needs Improvement</v>
      </c>
      <c r="AN890" s="11" t="str" cm="1">
        <f t="array" ref="AN890">_xlfn.IFS(N890&lt;10000,"Low",N890&lt;30000,"Medium",N890&gt;=30000,"High")</f>
        <v>Medium</v>
      </c>
      <c r="AO890" s="11" t="str">
        <f t="shared" si="70"/>
        <v>No</v>
      </c>
      <c r="AP890" s="11" t="str">
        <f t="shared" si="71"/>
        <v>Yes</v>
      </c>
      <c r="AQ890" s="11">
        <f t="shared" si="72"/>
        <v>0.24287875</v>
      </c>
      <c r="AR890" s="33"/>
      <c r="AS890" s="33"/>
      <c r="AT890" s="33"/>
      <c r="AU890" s="33"/>
      <c r="AV890" s="33"/>
      <c r="AW890" s="33"/>
      <c r="AX890" s="33" t="str">
        <f t="shared" si="73"/>
        <v>Low</v>
      </c>
    </row>
    <row r="891" spans="1:50">
      <c r="A891" s="9" t="s">
        <v>1892</v>
      </c>
      <c r="B891" s="10" t="s">
        <v>480</v>
      </c>
      <c r="C891" s="11" t="s">
        <v>1117</v>
      </c>
      <c r="D891" s="11" t="s">
        <v>177</v>
      </c>
      <c r="E891" s="11" t="s">
        <v>55</v>
      </c>
      <c r="F891" s="11" t="s">
        <v>104</v>
      </c>
      <c r="G891" s="11" t="s">
        <v>104</v>
      </c>
      <c r="H891" s="11" t="s">
        <v>38</v>
      </c>
      <c r="I891" s="11" t="s">
        <v>84</v>
      </c>
      <c r="J891" s="11" t="s">
        <v>85</v>
      </c>
      <c r="K891" s="25">
        <v>4</v>
      </c>
      <c r="L891" s="25">
        <v>500</v>
      </c>
      <c r="M891" s="29">
        <v>0</v>
      </c>
      <c r="N891" s="25">
        <v>2000</v>
      </c>
      <c r="O891" s="25">
        <v>1551.11</v>
      </c>
      <c r="P891" s="25">
        <v>448.89</v>
      </c>
      <c r="Q891" s="21">
        <v>22.44</v>
      </c>
      <c r="R891" s="11" t="s">
        <v>106</v>
      </c>
      <c r="S891" s="11" t="s">
        <v>62</v>
      </c>
      <c r="T891" s="11" t="s">
        <v>97</v>
      </c>
      <c r="U891" s="11" t="s">
        <v>87</v>
      </c>
      <c r="V891" s="11">
        <v>2025</v>
      </c>
      <c r="W891" s="11" t="s">
        <v>126</v>
      </c>
      <c r="X891" s="11">
        <v>1</v>
      </c>
      <c r="Y891" s="10" t="s">
        <v>1006</v>
      </c>
      <c r="Z891" s="11" t="s">
        <v>89</v>
      </c>
      <c r="AA891" s="11" t="s">
        <v>90</v>
      </c>
      <c r="AB891" s="11" t="s">
        <v>111</v>
      </c>
      <c r="AC891" s="11" t="s">
        <v>50</v>
      </c>
      <c r="AD891" s="11">
        <v>4</v>
      </c>
      <c r="AE891" s="11" t="s">
        <v>2240</v>
      </c>
      <c r="AF891" s="11" t="s">
        <v>2214</v>
      </c>
      <c r="AG891" s="25"/>
      <c r="AH891" s="11"/>
      <c r="AI891" s="11"/>
      <c r="AJ891" s="11"/>
      <c r="AK891" s="11"/>
      <c r="AL891" s="11"/>
      <c r="AM891" s="11" t="str">
        <f t="shared" si="69"/>
        <v>Needs Improvement</v>
      </c>
      <c r="AN891" s="11" t="str" cm="1">
        <f t="array" ref="AN891">_xlfn.IFS(N891&lt;10000,"Low",N891&lt;30000,"Medium",N891&gt;=30000,"High")</f>
        <v>Low</v>
      </c>
      <c r="AO891" s="11" t="str">
        <f t="shared" si="70"/>
        <v>No</v>
      </c>
      <c r="AP891" s="11" t="str">
        <f t="shared" si="71"/>
        <v>No</v>
      </c>
      <c r="AQ891" s="11">
        <f t="shared" si="72"/>
        <v>0.22444500000000001</v>
      </c>
      <c r="AR891" s="33"/>
      <c r="AS891" s="33"/>
      <c r="AT891" s="33"/>
      <c r="AU891" s="33"/>
      <c r="AV891" s="33"/>
      <c r="AW891" s="33"/>
      <c r="AX891" s="33" t="str">
        <f t="shared" si="73"/>
        <v>Low</v>
      </c>
    </row>
    <row r="892" spans="1:50">
      <c r="A892" s="9" t="s">
        <v>1993</v>
      </c>
      <c r="B892" s="10" t="s">
        <v>480</v>
      </c>
      <c r="C892" s="11" t="s">
        <v>1994</v>
      </c>
      <c r="D892" s="11" t="s">
        <v>532</v>
      </c>
      <c r="E892" s="11" t="s">
        <v>35</v>
      </c>
      <c r="F892" s="11" t="s">
        <v>149</v>
      </c>
      <c r="G892" s="11" t="s">
        <v>150</v>
      </c>
      <c r="H892" s="11" t="s">
        <v>38</v>
      </c>
      <c r="I892" s="11" t="s">
        <v>59</v>
      </c>
      <c r="J892" s="11" t="s">
        <v>328</v>
      </c>
      <c r="K892" s="25">
        <v>9</v>
      </c>
      <c r="L892" s="25">
        <v>2000</v>
      </c>
      <c r="M892" s="29">
        <v>0.15</v>
      </c>
      <c r="N892" s="25">
        <v>15300</v>
      </c>
      <c r="O892" s="25">
        <v>8633.25</v>
      </c>
      <c r="P892" s="25">
        <v>6666.75</v>
      </c>
      <c r="Q892" s="21">
        <v>43.57</v>
      </c>
      <c r="R892" s="11" t="s">
        <v>73</v>
      </c>
      <c r="S892" s="11" t="s">
        <v>74</v>
      </c>
      <c r="T892" s="11" t="s">
        <v>107</v>
      </c>
      <c r="U892" s="11" t="s">
        <v>87</v>
      </c>
      <c r="V892" s="11">
        <v>2025</v>
      </c>
      <c r="W892" s="11" t="s">
        <v>126</v>
      </c>
      <c r="X892" s="11">
        <v>10</v>
      </c>
      <c r="Y892" s="10">
        <v>45819</v>
      </c>
      <c r="Z892" s="11" t="s">
        <v>47</v>
      </c>
      <c r="AA892" s="11" t="s">
        <v>48</v>
      </c>
      <c r="AB892" s="11" t="s">
        <v>111</v>
      </c>
      <c r="AC892" s="11" t="s">
        <v>121</v>
      </c>
      <c r="AD892" s="11">
        <v>2</v>
      </c>
      <c r="AE892" s="11" t="s">
        <v>2240</v>
      </c>
      <c r="AF892" s="11" t="s">
        <v>2230</v>
      </c>
      <c r="AG892" s="25"/>
      <c r="AH892" s="11"/>
      <c r="AI892" s="11"/>
      <c r="AJ892" s="11"/>
      <c r="AK892" s="11"/>
      <c r="AL892" s="11"/>
      <c r="AM892" s="11" t="str">
        <f t="shared" si="69"/>
        <v>Good</v>
      </c>
      <c r="AN892" s="11" t="str" cm="1">
        <f t="array" ref="AN892">_xlfn.IFS(N892&lt;10000,"Low",N892&lt;30000,"Medium",N892&gt;=30000,"High")</f>
        <v>Medium</v>
      </c>
      <c r="AO892" s="11" t="str">
        <f t="shared" si="70"/>
        <v>No</v>
      </c>
      <c r="AP892" s="11" t="str">
        <f t="shared" si="71"/>
        <v>Yes</v>
      </c>
      <c r="AQ892" s="11">
        <f t="shared" si="72"/>
        <v>0.43573529411764705</v>
      </c>
      <c r="AR892" s="33"/>
      <c r="AS892" s="33"/>
      <c r="AT892" s="33"/>
      <c r="AU892" s="33"/>
      <c r="AV892" s="33"/>
      <c r="AW892" s="33"/>
      <c r="AX892" s="33" t="str">
        <f t="shared" si="73"/>
        <v>Average</v>
      </c>
    </row>
    <row r="893" spans="1:50">
      <c r="A893" s="9" t="s">
        <v>1007</v>
      </c>
      <c r="B893" s="10" t="s">
        <v>1008</v>
      </c>
      <c r="C893" s="11" t="s">
        <v>397</v>
      </c>
      <c r="D893" s="11" t="s">
        <v>666</v>
      </c>
      <c r="E893" s="11" t="s">
        <v>35</v>
      </c>
      <c r="F893" s="11" t="s">
        <v>56</v>
      </c>
      <c r="G893" s="11" t="s">
        <v>57</v>
      </c>
      <c r="H893" s="11" t="s">
        <v>38</v>
      </c>
      <c r="I893" s="11" t="s">
        <v>95</v>
      </c>
      <c r="J893" s="11" t="s">
        <v>96</v>
      </c>
      <c r="K893" s="25">
        <v>3</v>
      </c>
      <c r="L893" s="25">
        <v>15000</v>
      </c>
      <c r="M893" s="29">
        <v>0.1</v>
      </c>
      <c r="N893" s="25">
        <v>40500</v>
      </c>
      <c r="O893" s="25">
        <v>31762.880000000001</v>
      </c>
      <c r="P893" s="25">
        <v>8737.1200000000008</v>
      </c>
      <c r="Q893" s="21">
        <v>21.57</v>
      </c>
      <c r="R893" s="11" t="s">
        <v>166</v>
      </c>
      <c r="S893" s="11" t="s">
        <v>62</v>
      </c>
      <c r="T893" s="11" t="s">
        <v>159</v>
      </c>
      <c r="U893" s="11" t="s">
        <v>198</v>
      </c>
      <c r="V893" s="11">
        <v>2024</v>
      </c>
      <c r="W893" s="11" t="s">
        <v>134</v>
      </c>
      <c r="X893" s="11">
        <v>8</v>
      </c>
      <c r="Y893" s="10">
        <v>45424</v>
      </c>
      <c r="Z893" s="11" t="s">
        <v>47</v>
      </c>
      <c r="AA893" s="11" t="s">
        <v>48</v>
      </c>
      <c r="AB893" s="11" t="s">
        <v>78</v>
      </c>
      <c r="AC893" s="11" t="s">
        <v>50</v>
      </c>
      <c r="AD893" s="11">
        <v>1</v>
      </c>
      <c r="AE893" s="11" t="s">
        <v>2240</v>
      </c>
      <c r="AF893" s="11" t="s">
        <v>2222</v>
      </c>
      <c r="AG893" s="25"/>
      <c r="AH893" s="11"/>
      <c r="AI893" s="11"/>
      <c r="AJ893" s="11"/>
      <c r="AK893" s="11"/>
      <c r="AL893" s="11"/>
      <c r="AM893" s="11" t="str">
        <f t="shared" si="69"/>
        <v>Needs Improvement</v>
      </c>
      <c r="AN893" s="11" t="str" cm="1">
        <f t="array" ref="AN893">_xlfn.IFS(N893&lt;10000,"Low",N893&lt;30000,"Medium",N893&gt;=30000,"High")</f>
        <v>High</v>
      </c>
      <c r="AO893" s="11" t="str">
        <f t="shared" si="70"/>
        <v>No</v>
      </c>
      <c r="AP893" s="11" t="str">
        <f t="shared" si="71"/>
        <v>No</v>
      </c>
      <c r="AQ893" s="11">
        <f t="shared" si="72"/>
        <v>0.21573135802469137</v>
      </c>
      <c r="AR893" s="33"/>
      <c r="AS893" s="33"/>
      <c r="AT893" s="33"/>
      <c r="AU893" s="33"/>
      <c r="AV893" s="33"/>
      <c r="AW893" s="33"/>
      <c r="AX893" s="33" t="str">
        <f t="shared" si="73"/>
        <v>Average</v>
      </c>
    </row>
    <row r="894" spans="1:50">
      <c r="A894" s="9" t="s">
        <v>1184</v>
      </c>
      <c r="B894" s="10" t="s">
        <v>441</v>
      </c>
      <c r="C894" s="11" t="s">
        <v>729</v>
      </c>
      <c r="D894" s="11" t="s">
        <v>130</v>
      </c>
      <c r="E894" s="11" t="s">
        <v>55</v>
      </c>
      <c r="F894" s="11" t="s">
        <v>149</v>
      </c>
      <c r="G894" s="11" t="s">
        <v>150</v>
      </c>
      <c r="H894" s="11" t="s">
        <v>58</v>
      </c>
      <c r="I894" s="11" t="s">
        <v>95</v>
      </c>
      <c r="J894" s="11" t="s">
        <v>184</v>
      </c>
      <c r="K894" s="25">
        <v>6</v>
      </c>
      <c r="L894" s="25">
        <v>6000</v>
      </c>
      <c r="M894" s="29">
        <v>0.2</v>
      </c>
      <c r="N894" s="25">
        <v>28800</v>
      </c>
      <c r="O894" s="25">
        <v>16263.48</v>
      </c>
      <c r="P894" s="25">
        <v>12536.52</v>
      </c>
      <c r="Q894" s="21">
        <v>43.53</v>
      </c>
      <c r="R894" s="11" t="s">
        <v>166</v>
      </c>
      <c r="S894" s="11" t="s">
        <v>42</v>
      </c>
      <c r="T894" s="11" t="s">
        <v>107</v>
      </c>
      <c r="U894" s="11" t="s">
        <v>198</v>
      </c>
      <c r="V894" s="11">
        <v>2025</v>
      </c>
      <c r="W894" s="11" t="s">
        <v>139</v>
      </c>
      <c r="X894" s="11">
        <v>7</v>
      </c>
      <c r="Y894" s="10">
        <v>45759</v>
      </c>
      <c r="Z894" s="11" t="s">
        <v>47</v>
      </c>
      <c r="AA894" s="11" t="s">
        <v>48</v>
      </c>
      <c r="AB894" s="11" t="s">
        <v>111</v>
      </c>
      <c r="AC894" s="11" t="s">
        <v>50</v>
      </c>
      <c r="AD894" s="11">
        <v>4</v>
      </c>
      <c r="AE894" s="11" t="s">
        <v>159</v>
      </c>
      <c r="AF894" s="11" t="s">
        <v>2219</v>
      </c>
      <c r="AG894" s="25"/>
      <c r="AH894" s="11"/>
      <c r="AI894" s="11"/>
      <c r="AJ894" s="11"/>
      <c r="AK894" s="11"/>
      <c r="AL894" s="11"/>
      <c r="AM894" s="11" t="str">
        <f t="shared" si="69"/>
        <v>Good</v>
      </c>
      <c r="AN894" s="11" t="str" cm="1">
        <f t="array" ref="AN894">_xlfn.IFS(N894&lt;10000,"Low",N894&lt;30000,"Medium",N894&gt;=30000,"High")</f>
        <v>Medium</v>
      </c>
      <c r="AO894" s="11" t="str">
        <f t="shared" si="70"/>
        <v>No</v>
      </c>
      <c r="AP894" s="11" t="str">
        <f t="shared" si="71"/>
        <v>Yes</v>
      </c>
      <c r="AQ894" s="11">
        <f t="shared" si="72"/>
        <v>0.43529583333333333</v>
      </c>
      <c r="AR894" s="33"/>
      <c r="AS894" s="33"/>
      <c r="AT894" s="33"/>
      <c r="AU894" s="33"/>
      <c r="AV894" s="33"/>
      <c r="AW894" s="33"/>
      <c r="AX894" s="33" t="str">
        <f t="shared" si="73"/>
        <v>Good</v>
      </c>
    </row>
    <row r="895" spans="1:50">
      <c r="A895" s="9" t="s">
        <v>2013</v>
      </c>
      <c r="B895" s="10" t="s">
        <v>441</v>
      </c>
      <c r="C895" s="11" t="s">
        <v>698</v>
      </c>
      <c r="D895" s="11" t="s">
        <v>684</v>
      </c>
      <c r="E895" s="11" t="s">
        <v>35</v>
      </c>
      <c r="F895" s="11" t="s">
        <v>116</v>
      </c>
      <c r="G895" s="11" t="s">
        <v>37</v>
      </c>
      <c r="H895" s="11" t="s">
        <v>58</v>
      </c>
      <c r="I895" s="11" t="s">
        <v>59</v>
      </c>
      <c r="J895" s="11" t="s">
        <v>328</v>
      </c>
      <c r="K895" s="25">
        <v>7</v>
      </c>
      <c r="L895" s="25">
        <v>500</v>
      </c>
      <c r="M895" s="29">
        <v>0.2</v>
      </c>
      <c r="N895" s="25">
        <v>2800</v>
      </c>
      <c r="O895" s="25">
        <v>1818.14</v>
      </c>
      <c r="P895" s="25">
        <v>981.86</v>
      </c>
      <c r="Q895" s="21">
        <v>35.07</v>
      </c>
      <c r="R895" s="11" t="s">
        <v>61</v>
      </c>
      <c r="S895" s="11" t="s">
        <v>42</v>
      </c>
      <c r="T895" s="11" t="s">
        <v>173</v>
      </c>
      <c r="U895" s="11" t="s">
        <v>198</v>
      </c>
      <c r="V895" s="11">
        <v>2025</v>
      </c>
      <c r="W895" s="11" t="s">
        <v>139</v>
      </c>
      <c r="X895" s="11">
        <v>4</v>
      </c>
      <c r="Y895" s="10">
        <v>45669</v>
      </c>
      <c r="Z895" s="11" t="s">
        <v>110</v>
      </c>
      <c r="AA895" s="11" t="s">
        <v>90</v>
      </c>
      <c r="AB895" s="11" t="s">
        <v>111</v>
      </c>
      <c r="AC895" s="11" t="s">
        <v>50</v>
      </c>
      <c r="AD895" s="11">
        <v>1</v>
      </c>
      <c r="AE895" s="11" t="s">
        <v>2233</v>
      </c>
      <c r="AF895" s="11" t="s">
        <v>2230</v>
      </c>
      <c r="AG895" s="25"/>
      <c r="AH895" s="11"/>
      <c r="AI895" s="11"/>
      <c r="AJ895" s="11"/>
      <c r="AK895" s="11"/>
      <c r="AL895" s="11"/>
      <c r="AM895" s="11" t="str">
        <f t="shared" si="69"/>
        <v>Good</v>
      </c>
      <c r="AN895" s="11" t="str" cm="1">
        <f t="array" ref="AN895">_xlfn.IFS(N895&lt;10000,"Low",N895&lt;30000,"Medium",N895&gt;=30000,"High")</f>
        <v>Low</v>
      </c>
      <c r="AO895" s="11" t="str">
        <f t="shared" si="70"/>
        <v>No</v>
      </c>
      <c r="AP895" s="11" t="str">
        <f t="shared" si="71"/>
        <v>Yes</v>
      </c>
      <c r="AQ895" s="11">
        <f t="shared" si="72"/>
        <v>0.35066428571428571</v>
      </c>
      <c r="AR895" s="33"/>
      <c r="AS895" s="33"/>
      <c r="AT895" s="33"/>
      <c r="AU895" s="33"/>
      <c r="AV895" s="33"/>
      <c r="AW895" s="33"/>
      <c r="AX895" s="33" t="str">
        <f t="shared" si="73"/>
        <v>Low</v>
      </c>
    </row>
    <row r="896" spans="1:50">
      <c r="A896" s="9" t="s">
        <v>2027</v>
      </c>
      <c r="B896" s="10" t="s">
        <v>1827</v>
      </c>
      <c r="C896" s="11" t="s">
        <v>249</v>
      </c>
      <c r="D896" s="11" t="s">
        <v>1551</v>
      </c>
      <c r="E896" s="11" t="s">
        <v>35</v>
      </c>
      <c r="F896" s="11" t="s">
        <v>131</v>
      </c>
      <c r="G896" s="11" t="s">
        <v>132</v>
      </c>
      <c r="H896" s="11" t="s">
        <v>171</v>
      </c>
      <c r="I896" s="11" t="s">
        <v>84</v>
      </c>
      <c r="J896" s="11" t="s">
        <v>85</v>
      </c>
      <c r="K896" s="25">
        <v>9</v>
      </c>
      <c r="L896" s="25">
        <v>350</v>
      </c>
      <c r="M896" s="29">
        <v>0.2</v>
      </c>
      <c r="N896" s="25">
        <v>2520</v>
      </c>
      <c r="O896" s="25">
        <v>1485.97</v>
      </c>
      <c r="P896" s="25">
        <v>1034.03</v>
      </c>
      <c r="Q896" s="21">
        <v>41.03</v>
      </c>
      <c r="R896" s="11" t="s">
        <v>41</v>
      </c>
      <c r="S896" s="11" t="s">
        <v>42</v>
      </c>
      <c r="T896" s="11" t="s">
        <v>86</v>
      </c>
      <c r="U896" s="11" t="s">
        <v>76</v>
      </c>
      <c r="V896" s="11">
        <v>2025</v>
      </c>
      <c r="W896" s="11" t="s">
        <v>109</v>
      </c>
      <c r="X896" s="11">
        <v>10</v>
      </c>
      <c r="Y896" s="10">
        <v>45840</v>
      </c>
      <c r="Z896" s="11" t="s">
        <v>47</v>
      </c>
      <c r="AA896" s="11" t="s">
        <v>90</v>
      </c>
      <c r="AB896" s="11" t="s">
        <v>49</v>
      </c>
      <c r="AC896" s="11" t="s">
        <v>121</v>
      </c>
      <c r="AD896" s="11">
        <v>2</v>
      </c>
      <c r="AE896" s="11" t="s">
        <v>2209</v>
      </c>
      <c r="AF896" s="11" t="s">
        <v>2228</v>
      </c>
      <c r="AG896" s="25"/>
      <c r="AH896" s="11"/>
      <c r="AI896" s="11"/>
      <c r="AJ896" s="11"/>
      <c r="AK896" s="11"/>
      <c r="AL896" s="11"/>
      <c r="AM896" s="11" t="str">
        <f t="shared" si="69"/>
        <v>Good</v>
      </c>
      <c r="AN896" s="11" t="str" cm="1">
        <f t="array" ref="AN896">_xlfn.IFS(N896&lt;10000,"Low",N896&lt;30000,"Medium",N896&gt;=30000,"High")</f>
        <v>Low</v>
      </c>
      <c r="AO896" s="11" t="str">
        <f t="shared" si="70"/>
        <v>No</v>
      </c>
      <c r="AP896" s="11" t="str">
        <f t="shared" si="71"/>
        <v>Yes</v>
      </c>
      <c r="AQ896" s="11">
        <f t="shared" si="72"/>
        <v>0.41032936507936507</v>
      </c>
      <c r="AR896" s="33"/>
      <c r="AS896" s="33"/>
      <c r="AT896" s="33"/>
      <c r="AU896" s="33"/>
      <c r="AV896" s="33"/>
      <c r="AW896" s="33"/>
      <c r="AX896" s="33" t="str">
        <f t="shared" si="73"/>
        <v>Low</v>
      </c>
    </row>
    <row r="897" spans="1:50">
      <c r="A897" s="9" t="s">
        <v>1496</v>
      </c>
      <c r="B897" s="10" t="s">
        <v>1283</v>
      </c>
      <c r="C897" s="11" t="s">
        <v>1497</v>
      </c>
      <c r="D897" s="11" t="s">
        <v>343</v>
      </c>
      <c r="E897" s="11" t="s">
        <v>35</v>
      </c>
      <c r="F897" s="11" t="s">
        <v>116</v>
      </c>
      <c r="G897" s="11" t="s">
        <v>37</v>
      </c>
      <c r="H897" s="11" t="s">
        <v>58</v>
      </c>
      <c r="I897" s="11" t="s">
        <v>59</v>
      </c>
      <c r="J897" s="11" t="s">
        <v>328</v>
      </c>
      <c r="K897" s="25">
        <v>8</v>
      </c>
      <c r="L897" s="25">
        <v>3000</v>
      </c>
      <c r="M897" s="29">
        <v>0.15</v>
      </c>
      <c r="N897" s="25">
        <v>20400</v>
      </c>
      <c r="O897" s="25">
        <v>14610.34</v>
      </c>
      <c r="P897" s="25">
        <v>5789.66</v>
      </c>
      <c r="Q897" s="21">
        <v>28.38</v>
      </c>
      <c r="R897" s="11" t="s">
        <v>61</v>
      </c>
      <c r="S897" s="11" t="s">
        <v>42</v>
      </c>
      <c r="T897" s="11" t="s">
        <v>118</v>
      </c>
      <c r="U897" s="11" t="s">
        <v>98</v>
      </c>
      <c r="V897" s="11">
        <v>2024</v>
      </c>
      <c r="W897" s="11" t="s">
        <v>134</v>
      </c>
      <c r="X897" s="11">
        <v>6</v>
      </c>
      <c r="Y897" s="10">
        <v>45415</v>
      </c>
      <c r="Z897" s="11" t="s">
        <v>47</v>
      </c>
      <c r="AA897" s="11" t="s">
        <v>67</v>
      </c>
      <c r="AB897" s="11" t="s">
        <v>78</v>
      </c>
      <c r="AC897" s="11" t="s">
        <v>121</v>
      </c>
      <c r="AD897" s="11">
        <v>1</v>
      </c>
      <c r="AE897" s="11" t="s">
        <v>2218</v>
      </c>
      <c r="AF897" s="11" t="s">
        <v>2236</v>
      </c>
      <c r="AG897" s="25"/>
      <c r="AH897" s="11"/>
      <c r="AI897" s="11"/>
      <c r="AJ897" s="11"/>
      <c r="AK897" s="11"/>
      <c r="AL897" s="11"/>
      <c r="AM897" s="11" t="str">
        <f t="shared" si="69"/>
        <v>Needs Improvement</v>
      </c>
      <c r="AN897" s="11" t="str" cm="1">
        <f t="array" ref="AN897">_xlfn.IFS(N897&lt;10000,"Low",N897&lt;30000,"Medium",N897&gt;=30000,"High")</f>
        <v>Medium</v>
      </c>
      <c r="AO897" s="11" t="str">
        <f t="shared" si="70"/>
        <v>No</v>
      </c>
      <c r="AP897" s="11" t="str">
        <f t="shared" si="71"/>
        <v>Yes</v>
      </c>
      <c r="AQ897" s="11">
        <f t="shared" si="72"/>
        <v>0.28380686274509803</v>
      </c>
      <c r="AR897" s="33"/>
      <c r="AS897" s="33"/>
      <c r="AT897" s="33"/>
      <c r="AU897" s="33"/>
      <c r="AV897" s="33"/>
      <c r="AW897" s="33"/>
      <c r="AX897" s="33" t="str">
        <f t="shared" si="73"/>
        <v>Average</v>
      </c>
    </row>
    <row r="898" spans="1:50">
      <c r="A898" s="9" t="s">
        <v>881</v>
      </c>
      <c r="B898" s="10" t="s">
        <v>882</v>
      </c>
      <c r="C898" s="11" t="s">
        <v>883</v>
      </c>
      <c r="D898" s="11" t="s">
        <v>758</v>
      </c>
      <c r="E898" s="11" t="s">
        <v>103</v>
      </c>
      <c r="F898" s="11" t="s">
        <v>104</v>
      </c>
      <c r="G898" s="11" t="s">
        <v>104</v>
      </c>
      <c r="H898" s="11" t="s">
        <v>38</v>
      </c>
      <c r="I898" s="11" t="s">
        <v>59</v>
      </c>
      <c r="J898" s="11" t="s">
        <v>372</v>
      </c>
      <c r="K898" s="25">
        <v>7</v>
      </c>
      <c r="L898" s="25">
        <v>3000</v>
      </c>
      <c r="M898" s="29">
        <v>0.2</v>
      </c>
      <c r="N898" s="25">
        <v>16800</v>
      </c>
      <c r="O898" s="25">
        <v>12634.27</v>
      </c>
      <c r="P898" s="25">
        <v>4165.7299999999996</v>
      </c>
      <c r="Q898" s="21">
        <v>24.8</v>
      </c>
      <c r="R898" s="11" t="s">
        <v>73</v>
      </c>
      <c r="S898" s="11" t="s">
        <v>74</v>
      </c>
      <c r="T898" s="11" t="s">
        <v>86</v>
      </c>
      <c r="U898" s="11" t="s">
        <v>178</v>
      </c>
      <c r="V898" s="11">
        <v>2024</v>
      </c>
      <c r="W898" s="11" t="s">
        <v>139</v>
      </c>
      <c r="X898" s="11">
        <v>5</v>
      </c>
      <c r="Y898" s="10">
        <v>45326</v>
      </c>
      <c r="Z898" s="11" t="s">
        <v>47</v>
      </c>
      <c r="AA898" s="11" t="s">
        <v>48</v>
      </c>
      <c r="AB898" s="11" t="s">
        <v>78</v>
      </c>
      <c r="AC898" s="11" t="s">
        <v>121</v>
      </c>
      <c r="AD898" s="11">
        <v>1</v>
      </c>
      <c r="AE898" s="11" t="s">
        <v>86</v>
      </c>
      <c r="AF898" s="11" t="s">
        <v>2223</v>
      </c>
      <c r="AG898" s="25"/>
      <c r="AH898" s="11"/>
      <c r="AI898" s="11"/>
      <c r="AJ898" s="11"/>
      <c r="AK898" s="11"/>
      <c r="AL898" s="11"/>
      <c r="AM898" s="11" t="str">
        <f t="shared" ref="AM898:AM961" si="74">IF(Q898&gt;=30,"Good","Needs Improvement")</f>
        <v>Needs Improvement</v>
      </c>
      <c r="AN898" s="11" t="str" cm="1">
        <f t="array" ref="AN898">_xlfn.IFS(N898&lt;10000,"Low",N898&lt;30000,"Medium",N898&gt;=30000,"High")</f>
        <v>Medium</v>
      </c>
      <c r="AO898" s="11" t="str">
        <f t="shared" ref="AO898:AO961" si="75">IF(AND(N898&gt;=30000,P898&gt;=10000),"Yes","No")</f>
        <v>No</v>
      </c>
      <c r="AP898" s="11" t="str">
        <f t="shared" ref="AP898:AP961" si="76">IF(OR(S898="Online",S898="Marketplace"),"Yes","No")</f>
        <v>Yes</v>
      </c>
      <c r="AQ898" s="11">
        <f t="shared" ref="AQ898:AQ961" si="77">IFERROR(P898/N898,"No Error")</f>
        <v>0.24796011904761903</v>
      </c>
      <c r="AR898" s="33"/>
      <c r="AS898" s="33"/>
      <c r="AT898" s="33"/>
      <c r="AU898" s="33"/>
      <c r="AV898" s="33"/>
      <c r="AW898" s="33"/>
      <c r="AX898" s="33" t="str">
        <f t="shared" ref="AX898:AX961" si="78">IF(P898&gt;=20000,"Excellent",IF(P898&gt;=10000,"Good",IF(P898&gt;=5000,"Average","Low")))</f>
        <v>Low</v>
      </c>
    </row>
    <row r="899" spans="1:50">
      <c r="A899" s="9" t="s">
        <v>1608</v>
      </c>
      <c r="B899" s="10" t="s">
        <v>1609</v>
      </c>
      <c r="C899" s="11" t="s">
        <v>1383</v>
      </c>
      <c r="D899" s="11" t="s">
        <v>617</v>
      </c>
      <c r="E899" s="11" t="s">
        <v>55</v>
      </c>
      <c r="F899" s="11" t="s">
        <v>245</v>
      </c>
      <c r="G899" s="11" t="s">
        <v>246</v>
      </c>
      <c r="H899" s="11" t="s">
        <v>94</v>
      </c>
      <c r="I899" s="11" t="s">
        <v>71</v>
      </c>
      <c r="J899" s="11" t="s">
        <v>158</v>
      </c>
      <c r="K899" s="25">
        <v>2</v>
      </c>
      <c r="L899" s="25">
        <v>1200</v>
      </c>
      <c r="M899" s="29">
        <v>0.2</v>
      </c>
      <c r="N899" s="25">
        <v>1920</v>
      </c>
      <c r="O899" s="25">
        <v>1540.64</v>
      </c>
      <c r="P899" s="25">
        <v>379.36</v>
      </c>
      <c r="Q899" s="21">
        <v>19.760000000000002</v>
      </c>
      <c r="R899" s="11" t="s">
        <v>166</v>
      </c>
      <c r="S899" s="11" t="s">
        <v>62</v>
      </c>
      <c r="T899" s="11" t="s">
        <v>138</v>
      </c>
      <c r="U899" s="11" t="s">
        <v>178</v>
      </c>
      <c r="V899" s="11">
        <v>2025</v>
      </c>
      <c r="W899" s="11" t="s">
        <v>194</v>
      </c>
      <c r="X899" s="11">
        <v>6</v>
      </c>
      <c r="Y899" s="10">
        <v>45720</v>
      </c>
      <c r="Z899" s="11" t="s">
        <v>89</v>
      </c>
      <c r="AA899" s="11" t="s">
        <v>90</v>
      </c>
      <c r="AB899" s="11" t="s">
        <v>111</v>
      </c>
      <c r="AC899" s="11" t="s">
        <v>121</v>
      </c>
      <c r="AD899" s="11">
        <v>4</v>
      </c>
      <c r="AE899" s="11" t="s">
        <v>2239</v>
      </c>
      <c r="AF899" s="11" t="s">
        <v>2236</v>
      </c>
      <c r="AG899" s="25"/>
      <c r="AH899" s="11"/>
      <c r="AI899" s="11"/>
      <c r="AJ899" s="11"/>
      <c r="AK899" s="11"/>
      <c r="AL899" s="11"/>
      <c r="AM899" s="11" t="str">
        <f t="shared" si="74"/>
        <v>Needs Improvement</v>
      </c>
      <c r="AN899" s="11" t="str" cm="1">
        <f t="array" ref="AN899">_xlfn.IFS(N899&lt;10000,"Low",N899&lt;30000,"Medium",N899&gt;=30000,"High")</f>
        <v>Low</v>
      </c>
      <c r="AO899" s="11" t="str">
        <f t="shared" si="75"/>
        <v>No</v>
      </c>
      <c r="AP899" s="11" t="str">
        <f t="shared" si="76"/>
        <v>No</v>
      </c>
      <c r="AQ899" s="11">
        <f t="shared" si="77"/>
        <v>0.19758333333333333</v>
      </c>
      <c r="AR899" s="33"/>
      <c r="AS899" s="33"/>
      <c r="AT899" s="33"/>
      <c r="AU899" s="33"/>
      <c r="AV899" s="33"/>
      <c r="AW899" s="33"/>
      <c r="AX899" s="33" t="str">
        <f t="shared" si="78"/>
        <v>Low</v>
      </c>
    </row>
    <row r="900" spans="1:50">
      <c r="A900" s="9" t="s">
        <v>1676</v>
      </c>
      <c r="B900" s="10" t="s">
        <v>1609</v>
      </c>
      <c r="C900" s="11" t="s">
        <v>863</v>
      </c>
      <c r="D900" s="11" t="s">
        <v>1127</v>
      </c>
      <c r="E900" s="11" t="s">
        <v>103</v>
      </c>
      <c r="F900" s="11" t="s">
        <v>131</v>
      </c>
      <c r="G900" s="11" t="s">
        <v>132</v>
      </c>
      <c r="H900" s="11" t="s">
        <v>38</v>
      </c>
      <c r="I900" s="11" t="s">
        <v>84</v>
      </c>
      <c r="J900" s="11" t="s">
        <v>229</v>
      </c>
      <c r="K900" s="25">
        <v>6</v>
      </c>
      <c r="L900" s="25">
        <v>500</v>
      </c>
      <c r="M900" s="29">
        <v>0.15</v>
      </c>
      <c r="N900" s="25">
        <v>2550</v>
      </c>
      <c r="O900" s="25">
        <v>1581.99</v>
      </c>
      <c r="P900" s="25">
        <v>968.01</v>
      </c>
      <c r="Q900" s="21">
        <v>37.96</v>
      </c>
      <c r="R900" s="11" t="s">
        <v>61</v>
      </c>
      <c r="S900" s="11" t="s">
        <v>42</v>
      </c>
      <c r="T900" s="11" t="s">
        <v>43</v>
      </c>
      <c r="U900" s="11" t="s">
        <v>178</v>
      </c>
      <c r="V900" s="11">
        <v>2025</v>
      </c>
      <c r="W900" s="11" t="s">
        <v>194</v>
      </c>
      <c r="X900" s="11">
        <v>7</v>
      </c>
      <c r="Y900" s="10">
        <v>45751</v>
      </c>
      <c r="Z900" s="11" t="s">
        <v>110</v>
      </c>
      <c r="AA900" s="11" t="s">
        <v>67</v>
      </c>
      <c r="AB900" s="11" t="s">
        <v>78</v>
      </c>
      <c r="AC900" s="11" t="s">
        <v>50</v>
      </c>
      <c r="AD900" s="11">
        <v>2</v>
      </c>
      <c r="AE900" s="11" t="s">
        <v>2225</v>
      </c>
      <c r="AF900" s="11" t="s">
        <v>2219</v>
      </c>
      <c r="AG900" s="25"/>
      <c r="AH900" s="11"/>
      <c r="AI900" s="11"/>
      <c r="AJ900" s="11"/>
      <c r="AK900" s="11"/>
      <c r="AL900" s="11"/>
      <c r="AM900" s="11" t="str">
        <f t="shared" si="74"/>
        <v>Good</v>
      </c>
      <c r="AN900" s="11" t="str" cm="1">
        <f t="array" ref="AN900">_xlfn.IFS(N900&lt;10000,"Low",N900&lt;30000,"Medium",N900&gt;=30000,"High")</f>
        <v>Low</v>
      </c>
      <c r="AO900" s="11" t="str">
        <f t="shared" si="75"/>
        <v>No</v>
      </c>
      <c r="AP900" s="11" t="str">
        <f t="shared" si="76"/>
        <v>Yes</v>
      </c>
      <c r="AQ900" s="11">
        <f t="shared" si="77"/>
        <v>0.37961176470588237</v>
      </c>
      <c r="AR900" s="33"/>
      <c r="AS900" s="33"/>
      <c r="AT900" s="33"/>
      <c r="AU900" s="33"/>
      <c r="AV900" s="33"/>
      <c r="AW900" s="33"/>
      <c r="AX900" s="33" t="str">
        <f t="shared" si="78"/>
        <v>Low</v>
      </c>
    </row>
    <row r="901" spans="1:50">
      <c r="A901" s="9" t="s">
        <v>1879</v>
      </c>
      <c r="B901" s="10" t="s">
        <v>1880</v>
      </c>
      <c r="C901" s="11" t="s">
        <v>262</v>
      </c>
      <c r="D901" s="11" t="s">
        <v>459</v>
      </c>
      <c r="E901" s="11" t="s">
        <v>35</v>
      </c>
      <c r="F901" s="11" t="s">
        <v>245</v>
      </c>
      <c r="G901" s="11" t="s">
        <v>246</v>
      </c>
      <c r="H901" s="11" t="s">
        <v>38</v>
      </c>
      <c r="I901" s="11" t="s">
        <v>59</v>
      </c>
      <c r="J901" s="11" t="s">
        <v>328</v>
      </c>
      <c r="K901" s="25">
        <v>4</v>
      </c>
      <c r="L901" s="25">
        <v>2000</v>
      </c>
      <c r="M901" s="29">
        <v>0.05</v>
      </c>
      <c r="N901" s="25">
        <v>7600</v>
      </c>
      <c r="O901" s="25">
        <v>4670.97</v>
      </c>
      <c r="P901" s="25">
        <v>2929.03</v>
      </c>
      <c r="Q901" s="21">
        <v>38.54</v>
      </c>
      <c r="R901" s="11" t="s">
        <v>166</v>
      </c>
      <c r="S901" s="11" t="s">
        <v>74</v>
      </c>
      <c r="T901" s="11" t="s">
        <v>43</v>
      </c>
      <c r="U901" s="11" t="s">
        <v>44</v>
      </c>
      <c r="V901" s="11">
        <v>2024</v>
      </c>
      <c r="W901" s="11" t="s">
        <v>45</v>
      </c>
      <c r="X901" s="11">
        <v>5</v>
      </c>
      <c r="Y901" s="10">
        <v>45356</v>
      </c>
      <c r="Z901" s="11" t="s">
        <v>47</v>
      </c>
      <c r="AA901" s="11" t="s">
        <v>90</v>
      </c>
      <c r="AB901" s="11" t="s">
        <v>49</v>
      </c>
      <c r="AC901" s="11" t="s">
        <v>121</v>
      </c>
      <c r="AD901" s="11">
        <v>2</v>
      </c>
      <c r="AE901" s="11" t="s">
        <v>2240</v>
      </c>
      <c r="AF901" s="11" t="s">
        <v>2231</v>
      </c>
      <c r="AG901" s="25"/>
      <c r="AH901" s="11"/>
      <c r="AI901" s="11"/>
      <c r="AJ901" s="11"/>
      <c r="AK901" s="11"/>
      <c r="AL901" s="11"/>
      <c r="AM901" s="11" t="str">
        <f t="shared" si="74"/>
        <v>Good</v>
      </c>
      <c r="AN901" s="11" t="str" cm="1">
        <f t="array" ref="AN901">_xlfn.IFS(N901&lt;10000,"Low",N901&lt;30000,"Medium",N901&gt;=30000,"High")</f>
        <v>Low</v>
      </c>
      <c r="AO901" s="11" t="str">
        <f t="shared" si="75"/>
        <v>No</v>
      </c>
      <c r="AP901" s="11" t="str">
        <f t="shared" si="76"/>
        <v>Yes</v>
      </c>
      <c r="AQ901" s="11">
        <f t="shared" si="77"/>
        <v>0.38539868421052637</v>
      </c>
      <c r="AR901" s="33"/>
      <c r="AS901" s="33"/>
      <c r="AT901" s="33"/>
      <c r="AU901" s="33"/>
      <c r="AV901" s="33"/>
      <c r="AW901" s="33"/>
      <c r="AX901" s="33" t="str">
        <f t="shared" si="78"/>
        <v>Low</v>
      </c>
    </row>
    <row r="902" spans="1:50">
      <c r="A902" s="9" t="s">
        <v>704</v>
      </c>
      <c r="B902" s="10" t="s">
        <v>705</v>
      </c>
      <c r="C902" s="11" t="s">
        <v>706</v>
      </c>
      <c r="D902" s="11" t="s">
        <v>707</v>
      </c>
      <c r="E902" s="11" t="s">
        <v>103</v>
      </c>
      <c r="F902" s="11" t="s">
        <v>131</v>
      </c>
      <c r="G902" s="11" t="s">
        <v>132</v>
      </c>
      <c r="H902" s="11" t="s">
        <v>94</v>
      </c>
      <c r="I902" s="11" t="s">
        <v>39</v>
      </c>
      <c r="J902" s="11" t="s">
        <v>356</v>
      </c>
      <c r="K902" s="25">
        <v>1</v>
      </c>
      <c r="L902" s="25">
        <v>12000</v>
      </c>
      <c r="M902" s="29">
        <v>0</v>
      </c>
      <c r="N902" s="25">
        <v>12000</v>
      </c>
      <c r="O902" s="25">
        <v>9581.5300000000007</v>
      </c>
      <c r="P902" s="25">
        <v>2418.4699999999998</v>
      </c>
      <c r="Q902" s="21">
        <v>20.149999999999999</v>
      </c>
      <c r="R902" s="11" t="s">
        <v>73</v>
      </c>
      <c r="S902" s="11" t="s">
        <v>62</v>
      </c>
      <c r="T902" s="11" t="s">
        <v>86</v>
      </c>
      <c r="U902" s="11" t="s">
        <v>44</v>
      </c>
      <c r="V902" s="11">
        <v>2025</v>
      </c>
      <c r="W902" s="11" t="s">
        <v>126</v>
      </c>
      <c r="X902" s="11">
        <v>6</v>
      </c>
      <c r="Y902" s="10">
        <v>45752</v>
      </c>
      <c r="Z902" s="11" t="s">
        <v>110</v>
      </c>
      <c r="AA902" s="11" t="s">
        <v>67</v>
      </c>
      <c r="AB902" s="11" t="s">
        <v>111</v>
      </c>
      <c r="AC902" s="11" t="s">
        <v>50</v>
      </c>
      <c r="AD902" s="11">
        <v>3</v>
      </c>
      <c r="AE902" s="11" t="s">
        <v>2226</v>
      </c>
      <c r="AF902" s="11" t="s">
        <v>2210</v>
      </c>
      <c r="AG902" s="25"/>
      <c r="AH902" s="11"/>
      <c r="AI902" s="11"/>
      <c r="AJ902" s="11"/>
      <c r="AK902" s="11"/>
      <c r="AL902" s="11"/>
      <c r="AM902" s="11" t="str">
        <f t="shared" si="74"/>
        <v>Needs Improvement</v>
      </c>
      <c r="AN902" s="11" t="str" cm="1">
        <f t="array" ref="AN902">_xlfn.IFS(N902&lt;10000,"Low",N902&lt;30000,"Medium",N902&gt;=30000,"High")</f>
        <v>Medium</v>
      </c>
      <c r="AO902" s="11" t="str">
        <f t="shared" si="75"/>
        <v>No</v>
      </c>
      <c r="AP902" s="11" t="str">
        <f t="shared" si="76"/>
        <v>No</v>
      </c>
      <c r="AQ902" s="11">
        <f t="shared" si="77"/>
        <v>0.20153916666666666</v>
      </c>
      <c r="AR902" s="33"/>
      <c r="AS902" s="33"/>
      <c r="AT902" s="33"/>
      <c r="AU902" s="33"/>
      <c r="AV902" s="33"/>
      <c r="AW902" s="33"/>
      <c r="AX902" s="33" t="str">
        <f t="shared" si="78"/>
        <v>Low</v>
      </c>
    </row>
    <row r="903" spans="1:50">
      <c r="A903" s="9" t="s">
        <v>1471</v>
      </c>
      <c r="B903" s="10" t="s">
        <v>1472</v>
      </c>
      <c r="C903" s="11" t="s">
        <v>712</v>
      </c>
      <c r="D903" s="11" t="s">
        <v>1473</v>
      </c>
      <c r="E903" s="11" t="s">
        <v>103</v>
      </c>
      <c r="F903" s="11" t="s">
        <v>245</v>
      </c>
      <c r="G903" s="11" t="s">
        <v>246</v>
      </c>
      <c r="H903" s="11" t="s">
        <v>58</v>
      </c>
      <c r="I903" s="11" t="s">
        <v>59</v>
      </c>
      <c r="J903" s="11" t="s">
        <v>206</v>
      </c>
      <c r="K903" s="25">
        <v>8</v>
      </c>
      <c r="L903" s="25">
        <v>2000</v>
      </c>
      <c r="M903" s="29">
        <v>0.1</v>
      </c>
      <c r="N903" s="25">
        <v>14400</v>
      </c>
      <c r="O903" s="25">
        <v>11047.35</v>
      </c>
      <c r="P903" s="25">
        <v>3352.65</v>
      </c>
      <c r="Q903" s="21">
        <v>23.28</v>
      </c>
      <c r="R903" s="11" t="s">
        <v>73</v>
      </c>
      <c r="S903" s="11" t="s">
        <v>62</v>
      </c>
      <c r="T903" s="11" t="s">
        <v>75</v>
      </c>
      <c r="U903" s="11" t="s">
        <v>119</v>
      </c>
      <c r="V903" s="11">
        <v>2024</v>
      </c>
      <c r="W903" s="11" t="s">
        <v>109</v>
      </c>
      <c r="X903" s="11">
        <v>4</v>
      </c>
      <c r="Y903" s="10">
        <v>45297</v>
      </c>
      <c r="Z903" s="11" t="s">
        <v>47</v>
      </c>
      <c r="AA903" s="11" t="s">
        <v>48</v>
      </c>
      <c r="AB903" s="11" t="s">
        <v>49</v>
      </c>
      <c r="AC903" s="11" t="s">
        <v>121</v>
      </c>
      <c r="AD903" s="11">
        <v>1</v>
      </c>
      <c r="AE903" s="11" t="s">
        <v>2232</v>
      </c>
      <c r="AF903" s="11" t="s">
        <v>2236</v>
      </c>
      <c r="AG903" s="25"/>
      <c r="AH903" s="11"/>
      <c r="AI903" s="11"/>
      <c r="AJ903" s="11"/>
      <c r="AK903" s="11"/>
      <c r="AL903" s="11"/>
      <c r="AM903" s="11" t="str">
        <f t="shared" si="74"/>
        <v>Needs Improvement</v>
      </c>
      <c r="AN903" s="11" t="str" cm="1">
        <f t="array" ref="AN903">_xlfn.IFS(N903&lt;10000,"Low",N903&lt;30000,"Medium",N903&gt;=30000,"High")</f>
        <v>Medium</v>
      </c>
      <c r="AO903" s="11" t="str">
        <f t="shared" si="75"/>
        <v>No</v>
      </c>
      <c r="AP903" s="11" t="str">
        <f t="shared" si="76"/>
        <v>No</v>
      </c>
      <c r="AQ903" s="11">
        <f t="shared" si="77"/>
        <v>0.23282291666666668</v>
      </c>
      <c r="AR903" s="33"/>
      <c r="AS903" s="33"/>
      <c r="AT903" s="33"/>
      <c r="AU903" s="33"/>
      <c r="AV903" s="33"/>
      <c r="AW903" s="33"/>
      <c r="AX903" s="33" t="str">
        <f t="shared" si="78"/>
        <v>Low</v>
      </c>
    </row>
    <row r="904" spans="1:50">
      <c r="A904" s="9" t="s">
        <v>1907</v>
      </c>
      <c r="B904" s="10" t="s">
        <v>1472</v>
      </c>
      <c r="C904" s="11" t="s">
        <v>633</v>
      </c>
      <c r="D904" s="11" t="s">
        <v>1193</v>
      </c>
      <c r="E904" s="11" t="s">
        <v>35</v>
      </c>
      <c r="F904" s="11" t="s">
        <v>131</v>
      </c>
      <c r="G904" s="11" t="s">
        <v>132</v>
      </c>
      <c r="H904" s="11" t="s">
        <v>94</v>
      </c>
      <c r="I904" s="11" t="s">
        <v>59</v>
      </c>
      <c r="J904" s="11" t="s">
        <v>328</v>
      </c>
      <c r="K904" s="25">
        <v>3</v>
      </c>
      <c r="L904" s="25">
        <v>800</v>
      </c>
      <c r="M904" s="29">
        <v>0.2</v>
      </c>
      <c r="N904" s="25">
        <v>1920</v>
      </c>
      <c r="O904" s="25">
        <v>1322.14</v>
      </c>
      <c r="P904" s="25">
        <v>597.86</v>
      </c>
      <c r="Q904" s="21">
        <v>31.14</v>
      </c>
      <c r="R904" s="11" t="s">
        <v>61</v>
      </c>
      <c r="S904" s="11" t="s">
        <v>74</v>
      </c>
      <c r="T904" s="11" t="s">
        <v>159</v>
      </c>
      <c r="U904" s="11" t="s">
        <v>119</v>
      </c>
      <c r="V904" s="11">
        <v>2024</v>
      </c>
      <c r="W904" s="11" t="s">
        <v>109</v>
      </c>
      <c r="X904" s="11">
        <v>2</v>
      </c>
      <c r="Y904" s="10" t="s">
        <v>1278</v>
      </c>
      <c r="Z904" s="11" t="s">
        <v>110</v>
      </c>
      <c r="AA904" s="11" t="s">
        <v>67</v>
      </c>
      <c r="AB904" s="11" t="s">
        <v>49</v>
      </c>
      <c r="AC904" s="11" t="s">
        <v>50</v>
      </c>
      <c r="AD904" s="11">
        <v>1</v>
      </c>
      <c r="AE904" s="11" t="s">
        <v>2229</v>
      </c>
      <c r="AF904" s="11" t="s">
        <v>2222</v>
      </c>
      <c r="AG904" s="25"/>
      <c r="AH904" s="11"/>
      <c r="AI904" s="11"/>
      <c r="AJ904" s="11"/>
      <c r="AK904" s="11"/>
      <c r="AL904" s="11"/>
      <c r="AM904" s="11" t="str">
        <f t="shared" si="74"/>
        <v>Good</v>
      </c>
      <c r="AN904" s="11" t="str" cm="1">
        <f t="array" ref="AN904">_xlfn.IFS(N904&lt;10000,"Low",N904&lt;30000,"Medium",N904&gt;=30000,"High")</f>
        <v>Low</v>
      </c>
      <c r="AO904" s="11" t="str">
        <f t="shared" si="75"/>
        <v>No</v>
      </c>
      <c r="AP904" s="11" t="str">
        <f t="shared" si="76"/>
        <v>Yes</v>
      </c>
      <c r="AQ904" s="11">
        <f t="shared" si="77"/>
        <v>0.31138541666666669</v>
      </c>
      <c r="AR904" s="33"/>
      <c r="AS904" s="33"/>
      <c r="AT904" s="33"/>
      <c r="AU904" s="33"/>
      <c r="AV904" s="33"/>
      <c r="AW904" s="33"/>
      <c r="AX904" s="33" t="str">
        <f t="shared" si="78"/>
        <v>Low</v>
      </c>
    </row>
    <row r="905" spans="1:50">
      <c r="A905" s="9" t="s">
        <v>1704</v>
      </c>
      <c r="B905" s="10" t="s">
        <v>1705</v>
      </c>
      <c r="C905" s="11" t="s">
        <v>484</v>
      </c>
      <c r="D905" s="11" t="s">
        <v>1175</v>
      </c>
      <c r="E905" s="11" t="s">
        <v>103</v>
      </c>
      <c r="F905" s="11" t="s">
        <v>104</v>
      </c>
      <c r="G905" s="11" t="s">
        <v>104</v>
      </c>
      <c r="H905" s="11" t="s">
        <v>38</v>
      </c>
      <c r="I905" s="11" t="s">
        <v>71</v>
      </c>
      <c r="J905" s="11" t="s">
        <v>158</v>
      </c>
      <c r="K905" s="25">
        <v>1</v>
      </c>
      <c r="L905" s="25">
        <v>700</v>
      </c>
      <c r="M905" s="29">
        <v>0.05</v>
      </c>
      <c r="N905" s="25">
        <v>665</v>
      </c>
      <c r="O905" s="25">
        <v>380.83</v>
      </c>
      <c r="P905" s="25">
        <v>284.17</v>
      </c>
      <c r="Q905" s="21">
        <v>42.73</v>
      </c>
      <c r="R905" s="11" t="s">
        <v>41</v>
      </c>
      <c r="S905" s="11" t="s">
        <v>62</v>
      </c>
      <c r="T905" s="11" t="s">
        <v>118</v>
      </c>
      <c r="U905" s="11" t="s">
        <v>119</v>
      </c>
      <c r="V905" s="11">
        <v>2025</v>
      </c>
      <c r="W905" s="11" t="s">
        <v>134</v>
      </c>
      <c r="X905" s="11">
        <v>3</v>
      </c>
      <c r="Y905" s="10" t="s">
        <v>544</v>
      </c>
      <c r="Z905" s="11" t="s">
        <v>47</v>
      </c>
      <c r="AA905" s="11" t="s">
        <v>48</v>
      </c>
      <c r="AB905" s="11" t="s">
        <v>111</v>
      </c>
      <c r="AC905" s="11" t="s">
        <v>121</v>
      </c>
      <c r="AD905" s="11">
        <v>3</v>
      </c>
      <c r="AE905" s="11" t="s">
        <v>2226</v>
      </c>
      <c r="AF905" s="11" t="s">
        <v>2228</v>
      </c>
      <c r="AG905" s="25"/>
      <c r="AH905" s="11"/>
      <c r="AI905" s="11"/>
      <c r="AJ905" s="11"/>
      <c r="AK905" s="11"/>
      <c r="AL905" s="11"/>
      <c r="AM905" s="11" t="str">
        <f t="shared" si="74"/>
        <v>Good</v>
      </c>
      <c r="AN905" s="11" t="str" cm="1">
        <f t="array" ref="AN905">_xlfn.IFS(N905&lt;10000,"Low",N905&lt;30000,"Medium",N905&gt;=30000,"High")</f>
        <v>Low</v>
      </c>
      <c r="AO905" s="11" t="str">
        <f t="shared" si="75"/>
        <v>No</v>
      </c>
      <c r="AP905" s="11" t="str">
        <f t="shared" si="76"/>
        <v>No</v>
      </c>
      <c r="AQ905" s="11">
        <f t="shared" si="77"/>
        <v>0.42732330827067672</v>
      </c>
      <c r="AR905" s="33"/>
      <c r="AS905" s="33"/>
      <c r="AT905" s="33"/>
      <c r="AU905" s="33"/>
      <c r="AV905" s="33"/>
      <c r="AW905" s="33"/>
      <c r="AX905" s="33" t="str">
        <f t="shared" si="78"/>
        <v>Low</v>
      </c>
    </row>
    <row r="906" spans="1:50">
      <c r="A906" s="9" t="s">
        <v>1764</v>
      </c>
      <c r="B906" s="10" t="s">
        <v>1705</v>
      </c>
      <c r="C906" s="11" t="s">
        <v>309</v>
      </c>
      <c r="D906" s="11" t="s">
        <v>643</v>
      </c>
      <c r="E906" s="11" t="s">
        <v>55</v>
      </c>
      <c r="F906" s="11" t="s">
        <v>245</v>
      </c>
      <c r="G906" s="11" t="s">
        <v>246</v>
      </c>
      <c r="H906" s="11" t="s">
        <v>38</v>
      </c>
      <c r="I906" s="11" t="s">
        <v>95</v>
      </c>
      <c r="J906" s="11" t="s">
        <v>344</v>
      </c>
      <c r="K906" s="25">
        <v>4</v>
      </c>
      <c r="L906" s="25">
        <v>4000</v>
      </c>
      <c r="M906" s="29">
        <v>0.1</v>
      </c>
      <c r="N906" s="25">
        <v>14400</v>
      </c>
      <c r="O906" s="25">
        <v>10899.84</v>
      </c>
      <c r="P906" s="25">
        <v>3500.16</v>
      </c>
      <c r="Q906" s="21">
        <v>24.31</v>
      </c>
      <c r="R906" s="11" t="s">
        <v>41</v>
      </c>
      <c r="S906" s="11" t="s">
        <v>42</v>
      </c>
      <c r="T906" s="11" t="s">
        <v>118</v>
      </c>
      <c r="U906" s="11" t="s">
        <v>119</v>
      </c>
      <c r="V906" s="11">
        <v>2025</v>
      </c>
      <c r="W906" s="11" t="s">
        <v>134</v>
      </c>
      <c r="X906" s="11">
        <v>5</v>
      </c>
      <c r="Y906" s="10">
        <v>45694</v>
      </c>
      <c r="Z906" s="11" t="s">
        <v>47</v>
      </c>
      <c r="AA906" s="11" t="s">
        <v>67</v>
      </c>
      <c r="AB906" s="11" t="s">
        <v>49</v>
      </c>
      <c r="AC906" s="11" t="s">
        <v>121</v>
      </c>
      <c r="AD906" s="11">
        <v>4</v>
      </c>
      <c r="AE906" s="11" t="s">
        <v>2209</v>
      </c>
      <c r="AF906" s="11" t="s">
        <v>2235</v>
      </c>
      <c r="AG906" s="25"/>
      <c r="AH906" s="11"/>
      <c r="AI906" s="11"/>
      <c r="AJ906" s="11"/>
      <c r="AK906" s="11"/>
      <c r="AL906" s="11"/>
      <c r="AM906" s="11" t="str">
        <f t="shared" si="74"/>
        <v>Needs Improvement</v>
      </c>
      <c r="AN906" s="11" t="str" cm="1">
        <f t="array" ref="AN906">_xlfn.IFS(N906&lt;10000,"Low",N906&lt;30000,"Medium",N906&gt;=30000,"High")</f>
        <v>Medium</v>
      </c>
      <c r="AO906" s="11" t="str">
        <f t="shared" si="75"/>
        <v>No</v>
      </c>
      <c r="AP906" s="11" t="str">
        <f t="shared" si="76"/>
        <v>Yes</v>
      </c>
      <c r="AQ906" s="11">
        <f t="shared" si="77"/>
        <v>0.24306666666666665</v>
      </c>
      <c r="AR906" s="33"/>
      <c r="AS906" s="33"/>
      <c r="AT906" s="33"/>
      <c r="AU906" s="33"/>
      <c r="AV906" s="33"/>
      <c r="AW906" s="33"/>
      <c r="AX906" s="33" t="str">
        <f t="shared" si="78"/>
        <v>Low</v>
      </c>
    </row>
    <row r="907" spans="1:50">
      <c r="A907" s="9" t="s">
        <v>1437</v>
      </c>
      <c r="B907" s="10" t="s">
        <v>999</v>
      </c>
      <c r="C907" s="11" t="s">
        <v>101</v>
      </c>
      <c r="D907" s="11" t="s">
        <v>660</v>
      </c>
      <c r="E907" s="11" t="s">
        <v>103</v>
      </c>
      <c r="F907" s="11" t="s">
        <v>149</v>
      </c>
      <c r="G907" s="11" t="s">
        <v>150</v>
      </c>
      <c r="H907" s="11" t="s">
        <v>38</v>
      </c>
      <c r="I907" s="11" t="s">
        <v>95</v>
      </c>
      <c r="J907" s="11" t="s">
        <v>344</v>
      </c>
      <c r="K907" s="25">
        <v>3</v>
      </c>
      <c r="L907" s="25">
        <v>15000</v>
      </c>
      <c r="M907" s="29">
        <v>0.2</v>
      </c>
      <c r="N907" s="25">
        <v>36000</v>
      </c>
      <c r="O907" s="25">
        <v>20559.759999999998</v>
      </c>
      <c r="P907" s="25">
        <v>15440.24</v>
      </c>
      <c r="Q907" s="21">
        <v>42.89</v>
      </c>
      <c r="R907" s="11" t="s">
        <v>73</v>
      </c>
      <c r="S907" s="11" t="s">
        <v>62</v>
      </c>
      <c r="T907" s="11" t="s">
        <v>118</v>
      </c>
      <c r="U907" s="11" t="s">
        <v>151</v>
      </c>
      <c r="V907" s="11">
        <v>2024</v>
      </c>
      <c r="W907" s="11" t="s">
        <v>45</v>
      </c>
      <c r="X907" s="11">
        <v>4</v>
      </c>
      <c r="Y907" s="10">
        <v>45299</v>
      </c>
      <c r="Z907" s="11" t="s">
        <v>89</v>
      </c>
      <c r="AA907" s="11" t="s">
        <v>48</v>
      </c>
      <c r="AB907" s="11" t="s">
        <v>49</v>
      </c>
      <c r="AC907" s="11" t="s">
        <v>50</v>
      </c>
      <c r="AD907" s="11">
        <v>3</v>
      </c>
      <c r="AE907" s="11" t="s">
        <v>2218</v>
      </c>
      <c r="AF907" s="11" t="s">
        <v>2222</v>
      </c>
      <c r="AG907" s="25"/>
      <c r="AH907" s="11"/>
      <c r="AI907" s="11"/>
      <c r="AJ907" s="11"/>
      <c r="AK907" s="11"/>
      <c r="AL907" s="11"/>
      <c r="AM907" s="11" t="str">
        <f t="shared" si="74"/>
        <v>Good</v>
      </c>
      <c r="AN907" s="11" t="str" cm="1">
        <f t="array" ref="AN907">_xlfn.IFS(N907&lt;10000,"Low",N907&lt;30000,"Medium",N907&gt;=30000,"High")</f>
        <v>High</v>
      </c>
      <c r="AO907" s="11" t="str">
        <f t="shared" si="75"/>
        <v>Yes</v>
      </c>
      <c r="AP907" s="11" t="str">
        <f t="shared" si="76"/>
        <v>No</v>
      </c>
      <c r="AQ907" s="11">
        <f t="shared" si="77"/>
        <v>0.42889555555555553</v>
      </c>
      <c r="AR907" s="33"/>
      <c r="AS907" s="33"/>
      <c r="AT907" s="33"/>
      <c r="AU907" s="33"/>
      <c r="AV907" s="33"/>
      <c r="AW907" s="33"/>
      <c r="AX907" s="33" t="str">
        <f t="shared" si="78"/>
        <v>Good</v>
      </c>
    </row>
    <row r="908" spans="1:50">
      <c r="A908" s="9" t="s">
        <v>1633</v>
      </c>
      <c r="B908" s="10" t="s">
        <v>999</v>
      </c>
      <c r="C908" s="11" t="s">
        <v>236</v>
      </c>
      <c r="D908" s="11" t="s">
        <v>1063</v>
      </c>
      <c r="E908" s="11" t="s">
        <v>55</v>
      </c>
      <c r="F908" s="11" t="s">
        <v>156</v>
      </c>
      <c r="G908" s="11" t="s">
        <v>157</v>
      </c>
      <c r="H908" s="11" t="s">
        <v>58</v>
      </c>
      <c r="I908" s="11" t="s">
        <v>84</v>
      </c>
      <c r="J908" s="11" t="s">
        <v>85</v>
      </c>
      <c r="K908" s="25">
        <v>6</v>
      </c>
      <c r="L908" s="25">
        <v>100</v>
      </c>
      <c r="M908" s="29">
        <v>0.05</v>
      </c>
      <c r="N908" s="25">
        <v>570</v>
      </c>
      <c r="O908" s="25">
        <v>455.73</v>
      </c>
      <c r="P908" s="25">
        <v>114.27</v>
      </c>
      <c r="Q908" s="21">
        <v>20.05</v>
      </c>
      <c r="R908" s="11" t="s">
        <v>41</v>
      </c>
      <c r="S908" s="11" t="s">
        <v>42</v>
      </c>
      <c r="T908" s="11" t="s">
        <v>43</v>
      </c>
      <c r="U908" s="11" t="s">
        <v>151</v>
      </c>
      <c r="V908" s="11">
        <v>2024</v>
      </c>
      <c r="W908" s="11" t="s">
        <v>45</v>
      </c>
      <c r="X908" s="11">
        <v>9</v>
      </c>
      <c r="Y908" s="10">
        <v>45451</v>
      </c>
      <c r="Z908" s="11" t="s">
        <v>47</v>
      </c>
      <c r="AA908" s="11" t="s">
        <v>67</v>
      </c>
      <c r="AB908" s="11" t="s">
        <v>49</v>
      </c>
      <c r="AC908" s="11" t="s">
        <v>50</v>
      </c>
      <c r="AD908" s="11">
        <v>5</v>
      </c>
      <c r="AE908" s="11" t="s">
        <v>2226</v>
      </c>
      <c r="AF908" s="11" t="s">
        <v>2212</v>
      </c>
      <c r="AG908" s="25"/>
      <c r="AH908" s="11"/>
      <c r="AI908" s="11"/>
      <c r="AJ908" s="11"/>
      <c r="AK908" s="11"/>
      <c r="AL908" s="11"/>
      <c r="AM908" s="11" t="str">
        <f t="shared" si="74"/>
        <v>Needs Improvement</v>
      </c>
      <c r="AN908" s="11" t="str" cm="1">
        <f t="array" ref="AN908">_xlfn.IFS(N908&lt;10000,"Low",N908&lt;30000,"Medium",N908&gt;=30000,"High")</f>
        <v>Low</v>
      </c>
      <c r="AO908" s="11" t="str">
        <f t="shared" si="75"/>
        <v>No</v>
      </c>
      <c r="AP908" s="11" t="str">
        <f t="shared" si="76"/>
        <v>Yes</v>
      </c>
      <c r="AQ908" s="11">
        <f t="shared" si="77"/>
        <v>0.2004736842105263</v>
      </c>
      <c r="AR908" s="33"/>
      <c r="AS908" s="33"/>
      <c r="AT908" s="33"/>
      <c r="AU908" s="33"/>
      <c r="AV908" s="33"/>
      <c r="AW908" s="33"/>
      <c r="AX908" s="33" t="str">
        <f t="shared" si="78"/>
        <v>Low</v>
      </c>
    </row>
    <row r="909" spans="1:50">
      <c r="A909" s="9" t="s">
        <v>529</v>
      </c>
      <c r="B909" s="10" t="s">
        <v>530</v>
      </c>
      <c r="C909" s="11" t="s">
        <v>201</v>
      </c>
      <c r="D909" s="11" t="s">
        <v>258</v>
      </c>
      <c r="E909" s="11" t="s">
        <v>103</v>
      </c>
      <c r="F909" s="11" t="s">
        <v>144</v>
      </c>
      <c r="G909" s="11" t="s">
        <v>145</v>
      </c>
      <c r="H909" s="11" t="s">
        <v>171</v>
      </c>
      <c r="I909" s="11" t="s">
        <v>71</v>
      </c>
      <c r="J909" s="11" t="s">
        <v>72</v>
      </c>
      <c r="K909" s="25">
        <v>3</v>
      </c>
      <c r="L909" s="25">
        <v>3500</v>
      </c>
      <c r="M909" s="29">
        <v>0.05</v>
      </c>
      <c r="N909" s="25">
        <v>9975</v>
      </c>
      <c r="O909" s="25">
        <v>6901.49</v>
      </c>
      <c r="P909" s="25">
        <v>3073.51</v>
      </c>
      <c r="Q909" s="21">
        <v>30.81</v>
      </c>
      <c r="R909" s="11" t="s">
        <v>41</v>
      </c>
      <c r="S909" s="11" t="s">
        <v>62</v>
      </c>
      <c r="T909" s="11" t="s">
        <v>159</v>
      </c>
      <c r="U909" s="11" t="s">
        <v>151</v>
      </c>
      <c r="V909" s="11">
        <v>2025</v>
      </c>
      <c r="W909" s="11" t="s">
        <v>126</v>
      </c>
      <c r="X909" s="11">
        <v>6</v>
      </c>
      <c r="Y909" s="10">
        <v>45724</v>
      </c>
      <c r="Z909" s="11" t="s">
        <v>110</v>
      </c>
      <c r="AA909" s="11" t="s">
        <v>48</v>
      </c>
      <c r="AB909" s="11" t="s">
        <v>78</v>
      </c>
      <c r="AC909" s="11" t="s">
        <v>121</v>
      </c>
      <c r="AD909" s="11">
        <v>2</v>
      </c>
      <c r="AE909" s="11" t="s">
        <v>2248</v>
      </c>
      <c r="AF909" s="11" t="s">
        <v>2219</v>
      </c>
      <c r="AG909" s="25"/>
      <c r="AH909" s="11"/>
      <c r="AI909" s="11"/>
      <c r="AJ909" s="11"/>
      <c r="AK909" s="11"/>
      <c r="AL909" s="11"/>
      <c r="AM909" s="11" t="str">
        <f t="shared" si="74"/>
        <v>Good</v>
      </c>
      <c r="AN909" s="11" t="str" cm="1">
        <f t="array" ref="AN909">_xlfn.IFS(N909&lt;10000,"Low",N909&lt;30000,"Medium",N909&gt;=30000,"High")</f>
        <v>Low</v>
      </c>
      <c r="AO909" s="11" t="str">
        <f t="shared" si="75"/>
        <v>No</v>
      </c>
      <c r="AP909" s="11" t="str">
        <f t="shared" si="76"/>
        <v>No</v>
      </c>
      <c r="AQ909" s="11">
        <f t="shared" si="77"/>
        <v>0.30812130325814541</v>
      </c>
      <c r="AR909" s="33"/>
      <c r="AS909" s="33"/>
      <c r="AT909" s="33"/>
      <c r="AU909" s="33"/>
      <c r="AV909" s="33"/>
      <c r="AW909" s="33"/>
      <c r="AX909" s="33" t="str">
        <f t="shared" si="78"/>
        <v>Low</v>
      </c>
    </row>
    <row r="910" spans="1:50">
      <c r="A910" s="9" t="s">
        <v>1737</v>
      </c>
      <c r="B910" s="10" t="s">
        <v>530</v>
      </c>
      <c r="C910" s="11" t="s">
        <v>1738</v>
      </c>
      <c r="D910" s="11" t="s">
        <v>1483</v>
      </c>
      <c r="E910" s="11" t="s">
        <v>55</v>
      </c>
      <c r="F910" s="11" t="s">
        <v>116</v>
      </c>
      <c r="G910" s="11" t="s">
        <v>37</v>
      </c>
      <c r="H910" s="11" t="s">
        <v>171</v>
      </c>
      <c r="I910" s="11" t="s">
        <v>71</v>
      </c>
      <c r="J910" s="11" t="s">
        <v>72</v>
      </c>
      <c r="K910" s="25">
        <v>10</v>
      </c>
      <c r="L910" s="25">
        <v>700</v>
      </c>
      <c r="M910" s="29">
        <v>0.15</v>
      </c>
      <c r="N910" s="25">
        <v>5950</v>
      </c>
      <c r="O910" s="25">
        <v>3605.93</v>
      </c>
      <c r="P910" s="25">
        <v>2344.0700000000002</v>
      </c>
      <c r="Q910" s="21">
        <v>39.4</v>
      </c>
      <c r="R910" s="11" t="s">
        <v>166</v>
      </c>
      <c r="S910" s="11" t="s">
        <v>42</v>
      </c>
      <c r="T910" s="11" t="s">
        <v>138</v>
      </c>
      <c r="U910" s="11" t="s">
        <v>151</v>
      </c>
      <c r="V910" s="11">
        <v>2025</v>
      </c>
      <c r="W910" s="11" t="s">
        <v>126</v>
      </c>
      <c r="X910" s="11">
        <v>6</v>
      </c>
      <c r="Y910" s="10">
        <v>45724</v>
      </c>
      <c r="Z910" s="11" t="s">
        <v>47</v>
      </c>
      <c r="AA910" s="11" t="s">
        <v>90</v>
      </c>
      <c r="AB910" s="11" t="s">
        <v>49</v>
      </c>
      <c r="AC910" s="11" t="s">
        <v>121</v>
      </c>
      <c r="AD910" s="11">
        <v>5</v>
      </c>
      <c r="AE910" s="11" t="s">
        <v>159</v>
      </c>
      <c r="AF910" s="11" t="s">
        <v>2228</v>
      </c>
      <c r="AG910" s="25"/>
      <c r="AH910" s="11"/>
      <c r="AI910" s="11"/>
      <c r="AJ910" s="11"/>
      <c r="AK910" s="11"/>
      <c r="AL910" s="11"/>
      <c r="AM910" s="11" t="str">
        <f t="shared" si="74"/>
        <v>Good</v>
      </c>
      <c r="AN910" s="11" t="str" cm="1">
        <f t="array" ref="AN910">_xlfn.IFS(N910&lt;10000,"Low",N910&lt;30000,"Medium",N910&gt;=30000,"High")</f>
        <v>Low</v>
      </c>
      <c r="AO910" s="11" t="str">
        <f t="shared" si="75"/>
        <v>No</v>
      </c>
      <c r="AP910" s="11" t="str">
        <f t="shared" si="76"/>
        <v>Yes</v>
      </c>
      <c r="AQ910" s="11">
        <f t="shared" si="77"/>
        <v>0.39396134453781517</v>
      </c>
      <c r="AR910" s="33"/>
      <c r="AS910" s="33"/>
      <c r="AT910" s="33"/>
      <c r="AU910" s="33"/>
      <c r="AV910" s="33"/>
      <c r="AW910" s="33"/>
      <c r="AX910" s="33" t="str">
        <f t="shared" si="78"/>
        <v>Low</v>
      </c>
    </row>
    <row r="911" spans="1:50">
      <c r="A911" s="9" t="s">
        <v>213</v>
      </c>
      <c r="B911" s="10" t="s">
        <v>214</v>
      </c>
      <c r="C911" s="11" t="s">
        <v>215</v>
      </c>
      <c r="D911" s="11" t="s">
        <v>216</v>
      </c>
      <c r="E911" s="11" t="s">
        <v>35</v>
      </c>
      <c r="F911" s="11" t="s">
        <v>36</v>
      </c>
      <c r="G911" s="11" t="s">
        <v>37</v>
      </c>
      <c r="H911" s="11" t="s">
        <v>94</v>
      </c>
      <c r="I911" s="11" t="s">
        <v>84</v>
      </c>
      <c r="J911" s="11" t="s">
        <v>217</v>
      </c>
      <c r="K911" s="25">
        <v>10</v>
      </c>
      <c r="L911" s="25">
        <v>350</v>
      </c>
      <c r="M911" s="29">
        <v>0</v>
      </c>
      <c r="N911" s="25">
        <v>3500</v>
      </c>
      <c r="O911" s="25">
        <v>2687.2</v>
      </c>
      <c r="P911" s="25">
        <v>812.8</v>
      </c>
      <c r="Q911" s="21">
        <v>23.22</v>
      </c>
      <c r="R911" s="11" t="s">
        <v>41</v>
      </c>
      <c r="S911" s="11" t="s">
        <v>74</v>
      </c>
      <c r="T911" s="11" t="s">
        <v>138</v>
      </c>
      <c r="U911" s="11" t="s">
        <v>218</v>
      </c>
      <c r="V911" s="11">
        <v>2024</v>
      </c>
      <c r="W911" s="11" t="s">
        <v>134</v>
      </c>
      <c r="X911" s="11">
        <v>5</v>
      </c>
      <c r="Y911" s="10">
        <v>45331</v>
      </c>
      <c r="Z911" s="11" t="s">
        <v>47</v>
      </c>
      <c r="AA911" s="11" t="s">
        <v>67</v>
      </c>
      <c r="AB911" s="11" t="s">
        <v>111</v>
      </c>
      <c r="AC911" s="11" t="s">
        <v>121</v>
      </c>
      <c r="AD911" s="11">
        <v>4</v>
      </c>
      <c r="AE911" s="11" t="s">
        <v>2232</v>
      </c>
      <c r="AF911" s="11" t="s">
        <v>2231</v>
      </c>
      <c r="AG911" s="25"/>
      <c r="AH911" s="11"/>
      <c r="AI911" s="11"/>
      <c r="AJ911" s="11"/>
      <c r="AK911" s="11"/>
      <c r="AL911" s="11"/>
      <c r="AM911" s="11" t="str">
        <f t="shared" si="74"/>
        <v>Needs Improvement</v>
      </c>
      <c r="AN911" s="11" t="str" cm="1">
        <f t="array" ref="AN911">_xlfn.IFS(N911&lt;10000,"Low",N911&lt;30000,"Medium",N911&gt;=30000,"High")</f>
        <v>Low</v>
      </c>
      <c r="AO911" s="11" t="str">
        <f t="shared" si="75"/>
        <v>No</v>
      </c>
      <c r="AP911" s="11" t="str">
        <f t="shared" si="76"/>
        <v>Yes</v>
      </c>
      <c r="AQ911" s="11">
        <f t="shared" si="77"/>
        <v>0.23222857142857142</v>
      </c>
      <c r="AR911" s="33"/>
      <c r="AS911" s="33"/>
      <c r="AT911" s="33"/>
      <c r="AU911" s="33"/>
      <c r="AV911" s="33"/>
      <c r="AW911" s="33"/>
      <c r="AX911" s="33" t="str">
        <f t="shared" si="78"/>
        <v>Low</v>
      </c>
    </row>
    <row r="912" spans="1:50">
      <c r="A912" s="9" t="s">
        <v>820</v>
      </c>
      <c r="B912" s="10" t="s">
        <v>214</v>
      </c>
      <c r="C912" s="11" t="s">
        <v>527</v>
      </c>
      <c r="D912" s="11" t="s">
        <v>821</v>
      </c>
      <c r="E912" s="11" t="s">
        <v>55</v>
      </c>
      <c r="F912" s="11" t="s">
        <v>104</v>
      </c>
      <c r="G912" s="11" t="s">
        <v>104</v>
      </c>
      <c r="H912" s="11" t="s">
        <v>38</v>
      </c>
      <c r="I912" s="11" t="s">
        <v>59</v>
      </c>
      <c r="J912" s="11" t="s">
        <v>133</v>
      </c>
      <c r="K912" s="25">
        <v>4</v>
      </c>
      <c r="L912" s="25">
        <v>2000</v>
      </c>
      <c r="M912" s="29">
        <v>0.1</v>
      </c>
      <c r="N912" s="25">
        <v>7200</v>
      </c>
      <c r="O912" s="25">
        <v>5265.65</v>
      </c>
      <c r="P912" s="25">
        <v>1934.35</v>
      </c>
      <c r="Q912" s="21">
        <v>26.87</v>
      </c>
      <c r="R912" s="11" t="s">
        <v>106</v>
      </c>
      <c r="S912" s="11" t="s">
        <v>42</v>
      </c>
      <c r="T912" s="11" t="s">
        <v>173</v>
      </c>
      <c r="U912" s="11" t="s">
        <v>218</v>
      </c>
      <c r="V912" s="11">
        <v>2024</v>
      </c>
      <c r="W912" s="11" t="s">
        <v>134</v>
      </c>
      <c r="X912" s="11">
        <v>1</v>
      </c>
      <c r="Y912" s="10" t="s">
        <v>822</v>
      </c>
      <c r="Z912" s="11" t="s">
        <v>47</v>
      </c>
      <c r="AA912" s="11" t="s">
        <v>48</v>
      </c>
      <c r="AB912" s="11" t="s">
        <v>111</v>
      </c>
      <c r="AC912" s="11" t="s">
        <v>121</v>
      </c>
      <c r="AD912" s="11">
        <v>3</v>
      </c>
      <c r="AE912" s="11" t="s">
        <v>2229</v>
      </c>
      <c r="AF912" s="11" t="s">
        <v>2235</v>
      </c>
      <c r="AG912" s="25"/>
      <c r="AH912" s="11"/>
      <c r="AI912" s="11"/>
      <c r="AJ912" s="11"/>
      <c r="AK912" s="11"/>
      <c r="AL912" s="11"/>
      <c r="AM912" s="11" t="str">
        <f t="shared" si="74"/>
        <v>Needs Improvement</v>
      </c>
      <c r="AN912" s="11" t="str" cm="1">
        <f t="array" ref="AN912">_xlfn.IFS(N912&lt;10000,"Low",N912&lt;30000,"Medium",N912&gt;=30000,"High")</f>
        <v>Low</v>
      </c>
      <c r="AO912" s="11" t="str">
        <f t="shared" si="75"/>
        <v>No</v>
      </c>
      <c r="AP912" s="11" t="str">
        <f t="shared" si="76"/>
        <v>Yes</v>
      </c>
      <c r="AQ912" s="11">
        <f t="shared" si="77"/>
        <v>0.26865972222222223</v>
      </c>
      <c r="AR912" s="33"/>
      <c r="AS912" s="33"/>
      <c r="AT912" s="33"/>
      <c r="AU912" s="33"/>
      <c r="AV912" s="33"/>
      <c r="AW912" s="33"/>
      <c r="AX912" s="33" t="str">
        <f t="shared" si="78"/>
        <v>Low</v>
      </c>
    </row>
    <row r="913" spans="1:50">
      <c r="A913" s="9" t="s">
        <v>1616</v>
      </c>
      <c r="B913" s="10" t="s">
        <v>214</v>
      </c>
      <c r="C913" s="11" t="s">
        <v>1288</v>
      </c>
      <c r="D913" s="11" t="s">
        <v>143</v>
      </c>
      <c r="E913" s="11" t="s">
        <v>103</v>
      </c>
      <c r="F913" s="11" t="s">
        <v>104</v>
      </c>
      <c r="G913" s="11" t="s">
        <v>104</v>
      </c>
      <c r="H913" s="11" t="s">
        <v>58</v>
      </c>
      <c r="I913" s="11" t="s">
        <v>39</v>
      </c>
      <c r="J913" s="11" t="s">
        <v>40</v>
      </c>
      <c r="K913" s="25">
        <v>7</v>
      </c>
      <c r="L913" s="25">
        <v>22000</v>
      </c>
      <c r="M913" s="29">
        <v>0.05</v>
      </c>
      <c r="N913" s="25">
        <v>146300</v>
      </c>
      <c r="O913" s="25">
        <v>112922.44</v>
      </c>
      <c r="P913" s="25">
        <v>33377.56</v>
      </c>
      <c r="Q913" s="21">
        <v>22.81</v>
      </c>
      <c r="R913" s="11" t="s">
        <v>166</v>
      </c>
      <c r="S913" s="11" t="s">
        <v>74</v>
      </c>
      <c r="T913" s="11" t="s">
        <v>43</v>
      </c>
      <c r="U913" s="11" t="s">
        <v>218</v>
      </c>
      <c r="V913" s="11">
        <v>2024</v>
      </c>
      <c r="W913" s="11" t="s">
        <v>134</v>
      </c>
      <c r="X913" s="11">
        <v>9</v>
      </c>
      <c r="Y913" s="10">
        <v>45452</v>
      </c>
      <c r="Z913" s="11" t="s">
        <v>47</v>
      </c>
      <c r="AA913" s="11" t="s">
        <v>90</v>
      </c>
      <c r="AB913" s="11" t="s">
        <v>49</v>
      </c>
      <c r="AC913" s="11" t="s">
        <v>121</v>
      </c>
      <c r="AD913" s="11">
        <v>2</v>
      </c>
      <c r="AE913" s="11" t="s">
        <v>2239</v>
      </c>
      <c r="AF913" s="11" t="s">
        <v>2217</v>
      </c>
      <c r="AG913" s="25"/>
      <c r="AH913" s="11"/>
      <c r="AI913" s="11"/>
      <c r="AJ913" s="11"/>
      <c r="AK913" s="11"/>
      <c r="AL913" s="11"/>
      <c r="AM913" s="11" t="str">
        <f t="shared" si="74"/>
        <v>Needs Improvement</v>
      </c>
      <c r="AN913" s="11" t="str" cm="1">
        <f t="array" ref="AN913">_xlfn.IFS(N913&lt;10000,"Low",N913&lt;30000,"Medium",N913&gt;=30000,"High")</f>
        <v>High</v>
      </c>
      <c r="AO913" s="11" t="str">
        <f t="shared" si="75"/>
        <v>Yes</v>
      </c>
      <c r="AP913" s="11" t="str">
        <f t="shared" si="76"/>
        <v>Yes</v>
      </c>
      <c r="AQ913" s="11">
        <f t="shared" si="77"/>
        <v>0.22814463431305534</v>
      </c>
      <c r="AR913" s="33"/>
      <c r="AS913" s="33"/>
      <c r="AT913" s="33"/>
      <c r="AU913" s="33"/>
      <c r="AV913" s="33"/>
      <c r="AW913" s="33"/>
      <c r="AX913" s="33" t="str">
        <f t="shared" si="78"/>
        <v>Excellent</v>
      </c>
    </row>
    <row r="914" spans="1:50">
      <c r="A914" s="9" t="s">
        <v>1865</v>
      </c>
      <c r="B914" s="10" t="s">
        <v>214</v>
      </c>
      <c r="C914" s="11" t="s">
        <v>522</v>
      </c>
      <c r="D914" s="11" t="s">
        <v>732</v>
      </c>
      <c r="E914" s="11" t="s">
        <v>55</v>
      </c>
      <c r="F914" s="11" t="s">
        <v>36</v>
      </c>
      <c r="G914" s="11" t="s">
        <v>37</v>
      </c>
      <c r="H914" s="11" t="s">
        <v>38</v>
      </c>
      <c r="I914" s="11" t="s">
        <v>84</v>
      </c>
      <c r="J914" s="11" t="s">
        <v>290</v>
      </c>
      <c r="K914" s="25">
        <v>10</v>
      </c>
      <c r="L914" s="25">
        <v>350</v>
      </c>
      <c r="M914" s="29">
        <v>0.05</v>
      </c>
      <c r="N914" s="25">
        <v>3325</v>
      </c>
      <c r="O914" s="25">
        <v>2550.1999999999998</v>
      </c>
      <c r="P914" s="25">
        <v>774.8</v>
      </c>
      <c r="Q914" s="21">
        <v>23.3</v>
      </c>
      <c r="R914" s="11" t="s">
        <v>61</v>
      </c>
      <c r="S914" s="11" t="s">
        <v>42</v>
      </c>
      <c r="T914" s="11" t="s">
        <v>159</v>
      </c>
      <c r="U914" s="11" t="s">
        <v>218</v>
      </c>
      <c r="V914" s="11">
        <v>2024</v>
      </c>
      <c r="W914" s="11" t="s">
        <v>134</v>
      </c>
      <c r="X914" s="11">
        <v>9</v>
      </c>
      <c r="Y914" s="10">
        <v>45452</v>
      </c>
      <c r="Z914" s="11" t="s">
        <v>110</v>
      </c>
      <c r="AA914" s="11" t="s">
        <v>48</v>
      </c>
      <c r="AB914" s="11" t="s">
        <v>111</v>
      </c>
      <c r="AC914" s="11" t="s">
        <v>50</v>
      </c>
      <c r="AD914" s="11">
        <v>5</v>
      </c>
      <c r="AE914" s="11" t="s">
        <v>2220</v>
      </c>
      <c r="AF914" s="11" t="s">
        <v>2231</v>
      </c>
      <c r="AG914" s="25"/>
      <c r="AH914" s="11"/>
      <c r="AI914" s="11"/>
      <c r="AJ914" s="11"/>
      <c r="AK914" s="11"/>
      <c r="AL914" s="11"/>
      <c r="AM914" s="11" t="str">
        <f t="shared" si="74"/>
        <v>Needs Improvement</v>
      </c>
      <c r="AN914" s="11" t="str" cm="1">
        <f t="array" ref="AN914">_xlfn.IFS(N914&lt;10000,"Low",N914&lt;30000,"Medium",N914&gt;=30000,"High")</f>
        <v>Low</v>
      </c>
      <c r="AO914" s="11" t="str">
        <f t="shared" si="75"/>
        <v>No</v>
      </c>
      <c r="AP914" s="11" t="str">
        <f t="shared" si="76"/>
        <v>Yes</v>
      </c>
      <c r="AQ914" s="11">
        <f t="shared" si="77"/>
        <v>0.23302255639097744</v>
      </c>
      <c r="AR914" s="33"/>
      <c r="AS914" s="33"/>
      <c r="AT914" s="33"/>
      <c r="AU914" s="33"/>
      <c r="AV914" s="33"/>
      <c r="AW914" s="33"/>
      <c r="AX914" s="33" t="str">
        <f t="shared" si="78"/>
        <v>Low</v>
      </c>
    </row>
    <row r="915" spans="1:50">
      <c r="A915" s="9" t="s">
        <v>1144</v>
      </c>
      <c r="B915" s="10" t="s">
        <v>174</v>
      </c>
      <c r="C915" s="11" t="s">
        <v>1145</v>
      </c>
      <c r="D915" s="11" t="s">
        <v>1146</v>
      </c>
      <c r="E915" s="11" t="s">
        <v>35</v>
      </c>
      <c r="F915" s="11" t="s">
        <v>104</v>
      </c>
      <c r="G915" s="11" t="s">
        <v>104</v>
      </c>
      <c r="H915" s="11" t="s">
        <v>94</v>
      </c>
      <c r="I915" s="11" t="s">
        <v>71</v>
      </c>
      <c r="J915" s="11" t="s">
        <v>158</v>
      </c>
      <c r="K915" s="25">
        <v>6</v>
      </c>
      <c r="L915" s="25">
        <v>700</v>
      </c>
      <c r="M915" s="29">
        <v>0.1</v>
      </c>
      <c r="N915" s="25">
        <v>3780</v>
      </c>
      <c r="O915" s="25">
        <v>2149.83</v>
      </c>
      <c r="P915" s="25">
        <v>1630.17</v>
      </c>
      <c r="Q915" s="21">
        <v>43.13</v>
      </c>
      <c r="R915" s="11" t="s">
        <v>106</v>
      </c>
      <c r="S915" s="11" t="s">
        <v>74</v>
      </c>
      <c r="T915" s="11" t="s">
        <v>107</v>
      </c>
      <c r="U915" s="11" t="s">
        <v>108</v>
      </c>
      <c r="V915" s="11">
        <v>2024</v>
      </c>
      <c r="W915" s="11" t="s">
        <v>65</v>
      </c>
      <c r="X915" s="11">
        <v>3</v>
      </c>
      <c r="Y915" s="10">
        <v>45301</v>
      </c>
      <c r="Z915" s="11" t="s">
        <v>110</v>
      </c>
      <c r="AA915" s="11" t="s">
        <v>67</v>
      </c>
      <c r="AB915" s="11" t="s">
        <v>49</v>
      </c>
      <c r="AC915" s="11" t="s">
        <v>121</v>
      </c>
      <c r="AD915" s="11">
        <v>4</v>
      </c>
      <c r="AE915" s="11" t="s">
        <v>2234</v>
      </c>
      <c r="AF915" s="11" t="s">
        <v>2223</v>
      </c>
      <c r="AG915" s="25"/>
      <c r="AH915" s="11"/>
      <c r="AI915" s="11"/>
      <c r="AJ915" s="11"/>
      <c r="AK915" s="11"/>
      <c r="AL915" s="11"/>
      <c r="AM915" s="11" t="str">
        <f t="shared" si="74"/>
        <v>Good</v>
      </c>
      <c r="AN915" s="11" t="str" cm="1">
        <f t="array" ref="AN915">_xlfn.IFS(N915&lt;10000,"Low",N915&lt;30000,"Medium",N915&gt;=30000,"High")</f>
        <v>Low</v>
      </c>
      <c r="AO915" s="11" t="str">
        <f t="shared" si="75"/>
        <v>No</v>
      </c>
      <c r="AP915" s="11" t="str">
        <f t="shared" si="76"/>
        <v>Yes</v>
      </c>
      <c r="AQ915" s="11">
        <f t="shared" si="77"/>
        <v>0.43126190476190479</v>
      </c>
      <c r="AR915" s="33"/>
      <c r="AS915" s="33"/>
      <c r="AT915" s="33"/>
      <c r="AU915" s="33"/>
      <c r="AV915" s="33"/>
      <c r="AW915" s="33"/>
      <c r="AX915" s="33" t="str">
        <f t="shared" si="78"/>
        <v>Low</v>
      </c>
    </row>
    <row r="916" spans="1:50">
      <c r="A916" s="9" t="s">
        <v>2127</v>
      </c>
      <c r="B916" s="10" t="s">
        <v>174</v>
      </c>
      <c r="C916" s="11" t="s">
        <v>204</v>
      </c>
      <c r="D916" s="11" t="s">
        <v>177</v>
      </c>
      <c r="E916" s="11" t="s">
        <v>35</v>
      </c>
      <c r="F916" s="11" t="s">
        <v>104</v>
      </c>
      <c r="G916" s="11" t="s">
        <v>104</v>
      </c>
      <c r="H916" s="11" t="s">
        <v>171</v>
      </c>
      <c r="I916" s="11" t="s">
        <v>71</v>
      </c>
      <c r="J916" s="11" t="s">
        <v>172</v>
      </c>
      <c r="K916" s="25">
        <v>6</v>
      </c>
      <c r="L916" s="25">
        <v>1200</v>
      </c>
      <c r="M916" s="29">
        <v>0.1</v>
      </c>
      <c r="N916" s="25">
        <v>6480</v>
      </c>
      <c r="O916" s="25">
        <v>4105.96</v>
      </c>
      <c r="P916" s="25">
        <v>2374.04</v>
      </c>
      <c r="Q916" s="21">
        <v>36.64</v>
      </c>
      <c r="R916" s="11" t="s">
        <v>61</v>
      </c>
      <c r="S916" s="11" t="s">
        <v>62</v>
      </c>
      <c r="T916" s="11" t="s">
        <v>159</v>
      </c>
      <c r="U916" s="11" t="s">
        <v>108</v>
      </c>
      <c r="V916" s="11">
        <v>2024</v>
      </c>
      <c r="W916" s="11" t="s">
        <v>65</v>
      </c>
      <c r="X916" s="11">
        <v>9</v>
      </c>
      <c r="Y916" s="10">
        <v>45483</v>
      </c>
      <c r="Z916" s="11" t="s">
        <v>47</v>
      </c>
      <c r="AA916" s="11" t="s">
        <v>90</v>
      </c>
      <c r="AB916" s="11" t="s">
        <v>49</v>
      </c>
      <c r="AC916" s="11" t="s">
        <v>50</v>
      </c>
      <c r="AD916" s="11">
        <v>3</v>
      </c>
      <c r="AE916" s="11" t="s">
        <v>2240</v>
      </c>
      <c r="AF916" s="11" t="s">
        <v>2214</v>
      </c>
      <c r="AG916" s="25"/>
      <c r="AH916" s="11"/>
      <c r="AI916" s="11"/>
      <c r="AJ916" s="11"/>
      <c r="AK916" s="11"/>
      <c r="AL916" s="11"/>
      <c r="AM916" s="11" t="str">
        <f t="shared" si="74"/>
        <v>Good</v>
      </c>
      <c r="AN916" s="11" t="str" cm="1">
        <f t="array" ref="AN916">_xlfn.IFS(N916&lt;10000,"Low",N916&lt;30000,"Medium",N916&gt;=30000,"High")</f>
        <v>Low</v>
      </c>
      <c r="AO916" s="11" t="str">
        <f t="shared" si="75"/>
        <v>No</v>
      </c>
      <c r="AP916" s="11" t="str">
        <f t="shared" si="76"/>
        <v>No</v>
      </c>
      <c r="AQ916" s="11">
        <f t="shared" si="77"/>
        <v>0.36636419753086419</v>
      </c>
      <c r="AR916" s="33"/>
      <c r="AS916" s="33"/>
      <c r="AT916" s="33"/>
      <c r="AU916" s="33"/>
      <c r="AV916" s="33"/>
      <c r="AW916" s="33"/>
      <c r="AX916" s="33" t="str">
        <f t="shared" si="78"/>
        <v>Low</v>
      </c>
    </row>
    <row r="917" spans="1:50">
      <c r="A917" s="9" t="s">
        <v>1312</v>
      </c>
      <c r="B917" s="10" t="s">
        <v>1313</v>
      </c>
      <c r="C917" s="11" t="s">
        <v>1314</v>
      </c>
      <c r="D917" s="11" t="s">
        <v>542</v>
      </c>
      <c r="E917" s="11" t="s">
        <v>35</v>
      </c>
      <c r="F917" s="11" t="s">
        <v>116</v>
      </c>
      <c r="G917" s="11" t="s">
        <v>37</v>
      </c>
      <c r="H917" s="11" t="s">
        <v>38</v>
      </c>
      <c r="I917" s="11" t="s">
        <v>71</v>
      </c>
      <c r="J917" s="11" t="s">
        <v>158</v>
      </c>
      <c r="K917" s="25">
        <v>6</v>
      </c>
      <c r="L917" s="25">
        <v>2500</v>
      </c>
      <c r="M917" s="29">
        <v>0.05</v>
      </c>
      <c r="N917" s="25">
        <v>14250</v>
      </c>
      <c r="O917" s="25">
        <v>10494.96</v>
      </c>
      <c r="P917" s="25">
        <v>3755.04</v>
      </c>
      <c r="Q917" s="21">
        <v>26.35</v>
      </c>
      <c r="R917" s="11" t="s">
        <v>73</v>
      </c>
      <c r="S917" s="11" t="s">
        <v>42</v>
      </c>
      <c r="T917" s="11" t="s">
        <v>138</v>
      </c>
      <c r="U917" s="11" t="s">
        <v>108</v>
      </c>
      <c r="V917" s="11">
        <v>2025</v>
      </c>
      <c r="W917" s="11" t="s">
        <v>45</v>
      </c>
      <c r="X917" s="11">
        <v>4</v>
      </c>
      <c r="Y917" s="10">
        <v>45698</v>
      </c>
      <c r="Z917" s="11" t="s">
        <v>47</v>
      </c>
      <c r="AA917" s="11" t="s">
        <v>90</v>
      </c>
      <c r="AB917" s="11" t="s">
        <v>78</v>
      </c>
      <c r="AC917" s="11" t="s">
        <v>50</v>
      </c>
      <c r="AD917" s="11">
        <v>3</v>
      </c>
      <c r="AE917" s="11" t="s">
        <v>2220</v>
      </c>
      <c r="AF917" s="11" t="s">
        <v>2222</v>
      </c>
      <c r="AG917" s="25"/>
      <c r="AH917" s="11"/>
      <c r="AI917" s="11"/>
      <c r="AJ917" s="11"/>
      <c r="AK917" s="11"/>
      <c r="AL917" s="11"/>
      <c r="AM917" s="11" t="str">
        <f t="shared" si="74"/>
        <v>Needs Improvement</v>
      </c>
      <c r="AN917" s="11" t="str" cm="1">
        <f t="array" ref="AN917">_xlfn.IFS(N917&lt;10000,"Low",N917&lt;30000,"Medium",N917&gt;=30000,"High")</f>
        <v>Medium</v>
      </c>
      <c r="AO917" s="11" t="str">
        <f t="shared" si="75"/>
        <v>No</v>
      </c>
      <c r="AP917" s="11" t="str">
        <f t="shared" si="76"/>
        <v>Yes</v>
      </c>
      <c r="AQ917" s="11">
        <f t="shared" si="77"/>
        <v>0.26351157894736843</v>
      </c>
      <c r="AR917" s="33"/>
      <c r="AS917" s="33"/>
      <c r="AT917" s="33"/>
      <c r="AU917" s="33"/>
      <c r="AV917" s="33"/>
      <c r="AW917" s="33"/>
      <c r="AX917" s="33" t="str">
        <f t="shared" si="78"/>
        <v>Low</v>
      </c>
    </row>
    <row r="918" spans="1:50">
      <c r="A918" s="9" t="s">
        <v>2141</v>
      </c>
      <c r="B918" s="10" t="s">
        <v>1313</v>
      </c>
      <c r="C918" s="11" t="s">
        <v>675</v>
      </c>
      <c r="D918" s="11" t="s">
        <v>539</v>
      </c>
      <c r="E918" s="11" t="s">
        <v>35</v>
      </c>
      <c r="F918" s="11" t="s">
        <v>131</v>
      </c>
      <c r="G918" s="11" t="s">
        <v>132</v>
      </c>
      <c r="H918" s="11" t="s">
        <v>94</v>
      </c>
      <c r="I918" s="11" t="s">
        <v>95</v>
      </c>
      <c r="J918" s="11" t="s">
        <v>440</v>
      </c>
      <c r="K918" s="25">
        <v>9</v>
      </c>
      <c r="L918" s="25">
        <v>15000</v>
      </c>
      <c r="M918" s="29">
        <v>0.2</v>
      </c>
      <c r="N918" s="25">
        <v>108000</v>
      </c>
      <c r="O918" s="25">
        <v>70726.16</v>
      </c>
      <c r="P918" s="25">
        <v>37273.839999999997</v>
      </c>
      <c r="Q918" s="21">
        <v>34.51</v>
      </c>
      <c r="R918" s="11" t="s">
        <v>41</v>
      </c>
      <c r="S918" s="11" t="s">
        <v>42</v>
      </c>
      <c r="T918" s="11" t="s">
        <v>107</v>
      </c>
      <c r="U918" s="11" t="s">
        <v>108</v>
      </c>
      <c r="V918" s="11">
        <v>2025</v>
      </c>
      <c r="W918" s="11" t="s">
        <v>45</v>
      </c>
      <c r="X918" s="11">
        <v>7</v>
      </c>
      <c r="Y918" s="10">
        <v>45787</v>
      </c>
      <c r="Z918" s="11" t="s">
        <v>47</v>
      </c>
      <c r="AA918" s="11" t="s">
        <v>48</v>
      </c>
      <c r="AB918" s="11" t="s">
        <v>111</v>
      </c>
      <c r="AC918" s="11" t="s">
        <v>121</v>
      </c>
      <c r="AD918" s="11">
        <v>4</v>
      </c>
      <c r="AE918" s="11" t="s">
        <v>2232</v>
      </c>
      <c r="AF918" s="11" t="s">
        <v>2210</v>
      </c>
      <c r="AG918" s="25"/>
      <c r="AH918" s="11"/>
      <c r="AI918" s="11"/>
      <c r="AJ918" s="11"/>
      <c r="AK918" s="11"/>
      <c r="AL918" s="11"/>
      <c r="AM918" s="11" t="str">
        <f t="shared" si="74"/>
        <v>Good</v>
      </c>
      <c r="AN918" s="11" t="str" cm="1">
        <f t="array" ref="AN918">_xlfn.IFS(N918&lt;10000,"Low",N918&lt;30000,"Medium",N918&gt;=30000,"High")</f>
        <v>High</v>
      </c>
      <c r="AO918" s="11" t="str">
        <f t="shared" si="75"/>
        <v>Yes</v>
      </c>
      <c r="AP918" s="11" t="str">
        <f t="shared" si="76"/>
        <v>Yes</v>
      </c>
      <c r="AQ918" s="11">
        <f t="shared" si="77"/>
        <v>0.34512814814814813</v>
      </c>
      <c r="AR918" s="33"/>
      <c r="AS918" s="33"/>
      <c r="AT918" s="33"/>
      <c r="AU918" s="33"/>
      <c r="AV918" s="33"/>
      <c r="AW918" s="33"/>
      <c r="AX918" s="33" t="str">
        <f t="shared" si="78"/>
        <v>Excellent</v>
      </c>
    </row>
    <row r="919" spans="1:50">
      <c r="A919" s="9" t="s">
        <v>2058</v>
      </c>
      <c r="B919" s="10" t="s">
        <v>500</v>
      </c>
      <c r="C919" s="11" t="s">
        <v>1360</v>
      </c>
      <c r="D919" s="11" t="s">
        <v>177</v>
      </c>
      <c r="E919" s="11" t="s">
        <v>103</v>
      </c>
      <c r="F919" s="11" t="s">
        <v>144</v>
      </c>
      <c r="G919" s="11" t="s">
        <v>145</v>
      </c>
      <c r="H919" s="11" t="s">
        <v>171</v>
      </c>
      <c r="I919" s="11" t="s">
        <v>71</v>
      </c>
      <c r="J919" s="11" t="s">
        <v>117</v>
      </c>
      <c r="K919" s="25">
        <v>3</v>
      </c>
      <c r="L919" s="25">
        <v>1800</v>
      </c>
      <c r="M919" s="29">
        <v>0.2</v>
      </c>
      <c r="N919" s="25">
        <v>4320</v>
      </c>
      <c r="O919" s="25">
        <v>3115.44</v>
      </c>
      <c r="P919" s="25">
        <v>1204.56</v>
      </c>
      <c r="Q919" s="21">
        <v>27.88</v>
      </c>
      <c r="R919" s="11" t="s">
        <v>166</v>
      </c>
      <c r="S919" s="11" t="s">
        <v>74</v>
      </c>
      <c r="T919" s="11" t="s">
        <v>86</v>
      </c>
      <c r="U919" s="11" t="s">
        <v>87</v>
      </c>
      <c r="V919" s="11">
        <v>2024</v>
      </c>
      <c r="W919" s="11" t="s">
        <v>126</v>
      </c>
      <c r="X919" s="11">
        <v>3</v>
      </c>
      <c r="Y919" s="10" t="s">
        <v>2059</v>
      </c>
      <c r="Z919" s="11" t="s">
        <v>47</v>
      </c>
      <c r="AA919" s="11" t="s">
        <v>48</v>
      </c>
      <c r="AB919" s="11" t="s">
        <v>111</v>
      </c>
      <c r="AC919" s="11" t="s">
        <v>121</v>
      </c>
      <c r="AD919" s="11">
        <v>3</v>
      </c>
      <c r="AE919" s="11" t="s">
        <v>2240</v>
      </c>
      <c r="AF919" s="11" t="s">
        <v>2214</v>
      </c>
      <c r="AG919" s="25"/>
      <c r="AH919" s="11"/>
      <c r="AI919" s="11"/>
      <c r="AJ919" s="11"/>
      <c r="AK919" s="11"/>
      <c r="AL919" s="11"/>
      <c r="AM919" s="11" t="str">
        <f t="shared" si="74"/>
        <v>Needs Improvement</v>
      </c>
      <c r="AN919" s="11" t="str" cm="1">
        <f t="array" ref="AN919">_xlfn.IFS(N919&lt;10000,"Low",N919&lt;30000,"Medium",N919&gt;=30000,"High")</f>
        <v>Low</v>
      </c>
      <c r="AO919" s="11" t="str">
        <f t="shared" si="75"/>
        <v>No</v>
      </c>
      <c r="AP919" s="11" t="str">
        <f t="shared" si="76"/>
        <v>Yes</v>
      </c>
      <c r="AQ919" s="11">
        <f t="shared" si="77"/>
        <v>0.27883333333333332</v>
      </c>
      <c r="AR919" s="33"/>
      <c r="AS919" s="33"/>
      <c r="AT919" s="33"/>
      <c r="AU919" s="33"/>
      <c r="AV919" s="33"/>
      <c r="AW919" s="33"/>
      <c r="AX919" s="33" t="str">
        <f t="shared" si="78"/>
        <v>Low</v>
      </c>
    </row>
    <row r="920" spans="1:50">
      <c r="A920" s="9" t="s">
        <v>404</v>
      </c>
      <c r="B920" s="10" t="s">
        <v>405</v>
      </c>
      <c r="C920" s="11" t="s">
        <v>406</v>
      </c>
      <c r="D920" s="11" t="s">
        <v>228</v>
      </c>
      <c r="E920" s="11" t="s">
        <v>35</v>
      </c>
      <c r="F920" s="11" t="s">
        <v>156</v>
      </c>
      <c r="G920" s="11" t="s">
        <v>157</v>
      </c>
      <c r="H920" s="11" t="s">
        <v>38</v>
      </c>
      <c r="I920" s="11" t="s">
        <v>71</v>
      </c>
      <c r="J920" s="11" t="s">
        <v>240</v>
      </c>
      <c r="K920" s="25">
        <v>2</v>
      </c>
      <c r="L920" s="25">
        <v>2500</v>
      </c>
      <c r="M920" s="29">
        <v>0</v>
      </c>
      <c r="N920" s="25">
        <v>5000</v>
      </c>
      <c r="O920" s="25">
        <v>3371.13</v>
      </c>
      <c r="P920" s="25">
        <v>1628.87</v>
      </c>
      <c r="Q920" s="21">
        <v>32.58</v>
      </c>
      <c r="R920" s="11" t="s">
        <v>166</v>
      </c>
      <c r="S920" s="11" t="s">
        <v>42</v>
      </c>
      <c r="T920" s="11" t="s">
        <v>75</v>
      </c>
      <c r="U920" s="11" t="s">
        <v>198</v>
      </c>
      <c r="V920" s="11">
        <v>2024</v>
      </c>
      <c r="W920" s="11" t="s">
        <v>139</v>
      </c>
      <c r="X920" s="11">
        <v>3</v>
      </c>
      <c r="Y920" s="10">
        <v>45303</v>
      </c>
      <c r="Z920" s="11" t="s">
        <v>89</v>
      </c>
      <c r="AA920" s="11" t="s">
        <v>48</v>
      </c>
      <c r="AB920" s="11" t="s">
        <v>49</v>
      </c>
      <c r="AC920" s="11" t="s">
        <v>50</v>
      </c>
      <c r="AD920" s="11">
        <v>3</v>
      </c>
      <c r="AE920" s="11" t="s">
        <v>2237</v>
      </c>
      <c r="AF920" s="11" t="s">
        <v>2223</v>
      </c>
      <c r="AG920" s="25"/>
      <c r="AH920" s="11"/>
      <c r="AI920" s="11"/>
      <c r="AJ920" s="11"/>
      <c r="AK920" s="11"/>
      <c r="AL920" s="11"/>
      <c r="AM920" s="11" t="str">
        <f t="shared" si="74"/>
        <v>Good</v>
      </c>
      <c r="AN920" s="11" t="str" cm="1">
        <f t="array" ref="AN920">_xlfn.IFS(N920&lt;10000,"Low",N920&lt;30000,"Medium",N920&gt;=30000,"High")</f>
        <v>Low</v>
      </c>
      <c r="AO920" s="11" t="str">
        <f t="shared" si="75"/>
        <v>No</v>
      </c>
      <c r="AP920" s="11" t="str">
        <f t="shared" si="76"/>
        <v>Yes</v>
      </c>
      <c r="AQ920" s="11">
        <f t="shared" si="77"/>
        <v>0.32577399999999995</v>
      </c>
      <c r="AR920" s="33"/>
      <c r="AS920" s="33"/>
      <c r="AT920" s="33"/>
      <c r="AU920" s="33"/>
      <c r="AV920" s="33"/>
      <c r="AW920" s="33"/>
      <c r="AX920" s="33" t="str">
        <f t="shared" si="78"/>
        <v>Low</v>
      </c>
    </row>
    <row r="921" spans="1:50">
      <c r="A921" s="9" t="s">
        <v>2076</v>
      </c>
      <c r="B921" s="10" t="s">
        <v>405</v>
      </c>
      <c r="C921" s="11" t="s">
        <v>238</v>
      </c>
      <c r="D921" s="11" t="s">
        <v>2077</v>
      </c>
      <c r="E921" s="11" t="s">
        <v>103</v>
      </c>
      <c r="F921" s="11" t="s">
        <v>149</v>
      </c>
      <c r="G921" s="11" t="s">
        <v>150</v>
      </c>
      <c r="H921" s="11" t="s">
        <v>171</v>
      </c>
      <c r="I921" s="11" t="s">
        <v>59</v>
      </c>
      <c r="J921" s="11" t="s">
        <v>372</v>
      </c>
      <c r="K921" s="25">
        <v>3</v>
      </c>
      <c r="L921" s="25">
        <v>800</v>
      </c>
      <c r="M921" s="29">
        <v>0.05</v>
      </c>
      <c r="N921" s="25">
        <v>2280</v>
      </c>
      <c r="O921" s="25">
        <v>1739.92</v>
      </c>
      <c r="P921" s="25">
        <v>540.08000000000004</v>
      </c>
      <c r="Q921" s="21">
        <v>23.69</v>
      </c>
      <c r="R921" s="11" t="s">
        <v>61</v>
      </c>
      <c r="S921" s="11" t="s">
        <v>62</v>
      </c>
      <c r="T921" s="11" t="s">
        <v>173</v>
      </c>
      <c r="U921" s="11" t="s">
        <v>198</v>
      </c>
      <c r="V921" s="11">
        <v>2024</v>
      </c>
      <c r="W921" s="11" t="s">
        <v>139</v>
      </c>
      <c r="X921" s="11">
        <v>6</v>
      </c>
      <c r="Y921" s="10">
        <v>45394</v>
      </c>
      <c r="Z921" s="11" t="s">
        <v>47</v>
      </c>
      <c r="AA921" s="11" t="s">
        <v>67</v>
      </c>
      <c r="AB921" s="11" t="s">
        <v>111</v>
      </c>
      <c r="AC921" s="11" t="s">
        <v>50</v>
      </c>
      <c r="AD921" s="11">
        <v>4</v>
      </c>
      <c r="AE921" s="11" t="s">
        <v>86</v>
      </c>
      <c r="AF921" s="11" t="s">
        <v>2236</v>
      </c>
      <c r="AG921" s="25"/>
      <c r="AH921" s="11"/>
      <c r="AI921" s="11"/>
      <c r="AJ921" s="11"/>
      <c r="AK921" s="11"/>
      <c r="AL921" s="11"/>
      <c r="AM921" s="11" t="str">
        <f t="shared" si="74"/>
        <v>Needs Improvement</v>
      </c>
      <c r="AN921" s="11" t="str" cm="1">
        <f t="array" ref="AN921">_xlfn.IFS(N921&lt;10000,"Low",N921&lt;30000,"Medium",N921&gt;=30000,"High")</f>
        <v>Low</v>
      </c>
      <c r="AO921" s="11" t="str">
        <f t="shared" si="75"/>
        <v>No</v>
      </c>
      <c r="AP921" s="11" t="str">
        <f t="shared" si="76"/>
        <v>No</v>
      </c>
      <c r="AQ921" s="11">
        <f t="shared" si="77"/>
        <v>0.23687719298245616</v>
      </c>
      <c r="AR921" s="33"/>
      <c r="AS921" s="33"/>
      <c r="AT921" s="33"/>
      <c r="AU921" s="33"/>
      <c r="AV921" s="33"/>
      <c r="AW921" s="33"/>
      <c r="AX921" s="33" t="str">
        <f t="shared" si="78"/>
        <v>Low</v>
      </c>
    </row>
    <row r="922" spans="1:50">
      <c r="A922" s="9" t="s">
        <v>1541</v>
      </c>
      <c r="B922" s="10" t="s">
        <v>1542</v>
      </c>
      <c r="C922" s="11" t="s">
        <v>1543</v>
      </c>
      <c r="D922" s="11" t="s">
        <v>1263</v>
      </c>
      <c r="E922" s="11" t="s">
        <v>103</v>
      </c>
      <c r="F922" s="11" t="s">
        <v>245</v>
      </c>
      <c r="G922" s="11" t="s">
        <v>246</v>
      </c>
      <c r="H922" s="11" t="s">
        <v>171</v>
      </c>
      <c r="I922" s="11" t="s">
        <v>71</v>
      </c>
      <c r="J922" s="11" t="s">
        <v>72</v>
      </c>
      <c r="K922" s="25">
        <v>2</v>
      </c>
      <c r="L922" s="25">
        <v>1200</v>
      </c>
      <c r="M922" s="29">
        <v>0.05</v>
      </c>
      <c r="N922" s="25">
        <v>2280</v>
      </c>
      <c r="O922" s="25">
        <v>1865.55</v>
      </c>
      <c r="P922" s="25">
        <v>414.45</v>
      </c>
      <c r="Q922" s="21">
        <v>18.18</v>
      </c>
      <c r="R922" s="11" t="s">
        <v>166</v>
      </c>
      <c r="S922" s="11" t="s">
        <v>74</v>
      </c>
      <c r="T922" s="11" t="s">
        <v>97</v>
      </c>
      <c r="U922" s="11" t="s">
        <v>198</v>
      </c>
      <c r="V922" s="11">
        <v>2025</v>
      </c>
      <c r="W922" s="11" t="s">
        <v>194</v>
      </c>
      <c r="X922" s="11">
        <v>3</v>
      </c>
      <c r="Y922" s="10">
        <v>45669</v>
      </c>
      <c r="Z922" s="11" t="s">
        <v>47</v>
      </c>
      <c r="AA922" s="11" t="s">
        <v>67</v>
      </c>
      <c r="AB922" s="11" t="s">
        <v>78</v>
      </c>
      <c r="AC922" s="11" t="s">
        <v>50</v>
      </c>
      <c r="AD922" s="11">
        <v>1</v>
      </c>
      <c r="AE922" s="11" t="s">
        <v>2227</v>
      </c>
      <c r="AF922" s="11" t="s">
        <v>2214</v>
      </c>
      <c r="AG922" s="25"/>
      <c r="AH922" s="11"/>
      <c r="AI922" s="11"/>
      <c r="AJ922" s="11"/>
      <c r="AK922" s="11"/>
      <c r="AL922" s="11"/>
      <c r="AM922" s="11" t="str">
        <f t="shared" si="74"/>
        <v>Needs Improvement</v>
      </c>
      <c r="AN922" s="11" t="str" cm="1">
        <f t="array" ref="AN922">_xlfn.IFS(N922&lt;10000,"Low",N922&lt;30000,"Medium",N922&gt;=30000,"High")</f>
        <v>Low</v>
      </c>
      <c r="AO922" s="11" t="str">
        <f t="shared" si="75"/>
        <v>No</v>
      </c>
      <c r="AP922" s="11" t="str">
        <f t="shared" si="76"/>
        <v>Yes</v>
      </c>
      <c r="AQ922" s="11">
        <f t="shared" si="77"/>
        <v>0.18177631578947367</v>
      </c>
      <c r="AR922" s="33"/>
      <c r="AS922" s="33"/>
      <c r="AT922" s="33"/>
      <c r="AU922" s="33"/>
      <c r="AV922" s="33"/>
      <c r="AW922" s="33"/>
      <c r="AX922" s="33" t="str">
        <f t="shared" si="78"/>
        <v>Low</v>
      </c>
    </row>
    <row r="923" spans="1:50">
      <c r="A923" s="9" t="s">
        <v>1820</v>
      </c>
      <c r="B923" s="10" t="s">
        <v>1542</v>
      </c>
      <c r="C923" s="11" t="s">
        <v>331</v>
      </c>
      <c r="D923" s="11" t="s">
        <v>1821</v>
      </c>
      <c r="E923" s="11" t="s">
        <v>55</v>
      </c>
      <c r="F923" s="11" t="s">
        <v>149</v>
      </c>
      <c r="G923" s="11" t="s">
        <v>150</v>
      </c>
      <c r="H923" s="11" t="s">
        <v>58</v>
      </c>
      <c r="I923" s="11" t="s">
        <v>59</v>
      </c>
      <c r="J923" s="11" t="s">
        <v>372</v>
      </c>
      <c r="K923" s="25">
        <v>7</v>
      </c>
      <c r="L923" s="25">
        <v>800</v>
      </c>
      <c r="M923" s="29">
        <v>0.2</v>
      </c>
      <c r="N923" s="25">
        <v>4480</v>
      </c>
      <c r="O923" s="25">
        <v>3507.56</v>
      </c>
      <c r="P923" s="25">
        <v>972.44</v>
      </c>
      <c r="Q923" s="21">
        <v>21.71</v>
      </c>
      <c r="R923" s="11" t="s">
        <v>106</v>
      </c>
      <c r="S923" s="11" t="s">
        <v>42</v>
      </c>
      <c r="T923" s="11" t="s">
        <v>173</v>
      </c>
      <c r="U923" s="11" t="s">
        <v>198</v>
      </c>
      <c r="V923" s="11">
        <v>2025</v>
      </c>
      <c r="W923" s="11" t="s">
        <v>194</v>
      </c>
      <c r="X923" s="11">
        <v>10</v>
      </c>
      <c r="Y923" s="10">
        <v>45881</v>
      </c>
      <c r="Z923" s="11" t="s">
        <v>47</v>
      </c>
      <c r="AA923" s="11" t="s">
        <v>48</v>
      </c>
      <c r="AB923" s="11" t="s">
        <v>78</v>
      </c>
      <c r="AC923" s="11" t="s">
        <v>121</v>
      </c>
      <c r="AD923" s="11">
        <v>2</v>
      </c>
      <c r="AE923" s="11" t="s">
        <v>2226</v>
      </c>
      <c r="AF923" s="11" t="s">
        <v>2214</v>
      </c>
      <c r="AG923" s="25"/>
      <c r="AH923" s="11"/>
      <c r="AI923" s="11"/>
      <c r="AJ923" s="11"/>
      <c r="AK923" s="11"/>
      <c r="AL923" s="11"/>
      <c r="AM923" s="11" t="str">
        <f t="shared" si="74"/>
        <v>Needs Improvement</v>
      </c>
      <c r="AN923" s="11" t="str" cm="1">
        <f t="array" ref="AN923">_xlfn.IFS(N923&lt;10000,"Low",N923&lt;30000,"Medium",N923&gt;=30000,"High")</f>
        <v>Low</v>
      </c>
      <c r="AO923" s="11" t="str">
        <f t="shared" si="75"/>
        <v>No</v>
      </c>
      <c r="AP923" s="11" t="str">
        <f t="shared" si="76"/>
        <v>Yes</v>
      </c>
      <c r="AQ923" s="11">
        <f t="shared" si="77"/>
        <v>0.21706250000000002</v>
      </c>
      <c r="AR923" s="33"/>
      <c r="AS923" s="33"/>
      <c r="AT923" s="33"/>
      <c r="AU923" s="33"/>
      <c r="AV923" s="33"/>
      <c r="AW923" s="33"/>
      <c r="AX923" s="33" t="str">
        <f t="shared" si="78"/>
        <v>Low</v>
      </c>
    </row>
    <row r="924" spans="1:50">
      <c r="A924" s="9" t="s">
        <v>1084</v>
      </c>
      <c r="B924" s="10" t="s">
        <v>536</v>
      </c>
      <c r="C924" s="11" t="s">
        <v>1085</v>
      </c>
      <c r="D924" s="11" t="s">
        <v>379</v>
      </c>
      <c r="E924" s="11" t="s">
        <v>103</v>
      </c>
      <c r="F924" s="11" t="s">
        <v>131</v>
      </c>
      <c r="G924" s="11" t="s">
        <v>132</v>
      </c>
      <c r="H924" s="11" t="s">
        <v>38</v>
      </c>
      <c r="I924" s="11" t="s">
        <v>39</v>
      </c>
      <c r="J924" s="11" t="s">
        <v>105</v>
      </c>
      <c r="K924" s="25">
        <v>10</v>
      </c>
      <c r="L924" s="25">
        <v>50000</v>
      </c>
      <c r="M924" s="29">
        <v>0.1</v>
      </c>
      <c r="N924" s="25">
        <v>450000</v>
      </c>
      <c r="O924" s="25">
        <v>281575.89</v>
      </c>
      <c r="P924" s="25">
        <v>168424.11</v>
      </c>
      <c r="Q924" s="21">
        <v>37.43</v>
      </c>
      <c r="R924" s="11" t="s">
        <v>41</v>
      </c>
      <c r="S924" s="11" t="s">
        <v>42</v>
      </c>
      <c r="T924" s="11" t="s">
        <v>75</v>
      </c>
      <c r="U924" s="11" t="s">
        <v>64</v>
      </c>
      <c r="V924" s="11">
        <v>2024</v>
      </c>
      <c r="W924" s="11" t="s">
        <v>65</v>
      </c>
      <c r="X924" s="11">
        <v>2</v>
      </c>
      <c r="Y924" s="10" t="s">
        <v>1086</v>
      </c>
      <c r="Z924" s="11" t="s">
        <v>47</v>
      </c>
      <c r="AA924" s="11" t="s">
        <v>90</v>
      </c>
      <c r="AB924" s="11" t="s">
        <v>111</v>
      </c>
      <c r="AC924" s="11" t="s">
        <v>121</v>
      </c>
      <c r="AD924" s="11">
        <v>3</v>
      </c>
      <c r="AE924" s="11" t="s">
        <v>2216</v>
      </c>
      <c r="AF924" s="11" t="s">
        <v>2223</v>
      </c>
      <c r="AG924" s="25"/>
      <c r="AH924" s="11"/>
      <c r="AI924" s="11"/>
      <c r="AJ924" s="11"/>
      <c r="AK924" s="11"/>
      <c r="AL924" s="11"/>
      <c r="AM924" s="11" t="str">
        <f t="shared" si="74"/>
        <v>Good</v>
      </c>
      <c r="AN924" s="11" t="str" cm="1">
        <f t="array" ref="AN924">_xlfn.IFS(N924&lt;10000,"Low",N924&lt;30000,"Medium",N924&gt;=30000,"High")</f>
        <v>High</v>
      </c>
      <c r="AO924" s="11" t="str">
        <f t="shared" si="75"/>
        <v>Yes</v>
      </c>
      <c r="AP924" s="11" t="str">
        <f t="shared" si="76"/>
        <v>Yes</v>
      </c>
      <c r="AQ924" s="11">
        <f t="shared" si="77"/>
        <v>0.37427579999999999</v>
      </c>
      <c r="AR924" s="33"/>
      <c r="AS924" s="33"/>
      <c r="AT924" s="33"/>
      <c r="AU924" s="33"/>
      <c r="AV924" s="33"/>
      <c r="AW924" s="33"/>
      <c r="AX924" s="33" t="str">
        <f t="shared" si="78"/>
        <v>Excellent</v>
      </c>
    </row>
    <row r="925" spans="1:50">
      <c r="A925" s="9" t="s">
        <v>1918</v>
      </c>
      <c r="B925" s="10" t="s">
        <v>536</v>
      </c>
      <c r="C925" s="11" t="s">
        <v>375</v>
      </c>
      <c r="D925" s="11" t="s">
        <v>1665</v>
      </c>
      <c r="E925" s="11" t="s">
        <v>35</v>
      </c>
      <c r="F925" s="11" t="s">
        <v>149</v>
      </c>
      <c r="G925" s="11" t="s">
        <v>150</v>
      </c>
      <c r="H925" s="11" t="s">
        <v>38</v>
      </c>
      <c r="I925" s="11" t="s">
        <v>59</v>
      </c>
      <c r="J925" s="11" t="s">
        <v>372</v>
      </c>
      <c r="K925" s="25">
        <v>10</v>
      </c>
      <c r="L925" s="25">
        <v>1200</v>
      </c>
      <c r="M925" s="29">
        <v>0.2</v>
      </c>
      <c r="N925" s="25">
        <v>9600</v>
      </c>
      <c r="O925" s="25">
        <v>5339.5</v>
      </c>
      <c r="P925" s="25">
        <v>4260.5</v>
      </c>
      <c r="Q925" s="21">
        <v>44.38</v>
      </c>
      <c r="R925" s="11" t="s">
        <v>166</v>
      </c>
      <c r="S925" s="11" t="s">
        <v>74</v>
      </c>
      <c r="T925" s="11" t="s">
        <v>107</v>
      </c>
      <c r="U925" s="11" t="s">
        <v>64</v>
      </c>
      <c r="V925" s="11">
        <v>2024</v>
      </c>
      <c r="W925" s="11" t="s">
        <v>65</v>
      </c>
      <c r="X925" s="11">
        <v>4</v>
      </c>
      <c r="Y925" s="10">
        <v>45658</v>
      </c>
      <c r="Z925" s="11" t="s">
        <v>47</v>
      </c>
      <c r="AA925" s="11" t="s">
        <v>48</v>
      </c>
      <c r="AB925" s="11" t="s">
        <v>49</v>
      </c>
      <c r="AC925" s="11" t="s">
        <v>121</v>
      </c>
      <c r="AD925" s="11">
        <v>1</v>
      </c>
      <c r="AE925" s="11" t="s">
        <v>2216</v>
      </c>
      <c r="AF925" s="11" t="s">
        <v>2238</v>
      </c>
      <c r="AG925" s="25"/>
      <c r="AH925" s="11"/>
      <c r="AI925" s="11"/>
      <c r="AJ925" s="11"/>
      <c r="AK925" s="11"/>
      <c r="AL925" s="11"/>
      <c r="AM925" s="11" t="str">
        <f t="shared" si="74"/>
        <v>Good</v>
      </c>
      <c r="AN925" s="11" t="str" cm="1">
        <f t="array" ref="AN925">_xlfn.IFS(N925&lt;10000,"Low",N925&lt;30000,"Medium",N925&gt;=30000,"High")</f>
        <v>Low</v>
      </c>
      <c r="AO925" s="11" t="str">
        <f t="shared" si="75"/>
        <v>No</v>
      </c>
      <c r="AP925" s="11" t="str">
        <f t="shared" si="76"/>
        <v>Yes</v>
      </c>
      <c r="AQ925" s="11">
        <f t="shared" si="77"/>
        <v>0.44380208333333332</v>
      </c>
      <c r="AR925" s="33"/>
      <c r="AS925" s="33"/>
      <c r="AT925" s="33"/>
      <c r="AU925" s="33"/>
      <c r="AV925" s="33"/>
      <c r="AW925" s="33"/>
      <c r="AX925" s="33" t="str">
        <f t="shared" si="78"/>
        <v>Low</v>
      </c>
    </row>
    <row r="926" spans="1:50">
      <c r="A926" s="9" t="s">
        <v>2160</v>
      </c>
      <c r="B926" s="10" t="s">
        <v>536</v>
      </c>
      <c r="C926" s="11" t="s">
        <v>2161</v>
      </c>
      <c r="D926" s="11" t="s">
        <v>1532</v>
      </c>
      <c r="E926" s="11" t="s">
        <v>35</v>
      </c>
      <c r="F926" s="11" t="s">
        <v>149</v>
      </c>
      <c r="G926" s="11" t="s">
        <v>150</v>
      </c>
      <c r="H926" s="11" t="s">
        <v>94</v>
      </c>
      <c r="I926" s="11" t="s">
        <v>95</v>
      </c>
      <c r="J926" s="11" t="s">
        <v>440</v>
      </c>
      <c r="K926" s="25">
        <v>10</v>
      </c>
      <c r="L926" s="25">
        <v>15000</v>
      </c>
      <c r="M926" s="29">
        <v>0</v>
      </c>
      <c r="N926" s="25">
        <v>150000</v>
      </c>
      <c r="O926" s="25">
        <v>108578.49</v>
      </c>
      <c r="P926" s="25">
        <v>41421.51</v>
      </c>
      <c r="Q926" s="21">
        <v>27.61</v>
      </c>
      <c r="R926" s="11" t="s">
        <v>61</v>
      </c>
      <c r="S926" s="11" t="s">
        <v>42</v>
      </c>
      <c r="T926" s="11" t="s">
        <v>63</v>
      </c>
      <c r="U926" s="11" t="s">
        <v>64</v>
      </c>
      <c r="V926" s="11">
        <v>2024</v>
      </c>
      <c r="W926" s="11" t="s">
        <v>65</v>
      </c>
      <c r="X926" s="11">
        <v>10</v>
      </c>
      <c r="Y926" s="10">
        <v>45839</v>
      </c>
      <c r="Z926" s="11" t="s">
        <v>47</v>
      </c>
      <c r="AA926" s="11" t="s">
        <v>90</v>
      </c>
      <c r="AB926" s="11" t="s">
        <v>78</v>
      </c>
      <c r="AC926" s="11" t="s">
        <v>121</v>
      </c>
      <c r="AD926" s="11">
        <v>2</v>
      </c>
      <c r="AE926" s="11" t="s">
        <v>2237</v>
      </c>
      <c r="AF926" s="11" t="s">
        <v>2231</v>
      </c>
      <c r="AG926" s="25"/>
      <c r="AH926" s="11"/>
      <c r="AI926" s="11"/>
      <c r="AJ926" s="11"/>
      <c r="AK926" s="11"/>
      <c r="AL926" s="11"/>
      <c r="AM926" s="11" t="str">
        <f t="shared" si="74"/>
        <v>Needs Improvement</v>
      </c>
      <c r="AN926" s="11" t="str" cm="1">
        <f t="array" ref="AN926">_xlfn.IFS(N926&lt;10000,"Low",N926&lt;30000,"Medium",N926&gt;=30000,"High")</f>
        <v>High</v>
      </c>
      <c r="AO926" s="11" t="str">
        <f t="shared" si="75"/>
        <v>Yes</v>
      </c>
      <c r="AP926" s="11" t="str">
        <f t="shared" si="76"/>
        <v>Yes</v>
      </c>
      <c r="AQ926" s="11">
        <f t="shared" si="77"/>
        <v>0.27614340000000004</v>
      </c>
      <c r="AR926" s="33"/>
      <c r="AS926" s="33"/>
      <c r="AT926" s="33"/>
      <c r="AU926" s="33"/>
      <c r="AV926" s="33"/>
      <c r="AW926" s="33"/>
      <c r="AX926" s="33" t="str">
        <f t="shared" si="78"/>
        <v>Excellent</v>
      </c>
    </row>
    <row r="927" spans="1:50">
      <c r="A927" s="9" t="s">
        <v>1179</v>
      </c>
      <c r="B927" s="10" t="s">
        <v>1180</v>
      </c>
      <c r="C927" s="11" t="s">
        <v>1181</v>
      </c>
      <c r="D927" s="11" t="s">
        <v>947</v>
      </c>
      <c r="E927" s="11" t="s">
        <v>103</v>
      </c>
      <c r="F927" s="11" t="s">
        <v>156</v>
      </c>
      <c r="G927" s="11" t="s">
        <v>157</v>
      </c>
      <c r="H927" s="11" t="s">
        <v>38</v>
      </c>
      <c r="I927" s="11" t="s">
        <v>95</v>
      </c>
      <c r="J927" s="11" t="s">
        <v>184</v>
      </c>
      <c r="K927" s="25">
        <v>8</v>
      </c>
      <c r="L927" s="25">
        <v>2500</v>
      </c>
      <c r="M927" s="29">
        <v>0</v>
      </c>
      <c r="N927" s="25">
        <v>20000</v>
      </c>
      <c r="O927" s="25">
        <v>11176.66</v>
      </c>
      <c r="P927" s="25">
        <v>8823.34</v>
      </c>
      <c r="Q927" s="21">
        <v>44.12</v>
      </c>
      <c r="R927" s="11" t="s">
        <v>106</v>
      </c>
      <c r="S927" s="11" t="s">
        <v>42</v>
      </c>
      <c r="T927" s="11" t="s">
        <v>97</v>
      </c>
      <c r="U927" s="11" t="s">
        <v>76</v>
      </c>
      <c r="V927" s="11">
        <v>2025</v>
      </c>
      <c r="W927" s="11" t="s">
        <v>134</v>
      </c>
      <c r="X927" s="11">
        <v>6</v>
      </c>
      <c r="Y927" s="10">
        <v>45749</v>
      </c>
      <c r="Z927" s="11" t="s">
        <v>89</v>
      </c>
      <c r="AA927" s="11" t="s">
        <v>48</v>
      </c>
      <c r="AB927" s="11" t="s">
        <v>49</v>
      </c>
      <c r="AC927" s="11" t="s">
        <v>50</v>
      </c>
      <c r="AD927" s="11">
        <v>1</v>
      </c>
      <c r="AE927" s="11" t="s">
        <v>2225</v>
      </c>
      <c r="AF927" s="11" t="s">
        <v>2214</v>
      </c>
      <c r="AG927" s="25"/>
      <c r="AH927" s="11"/>
      <c r="AI927" s="11"/>
      <c r="AJ927" s="11"/>
      <c r="AK927" s="11"/>
      <c r="AL927" s="11"/>
      <c r="AM927" s="11" t="str">
        <f t="shared" si="74"/>
        <v>Good</v>
      </c>
      <c r="AN927" s="11" t="str" cm="1">
        <f t="array" ref="AN927">_xlfn.IFS(N927&lt;10000,"Low",N927&lt;30000,"Medium",N927&gt;=30000,"High")</f>
        <v>Medium</v>
      </c>
      <c r="AO927" s="11" t="str">
        <f t="shared" si="75"/>
        <v>No</v>
      </c>
      <c r="AP927" s="11" t="str">
        <f t="shared" si="76"/>
        <v>Yes</v>
      </c>
      <c r="AQ927" s="11">
        <f t="shared" si="77"/>
        <v>0.44116700000000003</v>
      </c>
      <c r="AR927" s="33"/>
      <c r="AS927" s="33"/>
      <c r="AT927" s="33"/>
      <c r="AU927" s="33"/>
      <c r="AV927" s="33"/>
      <c r="AW927" s="33"/>
      <c r="AX927" s="33" t="str">
        <f t="shared" si="78"/>
        <v>Average</v>
      </c>
    </row>
    <row r="928" spans="1:50">
      <c r="A928" s="9" t="s">
        <v>1697</v>
      </c>
      <c r="B928" s="10" t="s">
        <v>1180</v>
      </c>
      <c r="C928" s="11" t="s">
        <v>251</v>
      </c>
      <c r="D928" s="11" t="s">
        <v>1698</v>
      </c>
      <c r="E928" s="11" t="s">
        <v>35</v>
      </c>
      <c r="F928" s="11" t="s">
        <v>131</v>
      </c>
      <c r="G928" s="11" t="s">
        <v>132</v>
      </c>
      <c r="H928" s="11" t="s">
        <v>38</v>
      </c>
      <c r="I928" s="11" t="s">
        <v>39</v>
      </c>
      <c r="J928" s="11" t="s">
        <v>105</v>
      </c>
      <c r="K928" s="25">
        <v>9</v>
      </c>
      <c r="L928" s="25">
        <v>22000</v>
      </c>
      <c r="M928" s="29">
        <v>0.15</v>
      </c>
      <c r="N928" s="25">
        <v>168300</v>
      </c>
      <c r="O928" s="25">
        <v>106731.77</v>
      </c>
      <c r="P928" s="25">
        <v>61568.23</v>
      </c>
      <c r="Q928" s="21">
        <v>36.58</v>
      </c>
      <c r="R928" s="11" t="s">
        <v>73</v>
      </c>
      <c r="S928" s="11" t="s">
        <v>42</v>
      </c>
      <c r="T928" s="11" t="s">
        <v>159</v>
      </c>
      <c r="U928" s="11" t="s">
        <v>76</v>
      </c>
      <c r="V928" s="11">
        <v>2025</v>
      </c>
      <c r="W928" s="11" t="s">
        <v>134</v>
      </c>
      <c r="X928" s="11">
        <v>8</v>
      </c>
      <c r="Y928" s="10">
        <v>45810</v>
      </c>
      <c r="Z928" s="11" t="s">
        <v>47</v>
      </c>
      <c r="AA928" s="11" t="s">
        <v>48</v>
      </c>
      <c r="AB928" s="11" t="s">
        <v>49</v>
      </c>
      <c r="AC928" s="11" t="s">
        <v>50</v>
      </c>
      <c r="AD928" s="11">
        <v>5</v>
      </c>
      <c r="AE928" s="11" t="s">
        <v>2216</v>
      </c>
      <c r="AF928" s="11" t="s">
        <v>2210</v>
      </c>
      <c r="AG928" s="25"/>
      <c r="AH928" s="11"/>
      <c r="AI928" s="11"/>
      <c r="AJ928" s="11"/>
      <c r="AK928" s="11"/>
      <c r="AL928" s="11"/>
      <c r="AM928" s="11" t="str">
        <f t="shared" si="74"/>
        <v>Good</v>
      </c>
      <c r="AN928" s="11" t="str" cm="1">
        <f t="array" ref="AN928">_xlfn.IFS(N928&lt;10000,"Low",N928&lt;30000,"Medium",N928&gt;=30000,"High")</f>
        <v>High</v>
      </c>
      <c r="AO928" s="11" t="str">
        <f t="shared" si="75"/>
        <v>Yes</v>
      </c>
      <c r="AP928" s="11" t="str">
        <f t="shared" si="76"/>
        <v>Yes</v>
      </c>
      <c r="AQ928" s="11">
        <f t="shared" si="77"/>
        <v>0.36582430184194892</v>
      </c>
      <c r="AR928" s="33"/>
      <c r="AS928" s="33"/>
      <c r="AT928" s="33"/>
      <c r="AU928" s="33"/>
      <c r="AV928" s="33"/>
      <c r="AW928" s="33"/>
      <c r="AX928" s="33" t="str">
        <f t="shared" si="78"/>
        <v>Excellent</v>
      </c>
    </row>
    <row r="929" spans="1:50">
      <c r="A929" s="9" t="s">
        <v>992</v>
      </c>
      <c r="B929" s="10" t="s">
        <v>993</v>
      </c>
      <c r="C929" s="11" t="s">
        <v>378</v>
      </c>
      <c r="D929" s="11" t="s">
        <v>994</v>
      </c>
      <c r="E929" s="11" t="s">
        <v>35</v>
      </c>
      <c r="F929" s="11" t="s">
        <v>116</v>
      </c>
      <c r="G929" s="11" t="s">
        <v>37</v>
      </c>
      <c r="H929" s="11" t="s">
        <v>94</v>
      </c>
      <c r="I929" s="11" t="s">
        <v>71</v>
      </c>
      <c r="J929" s="11" t="s">
        <v>72</v>
      </c>
      <c r="K929" s="25">
        <v>2</v>
      </c>
      <c r="L929" s="25">
        <v>1200</v>
      </c>
      <c r="M929" s="29">
        <v>0.15</v>
      </c>
      <c r="N929" s="25">
        <v>2040</v>
      </c>
      <c r="O929" s="25">
        <v>1231.71</v>
      </c>
      <c r="P929" s="25">
        <v>808.29</v>
      </c>
      <c r="Q929" s="21">
        <v>39.619999999999997</v>
      </c>
      <c r="R929" s="11" t="s">
        <v>166</v>
      </c>
      <c r="S929" s="11" t="s">
        <v>42</v>
      </c>
      <c r="T929" s="11" t="s">
        <v>159</v>
      </c>
      <c r="U929" s="11" t="s">
        <v>178</v>
      </c>
      <c r="V929" s="11">
        <v>2025</v>
      </c>
      <c r="W929" s="11" t="s">
        <v>65</v>
      </c>
      <c r="X929" s="11">
        <v>4</v>
      </c>
      <c r="Y929" s="10">
        <v>45692</v>
      </c>
      <c r="Z929" s="11" t="s">
        <v>47</v>
      </c>
      <c r="AA929" s="11" t="s">
        <v>67</v>
      </c>
      <c r="AB929" s="11" t="s">
        <v>49</v>
      </c>
      <c r="AC929" s="11" t="s">
        <v>121</v>
      </c>
      <c r="AD929" s="11">
        <v>5</v>
      </c>
      <c r="AE929" s="11" t="s">
        <v>2227</v>
      </c>
      <c r="AF929" s="11" t="s">
        <v>2235</v>
      </c>
      <c r="AG929" s="25"/>
      <c r="AH929" s="11"/>
      <c r="AI929" s="11"/>
      <c r="AJ929" s="11"/>
      <c r="AK929" s="11"/>
      <c r="AL929" s="11"/>
      <c r="AM929" s="11" t="str">
        <f t="shared" si="74"/>
        <v>Good</v>
      </c>
      <c r="AN929" s="11" t="str" cm="1">
        <f t="array" ref="AN929">_xlfn.IFS(N929&lt;10000,"Low",N929&lt;30000,"Medium",N929&gt;=30000,"High")</f>
        <v>Low</v>
      </c>
      <c r="AO929" s="11" t="str">
        <f t="shared" si="75"/>
        <v>No</v>
      </c>
      <c r="AP929" s="11" t="str">
        <f t="shared" si="76"/>
        <v>Yes</v>
      </c>
      <c r="AQ929" s="11">
        <f t="shared" si="77"/>
        <v>0.3962205882352941</v>
      </c>
      <c r="AR929" s="33"/>
      <c r="AS929" s="33"/>
      <c r="AT929" s="33"/>
      <c r="AU929" s="33"/>
      <c r="AV929" s="33"/>
      <c r="AW929" s="33"/>
      <c r="AX929" s="33" t="str">
        <f t="shared" si="78"/>
        <v>Low</v>
      </c>
    </row>
    <row r="930" spans="1:50">
      <c r="A930" s="9" t="s">
        <v>1812</v>
      </c>
      <c r="B930" s="10" t="s">
        <v>993</v>
      </c>
      <c r="C930" s="11" t="s">
        <v>1618</v>
      </c>
      <c r="D930" s="11" t="s">
        <v>1813</v>
      </c>
      <c r="E930" s="11" t="s">
        <v>55</v>
      </c>
      <c r="F930" s="11" t="s">
        <v>116</v>
      </c>
      <c r="G930" s="11" t="s">
        <v>37</v>
      </c>
      <c r="H930" s="11" t="s">
        <v>38</v>
      </c>
      <c r="I930" s="11" t="s">
        <v>59</v>
      </c>
      <c r="J930" s="11" t="s">
        <v>372</v>
      </c>
      <c r="K930" s="25">
        <v>2</v>
      </c>
      <c r="L930" s="25">
        <v>1200</v>
      </c>
      <c r="M930" s="29">
        <v>0.05</v>
      </c>
      <c r="N930" s="25">
        <v>2280</v>
      </c>
      <c r="O930" s="25">
        <v>1591.34</v>
      </c>
      <c r="P930" s="25">
        <v>688.66</v>
      </c>
      <c r="Q930" s="21">
        <v>30.2</v>
      </c>
      <c r="R930" s="11" t="s">
        <v>73</v>
      </c>
      <c r="S930" s="11" t="s">
        <v>74</v>
      </c>
      <c r="T930" s="11" t="s">
        <v>86</v>
      </c>
      <c r="U930" s="11" t="s">
        <v>178</v>
      </c>
      <c r="V930" s="11">
        <v>2025</v>
      </c>
      <c r="W930" s="11" t="s">
        <v>65</v>
      </c>
      <c r="X930" s="11">
        <v>1</v>
      </c>
      <c r="Y930" s="10" t="s">
        <v>359</v>
      </c>
      <c r="Z930" s="11" t="s">
        <v>47</v>
      </c>
      <c r="AA930" s="11" t="s">
        <v>67</v>
      </c>
      <c r="AB930" s="11" t="s">
        <v>111</v>
      </c>
      <c r="AC930" s="11" t="s">
        <v>121</v>
      </c>
      <c r="AD930" s="11">
        <v>2</v>
      </c>
      <c r="AE930" s="11" t="s">
        <v>2225</v>
      </c>
      <c r="AF930" s="11" t="s">
        <v>2231</v>
      </c>
      <c r="AG930" s="25"/>
      <c r="AH930" s="11"/>
      <c r="AI930" s="11"/>
      <c r="AJ930" s="11"/>
      <c r="AK930" s="11"/>
      <c r="AL930" s="11"/>
      <c r="AM930" s="11" t="str">
        <f t="shared" si="74"/>
        <v>Good</v>
      </c>
      <c r="AN930" s="11" t="str" cm="1">
        <f t="array" ref="AN930">_xlfn.IFS(N930&lt;10000,"Low",N930&lt;30000,"Medium",N930&gt;=30000,"High")</f>
        <v>Low</v>
      </c>
      <c r="AO930" s="11" t="str">
        <f t="shared" si="75"/>
        <v>No</v>
      </c>
      <c r="AP930" s="11" t="str">
        <f t="shared" si="76"/>
        <v>Yes</v>
      </c>
      <c r="AQ930" s="11">
        <f t="shared" si="77"/>
        <v>0.30204385964912278</v>
      </c>
      <c r="AR930" s="33"/>
      <c r="AS930" s="33"/>
      <c r="AT930" s="33"/>
      <c r="AU930" s="33"/>
      <c r="AV930" s="33"/>
      <c r="AW930" s="33"/>
      <c r="AX930" s="33" t="str">
        <f t="shared" si="78"/>
        <v>Low</v>
      </c>
    </row>
    <row r="931" spans="1:50">
      <c r="A931" s="9" t="s">
        <v>944</v>
      </c>
      <c r="B931" s="10" t="s">
        <v>945</v>
      </c>
      <c r="C931" s="11" t="s">
        <v>946</v>
      </c>
      <c r="D931" s="11" t="s">
        <v>947</v>
      </c>
      <c r="E931" s="11" t="s">
        <v>55</v>
      </c>
      <c r="F931" s="11" t="s">
        <v>36</v>
      </c>
      <c r="G931" s="11" t="s">
        <v>37</v>
      </c>
      <c r="H931" s="11" t="s">
        <v>94</v>
      </c>
      <c r="I931" s="11" t="s">
        <v>59</v>
      </c>
      <c r="J931" s="11" t="s">
        <v>328</v>
      </c>
      <c r="K931" s="25">
        <v>9</v>
      </c>
      <c r="L931" s="25">
        <v>1200</v>
      </c>
      <c r="M931" s="29">
        <v>0.1</v>
      </c>
      <c r="N931" s="25">
        <v>9720</v>
      </c>
      <c r="O931" s="25">
        <v>7645.27</v>
      </c>
      <c r="P931" s="25">
        <v>2074.73</v>
      </c>
      <c r="Q931" s="21">
        <v>21.34</v>
      </c>
      <c r="R931" s="11" t="s">
        <v>41</v>
      </c>
      <c r="S931" s="11" t="s">
        <v>62</v>
      </c>
      <c r="T931" s="11" t="s">
        <v>86</v>
      </c>
      <c r="U931" s="11" t="s">
        <v>44</v>
      </c>
      <c r="V931" s="11">
        <v>2024</v>
      </c>
      <c r="W931" s="11" t="s">
        <v>126</v>
      </c>
      <c r="X931" s="11">
        <v>9</v>
      </c>
      <c r="Y931" s="10">
        <v>45509</v>
      </c>
      <c r="Z931" s="11" t="s">
        <v>47</v>
      </c>
      <c r="AA931" s="11" t="s">
        <v>67</v>
      </c>
      <c r="AB931" s="11" t="s">
        <v>78</v>
      </c>
      <c r="AC931" s="11" t="s">
        <v>50</v>
      </c>
      <c r="AD931" s="11">
        <v>5</v>
      </c>
      <c r="AE931" s="11" t="s">
        <v>2225</v>
      </c>
      <c r="AF931" s="11" t="s">
        <v>2214</v>
      </c>
      <c r="AG931" s="25"/>
      <c r="AH931" s="11"/>
      <c r="AI931" s="11"/>
      <c r="AJ931" s="11"/>
      <c r="AK931" s="11"/>
      <c r="AL931" s="11"/>
      <c r="AM931" s="11" t="str">
        <f t="shared" si="74"/>
        <v>Needs Improvement</v>
      </c>
      <c r="AN931" s="11" t="str" cm="1">
        <f t="array" ref="AN931">_xlfn.IFS(N931&lt;10000,"Low",N931&lt;30000,"Medium",N931&gt;=30000,"High")</f>
        <v>Low</v>
      </c>
      <c r="AO931" s="11" t="str">
        <f t="shared" si="75"/>
        <v>No</v>
      </c>
      <c r="AP931" s="11" t="str">
        <f t="shared" si="76"/>
        <v>No</v>
      </c>
      <c r="AQ931" s="11">
        <f t="shared" si="77"/>
        <v>0.21344958847736625</v>
      </c>
      <c r="AR931" s="33"/>
      <c r="AS931" s="33"/>
      <c r="AT931" s="33"/>
      <c r="AU931" s="33"/>
      <c r="AV931" s="33"/>
      <c r="AW931" s="33"/>
      <c r="AX931" s="33" t="str">
        <f t="shared" si="78"/>
        <v>Low</v>
      </c>
    </row>
    <row r="932" spans="1:50">
      <c r="A932" s="9" t="s">
        <v>1732</v>
      </c>
      <c r="B932" s="10" t="s">
        <v>1733</v>
      </c>
      <c r="C932" s="11" t="s">
        <v>163</v>
      </c>
      <c r="D932" s="11" t="s">
        <v>1400</v>
      </c>
      <c r="E932" s="11" t="s">
        <v>103</v>
      </c>
      <c r="F932" s="11" t="s">
        <v>131</v>
      </c>
      <c r="G932" s="11" t="s">
        <v>132</v>
      </c>
      <c r="H932" s="11" t="s">
        <v>58</v>
      </c>
      <c r="I932" s="11" t="s">
        <v>59</v>
      </c>
      <c r="J932" s="11" t="s">
        <v>206</v>
      </c>
      <c r="K932" s="25">
        <v>1</v>
      </c>
      <c r="L932" s="25">
        <v>1200</v>
      </c>
      <c r="M932" s="29">
        <v>0.2</v>
      </c>
      <c r="N932" s="25">
        <v>960</v>
      </c>
      <c r="O932" s="25">
        <v>599.22</v>
      </c>
      <c r="P932" s="25">
        <v>360.78</v>
      </c>
      <c r="Q932" s="21">
        <v>37.58</v>
      </c>
      <c r="R932" s="11" t="s">
        <v>41</v>
      </c>
      <c r="S932" s="11" t="s">
        <v>62</v>
      </c>
      <c r="T932" s="11" t="s">
        <v>118</v>
      </c>
      <c r="U932" s="11" t="s">
        <v>44</v>
      </c>
      <c r="V932" s="11">
        <v>2025</v>
      </c>
      <c r="W932" s="11" t="s">
        <v>109</v>
      </c>
      <c r="X932" s="11">
        <v>4</v>
      </c>
      <c r="Y932" s="10">
        <v>45721</v>
      </c>
      <c r="Z932" s="11" t="s">
        <v>110</v>
      </c>
      <c r="AA932" s="11" t="s">
        <v>48</v>
      </c>
      <c r="AB932" s="11" t="s">
        <v>78</v>
      </c>
      <c r="AC932" s="11" t="s">
        <v>50</v>
      </c>
      <c r="AD932" s="11">
        <v>1</v>
      </c>
      <c r="AE932" s="11" t="s">
        <v>2225</v>
      </c>
      <c r="AF932" s="11" t="s">
        <v>2210</v>
      </c>
      <c r="AG932" s="25"/>
      <c r="AH932" s="11"/>
      <c r="AI932" s="11"/>
      <c r="AJ932" s="11"/>
      <c r="AK932" s="11"/>
      <c r="AL932" s="11"/>
      <c r="AM932" s="11" t="str">
        <f t="shared" si="74"/>
        <v>Good</v>
      </c>
      <c r="AN932" s="11" t="str" cm="1">
        <f t="array" ref="AN932">_xlfn.IFS(N932&lt;10000,"Low",N932&lt;30000,"Medium",N932&gt;=30000,"High")</f>
        <v>Low</v>
      </c>
      <c r="AO932" s="11" t="str">
        <f t="shared" si="75"/>
        <v>No</v>
      </c>
      <c r="AP932" s="11" t="str">
        <f t="shared" si="76"/>
        <v>No</v>
      </c>
      <c r="AQ932" s="11">
        <f t="shared" si="77"/>
        <v>0.37581249999999999</v>
      </c>
      <c r="AR932" s="33"/>
      <c r="AS932" s="33"/>
      <c r="AT932" s="33"/>
      <c r="AU932" s="33"/>
      <c r="AV932" s="33"/>
      <c r="AW932" s="33"/>
      <c r="AX932" s="33" t="str">
        <f t="shared" si="78"/>
        <v>Low</v>
      </c>
    </row>
    <row r="933" spans="1:50">
      <c r="A933" s="9" t="s">
        <v>1945</v>
      </c>
      <c r="B933" s="10" t="s">
        <v>1733</v>
      </c>
      <c r="C933" s="11" t="s">
        <v>514</v>
      </c>
      <c r="D933" s="11" t="s">
        <v>859</v>
      </c>
      <c r="E933" s="11" t="s">
        <v>55</v>
      </c>
      <c r="F933" s="11" t="s">
        <v>104</v>
      </c>
      <c r="G933" s="11" t="s">
        <v>104</v>
      </c>
      <c r="H933" s="11" t="s">
        <v>94</v>
      </c>
      <c r="I933" s="11" t="s">
        <v>71</v>
      </c>
      <c r="J933" s="11" t="s">
        <v>158</v>
      </c>
      <c r="K933" s="25">
        <v>7</v>
      </c>
      <c r="L933" s="25">
        <v>1200</v>
      </c>
      <c r="M933" s="29">
        <v>0.15</v>
      </c>
      <c r="N933" s="25">
        <v>7140</v>
      </c>
      <c r="O933" s="25">
        <v>5734.49</v>
      </c>
      <c r="P933" s="25">
        <v>1405.51</v>
      </c>
      <c r="Q933" s="21">
        <v>19.690000000000001</v>
      </c>
      <c r="R933" s="11" t="s">
        <v>166</v>
      </c>
      <c r="S933" s="11" t="s">
        <v>42</v>
      </c>
      <c r="T933" s="11" t="s">
        <v>86</v>
      </c>
      <c r="U933" s="11" t="s">
        <v>44</v>
      </c>
      <c r="V933" s="11">
        <v>2025</v>
      </c>
      <c r="W933" s="11" t="s">
        <v>109</v>
      </c>
      <c r="X933" s="11">
        <v>1</v>
      </c>
      <c r="Y933" s="10" t="s">
        <v>518</v>
      </c>
      <c r="Z933" s="11" t="s">
        <v>47</v>
      </c>
      <c r="AA933" s="11" t="s">
        <v>67</v>
      </c>
      <c r="AB933" s="11" t="s">
        <v>78</v>
      </c>
      <c r="AC933" s="11" t="s">
        <v>121</v>
      </c>
      <c r="AD933" s="11">
        <v>3</v>
      </c>
      <c r="AE933" s="11" t="s">
        <v>2218</v>
      </c>
      <c r="AF933" s="11" t="s">
        <v>2212</v>
      </c>
      <c r="AG933" s="25"/>
      <c r="AH933" s="11"/>
      <c r="AI933" s="11"/>
      <c r="AJ933" s="11"/>
      <c r="AK933" s="11"/>
      <c r="AL933" s="11"/>
      <c r="AM933" s="11" t="str">
        <f t="shared" si="74"/>
        <v>Needs Improvement</v>
      </c>
      <c r="AN933" s="11" t="str" cm="1">
        <f t="array" ref="AN933">_xlfn.IFS(N933&lt;10000,"Low",N933&lt;30000,"Medium",N933&gt;=30000,"High")</f>
        <v>Low</v>
      </c>
      <c r="AO933" s="11" t="str">
        <f t="shared" si="75"/>
        <v>No</v>
      </c>
      <c r="AP933" s="11" t="str">
        <f t="shared" si="76"/>
        <v>Yes</v>
      </c>
      <c r="AQ933" s="11">
        <f t="shared" si="77"/>
        <v>0.19685014005602242</v>
      </c>
      <c r="AR933" s="33"/>
      <c r="AS933" s="33"/>
      <c r="AT933" s="33"/>
      <c r="AU933" s="33"/>
      <c r="AV933" s="33"/>
      <c r="AW933" s="33"/>
      <c r="AX933" s="33" t="str">
        <f t="shared" si="78"/>
        <v>Low</v>
      </c>
    </row>
    <row r="934" spans="1:50">
      <c r="A934" s="9" t="s">
        <v>895</v>
      </c>
      <c r="B934" s="10" t="s">
        <v>896</v>
      </c>
      <c r="C934" s="11" t="s">
        <v>897</v>
      </c>
      <c r="D934" s="11" t="s">
        <v>898</v>
      </c>
      <c r="E934" s="11" t="s">
        <v>103</v>
      </c>
      <c r="F934" s="11" t="s">
        <v>56</v>
      </c>
      <c r="G934" s="11" t="s">
        <v>57</v>
      </c>
      <c r="H934" s="11" t="s">
        <v>38</v>
      </c>
      <c r="I934" s="11" t="s">
        <v>59</v>
      </c>
      <c r="J934" s="11" t="s">
        <v>372</v>
      </c>
      <c r="K934" s="25">
        <v>2</v>
      </c>
      <c r="L934" s="25">
        <v>2000</v>
      </c>
      <c r="M934" s="29">
        <v>0.1</v>
      </c>
      <c r="N934" s="25">
        <v>3600</v>
      </c>
      <c r="O934" s="25">
        <v>2804.24</v>
      </c>
      <c r="P934" s="25">
        <v>795.76</v>
      </c>
      <c r="Q934" s="21">
        <v>22.1</v>
      </c>
      <c r="R934" s="11" t="s">
        <v>166</v>
      </c>
      <c r="S934" s="11" t="s">
        <v>74</v>
      </c>
      <c r="T934" s="11" t="s">
        <v>118</v>
      </c>
      <c r="U934" s="11" t="s">
        <v>119</v>
      </c>
      <c r="V934" s="11">
        <v>2025</v>
      </c>
      <c r="W934" s="11" t="s">
        <v>139</v>
      </c>
      <c r="X934" s="11">
        <v>1</v>
      </c>
      <c r="Y934" s="10" t="s">
        <v>120</v>
      </c>
      <c r="Z934" s="11" t="s">
        <v>47</v>
      </c>
      <c r="AA934" s="11" t="s">
        <v>48</v>
      </c>
      <c r="AB934" s="11" t="s">
        <v>111</v>
      </c>
      <c r="AC934" s="11" t="s">
        <v>121</v>
      </c>
      <c r="AD934" s="11">
        <v>4</v>
      </c>
      <c r="AE934" s="11" t="s">
        <v>2248</v>
      </c>
      <c r="AF934" s="11" t="s">
        <v>2238</v>
      </c>
      <c r="AG934" s="25"/>
      <c r="AH934" s="11"/>
      <c r="AI934" s="11"/>
      <c r="AJ934" s="11"/>
      <c r="AK934" s="11"/>
      <c r="AL934" s="11"/>
      <c r="AM934" s="11" t="str">
        <f t="shared" si="74"/>
        <v>Needs Improvement</v>
      </c>
      <c r="AN934" s="11" t="str" cm="1">
        <f t="array" ref="AN934">_xlfn.IFS(N934&lt;10000,"Low",N934&lt;30000,"Medium",N934&gt;=30000,"High")</f>
        <v>Low</v>
      </c>
      <c r="AO934" s="11" t="str">
        <f t="shared" si="75"/>
        <v>No</v>
      </c>
      <c r="AP934" s="11" t="str">
        <f t="shared" si="76"/>
        <v>Yes</v>
      </c>
      <c r="AQ934" s="11">
        <f t="shared" si="77"/>
        <v>0.22104444444444443</v>
      </c>
      <c r="AR934" s="33"/>
      <c r="AS934" s="33"/>
      <c r="AT934" s="33"/>
      <c r="AU934" s="33"/>
      <c r="AV934" s="33"/>
      <c r="AW934" s="33"/>
      <c r="AX934" s="33" t="str">
        <f t="shared" si="78"/>
        <v>Low</v>
      </c>
    </row>
    <row r="935" spans="1:50">
      <c r="A935" s="9" t="s">
        <v>1559</v>
      </c>
      <c r="B935" s="10" t="s">
        <v>896</v>
      </c>
      <c r="C935" s="11" t="s">
        <v>827</v>
      </c>
      <c r="D935" s="11" t="s">
        <v>1560</v>
      </c>
      <c r="E935" s="11" t="s">
        <v>55</v>
      </c>
      <c r="F935" s="11" t="s">
        <v>104</v>
      </c>
      <c r="G935" s="11" t="s">
        <v>104</v>
      </c>
      <c r="H935" s="11" t="s">
        <v>171</v>
      </c>
      <c r="I935" s="11" t="s">
        <v>84</v>
      </c>
      <c r="J935" s="11" t="s">
        <v>229</v>
      </c>
      <c r="K935" s="25">
        <v>1</v>
      </c>
      <c r="L935" s="25">
        <v>350</v>
      </c>
      <c r="M935" s="29">
        <v>0.1</v>
      </c>
      <c r="N935" s="25">
        <v>315</v>
      </c>
      <c r="O935" s="25">
        <v>228.44</v>
      </c>
      <c r="P935" s="25">
        <v>86.56</v>
      </c>
      <c r="Q935" s="21">
        <v>27.48</v>
      </c>
      <c r="R935" s="11" t="s">
        <v>41</v>
      </c>
      <c r="S935" s="11" t="s">
        <v>62</v>
      </c>
      <c r="T935" s="11" t="s">
        <v>107</v>
      </c>
      <c r="U935" s="11" t="s">
        <v>119</v>
      </c>
      <c r="V935" s="11">
        <v>2025</v>
      </c>
      <c r="W935" s="11" t="s">
        <v>139</v>
      </c>
      <c r="X935" s="11">
        <v>2</v>
      </c>
      <c r="Y935" s="10" t="s">
        <v>544</v>
      </c>
      <c r="Z935" s="11" t="s">
        <v>110</v>
      </c>
      <c r="AA935" s="11" t="s">
        <v>67</v>
      </c>
      <c r="AB935" s="11" t="s">
        <v>49</v>
      </c>
      <c r="AC935" s="11" t="s">
        <v>121</v>
      </c>
      <c r="AD935" s="11">
        <v>4</v>
      </c>
      <c r="AE935" s="11" t="s">
        <v>2221</v>
      </c>
      <c r="AF935" s="11" t="s">
        <v>2223</v>
      </c>
      <c r="AG935" s="25"/>
      <c r="AH935" s="11"/>
      <c r="AI935" s="11"/>
      <c r="AJ935" s="11"/>
      <c r="AK935" s="11"/>
      <c r="AL935" s="11"/>
      <c r="AM935" s="11" t="str">
        <f t="shared" si="74"/>
        <v>Needs Improvement</v>
      </c>
      <c r="AN935" s="11" t="str" cm="1">
        <f t="array" ref="AN935">_xlfn.IFS(N935&lt;10000,"Low",N935&lt;30000,"Medium",N935&gt;=30000,"High")</f>
        <v>Low</v>
      </c>
      <c r="AO935" s="11" t="str">
        <f t="shared" si="75"/>
        <v>No</v>
      </c>
      <c r="AP935" s="11" t="str">
        <f t="shared" si="76"/>
        <v>No</v>
      </c>
      <c r="AQ935" s="11">
        <f t="shared" si="77"/>
        <v>0.27479365079365081</v>
      </c>
      <c r="AR935" s="33"/>
      <c r="AS935" s="33"/>
      <c r="AT935" s="33"/>
      <c r="AU935" s="33"/>
      <c r="AV935" s="33"/>
      <c r="AW935" s="33"/>
      <c r="AX935" s="33" t="str">
        <f t="shared" si="78"/>
        <v>Low</v>
      </c>
    </row>
    <row r="936" spans="1:50">
      <c r="A936" s="9" t="s">
        <v>2068</v>
      </c>
      <c r="B936" s="10" t="s">
        <v>896</v>
      </c>
      <c r="C936" s="11" t="s">
        <v>514</v>
      </c>
      <c r="D936" s="11" t="s">
        <v>485</v>
      </c>
      <c r="E936" s="11" t="s">
        <v>103</v>
      </c>
      <c r="F936" s="11" t="s">
        <v>156</v>
      </c>
      <c r="G936" s="11" t="s">
        <v>157</v>
      </c>
      <c r="H936" s="11" t="s">
        <v>94</v>
      </c>
      <c r="I936" s="11" t="s">
        <v>84</v>
      </c>
      <c r="J936" s="11" t="s">
        <v>229</v>
      </c>
      <c r="K936" s="25">
        <v>10</v>
      </c>
      <c r="L936" s="25">
        <v>350</v>
      </c>
      <c r="M936" s="29">
        <v>0.05</v>
      </c>
      <c r="N936" s="25">
        <v>3325</v>
      </c>
      <c r="O936" s="25">
        <v>2688.8</v>
      </c>
      <c r="P936" s="25">
        <v>636.20000000000005</v>
      </c>
      <c r="Q936" s="21">
        <v>19.13</v>
      </c>
      <c r="R936" s="11" t="s">
        <v>61</v>
      </c>
      <c r="S936" s="11" t="s">
        <v>74</v>
      </c>
      <c r="T936" s="11" t="s">
        <v>118</v>
      </c>
      <c r="U936" s="11" t="s">
        <v>119</v>
      </c>
      <c r="V936" s="11">
        <v>2025</v>
      </c>
      <c r="W936" s="11" t="s">
        <v>139</v>
      </c>
      <c r="X936" s="11">
        <v>3</v>
      </c>
      <c r="Y936" s="10">
        <v>45663</v>
      </c>
      <c r="Z936" s="11" t="s">
        <v>47</v>
      </c>
      <c r="AA936" s="11" t="s">
        <v>90</v>
      </c>
      <c r="AB936" s="11" t="s">
        <v>49</v>
      </c>
      <c r="AC936" s="11" t="s">
        <v>121</v>
      </c>
      <c r="AD936" s="11">
        <v>2</v>
      </c>
      <c r="AE936" s="11" t="s">
        <v>2237</v>
      </c>
      <c r="AF936" s="11" t="s">
        <v>2238</v>
      </c>
      <c r="AG936" s="25"/>
      <c r="AH936" s="11"/>
      <c r="AI936" s="11"/>
      <c r="AJ936" s="11"/>
      <c r="AK936" s="11"/>
      <c r="AL936" s="11"/>
      <c r="AM936" s="11" t="str">
        <f t="shared" si="74"/>
        <v>Needs Improvement</v>
      </c>
      <c r="AN936" s="11" t="str" cm="1">
        <f t="array" ref="AN936">_xlfn.IFS(N936&lt;10000,"Low",N936&lt;30000,"Medium",N936&gt;=30000,"High")</f>
        <v>Low</v>
      </c>
      <c r="AO936" s="11" t="str">
        <f t="shared" si="75"/>
        <v>No</v>
      </c>
      <c r="AP936" s="11" t="str">
        <f t="shared" si="76"/>
        <v>Yes</v>
      </c>
      <c r="AQ936" s="11">
        <f t="shared" si="77"/>
        <v>0.19133834586466167</v>
      </c>
      <c r="AR936" s="33"/>
      <c r="AS936" s="33"/>
      <c r="AT936" s="33"/>
      <c r="AU936" s="33"/>
      <c r="AV936" s="33"/>
      <c r="AW936" s="33"/>
      <c r="AX936" s="33" t="str">
        <f t="shared" si="78"/>
        <v>Low</v>
      </c>
    </row>
    <row r="937" spans="1:50">
      <c r="A937" s="9" t="s">
        <v>1153</v>
      </c>
      <c r="B937" s="10" t="s">
        <v>638</v>
      </c>
      <c r="C937" s="11" t="s">
        <v>1111</v>
      </c>
      <c r="D937" s="11" t="s">
        <v>1154</v>
      </c>
      <c r="E937" s="11" t="s">
        <v>103</v>
      </c>
      <c r="F937" s="11" t="s">
        <v>131</v>
      </c>
      <c r="G937" s="11" t="s">
        <v>132</v>
      </c>
      <c r="H937" s="11" t="s">
        <v>94</v>
      </c>
      <c r="I937" s="11" t="s">
        <v>84</v>
      </c>
      <c r="J937" s="11" t="s">
        <v>390</v>
      </c>
      <c r="K937" s="25">
        <v>8</v>
      </c>
      <c r="L937" s="25">
        <v>350</v>
      </c>
      <c r="M937" s="29">
        <v>0.05</v>
      </c>
      <c r="N937" s="25">
        <v>2660</v>
      </c>
      <c r="O937" s="25">
        <v>2157.87</v>
      </c>
      <c r="P937" s="25">
        <v>502.13</v>
      </c>
      <c r="Q937" s="21">
        <v>18.88</v>
      </c>
      <c r="R937" s="11" t="s">
        <v>106</v>
      </c>
      <c r="S937" s="11" t="s">
        <v>42</v>
      </c>
      <c r="T937" s="11" t="s">
        <v>97</v>
      </c>
      <c r="U937" s="11" t="s">
        <v>160</v>
      </c>
      <c r="V937" s="11">
        <v>2024</v>
      </c>
      <c r="W937" s="11" t="s">
        <v>65</v>
      </c>
      <c r="X937" s="11">
        <v>9</v>
      </c>
      <c r="Y937" s="10">
        <v>45511</v>
      </c>
      <c r="Z937" s="11" t="s">
        <v>47</v>
      </c>
      <c r="AA937" s="11" t="s">
        <v>67</v>
      </c>
      <c r="AB937" s="11" t="s">
        <v>49</v>
      </c>
      <c r="AC937" s="11" t="s">
        <v>50</v>
      </c>
      <c r="AD937" s="11">
        <v>2</v>
      </c>
      <c r="AE937" s="11" t="s">
        <v>86</v>
      </c>
      <c r="AF937" s="11" t="s">
        <v>2228</v>
      </c>
      <c r="AG937" s="25"/>
      <c r="AH937" s="11"/>
      <c r="AI937" s="11"/>
      <c r="AJ937" s="11"/>
      <c r="AK937" s="11"/>
      <c r="AL937" s="11"/>
      <c r="AM937" s="11" t="str">
        <f t="shared" si="74"/>
        <v>Needs Improvement</v>
      </c>
      <c r="AN937" s="11" t="str" cm="1">
        <f t="array" ref="AN937">_xlfn.IFS(N937&lt;10000,"Low",N937&lt;30000,"Medium",N937&gt;=30000,"High")</f>
        <v>Low</v>
      </c>
      <c r="AO937" s="11" t="str">
        <f t="shared" si="75"/>
        <v>No</v>
      </c>
      <c r="AP937" s="11" t="str">
        <f t="shared" si="76"/>
        <v>Yes</v>
      </c>
      <c r="AQ937" s="11">
        <f t="shared" si="77"/>
        <v>0.18877067669172931</v>
      </c>
      <c r="AR937" s="33"/>
      <c r="AS937" s="33"/>
      <c r="AT937" s="33"/>
      <c r="AU937" s="33"/>
      <c r="AV937" s="33"/>
      <c r="AW937" s="33"/>
      <c r="AX937" s="33" t="str">
        <f t="shared" si="78"/>
        <v>Low</v>
      </c>
    </row>
    <row r="938" spans="1:50">
      <c r="A938" s="9" t="s">
        <v>2060</v>
      </c>
      <c r="B938" s="10" t="s">
        <v>583</v>
      </c>
      <c r="C938" s="11" t="s">
        <v>421</v>
      </c>
      <c r="D938" s="11" t="s">
        <v>1424</v>
      </c>
      <c r="E938" s="11" t="s">
        <v>103</v>
      </c>
      <c r="F938" s="11" t="s">
        <v>156</v>
      </c>
      <c r="G938" s="11" t="s">
        <v>157</v>
      </c>
      <c r="H938" s="11" t="s">
        <v>38</v>
      </c>
      <c r="I938" s="11" t="s">
        <v>95</v>
      </c>
      <c r="J938" s="11" t="s">
        <v>184</v>
      </c>
      <c r="K938" s="25">
        <v>2</v>
      </c>
      <c r="L938" s="25">
        <v>6000</v>
      </c>
      <c r="M938" s="29">
        <v>0.05</v>
      </c>
      <c r="N938" s="25">
        <v>11400</v>
      </c>
      <c r="O938" s="25">
        <v>6817.57</v>
      </c>
      <c r="P938" s="25">
        <v>4582.43</v>
      </c>
      <c r="Q938" s="21">
        <v>40.200000000000003</v>
      </c>
      <c r="R938" s="11" t="s">
        <v>166</v>
      </c>
      <c r="S938" s="11" t="s">
        <v>42</v>
      </c>
      <c r="T938" s="11" t="s">
        <v>86</v>
      </c>
      <c r="U938" s="11" t="s">
        <v>160</v>
      </c>
      <c r="V938" s="11">
        <v>2025</v>
      </c>
      <c r="W938" s="11" t="s">
        <v>45</v>
      </c>
      <c r="X938" s="11">
        <v>6</v>
      </c>
      <c r="Y938" s="10">
        <v>45784</v>
      </c>
      <c r="Z938" s="11" t="s">
        <v>110</v>
      </c>
      <c r="AA938" s="11" t="s">
        <v>48</v>
      </c>
      <c r="AB938" s="11" t="s">
        <v>49</v>
      </c>
      <c r="AC938" s="11" t="s">
        <v>50</v>
      </c>
      <c r="AD938" s="11">
        <v>5</v>
      </c>
      <c r="AE938" s="11" t="s">
        <v>118</v>
      </c>
      <c r="AF938" s="11" t="s">
        <v>2222</v>
      </c>
      <c r="AG938" s="25"/>
      <c r="AH938" s="11"/>
      <c r="AI938" s="11"/>
      <c r="AJ938" s="11"/>
      <c r="AK938" s="11"/>
      <c r="AL938" s="11"/>
      <c r="AM938" s="11" t="str">
        <f t="shared" si="74"/>
        <v>Good</v>
      </c>
      <c r="AN938" s="11" t="str" cm="1">
        <f t="array" ref="AN938">_xlfn.IFS(N938&lt;10000,"Low",N938&lt;30000,"Medium",N938&gt;=30000,"High")</f>
        <v>Medium</v>
      </c>
      <c r="AO938" s="11" t="str">
        <f t="shared" si="75"/>
        <v>No</v>
      </c>
      <c r="AP938" s="11" t="str">
        <f t="shared" si="76"/>
        <v>Yes</v>
      </c>
      <c r="AQ938" s="11">
        <f t="shared" si="77"/>
        <v>0.40196754385964917</v>
      </c>
      <c r="AR938" s="33"/>
      <c r="AS938" s="33"/>
      <c r="AT938" s="33"/>
      <c r="AU938" s="33"/>
      <c r="AV938" s="33"/>
      <c r="AW938" s="33"/>
      <c r="AX938" s="33" t="str">
        <f t="shared" si="78"/>
        <v>Low</v>
      </c>
    </row>
    <row r="939" spans="1:50">
      <c r="A939" s="9" t="s">
        <v>2111</v>
      </c>
      <c r="B939" s="10" t="s">
        <v>583</v>
      </c>
      <c r="C939" s="11" t="s">
        <v>1295</v>
      </c>
      <c r="D939" s="11" t="s">
        <v>1353</v>
      </c>
      <c r="E939" s="11" t="s">
        <v>55</v>
      </c>
      <c r="F939" s="11" t="s">
        <v>131</v>
      </c>
      <c r="G939" s="11" t="s">
        <v>132</v>
      </c>
      <c r="H939" s="11" t="s">
        <v>94</v>
      </c>
      <c r="I939" s="11" t="s">
        <v>59</v>
      </c>
      <c r="J939" s="11" t="s">
        <v>206</v>
      </c>
      <c r="K939" s="25">
        <v>5</v>
      </c>
      <c r="L939" s="25">
        <v>3000</v>
      </c>
      <c r="M939" s="29">
        <v>0.15</v>
      </c>
      <c r="N939" s="25">
        <v>12750</v>
      </c>
      <c r="O939" s="25">
        <v>9126.4699999999993</v>
      </c>
      <c r="P939" s="25">
        <v>3623.53</v>
      </c>
      <c r="Q939" s="21">
        <v>28.42</v>
      </c>
      <c r="R939" s="11" t="s">
        <v>73</v>
      </c>
      <c r="S939" s="11" t="s">
        <v>42</v>
      </c>
      <c r="T939" s="11" t="s">
        <v>138</v>
      </c>
      <c r="U939" s="11" t="s">
        <v>160</v>
      </c>
      <c r="V939" s="11">
        <v>2025</v>
      </c>
      <c r="W939" s="11" t="s">
        <v>45</v>
      </c>
      <c r="X939" s="11">
        <v>9</v>
      </c>
      <c r="Y939" s="10">
        <v>45876</v>
      </c>
      <c r="Z939" s="11" t="s">
        <v>47</v>
      </c>
      <c r="AA939" s="11" t="s">
        <v>48</v>
      </c>
      <c r="AB939" s="11" t="s">
        <v>111</v>
      </c>
      <c r="AC939" s="11" t="s">
        <v>121</v>
      </c>
      <c r="AD939" s="11">
        <v>4</v>
      </c>
      <c r="AE939" s="11" t="s">
        <v>2233</v>
      </c>
      <c r="AF939" s="11" t="s">
        <v>2228</v>
      </c>
      <c r="AG939" s="25"/>
      <c r="AH939" s="11"/>
      <c r="AI939" s="11"/>
      <c r="AJ939" s="11"/>
      <c r="AK939" s="11"/>
      <c r="AL939" s="11"/>
      <c r="AM939" s="11" t="str">
        <f t="shared" si="74"/>
        <v>Needs Improvement</v>
      </c>
      <c r="AN939" s="11" t="str" cm="1">
        <f t="array" ref="AN939">_xlfn.IFS(N939&lt;10000,"Low",N939&lt;30000,"Medium",N939&gt;=30000,"High")</f>
        <v>Medium</v>
      </c>
      <c r="AO939" s="11" t="str">
        <f t="shared" si="75"/>
        <v>No</v>
      </c>
      <c r="AP939" s="11" t="str">
        <f t="shared" si="76"/>
        <v>Yes</v>
      </c>
      <c r="AQ939" s="11">
        <f t="shared" si="77"/>
        <v>0.28419843137254902</v>
      </c>
      <c r="AR939" s="33"/>
      <c r="AS939" s="33"/>
      <c r="AT939" s="33"/>
      <c r="AU939" s="33"/>
      <c r="AV939" s="33"/>
      <c r="AW939" s="33"/>
      <c r="AX939" s="33" t="str">
        <f t="shared" si="78"/>
        <v>Low</v>
      </c>
    </row>
    <row r="940" spans="1:50">
      <c r="A940" s="9" t="s">
        <v>1414</v>
      </c>
      <c r="B940" s="10" t="s">
        <v>1415</v>
      </c>
      <c r="C940" s="11" t="s">
        <v>1321</v>
      </c>
      <c r="D940" s="11" t="s">
        <v>542</v>
      </c>
      <c r="E940" s="11" t="s">
        <v>103</v>
      </c>
      <c r="F940" s="11" t="s">
        <v>156</v>
      </c>
      <c r="G940" s="11" t="s">
        <v>157</v>
      </c>
      <c r="H940" s="11" t="s">
        <v>171</v>
      </c>
      <c r="I940" s="11" t="s">
        <v>71</v>
      </c>
      <c r="J940" s="11" t="s">
        <v>72</v>
      </c>
      <c r="K940" s="25">
        <v>7</v>
      </c>
      <c r="L940" s="25">
        <v>1200</v>
      </c>
      <c r="M940" s="29">
        <v>0.05</v>
      </c>
      <c r="N940" s="25">
        <v>7980</v>
      </c>
      <c r="O940" s="25">
        <v>6151.24</v>
      </c>
      <c r="P940" s="25">
        <v>1828.76</v>
      </c>
      <c r="Q940" s="21">
        <v>22.92</v>
      </c>
      <c r="R940" s="11" t="s">
        <v>41</v>
      </c>
      <c r="S940" s="11" t="s">
        <v>74</v>
      </c>
      <c r="T940" s="11" t="s">
        <v>107</v>
      </c>
      <c r="U940" s="11" t="s">
        <v>151</v>
      </c>
      <c r="V940" s="11">
        <v>2024</v>
      </c>
      <c r="W940" s="11" t="s">
        <v>126</v>
      </c>
      <c r="X940" s="11">
        <v>5</v>
      </c>
      <c r="Y940" s="10">
        <v>45359</v>
      </c>
      <c r="Z940" s="11" t="s">
        <v>110</v>
      </c>
      <c r="AA940" s="11" t="s">
        <v>48</v>
      </c>
      <c r="AB940" s="11" t="s">
        <v>111</v>
      </c>
      <c r="AC940" s="11" t="s">
        <v>50</v>
      </c>
      <c r="AD940" s="11">
        <v>3</v>
      </c>
      <c r="AE940" s="11" t="s">
        <v>2220</v>
      </c>
      <c r="AF940" s="11" t="s">
        <v>2222</v>
      </c>
      <c r="AG940" s="25"/>
      <c r="AH940" s="11"/>
      <c r="AI940" s="11"/>
      <c r="AJ940" s="11"/>
      <c r="AK940" s="11"/>
      <c r="AL940" s="11"/>
      <c r="AM940" s="11" t="str">
        <f t="shared" si="74"/>
        <v>Needs Improvement</v>
      </c>
      <c r="AN940" s="11" t="str" cm="1">
        <f t="array" ref="AN940">_xlfn.IFS(N940&lt;10000,"Low",N940&lt;30000,"Medium",N940&gt;=30000,"High")</f>
        <v>Low</v>
      </c>
      <c r="AO940" s="11" t="str">
        <f t="shared" si="75"/>
        <v>No</v>
      </c>
      <c r="AP940" s="11" t="str">
        <f t="shared" si="76"/>
        <v>Yes</v>
      </c>
      <c r="AQ940" s="11">
        <f t="shared" si="77"/>
        <v>0.22916791979949874</v>
      </c>
      <c r="AR940" s="33"/>
      <c r="AS940" s="33"/>
      <c r="AT940" s="33"/>
      <c r="AU940" s="33"/>
      <c r="AV940" s="33"/>
      <c r="AW940" s="33"/>
      <c r="AX940" s="33" t="str">
        <f t="shared" si="78"/>
        <v>Low</v>
      </c>
    </row>
    <row r="941" spans="1:50">
      <c r="A941" s="9" t="s">
        <v>1800</v>
      </c>
      <c r="B941" s="10" t="s">
        <v>1415</v>
      </c>
      <c r="C941" s="11" t="s">
        <v>1770</v>
      </c>
      <c r="D941" s="11" t="s">
        <v>1801</v>
      </c>
      <c r="E941" s="11" t="s">
        <v>35</v>
      </c>
      <c r="F941" s="11" t="s">
        <v>116</v>
      </c>
      <c r="G941" s="11" t="s">
        <v>37</v>
      </c>
      <c r="H941" s="11" t="s">
        <v>171</v>
      </c>
      <c r="I941" s="11" t="s">
        <v>95</v>
      </c>
      <c r="J941" s="11" t="s">
        <v>440</v>
      </c>
      <c r="K941" s="25">
        <v>2</v>
      </c>
      <c r="L941" s="25">
        <v>15000</v>
      </c>
      <c r="M941" s="29">
        <v>0.05</v>
      </c>
      <c r="N941" s="25">
        <v>28500</v>
      </c>
      <c r="O941" s="25">
        <v>20847.87</v>
      </c>
      <c r="P941" s="25">
        <v>7652.13</v>
      </c>
      <c r="Q941" s="21">
        <v>26.85</v>
      </c>
      <c r="R941" s="11" t="s">
        <v>41</v>
      </c>
      <c r="S941" s="11" t="s">
        <v>74</v>
      </c>
      <c r="T941" s="11" t="s">
        <v>63</v>
      </c>
      <c r="U941" s="11" t="s">
        <v>151</v>
      </c>
      <c r="V941" s="11">
        <v>2024</v>
      </c>
      <c r="W941" s="11" t="s">
        <v>126</v>
      </c>
      <c r="X941" s="11">
        <v>8</v>
      </c>
      <c r="Y941" s="10">
        <v>45451</v>
      </c>
      <c r="Z941" s="11" t="s">
        <v>47</v>
      </c>
      <c r="AA941" s="11" t="s">
        <v>67</v>
      </c>
      <c r="AB941" s="11" t="s">
        <v>49</v>
      </c>
      <c r="AC941" s="11" t="s">
        <v>50</v>
      </c>
      <c r="AD941" s="11">
        <v>3</v>
      </c>
      <c r="AE941" s="11" t="s">
        <v>2232</v>
      </c>
      <c r="AF941" s="11" t="s">
        <v>2235</v>
      </c>
      <c r="AG941" s="25"/>
      <c r="AH941" s="11"/>
      <c r="AI941" s="11"/>
      <c r="AJ941" s="11"/>
      <c r="AK941" s="11"/>
      <c r="AL941" s="11"/>
      <c r="AM941" s="11" t="str">
        <f t="shared" si="74"/>
        <v>Needs Improvement</v>
      </c>
      <c r="AN941" s="11" t="str" cm="1">
        <f t="array" ref="AN941">_xlfn.IFS(N941&lt;10000,"Low",N941&lt;30000,"Medium",N941&gt;=30000,"High")</f>
        <v>Medium</v>
      </c>
      <c r="AO941" s="11" t="str">
        <f t="shared" si="75"/>
        <v>No</v>
      </c>
      <c r="AP941" s="11" t="str">
        <f t="shared" si="76"/>
        <v>Yes</v>
      </c>
      <c r="AQ941" s="11">
        <f t="shared" si="77"/>
        <v>0.26849578947368419</v>
      </c>
      <c r="AR941" s="33"/>
      <c r="AS941" s="33"/>
      <c r="AT941" s="33"/>
      <c r="AU941" s="33"/>
      <c r="AV941" s="33"/>
      <c r="AW941" s="33"/>
      <c r="AX941" s="33" t="str">
        <f t="shared" si="78"/>
        <v>Average</v>
      </c>
    </row>
    <row r="942" spans="1:50">
      <c r="A942" s="9" t="s">
        <v>1871</v>
      </c>
      <c r="B942" s="10" t="s">
        <v>1026</v>
      </c>
      <c r="C942" s="11" t="s">
        <v>1132</v>
      </c>
      <c r="D942" s="11" t="s">
        <v>323</v>
      </c>
      <c r="E942" s="11" t="s">
        <v>103</v>
      </c>
      <c r="F942" s="11" t="s">
        <v>149</v>
      </c>
      <c r="G942" s="11" t="s">
        <v>150</v>
      </c>
      <c r="H942" s="11" t="s">
        <v>38</v>
      </c>
      <c r="I942" s="11" t="s">
        <v>39</v>
      </c>
      <c r="J942" s="11" t="s">
        <v>40</v>
      </c>
      <c r="K942" s="25">
        <v>6</v>
      </c>
      <c r="L942" s="25">
        <v>35000</v>
      </c>
      <c r="M942" s="29">
        <v>0.15</v>
      </c>
      <c r="N942" s="25">
        <v>178500</v>
      </c>
      <c r="O942" s="25">
        <v>144281.60000000001</v>
      </c>
      <c r="P942" s="25">
        <v>34218.400000000001</v>
      </c>
      <c r="Q942" s="21">
        <v>19.170000000000002</v>
      </c>
      <c r="R942" s="11" t="s">
        <v>73</v>
      </c>
      <c r="S942" s="11" t="s">
        <v>42</v>
      </c>
      <c r="T942" s="11" t="s">
        <v>63</v>
      </c>
      <c r="U942" s="11" t="s">
        <v>151</v>
      </c>
      <c r="V942" s="11">
        <v>2025</v>
      </c>
      <c r="W942" s="11" t="s">
        <v>109</v>
      </c>
      <c r="X942" s="11">
        <v>3</v>
      </c>
      <c r="Y942" s="10">
        <v>45665</v>
      </c>
      <c r="Z942" s="11" t="s">
        <v>47</v>
      </c>
      <c r="AA942" s="11" t="s">
        <v>90</v>
      </c>
      <c r="AB942" s="11" t="s">
        <v>78</v>
      </c>
      <c r="AC942" s="11" t="s">
        <v>121</v>
      </c>
      <c r="AD942" s="11">
        <v>2</v>
      </c>
      <c r="AE942" s="11" t="s">
        <v>2216</v>
      </c>
      <c r="AF942" s="11" t="s">
        <v>2249</v>
      </c>
      <c r="AG942" s="25"/>
      <c r="AH942" s="11"/>
      <c r="AI942" s="11"/>
      <c r="AJ942" s="11"/>
      <c r="AK942" s="11"/>
      <c r="AL942" s="11"/>
      <c r="AM942" s="11" t="str">
        <f t="shared" si="74"/>
        <v>Needs Improvement</v>
      </c>
      <c r="AN942" s="11" t="str" cm="1">
        <f t="array" ref="AN942">_xlfn.IFS(N942&lt;10000,"Low",N942&lt;30000,"Medium",N942&gt;=30000,"High")</f>
        <v>High</v>
      </c>
      <c r="AO942" s="11" t="str">
        <f t="shared" si="75"/>
        <v>Yes</v>
      </c>
      <c r="AP942" s="11" t="str">
        <f t="shared" si="76"/>
        <v>Yes</v>
      </c>
      <c r="AQ942" s="11">
        <f t="shared" si="77"/>
        <v>0.1916997198879552</v>
      </c>
      <c r="AR942" s="33"/>
      <c r="AS942" s="33"/>
      <c r="AT942" s="33"/>
      <c r="AU942" s="33"/>
      <c r="AV942" s="33"/>
      <c r="AW942" s="33"/>
      <c r="AX942" s="33" t="str">
        <f t="shared" si="78"/>
        <v>Excellent</v>
      </c>
    </row>
    <row r="943" spans="1:50">
      <c r="A943" s="9" t="s">
        <v>1237</v>
      </c>
      <c r="B943" s="10" t="s">
        <v>914</v>
      </c>
      <c r="C943" s="11" t="s">
        <v>873</v>
      </c>
      <c r="D943" s="11" t="s">
        <v>546</v>
      </c>
      <c r="E943" s="11" t="s">
        <v>35</v>
      </c>
      <c r="F943" s="11" t="s">
        <v>82</v>
      </c>
      <c r="G943" s="11" t="s">
        <v>83</v>
      </c>
      <c r="H943" s="11" t="s">
        <v>171</v>
      </c>
      <c r="I943" s="11" t="s">
        <v>39</v>
      </c>
      <c r="J943" s="11" t="s">
        <v>105</v>
      </c>
      <c r="K943" s="25">
        <v>4</v>
      </c>
      <c r="L943" s="25">
        <v>12000</v>
      </c>
      <c r="M943" s="29">
        <v>0.1</v>
      </c>
      <c r="N943" s="25">
        <v>43200</v>
      </c>
      <c r="O943" s="25">
        <v>33895.32</v>
      </c>
      <c r="P943" s="25">
        <v>9304.68</v>
      </c>
      <c r="Q943" s="21">
        <v>21.54</v>
      </c>
      <c r="R943" s="11" t="s">
        <v>106</v>
      </c>
      <c r="S943" s="11" t="s">
        <v>62</v>
      </c>
      <c r="T943" s="11" t="s">
        <v>75</v>
      </c>
      <c r="U943" s="11" t="s">
        <v>218</v>
      </c>
      <c r="V943" s="11">
        <v>2025</v>
      </c>
      <c r="W943" s="11" t="s">
        <v>194</v>
      </c>
      <c r="X943" s="11">
        <v>2</v>
      </c>
      <c r="Y943" s="10" t="s">
        <v>894</v>
      </c>
      <c r="Z943" s="11" t="s">
        <v>47</v>
      </c>
      <c r="AA943" s="11" t="s">
        <v>48</v>
      </c>
      <c r="AB943" s="11" t="s">
        <v>111</v>
      </c>
      <c r="AC943" s="11" t="s">
        <v>50</v>
      </c>
      <c r="AD943" s="11">
        <v>3</v>
      </c>
      <c r="AE943" s="11" t="s">
        <v>2216</v>
      </c>
      <c r="AF943" s="11" t="s">
        <v>2222</v>
      </c>
      <c r="AG943" s="25"/>
      <c r="AH943" s="11"/>
      <c r="AI943" s="11"/>
      <c r="AJ943" s="11"/>
      <c r="AK943" s="11"/>
      <c r="AL943" s="11"/>
      <c r="AM943" s="11" t="str">
        <f t="shared" si="74"/>
        <v>Needs Improvement</v>
      </c>
      <c r="AN943" s="11" t="str" cm="1">
        <f t="array" ref="AN943">_xlfn.IFS(N943&lt;10000,"Low",N943&lt;30000,"Medium",N943&gt;=30000,"High")</f>
        <v>High</v>
      </c>
      <c r="AO943" s="11" t="str">
        <f t="shared" si="75"/>
        <v>No</v>
      </c>
      <c r="AP943" s="11" t="str">
        <f t="shared" si="76"/>
        <v>No</v>
      </c>
      <c r="AQ943" s="11">
        <f t="shared" si="77"/>
        <v>0.21538611111111111</v>
      </c>
      <c r="AR943" s="33"/>
      <c r="AS943" s="33"/>
      <c r="AT943" s="33"/>
      <c r="AU943" s="33"/>
      <c r="AV943" s="33"/>
      <c r="AW943" s="33"/>
      <c r="AX943" s="33" t="str">
        <f t="shared" si="78"/>
        <v>Average</v>
      </c>
    </row>
    <row r="944" spans="1:50">
      <c r="A944" s="9" t="s">
        <v>1320</v>
      </c>
      <c r="B944" s="10" t="s">
        <v>286</v>
      </c>
      <c r="C944" s="11" t="s">
        <v>1321</v>
      </c>
      <c r="D944" s="11" t="s">
        <v>1002</v>
      </c>
      <c r="E944" s="11" t="s">
        <v>103</v>
      </c>
      <c r="F944" s="11" t="s">
        <v>56</v>
      </c>
      <c r="G944" s="11" t="s">
        <v>57</v>
      </c>
      <c r="H944" s="11" t="s">
        <v>94</v>
      </c>
      <c r="I944" s="11" t="s">
        <v>84</v>
      </c>
      <c r="J944" s="11" t="s">
        <v>229</v>
      </c>
      <c r="K944" s="25">
        <v>9</v>
      </c>
      <c r="L944" s="25">
        <v>200</v>
      </c>
      <c r="M944" s="29">
        <v>0</v>
      </c>
      <c r="N944" s="25">
        <v>1800</v>
      </c>
      <c r="O944" s="25">
        <v>1165.27</v>
      </c>
      <c r="P944" s="25">
        <v>634.73</v>
      </c>
      <c r="Q944" s="21">
        <v>35.26</v>
      </c>
      <c r="R944" s="11" t="s">
        <v>73</v>
      </c>
      <c r="S944" s="11" t="s">
        <v>74</v>
      </c>
      <c r="T944" s="11" t="s">
        <v>75</v>
      </c>
      <c r="U944" s="11" t="s">
        <v>108</v>
      </c>
      <c r="V944" s="11">
        <v>2024</v>
      </c>
      <c r="W944" s="11" t="s">
        <v>45</v>
      </c>
      <c r="X944" s="11">
        <v>6</v>
      </c>
      <c r="Y944" s="10">
        <v>45422</v>
      </c>
      <c r="Z944" s="11" t="s">
        <v>110</v>
      </c>
      <c r="AA944" s="11" t="s">
        <v>67</v>
      </c>
      <c r="AB944" s="11" t="s">
        <v>78</v>
      </c>
      <c r="AC944" s="11" t="s">
        <v>50</v>
      </c>
      <c r="AD944" s="11">
        <v>5</v>
      </c>
      <c r="AE944" s="11" t="s">
        <v>2213</v>
      </c>
      <c r="AF944" s="11" t="s">
        <v>2222</v>
      </c>
      <c r="AG944" s="25"/>
      <c r="AH944" s="11"/>
      <c r="AI944" s="11"/>
      <c r="AJ944" s="11"/>
      <c r="AK944" s="11"/>
      <c r="AL944" s="11"/>
      <c r="AM944" s="11" t="str">
        <f t="shared" si="74"/>
        <v>Good</v>
      </c>
      <c r="AN944" s="11" t="str" cm="1">
        <f t="array" ref="AN944">_xlfn.IFS(N944&lt;10000,"Low",N944&lt;30000,"Medium",N944&gt;=30000,"High")</f>
        <v>Low</v>
      </c>
      <c r="AO944" s="11" t="str">
        <f t="shared" si="75"/>
        <v>No</v>
      </c>
      <c r="AP944" s="11" t="str">
        <f t="shared" si="76"/>
        <v>Yes</v>
      </c>
      <c r="AQ944" s="11">
        <f t="shared" si="77"/>
        <v>0.35262777777777776</v>
      </c>
      <c r="AR944" s="33"/>
      <c r="AS944" s="33"/>
      <c r="AT944" s="33"/>
      <c r="AU944" s="33"/>
      <c r="AV944" s="33"/>
      <c r="AW944" s="33"/>
      <c r="AX944" s="33" t="str">
        <f t="shared" si="78"/>
        <v>Low</v>
      </c>
    </row>
    <row r="945" spans="1:50">
      <c r="A945" s="9" t="s">
        <v>1454</v>
      </c>
      <c r="B945" s="10" t="s">
        <v>286</v>
      </c>
      <c r="C945" s="11" t="s">
        <v>495</v>
      </c>
      <c r="D945" s="11" t="s">
        <v>383</v>
      </c>
      <c r="E945" s="11" t="s">
        <v>55</v>
      </c>
      <c r="F945" s="11" t="s">
        <v>149</v>
      </c>
      <c r="G945" s="11" t="s">
        <v>150</v>
      </c>
      <c r="H945" s="11" t="s">
        <v>171</v>
      </c>
      <c r="I945" s="11" t="s">
        <v>59</v>
      </c>
      <c r="J945" s="11" t="s">
        <v>328</v>
      </c>
      <c r="K945" s="25">
        <v>7</v>
      </c>
      <c r="L945" s="25">
        <v>3000</v>
      </c>
      <c r="M945" s="29">
        <v>0.2</v>
      </c>
      <c r="N945" s="25">
        <v>16800</v>
      </c>
      <c r="O945" s="25">
        <v>12673.35</v>
      </c>
      <c r="P945" s="25">
        <v>4126.6499999999996</v>
      </c>
      <c r="Q945" s="21">
        <v>24.56</v>
      </c>
      <c r="R945" s="11" t="s">
        <v>61</v>
      </c>
      <c r="S945" s="11" t="s">
        <v>74</v>
      </c>
      <c r="T945" s="11" t="s">
        <v>97</v>
      </c>
      <c r="U945" s="11" t="s">
        <v>108</v>
      </c>
      <c r="V945" s="11">
        <v>2024</v>
      </c>
      <c r="W945" s="11" t="s">
        <v>45</v>
      </c>
      <c r="X945" s="11">
        <v>8</v>
      </c>
      <c r="Y945" s="10">
        <v>45483</v>
      </c>
      <c r="Z945" s="11" t="s">
        <v>110</v>
      </c>
      <c r="AA945" s="11" t="s">
        <v>48</v>
      </c>
      <c r="AB945" s="11" t="s">
        <v>78</v>
      </c>
      <c r="AC945" s="11" t="s">
        <v>50</v>
      </c>
      <c r="AD945" s="11">
        <v>5</v>
      </c>
      <c r="AE945" s="11" t="s">
        <v>2221</v>
      </c>
      <c r="AF945" s="11" t="s">
        <v>2236</v>
      </c>
      <c r="AG945" s="25"/>
      <c r="AH945" s="11"/>
      <c r="AI945" s="11"/>
      <c r="AJ945" s="11"/>
      <c r="AK945" s="11"/>
      <c r="AL945" s="11"/>
      <c r="AM945" s="11" t="str">
        <f t="shared" si="74"/>
        <v>Needs Improvement</v>
      </c>
      <c r="AN945" s="11" t="str" cm="1">
        <f t="array" ref="AN945">_xlfn.IFS(N945&lt;10000,"Low",N945&lt;30000,"Medium",N945&gt;=30000,"High")</f>
        <v>Medium</v>
      </c>
      <c r="AO945" s="11" t="str">
        <f t="shared" si="75"/>
        <v>No</v>
      </c>
      <c r="AP945" s="11" t="str">
        <f t="shared" si="76"/>
        <v>Yes</v>
      </c>
      <c r="AQ945" s="11">
        <f t="shared" si="77"/>
        <v>0.24563392857142854</v>
      </c>
      <c r="AR945" s="33"/>
      <c r="AS945" s="33"/>
      <c r="AT945" s="33"/>
      <c r="AU945" s="33"/>
      <c r="AV945" s="33"/>
      <c r="AW945" s="33"/>
      <c r="AX945" s="33" t="str">
        <f t="shared" si="78"/>
        <v>Low</v>
      </c>
    </row>
    <row r="946" spans="1:50">
      <c r="A946" s="9" t="s">
        <v>1991</v>
      </c>
      <c r="B946" s="10" t="s">
        <v>286</v>
      </c>
      <c r="C946" s="11" t="s">
        <v>1738</v>
      </c>
      <c r="D946" s="11" t="s">
        <v>1166</v>
      </c>
      <c r="E946" s="11" t="s">
        <v>103</v>
      </c>
      <c r="F946" s="11" t="s">
        <v>156</v>
      </c>
      <c r="G946" s="11" t="s">
        <v>157</v>
      </c>
      <c r="H946" s="11" t="s">
        <v>171</v>
      </c>
      <c r="I946" s="11" t="s">
        <v>39</v>
      </c>
      <c r="J946" s="11" t="s">
        <v>253</v>
      </c>
      <c r="K946" s="25">
        <v>4</v>
      </c>
      <c r="L946" s="25">
        <v>50000</v>
      </c>
      <c r="M946" s="29">
        <v>0.05</v>
      </c>
      <c r="N946" s="25">
        <v>190000</v>
      </c>
      <c r="O946" s="25">
        <v>149840.41</v>
      </c>
      <c r="P946" s="25">
        <v>40159.589999999997</v>
      </c>
      <c r="Q946" s="21">
        <v>21.14</v>
      </c>
      <c r="R946" s="11" t="s">
        <v>166</v>
      </c>
      <c r="S946" s="11" t="s">
        <v>74</v>
      </c>
      <c r="T946" s="11" t="s">
        <v>63</v>
      </c>
      <c r="U946" s="11" t="s">
        <v>108</v>
      </c>
      <c r="V946" s="11">
        <v>2024</v>
      </c>
      <c r="W946" s="11" t="s">
        <v>45</v>
      </c>
      <c r="X946" s="11">
        <v>9</v>
      </c>
      <c r="Y946" s="10">
        <v>45514</v>
      </c>
      <c r="Z946" s="11" t="s">
        <v>89</v>
      </c>
      <c r="AA946" s="11" t="s">
        <v>48</v>
      </c>
      <c r="AB946" s="11" t="s">
        <v>111</v>
      </c>
      <c r="AC946" s="11" t="s">
        <v>121</v>
      </c>
      <c r="AD946" s="11">
        <v>4</v>
      </c>
      <c r="AE946" s="11" t="s">
        <v>2229</v>
      </c>
      <c r="AF946" s="11" t="s">
        <v>2230</v>
      </c>
      <c r="AG946" s="25"/>
      <c r="AH946" s="11"/>
      <c r="AI946" s="11"/>
      <c r="AJ946" s="11"/>
      <c r="AK946" s="11"/>
      <c r="AL946" s="11"/>
      <c r="AM946" s="11" t="str">
        <f t="shared" si="74"/>
        <v>Needs Improvement</v>
      </c>
      <c r="AN946" s="11" t="str" cm="1">
        <f t="array" ref="AN946">_xlfn.IFS(N946&lt;10000,"Low",N946&lt;30000,"Medium",N946&gt;=30000,"High")</f>
        <v>High</v>
      </c>
      <c r="AO946" s="11" t="str">
        <f t="shared" si="75"/>
        <v>Yes</v>
      </c>
      <c r="AP946" s="11" t="str">
        <f t="shared" si="76"/>
        <v>Yes</v>
      </c>
      <c r="AQ946" s="11">
        <f t="shared" si="77"/>
        <v>0.21136626315789472</v>
      </c>
      <c r="AR946" s="33"/>
      <c r="AS946" s="33"/>
      <c r="AT946" s="33"/>
      <c r="AU946" s="33"/>
      <c r="AV946" s="33"/>
      <c r="AW946" s="33"/>
      <c r="AX946" s="33" t="str">
        <f t="shared" si="78"/>
        <v>Excellent</v>
      </c>
    </row>
    <row r="947" spans="1:50">
      <c r="A947" s="9" t="s">
        <v>2092</v>
      </c>
      <c r="B947" s="10" t="s">
        <v>1923</v>
      </c>
      <c r="C947" s="11" t="s">
        <v>668</v>
      </c>
      <c r="D947" s="11" t="s">
        <v>478</v>
      </c>
      <c r="E947" s="11" t="s">
        <v>55</v>
      </c>
      <c r="F947" s="11" t="s">
        <v>56</v>
      </c>
      <c r="G947" s="11" t="s">
        <v>57</v>
      </c>
      <c r="H947" s="11" t="s">
        <v>94</v>
      </c>
      <c r="I947" s="11" t="s">
        <v>59</v>
      </c>
      <c r="J947" s="11" t="s">
        <v>133</v>
      </c>
      <c r="K947" s="25">
        <v>6</v>
      </c>
      <c r="L947" s="25">
        <v>2000</v>
      </c>
      <c r="M947" s="29">
        <v>0.1</v>
      </c>
      <c r="N947" s="25">
        <v>10800</v>
      </c>
      <c r="O947" s="25">
        <v>7231.24</v>
      </c>
      <c r="P947" s="25">
        <v>3568.76</v>
      </c>
      <c r="Q947" s="21">
        <v>33.04</v>
      </c>
      <c r="R947" s="11" t="s">
        <v>73</v>
      </c>
      <c r="S947" s="11" t="s">
        <v>74</v>
      </c>
      <c r="T947" s="11" t="s">
        <v>159</v>
      </c>
      <c r="U947" s="11" t="s">
        <v>108</v>
      </c>
      <c r="V947" s="11">
        <v>2025</v>
      </c>
      <c r="W947" s="11" t="s">
        <v>126</v>
      </c>
      <c r="X947" s="11">
        <v>2</v>
      </c>
      <c r="Y947" s="10">
        <v>45667</v>
      </c>
      <c r="Z947" s="11" t="s">
        <v>47</v>
      </c>
      <c r="AA947" s="11" t="s">
        <v>67</v>
      </c>
      <c r="AB947" s="11" t="s">
        <v>49</v>
      </c>
      <c r="AC947" s="11" t="s">
        <v>121</v>
      </c>
      <c r="AD947" s="11">
        <v>3</v>
      </c>
      <c r="AE947" s="11" t="s">
        <v>159</v>
      </c>
      <c r="AF947" s="11" t="s">
        <v>2236</v>
      </c>
      <c r="AG947" s="25"/>
      <c r="AH947" s="11"/>
      <c r="AI947" s="11"/>
      <c r="AJ947" s="11"/>
      <c r="AK947" s="11"/>
      <c r="AL947" s="11"/>
      <c r="AM947" s="11" t="str">
        <f t="shared" si="74"/>
        <v>Good</v>
      </c>
      <c r="AN947" s="11" t="str" cm="1">
        <f t="array" ref="AN947">_xlfn.IFS(N947&lt;10000,"Low",N947&lt;30000,"Medium",N947&gt;=30000,"High")</f>
        <v>Medium</v>
      </c>
      <c r="AO947" s="11" t="str">
        <f t="shared" si="75"/>
        <v>No</v>
      </c>
      <c r="AP947" s="11" t="str">
        <f t="shared" si="76"/>
        <v>Yes</v>
      </c>
      <c r="AQ947" s="11">
        <f t="shared" si="77"/>
        <v>0.33044074074074076</v>
      </c>
      <c r="AR947" s="33"/>
      <c r="AS947" s="33"/>
      <c r="AT947" s="33"/>
      <c r="AU947" s="33"/>
      <c r="AV947" s="33"/>
      <c r="AW947" s="33"/>
      <c r="AX947" s="33" t="str">
        <f t="shared" si="78"/>
        <v>Low</v>
      </c>
    </row>
    <row r="948" spans="1:50">
      <c r="A948" s="9" t="s">
        <v>796</v>
      </c>
      <c r="B948" s="10" t="s">
        <v>797</v>
      </c>
      <c r="C948" s="11" t="s">
        <v>798</v>
      </c>
      <c r="D948" s="11" t="s">
        <v>799</v>
      </c>
      <c r="E948" s="11" t="s">
        <v>103</v>
      </c>
      <c r="F948" s="11" t="s">
        <v>144</v>
      </c>
      <c r="G948" s="11" t="s">
        <v>145</v>
      </c>
      <c r="H948" s="11" t="s">
        <v>38</v>
      </c>
      <c r="I948" s="11" t="s">
        <v>71</v>
      </c>
      <c r="J948" s="11" t="s">
        <v>240</v>
      </c>
      <c r="K948" s="25">
        <v>3</v>
      </c>
      <c r="L948" s="25">
        <v>700</v>
      </c>
      <c r="M948" s="29">
        <v>0.15</v>
      </c>
      <c r="N948" s="25">
        <v>1785</v>
      </c>
      <c r="O948" s="25">
        <v>1176.75</v>
      </c>
      <c r="P948" s="25">
        <v>608.25</v>
      </c>
      <c r="Q948" s="21">
        <v>34.08</v>
      </c>
      <c r="R948" s="11" t="s">
        <v>61</v>
      </c>
      <c r="S948" s="11" t="s">
        <v>42</v>
      </c>
      <c r="T948" s="11" t="s">
        <v>86</v>
      </c>
      <c r="U948" s="11" t="s">
        <v>87</v>
      </c>
      <c r="V948" s="11">
        <v>2024</v>
      </c>
      <c r="W948" s="11" t="s">
        <v>109</v>
      </c>
      <c r="X948" s="11">
        <v>5</v>
      </c>
      <c r="Y948" s="10">
        <v>45362</v>
      </c>
      <c r="Z948" s="11" t="s">
        <v>110</v>
      </c>
      <c r="AA948" s="11" t="s">
        <v>48</v>
      </c>
      <c r="AB948" s="11" t="s">
        <v>111</v>
      </c>
      <c r="AC948" s="11" t="s">
        <v>50</v>
      </c>
      <c r="AD948" s="11">
        <v>3</v>
      </c>
      <c r="AE948" s="11" t="s">
        <v>2229</v>
      </c>
      <c r="AF948" s="11" t="s">
        <v>2214</v>
      </c>
      <c r="AG948" s="25"/>
      <c r="AH948" s="11"/>
      <c r="AI948" s="11"/>
      <c r="AJ948" s="11"/>
      <c r="AK948" s="11"/>
      <c r="AL948" s="11"/>
      <c r="AM948" s="11" t="str">
        <f t="shared" si="74"/>
        <v>Good</v>
      </c>
      <c r="AN948" s="11" t="str" cm="1">
        <f t="array" ref="AN948">_xlfn.IFS(N948&lt;10000,"Low",N948&lt;30000,"Medium",N948&gt;=30000,"High")</f>
        <v>Low</v>
      </c>
      <c r="AO948" s="11" t="str">
        <f t="shared" si="75"/>
        <v>No</v>
      </c>
      <c r="AP948" s="11" t="str">
        <f t="shared" si="76"/>
        <v>Yes</v>
      </c>
      <c r="AQ948" s="11">
        <f t="shared" si="77"/>
        <v>0.34075630252100841</v>
      </c>
      <c r="AR948" s="33"/>
      <c r="AS948" s="33"/>
      <c r="AT948" s="33"/>
      <c r="AU948" s="33"/>
      <c r="AV948" s="33"/>
      <c r="AW948" s="33"/>
      <c r="AX948" s="33" t="str">
        <f t="shared" si="78"/>
        <v>Low</v>
      </c>
    </row>
    <row r="949" spans="1:50">
      <c r="A949" s="9" t="s">
        <v>1178</v>
      </c>
      <c r="B949" s="10" t="s">
        <v>797</v>
      </c>
      <c r="C949" s="11" t="s">
        <v>402</v>
      </c>
      <c r="D949" s="11" t="s">
        <v>660</v>
      </c>
      <c r="E949" s="11" t="s">
        <v>103</v>
      </c>
      <c r="F949" s="11" t="s">
        <v>131</v>
      </c>
      <c r="G949" s="11" t="s">
        <v>132</v>
      </c>
      <c r="H949" s="11" t="s">
        <v>94</v>
      </c>
      <c r="I949" s="11" t="s">
        <v>39</v>
      </c>
      <c r="J949" s="11" t="s">
        <v>253</v>
      </c>
      <c r="K949" s="25">
        <v>4</v>
      </c>
      <c r="L949" s="25">
        <v>12000</v>
      </c>
      <c r="M949" s="29">
        <v>0.1</v>
      </c>
      <c r="N949" s="25">
        <v>43200</v>
      </c>
      <c r="O949" s="25">
        <v>23945.81</v>
      </c>
      <c r="P949" s="25">
        <v>19254.189999999999</v>
      </c>
      <c r="Q949" s="21">
        <v>44.57</v>
      </c>
      <c r="R949" s="11" t="s">
        <v>41</v>
      </c>
      <c r="S949" s="11" t="s">
        <v>42</v>
      </c>
      <c r="T949" s="11" t="s">
        <v>63</v>
      </c>
      <c r="U949" s="11" t="s">
        <v>87</v>
      </c>
      <c r="V949" s="11">
        <v>2024</v>
      </c>
      <c r="W949" s="11" t="s">
        <v>109</v>
      </c>
      <c r="X949" s="11">
        <v>4</v>
      </c>
      <c r="Y949" s="10">
        <v>45333</v>
      </c>
      <c r="Z949" s="11" t="s">
        <v>47</v>
      </c>
      <c r="AA949" s="11" t="s">
        <v>90</v>
      </c>
      <c r="AB949" s="11" t="s">
        <v>78</v>
      </c>
      <c r="AC949" s="11" t="s">
        <v>50</v>
      </c>
      <c r="AD949" s="11">
        <v>2</v>
      </c>
      <c r="AE949" s="11" t="s">
        <v>2218</v>
      </c>
      <c r="AF949" s="11" t="s">
        <v>2222</v>
      </c>
      <c r="AG949" s="25"/>
      <c r="AH949" s="11"/>
      <c r="AI949" s="11"/>
      <c r="AJ949" s="11"/>
      <c r="AK949" s="11"/>
      <c r="AL949" s="11"/>
      <c r="AM949" s="11" t="str">
        <f t="shared" si="74"/>
        <v>Good</v>
      </c>
      <c r="AN949" s="11" t="str" cm="1">
        <f t="array" ref="AN949">_xlfn.IFS(N949&lt;10000,"Low",N949&lt;30000,"Medium",N949&gt;=30000,"High")</f>
        <v>High</v>
      </c>
      <c r="AO949" s="11" t="str">
        <f t="shared" si="75"/>
        <v>Yes</v>
      </c>
      <c r="AP949" s="11" t="str">
        <f t="shared" si="76"/>
        <v>Yes</v>
      </c>
      <c r="AQ949" s="11">
        <f t="shared" si="77"/>
        <v>0.44569884259259257</v>
      </c>
      <c r="AR949" s="33"/>
      <c r="AS949" s="33"/>
      <c r="AT949" s="33"/>
      <c r="AU949" s="33"/>
      <c r="AV949" s="33"/>
      <c r="AW949" s="33"/>
      <c r="AX949" s="33" t="str">
        <f t="shared" si="78"/>
        <v>Good</v>
      </c>
    </row>
    <row r="950" spans="1:50">
      <c r="A950" s="9" t="s">
        <v>1244</v>
      </c>
      <c r="B950" s="10" t="s">
        <v>735</v>
      </c>
      <c r="C950" s="11" t="s">
        <v>1245</v>
      </c>
      <c r="D950" s="11" t="s">
        <v>981</v>
      </c>
      <c r="E950" s="11" t="s">
        <v>35</v>
      </c>
      <c r="F950" s="11" t="s">
        <v>131</v>
      </c>
      <c r="G950" s="11" t="s">
        <v>132</v>
      </c>
      <c r="H950" s="11" t="s">
        <v>94</v>
      </c>
      <c r="I950" s="11" t="s">
        <v>71</v>
      </c>
      <c r="J950" s="11" t="s">
        <v>158</v>
      </c>
      <c r="K950" s="25">
        <v>4</v>
      </c>
      <c r="L950" s="25">
        <v>1800</v>
      </c>
      <c r="M950" s="29">
        <v>0</v>
      </c>
      <c r="N950" s="25">
        <v>7200</v>
      </c>
      <c r="O950" s="25">
        <v>5523.22</v>
      </c>
      <c r="P950" s="25">
        <v>1676.78</v>
      </c>
      <c r="Q950" s="21">
        <v>23.29</v>
      </c>
      <c r="R950" s="11" t="s">
        <v>166</v>
      </c>
      <c r="S950" s="11" t="s">
        <v>62</v>
      </c>
      <c r="T950" s="11" t="s">
        <v>63</v>
      </c>
      <c r="U950" s="11" t="s">
        <v>87</v>
      </c>
      <c r="V950" s="11">
        <v>2025</v>
      </c>
      <c r="W950" s="11" t="s">
        <v>134</v>
      </c>
      <c r="X950" s="11">
        <v>5</v>
      </c>
      <c r="Y950" s="10">
        <v>45727</v>
      </c>
      <c r="Z950" s="11" t="s">
        <v>89</v>
      </c>
      <c r="AA950" s="11" t="s">
        <v>48</v>
      </c>
      <c r="AB950" s="11" t="s">
        <v>78</v>
      </c>
      <c r="AC950" s="11" t="s">
        <v>121</v>
      </c>
      <c r="AD950" s="11">
        <v>1</v>
      </c>
      <c r="AE950" s="11" t="s">
        <v>2240</v>
      </c>
      <c r="AF950" s="11" t="s">
        <v>2236</v>
      </c>
      <c r="AG950" s="25"/>
      <c r="AH950" s="11"/>
      <c r="AI950" s="11"/>
      <c r="AJ950" s="11"/>
      <c r="AK950" s="11"/>
      <c r="AL950" s="11"/>
      <c r="AM950" s="11" t="str">
        <f t="shared" si="74"/>
        <v>Needs Improvement</v>
      </c>
      <c r="AN950" s="11" t="str" cm="1">
        <f t="array" ref="AN950">_xlfn.IFS(N950&lt;10000,"Low",N950&lt;30000,"Medium",N950&gt;=30000,"High")</f>
        <v>Low</v>
      </c>
      <c r="AO950" s="11" t="str">
        <f t="shared" si="75"/>
        <v>No</v>
      </c>
      <c r="AP950" s="11" t="str">
        <f t="shared" si="76"/>
        <v>No</v>
      </c>
      <c r="AQ950" s="11">
        <f t="shared" si="77"/>
        <v>0.2328861111111111</v>
      </c>
      <c r="AR950" s="33"/>
      <c r="AS950" s="33"/>
      <c r="AT950" s="33"/>
      <c r="AU950" s="33"/>
      <c r="AV950" s="33"/>
      <c r="AW950" s="33"/>
      <c r="AX950" s="33" t="str">
        <f t="shared" si="78"/>
        <v>Low</v>
      </c>
    </row>
    <row r="951" spans="1:50">
      <c r="A951" s="9" t="s">
        <v>1688</v>
      </c>
      <c r="B951" s="10" t="s">
        <v>735</v>
      </c>
      <c r="C951" s="11" t="s">
        <v>622</v>
      </c>
      <c r="D951" s="11" t="s">
        <v>699</v>
      </c>
      <c r="E951" s="11" t="s">
        <v>103</v>
      </c>
      <c r="F951" s="11" t="s">
        <v>149</v>
      </c>
      <c r="G951" s="11" t="s">
        <v>150</v>
      </c>
      <c r="H951" s="11" t="s">
        <v>58</v>
      </c>
      <c r="I951" s="11" t="s">
        <v>59</v>
      </c>
      <c r="J951" s="11" t="s">
        <v>133</v>
      </c>
      <c r="K951" s="25">
        <v>9</v>
      </c>
      <c r="L951" s="25">
        <v>2000</v>
      </c>
      <c r="M951" s="29">
        <v>0.1</v>
      </c>
      <c r="N951" s="25">
        <v>16200</v>
      </c>
      <c r="O951" s="25">
        <v>10928.04</v>
      </c>
      <c r="P951" s="25">
        <v>5271.96</v>
      </c>
      <c r="Q951" s="21">
        <v>32.54</v>
      </c>
      <c r="R951" s="11" t="s">
        <v>106</v>
      </c>
      <c r="S951" s="11" t="s">
        <v>62</v>
      </c>
      <c r="T951" s="11" t="s">
        <v>173</v>
      </c>
      <c r="U951" s="11" t="s">
        <v>87</v>
      </c>
      <c r="V951" s="11">
        <v>2025</v>
      </c>
      <c r="W951" s="11" t="s">
        <v>134</v>
      </c>
      <c r="X951" s="11">
        <v>4</v>
      </c>
      <c r="Y951" s="10">
        <v>45699</v>
      </c>
      <c r="Z951" s="11" t="s">
        <v>47</v>
      </c>
      <c r="AA951" s="11" t="s">
        <v>67</v>
      </c>
      <c r="AB951" s="11" t="s">
        <v>49</v>
      </c>
      <c r="AC951" s="11" t="s">
        <v>121</v>
      </c>
      <c r="AD951" s="11">
        <v>2</v>
      </c>
      <c r="AE951" s="11" t="s">
        <v>2227</v>
      </c>
      <c r="AF951" s="11" t="s">
        <v>2210</v>
      </c>
      <c r="AG951" s="25"/>
      <c r="AH951" s="11"/>
      <c r="AI951" s="11"/>
      <c r="AJ951" s="11"/>
      <c r="AK951" s="11"/>
      <c r="AL951" s="11"/>
      <c r="AM951" s="11" t="str">
        <f t="shared" si="74"/>
        <v>Good</v>
      </c>
      <c r="AN951" s="11" t="str" cm="1">
        <f t="array" ref="AN951">_xlfn.IFS(N951&lt;10000,"Low",N951&lt;30000,"Medium",N951&gt;=30000,"High")</f>
        <v>Medium</v>
      </c>
      <c r="AO951" s="11" t="str">
        <f t="shared" si="75"/>
        <v>No</v>
      </c>
      <c r="AP951" s="11" t="str">
        <f t="shared" si="76"/>
        <v>No</v>
      </c>
      <c r="AQ951" s="11">
        <f t="shared" si="77"/>
        <v>0.32542962962962962</v>
      </c>
      <c r="AR951" s="33"/>
      <c r="AS951" s="33"/>
      <c r="AT951" s="33"/>
      <c r="AU951" s="33"/>
      <c r="AV951" s="33"/>
      <c r="AW951" s="33"/>
      <c r="AX951" s="33" t="str">
        <f t="shared" si="78"/>
        <v>Average</v>
      </c>
    </row>
    <row r="952" spans="1:50">
      <c r="A952" s="9" t="s">
        <v>1699</v>
      </c>
      <c r="B952" s="10" t="s">
        <v>735</v>
      </c>
      <c r="C952" s="11" t="s">
        <v>977</v>
      </c>
      <c r="D952" s="11" t="s">
        <v>148</v>
      </c>
      <c r="E952" s="11" t="s">
        <v>103</v>
      </c>
      <c r="F952" s="11" t="s">
        <v>56</v>
      </c>
      <c r="G952" s="11" t="s">
        <v>57</v>
      </c>
      <c r="H952" s="11" t="s">
        <v>171</v>
      </c>
      <c r="I952" s="11" t="s">
        <v>71</v>
      </c>
      <c r="J952" s="11" t="s">
        <v>240</v>
      </c>
      <c r="K952" s="25">
        <v>2</v>
      </c>
      <c r="L952" s="25">
        <v>3500</v>
      </c>
      <c r="M952" s="29">
        <v>0.15</v>
      </c>
      <c r="N952" s="25">
        <v>5950</v>
      </c>
      <c r="O952" s="25">
        <v>3313.14</v>
      </c>
      <c r="P952" s="25">
        <v>2636.86</v>
      </c>
      <c r="Q952" s="21">
        <v>44.32</v>
      </c>
      <c r="R952" s="11" t="s">
        <v>166</v>
      </c>
      <c r="S952" s="11" t="s">
        <v>74</v>
      </c>
      <c r="T952" s="11" t="s">
        <v>63</v>
      </c>
      <c r="U952" s="11" t="s">
        <v>87</v>
      </c>
      <c r="V952" s="11">
        <v>2025</v>
      </c>
      <c r="W952" s="11" t="s">
        <v>134</v>
      </c>
      <c r="X952" s="11">
        <v>6</v>
      </c>
      <c r="Y952" s="10">
        <v>45758</v>
      </c>
      <c r="Z952" s="11" t="s">
        <v>47</v>
      </c>
      <c r="AA952" s="11" t="s">
        <v>48</v>
      </c>
      <c r="AB952" s="11" t="s">
        <v>49</v>
      </c>
      <c r="AC952" s="11" t="s">
        <v>50</v>
      </c>
      <c r="AD952" s="11">
        <v>3</v>
      </c>
      <c r="AE952" s="11" t="s">
        <v>2239</v>
      </c>
      <c r="AF952" s="11" t="s">
        <v>2238</v>
      </c>
      <c r="AG952" s="25"/>
      <c r="AH952" s="11"/>
      <c r="AI952" s="11"/>
      <c r="AJ952" s="11"/>
      <c r="AK952" s="11"/>
      <c r="AL952" s="11"/>
      <c r="AM952" s="11" t="str">
        <f t="shared" si="74"/>
        <v>Good</v>
      </c>
      <c r="AN952" s="11" t="str" cm="1">
        <f t="array" ref="AN952">_xlfn.IFS(N952&lt;10000,"Low",N952&lt;30000,"Medium",N952&gt;=30000,"High")</f>
        <v>Low</v>
      </c>
      <c r="AO952" s="11" t="str">
        <f t="shared" si="75"/>
        <v>No</v>
      </c>
      <c r="AP952" s="11" t="str">
        <f t="shared" si="76"/>
        <v>Yes</v>
      </c>
      <c r="AQ952" s="11">
        <f t="shared" si="77"/>
        <v>0.44316974789915969</v>
      </c>
      <c r="AR952" s="33"/>
      <c r="AS952" s="33"/>
      <c r="AT952" s="33"/>
      <c r="AU952" s="33"/>
      <c r="AV952" s="33"/>
      <c r="AW952" s="33"/>
      <c r="AX952" s="33" t="str">
        <f t="shared" si="78"/>
        <v>Low</v>
      </c>
    </row>
    <row r="953" spans="1:50">
      <c r="A953" s="9" t="s">
        <v>959</v>
      </c>
      <c r="B953" s="10" t="s">
        <v>960</v>
      </c>
      <c r="C953" s="11" t="s">
        <v>163</v>
      </c>
      <c r="D953" s="11" t="s">
        <v>961</v>
      </c>
      <c r="E953" s="11" t="s">
        <v>35</v>
      </c>
      <c r="F953" s="11" t="s">
        <v>104</v>
      </c>
      <c r="G953" s="11" t="s">
        <v>104</v>
      </c>
      <c r="H953" s="11" t="s">
        <v>171</v>
      </c>
      <c r="I953" s="11" t="s">
        <v>39</v>
      </c>
      <c r="J953" s="11" t="s">
        <v>105</v>
      </c>
      <c r="K953" s="25">
        <v>7</v>
      </c>
      <c r="L953" s="25">
        <v>35000</v>
      </c>
      <c r="M953" s="29">
        <v>0</v>
      </c>
      <c r="N953" s="25">
        <v>245000</v>
      </c>
      <c r="O953" s="25">
        <v>191760.85</v>
      </c>
      <c r="P953" s="25">
        <v>53239.15</v>
      </c>
      <c r="Q953" s="21">
        <v>21.73</v>
      </c>
      <c r="R953" s="11" t="s">
        <v>166</v>
      </c>
      <c r="S953" s="11" t="s">
        <v>42</v>
      </c>
      <c r="T953" s="11" t="s">
        <v>97</v>
      </c>
      <c r="U953" s="11" t="s">
        <v>198</v>
      </c>
      <c r="V953" s="11">
        <v>2024</v>
      </c>
      <c r="W953" s="11" t="s">
        <v>194</v>
      </c>
      <c r="X953" s="11">
        <v>6</v>
      </c>
      <c r="Y953" s="10">
        <v>45424</v>
      </c>
      <c r="Z953" s="11" t="s">
        <v>89</v>
      </c>
      <c r="AA953" s="11" t="s">
        <v>67</v>
      </c>
      <c r="AB953" s="11" t="s">
        <v>49</v>
      </c>
      <c r="AC953" s="11" t="s">
        <v>50</v>
      </c>
      <c r="AD953" s="11">
        <v>4</v>
      </c>
      <c r="AE953" s="11" t="s">
        <v>2240</v>
      </c>
      <c r="AF953" s="11" t="s">
        <v>2228</v>
      </c>
      <c r="AG953" s="25"/>
      <c r="AH953" s="11"/>
      <c r="AI953" s="11"/>
      <c r="AJ953" s="11"/>
      <c r="AK953" s="11"/>
      <c r="AL953" s="11"/>
      <c r="AM953" s="11" t="str">
        <f t="shared" si="74"/>
        <v>Needs Improvement</v>
      </c>
      <c r="AN953" s="11" t="str" cm="1">
        <f t="array" ref="AN953">_xlfn.IFS(N953&lt;10000,"Low",N953&lt;30000,"Medium",N953&gt;=30000,"High")</f>
        <v>High</v>
      </c>
      <c r="AO953" s="11" t="str">
        <f t="shared" si="75"/>
        <v>Yes</v>
      </c>
      <c r="AP953" s="11" t="str">
        <f t="shared" si="76"/>
        <v>Yes</v>
      </c>
      <c r="AQ953" s="11">
        <f t="shared" si="77"/>
        <v>0.21730265306122448</v>
      </c>
      <c r="AR953" s="33"/>
      <c r="AS953" s="33"/>
      <c r="AT953" s="33"/>
      <c r="AU953" s="33"/>
      <c r="AV953" s="33"/>
      <c r="AW953" s="33"/>
      <c r="AX953" s="33" t="str">
        <f t="shared" si="78"/>
        <v>Excellent</v>
      </c>
    </row>
    <row r="954" spans="1:50">
      <c r="A954" s="9" t="s">
        <v>329</v>
      </c>
      <c r="B954" s="10" t="s">
        <v>330</v>
      </c>
      <c r="C954" s="11" t="s">
        <v>331</v>
      </c>
      <c r="D954" s="11" t="s">
        <v>332</v>
      </c>
      <c r="E954" s="11" t="s">
        <v>103</v>
      </c>
      <c r="F954" s="11" t="s">
        <v>156</v>
      </c>
      <c r="G954" s="11" t="s">
        <v>157</v>
      </c>
      <c r="H954" s="11" t="s">
        <v>38</v>
      </c>
      <c r="I954" s="11" t="s">
        <v>95</v>
      </c>
      <c r="J954" s="11" t="s">
        <v>319</v>
      </c>
      <c r="K954" s="25">
        <v>9</v>
      </c>
      <c r="L954" s="25">
        <v>9000</v>
      </c>
      <c r="M954" s="29">
        <v>0.2</v>
      </c>
      <c r="N954" s="25">
        <v>64800</v>
      </c>
      <c r="O954" s="25">
        <v>38703.01</v>
      </c>
      <c r="P954" s="25">
        <v>26096.99</v>
      </c>
      <c r="Q954" s="21">
        <v>40.270000000000003</v>
      </c>
      <c r="R954" s="11" t="s">
        <v>166</v>
      </c>
      <c r="S954" s="11" t="s">
        <v>42</v>
      </c>
      <c r="T954" s="11" t="s">
        <v>118</v>
      </c>
      <c r="U954" s="11" t="s">
        <v>198</v>
      </c>
      <c r="V954" s="11">
        <v>2025</v>
      </c>
      <c r="W954" s="11" t="s">
        <v>65</v>
      </c>
      <c r="X954" s="11">
        <v>3</v>
      </c>
      <c r="Y954" s="10">
        <v>45700</v>
      </c>
      <c r="Z954" s="11" t="s">
        <v>47</v>
      </c>
      <c r="AA954" s="11" t="s">
        <v>90</v>
      </c>
      <c r="AB954" s="11" t="s">
        <v>78</v>
      </c>
      <c r="AC954" s="11" t="s">
        <v>50</v>
      </c>
      <c r="AD954" s="11">
        <v>4</v>
      </c>
      <c r="AE954" s="11" t="s">
        <v>118</v>
      </c>
      <c r="AF954" s="11" t="s">
        <v>2249</v>
      </c>
      <c r="AG954" s="25"/>
      <c r="AH954" s="11"/>
      <c r="AI954" s="11"/>
      <c r="AJ954" s="11"/>
      <c r="AK954" s="11"/>
      <c r="AL954" s="11"/>
      <c r="AM954" s="11" t="str">
        <f t="shared" si="74"/>
        <v>Good</v>
      </c>
      <c r="AN954" s="11" t="str" cm="1">
        <f t="array" ref="AN954">_xlfn.IFS(N954&lt;10000,"Low",N954&lt;30000,"Medium",N954&gt;=30000,"High")</f>
        <v>High</v>
      </c>
      <c r="AO954" s="11" t="str">
        <f t="shared" si="75"/>
        <v>Yes</v>
      </c>
      <c r="AP954" s="11" t="str">
        <f t="shared" si="76"/>
        <v>Yes</v>
      </c>
      <c r="AQ954" s="11">
        <f t="shared" si="77"/>
        <v>0.40273132716049387</v>
      </c>
      <c r="AR954" s="33"/>
      <c r="AS954" s="33"/>
      <c r="AT954" s="33"/>
      <c r="AU954" s="33"/>
      <c r="AV954" s="33"/>
      <c r="AW954" s="33"/>
      <c r="AX954" s="33" t="str">
        <f t="shared" si="78"/>
        <v>Excellent</v>
      </c>
    </row>
    <row r="955" spans="1:50">
      <c r="A955" s="9" t="s">
        <v>1777</v>
      </c>
      <c r="B955" s="10" t="s">
        <v>598</v>
      </c>
      <c r="C955" s="11" t="s">
        <v>1254</v>
      </c>
      <c r="D955" s="11" t="s">
        <v>743</v>
      </c>
      <c r="E955" s="11" t="s">
        <v>55</v>
      </c>
      <c r="F955" s="11" t="s">
        <v>116</v>
      </c>
      <c r="G955" s="11" t="s">
        <v>37</v>
      </c>
      <c r="H955" s="11" t="s">
        <v>58</v>
      </c>
      <c r="I955" s="11" t="s">
        <v>95</v>
      </c>
      <c r="J955" s="11" t="s">
        <v>440</v>
      </c>
      <c r="K955" s="25">
        <v>5</v>
      </c>
      <c r="L955" s="25">
        <v>4000</v>
      </c>
      <c r="M955" s="29">
        <v>0.05</v>
      </c>
      <c r="N955" s="25">
        <v>19000</v>
      </c>
      <c r="O955" s="25">
        <v>14952.28</v>
      </c>
      <c r="P955" s="25">
        <v>4047.72</v>
      </c>
      <c r="Q955" s="21">
        <v>21.3</v>
      </c>
      <c r="R955" s="11" t="s">
        <v>166</v>
      </c>
      <c r="S955" s="11" t="s">
        <v>42</v>
      </c>
      <c r="T955" s="11" t="s">
        <v>86</v>
      </c>
      <c r="U955" s="11" t="s">
        <v>64</v>
      </c>
      <c r="V955" s="11">
        <v>2024</v>
      </c>
      <c r="W955" s="11" t="s">
        <v>45</v>
      </c>
      <c r="X955" s="11">
        <v>1</v>
      </c>
      <c r="Y955" s="10" t="s">
        <v>1086</v>
      </c>
      <c r="Z955" s="11" t="s">
        <v>47</v>
      </c>
      <c r="AA955" s="11" t="s">
        <v>67</v>
      </c>
      <c r="AB955" s="11" t="s">
        <v>49</v>
      </c>
      <c r="AC955" s="11" t="s">
        <v>50</v>
      </c>
      <c r="AD955" s="11">
        <v>4</v>
      </c>
      <c r="AE955" s="11" t="s">
        <v>2209</v>
      </c>
      <c r="AF955" s="11" t="s">
        <v>2217</v>
      </c>
      <c r="AG955" s="25"/>
      <c r="AH955" s="11"/>
      <c r="AI955" s="11"/>
      <c r="AJ955" s="11"/>
      <c r="AK955" s="11"/>
      <c r="AL955" s="11"/>
      <c r="AM955" s="11" t="str">
        <f t="shared" si="74"/>
        <v>Needs Improvement</v>
      </c>
      <c r="AN955" s="11" t="str" cm="1">
        <f t="array" ref="AN955">_xlfn.IFS(N955&lt;10000,"Low",N955&lt;30000,"Medium",N955&gt;=30000,"High")</f>
        <v>Medium</v>
      </c>
      <c r="AO955" s="11" t="str">
        <f t="shared" si="75"/>
        <v>No</v>
      </c>
      <c r="AP955" s="11" t="str">
        <f t="shared" si="76"/>
        <v>Yes</v>
      </c>
      <c r="AQ955" s="11">
        <f t="shared" si="77"/>
        <v>0.21303789473684209</v>
      </c>
      <c r="AR955" s="33"/>
      <c r="AS955" s="33"/>
      <c r="AT955" s="33"/>
      <c r="AU955" s="33"/>
      <c r="AV955" s="33"/>
      <c r="AW955" s="33"/>
      <c r="AX955" s="33" t="str">
        <f t="shared" si="78"/>
        <v>Low</v>
      </c>
    </row>
    <row r="956" spans="1:50">
      <c r="A956" s="9" t="s">
        <v>1107</v>
      </c>
      <c r="B956" s="10" t="s">
        <v>1108</v>
      </c>
      <c r="C956" s="11" t="s">
        <v>665</v>
      </c>
      <c r="D956" s="11" t="s">
        <v>617</v>
      </c>
      <c r="E956" s="11" t="s">
        <v>103</v>
      </c>
      <c r="F956" s="11" t="s">
        <v>144</v>
      </c>
      <c r="G956" s="11" t="s">
        <v>145</v>
      </c>
      <c r="H956" s="11" t="s">
        <v>58</v>
      </c>
      <c r="I956" s="11" t="s">
        <v>84</v>
      </c>
      <c r="J956" s="11" t="s">
        <v>217</v>
      </c>
      <c r="K956" s="25">
        <v>4</v>
      </c>
      <c r="L956" s="25">
        <v>200</v>
      </c>
      <c r="M956" s="29">
        <v>0</v>
      </c>
      <c r="N956" s="25">
        <v>800</v>
      </c>
      <c r="O956" s="25">
        <v>464.69</v>
      </c>
      <c r="P956" s="25">
        <v>335.31</v>
      </c>
      <c r="Q956" s="21">
        <v>41.91</v>
      </c>
      <c r="R956" s="11" t="s">
        <v>166</v>
      </c>
      <c r="S956" s="11" t="s">
        <v>74</v>
      </c>
      <c r="T956" s="11" t="s">
        <v>159</v>
      </c>
      <c r="U956" s="11" t="s">
        <v>64</v>
      </c>
      <c r="V956" s="11">
        <v>2025</v>
      </c>
      <c r="W956" s="11" t="s">
        <v>126</v>
      </c>
      <c r="X956" s="11">
        <v>10</v>
      </c>
      <c r="Y956" s="10">
        <v>46235</v>
      </c>
      <c r="Z956" s="11" t="s">
        <v>110</v>
      </c>
      <c r="AA956" s="11" t="s">
        <v>67</v>
      </c>
      <c r="AB956" s="11" t="s">
        <v>49</v>
      </c>
      <c r="AC956" s="11" t="s">
        <v>121</v>
      </c>
      <c r="AD956" s="11">
        <v>5</v>
      </c>
      <c r="AE956" s="11" t="s">
        <v>2239</v>
      </c>
      <c r="AF956" s="11" t="s">
        <v>2236</v>
      </c>
      <c r="AG956" s="25"/>
      <c r="AH956" s="11"/>
      <c r="AI956" s="11"/>
      <c r="AJ956" s="11"/>
      <c r="AK956" s="11"/>
      <c r="AL956" s="11"/>
      <c r="AM956" s="11" t="str">
        <f t="shared" si="74"/>
        <v>Good</v>
      </c>
      <c r="AN956" s="11" t="str" cm="1">
        <f t="array" ref="AN956">_xlfn.IFS(N956&lt;10000,"Low",N956&lt;30000,"Medium",N956&gt;=30000,"High")</f>
        <v>Low</v>
      </c>
      <c r="AO956" s="11" t="str">
        <f t="shared" si="75"/>
        <v>No</v>
      </c>
      <c r="AP956" s="11" t="str">
        <f t="shared" si="76"/>
        <v>Yes</v>
      </c>
      <c r="AQ956" s="11">
        <f t="shared" si="77"/>
        <v>0.4191375</v>
      </c>
      <c r="AR956" s="33"/>
      <c r="AS956" s="33"/>
      <c r="AT956" s="33"/>
      <c r="AU956" s="33"/>
      <c r="AV956" s="33"/>
      <c r="AW956" s="33"/>
      <c r="AX956" s="33" t="str">
        <f t="shared" si="78"/>
        <v>Low</v>
      </c>
    </row>
    <row r="957" spans="1:50">
      <c r="A957" s="9" t="s">
        <v>2010</v>
      </c>
      <c r="B957" s="10" t="s">
        <v>1108</v>
      </c>
      <c r="C957" s="11" t="s">
        <v>204</v>
      </c>
      <c r="D957" s="11" t="s">
        <v>459</v>
      </c>
      <c r="E957" s="11" t="s">
        <v>103</v>
      </c>
      <c r="F957" s="11" t="s">
        <v>156</v>
      </c>
      <c r="G957" s="11" t="s">
        <v>157</v>
      </c>
      <c r="H957" s="11" t="s">
        <v>38</v>
      </c>
      <c r="I957" s="11" t="s">
        <v>95</v>
      </c>
      <c r="J957" s="11" t="s">
        <v>319</v>
      </c>
      <c r="K957" s="25">
        <v>2</v>
      </c>
      <c r="L957" s="25">
        <v>2500</v>
      </c>
      <c r="M957" s="29">
        <v>0</v>
      </c>
      <c r="N957" s="25">
        <v>5000</v>
      </c>
      <c r="O957" s="25">
        <v>3460.39</v>
      </c>
      <c r="P957" s="25">
        <v>1539.61</v>
      </c>
      <c r="Q957" s="21">
        <v>30.79</v>
      </c>
      <c r="R957" s="11" t="s">
        <v>73</v>
      </c>
      <c r="S957" s="11" t="s">
        <v>42</v>
      </c>
      <c r="T957" s="11" t="s">
        <v>173</v>
      </c>
      <c r="U957" s="11" t="s">
        <v>64</v>
      </c>
      <c r="V957" s="11">
        <v>2025</v>
      </c>
      <c r="W957" s="11" t="s">
        <v>126</v>
      </c>
      <c r="X957" s="11">
        <v>10</v>
      </c>
      <c r="Y957" s="10">
        <v>46235</v>
      </c>
      <c r="Z957" s="11" t="s">
        <v>110</v>
      </c>
      <c r="AA957" s="11" t="s">
        <v>48</v>
      </c>
      <c r="AB957" s="11" t="s">
        <v>111</v>
      </c>
      <c r="AC957" s="11" t="s">
        <v>121</v>
      </c>
      <c r="AD957" s="11">
        <v>4</v>
      </c>
      <c r="AE957" s="11" t="s">
        <v>2240</v>
      </c>
      <c r="AF957" s="11" t="s">
        <v>2231</v>
      </c>
      <c r="AG957" s="25"/>
      <c r="AH957" s="11"/>
      <c r="AI957" s="11"/>
      <c r="AJ957" s="11"/>
      <c r="AK957" s="11"/>
      <c r="AL957" s="11"/>
      <c r="AM957" s="11" t="str">
        <f t="shared" si="74"/>
        <v>Good</v>
      </c>
      <c r="AN957" s="11" t="str" cm="1">
        <f t="array" ref="AN957">_xlfn.IFS(N957&lt;10000,"Low",N957&lt;30000,"Medium",N957&gt;=30000,"High")</f>
        <v>Low</v>
      </c>
      <c r="AO957" s="11" t="str">
        <f t="shared" si="75"/>
        <v>No</v>
      </c>
      <c r="AP957" s="11" t="str">
        <f t="shared" si="76"/>
        <v>Yes</v>
      </c>
      <c r="AQ957" s="11">
        <f t="shared" si="77"/>
        <v>0.30792199999999997</v>
      </c>
      <c r="AR957" s="33"/>
      <c r="AS957" s="33"/>
      <c r="AT957" s="33"/>
      <c r="AU957" s="33"/>
      <c r="AV957" s="33"/>
      <c r="AW957" s="33"/>
      <c r="AX957" s="33" t="str">
        <f t="shared" si="78"/>
        <v>Low</v>
      </c>
    </row>
    <row r="958" spans="1:50">
      <c r="A958" s="9" t="s">
        <v>644</v>
      </c>
      <c r="B958" s="10" t="s">
        <v>340</v>
      </c>
      <c r="C958" s="11" t="s">
        <v>645</v>
      </c>
      <c r="D958" s="11" t="s">
        <v>646</v>
      </c>
      <c r="E958" s="11" t="s">
        <v>103</v>
      </c>
      <c r="F958" s="11" t="s">
        <v>149</v>
      </c>
      <c r="G958" s="11" t="s">
        <v>150</v>
      </c>
      <c r="H958" s="11" t="s">
        <v>38</v>
      </c>
      <c r="I958" s="11" t="s">
        <v>71</v>
      </c>
      <c r="J958" s="11" t="s">
        <v>117</v>
      </c>
      <c r="K958" s="25">
        <v>3</v>
      </c>
      <c r="L958" s="25">
        <v>2500</v>
      </c>
      <c r="M958" s="29">
        <v>0.15</v>
      </c>
      <c r="N958" s="25">
        <v>6375</v>
      </c>
      <c r="O958" s="25">
        <v>4280.08</v>
      </c>
      <c r="P958" s="25">
        <v>2094.92</v>
      </c>
      <c r="Q958" s="21">
        <v>32.86</v>
      </c>
      <c r="R958" s="11" t="s">
        <v>73</v>
      </c>
      <c r="S958" s="11" t="s">
        <v>62</v>
      </c>
      <c r="T958" s="11" t="s">
        <v>173</v>
      </c>
      <c r="U958" s="11" t="s">
        <v>76</v>
      </c>
      <c r="V958" s="11">
        <v>2024</v>
      </c>
      <c r="W958" s="11" t="s">
        <v>109</v>
      </c>
      <c r="X958" s="11">
        <v>10</v>
      </c>
      <c r="Y958" s="10">
        <v>45537</v>
      </c>
      <c r="Z958" s="11" t="s">
        <v>47</v>
      </c>
      <c r="AA958" s="11" t="s">
        <v>48</v>
      </c>
      <c r="AB958" s="11" t="s">
        <v>49</v>
      </c>
      <c r="AC958" s="11" t="s">
        <v>121</v>
      </c>
      <c r="AD958" s="11">
        <v>3</v>
      </c>
      <c r="AE958" s="11" t="s">
        <v>118</v>
      </c>
      <c r="AF958" s="11" t="s">
        <v>2231</v>
      </c>
      <c r="AG958" s="25"/>
      <c r="AH958" s="11"/>
      <c r="AI958" s="11"/>
      <c r="AJ958" s="11"/>
      <c r="AK958" s="11"/>
      <c r="AL958" s="11"/>
      <c r="AM958" s="11" t="str">
        <f t="shared" si="74"/>
        <v>Good</v>
      </c>
      <c r="AN958" s="11" t="str" cm="1">
        <f t="array" ref="AN958">_xlfn.IFS(N958&lt;10000,"Low",N958&lt;30000,"Medium",N958&gt;=30000,"High")</f>
        <v>Low</v>
      </c>
      <c r="AO958" s="11" t="str">
        <f t="shared" si="75"/>
        <v>No</v>
      </c>
      <c r="AP958" s="11" t="str">
        <f t="shared" si="76"/>
        <v>No</v>
      </c>
      <c r="AQ958" s="11">
        <f t="shared" si="77"/>
        <v>0.3286149019607843</v>
      </c>
      <c r="AR958" s="33"/>
      <c r="AS958" s="33"/>
      <c r="AT958" s="33"/>
      <c r="AU958" s="33"/>
      <c r="AV958" s="33"/>
      <c r="AW958" s="33"/>
      <c r="AX958" s="33" t="str">
        <f t="shared" si="78"/>
        <v>Low</v>
      </c>
    </row>
    <row r="959" spans="1:50">
      <c r="A959" s="9" t="s">
        <v>1206</v>
      </c>
      <c r="B959" s="10" t="s">
        <v>340</v>
      </c>
      <c r="C959" s="11" t="s">
        <v>1183</v>
      </c>
      <c r="D959" s="11" t="s">
        <v>339</v>
      </c>
      <c r="E959" s="11" t="s">
        <v>55</v>
      </c>
      <c r="F959" s="11" t="s">
        <v>36</v>
      </c>
      <c r="G959" s="11" t="s">
        <v>37</v>
      </c>
      <c r="H959" s="11" t="s">
        <v>94</v>
      </c>
      <c r="I959" s="11" t="s">
        <v>84</v>
      </c>
      <c r="J959" s="11" t="s">
        <v>290</v>
      </c>
      <c r="K959" s="25">
        <v>3</v>
      </c>
      <c r="L959" s="25">
        <v>500</v>
      </c>
      <c r="M959" s="29">
        <v>0.05</v>
      </c>
      <c r="N959" s="25">
        <v>1425</v>
      </c>
      <c r="O959" s="25">
        <v>973.45</v>
      </c>
      <c r="P959" s="25">
        <v>451.55</v>
      </c>
      <c r="Q959" s="21">
        <v>31.69</v>
      </c>
      <c r="R959" s="11" t="s">
        <v>41</v>
      </c>
      <c r="S959" s="11" t="s">
        <v>62</v>
      </c>
      <c r="T959" s="11" t="s">
        <v>159</v>
      </c>
      <c r="U959" s="11" t="s">
        <v>76</v>
      </c>
      <c r="V959" s="11">
        <v>2024</v>
      </c>
      <c r="W959" s="11" t="s">
        <v>109</v>
      </c>
      <c r="X959" s="11">
        <v>2</v>
      </c>
      <c r="Y959" s="10">
        <v>45293</v>
      </c>
      <c r="Z959" s="11" t="s">
        <v>47</v>
      </c>
      <c r="AA959" s="11" t="s">
        <v>48</v>
      </c>
      <c r="AB959" s="11" t="s">
        <v>111</v>
      </c>
      <c r="AC959" s="11" t="s">
        <v>50</v>
      </c>
      <c r="AD959" s="11">
        <v>1</v>
      </c>
      <c r="AE959" s="11" t="s">
        <v>2234</v>
      </c>
      <c r="AF959" s="11" t="s">
        <v>2214</v>
      </c>
      <c r="AG959" s="25"/>
      <c r="AH959" s="11"/>
      <c r="AI959" s="11"/>
      <c r="AJ959" s="11"/>
      <c r="AK959" s="11"/>
      <c r="AL959" s="11"/>
      <c r="AM959" s="11" t="str">
        <f t="shared" si="74"/>
        <v>Good</v>
      </c>
      <c r="AN959" s="11" t="str" cm="1">
        <f t="array" ref="AN959">_xlfn.IFS(N959&lt;10000,"Low",N959&lt;30000,"Medium",N959&gt;=30000,"High")</f>
        <v>Low</v>
      </c>
      <c r="AO959" s="11" t="str">
        <f t="shared" si="75"/>
        <v>No</v>
      </c>
      <c r="AP959" s="11" t="str">
        <f t="shared" si="76"/>
        <v>No</v>
      </c>
      <c r="AQ959" s="11">
        <f t="shared" si="77"/>
        <v>0.31687719298245615</v>
      </c>
      <c r="AR959" s="33"/>
      <c r="AS959" s="33"/>
      <c r="AT959" s="33"/>
      <c r="AU959" s="33"/>
      <c r="AV959" s="33"/>
      <c r="AW959" s="33"/>
      <c r="AX959" s="33" t="str">
        <f t="shared" si="78"/>
        <v>Low</v>
      </c>
    </row>
    <row r="960" spans="1:50">
      <c r="A960" s="9" t="s">
        <v>1856</v>
      </c>
      <c r="B960" s="10" t="s">
        <v>1188</v>
      </c>
      <c r="C960" s="11" t="s">
        <v>1736</v>
      </c>
      <c r="D960" s="11" t="s">
        <v>890</v>
      </c>
      <c r="E960" s="11" t="s">
        <v>35</v>
      </c>
      <c r="F960" s="11" t="s">
        <v>245</v>
      </c>
      <c r="G960" s="11" t="s">
        <v>246</v>
      </c>
      <c r="H960" s="11" t="s">
        <v>94</v>
      </c>
      <c r="I960" s="11" t="s">
        <v>84</v>
      </c>
      <c r="J960" s="11" t="s">
        <v>390</v>
      </c>
      <c r="K960" s="25">
        <v>3</v>
      </c>
      <c r="L960" s="25">
        <v>800</v>
      </c>
      <c r="M960" s="29">
        <v>0.05</v>
      </c>
      <c r="N960" s="25">
        <v>2280</v>
      </c>
      <c r="O960" s="25">
        <v>1699.14</v>
      </c>
      <c r="P960" s="25">
        <v>580.86</v>
      </c>
      <c r="Q960" s="21">
        <v>25.48</v>
      </c>
      <c r="R960" s="11" t="s">
        <v>61</v>
      </c>
      <c r="S960" s="11" t="s">
        <v>42</v>
      </c>
      <c r="T960" s="11" t="s">
        <v>173</v>
      </c>
      <c r="U960" s="11" t="s">
        <v>178</v>
      </c>
      <c r="V960" s="11">
        <v>2024</v>
      </c>
      <c r="W960" s="11" t="s">
        <v>65</v>
      </c>
      <c r="X960" s="11">
        <v>2</v>
      </c>
      <c r="Y960" s="10">
        <v>45295</v>
      </c>
      <c r="Z960" s="11" t="s">
        <v>47</v>
      </c>
      <c r="AA960" s="11" t="s">
        <v>48</v>
      </c>
      <c r="AB960" s="11" t="s">
        <v>49</v>
      </c>
      <c r="AC960" s="11" t="s">
        <v>121</v>
      </c>
      <c r="AD960" s="11">
        <v>2</v>
      </c>
      <c r="AE960" s="11" t="s">
        <v>2234</v>
      </c>
      <c r="AF960" s="11" t="s">
        <v>2224</v>
      </c>
      <c r="AG960" s="25"/>
      <c r="AH960" s="11"/>
      <c r="AI960" s="11"/>
      <c r="AJ960" s="11"/>
      <c r="AK960" s="11"/>
      <c r="AL960" s="11"/>
      <c r="AM960" s="11" t="str">
        <f t="shared" si="74"/>
        <v>Needs Improvement</v>
      </c>
      <c r="AN960" s="11" t="str" cm="1">
        <f t="array" ref="AN960">_xlfn.IFS(N960&lt;10000,"Low",N960&lt;30000,"Medium",N960&gt;=30000,"High")</f>
        <v>Low</v>
      </c>
      <c r="AO960" s="11" t="str">
        <f t="shared" si="75"/>
        <v>No</v>
      </c>
      <c r="AP960" s="11" t="str">
        <f t="shared" si="76"/>
        <v>Yes</v>
      </c>
      <c r="AQ960" s="11">
        <f t="shared" si="77"/>
        <v>0.25476315789473686</v>
      </c>
      <c r="AR960" s="33"/>
      <c r="AS960" s="33"/>
      <c r="AT960" s="33"/>
      <c r="AU960" s="33"/>
      <c r="AV960" s="33"/>
      <c r="AW960" s="33"/>
      <c r="AX960" s="33" t="str">
        <f t="shared" si="78"/>
        <v>Low</v>
      </c>
    </row>
    <row r="961" spans="1:50">
      <c r="A961" s="9" t="s">
        <v>358</v>
      </c>
      <c r="B961" s="10" t="s">
        <v>359</v>
      </c>
      <c r="C961" s="11" t="s">
        <v>360</v>
      </c>
      <c r="D961" s="11" t="s">
        <v>361</v>
      </c>
      <c r="E961" s="11" t="s">
        <v>103</v>
      </c>
      <c r="F961" s="11" t="s">
        <v>144</v>
      </c>
      <c r="G961" s="11" t="s">
        <v>145</v>
      </c>
      <c r="H961" s="11" t="s">
        <v>171</v>
      </c>
      <c r="I961" s="11" t="s">
        <v>71</v>
      </c>
      <c r="J961" s="11" t="s">
        <v>240</v>
      </c>
      <c r="K961" s="25">
        <v>1</v>
      </c>
      <c r="L961" s="25">
        <v>1800</v>
      </c>
      <c r="M961" s="29">
        <v>0.05</v>
      </c>
      <c r="N961" s="25">
        <v>1710</v>
      </c>
      <c r="O961" s="25">
        <v>1335.46</v>
      </c>
      <c r="P961" s="25">
        <v>374.54</v>
      </c>
      <c r="Q961" s="21">
        <v>21.9</v>
      </c>
      <c r="R961" s="11" t="s">
        <v>106</v>
      </c>
      <c r="S961" s="11" t="s">
        <v>62</v>
      </c>
      <c r="T961" s="11" t="s">
        <v>159</v>
      </c>
      <c r="U961" s="11" t="s">
        <v>178</v>
      </c>
      <c r="V961" s="11">
        <v>2025</v>
      </c>
      <c r="W961" s="11" t="s">
        <v>45</v>
      </c>
      <c r="X961" s="11">
        <v>8</v>
      </c>
      <c r="Y961" s="10">
        <v>45842</v>
      </c>
      <c r="Z961" s="11" t="s">
        <v>47</v>
      </c>
      <c r="AA961" s="11" t="s">
        <v>90</v>
      </c>
      <c r="AB961" s="11" t="s">
        <v>49</v>
      </c>
      <c r="AC961" s="11" t="s">
        <v>50</v>
      </c>
      <c r="AD961" s="11">
        <v>1</v>
      </c>
      <c r="AE961" s="11" t="s">
        <v>159</v>
      </c>
      <c r="AF961" s="11" t="s">
        <v>2210</v>
      </c>
      <c r="AG961" s="25"/>
      <c r="AH961" s="11"/>
      <c r="AI961" s="11"/>
      <c r="AJ961" s="11"/>
      <c r="AK961" s="11"/>
      <c r="AL961" s="11"/>
      <c r="AM961" s="11" t="str">
        <f t="shared" si="74"/>
        <v>Needs Improvement</v>
      </c>
      <c r="AN961" s="11" t="str" cm="1">
        <f t="array" ref="AN961">_xlfn.IFS(N961&lt;10000,"Low",N961&lt;30000,"Medium",N961&gt;=30000,"High")</f>
        <v>Low</v>
      </c>
      <c r="AO961" s="11" t="str">
        <f t="shared" si="75"/>
        <v>No</v>
      </c>
      <c r="AP961" s="11" t="str">
        <f t="shared" si="76"/>
        <v>No</v>
      </c>
      <c r="AQ961" s="11">
        <f t="shared" si="77"/>
        <v>0.21902923976608188</v>
      </c>
      <c r="AR961" s="33"/>
      <c r="AS961" s="33"/>
      <c r="AT961" s="33"/>
      <c r="AU961" s="33"/>
      <c r="AV961" s="33"/>
      <c r="AW961" s="33"/>
      <c r="AX961" s="33" t="str">
        <f t="shared" si="78"/>
        <v>Low</v>
      </c>
    </row>
    <row r="962" spans="1:50">
      <c r="A962" s="9" t="s">
        <v>1189</v>
      </c>
      <c r="B962" s="10" t="s">
        <v>359</v>
      </c>
      <c r="C962" s="11" t="s">
        <v>989</v>
      </c>
      <c r="D962" s="11" t="s">
        <v>963</v>
      </c>
      <c r="E962" s="11" t="s">
        <v>103</v>
      </c>
      <c r="F962" s="11" t="s">
        <v>156</v>
      </c>
      <c r="G962" s="11" t="s">
        <v>157</v>
      </c>
      <c r="H962" s="11" t="s">
        <v>171</v>
      </c>
      <c r="I962" s="11" t="s">
        <v>59</v>
      </c>
      <c r="J962" s="11" t="s">
        <v>206</v>
      </c>
      <c r="K962" s="25">
        <v>8</v>
      </c>
      <c r="L962" s="25">
        <v>1200</v>
      </c>
      <c r="M962" s="29">
        <v>0.15</v>
      </c>
      <c r="N962" s="25">
        <v>8160</v>
      </c>
      <c r="O962" s="25">
        <v>4904.54</v>
      </c>
      <c r="P962" s="25">
        <v>3255.46</v>
      </c>
      <c r="Q962" s="21">
        <v>39.9</v>
      </c>
      <c r="R962" s="11" t="s">
        <v>166</v>
      </c>
      <c r="S962" s="11" t="s">
        <v>42</v>
      </c>
      <c r="T962" s="11" t="s">
        <v>97</v>
      </c>
      <c r="U962" s="11" t="s">
        <v>178</v>
      </c>
      <c r="V962" s="11">
        <v>2025</v>
      </c>
      <c r="W962" s="11" t="s">
        <v>45</v>
      </c>
      <c r="X962" s="11">
        <v>1</v>
      </c>
      <c r="Y962" s="10" t="s">
        <v>1190</v>
      </c>
      <c r="Z962" s="11" t="s">
        <v>47</v>
      </c>
      <c r="AA962" s="11" t="s">
        <v>48</v>
      </c>
      <c r="AB962" s="11" t="s">
        <v>111</v>
      </c>
      <c r="AC962" s="11" t="s">
        <v>50</v>
      </c>
      <c r="AD962" s="11">
        <v>4</v>
      </c>
      <c r="AE962" s="11" t="s">
        <v>2213</v>
      </c>
      <c r="AF962" s="11" t="s">
        <v>2217</v>
      </c>
      <c r="AG962" s="25"/>
      <c r="AH962" s="11"/>
      <c r="AI962" s="11"/>
      <c r="AJ962" s="11"/>
      <c r="AK962" s="11"/>
      <c r="AL962" s="11"/>
      <c r="AM962" s="11" t="str">
        <f t="shared" ref="AM962:AM1001" si="79">IF(Q962&gt;=30,"Good","Needs Improvement")</f>
        <v>Good</v>
      </c>
      <c r="AN962" s="11" t="str" cm="1">
        <f t="array" ref="AN962">_xlfn.IFS(N962&lt;10000,"Low",N962&lt;30000,"Medium",N962&gt;=30000,"High")</f>
        <v>Low</v>
      </c>
      <c r="AO962" s="11" t="str">
        <f t="shared" ref="AO962:AO1001" si="80">IF(AND(N962&gt;=30000,P962&gt;=10000),"Yes","No")</f>
        <v>No</v>
      </c>
      <c r="AP962" s="11" t="str">
        <f t="shared" ref="AP962:AP1001" si="81">IF(OR(S962="Online",S962="Marketplace"),"Yes","No")</f>
        <v>Yes</v>
      </c>
      <c r="AQ962" s="11">
        <f t="shared" ref="AQ962:AQ1001" si="82">IFERROR(P962/N962,"No Error")</f>
        <v>0.39895343137254902</v>
      </c>
      <c r="AR962" s="33"/>
      <c r="AS962" s="33"/>
      <c r="AT962" s="33"/>
      <c r="AU962" s="33"/>
      <c r="AV962" s="33"/>
      <c r="AW962" s="33"/>
      <c r="AX962" s="33" t="str">
        <f t="shared" ref="AX962:AX1001" si="83">IF(P962&gt;=20000,"Excellent",IF(P962&gt;=10000,"Good",IF(P962&gt;=5000,"Average","Low")))</f>
        <v>Low</v>
      </c>
    </row>
    <row r="963" spans="1:50">
      <c r="A963" s="9" t="s">
        <v>2109</v>
      </c>
      <c r="B963" s="10" t="s">
        <v>359</v>
      </c>
      <c r="C963" s="11" t="s">
        <v>2110</v>
      </c>
      <c r="D963" s="11" t="s">
        <v>1424</v>
      </c>
      <c r="E963" s="11" t="s">
        <v>35</v>
      </c>
      <c r="F963" s="11" t="s">
        <v>116</v>
      </c>
      <c r="G963" s="11" t="s">
        <v>37</v>
      </c>
      <c r="H963" s="11" t="s">
        <v>171</v>
      </c>
      <c r="I963" s="11" t="s">
        <v>71</v>
      </c>
      <c r="J963" s="11" t="s">
        <v>172</v>
      </c>
      <c r="K963" s="25">
        <v>5</v>
      </c>
      <c r="L963" s="25">
        <v>1200</v>
      </c>
      <c r="M963" s="29">
        <v>0</v>
      </c>
      <c r="N963" s="25">
        <v>6000</v>
      </c>
      <c r="O963" s="25">
        <v>4208.55</v>
      </c>
      <c r="P963" s="25">
        <v>1791.45</v>
      </c>
      <c r="Q963" s="21">
        <v>29.86</v>
      </c>
      <c r="R963" s="11" t="s">
        <v>41</v>
      </c>
      <c r="S963" s="11" t="s">
        <v>74</v>
      </c>
      <c r="T963" s="11" t="s">
        <v>75</v>
      </c>
      <c r="U963" s="11" t="s">
        <v>178</v>
      </c>
      <c r="V963" s="11">
        <v>2025</v>
      </c>
      <c r="W963" s="11" t="s">
        <v>45</v>
      </c>
      <c r="X963" s="11">
        <v>1</v>
      </c>
      <c r="Y963" s="10" t="s">
        <v>1190</v>
      </c>
      <c r="Z963" s="11" t="s">
        <v>47</v>
      </c>
      <c r="AA963" s="11" t="s">
        <v>67</v>
      </c>
      <c r="AB963" s="11" t="s">
        <v>111</v>
      </c>
      <c r="AC963" s="11" t="s">
        <v>121</v>
      </c>
      <c r="AD963" s="11">
        <v>1</v>
      </c>
      <c r="AE963" s="11" t="s">
        <v>118</v>
      </c>
      <c r="AF963" s="11" t="s">
        <v>2222</v>
      </c>
      <c r="AG963" s="25"/>
      <c r="AH963" s="11"/>
      <c r="AI963" s="11"/>
      <c r="AJ963" s="11"/>
      <c r="AK963" s="11"/>
      <c r="AL963" s="11"/>
      <c r="AM963" s="11" t="str">
        <f t="shared" si="79"/>
        <v>Needs Improvement</v>
      </c>
      <c r="AN963" s="11" t="str" cm="1">
        <f t="array" ref="AN963">_xlfn.IFS(N963&lt;10000,"Low",N963&lt;30000,"Medium",N963&gt;=30000,"High")</f>
        <v>Low</v>
      </c>
      <c r="AO963" s="11" t="str">
        <f t="shared" si="80"/>
        <v>No</v>
      </c>
      <c r="AP963" s="11" t="str">
        <f t="shared" si="81"/>
        <v>Yes</v>
      </c>
      <c r="AQ963" s="11">
        <f t="shared" si="82"/>
        <v>0.29857500000000003</v>
      </c>
      <c r="AR963" s="33"/>
      <c r="AS963" s="33"/>
      <c r="AT963" s="33"/>
      <c r="AU963" s="33"/>
      <c r="AV963" s="33"/>
      <c r="AW963" s="33"/>
      <c r="AX963" s="33" t="str">
        <f t="shared" si="83"/>
        <v>Low</v>
      </c>
    </row>
    <row r="964" spans="1:50">
      <c r="A964" s="9" t="s">
        <v>818</v>
      </c>
      <c r="B964" s="10" t="s">
        <v>819</v>
      </c>
      <c r="C964" s="11" t="s">
        <v>749</v>
      </c>
      <c r="D964" s="11" t="s">
        <v>364</v>
      </c>
      <c r="E964" s="11" t="s">
        <v>35</v>
      </c>
      <c r="F964" s="11" t="s">
        <v>144</v>
      </c>
      <c r="G964" s="11" t="s">
        <v>145</v>
      </c>
      <c r="H964" s="11" t="s">
        <v>171</v>
      </c>
      <c r="I964" s="11" t="s">
        <v>95</v>
      </c>
      <c r="J964" s="11" t="s">
        <v>440</v>
      </c>
      <c r="K964" s="25">
        <v>2</v>
      </c>
      <c r="L964" s="25">
        <v>15000</v>
      </c>
      <c r="M964" s="29">
        <v>0.2</v>
      </c>
      <c r="N964" s="25">
        <v>24000</v>
      </c>
      <c r="O964" s="25">
        <v>18285.25</v>
      </c>
      <c r="P964" s="25">
        <v>5714.75</v>
      </c>
      <c r="Q964" s="21">
        <v>23.81</v>
      </c>
      <c r="R964" s="11" t="s">
        <v>41</v>
      </c>
      <c r="S964" s="11" t="s">
        <v>74</v>
      </c>
      <c r="T964" s="11" t="s">
        <v>97</v>
      </c>
      <c r="U964" s="11" t="s">
        <v>44</v>
      </c>
      <c r="V964" s="11">
        <v>2024</v>
      </c>
      <c r="W964" s="11" t="s">
        <v>109</v>
      </c>
      <c r="X964" s="11">
        <v>5</v>
      </c>
      <c r="Y964" s="10">
        <v>45417</v>
      </c>
      <c r="Z964" s="11" t="s">
        <v>47</v>
      </c>
      <c r="AA964" s="11" t="s">
        <v>48</v>
      </c>
      <c r="AB964" s="11" t="s">
        <v>78</v>
      </c>
      <c r="AC964" s="11" t="s">
        <v>50</v>
      </c>
      <c r="AD964" s="11">
        <v>2</v>
      </c>
      <c r="AE964" s="11" t="s">
        <v>86</v>
      </c>
      <c r="AF964" s="11" t="s">
        <v>2249</v>
      </c>
      <c r="AG964" s="25"/>
      <c r="AH964" s="11"/>
      <c r="AI964" s="11"/>
      <c r="AJ964" s="11"/>
      <c r="AK964" s="11"/>
      <c r="AL964" s="11"/>
      <c r="AM964" s="11" t="str">
        <f t="shared" si="79"/>
        <v>Needs Improvement</v>
      </c>
      <c r="AN964" s="11" t="str" cm="1">
        <f t="array" ref="AN964">_xlfn.IFS(N964&lt;10000,"Low",N964&lt;30000,"Medium",N964&gt;=30000,"High")</f>
        <v>Medium</v>
      </c>
      <c r="AO964" s="11" t="str">
        <f t="shared" si="80"/>
        <v>No</v>
      </c>
      <c r="AP964" s="11" t="str">
        <f t="shared" si="81"/>
        <v>Yes</v>
      </c>
      <c r="AQ964" s="11">
        <f t="shared" si="82"/>
        <v>0.23811458333333332</v>
      </c>
      <c r="AR964" s="33"/>
      <c r="AS964" s="33"/>
      <c r="AT964" s="33"/>
      <c r="AU964" s="33"/>
      <c r="AV964" s="33"/>
      <c r="AW964" s="33"/>
      <c r="AX964" s="33" t="str">
        <f t="shared" si="83"/>
        <v>Average</v>
      </c>
    </row>
    <row r="965" spans="1:50">
      <c r="A965" s="9" t="s">
        <v>517</v>
      </c>
      <c r="B965" s="10" t="s">
        <v>518</v>
      </c>
      <c r="C965" s="11" t="s">
        <v>507</v>
      </c>
      <c r="D965" s="11" t="s">
        <v>519</v>
      </c>
      <c r="E965" s="11" t="s">
        <v>103</v>
      </c>
      <c r="F965" s="11" t="s">
        <v>104</v>
      </c>
      <c r="G965" s="11" t="s">
        <v>104</v>
      </c>
      <c r="H965" s="11" t="s">
        <v>171</v>
      </c>
      <c r="I965" s="11" t="s">
        <v>39</v>
      </c>
      <c r="J965" s="11" t="s">
        <v>356</v>
      </c>
      <c r="K965" s="25">
        <v>3</v>
      </c>
      <c r="L965" s="25">
        <v>50000</v>
      </c>
      <c r="M965" s="29">
        <v>0.1</v>
      </c>
      <c r="N965" s="25">
        <v>135000</v>
      </c>
      <c r="O965" s="25">
        <v>79678.89</v>
      </c>
      <c r="P965" s="25">
        <v>55321.11</v>
      </c>
      <c r="Q965" s="21">
        <v>40.98</v>
      </c>
      <c r="R965" s="11" t="s">
        <v>73</v>
      </c>
      <c r="S965" s="11" t="s">
        <v>62</v>
      </c>
      <c r="T965" s="11" t="s">
        <v>63</v>
      </c>
      <c r="U965" s="11" t="s">
        <v>44</v>
      </c>
      <c r="V965" s="11">
        <v>2025</v>
      </c>
      <c r="W965" s="11" t="s">
        <v>134</v>
      </c>
      <c r="X965" s="11">
        <v>9</v>
      </c>
      <c r="Y965" s="10">
        <v>45905</v>
      </c>
      <c r="Z965" s="11" t="s">
        <v>110</v>
      </c>
      <c r="AA965" s="11" t="s">
        <v>48</v>
      </c>
      <c r="AB965" s="11" t="s">
        <v>78</v>
      </c>
      <c r="AC965" s="11" t="s">
        <v>50</v>
      </c>
      <c r="AD965" s="11">
        <v>5</v>
      </c>
      <c r="AE965" s="11" t="s">
        <v>2233</v>
      </c>
      <c r="AF965" s="11" t="s">
        <v>2236</v>
      </c>
      <c r="AG965" s="25"/>
      <c r="AH965" s="11"/>
      <c r="AI965" s="11"/>
      <c r="AJ965" s="11"/>
      <c r="AK965" s="11"/>
      <c r="AL965" s="11"/>
      <c r="AM965" s="11" t="str">
        <f t="shared" si="79"/>
        <v>Good</v>
      </c>
      <c r="AN965" s="11" t="str" cm="1">
        <f t="array" ref="AN965">_xlfn.IFS(N965&lt;10000,"Low",N965&lt;30000,"Medium",N965&gt;=30000,"High")</f>
        <v>High</v>
      </c>
      <c r="AO965" s="11" t="str">
        <f t="shared" si="80"/>
        <v>Yes</v>
      </c>
      <c r="AP965" s="11" t="str">
        <f t="shared" si="81"/>
        <v>No</v>
      </c>
      <c r="AQ965" s="11">
        <f t="shared" si="82"/>
        <v>0.40978599999999998</v>
      </c>
      <c r="AR965" s="33"/>
      <c r="AS965" s="33"/>
      <c r="AT965" s="33"/>
      <c r="AU965" s="33"/>
      <c r="AV965" s="33"/>
      <c r="AW965" s="33"/>
      <c r="AX965" s="33" t="str">
        <f t="shared" si="83"/>
        <v>Excellent</v>
      </c>
    </row>
    <row r="966" spans="1:50">
      <c r="A966" s="9" t="s">
        <v>1765</v>
      </c>
      <c r="B966" s="10" t="s">
        <v>518</v>
      </c>
      <c r="C966" s="11" t="s">
        <v>1485</v>
      </c>
      <c r="D966" s="11" t="s">
        <v>1071</v>
      </c>
      <c r="E966" s="11" t="s">
        <v>55</v>
      </c>
      <c r="F966" s="11" t="s">
        <v>245</v>
      </c>
      <c r="G966" s="11" t="s">
        <v>246</v>
      </c>
      <c r="H966" s="11" t="s">
        <v>94</v>
      </c>
      <c r="I966" s="11" t="s">
        <v>95</v>
      </c>
      <c r="J966" s="11" t="s">
        <v>96</v>
      </c>
      <c r="K966" s="25">
        <v>3</v>
      </c>
      <c r="L966" s="25">
        <v>6000</v>
      </c>
      <c r="M966" s="29">
        <v>0.2</v>
      </c>
      <c r="N966" s="25">
        <v>14400</v>
      </c>
      <c r="O966" s="25">
        <v>10951.69</v>
      </c>
      <c r="P966" s="25">
        <v>3448.31</v>
      </c>
      <c r="Q966" s="21">
        <v>23.95</v>
      </c>
      <c r="R966" s="11" t="s">
        <v>61</v>
      </c>
      <c r="S966" s="11" t="s">
        <v>62</v>
      </c>
      <c r="T966" s="11" t="s">
        <v>118</v>
      </c>
      <c r="U966" s="11" t="s">
        <v>44</v>
      </c>
      <c r="V966" s="11">
        <v>2025</v>
      </c>
      <c r="W966" s="11" t="s">
        <v>134</v>
      </c>
      <c r="X966" s="11">
        <v>10</v>
      </c>
      <c r="Y966" s="10">
        <v>45935</v>
      </c>
      <c r="Z966" s="11" t="s">
        <v>110</v>
      </c>
      <c r="AA966" s="11" t="s">
        <v>67</v>
      </c>
      <c r="AB966" s="11" t="s">
        <v>78</v>
      </c>
      <c r="AC966" s="11" t="s">
        <v>50</v>
      </c>
      <c r="AD966" s="11">
        <v>3</v>
      </c>
      <c r="AE966" s="11" t="s">
        <v>2213</v>
      </c>
      <c r="AF966" s="11" t="s">
        <v>2230</v>
      </c>
      <c r="AG966" s="25"/>
      <c r="AH966" s="11"/>
      <c r="AI966" s="11"/>
      <c r="AJ966" s="11"/>
      <c r="AK966" s="11"/>
      <c r="AL966" s="11"/>
      <c r="AM966" s="11" t="str">
        <f t="shared" si="79"/>
        <v>Needs Improvement</v>
      </c>
      <c r="AN966" s="11" t="str" cm="1">
        <f t="array" ref="AN966">_xlfn.IFS(N966&lt;10000,"Low",N966&lt;30000,"Medium",N966&gt;=30000,"High")</f>
        <v>Medium</v>
      </c>
      <c r="AO966" s="11" t="str">
        <f t="shared" si="80"/>
        <v>No</v>
      </c>
      <c r="AP966" s="11" t="str">
        <f t="shared" si="81"/>
        <v>No</v>
      </c>
      <c r="AQ966" s="11">
        <f t="shared" si="82"/>
        <v>0.23946597222222221</v>
      </c>
      <c r="AR966" s="33"/>
      <c r="AS966" s="33"/>
      <c r="AT966" s="33"/>
      <c r="AU966" s="33"/>
      <c r="AV966" s="33"/>
      <c r="AW966" s="33"/>
      <c r="AX966" s="33" t="str">
        <f t="shared" si="83"/>
        <v>Low</v>
      </c>
    </row>
    <row r="967" spans="1:50">
      <c r="A967" s="9" t="s">
        <v>1696</v>
      </c>
      <c r="B967" s="10" t="s">
        <v>1278</v>
      </c>
      <c r="C967" s="11" t="s">
        <v>938</v>
      </c>
      <c r="D967" s="11" t="s">
        <v>137</v>
      </c>
      <c r="E967" s="11" t="s">
        <v>35</v>
      </c>
      <c r="F967" s="11" t="s">
        <v>245</v>
      </c>
      <c r="G967" s="11" t="s">
        <v>246</v>
      </c>
      <c r="H967" s="11" t="s">
        <v>38</v>
      </c>
      <c r="I967" s="11" t="s">
        <v>39</v>
      </c>
      <c r="J967" s="11" t="s">
        <v>105</v>
      </c>
      <c r="K967" s="25">
        <v>4</v>
      </c>
      <c r="L967" s="25">
        <v>8000</v>
      </c>
      <c r="M967" s="29">
        <v>0.2</v>
      </c>
      <c r="N967" s="25">
        <v>25600</v>
      </c>
      <c r="O967" s="25">
        <v>17366.41</v>
      </c>
      <c r="P967" s="25">
        <v>8233.59</v>
      </c>
      <c r="Q967" s="21">
        <v>32.159999999999997</v>
      </c>
      <c r="R967" s="11" t="s">
        <v>41</v>
      </c>
      <c r="S967" s="11" t="s">
        <v>62</v>
      </c>
      <c r="T967" s="11" t="s">
        <v>75</v>
      </c>
      <c r="U967" s="11" t="s">
        <v>119</v>
      </c>
      <c r="V967" s="11">
        <v>2024</v>
      </c>
      <c r="W967" s="11" t="s">
        <v>139</v>
      </c>
      <c r="X967" s="11">
        <v>3</v>
      </c>
      <c r="Y967" s="10">
        <v>45328</v>
      </c>
      <c r="Z967" s="11" t="s">
        <v>47</v>
      </c>
      <c r="AA967" s="11" t="s">
        <v>48</v>
      </c>
      <c r="AB967" s="11" t="s">
        <v>78</v>
      </c>
      <c r="AC967" s="11" t="s">
        <v>50</v>
      </c>
      <c r="AD967" s="11">
        <v>3</v>
      </c>
      <c r="AE967" s="11" t="s">
        <v>2216</v>
      </c>
      <c r="AF967" s="11" t="s">
        <v>2224</v>
      </c>
      <c r="AG967" s="25"/>
      <c r="AH967" s="11"/>
      <c r="AI967" s="11"/>
      <c r="AJ967" s="11"/>
      <c r="AK967" s="11"/>
      <c r="AL967" s="11"/>
      <c r="AM967" s="11" t="str">
        <f t="shared" si="79"/>
        <v>Good</v>
      </c>
      <c r="AN967" s="11" t="str" cm="1">
        <f t="array" ref="AN967">_xlfn.IFS(N967&lt;10000,"Low",N967&lt;30000,"Medium",N967&gt;=30000,"High")</f>
        <v>Medium</v>
      </c>
      <c r="AO967" s="11" t="str">
        <f t="shared" si="80"/>
        <v>No</v>
      </c>
      <c r="AP967" s="11" t="str">
        <f t="shared" si="81"/>
        <v>No</v>
      </c>
      <c r="AQ967" s="11">
        <f t="shared" si="82"/>
        <v>0.32162460937499998</v>
      </c>
      <c r="AR967" s="33"/>
      <c r="AS967" s="33"/>
      <c r="AT967" s="33"/>
      <c r="AU967" s="33"/>
      <c r="AV967" s="33"/>
      <c r="AW967" s="33"/>
      <c r="AX967" s="33" t="str">
        <f t="shared" si="83"/>
        <v>Average</v>
      </c>
    </row>
    <row r="968" spans="1:50">
      <c r="A968" s="9" t="s">
        <v>2126</v>
      </c>
      <c r="B968" s="10" t="s">
        <v>1278</v>
      </c>
      <c r="C968" s="11" t="s">
        <v>2033</v>
      </c>
      <c r="D968" s="11" t="s">
        <v>1375</v>
      </c>
      <c r="E968" s="11" t="s">
        <v>103</v>
      </c>
      <c r="F968" s="11" t="s">
        <v>245</v>
      </c>
      <c r="G968" s="11" t="s">
        <v>246</v>
      </c>
      <c r="H968" s="11" t="s">
        <v>94</v>
      </c>
      <c r="I968" s="11" t="s">
        <v>71</v>
      </c>
      <c r="J968" s="11" t="s">
        <v>240</v>
      </c>
      <c r="K968" s="25">
        <v>3</v>
      </c>
      <c r="L968" s="25">
        <v>2500</v>
      </c>
      <c r="M968" s="29">
        <v>0</v>
      </c>
      <c r="N968" s="25">
        <v>7500</v>
      </c>
      <c r="O968" s="25">
        <v>4233.28</v>
      </c>
      <c r="P968" s="25">
        <v>3266.72</v>
      </c>
      <c r="Q968" s="21">
        <v>43.56</v>
      </c>
      <c r="R968" s="11" t="s">
        <v>61</v>
      </c>
      <c r="S968" s="11" t="s">
        <v>74</v>
      </c>
      <c r="T968" s="11" t="s">
        <v>75</v>
      </c>
      <c r="U968" s="11" t="s">
        <v>119</v>
      </c>
      <c r="V968" s="11">
        <v>2024</v>
      </c>
      <c r="W968" s="11" t="s">
        <v>139</v>
      </c>
      <c r="X968" s="11">
        <v>2</v>
      </c>
      <c r="Y968" s="10">
        <v>45297</v>
      </c>
      <c r="Z968" s="11" t="s">
        <v>47</v>
      </c>
      <c r="AA968" s="11" t="s">
        <v>67</v>
      </c>
      <c r="AB968" s="11" t="s">
        <v>111</v>
      </c>
      <c r="AC968" s="11" t="s">
        <v>50</v>
      </c>
      <c r="AD968" s="11">
        <v>5</v>
      </c>
      <c r="AE968" s="11" t="s">
        <v>2225</v>
      </c>
      <c r="AF968" s="11" t="s">
        <v>2212</v>
      </c>
      <c r="AG968" s="25"/>
      <c r="AH968" s="11"/>
      <c r="AI968" s="11"/>
      <c r="AJ968" s="11"/>
      <c r="AK968" s="11"/>
      <c r="AL968" s="11"/>
      <c r="AM968" s="11" t="str">
        <f t="shared" si="79"/>
        <v>Good</v>
      </c>
      <c r="AN968" s="11" t="str" cm="1">
        <f t="array" ref="AN968">_xlfn.IFS(N968&lt;10000,"Low",N968&lt;30000,"Medium",N968&gt;=30000,"High")</f>
        <v>Low</v>
      </c>
      <c r="AO968" s="11" t="str">
        <f t="shared" si="80"/>
        <v>No</v>
      </c>
      <c r="AP968" s="11" t="str">
        <f t="shared" si="81"/>
        <v>Yes</v>
      </c>
      <c r="AQ968" s="11">
        <f t="shared" si="82"/>
        <v>0.43556266666666665</v>
      </c>
      <c r="AR968" s="33"/>
      <c r="AS968" s="33"/>
      <c r="AT968" s="33"/>
      <c r="AU968" s="33"/>
      <c r="AV968" s="33"/>
      <c r="AW968" s="33"/>
      <c r="AX968" s="33" t="str">
        <f t="shared" si="83"/>
        <v>Low</v>
      </c>
    </row>
    <row r="969" spans="1:50">
      <c r="A969" s="9" t="s">
        <v>2163</v>
      </c>
      <c r="B969" s="10" t="s">
        <v>1278</v>
      </c>
      <c r="C969" s="11" t="s">
        <v>1142</v>
      </c>
      <c r="D969" s="11" t="s">
        <v>2164</v>
      </c>
      <c r="E969" s="11" t="s">
        <v>55</v>
      </c>
      <c r="F969" s="11" t="s">
        <v>82</v>
      </c>
      <c r="G969" s="11" t="s">
        <v>83</v>
      </c>
      <c r="H969" s="11" t="s">
        <v>58</v>
      </c>
      <c r="I969" s="11" t="s">
        <v>84</v>
      </c>
      <c r="J969" s="11" t="s">
        <v>85</v>
      </c>
      <c r="K969" s="25">
        <v>6</v>
      </c>
      <c r="L969" s="25">
        <v>800</v>
      </c>
      <c r="M969" s="29">
        <v>0.1</v>
      </c>
      <c r="N969" s="25">
        <v>4320</v>
      </c>
      <c r="O969" s="25">
        <v>2828.47</v>
      </c>
      <c r="P969" s="25">
        <v>1491.53</v>
      </c>
      <c r="Q969" s="21">
        <v>34.53</v>
      </c>
      <c r="R969" s="11" t="s">
        <v>106</v>
      </c>
      <c r="S969" s="11" t="s">
        <v>62</v>
      </c>
      <c r="T969" s="11" t="s">
        <v>63</v>
      </c>
      <c r="U969" s="11" t="s">
        <v>119</v>
      </c>
      <c r="V969" s="11">
        <v>2024</v>
      </c>
      <c r="W969" s="11" t="s">
        <v>139</v>
      </c>
      <c r="X969" s="11">
        <v>1</v>
      </c>
      <c r="Y969" s="10" t="s">
        <v>526</v>
      </c>
      <c r="Z969" s="11" t="s">
        <v>47</v>
      </c>
      <c r="AA969" s="11" t="s">
        <v>67</v>
      </c>
      <c r="AB969" s="11" t="s">
        <v>111</v>
      </c>
      <c r="AC969" s="11" t="s">
        <v>121</v>
      </c>
      <c r="AD969" s="11">
        <v>1</v>
      </c>
      <c r="AE969" s="11" t="s">
        <v>2226</v>
      </c>
      <c r="AF969" s="11" t="s">
        <v>2223</v>
      </c>
      <c r="AG969" s="25"/>
      <c r="AH969" s="11"/>
      <c r="AI969" s="11"/>
      <c r="AJ969" s="11"/>
      <c r="AK969" s="11"/>
      <c r="AL969" s="11"/>
      <c r="AM969" s="11" t="str">
        <f t="shared" si="79"/>
        <v>Good</v>
      </c>
      <c r="AN969" s="11" t="str" cm="1">
        <f t="array" ref="AN969">_xlfn.IFS(N969&lt;10000,"Low",N969&lt;30000,"Medium",N969&gt;=30000,"High")</f>
        <v>Low</v>
      </c>
      <c r="AO969" s="11" t="str">
        <f t="shared" si="80"/>
        <v>No</v>
      </c>
      <c r="AP969" s="11" t="str">
        <f t="shared" si="81"/>
        <v>No</v>
      </c>
      <c r="AQ969" s="11">
        <f t="shared" si="82"/>
        <v>0.34526157407407404</v>
      </c>
      <c r="AR969" s="33"/>
      <c r="AS969" s="33"/>
      <c r="AT969" s="33"/>
      <c r="AU969" s="33"/>
      <c r="AV969" s="33"/>
      <c r="AW969" s="33"/>
      <c r="AX969" s="33" t="str">
        <f t="shared" si="83"/>
        <v>Low</v>
      </c>
    </row>
    <row r="970" spans="1:50">
      <c r="A970" s="9" t="s">
        <v>814</v>
      </c>
      <c r="B970" s="10" t="s">
        <v>120</v>
      </c>
      <c r="C970" s="11" t="s">
        <v>69</v>
      </c>
      <c r="D970" s="11" t="s">
        <v>268</v>
      </c>
      <c r="E970" s="11" t="s">
        <v>55</v>
      </c>
      <c r="F970" s="11" t="s">
        <v>149</v>
      </c>
      <c r="G970" s="11" t="s">
        <v>150</v>
      </c>
      <c r="H970" s="11" t="s">
        <v>171</v>
      </c>
      <c r="I970" s="11" t="s">
        <v>84</v>
      </c>
      <c r="J970" s="11" t="s">
        <v>229</v>
      </c>
      <c r="K970" s="25">
        <v>3</v>
      </c>
      <c r="L970" s="25">
        <v>100</v>
      </c>
      <c r="M970" s="29">
        <v>0.15</v>
      </c>
      <c r="N970" s="25">
        <v>255</v>
      </c>
      <c r="O970" s="25">
        <v>151.75</v>
      </c>
      <c r="P970" s="25">
        <v>103.25</v>
      </c>
      <c r="Q970" s="21">
        <v>40.49</v>
      </c>
      <c r="R970" s="11" t="s">
        <v>166</v>
      </c>
      <c r="S970" s="11" t="s">
        <v>42</v>
      </c>
      <c r="T970" s="11" t="s">
        <v>118</v>
      </c>
      <c r="U970" s="11" t="s">
        <v>119</v>
      </c>
      <c r="V970" s="11">
        <v>2025</v>
      </c>
      <c r="W970" s="11" t="s">
        <v>194</v>
      </c>
      <c r="X970" s="11">
        <v>10</v>
      </c>
      <c r="Y970" s="10">
        <v>45906</v>
      </c>
      <c r="Z970" s="11" t="s">
        <v>47</v>
      </c>
      <c r="AA970" s="11" t="s">
        <v>67</v>
      </c>
      <c r="AB970" s="11" t="s">
        <v>78</v>
      </c>
      <c r="AC970" s="11" t="s">
        <v>50</v>
      </c>
      <c r="AD970" s="11">
        <v>2</v>
      </c>
      <c r="AE970" s="11" t="s">
        <v>2218</v>
      </c>
      <c r="AF970" s="11" t="s">
        <v>2228</v>
      </c>
      <c r="AG970" s="25"/>
      <c r="AH970" s="11"/>
      <c r="AI970" s="11"/>
      <c r="AJ970" s="11"/>
      <c r="AK970" s="11"/>
      <c r="AL970" s="11"/>
      <c r="AM970" s="11" t="str">
        <f t="shared" si="79"/>
        <v>Good</v>
      </c>
      <c r="AN970" s="11" t="str" cm="1">
        <f t="array" ref="AN970">_xlfn.IFS(N970&lt;10000,"Low",N970&lt;30000,"Medium",N970&gt;=30000,"High")</f>
        <v>Low</v>
      </c>
      <c r="AO970" s="11" t="str">
        <f t="shared" si="80"/>
        <v>No</v>
      </c>
      <c r="AP970" s="11" t="str">
        <f t="shared" si="81"/>
        <v>Yes</v>
      </c>
      <c r="AQ970" s="11">
        <f t="shared" si="82"/>
        <v>0.40490196078431373</v>
      </c>
      <c r="AR970" s="33"/>
      <c r="AS970" s="33"/>
      <c r="AT970" s="33"/>
      <c r="AU970" s="33"/>
      <c r="AV970" s="33"/>
      <c r="AW970" s="33"/>
      <c r="AX970" s="33" t="str">
        <f t="shared" si="83"/>
        <v>Low</v>
      </c>
    </row>
    <row r="971" spans="1:50">
      <c r="A971" s="9" t="s">
        <v>865</v>
      </c>
      <c r="B971" s="10" t="s">
        <v>866</v>
      </c>
      <c r="C971" s="11" t="s">
        <v>507</v>
      </c>
      <c r="D971" s="11" t="s">
        <v>834</v>
      </c>
      <c r="E971" s="11" t="s">
        <v>35</v>
      </c>
      <c r="F971" s="11" t="s">
        <v>131</v>
      </c>
      <c r="G971" s="11" t="s">
        <v>132</v>
      </c>
      <c r="H971" s="11" t="s">
        <v>94</v>
      </c>
      <c r="I971" s="11" t="s">
        <v>59</v>
      </c>
      <c r="J971" s="11" t="s">
        <v>206</v>
      </c>
      <c r="K971" s="25">
        <v>4</v>
      </c>
      <c r="L971" s="25">
        <v>1200</v>
      </c>
      <c r="M971" s="29">
        <v>0.15</v>
      </c>
      <c r="N971" s="25">
        <v>4080</v>
      </c>
      <c r="O971" s="25">
        <v>3304.26</v>
      </c>
      <c r="P971" s="25">
        <v>775.74</v>
      </c>
      <c r="Q971" s="21">
        <v>19.010000000000002</v>
      </c>
      <c r="R971" s="11" t="s">
        <v>61</v>
      </c>
      <c r="S971" s="11" t="s">
        <v>42</v>
      </c>
      <c r="T971" s="11" t="s">
        <v>159</v>
      </c>
      <c r="U971" s="11" t="s">
        <v>160</v>
      </c>
      <c r="V971" s="11">
        <v>2024</v>
      </c>
      <c r="W971" s="11" t="s">
        <v>45</v>
      </c>
      <c r="X971" s="11">
        <v>2</v>
      </c>
      <c r="Y971" s="10">
        <v>45329</v>
      </c>
      <c r="Z971" s="11" t="s">
        <v>47</v>
      </c>
      <c r="AA971" s="11" t="s">
        <v>90</v>
      </c>
      <c r="AB971" s="11" t="s">
        <v>49</v>
      </c>
      <c r="AC971" s="11" t="s">
        <v>50</v>
      </c>
      <c r="AD971" s="11">
        <v>1</v>
      </c>
      <c r="AE971" s="11" t="s">
        <v>2209</v>
      </c>
      <c r="AF971" s="11" t="s">
        <v>2223</v>
      </c>
      <c r="AG971" s="25"/>
      <c r="AH971" s="11"/>
      <c r="AI971" s="11"/>
      <c r="AJ971" s="11"/>
      <c r="AK971" s="11"/>
      <c r="AL971" s="11"/>
      <c r="AM971" s="11" t="str">
        <f t="shared" si="79"/>
        <v>Needs Improvement</v>
      </c>
      <c r="AN971" s="11" t="str" cm="1">
        <f t="array" ref="AN971">_xlfn.IFS(N971&lt;10000,"Low",N971&lt;30000,"Medium",N971&gt;=30000,"High")</f>
        <v>Low</v>
      </c>
      <c r="AO971" s="11" t="str">
        <f t="shared" si="80"/>
        <v>No</v>
      </c>
      <c r="AP971" s="11" t="str">
        <f t="shared" si="81"/>
        <v>Yes</v>
      </c>
      <c r="AQ971" s="11">
        <f t="shared" si="82"/>
        <v>0.19013235294117647</v>
      </c>
      <c r="AR971" s="33"/>
      <c r="AS971" s="33"/>
      <c r="AT971" s="33"/>
      <c r="AU971" s="33"/>
      <c r="AV971" s="33"/>
      <c r="AW971" s="33"/>
      <c r="AX971" s="33" t="str">
        <f t="shared" si="83"/>
        <v>Low</v>
      </c>
    </row>
    <row r="972" spans="1:50">
      <c r="A972" s="9" t="s">
        <v>1520</v>
      </c>
      <c r="B972" s="10" t="s">
        <v>866</v>
      </c>
      <c r="C972" s="11" t="s">
        <v>1090</v>
      </c>
      <c r="D972" s="11" t="s">
        <v>228</v>
      </c>
      <c r="E972" s="11" t="s">
        <v>35</v>
      </c>
      <c r="F972" s="11" t="s">
        <v>56</v>
      </c>
      <c r="G972" s="11" t="s">
        <v>57</v>
      </c>
      <c r="H972" s="11" t="s">
        <v>94</v>
      </c>
      <c r="I972" s="11" t="s">
        <v>95</v>
      </c>
      <c r="J972" s="11" t="s">
        <v>184</v>
      </c>
      <c r="K972" s="25">
        <v>1</v>
      </c>
      <c r="L972" s="25">
        <v>6000</v>
      </c>
      <c r="M972" s="29">
        <v>0.05</v>
      </c>
      <c r="N972" s="25">
        <v>5700</v>
      </c>
      <c r="O972" s="25">
        <v>3424.1</v>
      </c>
      <c r="P972" s="25">
        <v>2275.9</v>
      </c>
      <c r="Q972" s="21">
        <v>39.93</v>
      </c>
      <c r="R972" s="11" t="s">
        <v>166</v>
      </c>
      <c r="S972" s="11" t="s">
        <v>74</v>
      </c>
      <c r="T972" s="11" t="s">
        <v>107</v>
      </c>
      <c r="U972" s="11" t="s">
        <v>160</v>
      </c>
      <c r="V972" s="11">
        <v>2024</v>
      </c>
      <c r="W972" s="11" t="s">
        <v>45</v>
      </c>
      <c r="X972" s="11">
        <v>7</v>
      </c>
      <c r="Y972" s="10">
        <v>45480</v>
      </c>
      <c r="Z972" s="11" t="s">
        <v>89</v>
      </c>
      <c r="AA972" s="11" t="s">
        <v>90</v>
      </c>
      <c r="AB972" s="11" t="s">
        <v>111</v>
      </c>
      <c r="AC972" s="11" t="s">
        <v>121</v>
      </c>
      <c r="AD972" s="11">
        <v>5</v>
      </c>
      <c r="AE972" s="11" t="s">
        <v>2237</v>
      </c>
      <c r="AF972" s="11" t="s">
        <v>2223</v>
      </c>
      <c r="AG972" s="25"/>
      <c r="AH972" s="11"/>
      <c r="AI972" s="11"/>
      <c r="AJ972" s="11"/>
      <c r="AK972" s="11"/>
      <c r="AL972" s="11"/>
      <c r="AM972" s="11" t="str">
        <f t="shared" si="79"/>
        <v>Good</v>
      </c>
      <c r="AN972" s="11" t="str" cm="1">
        <f t="array" ref="AN972">_xlfn.IFS(N972&lt;10000,"Low",N972&lt;30000,"Medium",N972&gt;=30000,"High")</f>
        <v>Low</v>
      </c>
      <c r="AO972" s="11" t="str">
        <f t="shared" si="80"/>
        <v>No</v>
      </c>
      <c r="AP972" s="11" t="str">
        <f t="shared" si="81"/>
        <v>Yes</v>
      </c>
      <c r="AQ972" s="11">
        <f t="shared" si="82"/>
        <v>0.39928070175438596</v>
      </c>
      <c r="AR972" s="33"/>
      <c r="AS972" s="33"/>
      <c r="AT972" s="33"/>
      <c r="AU972" s="33"/>
      <c r="AV972" s="33"/>
      <c r="AW972" s="33"/>
      <c r="AX972" s="33" t="str">
        <f t="shared" si="83"/>
        <v>Low</v>
      </c>
    </row>
    <row r="973" spans="1:50">
      <c r="A973" s="9" t="s">
        <v>1598</v>
      </c>
      <c r="B973" s="10" t="s">
        <v>866</v>
      </c>
      <c r="C973" s="11" t="s">
        <v>655</v>
      </c>
      <c r="D973" s="11" t="s">
        <v>1362</v>
      </c>
      <c r="E973" s="11" t="s">
        <v>55</v>
      </c>
      <c r="F973" s="11" t="s">
        <v>245</v>
      </c>
      <c r="G973" s="11" t="s">
        <v>246</v>
      </c>
      <c r="H973" s="11" t="s">
        <v>58</v>
      </c>
      <c r="I973" s="11" t="s">
        <v>39</v>
      </c>
      <c r="J973" s="11" t="s">
        <v>253</v>
      </c>
      <c r="K973" s="25">
        <v>7</v>
      </c>
      <c r="L973" s="25">
        <v>15000</v>
      </c>
      <c r="M973" s="29">
        <v>0</v>
      </c>
      <c r="N973" s="25">
        <v>105000</v>
      </c>
      <c r="O973" s="25">
        <v>62590.06</v>
      </c>
      <c r="P973" s="25">
        <v>42409.94</v>
      </c>
      <c r="Q973" s="21">
        <v>40.39</v>
      </c>
      <c r="R973" s="11" t="s">
        <v>166</v>
      </c>
      <c r="S973" s="11" t="s">
        <v>74</v>
      </c>
      <c r="T973" s="11" t="s">
        <v>138</v>
      </c>
      <c r="U973" s="11" t="s">
        <v>160</v>
      </c>
      <c r="V973" s="11">
        <v>2024</v>
      </c>
      <c r="W973" s="11" t="s">
        <v>45</v>
      </c>
      <c r="X973" s="11">
        <v>5</v>
      </c>
      <c r="Y973" s="10">
        <v>45419</v>
      </c>
      <c r="Z973" s="11" t="s">
        <v>47</v>
      </c>
      <c r="AA973" s="11" t="s">
        <v>90</v>
      </c>
      <c r="AB973" s="11" t="s">
        <v>49</v>
      </c>
      <c r="AC973" s="11" t="s">
        <v>121</v>
      </c>
      <c r="AD973" s="11">
        <v>5</v>
      </c>
      <c r="AE973" s="11" t="s">
        <v>2234</v>
      </c>
      <c r="AF973" s="11" t="s">
        <v>2236</v>
      </c>
      <c r="AG973" s="25"/>
      <c r="AH973" s="11"/>
      <c r="AI973" s="11"/>
      <c r="AJ973" s="11"/>
      <c r="AK973" s="11"/>
      <c r="AL973" s="11"/>
      <c r="AM973" s="11" t="str">
        <f t="shared" si="79"/>
        <v>Good</v>
      </c>
      <c r="AN973" s="11" t="str" cm="1">
        <f t="array" ref="AN973">_xlfn.IFS(N973&lt;10000,"Low",N973&lt;30000,"Medium",N973&gt;=30000,"High")</f>
        <v>High</v>
      </c>
      <c r="AO973" s="11" t="str">
        <f t="shared" si="80"/>
        <v>Yes</v>
      </c>
      <c r="AP973" s="11" t="str">
        <f t="shared" si="81"/>
        <v>Yes</v>
      </c>
      <c r="AQ973" s="11">
        <f t="shared" si="82"/>
        <v>0.40390419047619047</v>
      </c>
      <c r="AR973" s="33"/>
      <c r="AS973" s="33"/>
      <c r="AT973" s="33"/>
      <c r="AU973" s="33"/>
      <c r="AV973" s="33"/>
      <c r="AW973" s="33"/>
      <c r="AX973" s="33" t="str">
        <f t="shared" si="83"/>
        <v>Excellent</v>
      </c>
    </row>
    <row r="974" spans="1:50">
      <c r="A974" s="9" t="s">
        <v>234</v>
      </c>
      <c r="B974" s="10" t="s">
        <v>235</v>
      </c>
      <c r="C974" s="11" t="s">
        <v>236</v>
      </c>
      <c r="D974" s="11" t="s">
        <v>34</v>
      </c>
      <c r="E974" s="11" t="s">
        <v>103</v>
      </c>
      <c r="F974" s="11" t="s">
        <v>82</v>
      </c>
      <c r="G974" s="11" t="s">
        <v>83</v>
      </c>
      <c r="H974" s="11" t="s">
        <v>94</v>
      </c>
      <c r="I974" s="11" t="s">
        <v>71</v>
      </c>
      <c r="J974" s="11" t="s">
        <v>117</v>
      </c>
      <c r="K974" s="25">
        <v>8</v>
      </c>
      <c r="L974" s="25">
        <v>1200</v>
      </c>
      <c r="M974" s="29">
        <v>0.2</v>
      </c>
      <c r="N974" s="25">
        <v>7680</v>
      </c>
      <c r="O974" s="25">
        <v>5451.35</v>
      </c>
      <c r="P974" s="25">
        <v>2228.65</v>
      </c>
      <c r="Q974" s="21">
        <v>29.02</v>
      </c>
      <c r="R974" s="11" t="s">
        <v>73</v>
      </c>
      <c r="S974" s="11" t="s">
        <v>62</v>
      </c>
      <c r="T974" s="11" t="s">
        <v>118</v>
      </c>
      <c r="U974" s="11" t="s">
        <v>160</v>
      </c>
      <c r="V974" s="11">
        <v>2025</v>
      </c>
      <c r="W974" s="11" t="s">
        <v>126</v>
      </c>
      <c r="X974" s="11">
        <v>1</v>
      </c>
      <c r="Y974" s="10">
        <v>45664</v>
      </c>
      <c r="Z974" s="11" t="s">
        <v>110</v>
      </c>
      <c r="AA974" s="11" t="s">
        <v>90</v>
      </c>
      <c r="AB974" s="11" t="s">
        <v>78</v>
      </c>
      <c r="AC974" s="11" t="s">
        <v>50</v>
      </c>
      <c r="AD974" s="11">
        <v>3</v>
      </c>
      <c r="AE974" s="11" t="s">
        <v>2232</v>
      </c>
      <c r="AF974" s="11" t="s">
        <v>2224</v>
      </c>
      <c r="AG974" s="25"/>
      <c r="AH974" s="11"/>
      <c r="AI974" s="11"/>
      <c r="AJ974" s="11"/>
      <c r="AK974" s="11"/>
      <c r="AL974" s="11"/>
      <c r="AM974" s="11" t="str">
        <f t="shared" si="79"/>
        <v>Needs Improvement</v>
      </c>
      <c r="AN974" s="11" t="str" cm="1">
        <f t="array" ref="AN974">_xlfn.IFS(N974&lt;10000,"Low",N974&lt;30000,"Medium",N974&gt;=30000,"High")</f>
        <v>Low</v>
      </c>
      <c r="AO974" s="11" t="str">
        <f t="shared" si="80"/>
        <v>No</v>
      </c>
      <c r="AP974" s="11" t="str">
        <f t="shared" si="81"/>
        <v>No</v>
      </c>
      <c r="AQ974" s="11">
        <f t="shared" si="82"/>
        <v>0.29018880208333336</v>
      </c>
      <c r="AR974" s="33"/>
      <c r="AS974" s="33"/>
      <c r="AT974" s="33"/>
      <c r="AU974" s="33"/>
      <c r="AV974" s="33"/>
      <c r="AW974" s="33"/>
      <c r="AX974" s="33" t="str">
        <f t="shared" si="83"/>
        <v>Low</v>
      </c>
    </row>
    <row r="975" spans="1:50">
      <c r="A975" s="9" t="s">
        <v>738</v>
      </c>
      <c r="B975" s="10" t="s">
        <v>235</v>
      </c>
      <c r="C975" s="11" t="s">
        <v>739</v>
      </c>
      <c r="D975" s="11" t="s">
        <v>692</v>
      </c>
      <c r="E975" s="11" t="s">
        <v>35</v>
      </c>
      <c r="F975" s="11" t="s">
        <v>149</v>
      </c>
      <c r="G975" s="11" t="s">
        <v>150</v>
      </c>
      <c r="H975" s="11" t="s">
        <v>38</v>
      </c>
      <c r="I975" s="11" t="s">
        <v>95</v>
      </c>
      <c r="J975" s="11" t="s">
        <v>344</v>
      </c>
      <c r="K975" s="25">
        <v>4</v>
      </c>
      <c r="L975" s="25">
        <v>4000</v>
      </c>
      <c r="M975" s="29">
        <v>0.1</v>
      </c>
      <c r="N975" s="25">
        <v>14400</v>
      </c>
      <c r="O975" s="25">
        <v>10158.290000000001</v>
      </c>
      <c r="P975" s="25">
        <v>4241.71</v>
      </c>
      <c r="Q975" s="21">
        <v>29.46</v>
      </c>
      <c r="R975" s="11" t="s">
        <v>73</v>
      </c>
      <c r="S975" s="11" t="s">
        <v>42</v>
      </c>
      <c r="T975" s="11" t="s">
        <v>97</v>
      </c>
      <c r="U975" s="11" t="s">
        <v>160</v>
      </c>
      <c r="V975" s="11">
        <v>2025</v>
      </c>
      <c r="W975" s="11" t="s">
        <v>126</v>
      </c>
      <c r="X975" s="11">
        <v>1</v>
      </c>
      <c r="Y975" s="10">
        <v>45664</v>
      </c>
      <c r="Z975" s="11" t="s">
        <v>47</v>
      </c>
      <c r="AA975" s="11" t="s">
        <v>48</v>
      </c>
      <c r="AB975" s="11" t="s">
        <v>111</v>
      </c>
      <c r="AC975" s="11" t="s">
        <v>50</v>
      </c>
      <c r="AD975" s="11">
        <v>5</v>
      </c>
      <c r="AE975" s="11" t="s">
        <v>159</v>
      </c>
      <c r="AF975" s="11" t="s">
        <v>2230</v>
      </c>
      <c r="AG975" s="25"/>
      <c r="AH975" s="11"/>
      <c r="AI975" s="11"/>
      <c r="AJ975" s="11"/>
      <c r="AK975" s="11"/>
      <c r="AL975" s="11"/>
      <c r="AM975" s="11" t="str">
        <f t="shared" si="79"/>
        <v>Needs Improvement</v>
      </c>
      <c r="AN975" s="11" t="str" cm="1">
        <f t="array" ref="AN975">_xlfn.IFS(N975&lt;10000,"Low",N975&lt;30000,"Medium",N975&gt;=30000,"High")</f>
        <v>Medium</v>
      </c>
      <c r="AO975" s="11" t="str">
        <f t="shared" si="80"/>
        <v>No</v>
      </c>
      <c r="AP975" s="11" t="str">
        <f t="shared" si="81"/>
        <v>Yes</v>
      </c>
      <c r="AQ975" s="11">
        <f t="shared" si="82"/>
        <v>0.29456319444444445</v>
      </c>
      <c r="AR975" s="33"/>
      <c r="AS975" s="33"/>
      <c r="AT975" s="33"/>
      <c r="AU975" s="33"/>
      <c r="AV975" s="33"/>
      <c r="AW975" s="33"/>
      <c r="AX975" s="33" t="str">
        <f t="shared" si="83"/>
        <v>Low</v>
      </c>
    </row>
    <row r="976" spans="1:50">
      <c r="A976" s="9" t="s">
        <v>1194</v>
      </c>
      <c r="B976" s="10" t="s">
        <v>235</v>
      </c>
      <c r="C976" s="11" t="s">
        <v>498</v>
      </c>
      <c r="D976" s="11" t="s">
        <v>554</v>
      </c>
      <c r="E976" s="11" t="s">
        <v>35</v>
      </c>
      <c r="F976" s="11" t="s">
        <v>82</v>
      </c>
      <c r="G976" s="11" t="s">
        <v>83</v>
      </c>
      <c r="H976" s="11" t="s">
        <v>94</v>
      </c>
      <c r="I976" s="11" t="s">
        <v>95</v>
      </c>
      <c r="J976" s="11" t="s">
        <v>184</v>
      </c>
      <c r="K976" s="25">
        <v>8</v>
      </c>
      <c r="L976" s="25">
        <v>15000</v>
      </c>
      <c r="M976" s="29">
        <v>0.05</v>
      </c>
      <c r="N976" s="25">
        <v>114000</v>
      </c>
      <c r="O976" s="25">
        <v>91030.96</v>
      </c>
      <c r="P976" s="25">
        <v>22969.040000000001</v>
      </c>
      <c r="Q976" s="21">
        <v>20.149999999999999</v>
      </c>
      <c r="R976" s="11" t="s">
        <v>61</v>
      </c>
      <c r="S976" s="11" t="s">
        <v>74</v>
      </c>
      <c r="T976" s="11" t="s">
        <v>43</v>
      </c>
      <c r="U976" s="11" t="s">
        <v>160</v>
      </c>
      <c r="V976" s="11">
        <v>2025</v>
      </c>
      <c r="W976" s="11" t="s">
        <v>126</v>
      </c>
      <c r="X976" s="11">
        <v>5</v>
      </c>
      <c r="Y976" s="10">
        <v>45784</v>
      </c>
      <c r="Z976" s="11" t="s">
        <v>47</v>
      </c>
      <c r="AA976" s="11" t="s">
        <v>48</v>
      </c>
      <c r="AB976" s="11" t="s">
        <v>111</v>
      </c>
      <c r="AC976" s="11" t="s">
        <v>50</v>
      </c>
      <c r="AD976" s="11">
        <v>3</v>
      </c>
      <c r="AE976" s="11" t="s">
        <v>2220</v>
      </c>
      <c r="AF976" s="11" t="s">
        <v>2238</v>
      </c>
      <c r="AG976" s="25"/>
      <c r="AH976" s="11"/>
      <c r="AI976" s="11"/>
      <c r="AJ976" s="11"/>
      <c r="AK976" s="11"/>
      <c r="AL976" s="11"/>
      <c r="AM976" s="11" t="str">
        <f t="shared" si="79"/>
        <v>Needs Improvement</v>
      </c>
      <c r="AN976" s="11" t="str" cm="1">
        <f t="array" ref="AN976">_xlfn.IFS(N976&lt;10000,"Low",N976&lt;30000,"Medium",N976&gt;=30000,"High")</f>
        <v>High</v>
      </c>
      <c r="AO976" s="11" t="str">
        <f t="shared" si="80"/>
        <v>Yes</v>
      </c>
      <c r="AP976" s="11" t="str">
        <f t="shared" si="81"/>
        <v>Yes</v>
      </c>
      <c r="AQ976" s="11">
        <f t="shared" si="82"/>
        <v>0.20148280701754387</v>
      </c>
      <c r="AR976" s="33"/>
      <c r="AS976" s="33"/>
      <c r="AT976" s="33"/>
      <c r="AU976" s="33"/>
      <c r="AV976" s="33"/>
      <c r="AW976" s="33"/>
      <c r="AX976" s="33" t="str">
        <f t="shared" si="83"/>
        <v>Excellent</v>
      </c>
    </row>
    <row r="977" spans="1:50">
      <c r="A977" s="9" t="s">
        <v>1357</v>
      </c>
      <c r="B977" s="10" t="s">
        <v>235</v>
      </c>
      <c r="C977" s="11" t="s">
        <v>169</v>
      </c>
      <c r="D977" s="11" t="s">
        <v>743</v>
      </c>
      <c r="E977" s="11" t="s">
        <v>35</v>
      </c>
      <c r="F977" s="11" t="s">
        <v>149</v>
      </c>
      <c r="G977" s="11" t="s">
        <v>150</v>
      </c>
      <c r="H977" s="11" t="s">
        <v>171</v>
      </c>
      <c r="I977" s="11" t="s">
        <v>59</v>
      </c>
      <c r="J977" s="11" t="s">
        <v>372</v>
      </c>
      <c r="K977" s="25">
        <v>5</v>
      </c>
      <c r="L977" s="25">
        <v>500</v>
      </c>
      <c r="M977" s="29">
        <v>0.05</v>
      </c>
      <c r="N977" s="25">
        <v>2375</v>
      </c>
      <c r="O977" s="25">
        <v>1499.03</v>
      </c>
      <c r="P977" s="25">
        <v>875.97</v>
      </c>
      <c r="Q977" s="21">
        <v>36.880000000000003</v>
      </c>
      <c r="R977" s="11" t="s">
        <v>166</v>
      </c>
      <c r="S977" s="11" t="s">
        <v>74</v>
      </c>
      <c r="T977" s="11" t="s">
        <v>63</v>
      </c>
      <c r="U977" s="11" t="s">
        <v>160</v>
      </c>
      <c r="V977" s="11">
        <v>2025</v>
      </c>
      <c r="W977" s="11" t="s">
        <v>126</v>
      </c>
      <c r="X977" s="11">
        <v>10</v>
      </c>
      <c r="Y977" s="10">
        <v>45937</v>
      </c>
      <c r="Z977" s="11" t="s">
        <v>47</v>
      </c>
      <c r="AA977" s="11" t="s">
        <v>48</v>
      </c>
      <c r="AB977" s="11" t="s">
        <v>78</v>
      </c>
      <c r="AC977" s="11" t="s">
        <v>50</v>
      </c>
      <c r="AD977" s="11">
        <v>3</v>
      </c>
      <c r="AE977" s="11" t="s">
        <v>2209</v>
      </c>
      <c r="AF977" s="11" t="s">
        <v>2217</v>
      </c>
      <c r="AG977" s="25"/>
      <c r="AH977" s="11"/>
      <c r="AI977" s="11"/>
      <c r="AJ977" s="11"/>
      <c r="AK977" s="11"/>
      <c r="AL977" s="11"/>
      <c r="AM977" s="11" t="str">
        <f t="shared" si="79"/>
        <v>Good</v>
      </c>
      <c r="AN977" s="11" t="str" cm="1">
        <f t="array" ref="AN977">_xlfn.IFS(N977&lt;10000,"Low",N977&lt;30000,"Medium",N977&gt;=30000,"High")</f>
        <v>Low</v>
      </c>
      <c r="AO977" s="11" t="str">
        <f t="shared" si="80"/>
        <v>No</v>
      </c>
      <c r="AP977" s="11" t="str">
        <f t="shared" si="81"/>
        <v>Yes</v>
      </c>
      <c r="AQ977" s="11">
        <f t="shared" si="82"/>
        <v>0.36882947368421054</v>
      </c>
      <c r="AR977" s="33"/>
      <c r="AS977" s="33"/>
      <c r="AT977" s="33"/>
      <c r="AU977" s="33"/>
      <c r="AV977" s="33"/>
      <c r="AW977" s="33"/>
      <c r="AX977" s="33" t="str">
        <f t="shared" si="83"/>
        <v>Low</v>
      </c>
    </row>
    <row r="978" spans="1:50">
      <c r="A978" s="9" t="s">
        <v>568</v>
      </c>
      <c r="B978" s="10" t="s">
        <v>569</v>
      </c>
      <c r="C978" s="11" t="s">
        <v>570</v>
      </c>
      <c r="D978" s="11" t="s">
        <v>571</v>
      </c>
      <c r="E978" s="11" t="s">
        <v>103</v>
      </c>
      <c r="F978" s="11" t="s">
        <v>36</v>
      </c>
      <c r="G978" s="11" t="s">
        <v>37</v>
      </c>
      <c r="H978" s="11" t="s">
        <v>58</v>
      </c>
      <c r="I978" s="11" t="s">
        <v>39</v>
      </c>
      <c r="J978" s="11" t="s">
        <v>253</v>
      </c>
      <c r="K978" s="25">
        <v>10</v>
      </c>
      <c r="L978" s="25">
        <v>8000</v>
      </c>
      <c r="M978" s="29">
        <v>0.05</v>
      </c>
      <c r="N978" s="25">
        <v>76000</v>
      </c>
      <c r="O978" s="25">
        <v>53987.73</v>
      </c>
      <c r="P978" s="25">
        <v>22012.27</v>
      </c>
      <c r="Q978" s="21">
        <v>28.96</v>
      </c>
      <c r="R978" s="11" t="s">
        <v>73</v>
      </c>
      <c r="S978" s="11" t="s">
        <v>42</v>
      </c>
      <c r="T978" s="11" t="s">
        <v>43</v>
      </c>
      <c r="U978" s="11" t="s">
        <v>151</v>
      </c>
      <c r="V978" s="11">
        <v>2024</v>
      </c>
      <c r="W978" s="11" t="s">
        <v>109</v>
      </c>
      <c r="X978" s="11">
        <v>2</v>
      </c>
      <c r="Y978" s="10">
        <v>45299</v>
      </c>
      <c r="Z978" s="11" t="s">
        <v>47</v>
      </c>
      <c r="AA978" s="11" t="s">
        <v>67</v>
      </c>
      <c r="AB978" s="11" t="s">
        <v>78</v>
      </c>
      <c r="AC978" s="11" t="s">
        <v>121</v>
      </c>
      <c r="AD978" s="11">
        <v>5</v>
      </c>
      <c r="AE978" s="11" t="s">
        <v>2234</v>
      </c>
      <c r="AF978" s="11" t="s">
        <v>2235</v>
      </c>
      <c r="AG978" s="25"/>
      <c r="AH978" s="11"/>
      <c r="AI978" s="11"/>
      <c r="AJ978" s="11"/>
      <c r="AK978" s="11"/>
      <c r="AL978" s="11"/>
      <c r="AM978" s="11" t="str">
        <f t="shared" si="79"/>
        <v>Needs Improvement</v>
      </c>
      <c r="AN978" s="11" t="str" cm="1">
        <f t="array" ref="AN978">_xlfn.IFS(N978&lt;10000,"Low",N978&lt;30000,"Medium",N978&gt;=30000,"High")</f>
        <v>High</v>
      </c>
      <c r="AO978" s="11" t="str">
        <f t="shared" si="80"/>
        <v>Yes</v>
      </c>
      <c r="AP978" s="11" t="str">
        <f t="shared" si="81"/>
        <v>Yes</v>
      </c>
      <c r="AQ978" s="11">
        <f t="shared" si="82"/>
        <v>0.28963513157894738</v>
      </c>
      <c r="AR978" s="33"/>
      <c r="AS978" s="33"/>
      <c r="AT978" s="33"/>
      <c r="AU978" s="33"/>
      <c r="AV978" s="33"/>
      <c r="AW978" s="33"/>
      <c r="AX978" s="33" t="str">
        <f t="shared" si="83"/>
        <v>Excellent</v>
      </c>
    </row>
    <row r="979" spans="1:50">
      <c r="A979" s="9" t="s">
        <v>2170</v>
      </c>
      <c r="B979" s="10" t="s">
        <v>771</v>
      </c>
      <c r="C979" s="11" t="s">
        <v>249</v>
      </c>
      <c r="D979" s="11" t="s">
        <v>939</v>
      </c>
      <c r="E979" s="11" t="s">
        <v>35</v>
      </c>
      <c r="F979" s="11" t="s">
        <v>144</v>
      </c>
      <c r="G979" s="11" t="s">
        <v>145</v>
      </c>
      <c r="H979" s="11" t="s">
        <v>94</v>
      </c>
      <c r="I979" s="11" t="s">
        <v>39</v>
      </c>
      <c r="J979" s="11" t="s">
        <v>40</v>
      </c>
      <c r="K979" s="25">
        <v>6</v>
      </c>
      <c r="L979" s="25">
        <v>22000</v>
      </c>
      <c r="M979" s="29">
        <v>0.1</v>
      </c>
      <c r="N979" s="25">
        <v>118800</v>
      </c>
      <c r="O979" s="25">
        <v>79811.009999999995</v>
      </c>
      <c r="P979" s="25">
        <v>38988.99</v>
      </c>
      <c r="Q979" s="21">
        <v>32.82</v>
      </c>
      <c r="R979" s="11" t="s">
        <v>61</v>
      </c>
      <c r="S979" s="11" t="s">
        <v>74</v>
      </c>
      <c r="T979" s="11" t="s">
        <v>75</v>
      </c>
      <c r="U979" s="11" t="s">
        <v>151</v>
      </c>
      <c r="V979" s="11">
        <v>2025</v>
      </c>
      <c r="W979" s="11" t="s">
        <v>134</v>
      </c>
      <c r="X979" s="11">
        <v>9</v>
      </c>
      <c r="Y979" s="10">
        <v>45877</v>
      </c>
      <c r="Z979" s="11" t="s">
        <v>89</v>
      </c>
      <c r="AA979" s="11" t="s">
        <v>90</v>
      </c>
      <c r="AB979" s="11" t="s">
        <v>49</v>
      </c>
      <c r="AC979" s="11" t="s">
        <v>121</v>
      </c>
      <c r="AD979" s="11">
        <v>4</v>
      </c>
      <c r="AE979" s="11" t="s">
        <v>2248</v>
      </c>
      <c r="AF979" s="11" t="s">
        <v>2224</v>
      </c>
      <c r="AG979" s="25"/>
      <c r="AH979" s="11"/>
      <c r="AI979" s="11"/>
      <c r="AJ979" s="11"/>
      <c r="AK979" s="11"/>
      <c r="AL979" s="11"/>
      <c r="AM979" s="11" t="str">
        <f t="shared" si="79"/>
        <v>Good</v>
      </c>
      <c r="AN979" s="11" t="str" cm="1">
        <f t="array" ref="AN979">_xlfn.IFS(N979&lt;10000,"Low",N979&lt;30000,"Medium",N979&gt;=30000,"High")</f>
        <v>High</v>
      </c>
      <c r="AO979" s="11" t="str">
        <f t="shared" si="80"/>
        <v>Yes</v>
      </c>
      <c r="AP979" s="11" t="str">
        <f t="shared" si="81"/>
        <v>Yes</v>
      </c>
      <c r="AQ979" s="11">
        <f t="shared" si="82"/>
        <v>0.32819015151515152</v>
      </c>
      <c r="AR979" s="33"/>
      <c r="AS979" s="33"/>
      <c r="AT979" s="33"/>
      <c r="AU979" s="33"/>
      <c r="AV979" s="33"/>
      <c r="AW979" s="33"/>
      <c r="AX979" s="33" t="str">
        <f t="shared" si="83"/>
        <v>Excellent</v>
      </c>
    </row>
    <row r="980" spans="1:50">
      <c r="A980" s="9" t="s">
        <v>2069</v>
      </c>
      <c r="B980" s="10" t="s">
        <v>1031</v>
      </c>
      <c r="C980" s="11" t="s">
        <v>1051</v>
      </c>
      <c r="D980" s="11" t="s">
        <v>876</v>
      </c>
      <c r="E980" s="11" t="s">
        <v>35</v>
      </c>
      <c r="F980" s="11" t="s">
        <v>116</v>
      </c>
      <c r="G980" s="11" t="s">
        <v>37</v>
      </c>
      <c r="H980" s="11" t="s">
        <v>171</v>
      </c>
      <c r="I980" s="11" t="s">
        <v>84</v>
      </c>
      <c r="J980" s="11" t="s">
        <v>85</v>
      </c>
      <c r="K980" s="25">
        <v>10</v>
      </c>
      <c r="L980" s="25">
        <v>200</v>
      </c>
      <c r="M980" s="29">
        <v>0</v>
      </c>
      <c r="N980" s="25">
        <v>2000</v>
      </c>
      <c r="O980" s="25">
        <v>1531.63</v>
      </c>
      <c r="P980" s="25">
        <v>468.37</v>
      </c>
      <c r="Q980" s="21">
        <v>23.42</v>
      </c>
      <c r="R980" s="11" t="s">
        <v>61</v>
      </c>
      <c r="S980" s="11" t="s">
        <v>62</v>
      </c>
      <c r="T980" s="11" t="s">
        <v>43</v>
      </c>
      <c r="U980" s="11" t="s">
        <v>218</v>
      </c>
      <c r="V980" s="11">
        <v>2024</v>
      </c>
      <c r="W980" s="11" t="s">
        <v>194</v>
      </c>
      <c r="X980" s="11">
        <v>3</v>
      </c>
      <c r="Y980" s="10">
        <v>45331</v>
      </c>
      <c r="Z980" s="11" t="s">
        <v>47</v>
      </c>
      <c r="AA980" s="11" t="s">
        <v>48</v>
      </c>
      <c r="AB980" s="11" t="s">
        <v>49</v>
      </c>
      <c r="AC980" s="11" t="s">
        <v>50</v>
      </c>
      <c r="AD980" s="11">
        <v>5</v>
      </c>
      <c r="AE980" s="11" t="s">
        <v>2237</v>
      </c>
      <c r="AF980" s="11" t="s">
        <v>2212</v>
      </c>
      <c r="AG980" s="25"/>
      <c r="AH980" s="11"/>
      <c r="AI980" s="11"/>
      <c r="AJ980" s="11"/>
      <c r="AK980" s="11"/>
      <c r="AL980" s="11"/>
      <c r="AM980" s="11" t="str">
        <f t="shared" si="79"/>
        <v>Needs Improvement</v>
      </c>
      <c r="AN980" s="11" t="str" cm="1">
        <f t="array" ref="AN980">_xlfn.IFS(N980&lt;10000,"Low",N980&lt;30000,"Medium",N980&gt;=30000,"High")</f>
        <v>Low</v>
      </c>
      <c r="AO980" s="11" t="str">
        <f t="shared" si="80"/>
        <v>No</v>
      </c>
      <c r="AP980" s="11" t="str">
        <f t="shared" si="81"/>
        <v>No</v>
      </c>
      <c r="AQ980" s="11">
        <f t="shared" si="82"/>
        <v>0.234185</v>
      </c>
      <c r="AR980" s="33"/>
      <c r="AS980" s="33"/>
      <c r="AT980" s="33"/>
      <c r="AU980" s="33"/>
      <c r="AV980" s="33"/>
      <c r="AW980" s="33"/>
      <c r="AX980" s="33" t="str">
        <f t="shared" si="83"/>
        <v>Low</v>
      </c>
    </row>
    <row r="981" spans="1:50">
      <c r="A981" s="9" t="s">
        <v>1734</v>
      </c>
      <c r="B981" s="10" t="s">
        <v>1316</v>
      </c>
      <c r="C981" s="11" t="s">
        <v>930</v>
      </c>
      <c r="D981" s="11" t="s">
        <v>137</v>
      </c>
      <c r="E981" s="11" t="s">
        <v>35</v>
      </c>
      <c r="F981" s="11" t="s">
        <v>156</v>
      </c>
      <c r="G981" s="11" t="s">
        <v>157</v>
      </c>
      <c r="H981" s="11" t="s">
        <v>38</v>
      </c>
      <c r="I981" s="11" t="s">
        <v>95</v>
      </c>
      <c r="J981" s="11" t="s">
        <v>344</v>
      </c>
      <c r="K981" s="25">
        <v>7</v>
      </c>
      <c r="L981" s="25">
        <v>4000</v>
      </c>
      <c r="M981" s="29">
        <v>0.1</v>
      </c>
      <c r="N981" s="25">
        <v>25200</v>
      </c>
      <c r="O981" s="25">
        <v>19236.919999999998</v>
      </c>
      <c r="P981" s="25">
        <v>5963.08</v>
      </c>
      <c r="Q981" s="21">
        <v>23.66</v>
      </c>
      <c r="R981" s="11" t="s">
        <v>106</v>
      </c>
      <c r="S981" s="11" t="s">
        <v>42</v>
      </c>
      <c r="T981" s="11" t="s">
        <v>97</v>
      </c>
      <c r="U981" s="11" t="s">
        <v>108</v>
      </c>
      <c r="V981" s="11">
        <v>2024</v>
      </c>
      <c r="W981" s="11" t="s">
        <v>126</v>
      </c>
      <c r="X981" s="11">
        <v>8</v>
      </c>
      <c r="Y981" s="10">
        <v>45514</v>
      </c>
      <c r="Z981" s="11" t="s">
        <v>89</v>
      </c>
      <c r="AA981" s="11" t="s">
        <v>90</v>
      </c>
      <c r="AB981" s="11" t="s">
        <v>49</v>
      </c>
      <c r="AC981" s="11" t="s">
        <v>50</v>
      </c>
      <c r="AD981" s="11">
        <v>5</v>
      </c>
      <c r="AE981" s="11" t="s">
        <v>2216</v>
      </c>
      <c r="AF981" s="11" t="s">
        <v>2224</v>
      </c>
      <c r="AG981" s="25"/>
      <c r="AH981" s="11"/>
      <c r="AI981" s="11"/>
      <c r="AJ981" s="11"/>
      <c r="AK981" s="11"/>
      <c r="AL981" s="11"/>
      <c r="AM981" s="11" t="str">
        <f t="shared" si="79"/>
        <v>Needs Improvement</v>
      </c>
      <c r="AN981" s="11" t="str" cm="1">
        <f t="array" ref="AN981">_xlfn.IFS(N981&lt;10000,"Low",N981&lt;30000,"Medium",N981&gt;=30000,"High")</f>
        <v>Medium</v>
      </c>
      <c r="AO981" s="11" t="str">
        <f t="shared" si="80"/>
        <v>No</v>
      </c>
      <c r="AP981" s="11" t="str">
        <f t="shared" si="81"/>
        <v>Yes</v>
      </c>
      <c r="AQ981" s="11">
        <f t="shared" si="82"/>
        <v>0.23663015873015872</v>
      </c>
      <c r="AR981" s="33"/>
      <c r="AS981" s="33"/>
      <c r="AT981" s="33"/>
      <c r="AU981" s="33"/>
      <c r="AV981" s="33"/>
      <c r="AW981" s="33"/>
      <c r="AX981" s="33" t="str">
        <f t="shared" si="83"/>
        <v>Average</v>
      </c>
    </row>
    <row r="982" spans="1:50">
      <c r="A982" s="9" t="s">
        <v>1614</v>
      </c>
      <c r="B982" s="10" t="s">
        <v>1615</v>
      </c>
      <c r="C982" s="11" t="s">
        <v>1230</v>
      </c>
      <c r="D982" s="11" t="s">
        <v>600</v>
      </c>
      <c r="E982" s="11" t="s">
        <v>35</v>
      </c>
      <c r="F982" s="11" t="s">
        <v>149</v>
      </c>
      <c r="G982" s="11" t="s">
        <v>150</v>
      </c>
      <c r="H982" s="11" t="s">
        <v>58</v>
      </c>
      <c r="I982" s="11" t="s">
        <v>95</v>
      </c>
      <c r="J982" s="11" t="s">
        <v>184</v>
      </c>
      <c r="K982" s="25">
        <v>5</v>
      </c>
      <c r="L982" s="25">
        <v>2500</v>
      </c>
      <c r="M982" s="29">
        <v>0.15</v>
      </c>
      <c r="N982" s="25">
        <v>10625</v>
      </c>
      <c r="O982" s="25">
        <v>6036.36</v>
      </c>
      <c r="P982" s="25">
        <v>4588.6400000000003</v>
      </c>
      <c r="Q982" s="21">
        <v>43.19</v>
      </c>
      <c r="R982" s="11" t="s">
        <v>73</v>
      </c>
      <c r="S982" s="11" t="s">
        <v>74</v>
      </c>
      <c r="T982" s="11" t="s">
        <v>173</v>
      </c>
      <c r="U982" s="11" t="s">
        <v>108</v>
      </c>
      <c r="V982" s="11">
        <v>2025</v>
      </c>
      <c r="W982" s="11" t="s">
        <v>109</v>
      </c>
      <c r="X982" s="11">
        <v>4</v>
      </c>
      <c r="Y982" s="10">
        <v>45757</v>
      </c>
      <c r="Z982" s="11" t="s">
        <v>47</v>
      </c>
      <c r="AA982" s="11" t="s">
        <v>67</v>
      </c>
      <c r="AB982" s="11" t="s">
        <v>49</v>
      </c>
      <c r="AC982" s="11" t="s">
        <v>50</v>
      </c>
      <c r="AD982" s="11">
        <v>4</v>
      </c>
      <c r="AE982" s="11" t="s">
        <v>2234</v>
      </c>
      <c r="AF982" s="11" t="s">
        <v>2230</v>
      </c>
      <c r="AG982" s="25"/>
      <c r="AH982" s="11"/>
      <c r="AI982" s="11"/>
      <c r="AJ982" s="11"/>
      <c r="AK982" s="11"/>
      <c r="AL982" s="11"/>
      <c r="AM982" s="11" t="str">
        <f t="shared" si="79"/>
        <v>Good</v>
      </c>
      <c r="AN982" s="11" t="str" cm="1">
        <f t="array" ref="AN982">_xlfn.IFS(N982&lt;10000,"Low",N982&lt;30000,"Medium",N982&gt;=30000,"High")</f>
        <v>Medium</v>
      </c>
      <c r="AO982" s="11" t="str">
        <f t="shared" si="80"/>
        <v>No</v>
      </c>
      <c r="AP982" s="11" t="str">
        <f t="shared" si="81"/>
        <v>Yes</v>
      </c>
      <c r="AQ982" s="11">
        <f t="shared" si="82"/>
        <v>0.43187200000000003</v>
      </c>
      <c r="AR982" s="33"/>
      <c r="AS982" s="33"/>
      <c r="AT982" s="33"/>
      <c r="AU982" s="33"/>
      <c r="AV982" s="33"/>
      <c r="AW982" s="33"/>
      <c r="AX982" s="33" t="str">
        <f t="shared" si="83"/>
        <v>Low</v>
      </c>
    </row>
    <row r="983" spans="1:50">
      <c r="A983" s="9" t="s">
        <v>2043</v>
      </c>
      <c r="B983" s="10" t="s">
        <v>2044</v>
      </c>
      <c r="C983" s="11" t="s">
        <v>1037</v>
      </c>
      <c r="D983" s="11" t="s">
        <v>927</v>
      </c>
      <c r="E983" s="11" t="s">
        <v>35</v>
      </c>
      <c r="F983" s="11" t="s">
        <v>36</v>
      </c>
      <c r="G983" s="11" t="s">
        <v>37</v>
      </c>
      <c r="H983" s="11" t="s">
        <v>38</v>
      </c>
      <c r="I983" s="11" t="s">
        <v>95</v>
      </c>
      <c r="J983" s="11" t="s">
        <v>319</v>
      </c>
      <c r="K983" s="25">
        <v>8</v>
      </c>
      <c r="L983" s="25">
        <v>2500</v>
      </c>
      <c r="M983" s="29">
        <v>0.2</v>
      </c>
      <c r="N983" s="25">
        <v>16000</v>
      </c>
      <c r="O983" s="25">
        <v>11359.84</v>
      </c>
      <c r="P983" s="25">
        <v>4640.16</v>
      </c>
      <c r="Q983" s="21">
        <v>29</v>
      </c>
      <c r="R983" s="11" t="s">
        <v>166</v>
      </c>
      <c r="S983" s="11" t="s">
        <v>62</v>
      </c>
      <c r="T983" s="11" t="s">
        <v>107</v>
      </c>
      <c r="U983" s="11" t="s">
        <v>87</v>
      </c>
      <c r="V983" s="11">
        <v>2024</v>
      </c>
      <c r="W983" s="11" t="s">
        <v>134</v>
      </c>
      <c r="X983" s="11">
        <v>5</v>
      </c>
      <c r="Y983" s="10">
        <v>45393</v>
      </c>
      <c r="Z983" s="11" t="s">
        <v>47</v>
      </c>
      <c r="AA983" s="11" t="s">
        <v>90</v>
      </c>
      <c r="AB983" s="11" t="s">
        <v>49</v>
      </c>
      <c r="AC983" s="11" t="s">
        <v>50</v>
      </c>
      <c r="AD983" s="11">
        <v>3</v>
      </c>
      <c r="AE983" s="11" t="s">
        <v>2229</v>
      </c>
      <c r="AF983" s="11" t="s">
        <v>2236</v>
      </c>
      <c r="AG983" s="25"/>
      <c r="AH983" s="11"/>
      <c r="AI983" s="11"/>
      <c r="AJ983" s="11"/>
      <c r="AK983" s="11"/>
      <c r="AL983" s="11"/>
      <c r="AM983" s="11" t="str">
        <f t="shared" si="79"/>
        <v>Needs Improvement</v>
      </c>
      <c r="AN983" s="11" t="str" cm="1">
        <f t="array" ref="AN983">_xlfn.IFS(N983&lt;10000,"Low",N983&lt;30000,"Medium",N983&gt;=30000,"High")</f>
        <v>Medium</v>
      </c>
      <c r="AO983" s="11" t="str">
        <f t="shared" si="80"/>
        <v>No</v>
      </c>
      <c r="AP983" s="11" t="str">
        <f t="shared" si="81"/>
        <v>No</v>
      </c>
      <c r="AQ983" s="11">
        <f t="shared" si="82"/>
        <v>0.29000999999999999</v>
      </c>
      <c r="AR983" s="33"/>
      <c r="AS983" s="33"/>
      <c r="AT983" s="33"/>
      <c r="AU983" s="33"/>
      <c r="AV983" s="33"/>
      <c r="AW983" s="33"/>
      <c r="AX983" s="33" t="str">
        <f t="shared" si="83"/>
        <v>Low</v>
      </c>
    </row>
    <row r="984" spans="1:50">
      <c r="A984" s="9" t="s">
        <v>1946</v>
      </c>
      <c r="B984" s="10" t="s">
        <v>1947</v>
      </c>
      <c r="C984" s="11" t="s">
        <v>326</v>
      </c>
      <c r="D984" s="11" t="s">
        <v>641</v>
      </c>
      <c r="E984" s="11" t="s">
        <v>103</v>
      </c>
      <c r="F984" s="11" t="s">
        <v>149</v>
      </c>
      <c r="G984" s="11" t="s">
        <v>150</v>
      </c>
      <c r="H984" s="11" t="s">
        <v>58</v>
      </c>
      <c r="I984" s="11" t="s">
        <v>59</v>
      </c>
      <c r="J984" s="11" t="s">
        <v>206</v>
      </c>
      <c r="K984" s="25">
        <v>6</v>
      </c>
      <c r="L984" s="25">
        <v>800</v>
      </c>
      <c r="M984" s="29">
        <v>0.2</v>
      </c>
      <c r="N984" s="25">
        <v>3840</v>
      </c>
      <c r="O984" s="25">
        <v>2996.6</v>
      </c>
      <c r="P984" s="25">
        <v>843.4</v>
      </c>
      <c r="Q984" s="21">
        <v>21.96</v>
      </c>
      <c r="R984" s="11" t="s">
        <v>73</v>
      </c>
      <c r="S984" s="11" t="s">
        <v>42</v>
      </c>
      <c r="T984" s="11" t="s">
        <v>75</v>
      </c>
      <c r="U984" s="11" t="s">
        <v>198</v>
      </c>
      <c r="V984" s="11">
        <v>2024</v>
      </c>
      <c r="W984" s="11" t="s">
        <v>65</v>
      </c>
      <c r="X984" s="11">
        <v>10</v>
      </c>
      <c r="Y984" s="10">
        <v>45577</v>
      </c>
      <c r="Z984" s="11" t="s">
        <v>110</v>
      </c>
      <c r="AA984" s="11" t="s">
        <v>67</v>
      </c>
      <c r="AB984" s="11" t="s">
        <v>49</v>
      </c>
      <c r="AC984" s="11" t="s">
        <v>121</v>
      </c>
      <c r="AD984" s="11">
        <v>1</v>
      </c>
      <c r="AE984" s="11" t="s">
        <v>2237</v>
      </c>
      <c r="AF984" s="11" t="s">
        <v>2224</v>
      </c>
      <c r="AG984" s="25"/>
      <c r="AH984" s="11"/>
      <c r="AI984" s="11"/>
      <c r="AJ984" s="11"/>
      <c r="AK984" s="11"/>
      <c r="AL984" s="11"/>
      <c r="AM984" s="11" t="str">
        <f t="shared" si="79"/>
        <v>Needs Improvement</v>
      </c>
      <c r="AN984" s="11" t="str" cm="1">
        <f t="array" ref="AN984">_xlfn.IFS(N984&lt;10000,"Low",N984&lt;30000,"Medium",N984&gt;=30000,"High")</f>
        <v>Low</v>
      </c>
      <c r="AO984" s="11" t="str">
        <f t="shared" si="80"/>
        <v>No</v>
      </c>
      <c r="AP984" s="11" t="str">
        <f t="shared" si="81"/>
        <v>Yes</v>
      </c>
      <c r="AQ984" s="11">
        <f t="shared" si="82"/>
        <v>0.21963541666666667</v>
      </c>
      <c r="AR984" s="33"/>
      <c r="AS984" s="33"/>
      <c r="AT984" s="33"/>
      <c r="AU984" s="33"/>
      <c r="AV984" s="33"/>
      <c r="AW984" s="33"/>
      <c r="AX984" s="33" t="str">
        <f t="shared" si="83"/>
        <v>Low</v>
      </c>
    </row>
    <row r="985" spans="1:50">
      <c r="A985" s="9" t="s">
        <v>2121</v>
      </c>
      <c r="B985" s="10" t="s">
        <v>1947</v>
      </c>
      <c r="C985" s="11" t="s">
        <v>1093</v>
      </c>
      <c r="D985" s="11" t="s">
        <v>379</v>
      </c>
      <c r="E985" s="11" t="s">
        <v>55</v>
      </c>
      <c r="F985" s="11" t="s">
        <v>144</v>
      </c>
      <c r="G985" s="11" t="s">
        <v>145</v>
      </c>
      <c r="H985" s="11" t="s">
        <v>94</v>
      </c>
      <c r="I985" s="11" t="s">
        <v>71</v>
      </c>
      <c r="J985" s="11" t="s">
        <v>158</v>
      </c>
      <c r="K985" s="25">
        <v>8</v>
      </c>
      <c r="L985" s="25">
        <v>2500</v>
      </c>
      <c r="M985" s="29">
        <v>0</v>
      </c>
      <c r="N985" s="25">
        <v>20000</v>
      </c>
      <c r="O985" s="25">
        <v>11873.88</v>
      </c>
      <c r="P985" s="25">
        <v>8126.12</v>
      </c>
      <c r="Q985" s="21">
        <v>40.630000000000003</v>
      </c>
      <c r="R985" s="11" t="s">
        <v>166</v>
      </c>
      <c r="S985" s="11" t="s">
        <v>62</v>
      </c>
      <c r="T985" s="11" t="s">
        <v>107</v>
      </c>
      <c r="U985" s="11" t="s">
        <v>198</v>
      </c>
      <c r="V985" s="11">
        <v>2024</v>
      </c>
      <c r="W985" s="11" t="s">
        <v>65</v>
      </c>
      <c r="X985" s="11">
        <v>7</v>
      </c>
      <c r="Y985" s="10">
        <v>45485</v>
      </c>
      <c r="Z985" s="11" t="s">
        <v>47</v>
      </c>
      <c r="AA985" s="11" t="s">
        <v>90</v>
      </c>
      <c r="AB985" s="11" t="s">
        <v>111</v>
      </c>
      <c r="AC985" s="11" t="s">
        <v>50</v>
      </c>
      <c r="AD985" s="11">
        <v>3</v>
      </c>
      <c r="AE985" s="11" t="s">
        <v>2216</v>
      </c>
      <c r="AF985" s="11" t="s">
        <v>2223</v>
      </c>
      <c r="AG985" s="25"/>
      <c r="AH985" s="11"/>
      <c r="AI985" s="11"/>
      <c r="AJ985" s="11"/>
      <c r="AK985" s="11"/>
      <c r="AL985" s="11"/>
      <c r="AM985" s="11" t="str">
        <f t="shared" si="79"/>
        <v>Good</v>
      </c>
      <c r="AN985" s="11" t="str" cm="1">
        <f t="array" ref="AN985">_xlfn.IFS(N985&lt;10000,"Low",N985&lt;30000,"Medium",N985&gt;=30000,"High")</f>
        <v>Medium</v>
      </c>
      <c r="AO985" s="11" t="str">
        <f t="shared" si="80"/>
        <v>No</v>
      </c>
      <c r="AP985" s="11" t="str">
        <f t="shared" si="81"/>
        <v>No</v>
      </c>
      <c r="AQ985" s="11">
        <f t="shared" si="82"/>
        <v>0.406306</v>
      </c>
      <c r="AR985" s="33"/>
      <c r="AS985" s="33"/>
      <c r="AT985" s="33"/>
      <c r="AU985" s="33"/>
      <c r="AV985" s="33"/>
      <c r="AW985" s="33"/>
      <c r="AX985" s="33" t="str">
        <f t="shared" si="83"/>
        <v>Average</v>
      </c>
    </row>
    <row r="986" spans="1:50">
      <c r="A986" s="9" t="s">
        <v>2086</v>
      </c>
      <c r="B986" s="10" t="s">
        <v>2087</v>
      </c>
      <c r="C986" s="11" t="s">
        <v>53</v>
      </c>
      <c r="D986" s="11" t="s">
        <v>1094</v>
      </c>
      <c r="E986" s="11" t="s">
        <v>103</v>
      </c>
      <c r="F986" s="11" t="s">
        <v>245</v>
      </c>
      <c r="G986" s="11" t="s">
        <v>246</v>
      </c>
      <c r="H986" s="11" t="s">
        <v>171</v>
      </c>
      <c r="I986" s="11" t="s">
        <v>39</v>
      </c>
      <c r="J986" s="11" t="s">
        <v>356</v>
      </c>
      <c r="K986" s="25">
        <v>5</v>
      </c>
      <c r="L986" s="25">
        <v>8000</v>
      </c>
      <c r="M986" s="29">
        <v>0.2</v>
      </c>
      <c r="N986" s="25">
        <v>32000</v>
      </c>
      <c r="O986" s="25">
        <v>18814.88</v>
      </c>
      <c r="P986" s="25">
        <v>13185.12</v>
      </c>
      <c r="Q986" s="21">
        <v>41.2</v>
      </c>
      <c r="R986" s="11" t="s">
        <v>73</v>
      </c>
      <c r="S986" s="11" t="s">
        <v>74</v>
      </c>
      <c r="T986" s="11" t="s">
        <v>63</v>
      </c>
      <c r="U986" s="11" t="s">
        <v>198</v>
      </c>
      <c r="V986" s="11">
        <v>2025</v>
      </c>
      <c r="W986" s="11" t="s">
        <v>45</v>
      </c>
      <c r="X986" s="11">
        <v>7</v>
      </c>
      <c r="Y986" s="10">
        <v>45850</v>
      </c>
      <c r="Z986" s="11" t="s">
        <v>89</v>
      </c>
      <c r="AA986" s="11" t="s">
        <v>67</v>
      </c>
      <c r="AB986" s="11" t="s">
        <v>78</v>
      </c>
      <c r="AC986" s="11" t="s">
        <v>121</v>
      </c>
      <c r="AD986" s="11">
        <v>1</v>
      </c>
      <c r="AE986" s="11" t="s">
        <v>2232</v>
      </c>
      <c r="AF986" s="11" t="s">
        <v>2249</v>
      </c>
      <c r="AG986" s="25"/>
      <c r="AH986" s="11"/>
      <c r="AI986" s="11"/>
      <c r="AJ986" s="11"/>
      <c r="AK986" s="11"/>
      <c r="AL986" s="11"/>
      <c r="AM986" s="11" t="str">
        <f t="shared" si="79"/>
        <v>Good</v>
      </c>
      <c r="AN986" s="11" t="str" cm="1">
        <f t="array" ref="AN986">_xlfn.IFS(N986&lt;10000,"Low",N986&lt;30000,"Medium",N986&gt;=30000,"High")</f>
        <v>High</v>
      </c>
      <c r="AO986" s="11" t="str">
        <f t="shared" si="80"/>
        <v>Yes</v>
      </c>
      <c r="AP986" s="11" t="str">
        <f t="shared" si="81"/>
        <v>Yes</v>
      </c>
      <c r="AQ986" s="11">
        <f t="shared" si="82"/>
        <v>0.41203500000000004</v>
      </c>
      <c r="AR986" s="33"/>
      <c r="AS986" s="33"/>
      <c r="AT986" s="33"/>
      <c r="AU986" s="33"/>
      <c r="AV986" s="33"/>
      <c r="AW986" s="33"/>
      <c r="AX986" s="33" t="str">
        <f t="shared" si="83"/>
        <v>Good</v>
      </c>
    </row>
    <row r="987" spans="1:50">
      <c r="A987" s="9" t="s">
        <v>1516</v>
      </c>
      <c r="B987" s="10" t="s">
        <v>1086</v>
      </c>
      <c r="C987" s="11" t="s">
        <v>368</v>
      </c>
      <c r="D987" s="11" t="s">
        <v>1517</v>
      </c>
      <c r="E987" s="11" t="s">
        <v>103</v>
      </c>
      <c r="F987" s="11" t="s">
        <v>156</v>
      </c>
      <c r="G987" s="11" t="s">
        <v>157</v>
      </c>
      <c r="H987" s="11" t="s">
        <v>58</v>
      </c>
      <c r="I987" s="11" t="s">
        <v>59</v>
      </c>
      <c r="J987" s="11" t="s">
        <v>60</v>
      </c>
      <c r="K987" s="25">
        <v>6</v>
      </c>
      <c r="L987" s="25">
        <v>500</v>
      </c>
      <c r="M987" s="29">
        <v>0</v>
      </c>
      <c r="N987" s="25">
        <v>3000</v>
      </c>
      <c r="O987" s="25">
        <v>1793.16</v>
      </c>
      <c r="P987" s="25">
        <v>1206.8399999999999</v>
      </c>
      <c r="Q987" s="21">
        <v>40.229999999999997</v>
      </c>
      <c r="R987" s="11" t="s">
        <v>166</v>
      </c>
      <c r="S987" s="11" t="s">
        <v>42</v>
      </c>
      <c r="T987" s="11" t="s">
        <v>159</v>
      </c>
      <c r="U987" s="11" t="s">
        <v>64</v>
      </c>
      <c r="V987" s="11">
        <v>2024</v>
      </c>
      <c r="W987" s="11" t="s">
        <v>126</v>
      </c>
      <c r="X987" s="11">
        <v>4</v>
      </c>
      <c r="Y987" s="10">
        <v>45717</v>
      </c>
      <c r="Z987" s="11" t="s">
        <v>47</v>
      </c>
      <c r="AA987" s="11" t="s">
        <v>48</v>
      </c>
      <c r="AB987" s="11" t="s">
        <v>111</v>
      </c>
      <c r="AC987" s="11" t="s">
        <v>121</v>
      </c>
      <c r="AD987" s="11">
        <v>4</v>
      </c>
      <c r="AE987" s="11" t="s">
        <v>2240</v>
      </c>
      <c r="AF987" s="11" t="s">
        <v>2235</v>
      </c>
      <c r="AG987" s="25"/>
      <c r="AH987" s="11"/>
      <c r="AI987" s="11"/>
      <c r="AJ987" s="11"/>
      <c r="AK987" s="11"/>
      <c r="AL987" s="11"/>
      <c r="AM987" s="11" t="str">
        <f t="shared" si="79"/>
        <v>Good</v>
      </c>
      <c r="AN987" s="11" t="str" cm="1">
        <f t="array" ref="AN987">_xlfn.IFS(N987&lt;10000,"Low",N987&lt;30000,"Medium",N987&gt;=30000,"High")</f>
        <v>Low</v>
      </c>
      <c r="AO987" s="11" t="str">
        <f t="shared" si="80"/>
        <v>No</v>
      </c>
      <c r="AP987" s="11" t="str">
        <f t="shared" si="81"/>
        <v>Yes</v>
      </c>
      <c r="AQ987" s="11">
        <f t="shared" si="82"/>
        <v>0.40227999999999997</v>
      </c>
      <c r="AR987" s="33"/>
      <c r="AS987" s="33"/>
      <c r="AT987" s="33"/>
      <c r="AU987" s="33"/>
      <c r="AV987" s="33"/>
      <c r="AW987" s="33"/>
      <c r="AX987" s="33" t="str">
        <f t="shared" si="83"/>
        <v>Low</v>
      </c>
    </row>
    <row r="988" spans="1:50">
      <c r="A988" s="9" t="s">
        <v>1540</v>
      </c>
      <c r="B988" s="10" t="s">
        <v>1086</v>
      </c>
      <c r="C988" s="11" t="s">
        <v>447</v>
      </c>
      <c r="D988" s="11" t="s">
        <v>725</v>
      </c>
      <c r="E988" s="11" t="s">
        <v>35</v>
      </c>
      <c r="F988" s="11" t="s">
        <v>116</v>
      </c>
      <c r="G988" s="11" t="s">
        <v>37</v>
      </c>
      <c r="H988" s="11" t="s">
        <v>58</v>
      </c>
      <c r="I988" s="11" t="s">
        <v>71</v>
      </c>
      <c r="J988" s="11" t="s">
        <v>172</v>
      </c>
      <c r="K988" s="25">
        <v>4</v>
      </c>
      <c r="L988" s="25">
        <v>1800</v>
      </c>
      <c r="M988" s="29">
        <v>0.15</v>
      </c>
      <c r="N988" s="25">
        <v>6120</v>
      </c>
      <c r="O988" s="25">
        <v>3913.47</v>
      </c>
      <c r="P988" s="25">
        <v>2206.5300000000002</v>
      </c>
      <c r="Q988" s="21">
        <v>36.049999999999997</v>
      </c>
      <c r="R988" s="11" t="s">
        <v>41</v>
      </c>
      <c r="S988" s="11" t="s">
        <v>62</v>
      </c>
      <c r="T988" s="11" t="s">
        <v>138</v>
      </c>
      <c r="U988" s="11" t="s">
        <v>64</v>
      </c>
      <c r="V988" s="11">
        <v>2024</v>
      </c>
      <c r="W988" s="11" t="s">
        <v>126</v>
      </c>
      <c r="X988" s="11">
        <v>3</v>
      </c>
      <c r="Y988" s="10">
        <v>45689</v>
      </c>
      <c r="Z988" s="11" t="s">
        <v>47</v>
      </c>
      <c r="AA988" s="11" t="s">
        <v>48</v>
      </c>
      <c r="AB988" s="11" t="s">
        <v>49</v>
      </c>
      <c r="AC988" s="11" t="s">
        <v>50</v>
      </c>
      <c r="AD988" s="11">
        <v>2</v>
      </c>
      <c r="AE988" s="11" t="s">
        <v>2209</v>
      </c>
      <c r="AF988" s="11" t="s">
        <v>2210</v>
      </c>
      <c r="AG988" s="25"/>
      <c r="AH988" s="11"/>
      <c r="AI988" s="11"/>
      <c r="AJ988" s="11"/>
      <c r="AK988" s="11"/>
      <c r="AL988" s="11"/>
      <c r="AM988" s="11" t="str">
        <f t="shared" si="79"/>
        <v>Good</v>
      </c>
      <c r="AN988" s="11" t="str" cm="1">
        <f t="array" ref="AN988">_xlfn.IFS(N988&lt;10000,"Low",N988&lt;30000,"Medium",N988&gt;=30000,"High")</f>
        <v>Low</v>
      </c>
      <c r="AO988" s="11" t="str">
        <f t="shared" si="80"/>
        <v>No</v>
      </c>
      <c r="AP988" s="11" t="str">
        <f t="shared" si="81"/>
        <v>No</v>
      </c>
      <c r="AQ988" s="11">
        <f t="shared" si="82"/>
        <v>0.36054411764705885</v>
      </c>
      <c r="AR988" s="33"/>
      <c r="AS988" s="33"/>
      <c r="AT988" s="33"/>
      <c r="AU988" s="33"/>
      <c r="AV988" s="33"/>
      <c r="AW988" s="33"/>
      <c r="AX988" s="33" t="str">
        <f t="shared" si="83"/>
        <v>Low</v>
      </c>
    </row>
    <row r="989" spans="1:50">
      <c r="A989" s="9" t="s">
        <v>700</v>
      </c>
      <c r="B989" s="10" t="s">
        <v>701</v>
      </c>
      <c r="C989" s="11" t="s">
        <v>702</v>
      </c>
      <c r="D989" s="11" t="s">
        <v>703</v>
      </c>
      <c r="E989" s="11" t="s">
        <v>55</v>
      </c>
      <c r="F989" s="11" t="s">
        <v>82</v>
      </c>
      <c r="G989" s="11" t="s">
        <v>83</v>
      </c>
      <c r="H989" s="11" t="s">
        <v>38</v>
      </c>
      <c r="I989" s="11" t="s">
        <v>71</v>
      </c>
      <c r="J989" s="11" t="s">
        <v>240</v>
      </c>
      <c r="K989" s="25">
        <v>9</v>
      </c>
      <c r="L989" s="25">
        <v>700</v>
      </c>
      <c r="M989" s="29">
        <v>0.1</v>
      </c>
      <c r="N989" s="25">
        <v>5670</v>
      </c>
      <c r="O989" s="25">
        <v>3878.05</v>
      </c>
      <c r="P989" s="25">
        <v>1791.95</v>
      </c>
      <c r="Q989" s="21">
        <v>31.6</v>
      </c>
      <c r="R989" s="11" t="s">
        <v>61</v>
      </c>
      <c r="S989" s="11" t="s">
        <v>74</v>
      </c>
      <c r="T989" s="11" t="s">
        <v>159</v>
      </c>
      <c r="U989" s="11" t="s">
        <v>64</v>
      </c>
      <c r="V989" s="11">
        <v>2025</v>
      </c>
      <c r="W989" s="11" t="s">
        <v>109</v>
      </c>
      <c r="X989" s="11">
        <v>10</v>
      </c>
      <c r="Y989" s="10">
        <v>46266</v>
      </c>
      <c r="Z989" s="11" t="s">
        <v>47</v>
      </c>
      <c r="AA989" s="11" t="s">
        <v>90</v>
      </c>
      <c r="AB989" s="11" t="s">
        <v>111</v>
      </c>
      <c r="AC989" s="11" t="s">
        <v>121</v>
      </c>
      <c r="AD989" s="11">
        <v>2</v>
      </c>
      <c r="AE989" s="11" t="s">
        <v>159</v>
      </c>
      <c r="AF989" s="11" t="s">
        <v>2231</v>
      </c>
      <c r="AG989" s="25"/>
      <c r="AH989" s="11"/>
      <c r="AI989" s="11"/>
      <c r="AJ989" s="11"/>
      <c r="AK989" s="11"/>
      <c r="AL989" s="11"/>
      <c r="AM989" s="11" t="str">
        <f t="shared" si="79"/>
        <v>Good</v>
      </c>
      <c r="AN989" s="11" t="str" cm="1">
        <f t="array" ref="AN989">_xlfn.IFS(N989&lt;10000,"Low",N989&lt;30000,"Medium",N989&gt;=30000,"High")</f>
        <v>Low</v>
      </c>
      <c r="AO989" s="11" t="str">
        <f t="shared" si="80"/>
        <v>No</v>
      </c>
      <c r="AP989" s="11" t="str">
        <f t="shared" si="81"/>
        <v>Yes</v>
      </c>
      <c r="AQ989" s="11">
        <f t="shared" si="82"/>
        <v>0.31604056437389771</v>
      </c>
      <c r="AR989" s="33"/>
      <c r="AS989" s="33"/>
      <c r="AT989" s="33"/>
      <c r="AU989" s="33"/>
      <c r="AV989" s="33"/>
      <c r="AW989" s="33"/>
      <c r="AX989" s="33" t="str">
        <f t="shared" si="83"/>
        <v>Low</v>
      </c>
    </row>
    <row r="990" spans="1:50">
      <c r="A990" s="9" t="s">
        <v>1102</v>
      </c>
      <c r="B990" s="10" t="s">
        <v>1103</v>
      </c>
      <c r="C990" s="11" t="s">
        <v>1104</v>
      </c>
      <c r="D990" s="11" t="s">
        <v>143</v>
      </c>
      <c r="E990" s="11" t="s">
        <v>35</v>
      </c>
      <c r="F990" s="11" t="s">
        <v>156</v>
      </c>
      <c r="G990" s="11" t="s">
        <v>157</v>
      </c>
      <c r="H990" s="11" t="s">
        <v>171</v>
      </c>
      <c r="I990" s="11" t="s">
        <v>95</v>
      </c>
      <c r="J990" s="11" t="s">
        <v>184</v>
      </c>
      <c r="K990" s="25">
        <v>6</v>
      </c>
      <c r="L990" s="25">
        <v>9000</v>
      </c>
      <c r="M990" s="29">
        <v>0.15</v>
      </c>
      <c r="N990" s="25">
        <v>45900</v>
      </c>
      <c r="O990" s="25">
        <v>26644.01</v>
      </c>
      <c r="P990" s="25">
        <v>19255.990000000002</v>
      </c>
      <c r="Q990" s="21">
        <v>41.95</v>
      </c>
      <c r="R990" s="11" t="s">
        <v>61</v>
      </c>
      <c r="S990" s="11" t="s">
        <v>42</v>
      </c>
      <c r="T990" s="11" t="s">
        <v>63</v>
      </c>
      <c r="U990" s="11" t="s">
        <v>76</v>
      </c>
      <c r="V990" s="11">
        <v>2024</v>
      </c>
      <c r="W990" s="11" t="s">
        <v>134</v>
      </c>
      <c r="X990" s="11">
        <v>2</v>
      </c>
      <c r="Y990" s="10">
        <v>45324</v>
      </c>
      <c r="Z990" s="11" t="s">
        <v>110</v>
      </c>
      <c r="AA990" s="11" t="s">
        <v>90</v>
      </c>
      <c r="AB990" s="11" t="s">
        <v>111</v>
      </c>
      <c r="AC990" s="11" t="s">
        <v>121</v>
      </c>
      <c r="AD990" s="11">
        <v>4</v>
      </c>
      <c r="AE990" s="11" t="s">
        <v>2239</v>
      </c>
      <c r="AF990" s="11" t="s">
        <v>2217</v>
      </c>
      <c r="AG990" s="25"/>
      <c r="AH990" s="11"/>
      <c r="AI990" s="11"/>
      <c r="AJ990" s="11"/>
      <c r="AK990" s="11"/>
      <c r="AL990" s="11"/>
      <c r="AM990" s="11" t="str">
        <f t="shared" si="79"/>
        <v>Good</v>
      </c>
      <c r="AN990" s="11" t="str" cm="1">
        <f t="array" ref="AN990">_xlfn.IFS(N990&lt;10000,"Low",N990&lt;30000,"Medium",N990&gt;=30000,"High")</f>
        <v>High</v>
      </c>
      <c r="AO990" s="11" t="str">
        <f t="shared" si="80"/>
        <v>Yes</v>
      </c>
      <c r="AP990" s="11" t="str">
        <f t="shared" si="81"/>
        <v>Yes</v>
      </c>
      <c r="AQ990" s="11">
        <f t="shared" si="82"/>
        <v>0.41952047930283226</v>
      </c>
      <c r="AR990" s="33"/>
      <c r="AS990" s="33"/>
      <c r="AT990" s="33"/>
      <c r="AU990" s="33"/>
      <c r="AV990" s="33"/>
      <c r="AW990" s="33"/>
      <c r="AX990" s="33" t="str">
        <f t="shared" si="83"/>
        <v>Good</v>
      </c>
    </row>
    <row r="991" spans="1:50">
      <c r="A991" s="9" t="s">
        <v>1530</v>
      </c>
      <c r="B991" s="10" t="s">
        <v>1103</v>
      </c>
      <c r="C991" s="11" t="s">
        <v>1531</v>
      </c>
      <c r="D991" s="11" t="s">
        <v>1532</v>
      </c>
      <c r="E991" s="11" t="s">
        <v>103</v>
      </c>
      <c r="F991" s="11" t="s">
        <v>36</v>
      </c>
      <c r="G991" s="11" t="s">
        <v>37</v>
      </c>
      <c r="H991" s="11" t="s">
        <v>94</v>
      </c>
      <c r="I991" s="11" t="s">
        <v>59</v>
      </c>
      <c r="J991" s="11" t="s">
        <v>328</v>
      </c>
      <c r="K991" s="25">
        <v>8</v>
      </c>
      <c r="L991" s="25">
        <v>3000</v>
      </c>
      <c r="M991" s="29">
        <v>0.05</v>
      </c>
      <c r="N991" s="25">
        <v>22800</v>
      </c>
      <c r="O991" s="25">
        <v>13409.7</v>
      </c>
      <c r="P991" s="25">
        <v>9390.2999999999993</v>
      </c>
      <c r="Q991" s="21">
        <v>41.19</v>
      </c>
      <c r="R991" s="11" t="s">
        <v>73</v>
      </c>
      <c r="S991" s="11" t="s">
        <v>74</v>
      </c>
      <c r="T991" s="11" t="s">
        <v>138</v>
      </c>
      <c r="U991" s="11" t="s">
        <v>76</v>
      </c>
      <c r="V991" s="11">
        <v>2024</v>
      </c>
      <c r="W991" s="11" t="s">
        <v>134</v>
      </c>
      <c r="X991" s="11">
        <v>3</v>
      </c>
      <c r="Y991" s="10">
        <v>45353</v>
      </c>
      <c r="Z991" s="11" t="s">
        <v>47</v>
      </c>
      <c r="AA991" s="11" t="s">
        <v>48</v>
      </c>
      <c r="AB991" s="11" t="s">
        <v>49</v>
      </c>
      <c r="AC991" s="11" t="s">
        <v>50</v>
      </c>
      <c r="AD991" s="11">
        <v>4</v>
      </c>
      <c r="AE991" s="11" t="s">
        <v>2237</v>
      </c>
      <c r="AF991" s="11" t="s">
        <v>2231</v>
      </c>
      <c r="AG991" s="25"/>
      <c r="AH991" s="11"/>
      <c r="AI991" s="11"/>
      <c r="AJ991" s="11"/>
      <c r="AK991" s="11"/>
      <c r="AL991" s="11"/>
      <c r="AM991" s="11" t="str">
        <f t="shared" si="79"/>
        <v>Good</v>
      </c>
      <c r="AN991" s="11" t="str" cm="1">
        <f t="array" ref="AN991">_xlfn.IFS(N991&lt;10000,"Low",N991&lt;30000,"Medium",N991&gt;=30000,"High")</f>
        <v>Medium</v>
      </c>
      <c r="AO991" s="11" t="str">
        <f t="shared" si="80"/>
        <v>No</v>
      </c>
      <c r="AP991" s="11" t="str">
        <f t="shared" si="81"/>
        <v>Yes</v>
      </c>
      <c r="AQ991" s="11">
        <f t="shared" si="82"/>
        <v>0.41185526315789472</v>
      </c>
      <c r="AR991" s="33"/>
      <c r="AS991" s="33"/>
      <c r="AT991" s="33"/>
      <c r="AU991" s="33"/>
      <c r="AV991" s="33"/>
      <c r="AW991" s="33"/>
      <c r="AX991" s="33" t="str">
        <f t="shared" si="83"/>
        <v>Average</v>
      </c>
    </row>
    <row r="992" spans="1:50">
      <c r="A992" s="9" t="s">
        <v>861</v>
      </c>
      <c r="B992" s="10" t="s">
        <v>862</v>
      </c>
      <c r="C992" s="11" t="s">
        <v>863</v>
      </c>
      <c r="D992" s="11" t="s">
        <v>864</v>
      </c>
      <c r="E992" s="11" t="s">
        <v>55</v>
      </c>
      <c r="F992" s="11" t="s">
        <v>156</v>
      </c>
      <c r="G992" s="11" t="s">
        <v>157</v>
      </c>
      <c r="H992" s="11" t="s">
        <v>38</v>
      </c>
      <c r="I992" s="11" t="s">
        <v>95</v>
      </c>
      <c r="J992" s="11" t="s">
        <v>96</v>
      </c>
      <c r="K992" s="25">
        <v>5</v>
      </c>
      <c r="L992" s="25">
        <v>2500</v>
      </c>
      <c r="M992" s="29">
        <v>0.15</v>
      </c>
      <c r="N992" s="25">
        <v>10625</v>
      </c>
      <c r="O992" s="25">
        <v>8614.48</v>
      </c>
      <c r="P992" s="25">
        <v>2010.52</v>
      </c>
      <c r="Q992" s="21">
        <v>18.920000000000002</v>
      </c>
      <c r="R992" s="11" t="s">
        <v>41</v>
      </c>
      <c r="S992" s="11" t="s">
        <v>62</v>
      </c>
      <c r="T992" s="11" t="s">
        <v>86</v>
      </c>
      <c r="U992" s="11" t="s">
        <v>76</v>
      </c>
      <c r="V992" s="11">
        <v>2025</v>
      </c>
      <c r="W992" s="11" t="s">
        <v>194</v>
      </c>
      <c r="X992" s="11">
        <v>7</v>
      </c>
      <c r="Y992" s="10">
        <v>45840</v>
      </c>
      <c r="Z992" s="11" t="s">
        <v>47</v>
      </c>
      <c r="AA992" s="11" t="s">
        <v>48</v>
      </c>
      <c r="AB992" s="11" t="s">
        <v>111</v>
      </c>
      <c r="AC992" s="11" t="s">
        <v>50</v>
      </c>
      <c r="AD992" s="11">
        <v>5</v>
      </c>
      <c r="AE992" s="11" t="s">
        <v>2232</v>
      </c>
      <c r="AF992" s="11" t="s">
        <v>2214</v>
      </c>
      <c r="AG992" s="25"/>
      <c r="AH992" s="11"/>
      <c r="AI992" s="11"/>
      <c r="AJ992" s="11"/>
      <c r="AK992" s="11"/>
      <c r="AL992" s="11"/>
      <c r="AM992" s="11" t="str">
        <f t="shared" si="79"/>
        <v>Needs Improvement</v>
      </c>
      <c r="AN992" s="11" t="str" cm="1">
        <f t="array" ref="AN992">_xlfn.IFS(N992&lt;10000,"Low",N992&lt;30000,"Medium",N992&gt;=30000,"High")</f>
        <v>Medium</v>
      </c>
      <c r="AO992" s="11" t="str">
        <f t="shared" si="80"/>
        <v>No</v>
      </c>
      <c r="AP992" s="11" t="str">
        <f t="shared" si="81"/>
        <v>No</v>
      </c>
      <c r="AQ992" s="11">
        <f t="shared" si="82"/>
        <v>0.18922541176470589</v>
      </c>
      <c r="AR992" s="33"/>
      <c r="AS992" s="33"/>
      <c r="AT992" s="33"/>
      <c r="AU992" s="33"/>
      <c r="AV992" s="33"/>
      <c r="AW992" s="33"/>
      <c r="AX992" s="33" t="str">
        <f t="shared" si="83"/>
        <v>Low</v>
      </c>
    </row>
    <row r="993" spans="1:50">
      <c r="A993" s="9" t="s">
        <v>2063</v>
      </c>
      <c r="B993" s="10" t="s">
        <v>2064</v>
      </c>
      <c r="C993" s="11" t="s">
        <v>1770</v>
      </c>
      <c r="D993" s="11" t="s">
        <v>574</v>
      </c>
      <c r="E993" s="11" t="s">
        <v>35</v>
      </c>
      <c r="F993" s="11" t="s">
        <v>104</v>
      </c>
      <c r="G993" s="11" t="s">
        <v>104</v>
      </c>
      <c r="H993" s="11" t="s">
        <v>38</v>
      </c>
      <c r="I993" s="11" t="s">
        <v>39</v>
      </c>
      <c r="J993" s="11" t="s">
        <v>40</v>
      </c>
      <c r="K993" s="25">
        <v>4</v>
      </c>
      <c r="L993" s="25">
        <v>22000</v>
      </c>
      <c r="M993" s="29">
        <v>0.1</v>
      </c>
      <c r="N993" s="25">
        <v>79200</v>
      </c>
      <c r="O993" s="25">
        <v>53261.42</v>
      </c>
      <c r="P993" s="25">
        <v>25938.58</v>
      </c>
      <c r="Q993" s="21">
        <v>32.75</v>
      </c>
      <c r="R993" s="11" t="s">
        <v>73</v>
      </c>
      <c r="S993" s="11" t="s">
        <v>62</v>
      </c>
      <c r="T993" s="11" t="s">
        <v>63</v>
      </c>
      <c r="U993" s="11" t="s">
        <v>178</v>
      </c>
      <c r="V993" s="11">
        <v>2024</v>
      </c>
      <c r="W993" s="11" t="s">
        <v>45</v>
      </c>
      <c r="X993" s="11">
        <v>6</v>
      </c>
      <c r="Y993" s="10">
        <v>45447</v>
      </c>
      <c r="Z993" s="11" t="s">
        <v>47</v>
      </c>
      <c r="AA993" s="11" t="s">
        <v>90</v>
      </c>
      <c r="AB993" s="11" t="s">
        <v>78</v>
      </c>
      <c r="AC993" s="11" t="s">
        <v>50</v>
      </c>
      <c r="AD993" s="11">
        <v>5</v>
      </c>
      <c r="AE993" s="11" t="s">
        <v>2216</v>
      </c>
      <c r="AF993" s="11" t="s">
        <v>2212</v>
      </c>
      <c r="AG993" s="25"/>
      <c r="AH993" s="11"/>
      <c r="AI993" s="11"/>
      <c r="AJ993" s="11"/>
      <c r="AK993" s="11"/>
      <c r="AL993" s="11"/>
      <c r="AM993" s="11" t="str">
        <f t="shared" si="79"/>
        <v>Good</v>
      </c>
      <c r="AN993" s="11" t="str" cm="1">
        <f t="array" ref="AN993">_xlfn.IFS(N993&lt;10000,"Low",N993&lt;30000,"Medium",N993&gt;=30000,"High")</f>
        <v>High</v>
      </c>
      <c r="AO993" s="11" t="str">
        <f t="shared" si="80"/>
        <v>Yes</v>
      </c>
      <c r="AP993" s="11" t="str">
        <f t="shared" si="81"/>
        <v>No</v>
      </c>
      <c r="AQ993" s="11">
        <f t="shared" si="82"/>
        <v>0.32750732323232323</v>
      </c>
      <c r="AR993" s="33"/>
      <c r="AS993" s="33"/>
      <c r="AT993" s="33"/>
      <c r="AU993" s="33"/>
      <c r="AV993" s="33"/>
      <c r="AW993" s="33"/>
      <c r="AX993" s="33" t="str">
        <f t="shared" si="83"/>
        <v>Excellent</v>
      </c>
    </row>
    <row r="994" spans="1:50">
      <c r="A994" s="9" t="s">
        <v>525</v>
      </c>
      <c r="B994" s="10" t="s">
        <v>526</v>
      </c>
      <c r="C994" s="11" t="s">
        <v>527</v>
      </c>
      <c r="D994" s="11" t="s">
        <v>528</v>
      </c>
      <c r="E994" s="11" t="s">
        <v>55</v>
      </c>
      <c r="F994" s="11" t="s">
        <v>144</v>
      </c>
      <c r="G994" s="11" t="s">
        <v>145</v>
      </c>
      <c r="H994" s="11" t="s">
        <v>171</v>
      </c>
      <c r="I994" s="11" t="s">
        <v>71</v>
      </c>
      <c r="J994" s="11" t="s">
        <v>117</v>
      </c>
      <c r="K994" s="25">
        <v>9</v>
      </c>
      <c r="L994" s="25">
        <v>3500</v>
      </c>
      <c r="M994" s="29">
        <v>0.15</v>
      </c>
      <c r="N994" s="25">
        <v>26775</v>
      </c>
      <c r="O994" s="25">
        <v>18865.5</v>
      </c>
      <c r="P994" s="25">
        <v>7909.5</v>
      </c>
      <c r="Q994" s="21">
        <v>29.54</v>
      </c>
      <c r="R994" s="11" t="s">
        <v>166</v>
      </c>
      <c r="S994" s="11" t="s">
        <v>74</v>
      </c>
      <c r="T994" s="11" t="s">
        <v>75</v>
      </c>
      <c r="U994" s="11" t="s">
        <v>119</v>
      </c>
      <c r="V994" s="11">
        <v>2024</v>
      </c>
      <c r="W994" s="11" t="s">
        <v>194</v>
      </c>
      <c r="X994" s="11">
        <v>4</v>
      </c>
      <c r="Y994" s="10">
        <v>45388</v>
      </c>
      <c r="Z994" s="11" t="s">
        <v>47</v>
      </c>
      <c r="AA994" s="11" t="s">
        <v>48</v>
      </c>
      <c r="AB994" s="11" t="s">
        <v>49</v>
      </c>
      <c r="AC994" s="11" t="s">
        <v>50</v>
      </c>
      <c r="AD994" s="11">
        <v>5</v>
      </c>
      <c r="AE994" s="11" t="s">
        <v>86</v>
      </c>
      <c r="AF994" s="11" t="s">
        <v>2231</v>
      </c>
      <c r="AG994" s="25"/>
      <c r="AH994" s="11"/>
      <c r="AI994" s="11"/>
      <c r="AJ994" s="11"/>
      <c r="AK994" s="11"/>
      <c r="AL994" s="11"/>
      <c r="AM994" s="11" t="str">
        <f t="shared" si="79"/>
        <v>Needs Improvement</v>
      </c>
      <c r="AN994" s="11" t="str" cm="1">
        <f t="array" ref="AN994">_xlfn.IFS(N994&lt;10000,"Low",N994&lt;30000,"Medium",N994&gt;=30000,"High")</f>
        <v>Medium</v>
      </c>
      <c r="AO994" s="11" t="str">
        <f t="shared" si="80"/>
        <v>No</v>
      </c>
      <c r="AP994" s="11" t="str">
        <f t="shared" si="81"/>
        <v>Yes</v>
      </c>
      <c r="AQ994" s="11">
        <f t="shared" si="82"/>
        <v>0.29540616246498602</v>
      </c>
      <c r="AR994" s="33"/>
      <c r="AS994" s="33"/>
      <c r="AT994" s="33"/>
      <c r="AU994" s="33"/>
      <c r="AV994" s="33"/>
      <c r="AW994" s="33"/>
      <c r="AX994" s="33" t="str">
        <f t="shared" si="83"/>
        <v>Average</v>
      </c>
    </row>
    <row r="995" spans="1:50">
      <c r="A995" s="9" t="s">
        <v>543</v>
      </c>
      <c r="B995" s="10" t="s">
        <v>544</v>
      </c>
      <c r="C995" s="11" t="s">
        <v>545</v>
      </c>
      <c r="D995" s="11" t="s">
        <v>546</v>
      </c>
      <c r="E995" s="11" t="s">
        <v>103</v>
      </c>
      <c r="F995" s="11" t="s">
        <v>116</v>
      </c>
      <c r="G995" s="11" t="s">
        <v>37</v>
      </c>
      <c r="H995" s="11" t="s">
        <v>94</v>
      </c>
      <c r="I995" s="11" t="s">
        <v>71</v>
      </c>
      <c r="J995" s="11" t="s">
        <v>172</v>
      </c>
      <c r="K995" s="25">
        <v>9</v>
      </c>
      <c r="L995" s="25">
        <v>2500</v>
      </c>
      <c r="M995" s="29">
        <v>0.05</v>
      </c>
      <c r="N995" s="25">
        <v>21375</v>
      </c>
      <c r="O995" s="25">
        <v>12869.01</v>
      </c>
      <c r="P995" s="25">
        <v>8505.99</v>
      </c>
      <c r="Q995" s="21">
        <v>39.79</v>
      </c>
      <c r="R995" s="11" t="s">
        <v>61</v>
      </c>
      <c r="S995" s="11" t="s">
        <v>42</v>
      </c>
      <c r="T995" s="11" t="s">
        <v>118</v>
      </c>
      <c r="U995" s="11" t="s">
        <v>119</v>
      </c>
      <c r="V995" s="11">
        <v>2025</v>
      </c>
      <c r="W995" s="11" t="s">
        <v>65</v>
      </c>
      <c r="X995" s="11">
        <v>8</v>
      </c>
      <c r="Y995" s="10">
        <v>45875</v>
      </c>
      <c r="Z995" s="11" t="s">
        <v>47</v>
      </c>
      <c r="AA995" s="11" t="s">
        <v>90</v>
      </c>
      <c r="AB995" s="11" t="s">
        <v>111</v>
      </c>
      <c r="AC995" s="11" t="s">
        <v>50</v>
      </c>
      <c r="AD995" s="11">
        <v>3</v>
      </c>
      <c r="AE995" s="11" t="s">
        <v>2216</v>
      </c>
      <c r="AF995" s="11" t="s">
        <v>2222</v>
      </c>
      <c r="AG995" s="25"/>
      <c r="AH995" s="11"/>
      <c r="AI995" s="11"/>
      <c r="AJ995" s="11"/>
      <c r="AK995" s="11"/>
      <c r="AL995" s="11"/>
      <c r="AM995" s="11" t="str">
        <f t="shared" si="79"/>
        <v>Good</v>
      </c>
      <c r="AN995" s="11" t="str" cm="1">
        <f t="array" ref="AN995">_xlfn.IFS(N995&lt;10000,"Low",N995&lt;30000,"Medium",N995&gt;=30000,"High")</f>
        <v>Medium</v>
      </c>
      <c r="AO995" s="11" t="str">
        <f t="shared" si="80"/>
        <v>No</v>
      </c>
      <c r="AP995" s="11" t="str">
        <f t="shared" si="81"/>
        <v>Yes</v>
      </c>
      <c r="AQ995" s="11">
        <f t="shared" si="82"/>
        <v>0.39794105263157892</v>
      </c>
      <c r="AR995" s="33"/>
      <c r="AS995" s="33"/>
      <c r="AT995" s="33"/>
      <c r="AU995" s="33"/>
      <c r="AV995" s="33"/>
      <c r="AW995" s="33"/>
      <c r="AX995" s="33" t="str">
        <f t="shared" si="83"/>
        <v>Average</v>
      </c>
    </row>
    <row r="996" spans="1:50">
      <c r="A996" s="9" t="s">
        <v>1458</v>
      </c>
      <c r="B996" s="10" t="s">
        <v>544</v>
      </c>
      <c r="C996" s="11" t="s">
        <v>1314</v>
      </c>
      <c r="D996" s="11" t="s">
        <v>115</v>
      </c>
      <c r="E996" s="11" t="s">
        <v>103</v>
      </c>
      <c r="F996" s="11" t="s">
        <v>116</v>
      </c>
      <c r="G996" s="11" t="s">
        <v>37</v>
      </c>
      <c r="H996" s="11" t="s">
        <v>94</v>
      </c>
      <c r="I996" s="11" t="s">
        <v>59</v>
      </c>
      <c r="J996" s="11" t="s">
        <v>206</v>
      </c>
      <c r="K996" s="25">
        <v>3</v>
      </c>
      <c r="L996" s="25">
        <v>3000</v>
      </c>
      <c r="M996" s="29">
        <v>0.2</v>
      </c>
      <c r="N996" s="25">
        <v>7200</v>
      </c>
      <c r="O996" s="25">
        <v>4927.97</v>
      </c>
      <c r="P996" s="25">
        <v>2272.0300000000002</v>
      </c>
      <c r="Q996" s="21">
        <v>31.56</v>
      </c>
      <c r="R996" s="11" t="s">
        <v>73</v>
      </c>
      <c r="S996" s="11" t="s">
        <v>62</v>
      </c>
      <c r="T996" s="11" t="s">
        <v>173</v>
      </c>
      <c r="U996" s="11" t="s">
        <v>119</v>
      </c>
      <c r="V996" s="11">
        <v>2025</v>
      </c>
      <c r="W996" s="11" t="s">
        <v>65</v>
      </c>
      <c r="X996" s="11">
        <v>1</v>
      </c>
      <c r="Y996" s="10">
        <v>45663</v>
      </c>
      <c r="Z996" s="11" t="s">
        <v>47</v>
      </c>
      <c r="AA996" s="11" t="s">
        <v>67</v>
      </c>
      <c r="AB996" s="11" t="s">
        <v>111</v>
      </c>
      <c r="AC996" s="11" t="s">
        <v>121</v>
      </c>
      <c r="AD996" s="11">
        <v>2</v>
      </c>
      <c r="AE996" s="11" t="s">
        <v>2218</v>
      </c>
      <c r="AF996" s="11" t="s">
        <v>2217</v>
      </c>
      <c r="AG996" s="25"/>
      <c r="AH996" s="11"/>
      <c r="AI996" s="11"/>
      <c r="AJ996" s="11"/>
      <c r="AK996" s="11"/>
      <c r="AL996" s="11"/>
      <c r="AM996" s="11" t="str">
        <f t="shared" si="79"/>
        <v>Good</v>
      </c>
      <c r="AN996" s="11" t="str" cm="1">
        <f t="array" ref="AN996">_xlfn.IFS(N996&lt;10000,"Low",N996&lt;30000,"Medium",N996&gt;=30000,"High")</f>
        <v>Low</v>
      </c>
      <c r="AO996" s="11" t="str">
        <f t="shared" si="80"/>
        <v>No</v>
      </c>
      <c r="AP996" s="11" t="str">
        <f t="shared" si="81"/>
        <v>No</v>
      </c>
      <c r="AQ996" s="11">
        <f t="shared" si="82"/>
        <v>0.31555972222222223</v>
      </c>
      <c r="AR996" s="33"/>
      <c r="AS996" s="33"/>
      <c r="AT996" s="33"/>
      <c r="AU996" s="33"/>
      <c r="AV996" s="33"/>
      <c r="AW996" s="33"/>
      <c r="AX996" s="33" t="str">
        <f t="shared" si="83"/>
        <v>Low</v>
      </c>
    </row>
    <row r="997" spans="1:50">
      <c r="A997" s="9" t="s">
        <v>1841</v>
      </c>
      <c r="B997" s="10" t="s">
        <v>1354</v>
      </c>
      <c r="C997" s="11" t="s">
        <v>1345</v>
      </c>
      <c r="D997" s="11" t="s">
        <v>821</v>
      </c>
      <c r="E997" s="11" t="s">
        <v>55</v>
      </c>
      <c r="F997" s="11" t="s">
        <v>104</v>
      </c>
      <c r="G997" s="11" t="s">
        <v>104</v>
      </c>
      <c r="H997" s="11" t="s">
        <v>171</v>
      </c>
      <c r="I997" s="11" t="s">
        <v>71</v>
      </c>
      <c r="J997" s="11" t="s">
        <v>172</v>
      </c>
      <c r="K997" s="25">
        <v>2</v>
      </c>
      <c r="L997" s="25">
        <v>1200</v>
      </c>
      <c r="M997" s="29">
        <v>0</v>
      </c>
      <c r="N997" s="25">
        <v>2400</v>
      </c>
      <c r="O997" s="25">
        <v>1332.83</v>
      </c>
      <c r="P997" s="25">
        <v>1067.17</v>
      </c>
      <c r="Q997" s="21">
        <v>44.47</v>
      </c>
      <c r="R997" s="11" t="s">
        <v>41</v>
      </c>
      <c r="S997" s="11" t="s">
        <v>62</v>
      </c>
      <c r="T997" s="11" t="s">
        <v>138</v>
      </c>
      <c r="U997" s="11" t="s">
        <v>151</v>
      </c>
      <c r="V997" s="11">
        <v>2025</v>
      </c>
      <c r="W997" s="11" t="s">
        <v>139</v>
      </c>
      <c r="X997" s="11">
        <v>9</v>
      </c>
      <c r="Y997" s="10">
        <v>45908</v>
      </c>
      <c r="Z997" s="11" t="s">
        <v>47</v>
      </c>
      <c r="AA997" s="11" t="s">
        <v>48</v>
      </c>
      <c r="AB997" s="11" t="s">
        <v>49</v>
      </c>
      <c r="AC997" s="11" t="s">
        <v>50</v>
      </c>
      <c r="AD997" s="11">
        <v>5</v>
      </c>
      <c r="AE997" s="11" t="s">
        <v>2229</v>
      </c>
      <c r="AF997" s="11" t="s">
        <v>2235</v>
      </c>
      <c r="AG997" s="25"/>
      <c r="AH997" s="11"/>
      <c r="AI997" s="11"/>
      <c r="AJ997" s="11"/>
      <c r="AK997" s="11"/>
      <c r="AL997" s="11"/>
      <c r="AM997" s="11" t="str">
        <f t="shared" si="79"/>
        <v>Good</v>
      </c>
      <c r="AN997" s="11" t="str" cm="1">
        <f t="array" ref="AN997">_xlfn.IFS(N997&lt;10000,"Low",N997&lt;30000,"Medium",N997&gt;=30000,"High")</f>
        <v>Low</v>
      </c>
      <c r="AO997" s="11" t="str">
        <f t="shared" si="80"/>
        <v>No</v>
      </c>
      <c r="AP997" s="11" t="str">
        <f t="shared" si="81"/>
        <v>No</v>
      </c>
      <c r="AQ997" s="11">
        <f t="shared" si="82"/>
        <v>0.44465416666666668</v>
      </c>
      <c r="AR997" s="33"/>
      <c r="AS997" s="33"/>
      <c r="AT997" s="33"/>
      <c r="AU997" s="33"/>
      <c r="AV997" s="33"/>
      <c r="AW997" s="33"/>
      <c r="AX997" s="33" t="str">
        <f t="shared" si="83"/>
        <v>Low</v>
      </c>
    </row>
    <row r="998" spans="1:50">
      <c r="A998" s="9" t="s">
        <v>1087</v>
      </c>
      <c r="B998" s="10" t="s">
        <v>1088</v>
      </c>
      <c r="C998" s="11" t="s">
        <v>868</v>
      </c>
      <c r="D998" s="11" t="s">
        <v>1035</v>
      </c>
      <c r="E998" s="11" t="s">
        <v>55</v>
      </c>
      <c r="F998" s="11" t="s">
        <v>82</v>
      </c>
      <c r="G998" s="11" t="s">
        <v>83</v>
      </c>
      <c r="H998" s="11" t="s">
        <v>38</v>
      </c>
      <c r="I998" s="11" t="s">
        <v>39</v>
      </c>
      <c r="J998" s="11" t="s">
        <v>40</v>
      </c>
      <c r="K998" s="25">
        <v>7</v>
      </c>
      <c r="L998" s="25">
        <v>8000</v>
      </c>
      <c r="M998" s="29">
        <v>0.15</v>
      </c>
      <c r="N998" s="25">
        <v>47600</v>
      </c>
      <c r="O998" s="25">
        <v>36840.19</v>
      </c>
      <c r="P998" s="25">
        <v>10759.81</v>
      </c>
      <c r="Q998" s="21">
        <v>22.6</v>
      </c>
      <c r="R998" s="11" t="s">
        <v>106</v>
      </c>
      <c r="S998" s="11" t="s">
        <v>62</v>
      </c>
      <c r="T998" s="11" t="s">
        <v>43</v>
      </c>
      <c r="U998" s="11" t="s">
        <v>218</v>
      </c>
      <c r="V998" s="11">
        <v>2024</v>
      </c>
      <c r="W998" s="11" t="s">
        <v>65</v>
      </c>
      <c r="X998" s="11">
        <v>6</v>
      </c>
      <c r="Y998" s="10">
        <v>45452</v>
      </c>
      <c r="Z998" s="11" t="s">
        <v>110</v>
      </c>
      <c r="AA998" s="11" t="s">
        <v>90</v>
      </c>
      <c r="AB998" s="11" t="s">
        <v>49</v>
      </c>
      <c r="AC998" s="11" t="s">
        <v>50</v>
      </c>
      <c r="AD998" s="11">
        <v>5</v>
      </c>
      <c r="AE998" s="11" t="s">
        <v>86</v>
      </c>
      <c r="AF998" s="11" t="s">
        <v>2210</v>
      </c>
      <c r="AG998" s="25"/>
      <c r="AH998" s="11"/>
      <c r="AI998" s="11"/>
      <c r="AJ998" s="11"/>
      <c r="AK998" s="11"/>
      <c r="AL998" s="11"/>
      <c r="AM998" s="11" t="str">
        <f t="shared" si="79"/>
        <v>Needs Improvement</v>
      </c>
      <c r="AN998" s="11" t="str" cm="1">
        <f t="array" ref="AN998">_xlfn.IFS(N998&lt;10000,"Low",N998&lt;30000,"Medium",N998&gt;=30000,"High")</f>
        <v>High</v>
      </c>
      <c r="AO998" s="11" t="str">
        <f t="shared" si="80"/>
        <v>Yes</v>
      </c>
      <c r="AP998" s="11" t="str">
        <f t="shared" si="81"/>
        <v>No</v>
      </c>
      <c r="AQ998" s="11">
        <f t="shared" si="82"/>
        <v>0.22604642857142856</v>
      </c>
      <c r="AR998" s="33"/>
      <c r="AS998" s="33"/>
      <c r="AT998" s="33"/>
      <c r="AU998" s="33"/>
      <c r="AV998" s="33"/>
      <c r="AW998" s="33"/>
      <c r="AX998" s="33" t="str">
        <f t="shared" si="83"/>
        <v>Good</v>
      </c>
    </row>
    <row r="999" spans="1:50">
      <c r="A999" s="9" t="s">
        <v>550</v>
      </c>
      <c r="B999" s="10" t="s">
        <v>551</v>
      </c>
      <c r="C999" s="11" t="s">
        <v>514</v>
      </c>
      <c r="D999" s="11" t="s">
        <v>155</v>
      </c>
      <c r="E999" s="11" t="s">
        <v>35</v>
      </c>
      <c r="F999" s="11" t="s">
        <v>82</v>
      </c>
      <c r="G999" s="11" t="s">
        <v>83</v>
      </c>
      <c r="H999" s="11" t="s">
        <v>94</v>
      </c>
      <c r="I999" s="11" t="s">
        <v>84</v>
      </c>
      <c r="J999" s="11" t="s">
        <v>217</v>
      </c>
      <c r="K999" s="25">
        <v>10</v>
      </c>
      <c r="L999" s="25">
        <v>100</v>
      </c>
      <c r="M999" s="29">
        <v>0.1</v>
      </c>
      <c r="N999" s="25">
        <v>900</v>
      </c>
      <c r="O999" s="25">
        <v>510.1</v>
      </c>
      <c r="P999" s="25">
        <v>389.9</v>
      </c>
      <c r="Q999" s="21">
        <v>43.32</v>
      </c>
      <c r="R999" s="11" t="s">
        <v>41</v>
      </c>
      <c r="S999" s="11" t="s">
        <v>42</v>
      </c>
      <c r="T999" s="11" t="s">
        <v>159</v>
      </c>
      <c r="U999" s="11" t="s">
        <v>87</v>
      </c>
      <c r="V999" s="11">
        <v>2025</v>
      </c>
      <c r="W999" s="11" t="s">
        <v>194</v>
      </c>
      <c r="X999" s="11">
        <v>6</v>
      </c>
      <c r="Y999" s="10">
        <v>45819</v>
      </c>
      <c r="Z999" s="11" t="s">
        <v>47</v>
      </c>
      <c r="AA999" s="11" t="s">
        <v>48</v>
      </c>
      <c r="AB999" s="11" t="s">
        <v>49</v>
      </c>
      <c r="AC999" s="11" t="s">
        <v>50</v>
      </c>
      <c r="AD999" s="11">
        <v>3</v>
      </c>
      <c r="AE999" s="11" t="s">
        <v>2239</v>
      </c>
      <c r="AF999" s="11" t="s">
        <v>2228</v>
      </c>
      <c r="AG999" s="25"/>
      <c r="AH999" s="11"/>
      <c r="AI999" s="11"/>
      <c r="AJ999" s="11"/>
      <c r="AK999" s="11"/>
      <c r="AL999" s="11"/>
      <c r="AM999" s="11" t="str">
        <f t="shared" si="79"/>
        <v>Good</v>
      </c>
      <c r="AN999" s="11" t="str" cm="1">
        <f t="array" ref="AN999">_xlfn.IFS(N999&lt;10000,"Low",N999&lt;30000,"Medium",N999&gt;=30000,"High")</f>
        <v>Low</v>
      </c>
      <c r="AO999" s="11" t="str">
        <f t="shared" si="80"/>
        <v>No</v>
      </c>
      <c r="AP999" s="11" t="str">
        <f t="shared" si="81"/>
        <v>Yes</v>
      </c>
      <c r="AQ999" s="11">
        <f t="shared" si="82"/>
        <v>0.43322222222222218</v>
      </c>
      <c r="AR999" s="33"/>
      <c r="AS999" s="33"/>
      <c r="AT999" s="33"/>
      <c r="AU999" s="33"/>
      <c r="AV999" s="33"/>
      <c r="AW999" s="33"/>
      <c r="AX999" s="33" t="str">
        <f t="shared" si="83"/>
        <v>Low</v>
      </c>
    </row>
    <row r="1000" spans="1:50">
      <c r="A1000" s="9" t="s">
        <v>1461</v>
      </c>
      <c r="B1000" s="10" t="s">
        <v>551</v>
      </c>
      <c r="C1000" s="11" t="s">
        <v>745</v>
      </c>
      <c r="D1000" s="11" t="s">
        <v>1462</v>
      </c>
      <c r="E1000" s="11" t="s">
        <v>55</v>
      </c>
      <c r="F1000" s="11" t="s">
        <v>144</v>
      </c>
      <c r="G1000" s="11" t="s">
        <v>145</v>
      </c>
      <c r="H1000" s="11" t="s">
        <v>58</v>
      </c>
      <c r="I1000" s="11" t="s">
        <v>59</v>
      </c>
      <c r="J1000" s="11" t="s">
        <v>328</v>
      </c>
      <c r="K1000" s="25">
        <v>6</v>
      </c>
      <c r="L1000" s="25">
        <v>2000</v>
      </c>
      <c r="M1000" s="29">
        <v>0.15</v>
      </c>
      <c r="N1000" s="25">
        <v>10200</v>
      </c>
      <c r="O1000" s="25">
        <v>7836.46</v>
      </c>
      <c r="P1000" s="25">
        <v>2363.54</v>
      </c>
      <c r="Q1000" s="21">
        <v>23.17</v>
      </c>
      <c r="R1000" s="11" t="s">
        <v>106</v>
      </c>
      <c r="S1000" s="11" t="s">
        <v>74</v>
      </c>
      <c r="T1000" s="11" t="s">
        <v>97</v>
      </c>
      <c r="U1000" s="11" t="s">
        <v>87</v>
      </c>
      <c r="V1000" s="11">
        <v>2025</v>
      </c>
      <c r="W1000" s="11" t="s">
        <v>194</v>
      </c>
      <c r="X1000" s="11">
        <v>9</v>
      </c>
      <c r="Y1000" s="10">
        <v>45911</v>
      </c>
      <c r="Z1000" s="11" t="s">
        <v>110</v>
      </c>
      <c r="AA1000" s="11" t="s">
        <v>48</v>
      </c>
      <c r="AB1000" s="11" t="s">
        <v>111</v>
      </c>
      <c r="AC1000" s="11" t="s">
        <v>121</v>
      </c>
      <c r="AD1000" s="11">
        <v>1</v>
      </c>
      <c r="AE1000" s="11" t="s">
        <v>2225</v>
      </c>
      <c r="AF1000" s="11" t="s">
        <v>2224</v>
      </c>
      <c r="AG1000" s="25"/>
      <c r="AH1000" s="11"/>
      <c r="AI1000" s="11"/>
      <c r="AJ1000" s="11"/>
      <c r="AK1000" s="11"/>
      <c r="AL1000" s="11"/>
      <c r="AM1000" s="11" t="str">
        <f t="shared" si="79"/>
        <v>Needs Improvement</v>
      </c>
      <c r="AN1000" s="11" t="str" cm="1">
        <f t="array" ref="AN1000">_xlfn.IFS(N1000&lt;10000,"Low",N1000&lt;30000,"Medium",N1000&gt;=30000,"High")</f>
        <v>Medium</v>
      </c>
      <c r="AO1000" s="11" t="str">
        <f t="shared" si="80"/>
        <v>No</v>
      </c>
      <c r="AP1000" s="11" t="str">
        <f t="shared" si="81"/>
        <v>Yes</v>
      </c>
      <c r="AQ1000" s="11">
        <f t="shared" si="82"/>
        <v>0.23171960784313725</v>
      </c>
      <c r="AR1000" s="33"/>
      <c r="AS1000" s="33"/>
      <c r="AT1000" s="33"/>
      <c r="AU1000" s="33"/>
      <c r="AV1000" s="33"/>
      <c r="AW1000" s="33"/>
      <c r="AX1000" s="33" t="str">
        <f t="shared" si="83"/>
        <v>Low</v>
      </c>
    </row>
    <row r="1001" spans="1:50">
      <c r="A1001" s="14" t="s">
        <v>127</v>
      </c>
      <c r="B1001" s="15" t="s">
        <v>128</v>
      </c>
      <c r="C1001" s="16" t="s">
        <v>129</v>
      </c>
      <c r="D1001" s="16" t="s">
        <v>130</v>
      </c>
      <c r="E1001" s="16" t="s">
        <v>103</v>
      </c>
      <c r="F1001" s="16" t="s">
        <v>131</v>
      </c>
      <c r="G1001" s="16" t="s">
        <v>132</v>
      </c>
      <c r="H1001" s="16" t="s">
        <v>94</v>
      </c>
      <c r="I1001" s="16" t="s">
        <v>59</v>
      </c>
      <c r="J1001" s="16" t="s">
        <v>133</v>
      </c>
      <c r="K1001" s="26">
        <v>4</v>
      </c>
      <c r="L1001" s="26">
        <v>3000</v>
      </c>
      <c r="M1001" s="30">
        <v>0.05</v>
      </c>
      <c r="N1001" s="26">
        <v>11400</v>
      </c>
      <c r="O1001" s="26">
        <v>9333.07</v>
      </c>
      <c r="P1001" s="26">
        <v>2066.9299999999998</v>
      </c>
      <c r="Q1001" s="22">
        <v>18.13</v>
      </c>
      <c r="R1001" s="16" t="s">
        <v>106</v>
      </c>
      <c r="S1001" s="16" t="s">
        <v>74</v>
      </c>
      <c r="T1001" s="16" t="s">
        <v>86</v>
      </c>
      <c r="U1001" s="16" t="s">
        <v>64</v>
      </c>
      <c r="V1001" s="16">
        <v>2025</v>
      </c>
      <c r="W1001" s="16" t="s">
        <v>134</v>
      </c>
      <c r="X1001" s="16">
        <v>5</v>
      </c>
      <c r="Y1001" s="15">
        <v>46143</v>
      </c>
      <c r="Z1001" s="16" t="s">
        <v>110</v>
      </c>
      <c r="AA1001" s="16" t="s">
        <v>90</v>
      </c>
      <c r="AB1001" s="16" t="s">
        <v>78</v>
      </c>
      <c r="AC1001" s="16" t="s">
        <v>121</v>
      </c>
      <c r="AD1001" s="16">
        <v>5</v>
      </c>
      <c r="AE1001" s="16" t="s">
        <v>159</v>
      </c>
      <c r="AF1001" s="16" t="s">
        <v>2219</v>
      </c>
      <c r="AG1001" s="26"/>
      <c r="AH1001" s="16"/>
      <c r="AI1001" s="16"/>
      <c r="AJ1001" s="16"/>
      <c r="AK1001" s="16"/>
      <c r="AL1001" s="16"/>
      <c r="AM1001" s="16" t="str">
        <f t="shared" si="79"/>
        <v>Needs Improvement</v>
      </c>
      <c r="AN1001" s="16" t="str" cm="1">
        <f t="array" ref="AN1001">_xlfn.IFS(N1001&lt;10000,"Low",N1001&lt;30000,"Medium",N1001&gt;=30000,"High")</f>
        <v>Medium</v>
      </c>
      <c r="AO1001" s="16" t="str">
        <f t="shared" si="80"/>
        <v>No</v>
      </c>
      <c r="AP1001" s="16" t="str">
        <f t="shared" si="81"/>
        <v>Yes</v>
      </c>
      <c r="AQ1001" s="16">
        <f t="shared" si="82"/>
        <v>0.181309649122807</v>
      </c>
      <c r="AR1001" s="35"/>
      <c r="AS1001" s="35"/>
      <c r="AT1001" s="35"/>
      <c r="AU1001" s="35"/>
      <c r="AV1001" s="35"/>
      <c r="AW1001" s="35"/>
      <c r="AX1001" s="35" t="str">
        <f t="shared" si="83"/>
        <v>Low</v>
      </c>
    </row>
  </sheetData>
  <conditionalFormatting sqref="N1:N1048576">
    <cfRule type="top10" dxfId="54" priority="2" rank="10"/>
  </conditionalFormatting>
  <conditionalFormatting sqref="N1:N1048576">
    <cfRule type="notContainsBlanks" dxfId="53" priority="1">
      <formula>LEN(TRIM(N1))&gt;0</formula>
    </cfRule>
  </conditionalFormatting>
  <dataValidations count="1">
    <dataValidation type="whole" allowBlank="1" showInputMessage="1" showErrorMessage="1" sqref="AD2:AD1004" xr:uid="{011FCF1D-B645-46FF-99D7-9FF364682B6C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ED37-EC3A-4A4E-9E5B-E3A49FF2F869}">
  <dimension ref="A1:BV1100"/>
  <sheetViews>
    <sheetView topLeftCell="BH1" workbookViewId="0">
      <selection activeCell="BU7" sqref="BU7"/>
    </sheetView>
  </sheetViews>
  <sheetFormatPr defaultRowHeight="15"/>
  <cols>
    <col min="1" max="1" width="12.7109375" style="43" bestFit="1" customWidth="1"/>
    <col min="2" max="2" width="10.28515625" style="43" bestFit="1" customWidth="1"/>
    <col min="4" max="4" width="11.5703125" style="43" bestFit="1" customWidth="1"/>
    <col min="5" max="5" width="10.42578125" style="43" bestFit="1" customWidth="1"/>
    <col min="7" max="8" width="9.140625" style="38"/>
    <col min="13" max="13" width="14.7109375" bestFit="1" customWidth="1"/>
    <col min="14" max="14" width="10.28515625" bestFit="1" customWidth="1"/>
    <col min="16" max="16" width="20.42578125" bestFit="1" customWidth="1"/>
    <col min="17" max="17" width="20.5703125" bestFit="1" customWidth="1"/>
    <col min="19" max="19" width="17.5703125" bestFit="1" customWidth="1"/>
    <col min="20" max="20" width="16.5703125" bestFit="1" customWidth="1"/>
    <col min="22" max="22" width="11.85546875" bestFit="1" customWidth="1"/>
    <col min="23" max="23" width="14.140625" bestFit="1" customWidth="1"/>
    <col min="24" max="24" width="9.7109375" bestFit="1" customWidth="1"/>
    <col min="26" max="26" width="14.42578125" bestFit="1" customWidth="1"/>
    <col min="27" max="27" width="15" bestFit="1" customWidth="1"/>
    <col min="28" max="28" width="15.7109375" bestFit="1" customWidth="1"/>
    <col min="30" max="30" width="14.5703125" bestFit="1" customWidth="1"/>
    <col min="31" max="31" width="5.85546875" bestFit="1" customWidth="1"/>
    <col min="32" max="32" width="5.42578125" bestFit="1" customWidth="1"/>
    <col min="33" max="33" width="5.85546875" bestFit="1" customWidth="1"/>
    <col min="34" max="34" width="5.140625" bestFit="1" customWidth="1"/>
    <col min="36" max="36" width="14.42578125" bestFit="1" customWidth="1"/>
    <col min="37" max="37" width="9" bestFit="1" customWidth="1"/>
    <col min="38" max="38" width="9.7109375" bestFit="1" customWidth="1"/>
    <col min="40" max="40" width="14.28515625" style="48" bestFit="1" customWidth="1"/>
    <col min="41" max="41" width="8.7109375" style="48" bestFit="1" customWidth="1"/>
    <col min="42" max="42" width="14.85546875" style="48" bestFit="1" customWidth="1"/>
    <col min="43" max="43" width="9.140625" style="48"/>
    <col min="44" max="44" width="11.5703125" style="48" bestFit="1" customWidth="1"/>
    <col min="45" max="45" width="12.7109375" bestFit="1" customWidth="1"/>
    <col min="46" max="46" width="16.140625" bestFit="1" customWidth="1"/>
    <col min="47" max="47" width="13" bestFit="1" customWidth="1"/>
    <col min="48" max="48" width="12.7109375" bestFit="1" customWidth="1"/>
    <col min="49" max="49" width="14" bestFit="1" customWidth="1"/>
    <col min="50" max="50" width="12.7109375" bestFit="1" customWidth="1"/>
    <col min="51" max="51" width="12.28515625" bestFit="1" customWidth="1"/>
    <col min="52" max="52" width="12.140625" bestFit="1" customWidth="1"/>
    <col min="53" max="53" width="12.7109375" bestFit="1" customWidth="1"/>
    <col min="54" max="54" width="16.42578125" bestFit="1" customWidth="1"/>
    <col min="56" max="56" width="14.5703125" bestFit="1" customWidth="1"/>
    <col min="57" max="57" width="10.5703125" bestFit="1" customWidth="1"/>
    <col min="58" max="58" width="9.7109375" bestFit="1" customWidth="1"/>
    <col min="60" max="60" width="14.42578125" bestFit="1" customWidth="1"/>
    <col min="61" max="61" width="10.5703125" bestFit="1" customWidth="1"/>
    <col min="62" max="62" width="9.7109375" bestFit="1" customWidth="1"/>
    <col min="64" max="64" width="12.140625" style="43" bestFit="1" customWidth="1"/>
    <col min="66" max="66" width="14" style="43" customWidth="1"/>
    <col min="68" max="68" width="14.140625" bestFit="1" customWidth="1"/>
    <col min="70" max="70" width="16.28515625" bestFit="1" customWidth="1"/>
    <col min="73" max="73" width="12.7109375" bestFit="1" customWidth="1"/>
    <col min="74" max="74" width="9.85546875" bestFit="1" customWidth="1"/>
  </cols>
  <sheetData>
    <row r="1" spans="1:74">
      <c r="A1" s="39" t="s">
        <v>9</v>
      </c>
      <c r="B1" s="39" t="s">
        <v>2250</v>
      </c>
      <c r="D1" s="41" t="s">
        <v>19</v>
      </c>
      <c r="E1" s="41" t="s">
        <v>2199</v>
      </c>
      <c r="G1" s="45" t="s">
        <v>20</v>
      </c>
      <c r="H1" s="45" t="s">
        <v>2250</v>
      </c>
      <c r="J1" s="41" t="s">
        <v>21</v>
      </c>
      <c r="K1" s="41" t="s">
        <v>2250</v>
      </c>
      <c r="M1" s="41" t="s">
        <v>2251</v>
      </c>
      <c r="N1" s="41" t="s">
        <v>2250</v>
      </c>
      <c r="P1" s="41" t="s">
        <v>2204</v>
      </c>
      <c r="Q1" s="41" t="s">
        <v>2252</v>
      </c>
      <c r="S1" s="41" t="s">
        <v>2253</v>
      </c>
      <c r="T1" s="41" t="s">
        <v>2254</v>
      </c>
      <c r="V1" s="41" t="s">
        <v>9</v>
      </c>
      <c r="W1" s="41" t="s">
        <v>8</v>
      </c>
      <c r="X1" s="41" t="s">
        <v>2255</v>
      </c>
      <c r="Z1" s="41" t="s">
        <v>2256</v>
      </c>
      <c r="AA1" s="41" t="s">
        <v>2257</v>
      </c>
      <c r="AB1" s="41" t="s">
        <v>2258</v>
      </c>
      <c r="AD1" s="41" t="s">
        <v>9</v>
      </c>
      <c r="AE1" s="41" t="s">
        <v>96</v>
      </c>
      <c r="AF1" s="41" t="s">
        <v>319</v>
      </c>
      <c r="AG1" s="41" t="s">
        <v>117</v>
      </c>
      <c r="AH1" s="41" t="s">
        <v>72</v>
      </c>
      <c r="AJ1" s="41" t="s">
        <v>2256</v>
      </c>
      <c r="AK1" s="41" t="s">
        <v>8</v>
      </c>
      <c r="AL1" s="41" t="s">
        <v>2255</v>
      </c>
      <c r="AN1" s="75" t="s">
        <v>2259</v>
      </c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D1" s="69" t="s">
        <v>2260</v>
      </c>
      <c r="BE1" s="69" t="s">
        <v>8</v>
      </c>
      <c r="BF1" s="69" t="s">
        <v>2255</v>
      </c>
      <c r="BH1" s="70" t="s">
        <v>2256</v>
      </c>
      <c r="BI1" s="70" t="s">
        <v>8</v>
      </c>
      <c r="BJ1" s="70" t="s">
        <v>2261</v>
      </c>
      <c r="BL1" s="69" t="s">
        <v>2262</v>
      </c>
      <c r="BN1" s="69" t="s">
        <v>2263</v>
      </c>
      <c r="BP1" s="69" t="s">
        <v>2264</v>
      </c>
      <c r="BR1" s="76" t="s">
        <v>2265</v>
      </c>
      <c r="BS1" s="76"/>
      <c r="BU1" s="77" t="s">
        <v>2266</v>
      </c>
      <c r="BV1" s="78"/>
    </row>
    <row r="2" spans="1:74">
      <c r="A2" s="40" t="str" cm="1">
        <f t="array" ref="A2:A26">_xlfn.UNIQUE(Sheet1!J2:J1001)</f>
        <v>Table</v>
      </c>
      <c r="B2" s="40">
        <f>SUMIFS(Sheet1!$N$2:$N$1001,Sheet1!$J$2:$J$1001,A2)</f>
        <v>1352275</v>
      </c>
      <c r="D2" s="40" t="str" cm="1">
        <f t="array" ref="D2:D11">_xlfn.UNIQUE(Sheet1!T2:T1001)</f>
        <v>Sneha</v>
      </c>
      <c r="E2" s="40">
        <f>SUMIFS(Sheet1!$N$2:$N$1001,Sheet1!$T$2:$T$1001,D2)</f>
        <v>2992322.5</v>
      </c>
      <c r="G2" s="42" t="str" cm="1">
        <f t="array" ref="G2:G13">_xlfn.UNIQUE(Sheet1!U2:U1001)</f>
        <v>March</v>
      </c>
      <c r="H2" s="42">
        <f>SUMIFS(Sheet1!$N$2:$N$1001,Sheet1!$U$2:$U$1001,G2)</f>
        <v>2618520</v>
      </c>
      <c r="J2" s="40" cm="1">
        <f t="array" ref="J2:J3">_xlfn.UNIQUE(Sheet1!V2:V1001)</f>
        <v>2024</v>
      </c>
      <c r="K2" s="40">
        <f>SUMIFS(Sheet1!$N$2:$N$1001,Sheet1!$V$2:$V$1001,J2)</f>
        <v>16651332.5</v>
      </c>
      <c r="M2" s="40" t="s">
        <v>2267</v>
      </c>
      <c r="N2" s="44">
        <f>SUM(Sheet1!P2:P1001)</f>
        <v>9519984.0999999978</v>
      </c>
      <c r="P2" s="42" t="s">
        <v>2252</v>
      </c>
      <c r="Q2" s="46">
        <f>AVERAGE(Sheet1!Q2:Q1001)</f>
        <v>31.335760000000015</v>
      </c>
      <c r="S2" s="42" t="s">
        <v>2254</v>
      </c>
      <c r="T2" s="47">
        <f>AVERAGE(Sheet1!M2:M1001)</f>
        <v>0.10134999999999998</v>
      </c>
      <c r="V2" s="40" t="str">
        <f>Sheet1!J2</f>
        <v>Table</v>
      </c>
      <c r="W2" s="40" t="str">
        <f>Sheet1!I2</f>
        <v>Furniture</v>
      </c>
      <c r="X2" s="44">
        <f>Sheet1!L2</f>
        <v>4000</v>
      </c>
      <c r="Z2" s="40" t="s">
        <v>96</v>
      </c>
      <c r="AA2" s="40" t="str">
        <f>VLOOKUP(Z2,$V$2:$X$11,2,FALSE)</f>
        <v>Furniture</v>
      </c>
      <c r="AB2" s="40">
        <f>VLOOKUP(Z2,$V$2:$X$11,3,FALSE)</f>
        <v>4000</v>
      </c>
      <c r="AD2" s="40" t="s">
        <v>2255</v>
      </c>
      <c r="AE2" s="40">
        <v>4000</v>
      </c>
      <c r="AF2" s="40">
        <v>4000</v>
      </c>
      <c r="AG2" s="40">
        <v>1800</v>
      </c>
      <c r="AH2" s="40">
        <v>700</v>
      </c>
      <c r="AJ2" s="40" t="s">
        <v>356</v>
      </c>
      <c r="AK2" s="40" t="str">
        <f>INDEX(Sheet1!$I$2:$I$1001,MATCH(AJ2,Sheet1!$J$2:$J$1001,0))</f>
        <v>Electronics</v>
      </c>
      <c r="AL2" s="40">
        <f>INDEX(Sheet1!$L$2:$L$1001,MATCH(AJ2,Sheet1!$J$2:$J$1001,0))</f>
        <v>35000</v>
      </c>
      <c r="AN2" s="53" t="s">
        <v>1</v>
      </c>
      <c r="AO2" s="54" t="s">
        <v>2268</v>
      </c>
      <c r="AP2" s="54" t="s">
        <v>2269</v>
      </c>
      <c r="AQ2" s="54" t="s">
        <v>21</v>
      </c>
      <c r="AR2" s="54" t="s">
        <v>2270</v>
      </c>
      <c r="AS2" s="55" t="s">
        <v>2271</v>
      </c>
      <c r="AT2" s="55" t="s">
        <v>2272</v>
      </c>
      <c r="AU2" s="55" t="s">
        <v>2273</v>
      </c>
      <c r="AV2" s="55" t="s">
        <v>2274</v>
      </c>
      <c r="AW2" s="55" t="s">
        <v>2275</v>
      </c>
      <c r="AX2" s="55" t="s">
        <v>2276</v>
      </c>
      <c r="AY2" s="55" t="s">
        <v>2277</v>
      </c>
      <c r="AZ2" s="55" t="s">
        <v>2278</v>
      </c>
      <c r="BA2" s="55" t="s">
        <v>2279</v>
      </c>
      <c r="BB2" s="55" t="s">
        <v>2280</v>
      </c>
      <c r="BD2" s="40" t="s">
        <v>356</v>
      </c>
      <c r="BE2" s="40" t="str">
        <f>INDEX(Sheet1!I2:I1001,MATCH("Laptop",Sheet1!J2:J1001,0))</f>
        <v>Electronics</v>
      </c>
      <c r="BF2" s="40">
        <f>INDEX(Sheet1!L2:L1001,MATCH("Laptop",Sheet1!J2:J1001,0))</f>
        <v>35000</v>
      </c>
      <c r="BH2" s="40" t="s">
        <v>356</v>
      </c>
      <c r="BI2" s="40" t="str">
        <f>_xlfn.XLOOKUP("Laptop",Sheet1!J2:J1001,Sheet1!I2:I1001,"Not Found",0)</f>
        <v>Electronics</v>
      </c>
      <c r="BJ2" s="40">
        <f>_xlfn.XLOOKUP("Laptop",Sheet1!J2:J1001,Sheet1!L2:L1001,"Not Found",0)</f>
        <v>35000</v>
      </c>
      <c r="BL2" s="40" t="str" cm="1">
        <f t="array" ref="BL2:BL189">_xlfn._xlws.FILTER(Sheet1!J2:J1001,Sheet1!I2:I1001="Electronics")</f>
        <v>Smartphone</v>
      </c>
      <c r="BN2" s="40" t="str" cm="1">
        <f t="array" ref="BN2:BN6">_xlfn.UNIQUE(Sheet1!I2:I1001)</f>
        <v>Furniture</v>
      </c>
      <c r="BP2" s="40" t="str" cm="1">
        <f t="array" ref="BP2:BP6">_xlfn._xlws.SORT(_xlfn.UNIQUE(Sheet1!I2:I1001))</f>
        <v>Accessories</v>
      </c>
      <c r="BR2" s="40" t="s">
        <v>2281</v>
      </c>
      <c r="BS2" s="44">
        <f>SUM(Sheet1!N2:N1001)</f>
        <v>30311250</v>
      </c>
      <c r="BU2" s="40" t="s">
        <v>2282</v>
      </c>
      <c r="BV2" s="40">
        <v>35000000</v>
      </c>
    </row>
    <row r="3" spans="1:74">
      <c r="A3" s="40" t="str">
        <v>Desk</v>
      </c>
      <c r="B3" s="40">
        <f>SUMIFS(Sheet1!$N$2:$N$1001,Sheet1!$J$2:$J$1001,A3)</f>
        <v>1791875</v>
      </c>
      <c r="D3" s="40" t="str">
        <v>Kavita</v>
      </c>
      <c r="E3" s="40">
        <f>SUMIFS(Sheet1!$N$2:$N$1001,Sheet1!$T$2:$T$1001,D3)</f>
        <v>3337090</v>
      </c>
      <c r="G3" s="42" t="str">
        <v>May</v>
      </c>
      <c r="H3" s="42">
        <f>SUMIFS(Sheet1!$N$2:$N$1001,Sheet1!$U$2:$U$1001,G3)</f>
        <v>1121067.5</v>
      </c>
      <c r="J3" s="40">
        <v>2025</v>
      </c>
      <c r="K3" s="40">
        <f>SUMIFS(Sheet1!$N$2:$N$1001,Sheet1!$V$2:$V$1001,J3)</f>
        <v>13659917.5</v>
      </c>
      <c r="V3" s="40" t="str">
        <f>Sheet1!J3</f>
        <v>Desk</v>
      </c>
      <c r="W3" s="40" t="str">
        <f>Sheet1!I3</f>
        <v>Furniture</v>
      </c>
      <c r="X3" s="44">
        <f>Sheet1!L3</f>
        <v>4000</v>
      </c>
      <c r="Z3" s="40" t="s">
        <v>319</v>
      </c>
      <c r="AA3" s="40" t="str">
        <f t="shared" ref="AA3:AA11" si="0">VLOOKUP(Z3,$V$2:$X$11,2,FALSE)</f>
        <v>Furniture</v>
      </c>
      <c r="AB3" s="40">
        <f t="shared" ref="AB3:AB11" si="1">VLOOKUP(Z3,$V$2:$X$11,3,FALSE)</f>
        <v>4000</v>
      </c>
      <c r="AN3" s="49">
        <f>Sheet1!B2</f>
        <v>45294</v>
      </c>
      <c r="AO3" s="50">
        <f>IFERROR(DAY(AN3),VALUE(LEFT(AN3,2)))</f>
        <v>3</v>
      </c>
      <c r="AP3" s="50">
        <f>IFERROR(MONTH(AN3),VALUE(MID(AN3,4,2)))</f>
        <v>1</v>
      </c>
      <c r="AQ3" s="50">
        <f>IFERROR(YEAR(AN3),VALUE(RIGHT(AN3,4)))</f>
        <v>2024</v>
      </c>
      <c r="AR3" s="50" t="str">
        <f>IF(ISNUMBER(AN3),TEXT(AN3,"mmm-yyyy"),TEXT(DATE(VALUE(RIGHT(AN3,4)),VALUE(MID(AN3,4,2)),VALUE(LEFT(AN3,2))),"mmm-yyyy"))</f>
        <v>Jan-2024</v>
      </c>
      <c r="AS3" s="52">
        <f>DATE(AQ3,AP3,AO3)</f>
        <v>45294</v>
      </c>
      <c r="AT3" s="44">
        <f ca="1">TODAY()-AS3</f>
        <v>984</v>
      </c>
      <c r="AU3" s="40" t="str">
        <f>LEFT(Sheet1!AE2,3)</f>
        <v>Adi</v>
      </c>
      <c r="AV3" s="40" t="str">
        <f>RIGHT(Sheet1!AF2,2)</f>
        <v>ta</v>
      </c>
      <c r="AW3" s="40" t="str">
        <f>MID(Sheet1!AE2,2,3)</f>
        <v>dit</v>
      </c>
      <c r="AX3" s="42">
        <f>LEN(Sheet1!AE2)</f>
        <v>5</v>
      </c>
      <c r="AY3" s="40" t="str">
        <f>UPPER(Sheet1!AE2)</f>
        <v>ADITI</v>
      </c>
      <c r="AZ3" s="40" t="str">
        <f>LOWER(Sheet1!AE2)</f>
        <v>aditi</v>
      </c>
      <c r="BA3" s="40" t="str">
        <f>PROPER(Sheet1!AE2)</f>
        <v>Aditi</v>
      </c>
      <c r="BB3" s="40" t="str">
        <f>_xlfn.CONCAT(Sheet1!AE2," ",Sheet1!AF2)</f>
        <v>Aditi Gupta</v>
      </c>
      <c r="BL3" s="40" t="str">
        <v>Smartphone</v>
      </c>
      <c r="BN3" s="40" t="str">
        <v>Clothing</v>
      </c>
      <c r="BP3" s="40" t="str">
        <v>Clothing</v>
      </c>
      <c r="BR3" s="40" t="s">
        <v>2282</v>
      </c>
      <c r="BS3" s="44">
        <f>SUM(Sheet1!N2:N1001)</f>
        <v>30311250</v>
      </c>
      <c r="BU3" s="40" t="s">
        <v>2283</v>
      </c>
      <c r="BV3" s="44">
        <f>SUM(Sheet1!N2:N1001)</f>
        <v>30311250</v>
      </c>
    </row>
    <row r="4" spans="1:74">
      <c r="A4" s="40" t="str">
        <v>Jeans</v>
      </c>
      <c r="B4" s="40">
        <f>SUMIFS(Sheet1!$N$2:$N$1001,Sheet1!$J$2:$J$1001,A4)</f>
        <v>319065</v>
      </c>
      <c r="D4" s="40" t="str">
        <v>Neeraj</v>
      </c>
      <c r="E4" s="40">
        <f>SUMIFS(Sheet1!$N$2:$N$1001,Sheet1!$T$2:$T$1001,D4)</f>
        <v>2937487.5</v>
      </c>
      <c r="G4" s="42" t="str">
        <v>June</v>
      </c>
      <c r="H4" s="42">
        <f>SUMIFS(Sheet1!$N$2:$N$1001,Sheet1!$U$2:$U$1001,G4)</f>
        <v>2765790</v>
      </c>
      <c r="V4" s="40" t="str">
        <f>Sheet1!J4</f>
        <v>Jeans</v>
      </c>
      <c r="W4" s="40" t="str">
        <f>Sheet1!I4</f>
        <v>Clothing</v>
      </c>
      <c r="X4" s="44">
        <f>Sheet1!L4</f>
        <v>1800</v>
      </c>
      <c r="Z4" s="40" t="s">
        <v>117</v>
      </c>
      <c r="AA4" s="40" t="str">
        <f t="shared" si="0"/>
        <v>Clothing</v>
      </c>
      <c r="AB4" s="40">
        <f t="shared" si="1"/>
        <v>1800</v>
      </c>
      <c r="AD4" s="41" t="s">
        <v>2260</v>
      </c>
      <c r="AE4" s="41" t="s">
        <v>96</v>
      </c>
      <c r="AN4" s="49">
        <f>Sheet1!B3</f>
        <v>45294</v>
      </c>
      <c r="AO4" s="50">
        <f t="shared" ref="AO4:AO49" si="2">IFERROR(DAY(AN4),VALUE(LEFT(AN4,2)))</f>
        <v>3</v>
      </c>
      <c r="AP4" s="50">
        <f t="shared" ref="AP4:AP67" si="3">IFERROR(MONTH(AN4),VALUE(MID(AN4,4,2)))</f>
        <v>1</v>
      </c>
      <c r="AQ4" s="50">
        <f t="shared" ref="AQ4:AQ67" si="4">IFERROR(YEAR(AN4),VALUE(RIGHT(AN4,4)))</f>
        <v>2024</v>
      </c>
      <c r="AR4" s="50" t="str">
        <f t="shared" ref="AR4:AR67" si="5">IF(ISNUMBER(AN4),TEXT(AN4,"mmm-yyyy"),TEXT(DATE(VALUE(RIGHT(AN4,4)),VALUE(MID(AN4,4,2)),VALUE(LEFT(AN4,2))),"mmm-yyyy"))</f>
        <v>Jan-2024</v>
      </c>
      <c r="AS4" s="52">
        <f t="shared" ref="AS4:AS67" si="6">DATE(AQ4,AP4,AO4)</f>
        <v>45294</v>
      </c>
      <c r="AT4" s="44">
        <f t="shared" ref="AT4:AT67" ca="1" si="7">TODAY()-AS4</f>
        <v>984</v>
      </c>
      <c r="AU4" s="40" t="str">
        <f>LEFT(Sheet1!AE3,3)</f>
        <v>Arj</v>
      </c>
      <c r="AV4" s="40" t="str">
        <f>RIGHT(Sheet1!AF3,2)</f>
        <v>ra</v>
      </c>
      <c r="AW4" s="40" t="str">
        <f>MID(Sheet1!AE3,2,3)</f>
        <v>rju</v>
      </c>
      <c r="AX4" s="42">
        <f>LEN(Sheet1!AE3)</f>
        <v>5</v>
      </c>
      <c r="AY4" s="40" t="str">
        <f>UPPER(Sheet1!AE3)</f>
        <v>ARJUN</v>
      </c>
      <c r="AZ4" s="40" t="str">
        <f>LOWER(Sheet1!AE3)</f>
        <v>arjun</v>
      </c>
      <c r="BA4" s="40" t="str">
        <f>PROPER(Sheet1!AE3)</f>
        <v>Arjun</v>
      </c>
      <c r="BB4" s="40" t="str">
        <f>_xlfn.CONCAT(Sheet1!AE3," ",Sheet1!AF3)</f>
        <v>Arjun Chopra</v>
      </c>
      <c r="BL4" s="40" t="str">
        <v>Laptop</v>
      </c>
      <c r="BN4" s="40" t="str">
        <v>Electronics</v>
      </c>
      <c r="BP4" s="40" t="str">
        <v>Electronics</v>
      </c>
    </row>
    <row r="5" spans="1:74">
      <c r="A5" s="40" t="str">
        <v>Shirt</v>
      </c>
      <c r="B5" s="40">
        <f>SUMIFS(Sheet1!$N$2:$N$1001,Sheet1!$J$2:$J$1001,A5)</f>
        <v>318170</v>
      </c>
      <c r="D5" s="40" t="str">
        <v>Vikas</v>
      </c>
      <c r="E5" s="40">
        <f>SUMIFS(Sheet1!$N$2:$N$1001,Sheet1!$T$2:$T$1001,D5)</f>
        <v>1933662.5</v>
      </c>
      <c r="G5" s="42" t="str">
        <v>September</v>
      </c>
      <c r="H5" s="42">
        <f>SUMIFS(Sheet1!$N$2:$N$1001,Sheet1!$U$2:$U$1001,G5)</f>
        <v>3190750</v>
      </c>
      <c r="V5" s="40" t="str">
        <f>Sheet1!J5</f>
        <v>Shirt</v>
      </c>
      <c r="W5" s="40" t="str">
        <f>Sheet1!I5</f>
        <v>Clothing</v>
      </c>
      <c r="X5" s="44">
        <f>Sheet1!L5</f>
        <v>700</v>
      </c>
      <c r="Z5" s="40" t="s">
        <v>72</v>
      </c>
      <c r="AA5" s="40" t="str">
        <f t="shared" si="0"/>
        <v>Clothing</v>
      </c>
      <c r="AB5" s="40">
        <f t="shared" si="1"/>
        <v>700</v>
      </c>
      <c r="AD5" s="40" t="s">
        <v>319</v>
      </c>
      <c r="AE5" s="40">
        <f>HLOOKUP(AD5,$AE$1:$AH$2,2,FALSE)</f>
        <v>4000</v>
      </c>
      <c r="AN5" s="49">
        <f>Sheet1!B4</f>
        <v>45294</v>
      </c>
      <c r="AO5" s="50">
        <f t="shared" si="2"/>
        <v>3</v>
      </c>
      <c r="AP5" s="50">
        <f t="shared" si="3"/>
        <v>1</v>
      </c>
      <c r="AQ5" s="50">
        <f t="shared" si="4"/>
        <v>2024</v>
      </c>
      <c r="AR5" s="50" t="str">
        <f t="shared" si="5"/>
        <v>Jan-2024</v>
      </c>
      <c r="AS5" s="52">
        <f t="shared" si="6"/>
        <v>45294</v>
      </c>
      <c r="AT5" s="44">
        <f t="shared" ca="1" si="7"/>
        <v>984</v>
      </c>
      <c r="AU5" s="40" t="str">
        <f>LEFT(Sheet1!AE4,3)</f>
        <v>Vik</v>
      </c>
      <c r="AV5" s="40" t="str">
        <f>RIGHT(Sheet1!AF4,2)</f>
        <v>av</v>
      </c>
      <c r="AW5" s="40" t="str">
        <f>MID(Sheet1!AE4,2,3)</f>
        <v>ikr</v>
      </c>
      <c r="AX5" s="42">
        <f>LEN(Sheet1!AE4)</f>
        <v>6</v>
      </c>
      <c r="AY5" s="40" t="str">
        <f>UPPER(Sheet1!AE4)</f>
        <v>VIKRAM</v>
      </c>
      <c r="AZ5" s="40" t="str">
        <f>LOWER(Sheet1!AE4)</f>
        <v>vikram</v>
      </c>
      <c r="BA5" s="40" t="str">
        <f>PROPER(Sheet1!AE4)</f>
        <v>Vikram</v>
      </c>
      <c r="BB5" s="40" t="str">
        <f>_xlfn.CONCAT(Sheet1!AE4," ",Sheet1!AF4)</f>
        <v>Vikram Yadav</v>
      </c>
      <c r="BL5" s="40" t="str">
        <v>Tablet</v>
      </c>
      <c r="BN5" s="40" t="str">
        <v>Office Supplies</v>
      </c>
      <c r="BP5" s="40" t="str">
        <v>Furniture</v>
      </c>
    </row>
    <row r="6" spans="1:74">
      <c r="A6" s="40" t="str">
        <v>Smartphone</v>
      </c>
      <c r="B6" s="40">
        <f>SUMIFS(Sheet1!$N$2:$N$1001,Sheet1!$J$2:$J$1001,A6)</f>
        <v>4899550</v>
      </c>
      <c r="D6" s="40" t="str">
        <v>Pooja</v>
      </c>
      <c r="E6" s="40">
        <f>SUMIFS(Sheet1!$N$2:$N$1001,Sheet1!$T$2:$T$1001,D6)</f>
        <v>2963150</v>
      </c>
      <c r="G6" s="42" t="str">
        <v>October</v>
      </c>
      <c r="H6" s="42">
        <f>SUMIFS(Sheet1!$N$2:$N$1001,Sheet1!$U$2:$U$1001,G6)</f>
        <v>3112707.5</v>
      </c>
      <c r="V6" s="40" t="str">
        <f>Sheet1!J6</f>
        <v>Smartphone</v>
      </c>
      <c r="W6" s="40" t="str">
        <f>Sheet1!I6</f>
        <v>Electronics</v>
      </c>
      <c r="X6" s="44">
        <f>Sheet1!L6</f>
        <v>22000</v>
      </c>
      <c r="Z6" s="40" t="s">
        <v>105</v>
      </c>
      <c r="AA6" s="40" t="str">
        <f t="shared" si="0"/>
        <v>Electronics</v>
      </c>
      <c r="AB6" s="40">
        <f t="shared" si="1"/>
        <v>22000</v>
      </c>
      <c r="AN6" s="49">
        <f>Sheet1!B5</f>
        <v>45294</v>
      </c>
      <c r="AO6" s="50">
        <f t="shared" si="2"/>
        <v>3</v>
      </c>
      <c r="AP6" s="50">
        <f t="shared" si="3"/>
        <v>1</v>
      </c>
      <c r="AQ6" s="50">
        <f t="shared" si="4"/>
        <v>2024</v>
      </c>
      <c r="AR6" s="50" t="str">
        <f t="shared" si="5"/>
        <v>Jan-2024</v>
      </c>
      <c r="AS6" s="52">
        <f t="shared" si="6"/>
        <v>45294</v>
      </c>
      <c r="AT6" s="44">
        <f t="shared" ca="1" si="7"/>
        <v>984</v>
      </c>
      <c r="AU6" s="40" t="str">
        <f>LEFT(Sheet1!AE5,3)</f>
        <v>Aar</v>
      </c>
      <c r="AV6" s="40" t="str">
        <f>RIGHT(Sheet1!AF5,2)</f>
        <v>al</v>
      </c>
      <c r="AW6" s="40" t="str">
        <f>MID(Sheet1!AE5,2,3)</f>
        <v>ara</v>
      </c>
      <c r="AX6" s="42">
        <f>LEN(Sheet1!AE5)</f>
        <v>5</v>
      </c>
      <c r="AY6" s="40" t="str">
        <f>UPPER(Sheet1!AE5)</f>
        <v>AARAV</v>
      </c>
      <c r="AZ6" s="40" t="str">
        <f>LOWER(Sheet1!AE5)</f>
        <v>aarav</v>
      </c>
      <c r="BA6" s="40" t="str">
        <f>PROPER(Sheet1!AE5)</f>
        <v>Aarav</v>
      </c>
      <c r="BB6" s="40" t="str">
        <f>_xlfn.CONCAT(Sheet1!AE5," ",Sheet1!AF5)</f>
        <v>Aarav Agarwal</v>
      </c>
      <c r="BL6" s="40" t="str">
        <v>Monitor</v>
      </c>
      <c r="BN6" s="40" t="str">
        <v>Accessories</v>
      </c>
      <c r="BP6" s="40" t="str">
        <v>Office Supplies</v>
      </c>
    </row>
    <row r="7" spans="1:74">
      <c r="A7" s="40" t="str">
        <v>Notebook</v>
      </c>
      <c r="B7" s="40">
        <f>SUMIFS(Sheet1!$N$2:$N$1001,Sheet1!$J$2:$J$1001,A7)</f>
        <v>84285</v>
      </c>
      <c r="D7" s="40" t="str">
        <v>Manish</v>
      </c>
      <c r="E7" s="40">
        <f>SUMIFS(Sheet1!$N$2:$N$1001,Sheet1!$T$2:$T$1001,D7)</f>
        <v>3934230</v>
      </c>
      <c r="G7" s="42" t="str">
        <v>December</v>
      </c>
      <c r="H7" s="42">
        <f>SUMIFS(Sheet1!$N$2:$N$1001,Sheet1!$U$2:$U$1001,G7)</f>
        <v>3395160</v>
      </c>
      <c r="V7" s="40" t="str">
        <f>Sheet1!J7</f>
        <v>Notebook</v>
      </c>
      <c r="W7" s="40" t="str">
        <f>Sheet1!I7</f>
        <v>Office Supplies</v>
      </c>
      <c r="X7" s="44">
        <f>Sheet1!L7</f>
        <v>350</v>
      </c>
      <c r="Z7" s="40" t="s">
        <v>390</v>
      </c>
      <c r="AA7" s="40" t="str">
        <f t="shared" si="0"/>
        <v>Office Supplies</v>
      </c>
      <c r="AB7" s="40">
        <f t="shared" si="1"/>
        <v>350</v>
      </c>
      <c r="AN7" s="49">
        <f>Sheet1!B6</f>
        <v>45296</v>
      </c>
      <c r="AO7" s="50">
        <f t="shared" si="2"/>
        <v>5</v>
      </c>
      <c r="AP7" s="50">
        <f t="shared" si="3"/>
        <v>1</v>
      </c>
      <c r="AQ7" s="50">
        <f t="shared" si="4"/>
        <v>2024</v>
      </c>
      <c r="AR7" s="50" t="str">
        <f t="shared" si="5"/>
        <v>Jan-2024</v>
      </c>
      <c r="AS7" s="52">
        <f t="shared" si="6"/>
        <v>45296</v>
      </c>
      <c r="AT7" s="44">
        <f t="shared" ca="1" si="7"/>
        <v>982</v>
      </c>
      <c r="AU7" s="40" t="str">
        <f>LEFT(Sheet1!AE6,3)</f>
        <v>Roh</v>
      </c>
      <c r="AV7" s="40" t="str">
        <f>RIGHT(Sheet1!AF6,2)</f>
        <v>in</v>
      </c>
      <c r="AW7" s="40" t="str">
        <f>MID(Sheet1!AE6,2,3)</f>
        <v>oha</v>
      </c>
      <c r="AX7" s="42">
        <f>LEN(Sheet1!AE6)</f>
        <v>5</v>
      </c>
      <c r="AY7" s="40" t="str">
        <f>UPPER(Sheet1!AE6)</f>
        <v>ROHAN</v>
      </c>
      <c r="AZ7" s="40" t="str">
        <f>LOWER(Sheet1!AE6)</f>
        <v>rohan</v>
      </c>
      <c r="BA7" s="40" t="str">
        <f>PROPER(Sheet1!AE6)</f>
        <v>Rohan</v>
      </c>
      <c r="BB7" s="40" t="str">
        <f>_xlfn.CONCAT(Sheet1!AE6," ",Sheet1!AF6)</f>
        <v>Rohan Jain</v>
      </c>
      <c r="BL7" s="40" t="str">
        <v>Laptop</v>
      </c>
    </row>
    <row r="8" spans="1:74">
      <c r="A8" s="40" t="str">
        <v>Jacket</v>
      </c>
      <c r="B8" s="40">
        <f>SUMIFS(Sheet1!$N$2:$N$1001,Sheet1!$J$2:$J$1001,A8)</f>
        <v>420105</v>
      </c>
      <c r="D8" s="40" t="str">
        <v>Rahul</v>
      </c>
      <c r="E8" s="40">
        <f>SUMIFS(Sheet1!$N$2:$N$1001,Sheet1!$T$2:$T$1001,D8)</f>
        <v>2934365</v>
      </c>
      <c r="G8" s="42" t="str">
        <v>January</v>
      </c>
      <c r="H8" s="42">
        <f>SUMIFS(Sheet1!$N$2:$N$1001,Sheet1!$U$2:$U$1001,G8)</f>
        <v>1889497.5</v>
      </c>
      <c r="V8" s="40" t="s">
        <v>240</v>
      </c>
      <c r="W8" s="40" t="str">
        <f>Sheet1!I8</f>
        <v>Clothing</v>
      </c>
      <c r="X8" s="44">
        <f>Sheet1!L8</f>
        <v>700</v>
      </c>
      <c r="Z8" s="40" t="s">
        <v>2284</v>
      </c>
      <c r="AA8" s="40" t="s">
        <v>71</v>
      </c>
      <c r="AB8" s="40">
        <v>700</v>
      </c>
      <c r="AN8" s="49">
        <f>Sheet1!B7</f>
        <v>45296</v>
      </c>
      <c r="AO8" s="50">
        <f t="shared" si="2"/>
        <v>5</v>
      </c>
      <c r="AP8" s="50">
        <f t="shared" si="3"/>
        <v>1</v>
      </c>
      <c r="AQ8" s="50">
        <f t="shared" si="4"/>
        <v>2024</v>
      </c>
      <c r="AR8" s="50" t="str">
        <f t="shared" si="5"/>
        <v>Jan-2024</v>
      </c>
      <c r="AS8" s="52">
        <f t="shared" si="6"/>
        <v>45296</v>
      </c>
      <c r="AT8" s="44">
        <f t="shared" ca="1" si="7"/>
        <v>982</v>
      </c>
      <c r="AU8" s="40" t="str">
        <f>LEFT(Sheet1!AE7,3)</f>
        <v>Kar</v>
      </c>
      <c r="AV8" s="40" t="str">
        <f>RIGHT(Sheet1!AF7,2)</f>
        <v>ar</v>
      </c>
      <c r="AW8" s="40" t="str">
        <f>MID(Sheet1!AE7,2,3)</f>
        <v>ara</v>
      </c>
      <c r="AX8" s="42">
        <f>LEN(Sheet1!AE7)</f>
        <v>5</v>
      </c>
      <c r="AY8" s="40" t="str">
        <f>UPPER(Sheet1!AE7)</f>
        <v>KARAN</v>
      </c>
      <c r="AZ8" s="40" t="str">
        <f>LOWER(Sheet1!AE7)</f>
        <v>karan</v>
      </c>
      <c r="BA8" s="40" t="str">
        <f>PROPER(Sheet1!AE7)</f>
        <v>Karan</v>
      </c>
      <c r="BB8" s="40" t="str">
        <f>_xlfn.CONCAT(Sheet1!AE7," ",Sheet1!AF7)</f>
        <v>Karan Kumar</v>
      </c>
      <c r="BL8" s="40" t="str">
        <v>Monitor</v>
      </c>
    </row>
    <row r="9" spans="1:74">
      <c r="A9" s="40" t="str">
        <v>Laptop</v>
      </c>
      <c r="B9" s="40">
        <f>SUMIFS(Sheet1!$N$2:$N$1001,Sheet1!$J$2:$J$1001,A9)</f>
        <v>3513350</v>
      </c>
      <c r="D9" s="40" t="str">
        <v>Amit</v>
      </c>
      <c r="E9" s="40">
        <f>SUMIFS(Sheet1!$N$2:$N$1001,Sheet1!$T$2:$T$1001,D9)</f>
        <v>3295187.5</v>
      </c>
      <c r="G9" s="42" t="str">
        <v>February</v>
      </c>
      <c r="H9" s="42">
        <f>SUMIFS(Sheet1!$N$2:$N$1001,Sheet1!$U$2:$U$1001,G9)</f>
        <v>2361560</v>
      </c>
      <c r="V9" s="40" t="str">
        <f>Sheet1!J9</f>
        <v>Smartphone</v>
      </c>
      <c r="W9" s="40" t="str">
        <f>Sheet1!I9</f>
        <v>Electronics</v>
      </c>
      <c r="X9" s="44">
        <f>Sheet1!L9</f>
        <v>50000</v>
      </c>
      <c r="Z9" s="40" t="s">
        <v>105</v>
      </c>
      <c r="AA9" s="40" t="str">
        <f t="shared" si="0"/>
        <v>Electronics</v>
      </c>
      <c r="AB9" s="40">
        <f t="shared" si="1"/>
        <v>22000</v>
      </c>
      <c r="AN9" s="49">
        <f>Sheet1!B8</f>
        <v>45297</v>
      </c>
      <c r="AO9" s="50">
        <f t="shared" si="2"/>
        <v>6</v>
      </c>
      <c r="AP9" s="50">
        <f t="shared" si="3"/>
        <v>1</v>
      </c>
      <c r="AQ9" s="50">
        <f t="shared" si="4"/>
        <v>2024</v>
      </c>
      <c r="AR9" s="50" t="str">
        <f t="shared" si="5"/>
        <v>Jan-2024</v>
      </c>
      <c r="AS9" s="52">
        <f t="shared" si="6"/>
        <v>45297</v>
      </c>
      <c r="AT9" s="44">
        <f t="shared" ca="1" si="7"/>
        <v>981</v>
      </c>
      <c r="AU9" s="40" t="str">
        <f>LEFT(Sheet1!AE8,3)</f>
        <v>Kav</v>
      </c>
      <c r="AV9" s="40" t="str">
        <f>RIGHT(Sheet1!AF8,2)</f>
        <v>ra</v>
      </c>
      <c r="AW9" s="40" t="str">
        <f>MID(Sheet1!AE8,2,3)</f>
        <v>avy</v>
      </c>
      <c r="AX9" s="42">
        <f>LEN(Sheet1!AE8)</f>
        <v>5</v>
      </c>
      <c r="AY9" s="40" t="str">
        <f>UPPER(Sheet1!AE8)</f>
        <v>KAVYA</v>
      </c>
      <c r="AZ9" s="40" t="str">
        <f>LOWER(Sheet1!AE8)</f>
        <v>kavya</v>
      </c>
      <c r="BA9" s="40" t="str">
        <f>PROPER(Sheet1!AE8)</f>
        <v>Kavya</v>
      </c>
      <c r="BB9" s="40" t="str">
        <f>_xlfn.CONCAT(Sheet1!AE8," ",Sheet1!AF8)</f>
        <v>Kavya Chopra</v>
      </c>
      <c r="BL9" s="40" t="str">
        <v>Laptop</v>
      </c>
    </row>
    <row r="10" spans="1:74">
      <c r="A10" s="40" t="str">
        <v>Tablet</v>
      </c>
      <c r="B10" s="40">
        <f>SUMIFS(Sheet1!$N$2:$N$1001,Sheet1!$J$2:$J$1001,A10)</f>
        <v>4546350</v>
      </c>
      <c r="D10" s="40" t="str">
        <v>Anjali</v>
      </c>
      <c r="E10" s="40">
        <f>SUMIFS(Sheet1!$N$2:$N$1001,Sheet1!$T$2:$T$1001,D10)</f>
        <v>2952162.5</v>
      </c>
      <c r="G10" s="42" t="str">
        <v>April</v>
      </c>
      <c r="H10" s="42">
        <f>SUMIFS(Sheet1!$N$2:$N$1001,Sheet1!$U$2:$U$1001,G10)</f>
        <v>1803637.5</v>
      </c>
      <c r="V10" s="40" t="str">
        <f>Sheet1!J10</f>
        <v>Laptop</v>
      </c>
      <c r="W10" s="40" t="str">
        <f>Sheet1!I10</f>
        <v>Electronics</v>
      </c>
      <c r="X10" s="44">
        <f>Sheet1!L10</f>
        <v>35000</v>
      </c>
      <c r="Z10" s="40" t="s">
        <v>356</v>
      </c>
      <c r="AA10" s="40" t="str">
        <f t="shared" si="0"/>
        <v>Electronics</v>
      </c>
      <c r="AB10" s="40">
        <f t="shared" si="1"/>
        <v>35000</v>
      </c>
      <c r="AN10" s="49">
        <f>Sheet1!B9</f>
        <v>45300</v>
      </c>
      <c r="AO10" s="50">
        <f t="shared" si="2"/>
        <v>9</v>
      </c>
      <c r="AP10" s="50">
        <f t="shared" si="3"/>
        <v>1</v>
      </c>
      <c r="AQ10" s="50">
        <f t="shared" si="4"/>
        <v>2024</v>
      </c>
      <c r="AR10" s="50" t="str">
        <f t="shared" si="5"/>
        <v>Jan-2024</v>
      </c>
      <c r="AS10" s="52">
        <f t="shared" si="6"/>
        <v>45300</v>
      </c>
      <c r="AT10" s="44">
        <f t="shared" ca="1" si="7"/>
        <v>978</v>
      </c>
      <c r="AU10" s="40" t="str">
        <f>LEFT(Sheet1!AE9,3)</f>
        <v>Pri</v>
      </c>
      <c r="AV10" s="40" t="str">
        <f>RIGHT(Sheet1!AF9,2)</f>
        <v>ra</v>
      </c>
      <c r="AW10" s="40" t="str">
        <f>MID(Sheet1!AE9,2,3)</f>
        <v>riy</v>
      </c>
      <c r="AX10" s="42">
        <f>LEN(Sheet1!AE9)</f>
        <v>5</v>
      </c>
      <c r="AY10" s="40" t="str">
        <f>UPPER(Sheet1!AE9)</f>
        <v>PRIYA</v>
      </c>
      <c r="AZ10" s="40" t="str">
        <f>LOWER(Sheet1!AE9)</f>
        <v>priya</v>
      </c>
      <c r="BA10" s="40" t="str">
        <f>PROPER(Sheet1!AE9)</f>
        <v>Priya</v>
      </c>
      <c r="BB10" s="40" t="str">
        <f>_xlfn.CONCAT(Sheet1!AE9," ",Sheet1!AF9)</f>
        <v>Priya Malhotra</v>
      </c>
      <c r="BL10" s="40" t="str">
        <v>Laptop</v>
      </c>
    </row>
    <row r="11" spans="1:74">
      <c r="A11" s="40" t="str">
        <v>Watch</v>
      </c>
      <c r="B11" s="40">
        <f>SUMIFS(Sheet1!$N$2:$N$1001,Sheet1!$J$2:$J$1001,A11)</f>
        <v>321750</v>
      </c>
      <c r="D11" s="40" t="str">
        <v>Rohit</v>
      </c>
      <c r="E11" s="40">
        <f>SUMIFS(Sheet1!$N$2:$N$1001,Sheet1!$T$2:$T$1001,D11)</f>
        <v>3031592.5</v>
      </c>
      <c r="G11" s="42" t="str">
        <v>July</v>
      </c>
      <c r="H11" s="42">
        <f>SUMIFS(Sheet1!$N$2:$N$1001,Sheet1!$U$2:$U$1001,G11)</f>
        <v>3495020</v>
      </c>
      <c r="V11" s="40" t="str">
        <f>Sheet1!J11</f>
        <v>Table</v>
      </c>
      <c r="W11" s="40" t="str">
        <f>Sheet1!I11</f>
        <v>Furniture</v>
      </c>
      <c r="X11" s="44">
        <f>Sheet1!L11</f>
        <v>4000</v>
      </c>
      <c r="Z11" s="40" t="s">
        <v>96</v>
      </c>
      <c r="AA11" s="40" t="str">
        <f t="shared" si="0"/>
        <v>Furniture</v>
      </c>
      <c r="AB11" s="40">
        <f t="shared" si="1"/>
        <v>4000</v>
      </c>
      <c r="AN11" s="49">
        <f>Sheet1!B10</f>
        <v>45300</v>
      </c>
      <c r="AO11" s="50">
        <f t="shared" si="2"/>
        <v>9</v>
      </c>
      <c r="AP11" s="50">
        <f t="shared" si="3"/>
        <v>1</v>
      </c>
      <c r="AQ11" s="50">
        <f t="shared" si="4"/>
        <v>2024</v>
      </c>
      <c r="AR11" s="50" t="str">
        <f t="shared" si="5"/>
        <v>Jan-2024</v>
      </c>
      <c r="AS11" s="52">
        <f t="shared" si="6"/>
        <v>45300</v>
      </c>
      <c r="AT11" s="44">
        <f t="shared" ca="1" si="7"/>
        <v>978</v>
      </c>
      <c r="AU11" s="40" t="str">
        <f>LEFT(Sheet1!AE10,3)</f>
        <v>Sim</v>
      </c>
      <c r="AV11" s="40" t="str">
        <f>RIGHT(Sheet1!AF10,2)</f>
        <v>av</v>
      </c>
      <c r="AW11" s="40" t="str">
        <f>MID(Sheet1!AE10,2,3)</f>
        <v>imr</v>
      </c>
      <c r="AX11" s="42">
        <f>LEN(Sheet1!AE10)</f>
        <v>6</v>
      </c>
      <c r="AY11" s="40" t="str">
        <f>UPPER(Sheet1!AE10)</f>
        <v>SIMRAN</v>
      </c>
      <c r="AZ11" s="40" t="str">
        <f>LOWER(Sheet1!AE10)</f>
        <v>simran</v>
      </c>
      <c r="BA11" s="40" t="str">
        <f>PROPER(Sheet1!AE10)</f>
        <v>Simran</v>
      </c>
      <c r="BB11" s="40" t="str">
        <f>_xlfn.CONCAT(Sheet1!AE10," ",Sheet1!AF10)</f>
        <v>Simran Yadav</v>
      </c>
      <c r="BL11" s="40" t="str">
        <v>Tablet</v>
      </c>
    </row>
    <row r="12" spans="1:74">
      <c r="A12" s="40" t="str">
        <v>Printer Paper</v>
      </c>
      <c r="B12" s="40">
        <f>SUMIFS(Sheet1!$N$2:$N$1001,Sheet1!$J$2:$J$1001,A12)</f>
        <v>82737.5</v>
      </c>
      <c r="G12" s="42" t="str">
        <v>August</v>
      </c>
      <c r="H12" s="42">
        <f>SUMIFS(Sheet1!$N$2:$N$1001,Sheet1!$U$2:$U$1001,G12)</f>
        <v>2480745</v>
      </c>
      <c r="AN12" s="49">
        <f>Sheet1!B11</f>
        <v>45301</v>
      </c>
      <c r="AO12" s="50">
        <f t="shared" si="2"/>
        <v>10</v>
      </c>
      <c r="AP12" s="50">
        <f t="shared" si="3"/>
        <v>1</v>
      </c>
      <c r="AQ12" s="50">
        <f t="shared" si="4"/>
        <v>2024</v>
      </c>
      <c r="AR12" s="50" t="str">
        <f t="shared" si="5"/>
        <v>Jan-2024</v>
      </c>
      <c r="AS12" s="52">
        <f t="shared" si="6"/>
        <v>45301</v>
      </c>
      <c r="AT12" s="44">
        <f t="shared" ca="1" si="7"/>
        <v>977</v>
      </c>
      <c r="AU12" s="40" t="str">
        <f>LEFT(Sheet1!AE11,3)</f>
        <v>Nis</v>
      </c>
      <c r="AV12" s="40" t="str">
        <f>RIGHT(Sheet1!AF11,2)</f>
        <v>av</v>
      </c>
      <c r="AW12" s="40" t="str">
        <f>MID(Sheet1!AE11,2,3)</f>
        <v>ish</v>
      </c>
      <c r="AX12" s="42">
        <f>LEN(Sheet1!AE11)</f>
        <v>5</v>
      </c>
      <c r="AY12" s="40" t="str">
        <f>UPPER(Sheet1!AE11)</f>
        <v>NISHA</v>
      </c>
      <c r="AZ12" s="40" t="str">
        <f>LOWER(Sheet1!AE11)</f>
        <v>nisha</v>
      </c>
      <c r="BA12" s="40" t="str">
        <f>PROPER(Sheet1!AE11)</f>
        <v>Nisha</v>
      </c>
      <c r="BB12" s="40" t="str">
        <f>_xlfn.CONCAT(Sheet1!AE11," ",Sheet1!AF11)</f>
        <v>Nisha Yadav</v>
      </c>
      <c r="BL12" s="40" t="str">
        <v>Smartphone</v>
      </c>
    </row>
    <row r="13" spans="1:74">
      <c r="A13" s="40" t="str">
        <v>Backpack</v>
      </c>
      <c r="B13" s="40">
        <f>SUMIFS(Sheet1!$N$2:$N$1001,Sheet1!$J$2:$J$1001,A13)</f>
        <v>381040</v>
      </c>
      <c r="G13" s="42" t="str">
        <v>November</v>
      </c>
      <c r="H13" s="42">
        <f>SUMIFS(Sheet1!$N$2:$N$1001,Sheet1!$U$2:$U$1001,G13)</f>
        <v>2076795</v>
      </c>
      <c r="AN13" s="49">
        <f>Sheet1!B12</f>
        <v>45301</v>
      </c>
      <c r="AO13" s="50">
        <f t="shared" si="2"/>
        <v>10</v>
      </c>
      <c r="AP13" s="50">
        <f t="shared" si="3"/>
        <v>1</v>
      </c>
      <c r="AQ13" s="50">
        <f t="shared" si="4"/>
        <v>2024</v>
      </c>
      <c r="AR13" s="50" t="str">
        <f t="shared" si="5"/>
        <v>Jan-2024</v>
      </c>
      <c r="AS13" s="52">
        <f t="shared" si="6"/>
        <v>45301</v>
      </c>
      <c r="AT13" s="44">
        <f t="shared" ca="1" si="7"/>
        <v>977</v>
      </c>
      <c r="AU13" s="40" t="str">
        <f>LEFT(Sheet1!AE12,3)</f>
        <v>Vik</v>
      </c>
      <c r="AV13" s="40" t="str">
        <f>RIGHT(Sheet1!AF12,2)</f>
        <v>ma</v>
      </c>
      <c r="AW13" s="40" t="str">
        <f>MID(Sheet1!AE12,2,3)</f>
        <v>ikr</v>
      </c>
      <c r="AX13" s="42">
        <f>LEN(Sheet1!AE12)</f>
        <v>6</v>
      </c>
      <c r="AY13" s="40" t="str">
        <f>UPPER(Sheet1!AE12)</f>
        <v>VIKRAM</v>
      </c>
      <c r="AZ13" s="40" t="str">
        <f>LOWER(Sheet1!AE12)</f>
        <v>vikram</v>
      </c>
      <c r="BA13" s="40" t="str">
        <f>PROPER(Sheet1!AE12)</f>
        <v>Vikram</v>
      </c>
      <c r="BB13" s="40" t="str">
        <f>_xlfn.CONCAT(Sheet1!AE12," ",Sheet1!AF12)</f>
        <v>Vikram Sharma</v>
      </c>
      <c r="BL13" s="40" t="str">
        <v>Monitor</v>
      </c>
    </row>
    <row r="14" spans="1:74">
      <c r="A14" s="40" t="str">
        <v>Monitor</v>
      </c>
      <c r="B14" s="40">
        <f>SUMIFS(Sheet1!$N$2:$N$1001,Sheet1!$J$2:$J$1001,A14)</f>
        <v>4066900</v>
      </c>
      <c r="AN14" s="49">
        <f>Sheet1!B13</f>
        <v>45303</v>
      </c>
      <c r="AO14" s="50">
        <f t="shared" si="2"/>
        <v>12</v>
      </c>
      <c r="AP14" s="50">
        <f t="shared" si="3"/>
        <v>1</v>
      </c>
      <c r="AQ14" s="50">
        <f t="shared" si="4"/>
        <v>2024</v>
      </c>
      <c r="AR14" s="50" t="str">
        <f t="shared" si="5"/>
        <v>Jan-2024</v>
      </c>
      <c r="AS14" s="52">
        <f t="shared" si="6"/>
        <v>45303</v>
      </c>
      <c r="AT14" s="44">
        <f t="shared" ca="1" si="7"/>
        <v>975</v>
      </c>
      <c r="AU14" s="40" t="str">
        <f>LEFT(Sheet1!AE13,3)</f>
        <v>Roh</v>
      </c>
      <c r="AV14" s="40" t="str">
        <f>RIGHT(Sheet1!AF13,2)</f>
        <v>ra</v>
      </c>
      <c r="AW14" s="40" t="str">
        <f>MID(Sheet1!AE13,2,3)</f>
        <v>oha</v>
      </c>
      <c r="AX14" s="42">
        <f>LEN(Sheet1!AE13)</f>
        <v>5</v>
      </c>
      <c r="AY14" s="40" t="str">
        <f>UPPER(Sheet1!AE13)</f>
        <v>ROHAN</v>
      </c>
      <c r="AZ14" s="40" t="str">
        <f>LOWER(Sheet1!AE13)</f>
        <v>rohan</v>
      </c>
      <c r="BA14" s="40" t="str">
        <f>PROPER(Sheet1!AE13)</f>
        <v>Rohan</v>
      </c>
      <c r="BB14" s="40" t="str">
        <f>_xlfn.CONCAT(Sheet1!AE13," ",Sheet1!AF13)</f>
        <v>Rohan Chopra</v>
      </c>
      <c r="BL14" s="40" t="str">
        <v>Headphones</v>
      </c>
    </row>
    <row r="15" spans="1:74">
      <c r="A15" s="40" t="str">
        <v>Belt</v>
      </c>
      <c r="B15" s="40">
        <f>SUMIFS(Sheet1!$N$2:$N$1001,Sheet1!$J$2:$J$1001,A15)</f>
        <v>331880</v>
      </c>
      <c r="AN15" s="49">
        <f>Sheet1!B14</f>
        <v>45323</v>
      </c>
      <c r="AO15" s="50">
        <f t="shared" si="2"/>
        <v>1</v>
      </c>
      <c r="AP15" s="50">
        <f t="shared" si="3"/>
        <v>2</v>
      </c>
      <c r="AQ15" s="50">
        <f t="shared" si="4"/>
        <v>2024</v>
      </c>
      <c r="AR15" s="50" t="str">
        <f t="shared" si="5"/>
        <v>Feb-2024</v>
      </c>
      <c r="AS15" s="52">
        <f t="shared" si="6"/>
        <v>45323</v>
      </c>
      <c r="AT15" s="44">
        <f t="shared" ca="1" si="7"/>
        <v>955</v>
      </c>
      <c r="AU15" s="40" t="str">
        <f>LEFT(Sheet1!AE14,3)</f>
        <v>Poo</v>
      </c>
      <c r="AV15" s="40" t="str">
        <f>RIGHT(Sheet1!AF14,2)</f>
        <v>ta</v>
      </c>
      <c r="AW15" s="40" t="str">
        <f>MID(Sheet1!AE14,2,3)</f>
        <v>ooj</v>
      </c>
      <c r="AX15" s="42">
        <f>LEN(Sheet1!AE14)</f>
        <v>5</v>
      </c>
      <c r="AY15" s="40" t="str">
        <f>UPPER(Sheet1!AE14)</f>
        <v>POOJA</v>
      </c>
      <c r="AZ15" s="40" t="str">
        <f>LOWER(Sheet1!AE14)</f>
        <v>pooja</v>
      </c>
      <c r="BA15" s="40" t="str">
        <f>PROPER(Sheet1!AE14)</f>
        <v>Pooja</v>
      </c>
      <c r="BB15" s="40" t="str">
        <f>_xlfn.CONCAT(Sheet1!AE14," ",Sheet1!AF14)</f>
        <v>Pooja Mehta</v>
      </c>
      <c r="BL15" s="40" t="str">
        <v>Headphones</v>
      </c>
    </row>
    <row r="16" spans="1:74">
      <c r="A16" s="40" t="str">
        <v>Shoes</v>
      </c>
      <c r="B16" s="40">
        <f>SUMIFS(Sheet1!$N$2:$N$1001,Sheet1!$J$2:$J$1001,A16)</f>
        <v>388250</v>
      </c>
      <c r="AN16" s="49">
        <f>Sheet1!B15</f>
        <v>45323</v>
      </c>
      <c r="AO16" s="50">
        <f t="shared" si="2"/>
        <v>1</v>
      </c>
      <c r="AP16" s="50">
        <f t="shared" si="3"/>
        <v>2</v>
      </c>
      <c r="AQ16" s="50">
        <f t="shared" si="4"/>
        <v>2024</v>
      </c>
      <c r="AR16" s="50" t="str">
        <f t="shared" si="5"/>
        <v>Feb-2024</v>
      </c>
      <c r="AS16" s="52">
        <f t="shared" si="6"/>
        <v>45323</v>
      </c>
      <c r="AT16" s="44">
        <f t="shared" ca="1" si="7"/>
        <v>955</v>
      </c>
      <c r="AU16" s="40" t="str">
        <f>LEFT(Sheet1!AE15,3)</f>
        <v>Pri</v>
      </c>
      <c r="AV16" s="40" t="str">
        <f>RIGHT(Sheet1!AF15,2)</f>
        <v>ma</v>
      </c>
      <c r="AW16" s="40" t="str">
        <f>MID(Sheet1!AE15,2,3)</f>
        <v>riy</v>
      </c>
      <c r="AX16" s="42">
        <f>LEN(Sheet1!AE15)</f>
        <v>5</v>
      </c>
      <c r="AY16" s="40" t="str">
        <f>UPPER(Sheet1!AE15)</f>
        <v>PRIYA</v>
      </c>
      <c r="AZ16" s="40" t="str">
        <f>LOWER(Sheet1!AE15)</f>
        <v>priya</v>
      </c>
      <c r="BA16" s="40" t="str">
        <f>PROPER(Sheet1!AE15)</f>
        <v>Priya</v>
      </c>
      <c r="BB16" s="40" t="str">
        <f>_xlfn.CONCAT(Sheet1!AE15," ",Sheet1!AF15)</f>
        <v>Priya Sharma</v>
      </c>
      <c r="BL16" s="40" t="str">
        <v>Smartphone</v>
      </c>
    </row>
    <row r="17" spans="1:64">
      <c r="A17" s="40" t="str">
        <v>Office Chair</v>
      </c>
      <c r="B17" s="40">
        <f>SUMIFS(Sheet1!$N$2:$N$1001,Sheet1!$J$2:$J$1001,A17)</f>
        <v>1289950</v>
      </c>
      <c r="AN17" s="49">
        <f>Sheet1!B16</f>
        <v>45324</v>
      </c>
      <c r="AO17" s="50">
        <f t="shared" si="2"/>
        <v>2</v>
      </c>
      <c r="AP17" s="50">
        <f t="shared" si="3"/>
        <v>2</v>
      </c>
      <c r="AQ17" s="50">
        <f t="shared" si="4"/>
        <v>2024</v>
      </c>
      <c r="AR17" s="50" t="str">
        <f t="shared" si="5"/>
        <v>Feb-2024</v>
      </c>
      <c r="AS17" s="52">
        <f t="shared" si="6"/>
        <v>45324</v>
      </c>
      <c r="AT17" s="44">
        <f t="shared" ca="1" si="7"/>
        <v>954</v>
      </c>
      <c r="AU17" s="40" t="str">
        <f>LEFT(Sheet1!AE16,3)</f>
        <v>Ish</v>
      </c>
      <c r="AV17" s="40" t="str">
        <f>RIGHT(Sheet1!AF16,2)</f>
        <v>in</v>
      </c>
      <c r="AW17" s="40" t="str">
        <f>MID(Sheet1!AE16,2,3)</f>
        <v>shi</v>
      </c>
      <c r="AX17" s="42">
        <f>LEN(Sheet1!AE16)</f>
        <v>6</v>
      </c>
      <c r="AY17" s="40" t="str">
        <f>UPPER(Sheet1!AE16)</f>
        <v>ISHITA</v>
      </c>
      <c r="AZ17" s="40" t="str">
        <f>LOWER(Sheet1!AE16)</f>
        <v>ishita</v>
      </c>
      <c r="BA17" s="40" t="str">
        <f>PROPER(Sheet1!AE16)</f>
        <v>Ishita</v>
      </c>
      <c r="BB17" s="40" t="str">
        <f>_xlfn.CONCAT(Sheet1!AE16," ",Sheet1!AF16)</f>
        <v>Ishita Jain</v>
      </c>
      <c r="BL17" s="40" t="str">
        <v>Tablet</v>
      </c>
    </row>
    <row r="18" spans="1:64">
      <c r="A18" s="40" t="str">
        <v>Wallet</v>
      </c>
      <c r="B18" s="40">
        <f>SUMIFS(Sheet1!$N$2:$N$1001,Sheet1!$J$2:$J$1001,A18)</f>
        <v>150115</v>
      </c>
      <c r="AN18" s="49">
        <f>Sheet1!B17</f>
        <v>45324</v>
      </c>
      <c r="AO18" s="50">
        <f t="shared" si="2"/>
        <v>2</v>
      </c>
      <c r="AP18" s="50">
        <f t="shared" si="3"/>
        <v>2</v>
      </c>
      <c r="AQ18" s="50">
        <f t="shared" si="4"/>
        <v>2024</v>
      </c>
      <c r="AR18" s="50" t="str">
        <f t="shared" si="5"/>
        <v>Feb-2024</v>
      </c>
      <c r="AS18" s="52">
        <f t="shared" si="6"/>
        <v>45324</v>
      </c>
      <c r="AT18" s="44">
        <f t="shared" ca="1" si="7"/>
        <v>954</v>
      </c>
      <c r="AU18" s="40" t="str">
        <f>LEFT(Sheet1!AE17,3)</f>
        <v>Pri</v>
      </c>
      <c r="AV18" s="40" t="str">
        <f>RIGHT(Sheet1!AF17,2)</f>
        <v>ma</v>
      </c>
      <c r="AW18" s="40" t="str">
        <f>MID(Sheet1!AE17,2,3)</f>
        <v>riy</v>
      </c>
      <c r="AX18" s="42">
        <f>LEN(Sheet1!AE17)</f>
        <v>5</v>
      </c>
      <c r="AY18" s="40" t="str">
        <f>UPPER(Sheet1!AE17)</f>
        <v>PRIYA</v>
      </c>
      <c r="AZ18" s="40" t="str">
        <f>LOWER(Sheet1!AE17)</f>
        <v>priya</v>
      </c>
      <c r="BA18" s="40" t="str">
        <f>PROPER(Sheet1!AE17)</f>
        <v>Priya</v>
      </c>
      <c r="BB18" s="40" t="str">
        <f>_xlfn.CONCAT(Sheet1!AE17," ",Sheet1!AF17)</f>
        <v>Priya Verma</v>
      </c>
      <c r="BL18" s="40" t="str">
        <v>Headphones</v>
      </c>
    </row>
    <row r="19" spans="1:64">
      <c r="A19" s="40" t="str">
        <v>Pen Set</v>
      </c>
      <c r="B19" s="40">
        <f>SUMIFS(Sheet1!$N$2:$N$1001,Sheet1!$J$2:$J$1001,A19)</f>
        <v>96982.5</v>
      </c>
      <c r="AN19" s="49">
        <f>Sheet1!B18</f>
        <v>45325</v>
      </c>
      <c r="AO19" s="50">
        <f t="shared" si="2"/>
        <v>3</v>
      </c>
      <c r="AP19" s="50">
        <f t="shared" si="3"/>
        <v>2</v>
      </c>
      <c r="AQ19" s="50">
        <f t="shared" si="4"/>
        <v>2024</v>
      </c>
      <c r="AR19" s="50" t="str">
        <f t="shared" si="5"/>
        <v>Feb-2024</v>
      </c>
      <c r="AS19" s="52">
        <f t="shared" si="6"/>
        <v>45325</v>
      </c>
      <c r="AT19" s="44">
        <f t="shared" ca="1" si="7"/>
        <v>953</v>
      </c>
      <c r="AU19" s="40" t="str">
        <f>LEFT(Sheet1!AE18,3)</f>
        <v>Sne</v>
      </c>
      <c r="AV19" s="40" t="str">
        <f>RIGHT(Sheet1!AF18,2)</f>
        <v>ta</v>
      </c>
      <c r="AW19" s="40" t="str">
        <f>MID(Sheet1!AE18,2,3)</f>
        <v>neh</v>
      </c>
      <c r="AX19" s="42">
        <f>LEN(Sheet1!AE18)</f>
        <v>5</v>
      </c>
      <c r="AY19" s="40" t="str">
        <f>UPPER(Sheet1!AE18)</f>
        <v>SNEHA</v>
      </c>
      <c r="AZ19" s="40" t="str">
        <f>LOWER(Sheet1!AE18)</f>
        <v>sneha</v>
      </c>
      <c r="BA19" s="40" t="str">
        <f>PROPER(Sheet1!AE18)</f>
        <v>Sneha</v>
      </c>
      <c r="BB19" s="40" t="str">
        <f>_xlfn.CONCAT(Sheet1!AE18," ",Sheet1!AF18)</f>
        <v>Sneha Mehta</v>
      </c>
      <c r="BL19" s="40" t="str">
        <v>Monitor</v>
      </c>
    </row>
    <row r="20" spans="1:64">
      <c r="A20" s="40" t="str">
        <v>File Folder</v>
      </c>
      <c r="B20" s="40">
        <f>SUMIFS(Sheet1!$N$2:$N$1001,Sheet1!$J$2:$J$1001,A20)</f>
        <v>64612.5</v>
      </c>
      <c r="AN20" s="49">
        <f>Sheet1!B19</f>
        <v>45326</v>
      </c>
      <c r="AO20" s="50">
        <f t="shared" si="2"/>
        <v>4</v>
      </c>
      <c r="AP20" s="50">
        <f t="shared" si="3"/>
        <v>2</v>
      </c>
      <c r="AQ20" s="50">
        <f t="shared" si="4"/>
        <v>2024</v>
      </c>
      <c r="AR20" s="50" t="str">
        <f t="shared" si="5"/>
        <v>Feb-2024</v>
      </c>
      <c r="AS20" s="52">
        <f t="shared" si="6"/>
        <v>45326</v>
      </c>
      <c r="AT20" s="44">
        <f t="shared" ca="1" si="7"/>
        <v>952</v>
      </c>
      <c r="AU20" s="40" t="str">
        <f>LEFT(Sheet1!AE19,3)</f>
        <v>Riy</v>
      </c>
      <c r="AV20" s="40" t="str">
        <f>RIGHT(Sheet1!AF19,2)</f>
        <v>ta</v>
      </c>
      <c r="AW20" s="40" t="str">
        <f>MID(Sheet1!AE19,2,3)</f>
        <v>iya</v>
      </c>
      <c r="AX20" s="42">
        <f>LEN(Sheet1!AE19)</f>
        <v>4</v>
      </c>
      <c r="AY20" s="40" t="str">
        <f>UPPER(Sheet1!AE19)</f>
        <v>RIYA</v>
      </c>
      <c r="AZ20" s="40" t="str">
        <f>LOWER(Sheet1!AE19)</f>
        <v>riya</v>
      </c>
      <c r="BA20" s="40" t="str">
        <f>PROPER(Sheet1!AE19)</f>
        <v>Riya</v>
      </c>
      <c r="BB20" s="40" t="str">
        <f>_xlfn.CONCAT(Sheet1!AE19," ",Sheet1!AF19)</f>
        <v>Riya Gupta</v>
      </c>
      <c r="BL20" s="40" t="str">
        <v>Smartphone</v>
      </c>
    </row>
    <row r="21" spans="1:64">
      <c r="A21" s="40" t="str">
        <v>Sunglasses</v>
      </c>
      <c r="B21" s="40">
        <f>SUMIFS(Sheet1!$N$2:$N$1001,Sheet1!$J$2:$J$1001,A21)</f>
        <v>281960</v>
      </c>
      <c r="AN21" s="49">
        <f>Sheet1!B20</f>
        <v>45326</v>
      </c>
      <c r="AO21" s="50">
        <f t="shared" si="2"/>
        <v>4</v>
      </c>
      <c r="AP21" s="50">
        <f t="shared" si="3"/>
        <v>2</v>
      </c>
      <c r="AQ21" s="50">
        <f t="shared" si="4"/>
        <v>2024</v>
      </c>
      <c r="AR21" s="50" t="str">
        <f t="shared" si="5"/>
        <v>Feb-2024</v>
      </c>
      <c r="AS21" s="52">
        <f t="shared" si="6"/>
        <v>45326</v>
      </c>
      <c r="AT21" s="44">
        <f t="shared" ca="1" si="7"/>
        <v>952</v>
      </c>
      <c r="AU21" s="40" t="str">
        <f>LEFT(Sheet1!AE20,3)</f>
        <v>Roh</v>
      </c>
      <c r="AV21" s="40" t="str">
        <f>RIGHT(Sheet1!AF20,2)</f>
        <v>ta</v>
      </c>
      <c r="AW21" s="40" t="str">
        <f>MID(Sheet1!AE20,2,3)</f>
        <v>oha</v>
      </c>
      <c r="AX21" s="42">
        <f>LEN(Sheet1!AE20)</f>
        <v>5</v>
      </c>
      <c r="AY21" s="40" t="str">
        <f>UPPER(Sheet1!AE20)</f>
        <v>ROHAN</v>
      </c>
      <c r="AZ21" s="40" t="str">
        <f>LOWER(Sheet1!AE20)</f>
        <v>rohan</v>
      </c>
      <c r="BA21" s="40" t="str">
        <f>PROPER(Sheet1!AE20)</f>
        <v>Rohan</v>
      </c>
      <c r="BB21" s="40" t="str">
        <f>_xlfn.CONCAT(Sheet1!AE20," ",Sheet1!AF20)</f>
        <v>Rohan Gupta</v>
      </c>
      <c r="BL21" s="40" t="str">
        <v>Tablet</v>
      </c>
    </row>
    <row r="22" spans="1:64">
      <c r="A22" s="40" t="str">
        <v>T-Shirt</v>
      </c>
      <c r="B22" s="40">
        <f>SUMIFS(Sheet1!$N$2:$N$1001,Sheet1!$J$2:$J$1001,A22)</f>
        <v>440780</v>
      </c>
      <c r="AN22" s="49">
        <f>Sheet1!B21</f>
        <v>45326</v>
      </c>
      <c r="AO22" s="50">
        <f t="shared" si="2"/>
        <v>4</v>
      </c>
      <c r="AP22" s="50">
        <f t="shared" si="3"/>
        <v>2</v>
      </c>
      <c r="AQ22" s="50">
        <f t="shared" si="4"/>
        <v>2024</v>
      </c>
      <c r="AR22" s="50" t="str">
        <f t="shared" si="5"/>
        <v>Feb-2024</v>
      </c>
      <c r="AS22" s="52">
        <f t="shared" si="6"/>
        <v>45326</v>
      </c>
      <c r="AT22" s="44">
        <f t="shared" ca="1" si="7"/>
        <v>952</v>
      </c>
      <c r="AU22" s="40" t="str">
        <f>LEFT(Sheet1!AE21,3)</f>
        <v>Adi</v>
      </c>
      <c r="AV22" s="40" t="str">
        <f>RIGHT(Sheet1!AF21,2)</f>
        <v>ta</v>
      </c>
      <c r="AW22" s="40" t="str">
        <f>MID(Sheet1!AE21,2,3)</f>
        <v>dit</v>
      </c>
      <c r="AX22" s="42">
        <f>LEN(Sheet1!AE21)</f>
        <v>5</v>
      </c>
      <c r="AY22" s="40" t="str">
        <f>UPPER(Sheet1!AE21)</f>
        <v>ADITI</v>
      </c>
      <c r="AZ22" s="40" t="str">
        <f>LOWER(Sheet1!AE21)</f>
        <v>aditi</v>
      </c>
      <c r="BA22" s="40" t="str">
        <f>PROPER(Sheet1!AE21)</f>
        <v>Aditi</v>
      </c>
      <c r="BB22" s="40" t="str">
        <f>_xlfn.CONCAT(Sheet1!AE21," ",Sheet1!AF21)</f>
        <v>Aditi Gupta</v>
      </c>
      <c r="BL22" s="40" t="str">
        <v>Laptop</v>
      </c>
    </row>
    <row r="23" spans="1:64">
      <c r="A23" s="40" t="str">
        <v>Headphones</v>
      </c>
      <c r="B23" s="40">
        <f>SUMIFS(Sheet1!$N$2:$N$1001,Sheet1!$J$2:$J$1001,A23)</f>
        <v>2740850</v>
      </c>
      <c r="AN23" s="49">
        <f>Sheet1!B22</f>
        <v>45326</v>
      </c>
      <c r="AO23" s="50">
        <f t="shared" si="2"/>
        <v>4</v>
      </c>
      <c r="AP23" s="50">
        <f t="shared" si="3"/>
        <v>2</v>
      </c>
      <c r="AQ23" s="50">
        <f t="shared" si="4"/>
        <v>2024</v>
      </c>
      <c r="AR23" s="50" t="str">
        <f t="shared" si="5"/>
        <v>Feb-2024</v>
      </c>
      <c r="AS23" s="52">
        <f t="shared" si="6"/>
        <v>45326</v>
      </c>
      <c r="AT23" s="44">
        <f t="shared" ca="1" si="7"/>
        <v>952</v>
      </c>
      <c r="AU23" s="40" t="str">
        <f>LEFT(Sheet1!AE22,3)</f>
        <v>Sne</v>
      </c>
      <c r="AV23" s="40" t="str">
        <f>RIGHT(Sheet1!AF22,2)</f>
        <v>ra</v>
      </c>
      <c r="AW23" s="40" t="str">
        <f>MID(Sheet1!AE22,2,3)</f>
        <v>neh</v>
      </c>
      <c r="AX23" s="42">
        <f>LEN(Sheet1!AE22)</f>
        <v>5</v>
      </c>
      <c r="AY23" s="40" t="str">
        <f>UPPER(Sheet1!AE22)</f>
        <v>SNEHA</v>
      </c>
      <c r="AZ23" s="40" t="str">
        <f>LOWER(Sheet1!AE22)</f>
        <v>sneha</v>
      </c>
      <c r="BA23" s="40" t="str">
        <f>PROPER(Sheet1!AE22)</f>
        <v>Sneha</v>
      </c>
      <c r="BB23" s="40" t="str">
        <f>_xlfn.CONCAT(Sheet1!AE22," ",Sheet1!AF22)</f>
        <v>Sneha Mishra</v>
      </c>
      <c r="BL23" s="40" t="str">
        <v>Smartphone</v>
      </c>
    </row>
    <row r="24" spans="1:64">
      <c r="A24" s="40" t="str">
        <v>Stapler</v>
      </c>
      <c r="B24" s="40">
        <f>SUMIFS(Sheet1!$N$2:$N$1001,Sheet1!$J$2:$J$1001,A24)</f>
        <v>82717.5</v>
      </c>
      <c r="AN24" s="49">
        <f>Sheet1!B23</f>
        <v>45326</v>
      </c>
      <c r="AO24" s="50">
        <f t="shared" si="2"/>
        <v>4</v>
      </c>
      <c r="AP24" s="50">
        <f t="shared" si="3"/>
        <v>2</v>
      </c>
      <c r="AQ24" s="50">
        <f t="shared" si="4"/>
        <v>2024</v>
      </c>
      <c r="AR24" s="50" t="str">
        <f t="shared" si="5"/>
        <v>Feb-2024</v>
      </c>
      <c r="AS24" s="52">
        <f t="shared" si="6"/>
        <v>45326</v>
      </c>
      <c r="AT24" s="44">
        <f t="shared" ca="1" si="7"/>
        <v>952</v>
      </c>
      <c r="AU24" s="40" t="str">
        <f>LEFT(Sheet1!AE23,3)</f>
        <v>Rah</v>
      </c>
      <c r="AV24" s="40" t="str">
        <f>RIGHT(Sheet1!AF23,2)</f>
        <v>ar</v>
      </c>
      <c r="AW24" s="40" t="str">
        <f>MID(Sheet1!AE23,2,3)</f>
        <v>ahu</v>
      </c>
      <c r="AX24" s="42">
        <f>LEN(Sheet1!AE23)</f>
        <v>5</v>
      </c>
      <c r="AY24" s="40" t="str">
        <f>UPPER(Sheet1!AE23)</f>
        <v>RAHUL</v>
      </c>
      <c r="AZ24" s="40" t="str">
        <f>LOWER(Sheet1!AE23)</f>
        <v>rahul</v>
      </c>
      <c r="BA24" s="40" t="str">
        <f>PROPER(Sheet1!AE23)</f>
        <v>Rahul</v>
      </c>
      <c r="BB24" s="40" t="str">
        <f>_xlfn.CONCAT(Sheet1!AE23," ",Sheet1!AF23)</f>
        <v>Rahul Kumar</v>
      </c>
      <c r="BL24" s="40" t="str">
        <v>Laptop</v>
      </c>
    </row>
    <row r="25" spans="1:64">
      <c r="A25" s="40" t="str">
        <v>Sofa</v>
      </c>
      <c r="B25" s="40">
        <f>SUMIFS(Sheet1!$N$2:$N$1001,Sheet1!$J$2:$J$1001,A25)</f>
        <v>1204050</v>
      </c>
      <c r="AN25" s="49">
        <f>Sheet1!B24</f>
        <v>45326</v>
      </c>
      <c r="AO25" s="50">
        <f t="shared" si="2"/>
        <v>4</v>
      </c>
      <c r="AP25" s="50">
        <f t="shared" si="3"/>
        <v>2</v>
      </c>
      <c r="AQ25" s="50">
        <f t="shared" si="4"/>
        <v>2024</v>
      </c>
      <c r="AR25" s="50" t="str">
        <f t="shared" si="5"/>
        <v>Feb-2024</v>
      </c>
      <c r="AS25" s="52">
        <f t="shared" si="6"/>
        <v>45326</v>
      </c>
      <c r="AT25" s="44">
        <f t="shared" ca="1" si="7"/>
        <v>952</v>
      </c>
      <c r="AU25" s="40" t="str">
        <f>LEFT(Sheet1!AE24,3)</f>
        <v>Kar</v>
      </c>
      <c r="AV25" s="40" t="str">
        <f>RIGHT(Sheet1!AF24,2)</f>
        <v>gh</v>
      </c>
      <c r="AW25" s="40" t="str">
        <f>MID(Sheet1!AE24,2,3)</f>
        <v>ara</v>
      </c>
      <c r="AX25" s="42">
        <f>LEN(Sheet1!AE24)</f>
        <v>5</v>
      </c>
      <c r="AY25" s="40" t="str">
        <f>UPPER(Sheet1!AE24)</f>
        <v>KARAN</v>
      </c>
      <c r="AZ25" s="40" t="str">
        <f>LOWER(Sheet1!AE24)</f>
        <v>karan</v>
      </c>
      <c r="BA25" s="40" t="str">
        <f>PROPER(Sheet1!AE24)</f>
        <v>Karan</v>
      </c>
      <c r="BB25" s="40" t="str">
        <f>_xlfn.CONCAT(Sheet1!AE24," ",Sheet1!AF24)</f>
        <v>Karan Singh</v>
      </c>
      <c r="BL25" s="40" t="str">
        <v>Tablet</v>
      </c>
    </row>
    <row r="26" spans="1:64">
      <c r="A26" s="40" t="str">
        <v>Bookshelf</v>
      </c>
      <c r="B26" s="40">
        <f>SUMIFS(Sheet1!$N$2:$N$1001,Sheet1!$J$2:$J$1001,A26)</f>
        <v>1141650</v>
      </c>
      <c r="AN26" s="49">
        <f>Sheet1!B25</f>
        <v>45327</v>
      </c>
      <c r="AO26" s="50">
        <f t="shared" si="2"/>
        <v>5</v>
      </c>
      <c r="AP26" s="50">
        <f t="shared" si="3"/>
        <v>2</v>
      </c>
      <c r="AQ26" s="50">
        <f t="shared" si="4"/>
        <v>2024</v>
      </c>
      <c r="AR26" s="50" t="str">
        <f t="shared" si="5"/>
        <v>Feb-2024</v>
      </c>
      <c r="AS26" s="52">
        <f t="shared" si="6"/>
        <v>45327</v>
      </c>
      <c r="AT26" s="44">
        <f t="shared" ca="1" si="7"/>
        <v>951</v>
      </c>
      <c r="AU26" s="40" t="str">
        <f>LEFT(Sheet1!AE25,3)</f>
        <v>Nis</v>
      </c>
      <c r="AV26" s="40" t="str">
        <f>RIGHT(Sheet1!AF25,2)</f>
        <v>av</v>
      </c>
      <c r="AW26" s="40" t="str">
        <f>MID(Sheet1!AE25,2,3)</f>
        <v>ish</v>
      </c>
      <c r="AX26" s="42">
        <f>LEN(Sheet1!AE25)</f>
        <v>5</v>
      </c>
      <c r="AY26" s="40" t="str">
        <f>UPPER(Sheet1!AE25)</f>
        <v>NISHA</v>
      </c>
      <c r="AZ26" s="40" t="str">
        <f>LOWER(Sheet1!AE25)</f>
        <v>nisha</v>
      </c>
      <c r="BA26" s="40" t="str">
        <f>PROPER(Sheet1!AE25)</f>
        <v>Nisha</v>
      </c>
      <c r="BB26" s="40" t="str">
        <f>_xlfn.CONCAT(Sheet1!AE25," ",Sheet1!AF25)</f>
        <v>Nisha Yadav</v>
      </c>
      <c r="BL26" s="40" t="str">
        <v>Smartphone</v>
      </c>
    </row>
    <row r="27" spans="1:64">
      <c r="AN27" s="49">
        <f>Sheet1!B26</f>
        <v>45327</v>
      </c>
      <c r="AO27" s="50">
        <f t="shared" si="2"/>
        <v>5</v>
      </c>
      <c r="AP27" s="50">
        <f t="shared" si="3"/>
        <v>2</v>
      </c>
      <c r="AQ27" s="50">
        <f t="shared" si="4"/>
        <v>2024</v>
      </c>
      <c r="AR27" s="50" t="str">
        <f t="shared" si="5"/>
        <v>Feb-2024</v>
      </c>
      <c r="AS27" s="52">
        <f t="shared" si="6"/>
        <v>45327</v>
      </c>
      <c r="AT27" s="44">
        <f t="shared" ca="1" si="7"/>
        <v>951</v>
      </c>
      <c r="AU27" s="40" t="str">
        <f>LEFT(Sheet1!AE26,3)</f>
        <v>Kav</v>
      </c>
      <c r="AV27" s="40" t="str">
        <f>RIGHT(Sheet1!AF26,2)</f>
        <v>al</v>
      </c>
      <c r="AW27" s="40" t="str">
        <f>MID(Sheet1!AE26,2,3)</f>
        <v>avy</v>
      </c>
      <c r="AX27" s="42">
        <f>LEN(Sheet1!AE26)</f>
        <v>5</v>
      </c>
      <c r="AY27" s="40" t="str">
        <f>UPPER(Sheet1!AE26)</f>
        <v>KAVYA</v>
      </c>
      <c r="AZ27" s="40" t="str">
        <f>LOWER(Sheet1!AE26)</f>
        <v>kavya</v>
      </c>
      <c r="BA27" s="40" t="str">
        <f>PROPER(Sheet1!AE26)</f>
        <v>Kavya</v>
      </c>
      <c r="BB27" s="40" t="str">
        <f>_xlfn.CONCAT(Sheet1!AE26," ",Sheet1!AF26)</f>
        <v>Kavya Bansal</v>
      </c>
      <c r="BL27" s="40" t="str">
        <v>Monitor</v>
      </c>
    </row>
    <row r="28" spans="1:64">
      <c r="AN28" s="49">
        <f>Sheet1!B27</f>
        <v>45328</v>
      </c>
      <c r="AO28" s="50">
        <f t="shared" si="2"/>
        <v>6</v>
      </c>
      <c r="AP28" s="50">
        <f t="shared" si="3"/>
        <v>2</v>
      </c>
      <c r="AQ28" s="50">
        <f t="shared" si="4"/>
        <v>2024</v>
      </c>
      <c r="AR28" s="50" t="str">
        <f t="shared" si="5"/>
        <v>Feb-2024</v>
      </c>
      <c r="AS28" s="52">
        <f t="shared" si="6"/>
        <v>45328</v>
      </c>
      <c r="AT28" s="44">
        <f t="shared" ca="1" si="7"/>
        <v>950</v>
      </c>
      <c r="AU28" s="40" t="str">
        <f>LEFT(Sheet1!AE27,3)</f>
        <v>Pri</v>
      </c>
      <c r="AV28" s="40" t="str">
        <f>RIGHT(Sheet1!AF27,2)</f>
        <v>av</v>
      </c>
      <c r="AW28" s="40" t="str">
        <f>MID(Sheet1!AE27,2,3)</f>
        <v>riy</v>
      </c>
      <c r="AX28" s="42">
        <f>LEN(Sheet1!AE27)</f>
        <v>5</v>
      </c>
      <c r="AY28" s="40" t="str">
        <f>UPPER(Sheet1!AE27)</f>
        <v>PRIYA</v>
      </c>
      <c r="AZ28" s="40" t="str">
        <f>LOWER(Sheet1!AE27)</f>
        <v>priya</v>
      </c>
      <c r="BA28" s="40" t="str">
        <f>PROPER(Sheet1!AE27)</f>
        <v>Priya</v>
      </c>
      <c r="BB28" s="40" t="str">
        <f>_xlfn.CONCAT(Sheet1!AE27," ",Sheet1!AF27)</f>
        <v>Priya Yadav</v>
      </c>
      <c r="BL28" s="40" t="str">
        <v>Smartphone</v>
      </c>
    </row>
    <row r="29" spans="1:64">
      <c r="AN29" s="49">
        <f>Sheet1!B28</f>
        <v>45329</v>
      </c>
      <c r="AO29" s="50">
        <f t="shared" si="2"/>
        <v>7</v>
      </c>
      <c r="AP29" s="50">
        <f t="shared" si="3"/>
        <v>2</v>
      </c>
      <c r="AQ29" s="50">
        <f t="shared" si="4"/>
        <v>2024</v>
      </c>
      <c r="AR29" s="50" t="str">
        <f t="shared" si="5"/>
        <v>Feb-2024</v>
      </c>
      <c r="AS29" s="52">
        <f t="shared" si="6"/>
        <v>45329</v>
      </c>
      <c r="AT29" s="44">
        <f t="shared" ca="1" si="7"/>
        <v>949</v>
      </c>
      <c r="AU29" s="40" t="str">
        <f>LEFT(Sheet1!AE28,3)</f>
        <v>Adi</v>
      </c>
      <c r="AV29" s="40" t="str">
        <f>RIGHT(Sheet1!AF28,2)</f>
        <v>na</v>
      </c>
      <c r="AW29" s="40" t="str">
        <f>MID(Sheet1!AE28,2,3)</f>
        <v>dit</v>
      </c>
      <c r="AX29" s="42">
        <f>LEN(Sheet1!AE28)</f>
        <v>6</v>
      </c>
      <c r="AY29" s="40" t="str">
        <f>UPPER(Sheet1!AE28)</f>
        <v>ADITYA</v>
      </c>
      <c r="AZ29" s="40" t="str">
        <f>LOWER(Sheet1!AE28)</f>
        <v>aditya</v>
      </c>
      <c r="BA29" s="40" t="str">
        <f>PROPER(Sheet1!AE28)</f>
        <v>Aditya</v>
      </c>
      <c r="BB29" s="40" t="str">
        <f>_xlfn.CONCAT(Sheet1!AE28," ",Sheet1!AF28)</f>
        <v>Aditya Saxena</v>
      </c>
      <c r="BL29" s="40" t="str">
        <v>Smartphone</v>
      </c>
    </row>
    <row r="30" spans="1:64">
      <c r="AN30" s="49">
        <f>Sheet1!B29</f>
        <v>45329</v>
      </c>
      <c r="AO30" s="50">
        <f t="shared" si="2"/>
        <v>7</v>
      </c>
      <c r="AP30" s="50">
        <f t="shared" si="3"/>
        <v>2</v>
      </c>
      <c r="AQ30" s="50">
        <f t="shared" si="4"/>
        <v>2024</v>
      </c>
      <c r="AR30" s="50" t="str">
        <f t="shared" si="5"/>
        <v>Feb-2024</v>
      </c>
      <c r="AS30" s="52">
        <f t="shared" si="6"/>
        <v>45329</v>
      </c>
      <c r="AT30" s="44">
        <f t="shared" ca="1" si="7"/>
        <v>949</v>
      </c>
      <c r="AU30" s="40" t="str">
        <f>LEFT(Sheet1!AE29,3)</f>
        <v>Pri</v>
      </c>
      <c r="AV30" s="40" t="str">
        <f>RIGHT(Sheet1!AF29,2)</f>
        <v>al</v>
      </c>
      <c r="AW30" s="40" t="str">
        <f>MID(Sheet1!AE29,2,3)</f>
        <v>riy</v>
      </c>
      <c r="AX30" s="42">
        <f>LEN(Sheet1!AE29)</f>
        <v>5</v>
      </c>
      <c r="AY30" s="40" t="str">
        <f>UPPER(Sheet1!AE29)</f>
        <v>PRIYA</v>
      </c>
      <c r="AZ30" s="40" t="str">
        <f>LOWER(Sheet1!AE29)</f>
        <v>priya</v>
      </c>
      <c r="BA30" s="40" t="str">
        <f>PROPER(Sheet1!AE29)</f>
        <v>Priya</v>
      </c>
      <c r="BB30" s="40" t="str">
        <f>_xlfn.CONCAT(Sheet1!AE29," ",Sheet1!AF29)</f>
        <v>Priya Bansal</v>
      </c>
      <c r="BL30" s="40" t="str">
        <v>Tablet</v>
      </c>
    </row>
    <row r="31" spans="1:64">
      <c r="AN31" s="49">
        <f>Sheet1!B30</f>
        <v>45329</v>
      </c>
      <c r="AO31" s="50">
        <f t="shared" si="2"/>
        <v>7</v>
      </c>
      <c r="AP31" s="50">
        <f t="shared" si="3"/>
        <v>2</v>
      </c>
      <c r="AQ31" s="50">
        <f t="shared" si="4"/>
        <v>2024</v>
      </c>
      <c r="AR31" s="50" t="str">
        <f t="shared" si="5"/>
        <v>Feb-2024</v>
      </c>
      <c r="AS31" s="52">
        <f t="shared" si="6"/>
        <v>45329</v>
      </c>
      <c r="AT31" s="44">
        <f t="shared" ca="1" si="7"/>
        <v>949</v>
      </c>
      <c r="AU31" s="40" t="str">
        <f>LEFT(Sheet1!AE30,3)</f>
        <v>Neh</v>
      </c>
      <c r="AV31" s="40" t="str">
        <f>RIGHT(Sheet1!AF30,2)</f>
        <v>ar</v>
      </c>
      <c r="AW31" s="40" t="str">
        <f>MID(Sheet1!AE30,2,3)</f>
        <v>eha</v>
      </c>
      <c r="AX31" s="42">
        <f>LEN(Sheet1!AE30)</f>
        <v>4</v>
      </c>
      <c r="AY31" s="40" t="str">
        <f>UPPER(Sheet1!AE30)</f>
        <v>NEHA</v>
      </c>
      <c r="AZ31" s="40" t="str">
        <f>LOWER(Sheet1!AE30)</f>
        <v>neha</v>
      </c>
      <c r="BA31" s="40" t="str">
        <f>PROPER(Sheet1!AE30)</f>
        <v>Neha</v>
      </c>
      <c r="BB31" s="40" t="str">
        <f>_xlfn.CONCAT(Sheet1!AE30," ",Sheet1!AF30)</f>
        <v>Neha Kumar</v>
      </c>
      <c r="BL31" s="40" t="str">
        <v>Laptop</v>
      </c>
    </row>
    <row r="32" spans="1:64">
      <c r="AN32" s="49">
        <f>Sheet1!B31</f>
        <v>45330</v>
      </c>
      <c r="AO32" s="50">
        <f t="shared" si="2"/>
        <v>8</v>
      </c>
      <c r="AP32" s="50">
        <f t="shared" si="3"/>
        <v>2</v>
      </c>
      <c r="AQ32" s="50">
        <f t="shared" si="4"/>
        <v>2024</v>
      </c>
      <c r="AR32" s="50" t="str">
        <f t="shared" si="5"/>
        <v>Feb-2024</v>
      </c>
      <c r="AS32" s="52">
        <f t="shared" si="6"/>
        <v>45330</v>
      </c>
      <c r="AT32" s="44">
        <f t="shared" ca="1" si="7"/>
        <v>948</v>
      </c>
      <c r="AU32" s="40" t="str">
        <f>LEFT(Sheet1!AE31,3)</f>
        <v>Aar</v>
      </c>
      <c r="AV32" s="40" t="str">
        <f>RIGHT(Sheet1!AF31,2)</f>
        <v>ma</v>
      </c>
      <c r="AW32" s="40" t="str">
        <f>MID(Sheet1!AE31,2,3)</f>
        <v>ara</v>
      </c>
      <c r="AX32" s="42">
        <f>LEN(Sheet1!AE31)</f>
        <v>5</v>
      </c>
      <c r="AY32" s="40" t="str">
        <f>UPPER(Sheet1!AE31)</f>
        <v>AARAV</v>
      </c>
      <c r="AZ32" s="40" t="str">
        <f>LOWER(Sheet1!AE31)</f>
        <v>aarav</v>
      </c>
      <c r="BA32" s="40" t="str">
        <f>PROPER(Sheet1!AE31)</f>
        <v>Aarav</v>
      </c>
      <c r="BB32" s="40" t="str">
        <f>_xlfn.CONCAT(Sheet1!AE31," ",Sheet1!AF31)</f>
        <v>Aarav Sharma</v>
      </c>
      <c r="BL32" s="40" t="str">
        <v>Tablet</v>
      </c>
    </row>
    <row r="33" spans="40:64">
      <c r="AN33" s="49">
        <f>Sheet1!B32</f>
        <v>45331</v>
      </c>
      <c r="AO33" s="50">
        <f>IFERROR(DAY(AN33),VALUE(LEFT(AN33,2)))</f>
        <v>9</v>
      </c>
      <c r="AP33" s="50">
        <f t="shared" si="3"/>
        <v>2</v>
      </c>
      <c r="AQ33" s="50">
        <f t="shared" si="4"/>
        <v>2024</v>
      </c>
      <c r="AR33" s="50" t="str">
        <f t="shared" si="5"/>
        <v>Feb-2024</v>
      </c>
      <c r="AS33" s="52">
        <f t="shared" si="6"/>
        <v>45331</v>
      </c>
      <c r="AT33" s="44">
        <f t="shared" ca="1" si="7"/>
        <v>947</v>
      </c>
      <c r="AU33" s="40" t="str">
        <f>LEFT(Sheet1!AE32,3)</f>
        <v>Adi</v>
      </c>
      <c r="AV33" s="40" t="str">
        <f>RIGHT(Sheet1!AF32,2)</f>
        <v>av</v>
      </c>
      <c r="AW33" s="40" t="str">
        <f>MID(Sheet1!AE32,2,3)</f>
        <v>dit</v>
      </c>
      <c r="AX33" s="42">
        <f>LEN(Sheet1!AE32)</f>
        <v>6</v>
      </c>
      <c r="AY33" s="40" t="str">
        <f>UPPER(Sheet1!AE32)</f>
        <v>ADITYA</v>
      </c>
      <c r="AZ33" s="40" t="str">
        <f>LOWER(Sheet1!AE32)</f>
        <v>aditya</v>
      </c>
      <c r="BA33" s="40" t="str">
        <f>PROPER(Sheet1!AE32)</f>
        <v>Aditya</v>
      </c>
      <c r="BB33" s="40" t="str">
        <f>_xlfn.CONCAT(Sheet1!AE32," ",Sheet1!AF32)</f>
        <v>Aditya Yadav</v>
      </c>
      <c r="BL33" s="40" t="str">
        <v>Headphones</v>
      </c>
    </row>
    <row r="34" spans="40:64">
      <c r="AN34" s="49">
        <f>Sheet1!B33</f>
        <v>45332</v>
      </c>
      <c r="AO34" s="50">
        <f t="shared" si="2"/>
        <v>10</v>
      </c>
      <c r="AP34" s="50">
        <f t="shared" si="3"/>
        <v>2</v>
      </c>
      <c r="AQ34" s="50">
        <f t="shared" si="4"/>
        <v>2024</v>
      </c>
      <c r="AR34" s="50" t="str">
        <f t="shared" si="5"/>
        <v>Feb-2024</v>
      </c>
      <c r="AS34" s="52">
        <f t="shared" si="6"/>
        <v>45332</v>
      </c>
      <c r="AT34" s="44">
        <f t="shared" ca="1" si="7"/>
        <v>946</v>
      </c>
      <c r="AU34" s="40" t="str">
        <f>LEFT(Sheet1!AE33,3)</f>
        <v>Rah</v>
      </c>
      <c r="AV34" s="40" t="str">
        <f>RIGHT(Sheet1!AF33,2)</f>
        <v>ra</v>
      </c>
      <c r="AW34" s="40" t="str">
        <f>MID(Sheet1!AE33,2,3)</f>
        <v>ahu</v>
      </c>
      <c r="AX34" s="42">
        <f>LEN(Sheet1!AE33)</f>
        <v>5</v>
      </c>
      <c r="AY34" s="40" t="str">
        <f>UPPER(Sheet1!AE33)</f>
        <v>RAHUL</v>
      </c>
      <c r="AZ34" s="40" t="str">
        <f>LOWER(Sheet1!AE33)</f>
        <v>rahul</v>
      </c>
      <c r="BA34" s="40" t="str">
        <f>PROPER(Sheet1!AE33)</f>
        <v>Rahul</v>
      </c>
      <c r="BB34" s="40" t="str">
        <f>_xlfn.CONCAT(Sheet1!AE33," ",Sheet1!AF33)</f>
        <v>Rahul Malhotra</v>
      </c>
      <c r="BL34" s="40" t="str">
        <v>Monitor</v>
      </c>
    </row>
    <row r="35" spans="40:64">
      <c r="AN35" s="49">
        <f>Sheet1!B34</f>
        <v>45332</v>
      </c>
      <c r="AO35" s="50">
        <f t="shared" si="2"/>
        <v>10</v>
      </c>
      <c r="AP35" s="50">
        <f t="shared" si="3"/>
        <v>2</v>
      </c>
      <c r="AQ35" s="50">
        <f t="shared" si="4"/>
        <v>2024</v>
      </c>
      <c r="AR35" s="50" t="str">
        <f t="shared" si="5"/>
        <v>Feb-2024</v>
      </c>
      <c r="AS35" s="52">
        <f t="shared" si="6"/>
        <v>45332</v>
      </c>
      <c r="AT35" s="44">
        <f t="shared" ca="1" si="7"/>
        <v>946</v>
      </c>
      <c r="AU35" s="40" t="str">
        <f>LEFT(Sheet1!AE34,3)</f>
        <v>Mee</v>
      </c>
      <c r="AV35" s="40" t="str">
        <f>RIGHT(Sheet1!AF34,2)</f>
        <v>ta</v>
      </c>
      <c r="AW35" s="40" t="str">
        <f>MID(Sheet1!AE34,2,3)</f>
        <v>eer</v>
      </c>
      <c r="AX35" s="42">
        <f>LEN(Sheet1!AE34)</f>
        <v>5</v>
      </c>
      <c r="AY35" s="40" t="str">
        <f>UPPER(Sheet1!AE34)</f>
        <v>MEERA</v>
      </c>
      <c r="AZ35" s="40" t="str">
        <f>LOWER(Sheet1!AE34)</f>
        <v>meera</v>
      </c>
      <c r="BA35" s="40" t="str">
        <f>PROPER(Sheet1!AE34)</f>
        <v>Meera</v>
      </c>
      <c r="BB35" s="40" t="str">
        <f>_xlfn.CONCAT(Sheet1!AE34," ",Sheet1!AF34)</f>
        <v>Meera Gupta</v>
      </c>
      <c r="BL35" s="40" t="str">
        <v>Monitor</v>
      </c>
    </row>
    <row r="36" spans="40:64">
      <c r="AN36" s="49">
        <f>Sheet1!B35</f>
        <v>45332</v>
      </c>
      <c r="AO36" s="50">
        <f t="shared" si="2"/>
        <v>10</v>
      </c>
      <c r="AP36" s="50">
        <f t="shared" si="3"/>
        <v>2</v>
      </c>
      <c r="AQ36" s="50">
        <f t="shared" si="4"/>
        <v>2024</v>
      </c>
      <c r="AR36" s="50" t="str">
        <f t="shared" si="5"/>
        <v>Feb-2024</v>
      </c>
      <c r="AS36" s="52">
        <f t="shared" si="6"/>
        <v>45332</v>
      </c>
      <c r="AT36" s="44">
        <f t="shared" ca="1" si="7"/>
        <v>946</v>
      </c>
      <c r="AU36" s="40" t="str">
        <f>LEFT(Sheet1!AE35,3)</f>
        <v>Viv</v>
      </c>
      <c r="AV36" s="40" t="str">
        <f>RIGHT(Sheet1!AF35,2)</f>
        <v>in</v>
      </c>
      <c r="AW36" s="40" t="str">
        <f>MID(Sheet1!AE35,2,3)</f>
        <v>iva</v>
      </c>
      <c r="AX36" s="42">
        <f>LEN(Sheet1!AE35)</f>
        <v>6</v>
      </c>
      <c r="AY36" s="40" t="str">
        <f>UPPER(Sheet1!AE35)</f>
        <v>VIVAAN</v>
      </c>
      <c r="AZ36" s="40" t="str">
        <f>LOWER(Sheet1!AE35)</f>
        <v>vivaan</v>
      </c>
      <c r="BA36" s="40" t="str">
        <f>PROPER(Sheet1!AE35)</f>
        <v>Vivaan</v>
      </c>
      <c r="BB36" s="40" t="str">
        <f>_xlfn.CONCAT(Sheet1!AE35," ",Sheet1!AF35)</f>
        <v>Vivaan Jain</v>
      </c>
      <c r="BL36" s="40" t="str">
        <v>Headphones</v>
      </c>
    </row>
    <row r="37" spans="40:64">
      <c r="AN37" s="49">
        <f>Sheet1!B36</f>
        <v>45334</v>
      </c>
      <c r="AO37" s="50">
        <f t="shared" si="2"/>
        <v>12</v>
      </c>
      <c r="AP37" s="50">
        <f t="shared" si="3"/>
        <v>2</v>
      </c>
      <c r="AQ37" s="50">
        <f t="shared" si="4"/>
        <v>2024</v>
      </c>
      <c r="AR37" s="50" t="str">
        <f t="shared" si="5"/>
        <v>Feb-2024</v>
      </c>
      <c r="AS37" s="52">
        <f t="shared" si="6"/>
        <v>45334</v>
      </c>
      <c r="AT37" s="44">
        <f t="shared" ca="1" si="7"/>
        <v>944</v>
      </c>
      <c r="AU37" s="40" t="str">
        <f>LEFT(Sheet1!AE36,3)</f>
        <v>Vik</v>
      </c>
      <c r="AV37" s="40" t="str">
        <f>RIGHT(Sheet1!AF36,2)</f>
        <v>or</v>
      </c>
      <c r="AW37" s="40" t="str">
        <f>MID(Sheet1!AE36,2,3)</f>
        <v>ikr</v>
      </c>
      <c r="AX37" s="42">
        <f>LEN(Sheet1!AE36)</f>
        <v>6</v>
      </c>
      <c r="AY37" s="40" t="str">
        <f>UPPER(Sheet1!AE36)</f>
        <v>VIKRAM</v>
      </c>
      <c r="AZ37" s="40" t="str">
        <f>LOWER(Sheet1!AE36)</f>
        <v>vikram</v>
      </c>
      <c r="BA37" s="40" t="str">
        <f>PROPER(Sheet1!AE36)</f>
        <v>Vikram</v>
      </c>
      <c r="BB37" s="40" t="str">
        <f>_xlfn.CONCAT(Sheet1!AE36," ",Sheet1!AF36)</f>
        <v>Vikram Kapoor</v>
      </c>
      <c r="BL37" s="40" t="str">
        <v>Smartphone</v>
      </c>
    </row>
    <row r="38" spans="40:64">
      <c r="AN38" s="49">
        <f>Sheet1!B37</f>
        <v>45352</v>
      </c>
      <c r="AO38" s="50">
        <f t="shared" si="2"/>
        <v>1</v>
      </c>
      <c r="AP38" s="50">
        <f t="shared" si="3"/>
        <v>3</v>
      </c>
      <c r="AQ38" s="50">
        <f t="shared" si="4"/>
        <v>2024</v>
      </c>
      <c r="AR38" s="50" t="str">
        <f t="shared" si="5"/>
        <v>Mar-2024</v>
      </c>
      <c r="AS38" s="52">
        <f t="shared" si="6"/>
        <v>45352</v>
      </c>
      <c r="AT38" s="44">
        <f t="shared" ca="1" si="7"/>
        <v>926</v>
      </c>
      <c r="AU38" s="40" t="str">
        <f>LEFT(Sheet1!AE37,3)</f>
        <v>Ish</v>
      </c>
      <c r="AV38" s="40" t="str">
        <f>RIGHT(Sheet1!AF37,2)</f>
        <v>ra</v>
      </c>
      <c r="AW38" s="40" t="str">
        <f>MID(Sheet1!AE37,2,3)</f>
        <v>shi</v>
      </c>
      <c r="AX38" s="42">
        <f>LEN(Sheet1!AE37)</f>
        <v>6</v>
      </c>
      <c r="AY38" s="40" t="str">
        <f>UPPER(Sheet1!AE37)</f>
        <v>ISHITA</v>
      </c>
      <c r="AZ38" s="40" t="str">
        <f>LOWER(Sheet1!AE37)</f>
        <v>ishita</v>
      </c>
      <c r="BA38" s="40" t="str">
        <f>PROPER(Sheet1!AE37)</f>
        <v>Ishita</v>
      </c>
      <c r="BB38" s="40" t="str">
        <f>_xlfn.CONCAT(Sheet1!AE37," ",Sheet1!AF37)</f>
        <v>Ishita Chopra</v>
      </c>
      <c r="BL38" s="40" t="str">
        <v>Monitor</v>
      </c>
    </row>
    <row r="39" spans="40:64">
      <c r="AN39" s="49">
        <f>Sheet1!B38</f>
        <v>45352</v>
      </c>
      <c r="AO39" s="50">
        <f t="shared" si="2"/>
        <v>1</v>
      </c>
      <c r="AP39" s="50">
        <f t="shared" si="3"/>
        <v>3</v>
      </c>
      <c r="AQ39" s="50">
        <f t="shared" si="4"/>
        <v>2024</v>
      </c>
      <c r="AR39" s="50" t="str">
        <f t="shared" si="5"/>
        <v>Mar-2024</v>
      </c>
      <c r="AS39" s="52">
        <f t="shared" si="6"/>
        <v>45352</v>
      </c>
      <c r="AT39" s="44">
        <f t="shared" ca="1" si="7"/>
        <v>926</v>
      </c>
      <c r="AU39" s="40" t="str">
        <f>LEFT(Sheet1!AE38,3)</f>
        <v>Arj</v>
      </c>
      <c r="AV39" s="40" t="str">
        <f>RIGHT(Sheet1!AF38,2)</f>
        <v>ar</v>
      </c>
      <c r="AW39" s="40" t="str">
        <f>MID(Sheet1!AE38,2,3)</f>
        <v>rju</v>
      </c>
      <c r="AX39" s="42">
        <f>LEN(Sheet1!AE38)</f>
        <v>5</v>
      </c>
      <c r="AY39" s="40" t="str">
        <f>UPPER(Sheet1!AE38)</f>
        <v>ARJUN</v>
      </c>
      <c r="AZ39" s="40" t="str">
        <f>LOWER(Sheet1!AE38)</f>
        <v>arjun</v>
      </c>
      <c r="BA39" s="40" t="str">
        <f>PROPER(Sheet1!AE38)</f>
        <v>Arjun</v>
      </c>
      <c r="BB39" s="40" t="str">
        <f>_xlfn.CONCAT(Sheet1!AE38," ",Sheet1!AF38)</f>
        <v>Arjun Kumar</v>
      </c>
      <c r="BL39" s="40" t="str">
        <v>Headphones</v>
      </c>
    </row>
    <row r="40" spans="40:64">
      <c r="AN40" s="49">
        <f>Sheet1!B39</f>
        <v>45354</v>
      </c>
      <c r="AO40" s="50">
        <f t="shared" si="2"/>
        <v>3</v>
      </c>
      <c r="AP40" s="50">
        <f t="shared" si="3"/>
        <v>3</v>
      </c>
      <c r="AQ40" s="50">
        <f t="shared" si="4"/>
        <v>2024</v>
      </c>
      <c r="AR40" s="50" t="str">
        <f t="shared" si="5"/>
        <v>Mar-2024</v>
      </c>
      <c r="AS40" s="52">
        <f t="shared" si="6"/>
        <v>45354</v>
      </c>
      <c r="AT40" s="44">
        <f t="shared" ca="1" si="7"/>
        <v>924</v>
      </c>
      <c r="AU40" s="40" t="str">
        <f>LEFT(Sheet1!AE39,3)</f>
        <v>Mee</v>
      </c>
      <c r="AV40" s="40" t="str">
        <f>RIGHT(Sheet1!AF39,2)</f>
        <v>ma</v>
      </c>
      <c r="AW40" s="40" t="str">
        <f>MID(Sheet1!AE39,2,3)</f>
        <v>eer</v>
      </c>
      <c r="AX40" s="42">
        <f>LEN(Sheet1!AE39)</f>
        <v>5</v>
      </c>
      <c r="AY40" s="40" t="str">
        <f>UPPER(Sheet1!AE39)</f>
        <v>MEERA</v>
      </c>
      <c r="AZ40" s="40" t="str">
        <f>LOWER(Sheet1!AE39)</f>
        <v>meera</v>
      </c>
      <c r="BA40" s="40" t="str">
        <f>PROPER(Sheet1!AE39)</f>
        <v>Meera</v>
      </c>
      <c r="BB40" s="40" t="str">
        <f>_xlfn.CONCAT(Sheet1!AE39," ",Sheet1!AF39)</f>
        <v>Meera Verma</v>
      </c>
      <c r="BL40" s="40" t="str">
        <v>Smartphone</v>
      </c>
    </row>
    <row r="41" spans="40:64">
      <c r="AN41" s="49">
        <f>Sheet1!B40</f>
        <v>45355</v>
      </c>
      <c r="AO41" s="50">
        <f t="shared" si="2"/>
        <v>4</v>
      </c>
      <c r="AP41" s="50">
        <f t="shared" si="3"/>
        <v>3</v>
      </c>
      <c r="AQ41" s="50">
        <f t="shared" si="4"/>
        <v>2024</v>
      </c>
      <c r="AR41" s="50" t="str">
        <f t="shared" si="5"/>
        <v>Mar-2024</v>
      </c>
      <c r="AS41" s="52">
        <f t="shared" si="6"/>
        <v>45355</v>
      </c>
      <c r="AT41" s="44">
        <f t="shared" ca="1" si="7"/>
        <v>923</v>
      </c>
      <c r="AU41" s="40" t="str">
        <f>LEFT(Sheet1!AE40,3)</f>
        <v>Pri</v>
      </c>
      <c r="AV41" s="40" t="str">
        <f>RIGHT(Sheet1!AF40,2)</f>
        <v>ar</v>
      </c>
      <c r="AW41" s="40" t="str">
        <f>MID(Sheet1!AE40,2,3)</f>
        <v>riy</v>
      </c>
      <c r="AX41" s="42">
        <f>LEN(Sheet1!AE40)</f>
        <v>5</v>
      </c>
      <c r="AY41" s="40" t="str">
        <f>UPPER(Sheet1!AE40)</f>
        <v>PRIYA</v>
      </c>
      <c r="AZ41" s="40" t="str">
        <f>LOWER(Sheet1!AE40)</f>
        <v>priya</v>
      </c>
      <c r="BA41" s="40" t="str">
        <f>PROPER(Sheet1!AE40)</f>
        <v>Priya</v>
      </c>
      <c r="BB41" s="40" t="str">
        <f>_xlfn.CONCAT(Sheet1!AE40," ",Sheet1!AF40)</f>
        <v>Priya Kumar</v>
      </c>
      <c r="BL41" s="40" t="str">
        <v>Tablet</v>
      </c>
    </row>
    <row r="42" spans="40:64">
      <c r="AN42" s="49">
        <f>Sheet1!B41</f>
        <v>45355</v>
      </c>
      <c r="AO42" s="50">
        <f t="shared" si="2"/>
        <v>4</v>
      </c>
      <c r="AP42" s="50">
        <f t="shared" si="3"/>
        <v>3</v>
      </c>
      <c r="AQ42" s="50">
        <f t="shared" si="4"/>
        <v>2024</v>
      </c>
      <c r="AR42" s="50" t="str">
        <f t="shared" si="5"/>
        <v>Mar-2024</v>
      </c>
      <c r="AS42" s="52">
        <f t="shared" si="6"/>
        <v>45355</v>
      </c>
      <c r="AT42" s="44">
        <f t="shared" ca="1" si="7"/>
        <v>923</v>
      </c>
      <c r="AU42" s="40" t="str">
        <f>LEFT(Sheet1!AE41,3)</f>
        <v>Sne</v>
      </c>
      <c r="AV42" s="40" t="str">
        <f>RIGHT(Sheet1!AF41,2)</f>
        <v>ta</v>
      </c>
      <c r="AW42" s="40" t="str">
        <f>MID(Sheet1!AE41,2,3)</f>
        <v>neh</v>
      </c>
      <c r="AX42" s="42">
        <f>LEN(Sheet1!AE41)</f>
        <v>5</v>
      </c>
      <c r="AY42" s="40" t="str">
        <f>UPPER(Sheet1!AE41)</f>
        <v>SNEHA</v>
      </c>
      <c r="AZ42" s="40" t="str">
        <f>LOWER(Sheet1!AE41)</f>
        <v>sneha</v>
      </c>
      <c r="BA42" s="40" t="str">
        <f>PROPER(Sheet1!AE41)</f>
        <v>Sneha</v>
      </c>
      <c r="BB42" s="40" t="str">
        <f>_xlfn.CONCAT(Sheet1!AE41," ",Sheet1!AF41)</f>
        <v>Sneha Gupta</v>
      </c>
      <c r="BL42" s="40" t="str">
        <v>Smartphone</v>
      </c>
    </row>
    <row r="43" spans="40:64">
      <c r="AN43" s="49">
        <f>Sheet1!B42</f>
        <v>45356</v>
      </c>
      <c r="AO43" s="50">
        <f t="shared" si="2"/>
        <v>5</v>
      </c>
      <c r="AP43" s="50">
        <f t="shared" si="3"/>
        <v>3</v>
      </c>
      <c r="AQ43" s="50">
        <f t="shared" si="4"/>
        <v>2024</v>
      </c>
      <c r="AR43" s="50" t="str">
        <f t="shared" si="5"/>
        <v>Mar-2024</v>
      </c>
      <c r="AS43" s="52">
        <f t="shared" si="6"/>
        <v>45356</v>
      </c>
      <c r="AT43" s="44">
        <f t="shared" ca="1" si="7"/>
        <v>922</v>
      </c>
      <c r="AU43" s="40" t="str">
        <f>LEFT(Sheet1!AE42,3)</f>
        <v>Poo</v>
      </c>
      <c r="AV43" s="40" t="str">
        <f>RIGHT(Sheet1!AF42,2)</f>
        <v>ma</v>
      </c>
      <c r="AW43" s="40" t="str">
        <f>MID(Sheet1!AE42,2,3)</f>
        <v>ooj</v>
      </c>
      <c r="AX43" s="42">
        <f>LEN(Sheet1!AE42)</f>
        <v>5</v>
      </c>
      <c r="AY43" s="40" t="str">
        <f>UPPER(Sheet1!AE42)</f>
        <v>POOJA</v>
      </c>
      <c r="AZ43" s="40" t="str">
        <f>LOWER(Sheet1!AE42)</f>
        <v>pooja</v>
      </c>
      <c r="BA43" s="40" t="str">
        <f>PROPER(Sheet1!AE42)</f>
        <v>Pooja</v>
      </c>
      <c r="BB43" s="40" t="str">
        <f>_xlfn.CONCAT(Sheet1!AE42," ",Sheet1!AF42)</f>
        <v>Pooja Verma</v>
      </c>
      <c r="BL43" s="40" t="str">
        <v>Smartphone</v>
      </c>
    </row>
    <row r="44" spans="40:64">
      <c r="AN44" s="49">
        <f>Sheet1!B43</f>
        <v>45356</v>
      </c>
      <c r="AO44" s="50">
        <f t="shared" si="2"/>
        <v>5</v>
      </c>
      <c r="AP44" s="50">
        <f t="shared" si="3"/>
        <v>3</v>
      </c>
      <c r="AQ44" s="50">
        <f t="shared" si="4"/>
        <v>2024</v>
      </c>
      <c r="AR44" s="50" t="str">
        <f t="shared" si="5"/>
        <v>Mar-2024</v>
      </c>
      <c r="AS44" s="52">
        <f t="shared" si="6"/>
        <v>45356</v>
      </c>
      <c r="AT44" s="44">
        <f t="shared" ca="1" si="7"/>
        <v>922</v>
      </c>
      <c r="AU44" s="40" t="str">
        <f>LEFT(Sheet1!AE43,3)</f>
        <v>Rah</v>
      </c>
      <c r="AV44" s="40" t="str">
        <f>RIGHT(Sheet1!AF43,2)</f>
        <v>al</v>
      </c>
      <c r="AW44" s="40" t="str">
        <f>MID(Sheet1!AE43,2,3)</f>
        <v>ahu</v>
      </c>
      <c r="AX44" s="42">
        <f>LEN(Sheet1!AE43)</f>
        <v>5</v>
      </c>
      <c r="AY44" s="40" t="str">
        <f>UPPER(Sheet1!AE43)</f>
        <v>RAHUL</v>
      </c>
      <c r="AZ44" s="40" t="str">
        <f>LOWER(Sheet1!AE43)</f>
        <v>rahul</v>
      </c>
      <c r="BA44" s="40" t="str">
        <f>PROPER(Sheet1!AE43)</f>
        <v>Rahul</v>
      </c>
      <c r="BB44" s="40" t="str">
        <f>_xlfn.CONCAT(Sheet1!AE43," ",Sheet1!AF43)</f>
        <v>Rahul Agarwal</v>
      </c>
      <c r="BL44" s="40" t="str">
        <v>Tablet</v>
      </c>
    </row>
    <row r="45" spans="40:64">
      <c r="AN45" s="49">
        <f>Sheet1!B44</f>
        <v>45356</v>
      </c>
      <c r="AO45" s="50">
        <f t="shared" si="2"/>
        <v>5</v>
      </c>
      <c r="AP45" s="50">
        <f t="shared" si="3"/>
        <v>3</v>
      </c>
      <c r="AQ45" s="50">
        <f t="shared" si="4"/>
        <v>2024</v>
      </c>
      <c r="AR45" s="50" t="str">
        <f t="shared" si="5"/>
        <v>Mar-2024</v>
      </c>
      <c r="AS45" s="52">
        <f t="shared" si="6"/>
        <v>45356</v>
      </c>
      <c r="AT45" s="44">
        <f t="shared" ca="1" si="7"/>
        <v>922</v>
      </c>
      <c r="AU45" s="40" t="str">
        <f>LEFT(Sheet1!AE44,3)</f>
        <v>Rah</v>
      </c>
      <c r="AV45" s="40" t="str">
        <f>RIGHT(Sheet1!AF44,2)</f>
        <v>gh</v>
      </c>
      <c r="AW45" s="40" t="str">
        <f>MID(Sheet1!AE44,2,3)</f>
        <v>ahu</v>
      </c>
      <c r="AX45" s="42">
        <f>LEN(Sheet1!AE44)</f>
        <v>5</v>
      </c>
      <c r="AY45" s="40" t="str">
        <f>UPPER(Sheet1!AE44)</f>
        <v>RAHUL</v>
      </c>
      <c r="AZ45" s="40" t="str">
        <f>LOWER(Sheet1!AE44)</f>
        <v>rahul</v>
      </c>
      <c r="BA45" s="40" t="str">
        <f>PROPER(Sheet1!AE44)</f>
        <v>Rahul</v>
      </c>
      <c r="BB45" s="40" t="str">
        <f>_xlfn.CONCAT(Sheet1!AE44," ",Sheet1!AF44)</f>
        <v>Rahul Singh</v>
      </c>
      <c r="BL45" s="40" t="str">
        <v>Monitor</v>
      </c>
    </row>
    <row r="46" spans="40:64">
      <c r="AN46" s="49">
        <f>Sheet1!B45</f>
        <v>45357</v>
      </c>
      <c r="AO46" s="50">
        <f t="shared" si="2"/>
        <v>6</v>
      </c>
      <c r="AP46" s="50">
        <f t="shared" si="3"/>
        <v>3</v>
      </c>
      <c r="AQ46" s="50">
        <f t="shared" si="4"/>
        <v>2024</v>
      </c>
      <c r="AR46" s="50" t="str">
        <f t="shared" si="5"/>
        <v>Mar-2024</v>
      </c>
      <c r="AS46" s="52">
        <f t="shared" si="6"/>
        <v>45357</v>
      </c>
      <c r="AT46" s="44">
        <f t="shared" ca="1" si="7"/>
        <v>921</v>
      </c>
      <c r="AU46" s="40" t="str">
        <f>LEFT(Sheet1!AE45,3)</f>
        <v>Adi</v>
      </c>
      <c r="AV46" s="40" t="str">
        <f>RIGHT(Sheet1!AF45,2)</f>
        <v>ta</v>
      </c>
      <c r="AW46" s="40" t="str">
        <f>MID(Sheet1!AE45,2,3)</f>
        <v>dit</v>
      </c>
      <c r="AX46" s="42">
        <f>LEN(Sheet1!AE45)</f>
        <v>6</v>
      </c>
      <c r="AY46" s="40" t="str">
        <f>UPPER(Sheet1!AE45)</f>
        <v>ADITYA</v>
      </c>
      <c r="AZ46" s="40" t="str">
        <f>LOWER(Sheet1!AE45)</f>
        <v>aditya</v>
      </c>
      <c r="BA46" s="40" t="str">
        <f>PROPER(Sheet1!AE45)</f>
        <v>Aditya</v>
      </c>
      <c r="BB46" s="40" t="str">
        <f>_xlfn.CONCAT(Sheet1!AE45," ",Sheet1!AF45)</f>
        <v>Aditya Mehta</v>
      </c>
      <c r="BL46" s="40" t="str">
        <v>Headphones</v>
      </c>
    </row>
    <row r="47" spans="40:64">
      <c r="AN47" s="49">
        <f>Sheet1!B46</f>
        <v>45357</v>
      </c>
      <c r="AO47" s="50">
        <f t="shared" si="2"/>
        <v>6</v>
      </c>
      <c r="AP47" s="50">
        <f t="shared" si="3"/>
        <v>3</v>
      </c>
      <c r="AQ47" s="50">
        <f t="shared" si="4"/>
        <v>2024</v>
      </c>
      <c r="AR47" s="50" t="str">
        <f t="shared" si="5"/>
        <v>Mar-2024</v>
      </c>
      <c r="AS47" s="52">
        <f t="shared" si="6"/>
        <v>45357</v>
      </c>
      <c r="AT47" s="44">
        <f t="shared" ca="1" si="7"/>
        <v>921</v>
      </c>
      <c r="AU47" s="40" t="str">
        <f>LEFT(Sheet1!AE46,3)</f>
        <v>Riy</v>
      </c>
      <c r="AV47" s="40" t="str">
        <f>RIGHT(Sheet1!AF46,2)</f>
        <v>al</v>
      </c>
      <c r="AW47" s="40" t="str">
        <f>MID(Sheet1!AE46,2,3)</f>
        <v>iya</v>
      </c>
      <c r="AX47" s="42">
        <f>LEN(Sheet1!AE46)</f>
        <v>4</v>
      </c>
      <c r="AY47" s="40" t="str">
        <f>UPPER(Sheet1!AE46)</f>
        <v>RIYA</v>
      </c>
      <c r="AZ47" s="40" t="str">
        <f>LOWER(Sheet1!AE46)</f>
        <v>riya</v>
      </c>
      <c r="BA47" s="40" t="str">
        <f>PROPER(Sheet1!AE46)</f>
        <v>Riya</v>
      </c>
      <c r="BB47" s="40" t="str">
        <f>_xlfn.CONCAT(Sheet1!AE46," ",Sheet1!AF46)</f>
        <v>Riya Agarwal</v>
      </c>
      <c r="BL47" s="40" t="str">
        <v>Tablet</v>
      </c>
    </row>
    <row r="48" spans="40:64">
      <c r="AN48" s="49">
        <f>Sheet1!B47</f>
        <v>45359</v>
      </c>
      <c r="AO48" s="50">
        <f t="shared" si="2"/>
        <v>8</v>
      </c>
      <c r="AP48" s="50">
        <f t="shared" si="3"/>
        <v>3</v>
      </c>
      <c r="AQ48" s="50">
        <f t="shared" si="4"/>
        <v>2024</v>
      </c>
      <c r="AR48" s="50" t="str">
        <f t="shared" si="5"/>
        <v>Mar-2024</v>
      </c>
      <c r="AS48" s="52">
        <f t="shared" si="6"/>
        <v>45359</v>
      </c>
      <c r="AT48" s="44">
        <f t="shared" ca="1" si="7"/>
        <v>919</v>
      </c>
      <c r="AU48" s="40" t="str">
        <f>LEFT(Sheet1!AE47,3)</f>
        <v>Riy</v>
      </c>
      <c r="AV48" s="40" t="str">
        <f>RIGHT(Sheet1!AF47,2)</f>
        <v>na</v>
      </c>
      <c r="AW48" s="40" t="str">
        <f>MID(Sheet1!AE47,2,3)</f>
        <v>iya</v>
      </c>
      <c r="AX48" s="42">
        <f>LEN(Sheet1!AE47)</f>
        <v>4</v>
      </c>
      <c r="AY48" s="40" t="str">
        <f>UPPER(Sheet1!AE47)</f>
        <v>RIYA</v>
      </c>
      <c r="AZ48" s="40" t="str">
        <f>LOWER(Sheet1!AE47)</f>
        <v>riya</v>
      </c>
      <c r="BA48" s="40" t="str">
        <f>PROPER(Sheet1!AE47)</f>
        <v>Riya</v>
      </c>
      <c r="BB48" s="40" t="str">
        <f>_xlfn.CONCAT(Sheet1!AE47," ",Sheet1!AF47)</f>
        <v>Riya Saxena</v>
      </c>
      <c r="BL48" s="40" t="str">
        <v>Headphones</v>
      </c>
    </row>
    <row r="49" spans="40:64">
      <c r="AN49" s="49">
        <f>Sheet1!B48</f>
        <v>45359</v>
      </c>
      <c r="AO49" s="50">
        <f t="shared" si="2"/>
        <v>8</v>
      </c>
      <c r="AP49" s="50">
        <f t="shared" si="3"/>
        <v>3</v>
      </c>
      <c r="AQ49" s="50">
        <f t="shared" si="4"/>
        <v>2024</v>
      </c>
      <c r="AR49" s="50" t="str">
        <f t="shared" si="5"/>
        <v>Mar-2024</v>
      </c>
      <c r="AS49" s="52">
        <f t="shared" si="6"/>
        <v>45359</v>
      </c>
      <c r="AT49" s="44">
        <f t="shared" ca="1" si="7"/>
        <v>919</v>
      </c>
      <c r="AU49" s="40" t="str">
        <f>LEFT(Sheet1!AE48,3)</f>
        <v>Neh</v>
      </c>
      <c r="AV49" s="40" t="str">
        <f>RIGHT(Sheet1!AF48,2)</f>
        <v>ra</v>
      </c>
      <c r="AW49" s="40" t="str">
        <f>MID(Sheet1!AE48,2,3)</f>
        <v>eha</v>
      </c>
      <c r="AX49" s="42">
        <f>LEN(Sheet1!AE48)</f>
        <v>4</v>
      </c>
      <c r="AY49" s="40" t="str">
        <f>UPPER(Sheet1!AE48)</f>
        <v>NEHA</v>
      </c>
      <c r="AZ49" s="40" t="str">
        <f>LOWER(Sheet1!AE48)</f>
        <v>neha</v>
      </c>
      <c r="BA49" s="40" t="str">
        <f>PROPER(Sheet1!AE48)</f>
        <v>Neha</v>
      </c>
      <c r="BB49" s="40" t="str">
        <f>_xlfn.CONCAT(Sheet1!AE48," ",Sheet1!AF48)</f>
        <v>Neha Chopra</v>
      </c>
      <c r="BL49" s="40" t="str">
        <v>Monitor</v>
      </c>
    </row>
    <row r="50" spans="40:64">
      <c r="AN50" s="49">
        <f>Sheet1!B49</f>
        <v>45360</v>
      </c>
      <c r="AO50" s="50">
        <f>IFERROR(DAY(AN3),VALUE(LEFT(AN3,2)))</f>
        <v>3</v>
      </c>
      <c r="AP50" s="50">
        <f t="shared" si="3"/>
        <v>3</v>
      </c>
      <c r="AQ50" s="50">
        <f t="shared" si="4"/>
        <v>2024</v>
      </c>
      <c r="AR50" s="50" t="str">
        <f t="shared" si="5"/>
        <v>Mar-2024</v>
      </c>
      <c r="AS50" s="52">
        <f t="shared" si="6"/>
        <v>45354</v>
      </c>
      <c r="AT50" s="44">
        <f t="shared" ca="1" si="7"/>
        <v>924</v>
      </c>
      <c r="AU50" s="40" t="str">
        <f>LEFT(Sheet1!AE49,3)</f>
        <v>Sne</v>
      </c>
      <c r="AV50" s="40" t="str">
        <f>RIGHT(Sheet1!AF49,2)</f>
        <v>na</v>
      </c>
      <c r="AW50" s="40" t="str">
        <f>MID(Sheet1!AE49,2,3)</f>
        <v>neh</v>
      </c>
      <c r="AX50" s="42">
        <f>LEN(Sheet1!AE49)</f>
        <v>5</v>
      </c>
      <c r="AY50" s="40" t="str">
        <f>UPPER(Sheet1!AE49)</f>
        <v>SNEHA</v>
      </c>
      <c r="AZ50" s="40" t="str">
        <f>LOWER(Sheet1!AE49)</f>
        <v>sneha</v>
      </c>
      <c r="BA50" s="40" t="str">
        <f>PROPER(Sheet1!AE49)</f>
        <v>Sneha</v>
      </c>
      <c r="BB50" s="40" t="str">
        <f>_xlfn.CONCAT(Sheet1!AE49," ",Sheet1!AF49)</f>
        <v>Sneha Saxena</v>
      </c>
      <c r="BL50" s="40" t="str">
        <v>Monitor</v>
      </c>
    </row>
    <row r="51" spans="40:64">
      <c r="AN51" s="49">
        <f>Sheet1!B50</f>
        <v>45360</v>
      </c>
      <c r="AO51" s="50">
        <f t="shared" ref="AO51:AO114" si="8">IFERROR(DAY(AN4),VALUE(LEFT(AN4,2)))</f>
        <v>3</v>
      </c>
      <c r="AP51" s="50">
        <f t="shared" si="3"/>
        <v>3</v>
      </c>
      <c r="AQ51" s="50">
        <f t="shared" si="4"/>
        <v>2024</v>
      </c>
      <c r="AR51" s="50" t="str">
        <f t="shared" si="5"/>
        <v>Mar-2024</v>
      </c>
      <c r="AS51" s="52">
        <f t="shared" si="6"/>
        <v>45354</v>
      </c>
      <c r="AT51" s="44">
        <f t="shared" ca="1" si="7"/>
        <v>924</v>
      </c>
      <c r="AU51" s="40" t="str">
        <f>LEFT(Sheet1!AE50,3)</f>
        <v>Riy</v>
      </c>
      <c r="AV51" s="40" t="str">
        <f>RIGHT(Sheet1!AF50,2)</f>
        <v>ma</v>
      </c>
      <c r="AW51" s="40" t="str">
        <f>MID(Sheet1!AE50,2,3)</f>
        <v>iya</v>
      </c>
      <c r="AX51" s="42">
        <f>LEN(Sheet1!AE50)</f>
        <v>4</v>
      </c>
      <c r="AY51" s="40" t="str">
        <f>UPPER(Sheet1!AE50)</f>
        <v>RIYA</v>
      </c>
      <c r="AZ51" s="40" t="str">
        <f>LOWER(Sheet1!AE50)</f>
        <v>riya</v>
      </c>
      <c r="BA51" s="40" t="str">
        <f>PROPER(Sheet1!AE50)</f>
        <v>Riya</v>
      </c>
      <c r="BB51" s="40" t="str">
        <f>_xlfn.CONCAT(Sheet1!AE50," ",Sheet1!AF50)</f>
        <v>Riya Verma</v>
      </c>
      <c r="BL51" s="40" t="str">
        <v>Monitor</v>
      </c>
    </row>
    <row r="52" spans="40:64">
      <c r="AN52" s="49">
        <f>Sheet1!B51</f>
        <v>45361</v>
      </c>
      <c r="AO52" s="50">
        <f t="shared" si="8"/>
        <v>3</v>
      </c>
      <c r="AP52" s="50">
        <f t="shared" si="3"/>
        <v>3</v>
      </c>
      <c r="AQ52" s="50">
        <f t="shared" si="4"/>
        <v>2024</v>
      </c>
      <c r="AR52" s="50" t="str">
        <f t="shared" si="5"/>
        <v>Mar-2024</v>
      </c>
      <c r="AS52" s="52">
        <f t="shared" si="6"/>
        <v>45354</v>
      </c>
      <c r="AT52" s="44">
        <f t="shared" ca="1" si="7"/>
        <v>924</v>
      </c>
      <c r="AU52" s="40" t="str">
        <f>LEFT(Sheet1!AE51,3)</f>
        <v>Adi</v>
      </c>
      <c r="AV52" s="40" t="str">
        <f>RIGHT(Sheet1!AF51,2)</f>
        <v>ma</v>
      </c>
      <c r="AW52" s="40" t="str">
        <f>MID(Sheet1!AE51,2,3)</f>
        <v>dit</v>
      </c>
      <c r="AX52" s="42">
        <f>LEN(Sheet1!AE51)</f>
        <v>5</v>
      </c>
      <c r="AY52" s="40" t="str">
        <f>UPPER(Sheet1!AE51)</f>
        <v>ADITI</v>
      </c>
      <c r="AZ52" s="40" t="str">
        <f>LOWER(Sheet1!AE51)</f>
        <v>aditi</v>
      </c>
      <c r="BA52" s="40" t="str">
        <f>PROPER(Sheet1!AE51)</f>
        <v>Aditi</v>
      </c>
      <c r="BB52" s="40" t="str">
        <f>_xlfn.CONCAT(Sheet1!AE51," ",Sheet1!AF51)</f>
        <v>Aditi Verma</v>
      </c>
      <c r="BL52" s="40" t="str">
        <v>Tablet</v>
      </c>
    </row>
    <row r="53" spans="40:64">
      <c r="AN53" s="49">
        <f>Sheet1!B52</f>
        <v>45362</v>
      </c>
      <c r="AO53" s="50">
        <f t="shared" si="8"/>
        <v>3</v>
      </c>
      <c r="AP53" s="50">
        <f t="shared" si="3"/>
        <v>3</v>
      </c>
      <c r="AQ53" s="50">
        <f t="shared" si="4"/>
        <v>2024</v>
      </c>
      <c r="AR53" s="50" t="str">
        <f t="shared" si="5"/>
        <v>Mar-2024</v>
      </c>
      <c r="AS53" s="52">
        <f t="shared" si="6"/>
        <v>45354</v>
      </c>
      <c r="AT53" s="44">
        <f t="shared" ca="1" si="7"/>
        <v>924</v>
      </c>
      <c r="AU53" s="40" t="str">
        <f>LEFT(Sheet1!AE52,3)</f>
        <v>Poo</v>
      </c>
      <c r="AV53" s="40" t="str">
        <f>RIGHT(Sheet1!AF52,2)</f>
        <v>or</v>
      </c>
      <c r="AW53" s="40" t="str">
        <f>MID(Sheet1!AE52,2,3)</f>
        <v>ooj</v>
      </c>
      <c r="AX53" s="42">
        <f>LEN(Sheet1!AE52)</f>
        <v>5</v>
      </c>
      <c r="AY53" s="40" t="str">
        <f>UPPER(Sheet1!AE52)</f>
        <v>POOJA</v>
      </c>
      <c r="AZ53" s="40" t="str">
        <f>LOWER(Sheet1!AE52)</f>
        <v>pooja</v>
      </c>
      <c r="BA53" s="40" t="str">
        <f>PROPER(Sheet1!AE52)</f>
        <v>Pooja</v>
      </c>
      <c r="BB53" s="40" t="str">
        <f>_xlfn.CONCAT(Sheet1!AE52," ",Sheet1!AF52)</f>
        <v>Pooja Kapoor</v>
      </c>
      <c r="BL53" s="40" t="str">
        <v>Laptop</v>
      </c>
    </row>
    <row r="54" spans="40:64">
      <c r="AN54" s="49">
        <f>Sheet1!B53</f>
        <v>45362</v>
      </c>
      <c r="AO54" s="50">
        <f t="shared" si="8"/>
        <v>5</v>
      </c>
      <c r="AP54" s="50">
        <f t="shared" si="3"/>
        <v>3</v>
      </c>
      <c r="AQ54" s="50">
        <f t="shared" si="4"/>
        <v>2024</v>
      </c>
      <c r="AR54" s="50" t="str">
        <f t="shared" si="5"/>
        <v>Mar-2024</v>
      </c>
      <c r="AS54" s="52">
        <f t="shared" si="6"/>
        <v>45356</v>
      </c>
      <c r="AT54" s="44">
        <f t="shared" ca="1" si="7"/>
        <v>922</v>
      </c>
      <c r="AU54" s="40" t="str">
        <f>LEFT(Sheet1!AE53,3)</f>
        <v>Arj</v>
      </c>
      <c r="AV54" s="40" t="str">
        <f>RIGHT(Sheet1!AF53,2)</f>
        <v>ra</v>
      </c>
      <c r="AW54" s="40" t="str">
        <f>MID(Sheet1!AE53,2,3)</f>
        <v>rju</v>
      </c>
      <c r="AX54" s="42">
        <f>LEN(Sheet1!AE53)</f>
        <v>5</v>
      </c>
      <c r="AY54" s="40" t="str">
        <f>UPPER(Sheet1!AE53)</f>
        <v>ARJUN</v>
      </c>
      <c r="AZ54" s="40" t="str">
        <f>LOWER(Sheet1!AE53)</f>
        <v>arjun</v>
      </c>
      <c r="BA54" s="40" t="str">
        <f>PROPER(Sheet1!AE53)</f>
        <v>Arjun</v>
      </c>
      <c r="BB54" s="40" t="str">
        <f>_xlfn.CONCAT(Sheet1!AE53," ",Sheet1!AF53)</f>
        <v>Arjun Mishra</v>
      </c>
      <c r="BL54" s="40" t="str">
        <v>Tablet</v>
      </c>
    </row>
    <row r="55" spans="40:64">
      <c r="AN55" s="49">
        <f>Sheet1!B54</f>
        <v>45362</v>
      </c>
      <c r="AO55" s="50">
        <f t="shared" si="8"/>
        <v>5</v>
      </c>
      <c r="AP55" s="50">
        <f t="shared" si="3"/>
        <v>3</v>
      </c>
      <c r="AQ55" s="50">
        <f t="shared" si="4"/>
        <v>2024</v>
      </c>
      <c r="AR55" s="50" t="str">
        <f t="shared" si="5"/>
        <v>Mar-2024</v>
      </c>
      <c r="AS55" s="52">
        <f t="shared" si="6"/>
        <v>45356</v>
      </c>
      <c r="AT55" s="44">
        <f t="shared" ca="1" si="7"/>
        <v>922</v>
      </c>
      <c r="AU55" s="40" t="str">
        <f>LEFT(Sheet1!AE54,3)</f>
        <v>Rah</v>
      </c>
      <c r="AV55" s="40" t="str">
        <f>RIGHT(Sheet1!AF54,2)</f>
        <v>ra</v>
      </c>
      <c r="AW55" s="40" t="str">
        <f>MID(Sheet1!AE54,2,3)</f>
        <v>ahu</v>
      </c>
      <c r="AX55" s="42">
        <f>LEN(Sheet1!AE54)</f>
        <v>5</v>
      </c>
      <c r="AY55" s="40" t="str">
        <f>UPPER(Sheet1!AE54)</f>
        <v>RAHUL</v>
      </c>
      <c r="AZ55" s="40" t="str">
        <f>LOWER(Sheet1!AE54)</f>
        <v>rahul</v>
      </c>
      <c r="BA55" s="40" t="str">
        <f>PROPER(Sheet1!AE54)</f>
        <v>Rahul</v>
      </c>
      <c r="BB55" s="40" t="str">
        <f>_xlfn.CONCAT(Sheet1!AE54," ",Sheet1!AF54)</f>
        <v>Rahul Mishra</v>
      </c>
      <c r="BL55" s="40" t="str">
        <v>Smartphone</v>
      </c>
    </row>
    <row r="56" spans="40:64">
      <c r="AN56" s="49">
        <f>Sheet1!B55</f>
        <v>45363</v>
      </c>
      <c r="AO56" s="50">
        <f t="shared" si="8"/>
        <v>6</v>
      </c>
      <c r="AP56" s="50">
        <f t="shared" si="3"/>
        <v>3</v>
      </c>
      <c r="AQ56" s="50">
        <f t="shared" si="4"/>
        <v>2024</v>
      </c>
      <c r="AR56" s="50" t="str">
        <f t="shared" si="5"/>
        <v>Mar-2024</v>
      </c>
      <c r="AS56" s="52">
        <f t="shared" si="6"/>
        <v>45357</v>
      </c>
      <c r="AT56" s="44">
        <f t="shared" ca="1" si="7"/>
        <v>921</v>
      </c>
      <c r="AU56" s="40" t="str">
        <f>LEFT(Sheet1!AE55,3)</f>
        <v>Sim</v>
      </c>
      <c r="AV56" s="40" t="str">
        <f>RIGHT(Sheet1!AF55,2)</f>
        <v>ta</v>
      </c>
      <c r="AW56" s="40" t="str">
        <f>MID(Sheet1!AE55,2,3)</f>
        <v>imr</v>
      </c>
      <c r="AX56" s="42">
        <f>LEN(Sheet1!AE55)</f>
        <v>6</v>
      </c>
      <c r="AY56" s="40" t="str">
        <f>UPPER(Sheet1!AE55)</f>
        <v>SIMRAN</v>
      </c>
      <c r="AZ56" s="40" t="str">
        <f>LOWER(Sheet1!AE55)</f>
        <v>simran</v>
      </c>
      <c r="BA56" s="40" t="str">
        <f>PROPER(Sheet1!AE55)</f>
        <v>Simran</v>
      </c>
      <c r="BB56" s="40" t="str">
        <f>_xlfn.CONCAT(Sheet1!AE55," ",Sheet1!AF55)</f>
        <v>Simran Gupta</v>
      </c>
      <c r="BL56" s="40" t="str">
        <v>Smartphone</v>
      </c>
    </row>
    <row r="57" spans="40:64">
      <c r="AN57" s="49">
        <f>Sheet1!B56</f>
        <v>45383</v>
      </c>
      <c r="AO57" s="50">
        <f t="shared" si="8"/>
        <v>9</v>
      </c>
      <c r="AP57" s="50">
        <f t="shared" si="3"/>
        <v>4</v>
      </c>
      <c r="AQ57" s="50">
        <f t="shared" si="4"/>
        <v>2024</v>
      </c>
      <c r="AR57" s="50" t="str">
        <f t="shared" si="5"/>
        <v>Apr-2024</v>
      </c>
      <c r="AS57" s="52">
        <f t="shared" si="6"/>
        <v>45391</v>
      </c>
      <c r="AT57" s="44">
        <f t="shared" ca="1" si="7"/>
        <v>887</v>
      </c>
      <c r="AU57" s="40" t="str">
        <f>LEFT(Sheet1!AE56,3)</f>
        <v>Poo</v>
      </c>
      <c r="AV57" s="40" t="str">
        <f>RIGHT(Sheet1!AF56,2)</f>
        <v>in</v>
      </c>
      <c r="AW57" s="40" t="str">
        <f>MID(Sheet1!AE56,2,3)</f>
        <v>ooj</v>
      </c>
      <c r="AX57" s="42">
        <f>LEN(Sheet1!AE56)</f>
        <v>5</v>
      </c>
      <c r="AY57" s="40" t="str">
        <f>UPPER(Sheet1!AE56)</f>
        <v>POOJA</v>
      </c>
      <c r="AZ57" s="40" t="str">
        <f>LOWER(Sheet1!AE56)</f>
        <v>pooja</v>
      </c>
      <c r="BA57" s="40" t="str">
        <f>PROPER(Sheet1!AE56)</f>
        <v>Pooja</v>
      </c>
      <c r="BB57" s="40" t="str">
        <f>_xlfn.CONCAT(Sheet1!AE56," ",Sheet1!AF56)</f>
        <v>Pooja Jain</v>
      </c>
      <c r="BL57" s="40" t="str">
        <v>Laptop</v>
      </c>
    </row>
    <row r="58" spans="40:64">
      <c r="AN58" s="49">
        <f>Sheet1!B57</f>
        <v>45384</v>
      </c>
      <c r="AO58" s="50">
        <f t="shared" si="8"/>
        <v>9</v>
      </c>
      <c r="AP58" s="50">
        <f t="shared" si="3"/>
        <v>4</v>
      </c>
      <c r="AQ58" s="50">
        <f t="shared" si="4"/>
        <v>2024</v>
      </c>
      <c r="AR58" s="50" t="str">
        <f t="shared" si="5"/>
        <v>Apr-2024</v>
      </c>
      <c r="AS58" s="52">
        <f t="shared" si="6"/>
        <v>45391</v>
      </c>
      <c r="AT58" s="44">
        <f t="shared" ca="1" si="7"/>
        <v>887</v>
      </c>
      <c r="AU58" s="40" t="str">
        <f>LEFT(Sheet1!AE57,3)</f>
        <v>Pri</v>
      </c>
      <c r="AV58" s="40" t="str">
        <f>RIGHT(Sheet1!AF57,2)</f>
        <v>in</v>
      </c>
      <c r="AW58" s="40" t="str">
        <f>MID(Sheet1!AE57,2,3)</f>
        <v>riy</v>
      </c>
      <c r="AX58" s="42">
        <f>LEN(Sheet1!AE57)</f>
        <v>5</v>
      </c>
      <c r="AY58" s="40" t="str">
        <f>UPPER(Sheet1!AE57)</f>
        <v>PRIYA</v>
      </c>
      <c r="AZ58" s="40" t="str">
        <f>LOWER(Sheet1!AE57)</f>
        <v>priya</v>
      </c>
      <c r="BA58" s="40" t="str">
        <f>PROPER(Sheet1!AE57)</f>
        <v>Priya</v>
      </c>
      <c r="BB58" s="40" t="str">
        <f>_xlfn.CONCAT(Sheet1!AE57," ",Sheet1!AF57)</f>
        <v>Priya Jain</v>
      </c>
      <c r="BL58" s="40" t="str">
        <v>Smartphone</v>
      </c>
    </row>
    <row r="59" spans="40:64">
      <c r="AN59" s="49">
        <f>Sheet1!B58</f>
        <v>45384</v>
      </c>
      <c r="AO59" s="50">
        <f t="shared" si="8"/>
        <v>10</v>
      </c>
      <c r="AP59" s="50">
        <f t="shared" si="3"/>
        <v>4</v>
      </c>
      <c r="AQ59" s="50">
        <f t="shared" si="4"/>
        <v>2024</v>
      </c>
      <c r="AR59" s="50" t="str">
        <f t="shared" si="5"/>
        <v>Apr-2024</v>
      </c>
      <c r="AS59" s="52">
        <f t="shared" si="6"/>
        <v>45392</v>
      </c>
      <c r="AT59" s="44">
        <f t="shared" ca="1" si="7"/>
        <v>886</v>
      </c>
      <c r="AU59" s="40" t="str">
        <f>LEFT(Sheet1!AE58,3)</f>
        <v>Adi</v>
      </c>
      <c r="AV59" s="40" t="str">
        <f>RIGHT(Sheet1!AF58,2)</f>
        <v>in</v>
      </c>
      <c r="AW59" s="40" t="str">
        <f>MID(Sheet1!AE58,2,3)</f>
        <v>dit</v>
      </c>
      <c r="AX59" s="42">
        <f>LEN(Sheet1!AE58)</f>
        <v>6</v>
      </c>
      <c r="AY59" s="40" t="str">
        <f>UPPER(Sheet1!AE58)</f>
        <v>ADITYA</v>
      </c>
      <c r="AZ59" s="40" t="str">
        <f>LOWER(Sheet1!AE58)</f>
        <v>aditya</v>
      </c>
      <c r="BA59" s="40" t="str">
        <f>PROPER(Sheet1!AE58)</f>
        <v>Aditya</v>
      </c>
      <c r="BB59" s="40" t="str">
        <f>_xlfn.CONCAT(Sheet1!AE58," ",Sheet1!AF58)</f>
        <v>Aditya Jain</v>
      </c>
      <c r="BL59" s="40" t="str">
        <v>Laptop</v>
      </c>
    </row>
    <row r="60" spans="40:64">
      <c r="AN60" s="49">
        <f>Sheet1!B59</f>
        <v>45384</v>
      </c>
      <c r="AO60" s="50">
        <f t="shared" si="8"/>
        <v>10</v>
      </c>
      <c r="AP60" s="50">
        <f t="shared" si="3"/>
        <v>4</v>
      </c>
      <c r="AQ60" s="50">
        <f t="shared" si="4"/>
        <v>2024</v>
      </c>
      <c r="AR60" s="50" t="str">
        <f t="shared" si="5"/>
        <v>Apr-2024</v>
      </c>
      <c r="AS60" s="52">
        <f t="shared" si="6"/>
        <v>45392</v>
      </c>
      <c r="AT60" s="44">
        <f t="shared" ca="1" si="7"/>
        <v>886</v>
      </c>
      <c r="AU60" s="40" t="str">
        <f>LEFT(Sheet1!AE59,3)</f>
        <v>Roh</v>
      </c>
      <c r="AV60" s="40" t="str">
        <f>RIGHT(Sheet1!AF59,2)</f>
        <v>ra</v>
      </c>
      <c r="AW60" s="40" t="str">
        <f>MID(Sheet1!AE59,2,3)</f>
        <v>oha</v>
      </c>
      <c r="AX60" s="42">
        <f>LEN(Sheet1!AE59)</f>
        <v>5</v>
      </c>
      <c r="AY60" s="40" t="str">
        <f>UPPER(Sheet1!AE59)</f>
        <v>ROHAN</v>
      </c>
      <c r="AZ60" s="40" t="str">
        <f>LOWER(Sheet1!AE59)</f>
        <v>rohan</v>
      </c>
      <c r="BA60" s="40" t="str">
        <f>PROPER(Sheet1!AE59)</f>
        <v>Rohan</v>
      </c>
      <c r="BB60" s="40" t="str">
        <f>_xlfn.CONCAT(Sheet1!AE59," ",Sheet1!AF59)</f>
        <v>Rohan Malhotra</v>
      </c>
      <c r="BL60" s="40" t="str">
        <v>Monitor</v>
      </c>
    </row>
    <row r="61" spans="40:64">
      <c r="AN61" s="49">
        <f>Sheet1!B60</f>
        <v>45385</v>
      </c>
      <c r="AO61" s="50">
        <f t="shared" si="8"/>
        <v>12</v>
      </c>
      <c r="AP61" s="50">
        <f t="shared" si="3"/>
        <v>4</v>
      </c>
      <c r="AQ61" s="50">
        <f t="shared" si="4"/>
        <v>2024</v>
      </c>
      <c r="AR61" s="50" t="str">
        <f t="shared" si="5"/>
        <v>Apr-2024</v>
      </c>
      <c r="AS61" s="52">
        <f t="shared" si="6"/>
        <v>45394</v>
      </c>
      <c r="AT61" s="44">
        <f t="shared" ca="1" si="7"/>
        <v>884</v>
      </c>
      <c r="AU61" s="40" t="str">
        <f>LEFT(Sheet1!AE60,3)</f>
        <v>Adi</v>
      </c>
      <c r="AV61" s="40" t="str">
        <f>RIGHT(Sheet1!AF60,2)</f>
        <v>or</v>
      </c>
      <c r="AW61" s="40" t="str">
        <f>MID(Sheet1!AE60,2,3)</f>
        <v>dit</v>
      </c>
      <c r="AX61" s="42">
        <f>LEN(Sheet1!AE60)</f>
        <v>6</v>
      </c>
      <c r="AY61" s="40" t="str">
        <f>UPPER(Sheet1!AE60)</f>
        <v>ADITYA</v>
      </c>
      <c r="AZ61" s="40" t="str">
        <f>LOWER(Sheet1!AE60)</f>
        <v>aditya</v>
      </c>
      <c r="BA61" s="40" t="str">
        <f>PROPER(Sheet1!AE60)</f>
        <v>Aditya</v>
      </c>
      <c r="BB61" s="40" t="str">
        <f>_xlfn.CONCAT(Sheet1!AE60," ",Sheet1!AF60)</f>
        <v>Aditya Kapoor</v>
      </c>
      <c r="BL61" s="40" t="str">
        <v>Tablet</v>
      </c>
    </row>
    <row r="62" spans="40:64">
      <c r="AN62" s="49">
        <f>Sheet1!B61</f>
        <v>45386</v>
      </c>
      <c r="AO62" s="50">
        <f t="shared" si="8"/>
        <v>1</v>
      </c>
      <c r="AP62" s="50">
        <f t="shared" si="3"/>
        <v>4</v>
      </c>
      <c r="AQ62" s="50">
        <f t="shared" si="4"/>
        <v>2024</v>
      </c>
      <c r="AR62" s="50" t="str">
        <f t="shared" si="5"/>
        <v>Apr-2024</v>
      </c>
      <c r="AS62" s="52">
        <f t="shared" si="6"/>
        <v>45383</v>
      </c>
      <c r="AT62" s="44">
        <f t="shared" ca="1" si="7"/>
        <v>895</v>
      </c>
      <c r="AU62" s="40" t="str">
        <f>LEFT(Sheet1!AE61,3)</f>
        <v>Rah</v>
      </c>
      <c r="AV62" s="40" t="str">
        <f>RIGHT(Sheet1!AF61,2)</f>
        <v>ta</v>
      </c>
      <c r="AW62" s="40" t="str">
        <f>MID(Sheet1!AE61,2,3)</f>
        <v>ahu</v>
      </c>
      <c r="AX62" s="42">
        <f>LEN(Sheet1!AE61)</f>
        <v>5</v>
      </c>
      <c r="AY62" s="40" t="str">
        <f>UPPER(Sheet1!AE61)</f>
        <v>RAHUL</v>
      </c>
      <c r="AZ62" s="40" t="str">
        <f>LOWER(Sheet1!AE61)</f>
        <v>rahul</v>
      </c>
      <c r="BA62" s="40" t="str">
        <f>PROPER(Sheet1!AE61)</f>
        <v>Rahul</v>
      </c>
      <c r="BB62" s="40" t="str">
        <f>_xlfn.CONCAT(Sheet1!AE61," ",Sheet1!AF61)</f>
        <v>Rahul Mehta</v>
      </c>
      <c r="BL62" s="40" t="str">
        <v>Tablet</v>
      </c>
    </row>
    <row r="63" spans="40:64">
      <c r="AN63" s="49">
        <f>Sheet1!B62</f>
        <v>45386</v>
      </c>
      <c r="AO63" s="50">
        <f t="shared" si="8"/>
        <v>1</v>
      </c>
      <c r="AP63" s="50">
        <f t="shared" si="3"/>
        <v>4</v>
      </c>
      <c r="AQ63" s="50">
        <f t="shared" si="4"/>
        <v>2024</v>
      </c>
      <c r="AR63" s="50" t="str">
        <f t="shared" si="5"/>
        <v>Apr-2024</v>
      </c>
      <c r="AS63" s="52">
        <f t="shared" si="6"/>
        <v>45383</v>
      </c>
      <c r="AT63" s="44">
        <f t="shared" ca="1" si="7"/>
        <v>895</v>
      </c>
      <c r="AU63" s="40" t="str">
        <f>LEFT(Sheet1!AE62,3)</f>
        <v>Mee</v>
      </c>
      <c r="AV63" s="40" t="str">
        <f>RIGHT(Sheet1!AF62,2)</f>
        <v>na</v>
      </c>
      <c r="AW63" s="40" t="str">
        <f>MID(Sheet1!AE62,2,3)</f>
        <v>eer</v>
      </c>
      <c r="AX63" s="42">
        <f>LEN(Sheet1!AE62)</f>
        <v>5</v>
      </c>
      <c r="AY63" s="40" t="str">
        <f>UPPER(Sheet1!AE62)</f>
        <v>MEERA</v>
      </c>
      <c r="AZ63" s="40" t="str">
        <f>LOWER(Sheet1!AE62)</f>
        <v>meera</v>
      </c>
      <c r="BA63" s="40" t="str">
        <f>PROPER(Sheet1!AE62)</f>
        <v>Meera</v>
      </c>
      <c r="BB63" s="40" t="str">
        <f>_xlfn.CONCAT(Sheet1!AE62," ",Sheet1!AF62)</f>
        <v>Meera Saxena</v>
      </c>
      <c r="BL63" s="40" t="str">
        <v>Smartphone</v>
      </c>
    </row>
    <row r="64" spans="40:64">
      <c r="AN64" s="49">
        <f>Sheet1!B63</f>
        <v>45386</v>
      </c>
      <c r="AO64" s="50">
        <f t="shared" si="8"/>
        <v>2</v>
      </c>
      <c r="AP64" s="50">
        <f t="shared" si="3"/>
        <v>4</v>
      </c>
      <c r="AQ64" s="50">
        <f t="shared" si="4"/>
        <v>2024</v>
      </c>
      <c r="AR64" s="50" t="str">
        <f t="shared" si="5"/>
        <v>Apr-2024</v>
      </c>
      <c r="AS64" s="52">
        <f t="shared" si="6"/>
        <v>45384</v>
      </c>
      <c r="AT64" s="44">
        <f t="shared" ca="1" si="7"/>
        <v>894</v>
      </c>
      <c r="AU64" s="40" t="str">
        <f>LEFT(Sheet1!AE63,3)</f>
        <v>Pri</v>
      </c>
      <c r="AV64" s="40" t="str">
        <f>RIGHT(Sheet1!AF63,2)</f>
        <v>or</v>
      </c>
      <c r="AW64" s="40" t="str">
        <f>MID(Sheet1!AE63,2,3)</f>
        <v>riy</v>
      </c>
      <c r="AX64" s="42">
        <f>LEN(Sheet1!AE63)</f>
        <v>5</v>
      </c>
      <c r="AY64" s="40" t="str">
        <f>UPPER(Sheet1!AE63)</f>
        <v>PRIYA</v>
      </c>
      <c r="AZ64" s="40" t="str">
        <f>LOWER(Sheet1!AE63)</f>
        <v>priya</v>
      </c>
      <c r="BA64" s="40" t="str">
        <f>PROPER(Sheet1!AE63)</f>
        <v>Priya</v>
      </c>
      <c r="BB64" s="40" t="str">
        <f>_xlfn.CONCAT(Sheet1!AE63," ",Sheet1!AF63)</f>
        <v>Priya Kapoor</v>
      </c>
      <c r="BL64" s="40" t="str">
        <v>Monitor</v>
      </c>
    </row>
    <row r="65" spans="40:64">
      <c r="AN65" s="49">
        <f>Sheet1!B64</f>
        <v>45386</v>
      </c>
      <c r="AO65" s="50">
        <f t="shared" si="8"/>
        <v>2</v>
      </c>
      <c r="AP65" s="50">
        <f t="shared" si="3"/>
        <v>4</v>
      </c>
      <c r="AQ65" s="50">
        <f t="shared" si="4"/>
        <v>2024</v>
      </c>
      <c r="AR65" s="50" t="str">
        <f t="shared" si="5"/>
        <v>Apr-2024</v>
      </c>
      <c r="AS65" s="52">
        <f t="shared" si="6"/>
        <v>45384</v>
      </c>
      <c r="AT65" s="44">
        <f t="shared" ca="1" si="7"/>
        <v>894</v>
      </c>
      <c r="AU65" s="40" t="str">
        <f>LEFT(Sheet1!AE64,3)</f>
        <v>Adi</v>
      </c>
      <c r="AV65" s="40" t="str">
        <f>RIGHT(Sheet1!AF64,2)</f>
        <v>ar</v>
      </c>
      <c r="AW65" s="40" t="str">
        <f>MID(Sheet1!AE64,2,3)</f>
        <v>dit</v>
      </c>
      <c r="AX65" s="42">
        <f>LEN(Sheet1!AE64)</f>
        <v>5</v>
      </c>
      <c r="AY65" s="40" t="str">
        <f>UPPER(Sheet1!AE64)</f>
        <v>ADITI</v>
      </c>
      <c r="AZ65" s="40" t="str">
        <f>LOWER(Sheet1!AE64)</f>
        <v>aditi</v>
      </c>
      <c r="BA65" s="40" t="str">
        <f>PROPER(Sheet1!AE64)</f>
        <v>Aditi</v>
      </c>
      <c r="BB65" s="40" t="str">
        <f>_xlfn.CONCAT(Sheet1!AE64," ",Sheet1!AF64)</f>
        <v>Aditi Kumar</v>
      </c>
      <c r="BL65" s="40" t="str">
        <v>Monitor</v>
      </c>
    </row>
    <row r="66" spans="40:64">
      <c r="AN66" s="49">
        <f>Sheet1!B65</f>
        <v>45386</v>
      </c>
      <c r="AO66" s="50">
        <f t="shared" si="8"/>
        <v>3</v>
      </c>
      <c r="AP66" s="50">
        <f t="shared" si="3"/>
        <v>4</v>
      </c>
      <c r="AQ66" s="50">
        <f t="shared" si="4"/>
        <v>2024</v>
      </c>
      <c r="AR66" s="50" t="str">
        <f t="shared" si="5"/>
        <v>Apr-2024</v>
      </c>
      <c r="AS66" s="52">
        <f t="shared" si="6"/>
        <v>45385</v>
      </c>
      <c r="AT66" s="44">
        <f t="shared" ca="1" si="7"/>
        <v>893</v>
      </c>
      <c r="AU66" s="40" t="str">
        <f>LEFT(Sheet1!AE65,3)</f>
        <v>Roh</v>
      </c>
      <c r="AV66" s="40" t="str">
        <f>RIGHT(Sheet1!AF65,2)</f>
        <v>or</v>
      </c>
      <c r="AW66" s="40" t="str">
        <f>MID(Sheet1!AE65,2,3)</f>
        <v>oha</v>
      </c>
      <c r="AX66" s="42">
        <f>LEN(Sheet1!AE65)</f>
        <v>5</v>
      </c>
      <c r="AY66" s="40" t="str">
        <f>UPPER(Sheet1!AE65)</f>
        <v>ROHAN</v>
      </c>
      <c r="AZ66" s="40" t="str">
        <f>LOWER(Sheet1!AE65)</f>
        <v>rohan</v>
      </c>
      <c r="BA66" s="40" t="str">
        <f>PROPER(Sheet1!AE65)</f>
        <v>Rohan</v>
      </c>
      <c r="BB66" s="40" t="str">
        <f>_xlfn.CONCAT(Sheet1!AE65," ",Sheet1!AF65)</f>
        <v>Rohan Kapoor</v>
      </c>
      <c r="BL66" s="40" t="str">
        <v>Laptop</v>
      </c>
    </row>
    <row r="67" spans="40:64">
      <c r="AN67" s="49">
        <f>Sheet1!B66</f>
        <v>45389</v>
      </c>
      <c r="AO67" s="50">
        <f t="shared" si="8"/>
        <v>4</v>
      </c>
      <c r="AP67" s="50">
        <f t="shared" si="3"/>
        <v>4</v>
      </c>
      <c r="AQ67" s="50">
        <f t="shared" si="4"/>
        <v>2024</v>
      </c>
      <c r="AR67" s="50" t="str">
        <f t="shared" si="5"/>
        <v>Apr-2024</v>
      </c>
      <c r="AS67" s="52">
        <f t="shared" si="6"/>
        <v>45386</v>
      </c>
      <c r="AT67" s="44">
        <f t="shared" ca="1" si="7"/>
        <v>892</v>
      </c>
      <c r="AU67" s="40" t="str">
        <f>LEFT(Sheet1!AE66,3)</f>
        <v>Aar</v>
      </c>
      <c r="AV67" s="40" t="str">
        <f>RIGHT(Sheet1!AF66,2)</f>
        <v>ra</v>
      </c>
      <c r="AW67" s="40" t="str">
        <f>MID(Sheet1!AE66,2,3)</f>
        <v>ara</v>
      </c>
      <c r="AX67" s="42">
        <f>LEN(Sheet1!AE66)</f>
        <v>5</v>
      </c>
      <c r="AY67" s="40" t="str">
        <f>UPPER(Sheet1!AE66)</f>
        <v>AARAV</v>
      </c>
      <c r="AZ67" s="40" t="str">
        <f>LOWER(Sheet1!AE66)</f>
        <v>aarav</v>
      </c>
      <c r="BA67" s="40" t="str">
        <f>PROPER(Sheet1!AE66)</f>
        <v>Aarav</v>
      </c>
      <c r="BB67" s="40" t="str">
        <f>_xlfn.CONCAT(Sheet1!AE66," ",Sheet1!AF66)</f>
        <v>Aarav Chopra</v>
      </c>
      <c r="BL67" s="40" t="str">
        <v>Tablet</v>
      </c>
    </row>
    <row r="68" spans="40:64">
      <c r="AN68" s="49">
        <f>Sheet1!B67</f>
        <v>45390</v>
      </c>
      <c r="AO68" s="50">
        <f t="shared" si="8"/>
        <v>4</v>
      </c>
      <c r="AP68" s="50">
        <f t="shared" ref="AP68:AP131" si="9">IFERROR(MONTH(AN68),VALUE(MID(AN68,4,2)))</f>
        <v>4</v>
      </c>
      <c r="AQ68" s="50">
        <f t="shared" ref="AQ68:AQ131" si="10">IFERROR(YEAR(AN68),VALUE(RIGHT(AN68,4)))</f>
        <v>2024</v>
      </c>
      <c r="AR68" s="50" t="str">
        <f t="shared" ref="AR68:AR131" si="11">IF(ISNUMBER(AN68),TEXT(AN68,"mmm-yyyy"),TEXT(DATE(VALUE(RIGHT(AN68,4)),VALUE(MID(AN68,4,2)),VALUE(LEFT(AN68,2))),"mmm-yyyy"))</f>
        <v>Apr-2024</v>
      </c>
      <c r="AS68" s="52">
        <f t="shared" ref="AS68:AS131" si="12">DATE(AQ68,AP68,AO68)</f>
        <v>45386</v>
      </c>
      <c r="AT68" s="44">
        <f t="shared" ref="AT68:AT131" ca="1" si="13">TODAY()-AS68</f>
        <v>892</v>
      </c>
      <c r="AU68" s="40" t="str">
        <f>LEFT(Sheet1!AE67,3)</f>
        <v>Sne</v>
      </c>
      <c r="AV68" s="40" t="str">
        <f>RIGHT(Sheet1!AF67,2)</f>
        <v>av</v>
      </c>
      <c r="AW68" s="40" t="str">
        <f>MID(Sheet1!AE67,2,3)</f>
        <v>neh</v>
      </c>
      <c r="AX68" s="42">
        <f>LEN(Sheet1!AE67)</f>
        <v>5</v>
      </c>
      <c r="AY68" s="40" t="str">
        <f>UPPER(Sheet1!AE67)</f>
        <v>SNEHA</v>
      </c>
      <c r="AZ68" s="40" t="str">
        <f>LOWER(Sheet1!AE67)</f>
        <v>sneha</v>
      </c>
      <c r="BA68" s="40" t="str">
        <f>PROPER(Sheet1!AE67)</f>
        <v>Sneha</v>
      </c>
      <c r="BB68" s="40" t="str">
        <f>_xlfn.CONCAT(Sheet1!AE67," ",Sheet1!AF67)</f>
        <v>Sneha Yadav</v>
      </c>
      <c r="BL68" s="40" t="str">
        <v>Smartphone</v>
      </c>
    </row>
    <row r="69" spans="40:64">
      <c r="AN69" s="49">
        <f>Sheet1!B68</f>
        <v>45390</v>
      </c>
      <c r="AO69" s="50">
        <f t="shared" si="8"/>
        <v>4</v>
      </c>
      <c r="AP69" s="50">
        <f t="shared" si="9"/>
        <v>4</v>
      </c>
      <c r="AQ69" s="50">
        <f t="shared" si="10"/>
        <v>2024</v>
      </c>
      <c r="AR69" s="50" t="str">
        <f t="shared" si="11"/>
        <v>Apr-2024</v>
      </c>
      <c r="AS69" s="52">
        <f t="shared" si="12"/>
        <v>45386</v>
      </c>
      <c r="AT69" s="44">
        <f t="shared" ca="1" si="13"/>
        <v>892</v>
      </c>
      <c r="AU69" s="40" t="str">
        <f>LEFT(Sheet1!AE68,3)</f>
        <v>Nis</v>
      </c>
      <c r="AV69" s="40" t="str">
        <f>RIGHT(Sheet1!AF68,2)</f>
        <v>av</v>
      </c>
      <c r="AW69" s="40" t="str">
        <f>MID(Sheet1!AE68,2,3)</f>
        <v>ish</v>
      </c>
      <c r="AX69" s="42">
        <f>LEN(Sheet1!AE68)</f>
        <v>5</v>
      </c>
      <c r="AY69" s="40" t="str">
        <f>UPPER(Sheet1!AE68)</f>
        <v>NISHA</v>
      </c>
      <c r="AZ69" s="40" t="str">
        <f>LOWER(Sheet1!AE68)</f>
        <v>nisha</v>
      </c>
      <c r="BA69" s="40" t="str">
        <f>PROPER(Sheet1!AE68)</f>
        <v>Nisha</v>
      </c>
      <c r="BB69" s="40" t="str">
        <f>_xlfn.CONCAT(Sheet1!AE68," ",Sheet1!AF68)</f>
        <v>Nisha Yadav</v>
      </c>
      <c r="BL69" s="40" t="str">
        <v>Laptop</v>
      </c>
    </row>
    <row r="70" spans="40:64">
      <c r="AN70" s="49">
        <f>Sheet1!B69</f>
        <v>45391</v>
      </c>
      <c r="AO70" s="50">
        <f t="shared" si="8"/>
        <v>4</v>
      </c>
      <c r="AP70" s="50">
        <f t="shared" si="9"/>
        <v>4</v>
      </c>
      <c r="AQ70" s="50">
        <f t="shared" si="10"/>
        <v>2024</v>
      </c>
      <c r="AR70" s="50" t="str">
        <f t="shared" si="11"/>
        <v>Apr-2024</v>
      </c>
      <c r="AS70" s="52">
        <f t="shared" si="12"/>
        <v>45386</v>
      </c>
      <c r="AT70" s="44">
        <f t="shared" ca="1" si="13"/>
        <v>892</v>
      </c>
      <c r="AU70" s="40" t="str">
        <f>LEFT(Sheet1!AE69,3)</f>
        <v>Riy</v>
      </c>
      <c r="AV70" s="40" t="str">
        <f>RIGHT(Sheet1!AF69,2)</f>
        <v>gh</v>
      </c>
      <c r="AW70" s="40" t="str">
        <f>MID(Sheet1!AE69,2,3)</f>
        <v>iya</v>
      </c>
      <c r="AX70" s="42">
        <f>LEN(Sheet1!AE69)</f>
        <v>4</v>
      </c>
      <c r="AY70" s="40" t="str">
        <f>UPPER(Sheet1!AE69)</f>
        <v>RIYA</v>
      </c>
      <c r="AZ70" s="40" t="str">
        <f>LOWER(Sheet1!AE69)</f>
        <v>riya</v>
      </c>
      <c r="BA70" s="40" t="str">
        <f>PROPER(Sheet1!AE69)</f>
        <v>Riya</v>
      </c>
      <c r="BB70" s="40" t="str">
        <f>_xlfn.CONCAT(Sheet1!AE69," ",Sheet1!AF69)</f>
        <v>Riya Singh</v>
      </c>
      <c r="BL70" s="40" t="str">
        <v>Smartphone</v>
      </c>
    </row>
    <row r="71" spans="40:64">
      <c r="AN71" s="49">
        <f>Sheet1!B70</f>
        <v>45414</v>
      </c>
      <c r="AO71" s="50">
        <f t="shared" si="8"/>
        <v>4</v>
      </c>
      <c r="AP71" s="50">
        <f t="shared" si="9"/>
        <v>5</v>
      </c>
      <c r="AQ71" s="50">
        <f t="shared" si="10"/>
        <v>2024</v>
      </c>
      <c r="AR71" s="50" t="str">
        <f t="shared" si="11"/>
        <v>May-2024</v>
      </c>
      <c r="AS71" s="52">
        <f t="shared" si="12"/>
        <v>45416</v>
      </c>
      <c r="AT71" s="44">
        <f t="shared" ca="1" si="13"/>
        <v>862</v>
      </c>
      <c r="AU71" s="40" t="str">
        <f>LEFT(Sheet1!AE70,3)</f>
        <v>Adi</v>
      </c>
      <c r="AV71" s="40" t="str">
        <f>RIGHT(Sheet1!AF70,2)</f>
        <v>na</v>
      </c>
      <c r="AW71" s="40" t="str">
        <f>MID(Sheet1!AE70,2,3)</f>
        <v>dit</v>
      </c>
      <c r="AX71" s="42">
        <f>LEN(Sheet1!AE70)</f>
        <v>5</v>
      </c>
      <c r="AY71" s="40" t="str">
        <f>UPPER(Sheet1!AE70)</f>
        <v>ADITI</v>
      </c>
      <c r="AZ71" s="40" t="str">
        <f>LOWER(Sheet1!AE70)</f>
        <v>aditi</v>
      </c>
      <c r="BA71" s="40" t="str">
        <f>PROPER(Sheet1!AE70)</f>
        <v>Aditi</v>
      </c>
      <c r="BB71" s="40" t="str">
        <f>_xlfn.CONCAT(Sheet1!AE70," ",Sheet1!AF70)</f>
        <v>Aditi Saxena</v>
      </c>
      <c r="BL71" s="40" t="str">
        <v>Smartphone</v>
      </c>
    </row>
    <row r="72" spans="40:64">
      <c r="AN72" s="49">
        <f>Sheet1!B71</f>
        <v>45415</v>
      </c>
      <c r="AO72" s="50">
        <f t="shared" si="8"/>
        <v>4</v>
      </c>
      <c r="AP72" s="50">
        <f t="shared" si="9"/>
        <v>5</v>
      </c>
      <c r="AQ72" s="50">
        <f t="shared" si="10"/>
        <v>2024</v>
      </c>
      <c r="AR72" s="50" t="str">
        <f t="shared" si="11"/>
        <v>May-2024</v>
      </c>
      <c r="AS72" s="52">
        <f t="shared" si="12"/>
        <v>45416</v>
      </c>
      <c r="AT72" s="44">
        <f t="shared" ca="1" si="13"/>
        <v>862</v>
      </c>
      <c r="AU72" s="40" t="str">
        <f>LEFT(Sheet1!AE71,3)</f>
        <v>Sne</v>
      </c>
      <c r="AV72" s="40" t="str">
        <f>RIGHT(Sheet1!AF71,2)</f>
        <v>na</v>
      </c>
      <c r="AW72" s="40" t="str">
        <f>MID(Sheet1!AE71,2,3)</f>
        <v>neh</v>
      </c>
      <c r="AX72" s="42">
        <f>LEN(Sheet1!AE71)</f>
        <v>5</v>
      </c>
      <c r="AY72" s="40" t="str">
        <f>UPPER(Sheet1!AE71)</f>
        <v>SNEHA</v>
      </c>
      <c r="AZ72" s="40" t="str">
        <f>LOWER(Sheet1!AE71)</f>
        <v>sneha</v>
      </c>
      <c r="BA72" s="40" t="str">
        <f>PROPER(Sheet1!AE71)</f>
        <v>Sneha</v>
      </c>
      <c r="BB72" s="40" t="str">
        <f>_xlfn.CONCAT(Sheet1!AE71," ",Sheet1!AF71)</f>
        <v>Sneha Saxena</v>
      </c>
      <c r="BL72" s="40" t="str">
        <v>Monitor</v>
      </c>
    </row>
    <row r="73" spans="40:64">
      <c r="AN73" s="49">
        <f>Sheet1!B72</f>
        <v>45416</v>
      </c>
      <c r="AO73" s="50">
        <f t="shared" si="8"/>
        <v>5</v>
      </c>
      <c r="AP73" s="50">
        <f t="shared" si="9"/>
        <v>5</v>
      </c>
      <c r="AQ73" s="50">
        <f t="shared" si="10"/>
        <v>2024</v>
      </c>
      <c r="AR73" s="50" t="str">
        <f t="shared" si="11"/>
        <v>May-2024</v>
      </c>
      <c r="AS73" s="52">
        <f t="shared" si="12"/>
        <v>45417</v>
      </c>
      <c r="AT73" s="44">
        <f t="shared" ca="1" si="13"/>
        <v>861</v>
      </c>
      <c r="AU73" s="40" t="str">
        <f>LEFT(Sheet1!AE72,3)</f>
        <v>Arj</v>
      </c>
      <c r="AV73" s="40" t="str">
        <f>RIGHT(Sheet1!AF72,2)</f>
        <v>ta</v>
      </c>
      <c r="AW73" s="40" t="str">
        <f>MID(Sheet1!AE72,2,3)</f>
        <v>rju</v>
      </c>
      <c r="AX73" s="42">
        <f>LEN(Sheet1!AE72)</f>
        <v>5</v>
      </c>
      <c r="AY73" s="40" t="str">
        <f>UPPER(Sheet1!AE72)</f>
        <v>ARJUN</v>
      </c>
      <c r="AZ73" s="40" t="str">
        <f>LOWER(Sheet1!AE72)</f>
        <v>arjun</v>
      </c>
      <c r="BA73" s="40" t="str">
        <f>PROPER(Sheet1!AE72)</f>
        <v>Arjun</v>
      </c>
      <c r="BB73" s="40" t="str">
        <f>_xlfn.CONCAT(Sheet1!AE72," ",Sheet1!AF72)</f>
        <v>Arjun Gupta</v>
      </c>
      <c r="BL73" s="40" t="str">
        <v>Laptop</v>
      </c>
    </row>
    <row r="74" spans="40:64">
      <c r="AN74" s="49">
        <f>Sheet1!B73</f>
        <v>45416</v>
      </c>
      <c r="AO74" s="50">
        <f t="shared" si="8"/>
        <v>5</v>
      </c>
      <c r="AP74" s="50">
        <f t="shared" si="9"/>
        <v>5</v>
      </c>
      <c r="AQ74" s="50">
        <f t="shared" si="10"/>
        <v>2024</v>
      </c>
      <c r="AR74" s="50" t="str">
        <f t="shared" si="11"/>
        <v>May-2024</v>
      </c>
      <c r="AS74" s="52">
        <f t="shared" si="12"/>
        <v>45417</v>
      </c>
      <c r="AT74" s="44">
        <f t="shared" ca="1" si="13"/>
        <v>861</v>
      </c>
      <c r="AU74" s="40" t="str">
        <f>LEFT(Sheet1!AE73,3)</f>
        <v>Kar</v>
      </c>
      <c r="AV74" s="40" t="str">
        <f>RIGHT(Sheet1!AF73,2)</f>
        <v>ma</v>
      </c>
      <c r="AW74" s="40" t="str">
        <f>MID(Sheet1!AE73,2,3)</f>
        <v>ara</v>
      </c>
      <c r="AX74" s="42">
        <f>LEN(Sheet1!AE73)</f>
        <v>5</v>
      </c>
      <c r="AY74" s="40" t="str">
        <f>UPPER(Sheet1!AE73)</f>
        <v>KARAN</v>
      </c>
      <c r="AZ74" s="40" t="str">
        <f>LOWER(Sheet1!AE73)</f>
        <v>karan</v>
      </c>
      <c r="BA74" s="40" t="str">
        <f>PROPER(Sheet1!AE73)</f>
        <v>Karan</v>
      </c>
      <c r="BB74" s="40" t="str">
        <f>_xlfn.CONCAT(Sheet1!AE73," ",Sheet1!AF73)</f>
        <v>Karan Sharma</v>
      </c>
      <c r="BL74" s="40" t="str">
        <v>Tablet</v>
      </c>
    </row>
    <row r="75" spans="40:64">
      <c r="AN75" s="49">
        <f>Sheet1!B74</f>
        <v>45416</v>
      </c>
      <c r="AO75" s="50">
        <f t="shared" si="8"/>
        <v>6</v>
      </c>
      <c r="AP75" s="50">
        <f t="shared" si="9"/>
        <v>5</v>
      </c>
      <c r="AQ75" s="50">
        <f t="shared" si="10"/>
        <v>2024</v>
      </c>
      <c r="AR75" s="50" t="str">
        <f t="shared" si="11"/>
        <v>May-2024</v>
      </c>
      <c r="AS75" s="52">
        <f t="shared" si="12"/>
        <v>45418</v>
      </c>
      <c r="AT75" s="44">
        <f t="shared" ca="1" si="13"/>
        <v>860</v>
      </c>
      <c r="AU75" s="40" t="str">
        <f>LEFT(Sheet1!AE74,3)</f>
        <v>Nis</v>
      </c>
      <c r="AV75" s="40" t="str">
        <f>RIGHT(Sheet1!AF74,2)</f>
        <v>av</v>
      </c>
      <c r="AW75" s="40" t="str">
        <f>MID(Sheet1!AE74,2,3)</f>
        <v>ish</v>
      </c>
      <c r="AX75" s="42">
        <f>LEN(Sheet1!AE74)</f>
        <v>5</v>
      </c>
      <c r="AY75" s="40" t="str">
        <f>UPPER(Sheet1!AE74)</f>
        <v>NISHA</v>
      </c>
      <c r="AZ75" s="40" t="str">
        <f>LOWER(Sheet1!AE74)</f>
        <v>nisha</v>
      </c>
      <c r="BA75" s="40" t="str">
        <f>PROPER(Sheet1!AE74)</f>
        <v>Nisha</v>
      </c>
      <c r="BB75" s="40" t="str">
        <f>_xlfn.CONCAT(Sheet1!AE74," ",Sheet1!AF74)</f>
        <v>Nisha Yadav</v>
      </c>
      <c r="BL75" s="40" t="str">
        <v>Laptop</v>
      </c>
    </row>
    <row r="76" spans="40:64">
      <c r="AN76" s="49">
        <f>Sheet1!B75</f>
        <v>45418</v>
      </c>
      <c r="AO76" s="50">
        <f t="shared" si="8"/>
        <v>7</v>
      </c>
      <c r="AP76" s="50">
        <f t="shared" si="9"/>
        <v>5</v>
      </c>
      <c r="AQ76" s="50">
        <f t="shared" si="10"/>
        <v>2024</v>
      </c>
      <c r="AR76" s="50" t="str">
        <f t="shared" si="11"/>
        <v>May-2024</v>
      </c>
      <c r="AS76" s="52">
        <f t="shared" si="12"/>
        <v>45419</v>
      </c>
      <c r="AT76" s="44">
        <f t="shared" ca="1" si="13"/>
        <v>859</v>
      </c>
      <c r="AU76" s="40" t="str">
        <f>LEFT(Sheet1!AE75,3)</f>
        <v>Roh</v>
      </c>
      <c r="AV76" s="40" t="str">
        <f>RIGHT(Sheet1!AF75,2)</f>
        <v>al</v>
      </c>
      <c r="AW76" s="40" t="str">
        <f>MID(Sheet1!AE75,2,3)</f>
        <v>oha</v>
      </c>
      <c r="AX76" s="42">
        <f>LEN(Sheet1!AE75)</f>
        <v>5</v>
      </c>
      <c r="AY76" s="40" t="str">
        <f>UPPER(Sheet1!AE75)</f>
        <v>ROHAN</v>
      </c>
      <c r="AZ76" s="40" t="str">
        <f>LOWER(Sheet1!AE75)</f>
        <v>rohan</v>
      </c>
      <c r="BA76" s="40" t="str">
        <f>PROPER(Sheet1!AE75)</f>
        <v>Rohan</v>
      </c>
      <c r="BB76" s="40" t="str">
        <f>_xlfn.CONCAT(Sheet1!AE75," ",Sheet1!AF75)</f>
        <v>Rohan Agarwal</v>
      </c>
      <c r="BL76" s="40" t="str">
        <v>Monitor</v>
      </c>
    </row>
    <row r="77" spans="40:64">
      <c r="AN77" s="49">
        <f>Sheet1!B76</f>
        <v>45419</v>
      </c>
      <c r="AO77" s="50">
        <f t="shared" si="8"/>
        <v>7</v>
      </c>
      <c r="AP77" s="50">
        <f t="shared" si="9"/>
        <v>5</v>
      </c>
      <c r="AQ77" s="50">
        <f t="shared" si="10"/>
        <v>2024</v>
      </c>
      <c r="AR77" s="50" t="str">
        <f t="shared" si="11"/>
        <v>May-2024</v>
      </c>
      <c r="AS77" s="52">
        <f t="shared" si="12"/>
        <v>45419</v>
      </c>
      <c r="AT77" s="44">
        <f t="shared" ca="1" si="13"/>
        <v>859</v>
      </c>
      <c r="AU77" s="40" t="str">
        <f>LEFT(Sheet1!AE76,3)</f>
        <v>Kav</v>
      </c>
      <c r="AV77" s="40" t="str">
        <f>RIGHT(Sheet1!AF76,2)</f>
        <v>ra</v>
      </c>
      <c r="AW77" s="40" t="str">
        <f>MID(Sheet1!AE76,2,3)</f>
        <v>avy</v>
      </c>
      <c r="AX77" s="42">
        <f>LEN(Sheet1!AE76)</f>
        <v>5</v>
      </c>
      <c r="AY77" s="40" t="str">
        <f>UPPER(Sheet1!AE76)</f>
        <v>KAVYA</v>
      </c>
      <c r="AZ77" s="40" t="str">
        <f>LOWER(Sheet1!AE76)</f>
        <v>kavya</v>
      </c>
      <c r="BA77" s="40" t="str">
        <f>PROPER(Sheet1!AE76)</f>
        <v>Kavya</v>
      </c>
      <c r="BB77" s="40" t="str">
        <f>_xlfn.CONCAT(Sheet1!AE76," ",Sheet1!AF76)</f>
        <v>Kavya Malhotra</v>
      </c>
      <c r="BL77" s="40" t="str">
        <v>Smartphone</v>
      </c>
    </row>
    <row r="78" spans="40:64">
      <c r="AN78" s="49">
        <f>Sheet1!B77</f>
        <v>45419</v>
      </c>
      <c r="AO78" s="50">
        <f t="shared" si="8"/>
        <v>7</v>
      </c>
      <c r="AP78" s="50">
        <f t="shared" si="9"/>
        <v>5</v>
      </c>
      <c r="AQ78" s="50">
        <f t="shared" si="10"/>
        <v>2024</v>
      </c>
      <c r="AR78" s="50" t="str">
        <f t="shared" si="11"/>
        <v>May-2024</v>
      </c>
      <c r="AS78" s="52">
        <f t="shared" si="12"/>
        <v>45419</v>
      </c>
      <c r="AT78" s="44">
        <f t="shared" ca="1" si="13"/>
        <v>859</v>
      </c>
      <c r="AU78" s="40" t="str">
        <f>LEFT(Sheet1!AE77,3)</f>
        <v>Sim</v>
      </c>
      <c r="AV78" s="40" t="str">
        <f>RIGHT(Sheet1!AF77,2)</f>
        <v>gh</v>
      </c>
      <c r="AW78" s="40" t="str">
        <f>MID(Sheet1!AE77,2,3)</f>
        <v>imr</v>
      </c>
      <c r="AX78" s="42">
        <f>LEN(Sheet1!AE77)</f>
        <v>6</v>
      </c>
      <c r="AY78" s="40" t="str">
        <f>UPPER(Sheet1!AE77)</f>
        <v>SIMRAN</v>
      </c>
      <c r="AZ78" s="40" t="str">
        <f>LOWER(Sheet1!AE77)</f>
        <v>simran</v>
      </c>
      <c r="BA78" s="40" t="str">
        <f>PROPER(Sheet1!AE77)</f>
        <v>Simran</v>
      </c>
      <c r="BB78" s="40" t="str">
        <f>_xlfn.CONCAT(Sheet1!AE77," ",Sheet1!AF77)</f>
        <v>Simran Singh</v>
      </c>
      <c r="BL78" s="40" t="str">
        <v>Monitor</v>
      </c>
    </row>
    <row r="79" spans="40:64">
      <c r="AN79" s="49">
        <f>Sheet1!B78</f>
        <v>45424</v>
      </c>
      <c r="AO79" s="50">
        <f t="shared" si="8"/>
        <v>8</v>
      </c>
      <c r="AP79" s="50">
        <f t="shared" si="9"/>
        <v>5</v>
      </c>
      <c r="AQ79" s="50">
        <f t="shared" si="10"/>
        <v>2024</v>
      </c>
      <c r="AR79" s="50" t="str">
        <f t="shared" si="11"/>
        <v>May-2024</v>
      </c>
      <c r="AS79" s="52">
        <f t="shared" si="12"/>
        <v>45420</v>
      </c>
      <c r="AT79" s="44">
        <f t="shared" ca="1" si="13"/>
        <v>858</v>
      </c>
      <c r="AU79" s="40" t="str">
        <f>LEFT(Sheet1!AE78,3)</f>
        <v>Ana</v>
      </c>
      <c r="AV79" s="40" t="str">
        <f>RIGHT(Sheet1!AF78,2)</f>
        <v>ra</v>
      </c>
      <c r="AW79" s="40" t="str">
        <f>MID(Sheet1!AE78,2,3)</f>
        <v>nan</v>
      </c>
      <c r="AX79" s="42">
        <f>LEN(Sheet1!AE78)</f>
        <v>6</v>
      </c>
      <c r="AY79" s="40" t="str">
        <f>UPPER(Sheet1!AE78)</f>
        <v>ANANYA</v>
      </c>
      <c r="AZ79" s="40" t="str">
        <f>LOWER(Sheet1!AE78)</f>
        <v>ananya</v>
      </c>
      <c r="BA79" s="40" t="str">
        <f>PROPER(Sheet1!AE78)</f>
        <v>Ananya</v>
      </c>
      <c r="BB79" s="40" t="str">
        <f>_xlfn.CONCAT(Sheet1!AE78," ",Sheet1!AF78)</f>
        <v>Ananya Mishra</v>
      </c>
      <c r="BL79" s="40" t="str">
        <v>Laptop</v>
      </c>
    </row>
    <row r="80" spans="40:64">
      <c r="AN80" s="49">
        <f>Sheet1!B79</f>
        <v>45424</v>
      </c>
      <c r="AO80" s="50">
        <f t="shared" si="8"/>
        <v>9</v>
      </c>
      <c r="AP80" s="50">
        <f t="shared" si="9"/>
        <v>5</v>
      </c>
      <c r="AQ80" s="50">
        <f t="shared" si="10"/>
        <v>2024</v>
      </c>
      <c r="AR80" s="50" t="str">
        <f t="shared" si="11"/>
        <v>May-2024</v>
      </c>
      <c r="AS80" s="52">
        <f t="shared" si="12"/>
        <v>45421</v>
      </c>
      <c r="AT80" s="44">
        <f t="shared" ca="1" si="13"/>
        <v>857</v>
      </c>
      <c r="AU80" s="40" t="str">
        <f>LEFT(Sheet1!AE79,3)</f>
        <v>Kav</v>
      </c>
      <c r="AV80" s="40" t="str">
        <f>RIGHT(Sheet1!AF79,2)</f>
        <v>av</v>
      </c>
      <c r="AW80" s="40" t="str">
        <f>MID(Sheet1!AE79,2,3)</f>
        <v>avy</v>
      </c>
      <c r="AX80" s="42">
        <f>LEN(Sheet1!AE79)</f>
        <v>5</v>
      </c>
      <c r="AY80" s="40" t="str">
        <f>UPPER(Sheet1!AE79)</f>
        <v>KAVYA</v>
      </c>
      <c r="AZ80" s="40" t="str">
        <f>LOWER(Sheet1!AE79)</f>
        <v>kavya</v>
      </c>
      <c r="BA80" s="40" t="str">
        <f>PROPER(Sheet1!AE79)</f>
        <v>Kavya</v>
      </c>
      <c r="BB80" s="40" t="str">
        <f>_xlfn.CONCAT(Sheet1!AE79," ",Sheet1!AF79)</f>
        <v>Kavya Yadav</v>
      </c>
      <c r="BL80" s="40" t="str">
        <v>Monitor</v>
      </c>
    </row>
    <row r="81" spans="40:64">
      <c r="AN81" s="49">
        <f>Sheet1!B80</f>
        <v>45444</v>
      </c>
      <c r="AO81" s="50">
        <f t="shared" si="8"/>
        <v>10</v>
      </c>
      <c r="AP81" s="50">
        <f t="shared" si="9"/>
        <v>6</v>
      </c>
      <c r="AQ81" s="50">
        <f t="shared" si="10"/>
        <v>2024</v>
      </c>
      <c r="AR81" s="50" t="str">
        <f t="shared" si="11"/>
        <v>Jun-2024</v>
      </c>
      <c r="AS81" s="52">
        <f t="shared" si="12"/>
        <v>45453</v>
      </c>
      <c r="AT81" s="44">
        <f t="shared" ca="1" si="13"/>
        <v>825</v>
      </c>
      <c r="AU81" s="40" t="str">
        <f>LEFT(Sheet1!AE80,3)</f>
        <v>Mee</v>
      </c>
      <c r="AV81" s="40" t="str">
        <f>RIGHT(Sheet1!AF80,2)</f>
        <v>ma</v>
      </c>
      <c r="AW81" s="40" t="str">
        <f>MID(Sheet1!AE80,2,3)</f>
        <v>eer</v>
      </c>
      <c r="AX81" s="42">
        <f>LEN(Sheet1!AE80)</f>
        <v>5</v>
      </c>
      <c r="AY81" s="40" t="str">
        <f>UPPER(Sheet1!AE80)</f>
        <v>MEERA</v>
      </c>
      <c r="AZ81" s="40" t="str">
        <f>LOWER(Sheet1!AE80)</f>
        <v>meera</v>
      </c>
      <c r="BA81" s="40" t="str">
        <f>PROPER(Sheet1!AE80)</f>
        <v>Meera</v>
      </c>
      <c r="BB81" s="40" t="str">
        <f>_xlfn.CONCAT(Sheet1!AE80," ",Sheet1!AF80)</f>
        <v>Meera Sharma</v>
      </c>
      <c r="BL81" s="40" t="str">
        <v>Laptop</v>
      </c>
    </row>
    <row r="82" spans="40:64">
      <c r="AN82" s="49">
        <f>Sheet1!B81</f>
        <v>45444</v>
      </c>
      <c r="AO82" s="50">
        <f t="shared" si="8"/>
        <v>10</v>
      </c>
      <c r="AP82" s="50">
        <f t="shared" si="9"/>
        <v>6</v>
      </c>
      <c r="AQ82" s="50">
        <f t="shared" si="10"/>
        <v>2024</v>
      </c>
      <c r="AR82" s="50" t="str">
        <f t="shared" si="11"/>
        <v>Jun-2024</v>
      </c>
      <c r="AS82" s="52">
        <f t="shared" si="12"/>
        <v>45453</v>
      </c>
      <c r="AT82" s="44">
        <f t="shared" ca="1" si="13"/>
        <v>825</v>
      </c>
      <c r="AU82" s="40" t="str">
        <f>LEFT(Sheet1!AE81,3)</f>
        <v>Roh</v>
      </c>
      <c r="AV82" s="40" t="str">
        <f>RIGHT(Sheet1!AF81,2)</f>
        <v>ra</v>
      </c>
      <c r="AW82" s="40" t="str">
        <f>MID(Sheet1!AE81,2,3)</f>
        <v>oha</v>
      </c>
      <c r="AX82" s="42">
        <f>LEN(Sheet1!AE81)</f>
        <v>5</v>
      </c>
      <c r="AY82" s="40" t="str">
        <f>UPPER(Sheet1!AE81)</f>
        <v>ROHAN</v>
      </c>
      <c r="AZ82" s="40" t="str">
        <f>LOWER(Sheet1!AE81)</f>
        <v>rohan</v>
      </c>
      <c r="BA82" s="40" t="str">
        <f>PROPER(Sheet1!AE81)</f>
        <v>Rohan</v>
      </c>
      <c r="BB82" s="40" t="str">
        <f>_xlfn.CONCAT(Sheet1!AE81," ",Sheet1!AF81)</f>
        <v>Rohan Malhotra</v>
      </c>
      <c r="BL82" s="40" t="str">
        <v>Laptop</v>
      </c>
    </row>
    <row r="83" spans="40:64">
      <c r="AN83" s="49">
        <f>Sheet1!B82</f>
        <v>45444</v>
      </c>
      <c r="AO83" s="50">
        <f t="shared" si="8"/>
        <v>10</v>
      </c>
      <c r="AP83" s="50">
        <f t="shared" si="9"/>
        <v>6</v>
      </c>
      <c r="AQ83" s="50">
        <f t="shared" si="10"/>
        <v>2024</v>
      </c>
      <c r="AR83" s="50" t="str">
        <f t="shared" si="11"/>
        <v>Jun-2024</v>
      </c>
      <c r="AS83" s="52">
        <f t="shared" si="12"/>
        <v>45453</v>
      </c>
      <c r="AT83" s="44">
        <f t="shared" ca="1" si="13"/>
        <v>825</v>
      </c>
      <c r="AU83" s="40" t="str">
        <f>LEFT(Sheet1!AE82,3)</f>
        <v>Ana</v>
      </c>
      <c r="AV83" s="40" t="str">
        <f>RIGHT(Sheet1!AF82,2)</f>
        <v>gh</v>
      </c>
      <c r="AW83" s="40" t="str">
        <f>MID(Sheet1!AE82,2,3)</f>
        <v>nan</v>
      </c>
      <c r="AX83" s="42">
        <f>LEN(Sheet1!AE82)</f>
        <v>6</v>
      </c>
      <c r="AY83" s="40" t="str">
        <f>UPPER(Sheet1!AE82)</f>
        <v>ANANYA</v>
      </c>
      <c r="AZ83" s="40" t="str">
        <f>LOWER(Sheet1!AE82)</f>
        <v>ananya</v>
      </c>
      <c r="BA83" s="40" t="str">
        <f>PROPER(Sheet1!AE82)</f>
        <v>Ananya</v>
      </c>
      <c r="BB83" s="40" t="str">
        <f>_xlfn.CONCAT(Sheet1!AE82," ",Sheet1!AF82)</f>
        <v>Ananya Singh</v>
      </c>
      <c r="BL83" s="40" t="str">
        <v>Tablet</v>
      </c>
    </row>
    <row r="84" spans="40:64">
      <c r="AN84" s="49">
        <f>Sheet1!B83</f>
        <v>45445</v>
      </c>
      <c r="AO84" s="50">
        <f t="shared" si="8"/>
        <v>12</v>
      </c>
      <c r="AP84" s="50">
        <f t="shared" si="9"/>
        <v>6</v>
      </c>
      <c r="AQ84" s="50">
        <f t="shared" si="10"/>
        <v>2024</v>
      </c>
      <c r="AR84" s="50" t="str">
        <f t="shared" si="11"/>
        <v>Jun-2024</v>
      </c>
      <c r="AS84" s="52">
        <f t="shared" si="12"/>
        <v>45455</v>
      </c>
      <c r="AT84" s="44">
        <f t="shared" ca="1" si="13"/>
        <v>823</v>
      </c>
      <c r="AU84" s="40" t="str">
        <f>LEFT(Sheet1!AE83,3)</f>
        <v>Viv</v>
      </c>
      <c r="AV84" s="40" t="str">
        <f>RIGHT(Sheet1!AF83,2)</f>
        <v>ra</v>
      </c>
      <c r="AW84" s="40" t="str">
        <f>MID(Sheet1!AE83,2,3)</f>
        <v>iva</v>
      </c>
      <c r="AX84" s="42">
        <f>LEN(Sheet1!AE83)</f>
        <v>6</v>
      </c>
      <c r="AY84" s="40" t="str">
        <f>UPPER(Sheet1!AE83)</f>
        <v>VIVAAN</v>
      </c>
      <c r="AZ84" s="40" t="str">
        <f>LOWER(Sheet1!AE83)</f>
        <v>vivaan</v>
      </c>
      <c r="BA84" s="40" t="str">
        <f>PROPER(Sheet1!AE83)</f>
        <v>Vivaan</v>
      </c>
      <c r="BB84" s="40" t="str">
        <f>_xlfn.CONCAT(Sheet1!AE83," ",Sheet1!AF83)</f>
        <v>Vivaan Chopra</v>
      </c>
      <c r="BL84" s="40" t="str">
        <v>Smartphone</v>
      </c>
    </row>
    <row r="85" spans="40:64">
      <c r="AN85" s="49">
        <f>Sheet1!B84</f>
        <v>45446</v>
      </c>
      <c r="AO85" s="50">
        <f t="shared" si="8"/>
        <v>1</v>
      </c>
      <c r="AP85" s="50">
        <f t="shared" si="9"/>
        <v>6</v>
      </c>
      <c r="AQ85" s="50">
        <f t="shared" si="10"/>
        <v>2024</v>
      </c>
      <c r="AR85" s="50" t="str">
        <f t="shared" si="11"/>
        <v>Jun-2024</v>
      </c>
      <c r="AS85" s="52">
        <f t="shared" si="12"/>
        <v>45444</v>
      </c>
      <c r="AT85" s="44">
        <f t="shared" ca="1" si="13"/>
        <v>834</v>
      </c>
      <c r="AU85" s="40" t="str">
        <f>LEFT(Sheet1!AE84,3)</f>
        <v>Poo</v>
      </c>
      <c r="AV85" s="40" t="str">
        <f>RIGHT(Sheet1!AF84,2)</f>
        <v>or</v>
      </c>
      <c r="AW85" s="40" t="str">
        <f>MID(Sheet1!AE84,2,3)</f>
        <v>ooj</v>
      </c>
      <c r="AX85" s="42">
        <f>LEN(Sheet1!AE84)</f>
        <v>5</v>
      </c>
      <c r="AY85" s="40" t="str">
        <f>UPPER(Sheet1!AE84)</f>
        <v>POOJA</v>
      </c>
      <c r="AZ85" s="40" t="str">
        <f>LOWER(Sheet1!AE84)</f>
        <v>pooja</v>
      </c>
      <c r="BA85" s="40" t="str">
        <f>PROPER(Sheet1!AE84)</f>
        <v>Pooja</v>
      </c>
      <c r="BB85" s="40" t="str">
        <f>_xlfn.CONCAT(Sheet1!AE84," ",Sheet1!AF84)</f>
        <v>Pooja Kapoor</v>
      </c>
      <c r="BL85" s="40" t="str">
        <v>Smartphone</v>
      </c>
    </row>
    <row r="86" spans="40:64">
      <c r="AN86" s="49">
        <f>Sheet1!B85</f>
        <v>45446</v>
      </c>
      <c r="AO86" s="50">
        <f t="shared" si="8"/>
        <v>1</v>
      </c>
      <c r="AP86" s="50">
        <f t="shared" si="9"/>
        <v>6</v>
      </c>
      <c r="AQ86" s="50">
        <f t="shared" si="10"/>
        <v>2024</v>
      </c>
      <c r="AR86" s="50" t="str">
        <f t="shared" si="11"/>
        <v>Jun-2024</v>
      </c>
      <c r="AS86" s="52">
        <f t="shared" si="12"/>
        <v>45444</v>
      </c>
      <c r="AT86" s="44">
        <f t="shared" ca="1" si="13"/>
        <v>834</v>
      </c>
      <c r="AU86" s="40" t="str">
        <f>LEFT(Sheet1!AE85,3)</f>
        <v>Adi</v>
      </c>
      <c r="AV86" s="40" t="str">
        <f>RIGHT(Sheet1!AF85,2)</f>
        <v>ra</v>
      </c>
      <c r="AW86" s="40" t="str">
        <f>MID(Sheet1!AE85,2,3)</f>
        <v>dit</v>
      </c>
      <c r="AX86" s="42">
        <f>LEN(Sheet1!AE85)</f>
        <v>6</v>
      </c>
      <c r="AY86" s="40" t="str">
        <f>UPPER(Sheet1!AE85)</f>
        <v>ADITYA</v>
      </c>
      <c r="AZ86" s="40" t="str">
        <f>LOWER(Sheet1!AE85)</f>
        <v>aditya</v>
      </c>
      <c r="BA86" s="40" t="str">
        <f>PROPER(Sheet1!AE85)</f>
        <v>Aditya</v>
      </c>
      <c r="BB86" s="40" t="str">
        <f>_xlfn.CONCAT(Sheet1!AE85," ",Sheet1!AF85)</f>
        <v>Aditya Malhotra</v>
      </c>
      <c r="BL86" s="40" t="str">
        <v>Smartphone</v>
      </c>
    </row>
    <row r="87" spans="40:64">
      <c r="AN87" s="49">
        <f>Sheet1!B86</f>
        <v>45447</v>
      </c>
      <c r="AO87" s="50">
        <f t="shared" si="8"/>
        <v>3</v>
      </c>
      <c r="AP87" s="50">
        <f t="shared" si="9"/>
        <v>6</v>
      </c>
      <c r="AQ87" s="50">
        <f t="shared" si="10"/>
        <v>2024</v>
      </c>
      <c r="AR87" s="50" t="str">
        <f t="shared" si="11"/>
        <v>Jun-2024</v>
      </c>
      <c r="AS87" s="52">
        <f t="shared" si="12"/>
        <v>45446</v>
      </c>
      <c r="AT87" s="44">
        <f t="shared" ca="1" si="13"/>
        <v>832</v>
      </c>
      <c r="AU87" s="40" t="str">
        <f>LEFT(Sheet1!AE86,3)</f>
        <v>Riy</v>
      </c>
      <c r="AV87" s="40" t="str">
        <f>RIGHT(Sheet1!AF86,2)</f>
        <v>ra</v>
      </c>
      <c r="AW87" s="40" t="str">
        <f>MID(Sheet1!AE86,2,3)</f>
        <v>iya</v>
      </c>
      <c r="AX87" s="42">
        <f>LEN(Sheet1!AE86)</f>
        <v>4</v>
      </c>
      <c r="AY87" s="40" t="str">
        <f>UPPER(Sheet1!AE86)</f>
        <v>RIYA</v>
      </c>
      <c r="AZ87" s="40" t="str">
        <f>LOWER(Sheet1!AE86)</f>
        <v>riya</v>
      </c>
      <c r="BA87" s="40" t="str">
        <f>PROPER(Sheet1!AE86)</f>
        <v>Riya</v>
      </c>
      <c r="BB87" s="40" t="str">
        <f>_xlfn.CONCAT(Sheet1!AE86," ",Sheet1!AF86)</f>
        <v>Riya Chopra</v>
      </c>
      <c r="BL87" s="40" t="str">
        <v>Smartphone</v>
      </c>
    </row>
    <row r="88" spans="40:64">
      <c r="AN88" s="49">
        <f>Sheet1!B87</f>
        <v>45447</v>
      </c>
      <c r="AO88" s="50">
        <f t="shared" si="8"/>
        <v>4</v>
      </c>
      <c r="AP88" s="50">
        <f t="shared" si="9"/>
        <v>6</v>
      </c>
      <c r="AQ88" s="50">
        <f t="shared" si="10"/>
        <v>2024</v>
      </c>
      <c r="AR88" s="50" t="str">
        <f t="shared" si="11"/>
        <v>Jun-2024</v>
      </c>
      <c r="AS88" s="52">
        <f t="shared" si="12"/>
        <v>45447</v>
      </c>
      <c r="AT88" s="44">
        <f t="shared" ca="1" si="13"/>
        <v>831</v>
      </c>
      <c r="AU88" s="40" t="str">
        <f>LEFT(Sheet1!AE87,3)</f>
        <v>Riy</v>
      </c>
      <c r="AV88" s="40" t="str">
        <f>RIGHT(Sheet1!AF87,2)</f>
        <v>ra</v>
      </c>
      <c r="AW88" s="40" t="str">
        <f>MID(Sheet1!AE87,2,3)</f>
        <v>iya</v>
      </c>
      <c r="AX88" s="42">
        <f>LEN(Sheet1!AE87)</f>
        <v>4</v>
      </c>
      <c r="AY88" s="40" t="str">
        <f>UPPER(Sheet1!AE87)</f>
        <v>RIYA</v>
      </c>
      <c r="AZ88" s="40" t="str">
        <f>LOWER(Sheet1!AE87)</f>
        <v>riya</v>
      </c>
      <c r="BA88" s="40" t="str">
        <f>PROPER(Sheet1!AE87)</f>
        <v>Riya</v>
      </c>
      <c r="BB88" s="40" t="str">
        <f>_xlfn.CONCAT(Sheet1!AE87," ",Sheet1!AF87)</f>
        <v>Riya Malhotra</v>
      </c>
      <c r="BL88" s="40" t="str">
        <v>Monitor</v>
      </c>
    </row>
    <row r="89" spans="40:64">
      <c r="AN89" s="49">
        <f>Sheet1!B88</f>
        <v>45448</v>
      </c>
      <c r="AO89" s="50">
        <f t="shared" si="8"/>
        <v>4</v>
      </c>
      <c r="AP89" s="50">
        <f t="shared" si="9"/>
        <v>6</v>
      </c>
      <c r="AQ89" s="50">
        <f t="shared" si="10"/>
        <v>2024</v>
      </c>
      <c r="AR89" s="50" t="str">
        <f t="shared" si="11"/>
        <v>Jun-2024</v>
      </c>
      <c r="AS89" s="52">
        <f t="shared" si="12"/>
        <v>45447</v>
      </c>
      <c r="AT89" s="44">
        <f t="shared" ca="1" si="13"/>
        <v>831</v>
      </c>
      <c r="AU89" s="40" t="str">
        <f>LEFT(Sheet1!AE88,3)</f>
        <v>Kar</v>
      </c>
      <c r="AV89" s="40" t="str">
        <f>RIGHT(Sheet1!AF88,2)</f>
        <v>ra</v>
      </c>
      <c r="AW89" s="40" t="str">
        <f>MID(Sheet1!AE88,2,3)</f>
        <v>ara</v>
      </c>
      <c r="AX89" s="42">
        <f>LEN(Sheet1!AE88)</f>
        <v>5</v>
      </c>
      <c r="AY89" s="40" t="str">
        <f>UPPER(Sheet1!AE88)</f>
        <v>KARAN</v>
      </c>
      <c r="AZ89" s="40" t="str">
        <f>LOWER(Sheet1!AE88)</f>
        <v>karan</v>
      </c>
      <c r="BA89" s="40" t="str">
        <f>PROPER(Sheet1!AE88)</f>
        <v>Karan</v>
      </c>
      <c r="BB89" s="40" t="str">
        <f>_xlfn.CONCAT(Sheet1!AE88," ",Sheet1!AF88)</f>
        <v>Karan Chopra</v>
      </c>
      <c r="BL89" s="40" t="str">
        <v>Tablet</v>
      </c>
    </row>
    <row r="90" spans="40:64">
      <c r="AN90" s="49">
        <f>Sheet1!B89</f>
        <v>45449</v>
      </c>
      <c r="AO90" s="50">
        <f t="shared" si="8"/>
        <v>5</v>
      </c>
      <c r="AP90" s="50">
        <f t="shared" si="9"/>
        <v>6</v>
      </c>
      <c r="AQ90" s="50">
        <f t="shared" si="10"/>
        <v>2024</v>
      </c>
      <c r="AR90" s="50" t="str">
        <f t="shared" si="11"/>
        <v>Jun-2024</v>
      </c>
      <c r="AS90" s="52">
        <f t="shared" si="12"/>
        <v>45448</v>
      </c>
      <c r="AT90" s="44">
        <f t="shared" ca="1" si="13"/>
        <v>830</v>
      </c>
      <c r="AU90" s="40" t="str">
        <f>LEFT(Sheet1!AE89,3)</f>
        <v>Neh</v>
      </c>
      <c r="AV90" s="40" t="str">
        <f>RIGHT(Sheet1!AF89,2)</f>
        <v>ra</v>
      </c>
      <c r="AW90" s="40" t="str">
        <f>MID(Sheet1!AE89,2,3)</f>
        <v>eha</v>
      </c>
      <c r="AX90" s="42">
        <f>LEN(Sheet1!AE89)</f>
        <v>4</v>
      </c>
      <c r="AY90" s="40" t="str">
        <f>UPPER(Sheet1!AE89)</f>
        <v>NEHA</v>
      </c>
      <c r="AZ90" s="40" t="str">
        <f>LOWER(Sheet1!AE89)</f>
        <v>neha</v>
      </c>
      <c r="BA90" s="40" t="str">
        <f>PROPER(Sheet1!AE89)</f>
        <v>Neha</v>
      </c>
      <c r="BB90" s="40" t="str">
        <f>_xlfn.CONCAT(Sheet1!AE89," ",Sheet1!AF89)</f>
        <v>Neha Chopra</v>
      </c>
      <c r="BL90" s="40" t="str">
        <v>Laptop</v>
      </c>
    </row>
    <row r="91" spans="40:64">
      <c r="AN91" s="49">
        <f>Sheet1!B90</f>
        <v>45449</v>
      </c>
      <c r="AO91" s="50">
        <f t="shared" si="8"/>
        <v>5</v>
      </c>
      <c r="AP91" s="50">
        <f t="shared" si="9"/>
        <v>6</v>
      </c>
      <c r="AQ91" s="50">
        <f t="shared" si="10"/>
        <v>2024</v>
      </c>
      <c r="AR91" s="50" t="str">
        <f t="shared" si="11"/>
        <v>Jun-2024</v>
      </c>
      <c r="AS91" s="52">
        <f t="shared" si="12"/>
        <v>45448</v>
      </c>
      <c r="AT91" s="44">
        <f t="shared" ca="1" si="13"/>
        <v>830</v>
      </c>
      <c r="AU91" s="40" t="str">
        <f>LEFT(Sheet1!AE90,3)</f>
        <v>Roh</v>
      </c>
      <c r="AV91" s="40" t="str">
        <f>RIGHT(Sheet1!AF90,2)</f>
        <v>al</v>
      </c>
      <c r="AW91" s="40" t="str">
        <f>MID(Sheet1!AE90,2,3)</f>
        <v>oha</v>
      </c>
      <c r="AX91" s="42">
        <f>LEN(Sheet1!AE90)</f>
        <v>5</v>
      </c>
      <c r="AY91" s="40" t="str">
        <f>UPPER(Sheet1!AE90)</f>
        <v>ROHAN</v>
      </c>
      <c r="AZ91" s="40" t="str">
        <f>LOWER(Sheet1!AE90)</f>
        <v>rohan</v>
      </c>
      <c r="BA91" s="40" t="str">
        <f>PROPER(Sheet1!AE90)</f>
        <v>Rohan</v>
      </c>
      <c r="BB91" s="40" t="str">
        <f>_xlfn.CONCAT(Sheet1!AE90," ",Sheet1!AF90)</f>
        <v>Rohan Agarwal</v>
      </c>
      <c r="BL91" s="40" t="str">
        <v>Monitor</v>
      </c>
    </row>
    <row r="92" spans="40:64">
      <c r="AN92" s="49">
        <f>Sheet1!B91</f>
        <v>45449</v>
      </c>
      <c r="AO92" s="50">
        <f t="shared" si="8"/>
        <v>5</v>
      </c>
      <c r="AP92" s="50">
        <f t="shared" si="9"/>
        <v>6</v>
      </c>
      <c r="AQ92" s="50">
        <f t="shared" si="10"/>
        <v>2024</v>
      </c>
      <c r="AR92" s="50" t="str">
        <f t="shared" si="11"/>
        <v>Jun-2024</v>
      </c>
      <c r="AS92" s="52">
        <f t="shared" si="12"/>
        <v>45448</v>
      </c>
      <c r="AT92" s="44">
        <f t="shared" ca="1" si="13"/>
        <v>830</v>
      </c>
      <c r="AU92" s="40" t="str">
        <f>LEFT(Sheet1!AE91,3)</f>
        <v>Kav</v>
      </c>
      <c r="AV92" s="40" t="str">
        <f>RIGHT(Sheet1!AF91,2)</f>
        <v>av</v>
      </c>
      <c r="AW92" s="40" t="str">
        <f>MID(Sheet1!AE91,2,3)</f>
        <v>avy</v>
      </c>
      <c r="AX92" s="42">
        <f>LEN(Sheet1!AE91)</f>
        <v>5</v>
      </c>
      <c r="AY92" s="40" t="str">
        <f>UPPER(Sheet1!AE91)</f>
        <v>KAVYA</v>
      </c>
      <c r="AZ92" s="40" t="str">
        <f>LOWER(Sheet1!AE91)</f>
        <v>kavya</v>
      </c>
      <c r="BA92" s="40" t="str">
        <f>PROPER(Sheet1!AE91)</f>
        <v>Kavya</v>
      </c>
      <c r="BB92" s="40" t="str">
        <f>_xlfn.CONCAT(Sheet1!AE91," ",Sheet1!AF91)</f>
        <v>Kavya Yadav</v>
      </c>
      <c r="BL92" s="40" t="str">
        <v>Tablet</v>
      </c>
    </row>
    <row r="93" spans="40:64">
      <c r="AN93" s="49">
        <f>Sheet1!B92</f>
        <v>45450</v>
      </c>
      <c r="AO93" s="50">
        <f t="shared" si="8"/>
        <v>6</v>
      </c>
      <c r="AP93" s="50">
        <f t="shared" si="9"/>
        <v>6</v>
      </c>
      <c r="AQ93" s="50">
        <f t="shared" si="10"/>
        <v>2024</v>
      </c>
      <c r="AR93" s="50" t="str">
        <f t="shared" si="11"/>
        <v>Jun-2024</v>
      </c>
      <c r="AS93" s="52">
        <f t="shared" si="12"/>
        <v>45449</v>
      </c>
      <c r="AT93" s="44">
        <f t="shared" ca="1" si="13"/>
        <v>829</v>
      </c>
      <c r="AU93" s="40" t="str">
        <f>LEFT(Sheet1!AE92,3)</f>
        <v>Riy</v>
      </c>
      <c r="AV93" s="40" t="str">
        <f>RIGHT(Sheet1!AF92,2)</f>
        <v>al</v>
      </c>
      <c r="AW93" s="40" t="str">
        <f>MID(Sheet1!AE92,2,3)</f>
        <v>iya</v>
      </c>
      <c r="AX93" s="42">
        <f>LEN(Sheet1!AE92)</f>
        <v>4</v>
      </c>
      <c r="AY93" s="40" t="str">
        <f>UPPER(Sheet1!AE92)</f>
        <v>RIYA</v>
      </c>
      <c r="AZ93" s="40" t="str">
        <f>LOWER(Sheet1!AE92)</f>
        <v>riya</v>
      </c>
      <c r="BA93" s="40" t="str">
        <f>PROPER(Sheet1!AE92)</f>
        <v>Riya</v>
      </c>
      <c r="BB93" s="40" t="str">
        <f>_xlfn.CONCAT(Sheet1!AE92," ",Sheet1!AF92)</f>
        <v>Riya Agarwal</v>
      </c>
      <c r="BL93" s="40" t="str">
        <v>Smartphone</v>
      </c>
    </row>
    <row r="94" spans="40:64">
      <c r="AN94" s="49">
        <f>Sheet1!B93</f>
        <v>45454</v>
      </c>
      <c r="AO94" s="50">
        <f t="shared" si="8"/>
        <v>6</v>
      </c>
      <c r="AP94" s="50">
        <f t="shared" si="9"/>
        <v>6</v>
      </c>
      <c r="AQ94" s="50">
        <f t="shared" si="10"/>
        <v>2024</v>
      </c>
      <c r="AR94" s="50" t="str">
        <f t="shared" si="11"/>
        <v>Jun-2024</v>
      </c>
      <c r="AS94" s="52">
        <f t="shared" si="12"/>
        <v>45449</v>
      </c>
      <c r="AT94" s="44">
        <f t="shared" ca="1" si="13"/>
        <v>829</v>
      </c>
      <c r="AU94" s="40" t="str">
        <f>LEFT(Sheet1!AE93,3)</f>
        <v>Nis</v>
      </c>
      <c r="AV94" s="40" t="str">
        <f>RIGHT(Sheet1!AF93,2)</f>
        <v>al</v>
      </c>
      <c r="AW94" s="40" t="str">
        <f>MID(Sheet1!AE93,2,3)</f>
        <v>ish</v>
      </c>
      <c r="AX94" s="42">
        <f>LEN(Sheet1!AE93)</f>
        <v>5</v>
      </c>
      <c r="AY94" s="40" t="str">
        <f>UPPER(Sheet1!AE93)</f>
        <v>NISHA</v>
      </c>
      <c r="AZ94" s="40" t="str">
        <f>LOWER(Sheet1!AE93)</f>
        <v>nisha</v>
      </c>
      <c r="BA94" s="40" t="str">
        <f>PROPER(Sheet1!AE93)</f>
        <v>Nisha</v>
      </c>
      <c r="BB94" s="40" t="str">
        <f>_xlfn.CONCAT(Sheet1!AE93," ",Sheet1!AF93)</f>
        <v>Nisha Agarwal</v>
      </c>
      <c r="BL94" s="40" t="str">
        <v>Monitor</v>
      </c>
    </row>
    <row r="95" spans="40:64">
      <c r="AN95" s="49">
        <f>Sheet1!B94</f>
        <v>45454</v>
      </c>
      <c r="AO95" s="50">
        <f t="shared" si="8"/>
        <v>8</v>
      </c>
      <c r="AP95" s="50">
        <f t="shared" si="9"/>
        <v>6</v>
      </c>
      <c r="AQ95" s="50">
        <f t="shared" si="10"/>
        <v>2024</v>
      </c>
      <c r="AR95" s="50" t="str">
        <f t="shared" si="11"/>
        <v>Jun-2024</v>
      </c>
      <c r="AS95" s="52">
        <f t="shared" si="12"/>
        <v>45451</v>
      </c>
      <c r="AT95" s="44">
        <f t="shared" ca="1" si="13"/>
        <v>827</v>
      </c>
      <c r="AU95" s="40" t="str">
        <f>LEFT(Sheet1!AE94,3)</f>
        <v>Roh</v>
      </c>
      <c r="AV95" s="40" t="str">
        <f>RIGHT(Sheet1!AF94,2)</f>
        <v>al</v>
      </c>
      <c r="AW95" s="40" t="str">
        <f>MID(Sheet1!AE94,2,3)</f>
        <v>oha</v>
      </c>
      <c r="AX95" s="42">
        <f>LEN(Sheet1!AE94)</f>
        <v>5</v>
      </c>
      <c r="AY95" s="40" t="str">
        <f>UPPER(Sheet1!AE94)</f>
        <v>ROHAN</v>
      </c>
      <c r="AZ95" s="40" t="str">
        <f>LOWER(Sheet1!AE94)</f>
        <v>rohan</v>
      </c>
      <c r="BA95" s="40" t="str">
        <f>PROPER(Sheet1!AE94)</f>
        <v>Rohan</v>
      </c>
      <c r="BB95" s="40" t="str">
        <f>_xlfn.CONCAT(Sheet1!AE94," ",Sheet1!AF94)</f>
        <v>Rohan Agarwal</v>
      </c>
      <c r="BL95" s="40" t="str">
        <v>Tablet</v>
      </c>
    </row>
    <row r="96" spans="40:64">
      <c r="AN96" s="49">
        <f>Sheet1!B95</f>
        <v>45454</v>
      </c>
      <c r="AO96" s="50">
        <f t="shared" si="8"/>
        <v>8</v>
      </c>
      <c r="AP96" s="50">
        <f t="shared" si="9"/>
        <v>6</v>
      </c>
      <c r="AQ96" s="50">
        <f t="shared" si="10"/>
        <v>2024</v>
      </c>
      <c r="AR96" s="50" t="str">
        <f t="shared" si="11"/>
        <v>Jun-2024</v>
      </c>
      <c r="AS96" s="52">
        <f t="shared" si="12"/>
        <v>45451</v>
      </c>
      <c r="AT96" s="44">
        <f t="shared" ca="1" si="13"/>
        <v>827</v>
      </c>
      <c r="AU96" s="40" t="str">
        <f>LEFT(Sheet1!AE95,3)</f>
        <v>Sim</v>
      </c>
      <c r="AV96" s="40" t="str">
        <f>RIGHT(Sheet1!AF95,2)</f>
        <v>av</v>
      </c>
      <c r="AW96" s="40" t="str">
        <f>MID(Sheet1!AE95,2,3)</f>
        <v>imr</v>
      </c>
      <c r="AX96" s="42">
        <f>LEN(Sheet1!AE95)</f>
        <v>6</v>
      </c>
      <c r="AY96" s="40" t="str">
        <f>UPPER(Sheet1!AE95)</f>
        <v>SIMRAN</v>
      </c>
      <c r="AZ96" s="40" t="str">
        <f>LOWER(Sheet1!AE95)</f>
        <v>simran</v>
      </c>
      <c r="BA96" s="40" t="str">
        <f>PROPER(Sheet1!AE95)</f>
        <v>Simran</v>
      </c>
      <c r="BB96" s="40" t="str">
        <f>_xlfn.CONCAT(Sheet1!AE95," ",Sheet1!AF95)</f>
        <v>Simran Yadav</v>
      </c>
      <c r="BL96" s="40" t="str">
        <v>Smartphone</v>
      </c>
    </row>
    <row r="97" spans="40:64">
      <c r="AN97" s="49">
        <f>Sheet1!B96</f>
        <v>45455</v>
      </c>
      <c r="AO97" s="50">
        <f t="shared" si="8"/>
        <v>9</v>
      </c>
      <c r="AP97" s="50">
        <f t="shared" si="9"/>
        <v>6</v>
      </c>
      <c r="AQ97" s="50">
        <f t="shared" si="10"/>
        <v>2024</v>
      </c>
      <c r="AR97" s="50" t="str">
        <f t="shared" si="11"/>
        <v>Jun-2024</v>
      </c>
      <c r="AS97" s="52">
        <f t="shared" si="12"/>
        <v>45452</v>
      </c>
      <c r="AT97" s="44">
        <f t="shared" ca="1" si="13"/>
        <v>826</v>
      </c>
      <c r="AU97" s="40" t="str">
        <f>LEFT(Sheet1!AE96,3)</f>
        <v>Sim</v>
      </c>
      <c r="AV97" s="40" t="str">
        <f>RIGHT(Sheet1!AF96,2)</f>
        <v>ta</v>
      </c>
      <c r="AW97" s="40" t="str">
        <f>MID(Sheet1!AE96,2,3)</f>
        <v>imr</v>
      </c>
      <c r="AX97" s="42">
        <f>LEN(Sheet1!AE96)</f>
        <v>6</v>
      </c>
      <c r="AY97" s="40" t="str">
        <f>UPPER(Sheet1!AE96)</f>
        <v>SIMRAN</v>
      </c>
      <c r="AZ97" s="40" t="str">
        <f>LOWER(Sheet1!AE96)</f>
        <v>simran</v>
      </c>
      <c r="BA97" s="40" t="str">
        <f>PROPER(Sheet1!AE96)</f>
        <v>Simran</v>
      </c>
      <c r="BB97" s="40" t="str">
        <f>_xlfn.CONCAT(Sheet1!AE96," ",Sheet1!AF96)</f>
        <v>Simran Mehta</v>
      </c>
      <c r="BL97" s="40" t="str">
        <v>Monitor</v>
      </c>
    </row>
    <row r="98" spans="40:64">
      <c r="AN98" s="49">
        <f>Sheet1!B97</f>
        <v>45455</v>
      </c>
      <c r="AO98" s="50">
        <f t="shared" si="8"/>
        <v>9</v>
      </c>
      <c r="AP98" s="50">
        <f t="shared" si="9"/>
        <v>6</v>
      </c>
      <c r="AQ98" s="50">
        <f t="shared" si="10"/>
        <v>2024</v>
      </c>
      <c r="AR98" s="50" t="str">
        <f t="shared" si="11"/>
        <v>Jun-2024</v>
      </c>
      <c r="AS98" s="52">
        <f t="shared" si="12"/>
        <v>45452</v>
      </c>
      <c r="AT98" s="44">
        <f t="shared" ca="1" si="13"/>
        <v>826</v>
      </c>
      <c r="AU98" s="40" t="str">
        <f>LEFT(Sheet1!AE97,3)</f>
        <v>Neh</v>
      </c>
      <c r="AV98" s="40" t="str">
        <f>RIGHT(Sheet1!AF97,2)</f>
        <v>al</v>
      </c>
      <c r="AW98" s="40" t="str">
        <f>MID(Sheet1!AE97,2,3)</f>
        <v>eha</v>
      </c>
      <c r="AX98" s="42">
        <f>LEN(Sheet1!AE97)</f>
        <v>4</v>
      </c>
      <c r="AY98" s="40" t="str">
        <f>UPPER(Sheet1!AE97)</f>
        <v>NEHA</v>
      </c>
      <c r="AZ98" s="40" t="str">
        <f>LOWER(Sheet1!AE97)</f>
        <v>neha</v>
      </c>
      <c r="BA98" s="40" t="str">
        <f>PROPER(Sheet1!AE97)</f>
        <v>Neha</v>
      </c>
      <c r="BB98" s="40" t="str">
        <f>_xlfn.CONCAT(Sheet1!AE97," ",Sheet1!AF97)</f>
        <v>Neha Bansal</v>
      </c>
      <c r="BL98" s="40" t="str">
        <v>Monitor</v>
      </c>
    </row>
    <row r="99" spans="40:64">
      <c r="AN99" s="49">
        <f>Sheet1!B98</f>
        <v>45474</v>
      </c>
      <c r="AO99" s="50">
        <f t="shared" si="8"/>
        <v>10</v>
      </c>
      <c r="AP99" s="50">
        <f t="shared" si="9"/>
        <v>7</v>
      </c>
      <c r="AQ99" s="50">
        <f t="shared" si="10"/>
        <v>2024</v>
      </c>
      <c r="AR99" s="50" t="str">
        <f t="shared" si="11"/>
        <v>Jul-2024</v>
      </c>
      <c r="AS99" s="52">
        <f t="shared" si="12"/>
        <v>45483</v>
      </c>
      <c r="AT99" s="44">
        <f t="shared" ca="1" si="13"/>
        <v>795</v>
      </c>
      <c r="AU99" s="40" t="str">
        <f>LEFT(Sheet1!AE98,3)</f>
        <v>Neh</v>
      </c>
      <c r="AV99" s="40" t="str">
        <f>RIGHT(Sheet1!AF98,2)</f>
        <v>ta</v>
      </c>
      <c r="AW99" s="40" t="str">
        <f>MID(Sheet1!AE98,2,3)</f>
        <v>eha</v>
      </c>
      <c r="AX99" s="42">
        <f>LEN(Sheet1!AE98)</f>
        <v>4</v>
      </c>
      <c r="AY99" s="40" t="str">
        <f>UPPER(Sheet1!AE98)</f>
        <v>NEHA</v>
      </c>
      <c r="AZ99" s="40" t="str">
        <f>LOWER(Sheet1!AE98)</f>
        <v>neha</v>
      </c>
      <c r="BA99" s="40" t="str">
        <f>PROPER(Sheet1!AE98)</f>
        <v>Neha</v>
      </c>
      <c r="BB99" s="40" t="str">
        <f>_xlfn.CONCAT(Sheet1!AE98," ",Sheet1!AF98)</f>
        <v>Neha Mehta</v>
      </c>
      <c r="BL99" s="40" t="str">
        <v>Smartphone</v>
      </c>
    </row>
    <row r="100" spans="40:64">
      <c r="AN100" s="49">
        <f>Sheet1!B99</f>
        <v>45474</v>
      </c>
      <c r="AO100" s="50">
        <f t="shared" si="8"/>
        <v>11</v>
      </c>
      <c r="AP100" s="50">
        <f t="shared" si="9"/>
        <v>7</v>
      </c>
      <c r="AQ100" s="50">
        <f t="shared" si="10"/>
        <v>2024</v>
      </c>
      <c r="AR100" s="50" t="str">
        <f t="shared" si="11"/>
        <v>Jul-2024</v>
      </c>
      <c r="AS100" s="52">
        <f t="shared" si="12"/>
        <v>45484</v>
      </c>
      <c r="AT100" s="44">
        <f t="shared" ca="1" si="13"/>
        <v>794</v>
      </c>
      <c r="AU100" s="40" t="str">
        <f>LEFT(Sheet1!AE99,3)</f>
        <v>Roh</v>
      </c>
      <c r="AV100" s="40" t="str">
        <f>RIGHT(Sheet1!AF99,2)</f>
        <v>na</v>
      </c>
      <c r="AW100" s="40" t="str">
        <f>MID(Sheet1!AE99,2,3)</f>
        <v>oha</v>
      </c>
      <c r="AX100" s="42">
        <f>LEN(Sheet1!AE99)</f>
        <v>5</v>
      </c>
      <c r="AY100" s="40" t="str">
        <f>UPPER(Sheet1!AE99)</f>
        <v>ROHAN</v>
      </c>
      <c r="AZ100" s="40" t="str">
        <f>LOWER(Sheet1!AE99)</f>
        <v>rohan</v>
      </c>
      <c r="BA100" s="40" t="str">
        <f>PROPER(Sheet1!AE99)</f>
        <v>Rohan</v>
      </c>
      <c r="BB100" s="40" t="str">
        <f>_xlfn.CONCAT(Sheet1!AE99," ",Sheet1!AF99)</f>
        <v>Rohan Saxena</v>
      </c>
      <c r="BL100" s="40" t="str">
        <v>Smartphone</v>
      </c>
    </row>
    <row r="101" spans="40:64">
      <c r="AN101" s="49">
        <f>Sheet1!B100</f>
        <v>45478</v>
      </c>
      <c r="AO101" s="50">
        <f t="shared" si="8"/>
        <v>11</v>
      </c>
      <c r="AP101" s="50">
        <f t="shared" si="9"/>
        <v>7</v>
      </c>
      <c r="AQ101" s="50">
        <f t="shared" si="10"/>
        <v>2024</v>
      </c>
      <c r="AR101" s="50" t="str">
        <f t="shared" si="11"/>
        <v>Jul-2024</v>
      </c>
      <c r="AS101" s="52">
        <f t="shared" si="12"/>
        <v>45484</v>
      </c>
      <c r="AT101" s="44">
        <f t="shared" ca="1" si="13"/>
        <v>794</v>
      </c>
      <c r="AU101" s="40" t="str">
        <f>LEFT(Sheet1!AE100,3)</f>
        <v>Neh</v>
      </c>
      <c r="AV101" s="40" t="str">
        <f>RIGHT(Sheet1!AF100,2)</f>
        <v>na</v>
      </c>
      <c r="AW101" s="40" t="str">
        <f>MID(Sheet1!AE100,2,3)</f>
        <v>eha</v>
      </c>
      <c r="AX101" s="42">
        <f>LEN(Sheet1!AE100)</f>
        <v>4</v>
      </c>
      <c r="AY101" s="40" t="str">
        <f>UPPER(Sheet1!AE100)</f>
        <v>NEHA</v>
      </c>
      <c r="AZ101" s="40" t="str">
        <f>LOWER(Sheet1!AE100)</f>
        <v>neha</v>
      </c>
      <c r="BA101" s="40" t="str">
        <f>PROPER(Sheet1!AE100)</f>
        <v>Neha</v>
      </c>
      <c r="BB101" s="40" t="str">
        <f>_xlfn.CONCAT(Sheet1!AE100," ",Sheet1!AF100)</f>
        <v>Neha Saxena</v>
      </c>
      <c r="BL101" s="40" t="str">
        <v>Monitor</v>
      </c>
    </row>
    <row r="102" spans="40:64">
      <c r="AN102" s="49">
        <f>Sheet1!B101</f>
        <v>45478</v>
      </c>
      <c r="AO102" s="50">
        <f t="shared" si="8"/>
        <v>11</v>
      </c>
      <c r="AP102" s="50">
        <f t="shared" si="9"/>
        <v>7</v>
      </c>
      <c r="AQ102" s="50">
        <f t="shared" si="10"/>
        <v>2024</v>
      </c>
      <c r="AR102" s="50" t="str">
        <f t="shared" si="11"/>
        <v>Jul-2024</v>
      </c>
      <c r="AS102" s="52">
        <f t="shared" si="12"/>
        <v>45484</v>
      </c>
      <c r="AT102" s="44">
        <f t="shared" ca="1" si="13"/>
        <v>794</v>
      </c>
      <c r="AU102" s="40" t="str">
        <f>LEFT(Sheet1!AE101,3)</f>
        <v>Kar</v>
      </c>
      <c r="AV102" s="40" t="str">
        <f>RIGHT(Sheet1!AF101,2)</f>
        <v>ma</v>
      </c>
      <c r="AW102" s="40" t="str">
        <f>MID(Sheet1!AE101,2,3)</f>
        <v>ara</v>
      </c>
      <c r="AX102" s="42">
        <f>LEN(Sheet1!AE101)</f>
        <v>5</v>
      </c>
      <c r="AY102" s="40" t="str">
        <f>UPPER(Sheet1!AE101)</f>
        <v>KARAN</v>
      </c>
      <c r="AZ102" s="40" t="str">
        <f>LOWER(Sheet1!AE101)</f>
        <v>karan</v>
      </c>
      <c r="BA102" s="40" t="str">
        <f>PROPER(Sheet1!AE101)</f>
        <v>Karan</v>
      </c>
      <c r="BB102" s="40" t="str">
        <f>_xlfn.CONCAT(Sheet1!AE101," ",Sheet1!AF101)</f>
        <v>Karan Sharma</v>
      </c>
      <c r="BL102" s="40" t="str">
        <v>Monitor</v>
      </c>
    </row>
    <row r="103" spans="40:64">
      <c r="AN103" s="49">
        <f>Sheet1!B102</f>
        <v>45479</v>
      </c>
      <c r="AO103" s="50">
        <f t="shared" si="8"/>
        <v>12</v>
      </c>
      <c r="AP103" s="50">
        <f t="shared" si="9"/>
        <v>7</v>
      </c>
      <c r="AQ103" s="50">
        <f t="shared" si="10"/>
        <v>2024</v>
      </c>
      <c r="AR103" s="50" t="str">
        <f t="shared" si="11"/>
        <v>Jul-2024</v>
      </c>
      <c r="AS103" s="52">
        <f t="shared" si="12"/>
        <v>45485</v>
      </c>
      <c r="AT103" s="44">
        <f t="shared" ca="1" si="13"/>
        <v>793</v>
      </c>
      <c r="AU103" s="40" t="str">
        <f>LEFT(Sheet1!AE102,3)</f>
        <v>Ish</v>
      </c>
      <c r="AV103" s="40" t="str">
        <f>RIGHT(Sheet1!AF102,2)</f>
        <v>ma</v>
      </c>
      <c r="AW103" s="40" t="str">
        <f>MID(Sheet1!AE102,2,3)</f>
        <v>shi</v>
      </c>
      <c r="AX103" s="42">
        <f>LEN(Sheet1!AE102)</f>
        <v>6</v>
      </c>
      <c r="AY103" s="40" t="str">
        <f>UPPER(Sheet1!AE102)</f>
        <v>ISHITA</v>
      </c>
      <c r="AZ103" s="40" t="str">
        <f>LOWER(Sheet1!AE102)</f>
        <v>ishita</v>
      </c>
      <c r="BA103" s="40" t="str">
        <f>PROPER(Sheet1!AE102)</f>
        <v>Ishita</v>
      </c>
      <c r="BB103" s="40" t="str">
        <f>_xlfn.CONCAT(Sheet1!AE102," ",Sheet1!AF102)</f>
        <v>Ishita Sharma</v>
      </c>
      <c r="BL103" s="40" t="str">
        <v>Headphones</v>
      </c>
    </row>
    <row r="104" spans="40:64">
      <c r="AN104" s="49">
        <f>Sheet1!B103</f>
        <v>45480</v>
      </c>
      <c r="AO104" s="50">
        <f t="shared" si="8"/>
        <v>1</v>
      </c>
      <c r="AP104" s="50">
        <f t="shared" si="9"/>
        <v>7</v>
      </c>
      <c r="AQ104" s="50">
        <f t="shared" si="10"/>
        <v>2024</v>
      </c>
      <c r="AR104" s="50" t="str">
        <f t="shared" si="11"/>
        <v>Jul-2024</v>
      </c>
      <c r="AS104" s="52">
        <f t="shared" si="12"/>
        <v>45474</v>
      </c>
      <c r="AT104" s="44">
        <f t="shared" ca="1" si="13"/>
        <v>804</v>
      </c>
      <c r="AU104" s="40" t="str">
        <f>LEFT(Sheet1!AE103,3)</f>
        <v>Rah</v>
      </c>
      <c r="AV104" s="40" t="str">
        <f>RIGHT(Sheet1!AF103,2)</f>
        <v>gh</v>
      </c>
      <c r="AW104" s="40" t="str">
        <f>MID(Sheet1!AE103,2,3)</f>
        <v>ahu</v>
      </c>
      <c r="AX104" s="42">
        <f>LEN(Sheet1!AE103)</f>
        <v>5</v>
      </c>
      <c r="AY104" s="40" t="str">
        <f>UPPER(Sheet1!AE103)</f>
        <v>RAHUL</v>
      </c>
      <c r="AZ104" s="40" t="str">
        <f>LOWER(Sheet1!AE103)</f>
        <v>rahul</v>
      </c>
      <c r="BA104" s="40" t="str">
        <f>PROPER(Sheet1!AE103)</f>
        <v>Rahul</v>
      </c>
      <c r="BB104" s="40" t="str">
        <f>_xlfn.CONCAT(Sheet1!AE103," ",Sheet1!AF103)</f>
        <v>Rahul Singh</v>
      </c>
      <c r="BL104" s="40" t="str">
        <v>Monitor</v>
      </c>
    </row>
    <row r="105" spans="40:64">
      <c r="AN105" s="49">
        <f>Sheet1!B104</f>
        <v>45480</v>
      </c>
      <c r="AO105" s="50">
        <f t="shared" si="8"/>
        <v>2</v>
      </c>
      <c r="AP105" s="50">
        <f t="shared" si="9"/>
        <v>7</v>
      </c>
      <c r="AQ105" s="50">
        <f t="shared" si="10"/>
        <v>2024</v>
      </c>
      <c r="AR105" s="50" t="str">
        <f t="shared" si="11"/>
        <v>Jul-2024</v>
      </c>
      <c r="AS105" s="52">
        <f t="shared" si="12"/>
        <v>45475</v>
      </c>
      <c r="AT105" s="44">
        <f t="shared" ca="1" si="13"/>
        <v>803</v>
      </c>
      <c r="AU105" s="40" t="str">
        <f>LEFT(Sheet1!AE104,3)</f>
        <v>Nis</v>
      </c>
      <c r="AV105" s="40" t="str">
        <f>RIGHT(Sheet1!AF104,2)</f>
        <v>av</v>
      </c>
      <c r="AW105" s="40" t="str">
        <f>MID(Sheet1!AE104,2,3)</f>
        <v>ish</v>
      </c>
      <c r="AX105" s="42">
        <f>LEN(Sheet1!AE104)</f>
        <v>5</v>
      </c>
      <c r="AY105" s="40" t="str">
        <f>UPPER(Sheet1!AE104)</f>
        <v>NISHA</v>
      </c>
      <c r="AZ105" s="40" t="str">
        <f>LOWER(Sheet1!AE104)</f>
        <v>nisha</v>
      </c>
      <c r="BA105" s="40" t="str">
        <f>PROPER(Sheet1!AE104)</f>
        <v>Nisha</v>
      </c>
      <c r="BB105" s="40" t="str">
        <f>_xlfn.CONCAT(Sheet1!AE104," ",Sheet1!AF104)</f>
        <v>Nisha Yadav</v>
      </c>
      <c r="BL105" s="40" t="str">
        <v>Headphones</v>
      </c>
    </row>
    <row r="106" spans="40:64">
      <c r="AN106" s="49">
        <f>Sheet1!B105</f>
        <v>45481</v>
      </c>
      <c r="AO106" s="50">
        <f t="shared" si="8"/>
        <v>2</v>
      </c>
      <c r="AP106" s="50">
        <f t="shared" si="9"/>
        <v>7</v>
      </c>
      <c r="AQ106" s="50">
        <f t="shared" si="10"/>
        <v>2024</v>
      </c>
      <c r="AR106" s="50" t="str">
        <f t="shared" si="11"/>
        <v>Jul-2024</v>
      </c>
      <c r="AS106" s="52">
        <f t="shared" si="12"/>
        <v>45475</v>
      </c>
      <c r="AT106" s="44">
        <f t="shared" ca="1" si="13"/>
        <v>803</v>
      </c>
      <c r="AU106" s="40" t="str">
        <f>LEFT(Sheet1!AE105,3)</f>
        <v>Neh</v>
      </c>
      <c r="AV106" s="40" t="str">
        <f>RIGHT(Sheet1!AF105,2)</f>
        <v>ma</v>
      </c>
      <c r="AW106" s="40" t="str">
        <f>MID(Sheet1!AE105,2,3)</f>
        <v>eha</v>
      </c>
      <c r="AX106" s="42">
        <f>LEN(Sheet1!AE105)</f>
        <v>4</v>
      </c>
      <c r="AY106" s="40" t="str">
        <f>UPPER(Sheet1!AE105)</f>
        <v>NEHA</v>
      </c>
      <c r="AZ106" s="40" t="str">
        <f>LOWER(Sheet1!AE105)</f>
        <v>neha</v>
      </c>
      <c r="BA106" s="40" t="str">
        <f>PROPER(Sheet1!AE105)</f>
        <v>Neha</v>
      </c>
      <c r="BB106" s="40" t="str">
        <f>_xlfn.CONCAT(Sheet1!AE105," ",Sheet1!AF105)</f>
        <v>Neha Verma</v>
      </c>
      <c r="BL106" s="40" t="str">
        <v>Headphones</v>
      </c>
    </row>
    <row r="107" spans="40:64">
      <c r="AN107" s="49">
        <f>Sheet1!B106</f>
        <v>45481</v>
      </c>
      <c r="AO107" s="50">
        <f t="shared" si="8"/>
        <v>2</v>
      </c>
      <c r="AP107" s="50">
        <f t="shared" si="9"/>
        <v>7</v>
      </c>
      <c r="AQ107" s="50">
        <f t="shared" si="10"/>
        <v>2024</v>
      </c>
      <c r="AR107" s="50" t="str">
        <f t="shared" si="11"/>
        <v>Jul-2024</v>
      </c>
      <c r="AS107" s="52">
        <f t="shared" si="12"/>
        <v>45475</v>
      </c>
      <c r="AT107" s="44">
        <f t="shared" ca="1" si="13"/>
        <v>803</v>
      </c>
      <c r="AU107" s="40" t="str">
        <f>LEFT(Sheet1!AE106,3)</f>
        <v>Sne</v>
      </c>
      <c r="AV107" s="40" t="str">
        <f>RIGHT(Sheet1!AF106,2)</f>
        <v>ra</v>
      </c>
      <c r="AW107" s="40" t="str">
        <f>MID(Sheet1!AE106,2,3)</f>
        <v>neh</v>
      </c>
      <c r="AX107" s="42">
        <f>LEN(Sheet1!AE106)</f>
        <v>5</v>
      </c>
      <c r="AY107" s="40" t="str">
        <f>UPPER(Sheet1!AE106)</f>
        <v>SNEHA</v>
      </c>
      <c r="AZ107" s="40" t="str">
        <f>LOWER(Sheet1!AE106)</f>
        <v>sneha</v>
      </c>
      <c r="BA107" s="40" t="str">
        <f>PROPER(Sheet1!AE106)</f>
        <v>Sneha</v>
      </c>
      <c r="BB107" s="40" t="str">
        <f>_xlfn.CONCAT(Sheet1!AE106," ",Sheet1!AF106)</f>
        <v>Sneha Mishra</v>
      </c>
      <c r="BL107" s="40" t="str">
        <v>Monitor</v>
      </c>
    </row>
    <row r="108" spans="40:64">
      <c r="AN108" s="49">
        <f>Sheet1!B107</f>
        <v>45481</v>
      </c>
      <c r="AO108" s="50">
        <f t="shared" si="8"/>
        <v>3</v>
      </c>
      <c r="AP108" s="50">
        <f t="shared" si="9"/>
        <v>7</v>
      </c>
      <c r="AQ108" s="50">
        <f t="shared" si="10"/>
        <v>2024</v>
      </c>
      <c r="AR108" s="50" t="str">
        <f t="shared" si="11"/>
        <v>Jul-2024</v>
      </c>
      <c r="AS108" s="52">
        <f t="shared" si="12"/>
        <v>45476</v>
      </c>
      <c r="AT108" s="44">
        <f t="shared" ca="1" si="13"/>
        <v>802</v>
      </c>
      <c r="AU108" s="40" t="str">
        <f>LEFT(Sheet1!AE107,3)</f>
        <v>Nis</v>
      </c>
      <c r="AV108" s="40" t="str">
        <f>RIGHT(Sheet1!AF107,2)</f>
        <v>ar</v>
      </c>
      <c r="AW108" s="40" t="str">
        <f>MID(Sheet1!AE107,2,3)</f>
        <v>ish</v>
      </c>
      <c r="AX108" s="42">
        <f>LEN(Sheet1!AE107)</f>
        <v>5</v>
      </c>
      <c r="AY108" s="40" t="str">
        <f>UPPER(Sheet1!AE107)</f>
        <v>NISHA</v>
      </c>
      <c r="AZ108" s="40" t="str">
        <f>LOWER(Sheet1!AE107)</f>
        <v>nisha</v>
      </c>
      <c r="BA108" s="40" t="str">
        <f>PROPER(Sheet1!AE107)</f>
        <v>Nisha</v>
      </c>
      <c r="BB108" s="40" t="str">
        <f>_xlfn.CONCAT(Sheet1!AE107," ",Sheet1!AF107)</f>
        <v>Nisha Kumar</v>
      </c>
      <c r="BL108" s="40" t="str">
        <v>Smartphone</v>
      </c>
    </row>
    <row r="109" spans="40:64">
      <c r="AN109" s="49">
        <f>Sheet1!B108</f>
        <v>45482</v>
      </c>
      <c r="AO109" s="50">
        <f t="shared" si="8"/>
        <v>4</v>
      </c>
      <c r="AP109" s="50">
        <f t="shared" si="9"/>
        <v>7</v>
      </c>
      <c r="AQ109" s="50">
        <f t="shared" si="10"/>
        <v>2024</v>
      </c>
      <c r="AR109" s="50" t="str">
        <f t="shared" si="11"/>
        <v>Jul-2024</v>
      </c>
      <c r="AS109" s="52">
        <f t="shared" si="12"/>
        <v>45477</v>
      </c>
      <c r="AT109" s="44">
        <f t="shared" ca="1" si="13"/>
        <v>801</v>
      </c>
      <c r="AU109" s="40" t="str">
        <f>LEFT(Sheet1!AE108,3)</f>
        <v>Ana</v>
      </c>
      <c r="AV109" s="40" t="str">
        <f>RIGHT(Sheet1!AF108,2)</f>
        <v>ra</v>
      </c>
      <c r="AW109" s="40" t="str">
        <f>MID(Sheet1!AE108,2,3)</f>
        <v>nan</v>
      </c>
      <c r="AX109" s="42">
        <f>LEN(Sheet1!AE108)</f>
        <v>6</v>
      </c>
      <c r="AY109" s="40" t="str">
        <f>UPPER(Sheet1!AE108)</f>
        <v>ANANYA</v>
      </c>
      <c r="AZ109" s="40" t="str">
        <f>LOWER(Sheet1!AE108)</f>
        <v>ananya</v>
      </c>
      <c r="BA109" s="40" t="str">
        <f>PROPER(Sheet1!AE108)</f>
        <v>Ananya</v>
      </c>
      <c r="BB109" s="40" t="str">
        <f>_xlfn.CONCAT(Sheet1!AE108," ",Sheet1!AF108)</f>
        <v>Ananya Malhotra</v>
      </c>
      <c r="BL109" s="40" t="str">
        <v>Smartphone</v>
      </c>
    </row>
    <row r="110" spans="40:64">
      <c r="AN110" s="49">
        <f>Sheet1!B109</f>
        <v>45483</v>
      </c>
      <c r="AO110" s="50">
        <f t="shared" si="8"/>
        <v>4</v>
      </c>
      <c r="AP110" s="50">
        <f t="shared" si="9"/>
        <v>7</v>
      </c>
      <c r="AQ110" s="50">
        <f t="shared" si="10"/>
        <v>2024</v>
      </c>
      <c r="AR110" s="50" t="str">
        <f t="shared" si="11"/>
        <v>Jul-2024</v>
      </c>
      <c r="AS110" s="52">
        <f t="shared" si="12"/>
        <v>45477</v>
      </c>
      <c r="AT110" s="44">
        <f t="shared" ca="1" si="13"/>
        <v>801</v>
      </c>
      <c r="AU110" s="40" t="str">
        <f>LEFT(Sheet1!AE109,3)</f>
        <v>Kar</v>
      </c>
      <c r="AV110" s="40" t="str">
        <f>RIGHT(Sheet1!AF109,2)</f>
        <v>ar</v>
      </c>
      <c r="AW110" s="40" t="str">
        <f>MID(Sheet1!AE109,2,3)</f>
        <v>ara</v>
      </c>
      <c r="AX110" s="42">
        <f>LEN(Sheet1!AE109)</f>
        <v>5</v>
      </c>
      <c r="AY110" s="40" t="str">
        <f>UPPER(Sheet1!AE109)</f>
        <v>KARAN</v>
      </c>
      <c r="AZ110" s="40" t="str">
        <f>LOWER(Sheet1!AE109)</f>
        <v>karan</v>
      </c>
      <c r="BA110" s="40" t="str">
        <f>PROPER(Sheet1!AE109)</f>
        <v>Karan</v>
      </c>
      <c r="BB110" s="40" t="str">
        <f>_xlfn.CONCAT(Sheet1!AE109," ",Sheet1!AF109)</f>
        <v>Karan Kumar</v>
      </c>
      <c r="BL110" s="40" t="str">
        <v>Headphones</v>
      </c>
    </row>
    <row r="111" spans="40:64">
      <c r="AN111" s="49">
        <f>Sheet1!B110</f>
        <v>45506</v>
      </c>
      <c r="AO111" s="50">
        <f t="shared" si="8"/>
        <v>4</v>
      </c>
      <c r="AP111" s="50">
        <f t="shared" si="9"/>
        <v>8</v>
      </c>
      <c r="AQ111" s="50">
        <f t="shared" si="10"/>
        <v>2024</v>
      </c>
      <c r="AR111" s="50" t="str">
        <f t="shared" si="11"/>
        <v>Aug-2024</v>
      </c>
      <c r="AS111" s="52">
        <f t="shared" si="12"/>
        <v>45508</v>
      </c>
      <c r="AT111" s="44">
        <f t="shared" ca="1" si="13"/>
        <v>770</v>
      </c>
      <c r="AU111" s="40" t="str">
        <f>LEFT(Sheet1!AE110,3)</f>
        <v>Vik</v>
      </c>
      <c r="AV111" s="40" t="str">
        <f>RIGHT(Sheet1!AF110,2)</f>
        <v>gh</v>
      </c>
      <c r="AW111" s="40" t="str">
        <f>MID(Sheet1!AE110,2,3)</f>
        <v>ikr</v>
      </c>
      <c r="AX111" s="42">
        <f>LEN(Sheet1!AE110)</f>
        <v>6</v>
      </c>
      <c r="AY111" s="40" t="str">
        <f>UPPER(Sheet1!AE110)</f>
        <v>VIKRAM</v>
      </c>
      <c r="AZ111" s="40" t="str">
        <f>LOWER(Sheet1!AE110)</f>
        <v>vikram</v>
      </c>
      <c r="BA111" s="40" t="str">
        <f>PROPER(Sheet1!AE110)</f>
        <v>Vikram</v>
      </c>
      <c r="BB111" s="40" t="str">
        <f>_xlfn.CONCAT(Sheet1!AE110," ",Sheet1!AF110)</f>
        <v>Vikram Singh</v>
      </c>
      <c r="BL111" s="40" t="str">
        <v>Monitor</v>
      </c>
    </row>
    <row r="112" spans="40:64">
      <c r="AN112" s="49">
        <f>Sheet1!B111</f>
        <v>45507</v>
      </c>
      <c r="AO112" s="50">
        <f t="shared" si="8"/>
        <v>4</v>
      </c>
      <c r="AP112" s="50">
        <f t="shared" si="9"/>
        <v>8</v>
      </c>
      <c r="AQ112" s="50">
        <f t="shared" si="10"/>
        <v>2024</v>
      </c>
      <c r="AR112" s="50" t="str">
        <f t="shared" si="11"/>
        <v>Aug-2024</v>
      </c>
      <c r="AS112" s="52">
        <f t="shared" si="12"/>
        <v>45508</v>
      </c>
      <c r="AT112" s="44">
        <f t="shared" ca="1" si="13"/>
        <v>770</v>
      </c>
      <c r="AU112" s="40" t="str">
        <f>LEFT(Sheet1!AE111,3)</f>
        <v>Adi</v>
      </c>
      <c r="AV112" s="40" t="str">
        <f>RIGHT(Sheet1!AF111,2)</f>
        <v>av</v>
      </c>
      <c r="AW112" s="40" t="str">
        <f>MID(Sheet1!AE111,2,3)</f>
        <v>dit</v>
      </c>
      <c r="AX112" s="42">
        <f>LEN(Sheet1!AE111)</f>
        <v>5</v>
      </c>
      <c r="AY112" s="40" t="str">
        <f>UPPER(Sheet1!AE111)</f>
        <v>ADITI</v>
      </c>
      <c r="AZ112" s="40" t="str">
        <f>LOWER(Sheet1!AE111)</f>
        <v>aditi</v>
      </c>
      <c r="BA112" s="40" t="str">
        <f>PROPER(Sheet1!AE111)</f>
        <v>Aditi</v>
      </c>
      <c r="BB112" s="40" t="str">
        <f>_xlfn.CONCAT(Sheet1!AE111," ",Sheet1!AF111)</f>
        <v>Aditi Yadav</v>
      </c>
      <c r="BL112" s="40" t="str">
        <v>Smartphone</v>
      </c>
    </row>
    <row r="113" spans="40:64">
      <c r="AN113" s="49">
        <f>Sheet1!B112</f>
        <v>45507</v>
      </c>
      <c r="AO113" s="50">
        <f t="shared" si="8"/>
        <v>4</v>
      </c>
      <c r="AP113" s="50">
        <f t="shared" si="9"/>
        <v>8</v>
      </c>
      <c r="AQ113" s="50">
        <f t="shared" si="10"/>
        <v>2024</v>
      </c>
      <c r="AR113" s="50" t="str">
        <f t="shared" si="11"/>
        <v>Aug-2024</v>
      </c>
      <c r="AS113" s="52">
        <f t="shared" si="12"/>
        <v>45508</v>
      </c>
      <c r="AT113" s="44">
        <f t="shared" ca="1" si="13"/>
        <v>770</v>
      </c>
      <c r="AU113" s="40" t="str">
        <f>LEFT(Sheet1!AE112,3)</f>
        <v>Adi</v>
      </c>
      <c r="AV113" s="40" t="str">
        <f>RIGHT(Sheet1!AF112,2)</f>
        <v>ra</v>
      </c>
      <c r="AW113" s="40" t="str">
        <f>MID(Sheet1!AE112,2,3)</f>
        <v>dit</v>
      </c>
      <c r="AX113" s="42">
        <f>LEN(Sheet1!AE112)</f>
        <v>5</v>
      </c>
      <c r="AY113" s="40" t="str">
        <f>UPPER(Sheet1!AE112)</f>
        <v>ADITI</v>
      </c>
      <c r="AZ113" s="40" t="str">
        <f>LOWER(Sheet1!AE112)</f>
        <v>aditi</v>
      </c>
      <c r="BA113" s="40" t="str">
        <f>PROPER(Sheet1!AE112)</f>
        <v>Aditi</v>
      </c>
      <c r="BB113" s="40" t="str">
        <f>_xlfn.CONCAT(Sheet1!AE112," ",Sheet1!AF112)</f>
        <v>Aditi Malhotra</v>
      </c>
      <c r="BL113" s="40" t="str">
        <v>Monitor</v>
      </c>
    </row>
    <row r="114" spans="40:64">
      <c r="AN114" s="49">
        <f>Sheet1!B113</f>
        <v>45507</v>
      </c>
      <c r="AO114" s="50">
        <f t="shared" si="8"/>
        <v>7</v>
      </c>
      <c r="AP114" s="50">
        <f t="shared" si="9"/>
        <v>8</v>
      </c>
      <c r="AQ114" s="50">
        <f t="shared" si="10"/>
        <v>2024</v>
      </c>
      <c r="AR114" s="50" t="str">
        <f t="shared" si="11"/>
        <v>Aug-2024</v>
      </c>
      <c r="AS114" s="52">
        <f t="shared" si="12"/>
        <v>45511</v>
      </c>
      <c r="AT114" s="44">
        <f t="shared" ca="1" si="13"/>
        <v>767</v>
      </c>
      <c r="AU114" s="40" t="str">
        <f>LEFT(Sheet1!AE113,3)</f>
        <v>Kav</v>
      </c>
      <c r="AV114" s="40" t="str">
        <f>RIGHT(Sheet1!AF113,2)</f>
        <v>ma</v>
      </c>
      <c r="AW114" s="40" t="str">
        <f>MID(Sheet1!AE113,2,3)</f>
        <v>avy</v>
      </c>
      <c r="AX114" s="42">
        <f>LEN(Sheet1!AE113)</f>
        <v>5</v>
      </c>
      <c r="AY114" s="40" t="str">
        <f>UPPER(Sheet1!AE113)</f>
        <v>KAVYA</v>
      </c>
      <c r="AZ114" s="40" t="str">
        <f>LOWER(Sheet1!AE113)</f>
        <v>kavya</v>
      </c>
      <c r="BA114" s="40" t="str">
        <f>PROPER(Sheet1!AE113)</f>
        <v>Kavya</v>
      </c>
      <c r="BB114" s="40" t="str">
        <f>_xlfn.CONCAT(Sheet1!AE113," ",Sheet1!AF113)</f>
        <v>Kavya Verma</v>
      </c>
      <c r="BL114" s="40" t="str">
        <v>Tablet</v>
      </c>
    </row>
    <row r="115" spans="40:64">
      <c r="AN115" s="49">
        <f>Sheet1!B114</f>
        <v>45507</v>
      </c>
      <c r="AO115" s="50">
        <f t="shared" ref="AO115:AO127" si="14">IFERROR(DAY(AN68),VALUE(LEFT(AN68,2)))</f>
        <v>8</v>
      </c>
      <c r="AP115" s="50">
        <f t="shared" si="9"/>
        <v>8</v>
      </c>
      <c r="AQ115" s="50">
        <f t="shared" si="10"/>
        <v>2024</v>
      </c>
      <c r="AR115" s="50" t="str">
        <f t="shared" si="11"/>
        <v>Aug-2024</v>
      </c>
      <c r="AS115" s="52">
        <f t="shared" si="12"/>
        <v>45512</v>
      </c>
      <c r="AT115" s="44">
        <f t="shared" ca="1" si="13"/>
        <v>766</v>
      </c>
      <c r="AU115" s="40" t="str">
        <f>LEFT(Sheet1!AE114,3)</f>
        <v>Ana</v>
      </c>
      <c r="AV115" s="40" t="str">
        <f>RIGHT(Sheet1!AF114,2)</f>
        <v>ma</v>
      </c>
      <c r="AW115" s="40" t="str">
        <f>MID(Sheet1!AE114,2,3)</f>
        <v>nan</v>
      </c>
      <c r="AX115" s="42">
        <f>LEN(Sheet1!AE114)</f>
        <v>6</v>
      </c>
      <c r="AY115" s="40" t="str">
        <f>UPPER(Sheet1!AE114)</f>
        <v>ANANYA</v>
      </c>
      <c r="AZ115" s="40" t="str">
        <f>LOWER(Sheet1!AE114)</f>
        <v>ananya</v>
      </c>
      <c r="BA115" s="40" t="str">
        <f>PROPER(Sheet1!AE114)</f>
        <v>Ananya</v>
      </c>
      <c r="BB115" s="40" t="str">
        <f>_xlfn.CONCAT(Sheet1!AE114," ",Sheet1!AF114)</f>
        <v>Ananya Verma</v>
      </c>
      <c r="BL115" s="40" t="str">
        <v>Smartphone</v>
      </c>
    </row>
    <row r="116" spans="40:64">
      <c r="AN116" s="49">
        <f>Sheet1!B115</f>
        <v>45508</v>
      </c>
      <c r="AO116" s="50">
        <f t="shared" si="14"/>
        <v>8</v>
      </c>
      <c r="AP116" s="50">
        <f t="shared" si="9"/>
        <v>8</v>
      </c>
      <c r="AQ116" s="50">
        <f t="shared" si="10"/>
        <v>2024</v>
      </c>
      <c r="AR116" s="50" t="str">
        <f t="shared" si="11"/>
        <v>Aug-2024</v>
      </c>
      <c r="AS116" s="52">
        <f t="shared" si="12"/>
        <v>45512</v>
      </c>
      <c r="AT116" s="44">
        <f t="shared" ca="1" si="13"/>
        <v>766</v>
      </c>
      <c r="AU116" s="40" t="str">
        <f>LEFT(Sheet1!AE115,3)</f>
        <v>Adi</v>
      </c>
      <c r="AV116" s="40" t="str">
        <f>RIGHT(Sheet1!AF115,2)</f>
        <v>gh</v>
      </c>
      <c r="AW116" s="40" t="str">
        <f>MID(Sheet1!AE115,2,3)</f>
        <v>dit</v>
      </c>
      <c r="AX116" s="42">
        <f>LEN(Sheet1!AE115)</f>
        <v>6</v>
      </c>
      <c r="AY116" s="40" t="str">
        <f>UPPER(Sheet1!AE115)</f>
        <v>ADITYA</v>
      </c>
      <c r="AZ116" s="40" t="str">
        <f>LOWER(Sheet1!AE115)</f>
        <v>aditya</v>
      </c>
      <c r="BA116" s="40" t="str">
        <f>PROPER(Sheet1!AE115)</f>
        <v>Aditya</v>
      </c>
      <c r="BB116" s="40" t="str">
        <f>_xlfn.CONCAT(Sheet1!AE115," ",Sheet1!AF115)</f>
        <v>Aditya Singh</v>
      </c>
      <c r="BL116" s="40" t="str">
        <v>Tablet</v>
      </c>
    </row>
    <row r="117" spans="40:64">
      <c r="AN117" s="49">
        <f>Sheet1!B116</f>
        <v>45509</v>
      </c>
      <c r="AO117" s="50">
        <f t="shared" si="14"/>
        <v>9</v>
      </c>
      <c r="AP117" s="50">
        <f t="shared" si="9"/>
        <v>8</v>
      </c>
      <c r="AQ117" s="50">
        <f t="shared" si="10"/>
        <v>2024</v>
      </c>
      <c r="AR117" s="50" t="str">
        <f t="shared" si="11"/>
        <v>Aug-2024</v>
      </c>
      <c r="AS117" s="52">
        <f t="shared" si="12"/>
        <v>45513</v>
      </c>
      <c r="AT117" s="44">
        <f t="shared" ca="1" si="13"/>
        <v>765</v>
      </c>
      <c r="AU117" s="40" t="str">
        <f>LEFT(Sheet1!AE116,3)</f>
        <v>Rah</v>
      </c>
      <c r="AV117" s="40" t="str">
        <f>RIGHT(Sheet1!AF116,2)</f>
        <v>al</v>
      </c>
      <c r="AW117" s="40" t="str">
        <f>MID(Sheet1!AE116,2,3)</f>
        <v>ahu</v>
      </c>
      <c r="AX117" s="42">
        <f>LEN(Sheet1!AE116)</f>
        <v>5</v>
      </c>
      <c r="AY117" s="40" t="str">
        <f>UPPER(Sheet1!AE116)</f>
        <v>RAHUL</v>
      </c>
      <c r="AZ117" s="40" t="str">
        <f>LOWER(Sheet1!AE116)</f>
        <v>rahul</v>
      </c>
      <c r="BA117" s="40" t="str">
        <f>PROPER(Sheet1!AE116)</f>
        <v>Rahul</v>
      </c>
      <c r="BB117" s="40" t="str">
        <f>_xlfn.CONCAT(Sheet1!AE116," ",Sheet1!AF116)</f>
        <v>Rahul Bansal</v>
      </c>
      <c r="BL117" s="40" t="str">
        <v>Headphones</v>
      </c>
    </row>
    <row r="118" spans="40:64">
      <c r="AN118" s="49">
        <f>Sheet1!B117</f>
        <v>45510</v>
      </c>
      <c r="AO118" s="50">
        <f t="shared" si="14"/>
        <v>2</v>
      </c>
      <c r="AP118" s="50">
        <f t="shared" si="9"/>
        <v>8</v>
      </c>
      <c r="AQ118" s="50">
        <f t="shared" si="10"/>
        <v>2024</v>
      </c>
      <c r="AR118" s="50" t="str">
        <f t="shared" si="11"/>
        <v>Aug-2024</v>
      </c>
      <c r="AS118" s="52">
        <f t="shared" si="12"/>
        <v>45506</v>
      </c>
      <c r="AT118" s="44">
        <f t="shared" ca="1" si="13"/>
        <v>772</v>
      </c>
      <c r="AU118" s="40" t="str">
        <f>LEFT(Sheet1!AE117,3)</f>
        <v>Sne</v>
      </c>
      <c r="AV118" s="40" t="str">
        <f>RIGHT(Sheet1!AF117,2)</f>
        <v>ta</v>
      </c>
      <c r="AW118" s="40" t="str">
        <f>MID(Sheet1!AE117,2,3)</f>
        <v>neh</v>
      </c>
      <c r="AX118" s="42">
        <f>LEN(Sheet1!AE117)</f>
        <v>5</v>
      </c>
      <c r="AY118" s="40" t="str">
        <f>UPPER(Sheet1!AE117)</f>
        <v>SNEHA</v>
      </c>
      <c r="AZ118" s="40" t="str">
        <f>LOWER(Sheet1!AE117)</f>
        <v>sneha</v>
      </c>
      <c r="BA118" s="40" t="str">
        <f>PROPER(Sheet1!AE117)</f>
        <v>Sneha</v>
      </c>
      <c r="BB118" s="40" t="str">
        <f>_xlfn.CONCAT(Sheet1!AE117," ",Sheet1!AF117)</f>
        <v>Sneha Gupta</v>
      </c>
      <c r="BL118" s="40" t="str">
        <v>Smartphone</v>
      </c>
    </row>
    <row r="119" spans="40:64">
      <c r="AN119" s="49">
        <f>Sheet1!B118</f>
        <v>45510</v>
      </c>
      <c r="AO119" s="50">
        <f t="shared" si="14"/>
        <v>3</v>
      </c>
      <c r="AP119" s="50">
        <f t="shared" si="9"/>
        <v>8</v>
      </c>
      <c r="AQ119" s="50">
        <f t="shared" si="10"/>
        <v>2024</v>
      </c>
      <c r="AR119" s="50" t="str">
        <f t="shared" si="11"/>
        <v>Aug-2024</v>
      </c>
      <c r="AS119" s="52">
        <f t="shared" si="12"/>
        <v>45507</v>
      </c>
      <c r="AT119" s="44">
        <f t="shared" ca="1" si="13"/>
        <v>771</v>
      </c>
      <c r="AU119" s="40" t="str">
        <f>LEFT(Sheet1!AE118,3)</f>
        <v>Mee</v>
      </c>
      <c r="AV119" s="40" t="str">
        <f>RIGHT(Sheet1!AF118,2)</f>
        <v>ta</v>
      </c>
      <c r="AW119" s="40" t="str">
        <f>MID(Sheet1!AE118,2,3)</f>
        <v>eer</v>
      </c>
      <c r="AX119" s="42">
        <f>LEN(Sheet1!AE118)</f>
        <v>5</v>
      </c>
      <c r="AY119" s="40" t="str">
        <f>UPPER(Sheet1!AE118)</f>
        <v>MEERA</v>
      </c>
      <c r="AZ119" s="40" t="str">
        <f>LOWER(Sheet1!AE118)</f>
        <v>meera</v>
      </c>
      <c r="BA119" s="40" t="str">
        <f>PROPER(Sheet1!AE118)</f>
        <v>Meera</v>
      </c>
      <c r="BB119" s="40" t="str">
        <f>_xlfn.CONCAT(Sheet1!AE118," ",Sheet1!AF118)</f>
        <v>Meera Gupta</v>
      </c>
      <c r="BL119" s="40" t="str">
        <v>Monitor</v>
      </c>
    </row>
    <row r="120" spans="40:64">
      <c r="AN120" s="49">
        <f>Sheet1!B119</f>
        <v>45512</v>
      </c>
      <c r="AO120" s="50">
        <f t="shared" si="14"/>
        <v>4</v>
      </c>
      <c r="AP120" s="50">
        <f t="shared" si="9"/>
        <v>8</v>
      </c>
      <c r="AQ120" s="50">
        <f t="shared" si="10"/>
        <v>2024</v>
      </c>
      <c r="AR120" s="50" t="str">
        <f t="shared" si="11"/>
        <v>Aug-2024</v>
      </c>
      <c r="AS120" s="52">
        <f t="shared" si="12"/>
        <v>45508</v>
      </c>
      <c r="AT120" s="44">
        <f t="shared" ca="1" si="13"/>
        <v>770</v>
      </c>
      <c r="AU120" s="40" t="str">
        <f>LEFT(Sheet1!AE119,3)</f>
        <v>Mee</v>
      </c>
      <c r="AV120" s="40" t="str">
        <f>RIGHT(Sheet1!AF119,2)</f>
        <v>ar</v>
      </c>
      <c r="AW120" s="40" t="str">
        <f>MID(Sheet1!AE119,2,3)</f>
        <v>eer</v>
      </c>
      <c r="AX120" s="42">
        <f>LEN(Sheet1!AE119)</f>
        <v>5</v>
      </c>
      <c r="AY120" s="40" t="str">
        <f>UPPER(Sheet1!AE119)</f>
        <v>MEERA</v>
      </c>
      <c r="AZ120" s="40" t="str">
        <f>LOWER(Sheet1!AE119)</f>
        <v>meera</v>
      </c>
      <c r="BA120" s="40" t="str">
        <f>PROPER(Sheet1!AE119)</f>
        <v>Meera</v>
      </c>
      <c r="BB120" s="40" t="str">
        <f>_xlfn.CONCAT(Sheet1!AE119," ",Sheet1!AF119)</f>
        <v>Meera Kumar</v>
      </c>
      <c r="BL120" s="40" t="str">
        <v>Headphones</v>
      </c>
    </row>
    <row r="121" spans="40:64">
      <c r="AN121" s="49">
        <f>Sheet1!B120</f>
        <v>45512</v>
      </c>
      <c r="AO121" s="50">
        <f t="shared" si="14"/>
        <v>4</v>
      </c>
      <c r="AP121" s="50">
        <f t="shared" si="9"/>
        <v>8</v>
      </c>
      <c r="AQ121" s="50">
        <f t="shared" si="10"/>
        <v>2024</v>
      </c>
      <c r="AR121" s="50" t="str">
        <f t="shared" si="11"/>
        <v>Aug-2024</v>
      </c>
      <c r="AS121" s="52">
        <f t="shared" si="12"/>
        <v>45508</v>
      </c>
      <c r="AT121" s="44">
        <f t="shared" ca="1" si="13"/>
        <v>770</v>
      </c>
      <c r="AU121" s="40" t="str">
        <f>LEFT(Sheet1!AE120,3)</f>
        <v>Sne</v>
      </c>
      <c r="AV121" s="40" t="str">
        <f>RIGHT(Sheet1!AF120,2)</f>
        <v>ar</v>
      </c>
      <c r="AW121" s="40" t="str">
        <f>MID(Sheet1!AE120,2,3)</f>
        <v>neh</v>
      </c>
      <c r="AX121" s="42">
        <f>LEN(Sheet1!AE120)</f>
        <v>5</v>
      </c>
      <c r="AY121" s="40" t="str">
        <f>UPPER(Sheet1!AE120)</f>
        <v>SNEHA</v>
      </c>
      <c r="AZ121" s="40" t="str">
        <f>LOWER(Sheet1!AE120)</f>
        <v>sneha</v>
      </c>
      <c r="BA121" s="40" t="str">
        <f>PROPER(Sheet1!AE120)</f>
        <v>Sneha</v>
      </c>
      <c r="BB121" s="40" t="str">
        <f>_xlfn.CONCAT(Sheet1!AE120," ",Sheet1!AF120)</f>
        <v>Sneha Kumar</v>
      </c>
      <c r="BL121" s="40" t="str">
        <v>Laptop</v>
      </c>
    </row>
    <row r="122" spans="40:64">
      <c r="AN122" s="49">
        <f>Sheet1!B121</f>
        <v>45512</v>
      </c>
      <c r="AO122" s="50">
        <f t="shared" si="14"/>
        <v>4</v>
      </c>
      <c r="AP122" s="50">
        <f t="shared" si="9"/>
        <v>8</v>
      </c>
      <c r="AQ122" s="50">
        <f t="shared" si="10"/>
        <v>2024</v>
      </c>
      <c r="AR122" s="50" t="str">
        <f t="shared" si="11"/>
        <v>Aug-2024</v>
      </c>
      <c r="AS122" s="52">
        <f t="shared" si="12"/>
        <v>45508</v>
      </c>
      <c r="AT122" s="44">
        <f t="shared" ca="1" si="13"/>
        <v>770</v>
      </c>
      <c r="AU122" s="40" t="str">
        <f>LEFT(Sheet1!AE121,3)</f>
        <v>Arj</v>
      </c>
      <c r="AV122" s="40" t="str">
        <f>RIGHT(Sheet1!AF121,2)</f>
        <v>ma</v>
      </c>
      <c r="AW122" s="40" t="str">
        <f>MID(Sheet1!AE121,2,3)</f>
        <v>rju</v>
      </c>
      <c r="AX122" s="42">
        <f>LEN(Sheet1!AE121)</f>
        <v>5</v>
      </c>
      <c r="AY122" s="40" t="str">
        <f>UPPER(Sheet1!AE121)</f>
        <v>ARJUN</v>
      </c>
      <c r="AZ122" s="40" t="str">
        <f>LOWER(Sheet1!AE121)</f>
        <v>arjun</v>
      </c>
      <c r="BA122" s="40" t="str">
        <f>PROPER(Sheet1!AE121)</f>
        <v>Arjun</v>
      </c>
      <c r="BB122" s="40" t="str">
        <f>_xlfn.CONCAT(Sheet1!AE121," ",Sheet1!AF121)</f>
        <v>Arjun Verma</v>
      </c>
      <c r="BL122" s="40" t="str">
        <v>Laptop</v>
      </c>
    </row>
    <row r="123" spans="40:64">
      <c r="AN123" s="49">
        <f>Sheet1!B122</f>
        <v>45513</v>
      </c>
      <c r="AO123" s="50">
        <f t="shared" si="14"/>
        <v>6</v>
      </c>
      <c r="AP123" s="50">
        <f t="shared" si="9"/>
        <v>8</v>
      </c>
      <c r="AQ123" s="50">
        <f t="shared" si="10"/>
        <v>2024</v>
      </c>
      <c r="AR123" s="50" t="str">
        <f t="shared" si="11"/>
        <v>Aug-2024</v>
      </c>
      <c r="AS123" s="52">
        <f t="shared" si="12"/>
        <v>45510</v>
      </c>
      <c r="AT123" s="44">
        <f t="shared" ca="1" si="13"/>
        <v>768</v>
      </c>
      <c r="AU123" s="40" t="str">
        <f>LEFT(Sheet1!AE122,3)</f>
        <v>Arj</v>
      </c>
      <c r="AV123" s="40" t="str">
        <f>RIGHT(Sheet1!AF122,2)</f>
        <v>ma</v>
      </c>
      <c r="AW123" s="40" t="str">
        <f>MID(Sheet1!AE122,2,3)</f>
        <v>rju</v>
      </c>
      <c r="AX123" s="42">
        <f>LEN(Sheet1!AE122)</f>
        <v>5</v>
      </c>
      <c r="AY123" s="40" t="str">
        <f>UPPER(Sheet1!AE122)</f>
        <v>ARJUN</v>
      </c>
      <c r="AZ123" s="40" t="str">
        <f>LOWER(Sheet1!AE122)</f>
        <v>arjun</v>
      </c>
      <c r="BA123" s="40" t="str">
        <f>PROPER(Sheet1!AE122)</f>
        <v>Arjun</v>
      </c>
      <c r="BB123" s="40" t="str">
        <f>_xlfn.CONCAT(Sheet1!AE122," ",Sheet1!AF122)</f>
        <v>Arjun Sharma</v>
      </c>
      <c r="BL123" s="40" t="str">
        <v>Laptop</v>
      </c>
    </row>
    <row r="124" spans="40:64">
      <c r="AN124" s="49">
        <f>Sheet1!B123</f>
        <v>45513</v>
      </c>
      <c r="AO124" s="50">
        <f t="shared" si="14"/>
        <v>7</v>
      </c>
      <c r="AP124" s="50">
        <f t="shared" si="9"/>
        <v>8</v>
      </c>
      <c r="AQ124" s="50">
        <f t="shared" si="10"/>
        <v>2024</v>
      </c>
      <c r="AR124" s="50" t="str">
        <f t="shared" si="11"/>
        <v>Aug-2024</v>
      </c>
      <c r="AS124" s="52">
        <f t="shared" si="12"/>
        <v>45511</v>
      </c>
      <c r="AT124" s="44">
        <f t="shared" ca="1" si="13"/>
        <v>767</v>
      </c>
      <c r="AU124" s="40" t="str">
        <f>LEFT(Sheet1!AE123,3)</f>
        <v>Neh</v>
      </c>
      <c r="AV124" s="40" t="str">
        <f>RIGHT(Sheet1!AF123,2)</f>
        <v>or</v>
      </c>
      <c r="AW124" s="40" t="str">
        <f>MID(Sheet1!AE123,2,3)</f>
        <v>eha</v>
      </c>
      <c r="AX124" s="42">
        <f>LEN(Sheet1!AE123)</f>
        <v>4</v>
      </c>
      <c r="AY124" s="40" t="str">
        <f>UPPER(Sheet1!AE123)</f>
        <v>NEHA</v>
      </c>
      <c r="AZ124" s="40" t="str">
        <f>LOWER(Sheet1!AE123)</f>
        <v>neha</v>
      </c>
      <c r="BA124" s="40" t="str">
        <f>PROPER(Sheet1!AE123)</f>
        <v>Neha</v>
      </c>
      <c r="BB124" s="40" t="str">
        <f>_xlfn.CONCAT(Sheet1!AE123," ",Sheet1!AF123)</f>
        <v>Neha Kapoor</v>
      </c>
      <c r="BL124" s="40" t="str">
        <v>Tablet</v>
      </c>
    </row>
    <row r="125" spans="40:64">
      <c r="AN125" s="49">
        <f>Sheet1!B124</f>
        <v>45515</v>
      </c>
      <c r="AO125" s="50">
        <f t="shared" si="14"/>
        <v>7</v>
      </c>
      <c r="AP125" s="50">
        <f t="shared" si="9"/>
        <v>8</v>
      </c>
      <c r="AQ125" s="50">
        <f t="shared" si="10"/>
        <v>2024</v>
      </c>
      <c r="AR125" s="50" t="str">
        <f t="shared" si="11"/>
        <v>Aug-2024</v>
      </c>
      <c r="AS125" s="52">
        <f t="shared" si="12"/>
        <v>45511</v>
      </c>
      <c r="AT125" s="44">
        <f t="shared" ca="1" si="13"/>
        <v>767</v>
      </c>
      <c r="AU125" s="40" t="str">
        <f>LEFT(Sheet1!AE124,3)</f>
        <v>Poo</v>
      </c>
      <c r="AV125" s="40" t="str">
        <f>RIGHT(Sheet1!AF124,2)</f>
        <v>in</v>
      </c>
      <c r="AW125" s="40" t="str">
        <f>MID(Sheet1!AE124,2,3)</f>
        <v>ooj</v>
      </c>
      <c r="AX125" s="42">
        <f>LEN(Sheet1!AE124)</f>
        <v>5</v>
      </c>
      <c r="AY125" s="40" t="str">
        <f>UPPER(Sheet1!AE124)</f>
        <v>POOJA</v>
      </c>
      <c r="AZ125" s="40" t="str">
        <f>LOWER(Sheet1!AE124)</f>
        <v>pooja</v>
      </c>
      <c r="BA125" s="40" t="str">
        <f>PROPER(Sheet1!AE124)</f>
        <v>Pooja</v>
      </c>
      <c r="BB125" s="40" t="str">
        <f>_xlfn.CONCAT(Sheet1!AE124," ",Sheet1!AF124)</f>
        <v>Pooja Jain</v>
      </c>
      <c r="BL125" s="40" t="str">
        <v>Monitor</v>
      </c>
    </row>
    <row r="126" spans="40:64">
      <c r="AN126" s="49">
        <f>Sheet1!B125</f>
        <v>45515</v>
      </c>
      <c r="AO126" s="50">
        <f t="shared" si="14"/>
        <v>12</v>
      </c>
      <c r="AP126" s="50">
        <f t="shared" si="9"/>
        <v>8</v>
      </c>
      <c r="AQ126" s="50">
        <f t="shared" si="10"/>
        <v>2024</v>
      </c>
      <c r="AR126" s="50" t="str">
        <f t="shared" si="11"/>
        <v>Aug-2024</v>
      </c>
      <c r="AS126" s="52">
        <f t="shared" si="12"/>
        <v>45516</v>
      </c>
      <c r="AT126" s="44">
        <f t="shared" ca="1" si="13"/>
        <v>762</v>
      </c>
      <c r="AU126" s="40" t="str">
        <f>LEFT(Sheet1!AE125,3)</f>
        <v>Mee</v>
      </c>
      <c r="AV126" s="40" t="str">
        <f>RIGHT(Sheet1!AF125,2)</f>
        <v>ta</v>
      </c>
      <c r="AW126" s="40" t="str">
        <f>MID(Sheet1!AE125,2,3)</f>
        <v>eer</v>
      </c>
      <c r="AX126" s="42">
        <f>LEN(Sheet1!AE125)</f>
        <v>5</v>
      </c>
      <c r="AY126" s="40" t="str">
        <f>UPPER(Sheet1!AE125)</f>
        <v>MEERA</v>
      </c>
      <c r="AZ126" s="40" t="str">
        <f>LOWER(Sheet1!AE125)</f>
        <v>meera</v>
      </c>
      <c r="BA126" s="40" t="str">
        <f>PROPER(Sheet1!AE125)</f>
        <v>Meera</v>
      </c>
      <c r="BB126" s="40" t="str">
        <f>_xlfn.CONCAT(Sheet1!AE125," ",Sheet1!AF125)</f>
        <v>Meera Mehta</v>
      </c>
      <c r="BL126" s="40" t="str">
        <v>Laptop</v>
      </c>
    </row>
    <row r="127" spans="40:64">
      <c r="AN127" s="49">
        <f>Sheet1!B126</f>
        <v>45516</v>
      </c>
      <c r="AO127" s="50">
        <f t="shared" si="14"/>
        <v>12</v>
      </c>
      <c r="AP127" s="50">
        <f t="shared" si="9"/>
        <v>8</v>
      </c>
      <c r="AQ127" s="50">
        <f t="shared" si="10"/>
        <v>2024</v>
      </c>
      <c r="AR127" s="50" t="str">
        <f t="shared" si="11"/>
        <v>Aug-2024</v>
      </c>
      <c r="AS127" s="52">
        <f t="shared" si="12"/>
        <v>45516</v>
      </c>
      <c r="AT127" s="44">
        <f t="shared" ca="1" si="13"/>
        <v>762</v>
      </c>
      <c r="AU127" s="40" t="str">
        <f>LEFT(Sheet1!AE126,3)</f>
        <v>Mee</v>
      </c>
      <c r="AV127" s="40" t="str">
        <f>RIGHT(Sheet1!AF126,2)</f>
        <v>na</v>
      </c>
      <c r="AW127" s="40" t="str">
        <f>MID(Sheet1!AE126,2,3)</f>
        <v>eer</v>
      </c>
      <c r="AX127" s="42">
        <f>LEN(Sheet1!AE126)</f>
        <v>5</v>
      </c>
      <c r="AY127" s="40" t="str">
        <f>UPPER(Sheet1!AE126)</f>
        <v>MEERA</v>
      </c>
      <c r="AZ127" s="40" t="str">
        <f>LOWER(Sheet1!AE126)</f>
        <v>meera</v>
      </c>
      <c r="BA127" s="40" t="str">
        <f>PROPER(Sheet1!AE126)</f>
        <v>Meera</v>
      </c>
      <c r="BB127" s="40" t="str">
        <f>_xlfn.CONCAT(Sheet1!AE126," ",Sheet1!AF126)</f>
        <v>Meera Saxena</v>
      </c>
      <c r="BL127" s="40" t="str">
        <v>Tablet</v>
      </c>
    </row>
    <row r="128" spans="40:64">
      <c r="AN128" s="49">
        <f>Sheet1!B127</f>
        <v>45537</v>
      </c>
      <c r="AO128" s="50">
        <f>IFERROR(DAY(AN3),VALUE(LEFT(AN3,2)))</f>
        <v>3</v>
      </c>
      <c r="AP128" s="50">
        <f t="shared" si="9"/>
        <v>9</v>
      </c>
      <c r="AQ128" s="50">
        <f t="shared" si="10"/>
        <v>2024</v>
      </c>
      <c r="AR128" s="50" t="str">
        <f t="shared" si="11"/>
        <v>Sep-2024</v>
      </c>
      <c r="AS128" s="52">
        <f t="shared" si="12"/>
        <v>45538</v>
      </c>
      <c r="AT128" s="44">
        <f t="shared" ca="1" si="13"/>
        <v>740</v>
      </c>
      <c r="AU128" s="40" t="str">
        <f>LEFT(Sheet1!AE127,3)</f>
        <v>Kav</v>
      </c>
      <c r="AV128" s="40" t="str">
        <f>RIGHT(Sheet1!AF127,2)</f>
        <v>ta</v>
      </c>
      <c r="AW128" s="40" t="str">
        <f>MID(Sheet1!AE127,2,3)</f>
        <v>avy</v>
      </c>
      <c r="AX128" s="42">
        <f>LEN(Sheet1!AE127)</f>
        <v>5</v>
      </c>
      <c r="AY128" s="40" t="str">
        <f>UPPER(Sheet1!AE127)</f>
        <v>KAVYA</v>
      </c>
      <c r="AZ128" s="40" t="str">
        <f>LOWER(Sheet1!AE127)</f>
        <v>kavya</v>
      </c>
      <c r="BA128" s="40" t="str">
        <f>PROPER(Sheet1!AE127)</f>
        <v>Kavya</v>
      </c>
      <c r="BB128" s="40" t="str">
        <f>_xlfn.CONCAT(Sheet1!AE127," ",Sheet1!AF127)</f>
        <v>Kavya Gupta</v>
      </c>
      <c r="BL128" s="40" t="str">
        <v>Monitor</v>
      </c>
    </row>
    <row r="129" spans="40:64">
      <c r="AN129" s="49">
        <f>Sheet1!B128</f>
        <v>45538</v>
      </c>
      <c r="AO129" s="50">
        <f t="shared" ref="AO129:AO192" si="15">IFERROR(DAY(AN4),VALUE(LEFT(AN4,2)))</f>
        <v>3</v>
      </c>
      <c r="AP129" s="50">
        <f t="shared" si="9"/>
        <v>9</v>
      </c>
      <c r="AQ129" s="50">
        <f t="shared" si="10"/>
        <v>2024</v>
      </c>
      <c r="AR129" s="50" t="str">
        <f t="shared" si="11"/>
        <v>Sep-2024</v>
      </c>
      <c r="AS129" s="52">
        <f t="shared" si="12"/>
        <v>45538</v>
      </c>
      <c r="AT129" s="44">
        <f t="shared" ca="1" si="13"/>
        <v>740</v>
      </c>
      <c r="AU129" s="40" t="str">
        <f>LEFT(Sheet1!AE128,3)</f>
        <v>Sne</v>
      </c>
      <c r="AV129" s="40" t="str">
        <f>RIGHT(Sheet1!AF128,2)</f>
        <v>ra</v>
      </c>
      <c r="AW129" s="40" t="str">
        <f>MID(Sheet1!AE128,2,3)</f>
        <v>neh</v>
      </c>
      <c r="AX129" s="42">
        <f>LEN(Sheet1!AE128)</f>
        <v>5</v>
      </c>
      <c r="AY129" s="40" t="str">
        <f>UPPER(Sheet1!AE128)</f>
        <v>SNEHA</v>
      </c>
      <c r="AZ129" s="40" t="str">
        <f>LOWER(Sheet1!AE128)</f>
        <v>sneha</v>
      </c>
      <c r="BA129" s="40" t="str">
        <f>PROPER(Sheet1!AE128)</f>
        <v>Sneha</v>
      </c>
      <c r="BB129" s="40" t="str">
        <f>_xlfn.CONCAT(Sheet1!AE128," ",Sheet1!AF128)</f>
        <v>Sneha Malhotra</v>
      </c>
      <c r="BL129" s="40" t="str">
        <v>Headphones</v>
      </c>
    </row>
    <row r="130" spans="40:64">
      <c r="AN130" s="49">
        <f>Sheet1!B129</f>
        <v>45538</v>
      </c>
      <c r="AO130" s="50">
        <f t="shared" si="15"/>
        <v>3</v>
      </c>
      <c r="AP130" s="50">
        <f t="shared" si="9"/>
        <v>9</v>
      </c>
      <c r="AQ130" s="50">
        <f t="shared" si="10"/>
        <v>2024</v>
      </c>
      <c r="AR130" s="50" t="str">
        <f t="shared" si="11"/>
        <v>Sep-2024</v>
      </c>
      <c r="AS130" s="52">
        <f t="shared" si="12"/>
        <v>45538</v>
      </c>
      <c r="AT130" s="44">
        <f t="shared" ca="1" si="13"/>
        <v>740</v>
      </c>
      <c r="AU130" s="40" t="str">
        <f>LEFT(Sheet1!AE129,3)</f>
        <v>Viv</v>
      </c>
      <c r="AV130" s="40" t="str">
        <f>RIGHT(Sheet1!AF129,2)</f>
        <v>gh</v>
      </c>
      <c r="AW130" s="40" t="str">
        <f>MID(Sheet1!AE129,2,3)</f>
        <v>iva</v>
      </c>
      <c r="AX130" s="42">
        <f>LEN(Sheet1!AE129)</f>
        <v>6</v>
      </c>
      <c r="AY130" s="40" t="str">
        <f>UPPER(Sheet1!AE129)</f>
        <v>VIVAAN</v>
      </c>
      <c r="AZ130" s="40" t="str">
        <f>LOWER(Sheet1!AE129)</f>
        <v>vivaan</v>
      </c>
      <c r="BA130" s="40" t="str">
        <f>PROPER(Sheet1!AE129)</f>
        <v>Vivaan</v>
      </c>
      <c r="BB130" s="40" t="str">
        <f>_xlfn.CONCAT(Sheet1!AE129," ",Sheet1!AF129)</f>
        <v>Vivaan Singh</v>
      </c>
      <c r="BL130" s="40" t="str">
        <v>Smartphone</v>
      </c>
    </row>
    <row r="131" spans="40:64">
      <c r="AN131" s="49">
        <f>Sheet1!B130</f>
        <v>45538</v>
      </c>
      <c r="AO131" s="50">
        <f t="shared" si="15"/>
        <v>3</v>
      </c>
      <c r="AP131" s="50">
        <f t="shared" si="9"/>
        <v>9</v>
      </c>
      <c r="AQ131" s="50">
        <f t="shared" si="10"/>
        <v>2024</v>
      </c>
      <c r="AR131" s="50" t="str">
        <f t="shared" si="11"/>
        <v>Sep-2024</v>
      </c>
      <c r="AS131" s="52">
        <f t="shared" si="12"/>
        <v>45538</v>
      </c>
      <c r="AT131" s="44">
        <f t="shared" ca="1" si="13"/>
        <v>740</v>
      </c>
      <c r="AU131" s="40" t="str">
        <f>LEFT(Sheet1!AE130,3)</f>
        <v>Ana</v>
      </c>
      <c r="AV131" s="40" t="str">
        <f>RIGHT(Sheet1!AF130,2)</f>
        <v>av</v>
      </c>
      <c r="AW131" s="40" t="str">
        <f>MID(Sheet1!AE130,2,3)</f>
        <v>nan</v>
      </c>
      <c r="AX131" s="42">
        <f>LEN(Sheet1!AE130)</f>
        <v>6</v>
      </c>
      <c r="AY131" s="40" t="str">
        <f>UPPER(Sheet1!AE130)</f>
        <v>ANANYA</v>
      </c>
      <c r="AZ131" s="40" t="str">
        <f>LOWER(Sheet1!AE130)</f>
        <v>ananya</v>
      </c>
      <c r="BA131" s="40" t="str">
        <f>PROPER(Sheet1!AE130)</f>
        <v>Ananya</v>
      </c>
      <c r="BB131" s="40" t="str">
        <f>_xlfn.CONCAT(Sheet1!AE130," ",Sheet1!AF130)</f>
        <v>Ananya Yadav</v>
      </c>
      <c r="BL131" s="40" t="str">
        <v>Smartphone</v>
      </c>
    </row>
    <row r="132" spans="40:64">
      <c r="AN132" s="49">
        <f>Sheet1!B131</f>
        <v>45539</v>
      </c>
      <c r="AO132" s="50">
        <f t="shared" si="15"/>
        <v>5</v>
      </c>
      <c r="AP132" s="50">
        <f t="shared" ref="AP132:AP195" si="16">IFERROR(MONTH(AN132),VALUE(MID(AN132,4,2)))</f>
        <v>9</v>
      </c>
      <c r="AQ132" s="50">
        <f t="shared" ref="AQ132:AQ195" si="17">IFERROR(YEAR(AN132),VALUE(RIGHT(AN132,4)))</f>
        <v>2024</v>
      </c>
      <c r="AR132" s="50" t="str">
        <f t="shared" ref="AR132:AR195" si="18">IF(ISNUMBER(AN132),TEXT(AN132,"mmm-yyyy"),TEXT(DATE(VALUE(RIGHT(AN132,4)),VALUE(MID(AN132,4,2)),VALUE(LEFT(AN132,2))),"mmm-yyyy"))</f>
        <v>Sep-2024</v>
      </c>
      <c r="AS132" s="52">
        <f t="shared" ref="AS132:AS195" si="19">DATE(AQ132,AP132,AO132)</f>
        <v>45540</v>
      </c>
      <c r="AT132" s="44">
        <f t="shared" ref="AT132:AT195" ca="1" si="20">TODAY()-AS132</f>
        <v>738</v>
      </c>
      <c r="AU132" s="40" t="str">
        <f>LEFT(Sheet1!AE131,3)</f>
        <v>Sne</v>
      </c>
      <c r="AV132" s="40" t="str">
        <f>RIGHT(Sheet1!AF131,2)</f>
        <v>ra</v>
      </c>
      <c r="AW132" s="40" t="str">
        <f>MID(Sheet1!AE131,2,3)</f>
        <v>neh</v>
      </c>
      <c r="AX132" s="42">
        <f>LEN(Sheet1!AE131)</f>
        <v>5</v>
      </c>
      <c r="AY132" s="40" t="str">
        <f>UPPER(Sheet1!AE131)</f>
        <v>SNEHA</v>
      </c>
      <c r="AZ132" s="40" t="str">
        <f>LOWER(Sheet1!AE131)</f>
        <v>sneha</v>
      </c>
      <c r="BA132" s="40" t="str">
        <f>PROPER(Sheet1!AE131)</f>
        <v>Sneha</v>
      </c>
      <c r="BB132" s="40" t="str">
        <f>_xlfn.CONCAT(Sheet1!AE131," ",Sheet1!AF131)</f>
        <v>Sneha Mishra</v>
      </c>
      <c r="BL132" s="40" t="str">
        <v>Tablet</v>
      </c>
    </row>
    <row r="133" spans="40:64">
      <c r="AN133" s="49">
        <f>Sheet1!B132</f>
        <v>45539</v>
      </c>
      <c r="AO133" s="50">
        <f t="shared" si="15"/>
        <v>5</v>
      </c>
      <c r="AP133" s="50">
        <f t="shared" si="16"/>
        <v>9</v>
      </c>
      <c r="AQ133" s="50">
        <f t="shared" si="17"/>
        <v>2024</v>
      </c>
      <c r="AR133" s="50" t="str">
        <f t="shared" si="18"/>
        <v>Sep-2024</v>
      </c>
      <c r="AS133" s="52">
        <f t="shared" si="19"/>
        <v>45540</v>
      </c>
      <c r="AT133" s="44">
        <f t="shared" ca="1" si="20"/>
        <v>738</v>
      </c>
      <c r="AU133" s="40" t="str">
        <f>LEFT(Sheet1!AE132,3)</f>
        <v>Kar</v>
      </c>
      <c r="AV133" s="40" t="str">
        <f>RIGHT(Sheet1!AF132,2)</f>
        <v>ra</v>
      </c>
      <c r="AW133" s="40" t="str">
        <f>MID(Sheet1!AE132,2,3)</f>
        <v>ara</v>
      </c>
      <c r="AX133" s="42">
        <f>LEN(Sheet1!AE132)</f>
        <v>5</v>
      </c>
      <c r="AY133" s="40" t="str">
        <f>UPPER(Sheet1!AE132)</f>
        <v>KARAN</v>
      </c>
      <c r="AZ133" s="40" t="str">
        <f>LOWER(Sheet1!AE132)</f>
        <v>karan</v>
      </c>
      <c r="BA133" s="40" t="str">
        <f>PROPER(Sheet1!AE132)</f>
        <v>Karan</v>
      </c>
      <c r="BB133" s="40" t="str">
        <f>_xlfn.CONCAT(Sheet1!AE132," ",Sheet1!AF132)</f>
        <v>Karan Mishra</v>
      </c>
      <c r="BL133" s="40" t="str">
        <v>Headphones</v>
      </c>
    </row>
    <row r="134" spans="40:64">
      <c r="AN134" s="49">
        <f>Sheet1!B133</f>
        <v>45539</v>
      </c>
      <c r="AO134" s="50">
        <f t="shared" si="15"/>
        <v>6</v>
      </c>
      <c r="AP134" s="50">
        <f t="shared" si="16"/>
        <v>9</v>
      </c>
      <c r="AQ134" s="50">
        <f t="shared" si="17"/>
        <v>2024</v>
      </c>
      <c r="AR134" s="50" t="str">
        <f t="shared" si="18"/>
        <v>Sep-2024</v>
      </c>
      <c r="AS134" s="52">
        <f t="shared" si="19"/>
        <v>45541</v>
      </c>
      <c r="AT134" s="44">
        <f t="shared" ca="1" si="20"/>
        <v>737</v>
      </c>
      <c r="AU134" s="40" t="str">
        <f>LEFT(Sheet1!AE133,3)</f>
        <v>Viv</v>
      </c>
      <c r="AV134" s="40" t="str">
        <f>RIGHT(Sheet1!AF133,2)</f>
        <v>ma</v>
      </c>
      <c r="AW134" s="40" t="str">
        <f>MID(Sheet1!AE133,2,3)</f>
        <v>iva</v>
      </c>
      <c r="AX134" s="42">
        <f>LEN(Sheet1!AE133)</f>
        <v>6</v>
      </c>
      <c r="AY134" s="40" t="str">
        <f>UPPER(Sheet1!AE133)</f>
        <v>VIVAAN</v>
      </c>
      <c r="AZ134" s="40" t="str">
        <f>LOWER(Sheet1!AE133)</f>
        <v>vivaan</v>
      </c>
      <c r="BA134" s="40" t="str">
        <f>PROPER(Sheet1!AE133)</f>
        <v>Vivaan</v>
      </c>
      <c r="BB134" s="40" t="str">
        <f>_xlfn.CONCAT(Sheet1!AE133," ",Sheet1!AF133)</f>
        <v>Vivaan Verma</v>
      </c>
      <c r="BL134" s="40" t="str">
        <v>Laptop</v>
      </c>
    </row>
    <row r="135" spans="40:64">
      <c r="AN135" s="49">
        <f>Sheet1!B134</f>
        <v>45540</v>
      </c>
      <c r="AO135" s="50">
        <f t="shared" si="15"/>
        <v>9</v>
      </c>
      <c r="AP135" s="50">
        <f t="shared" si="16"/>
        <v>9</v>
      </c>
      <c r="AQ135" s="50">
        <f t="shared" si="17"/>
        <v>2024</v>
      </c>
      <c r="AR135" s="50" t="str">
        <f t="shared" si="18"/>
        <v>Sep-2024</v>
      </c>
      <c r="AS135" s="52">
        <f t="shared" si="19"/>
        <v>45544</v>
      </c>
      <c r="AT135" s="44">
        <f t="shared" ca="1" si="20"/>
        <v>734</v>
      </c>
      <c r="AU135" s="40" t="str">
        <f>LEFT(Sheet1!AE134,3)</f>
        <v>Adi</v>
      </c>
      <c r="AV135" s="40" t="str">
        <f>RIGHT(Sheet1!AF134,2)</f>
        <v>ra</v>
      </c>
      <c r="AW135" s="40" t="str">
        <f>MID(Sheet1!AE134,2,3)</f>
        <v>dit</v>
      </c>
      <c r="AX135" s="42">
        <f>LEN(Sheet1!AE134)</f>
        <v>6</v>
      </c>
      <c r="AY135" s="40" t="str">
        <f>UPPER(Sheet1!AE134)</f>
        <v>ADITYA</v>
      </c>
      <c r="AZ135" s="40" t="str">
        <f>LOWER(Sheet1!AE134)</f>
        <v>aditya</v>
      </c>
      <c r="BA135" s="40" t="str">
        <f>PROPER(Sheet1!AE134)</f>
        <v>Aditya</v>
      </c>
      <c r="BB135" s="40" t="str">
        <f>_xlfn.CONCAT(Sheet1!AE134," ",Sheet1!AF134)</f>
        <v>Aditya Chopra</v>
      </c>
      <c r="BL135" s="40" t="str">
        <v>Headphones</v>
      </c>
    </row>
    <row r="136" spans="40:64">
      <c r="AN136" s="49">
        <f>Sheet1!B135</f>
        <v>45540</v>
      </c>
      <c r="AO136" s="50">
        <f t="shared" si="15"/>
        <v>9</v>
      </c>
      <c r="AP136" s="50">
        <f t="shared" si="16"/>
        <v>9</v>
      </c>
      <c r="AQ136" s="50">
        <f t="shared" si="17"/>
        <v>2024</v>
      </c>
      <c r="AR136" s="50" t="str">
        <f t="shared" si="18"/>
        <v>Sep-2024</v>
      </c>
      <c r="AS136" s="52">
        <f t="shared" si="19"/>
        <v>45544</v>
      </c>
      <c r="AT136" s="44">
        <f t="shared" ca="1" si="20"/>
        <v>734</v>
      </c>
      <c r="AU136" s="40" t="str">
        <f>LEFT(Sheet1!AE135,3)</f>
        <v>Kav</v>
      </c>
      <c r="AV136" s="40" t="str">
        <f>RIGHT(Sheet1!AF135,2)</f>
        <v>ra</v>
      </c>
      <c r="AW136" s="40" t="str">
        <f>MID(Sheet1!AE135,2,3)</f>
        <v>avy</v>
      </c>
      <c r="AX136" s="42">
        <f>LEN(Sheet1!AE135)</f>
        <v>5</v>
      </c>
      <c r="AY136" s="40" t="str">
        <f>UPPER(Sheet1!AE135)</f>
        <v>KAVYA</v>
      </c>
      <c r="AZ136" s="40" t="str">
        <f>LOWER(Sheet1!AE135)</f>
        <v>kavya</v>
      </c>
      <c r="BA136" s="40" t="str">
        <f>PROPER(Sheet1!AE135)</f>
        <v>Kavya</v>
      </c>
      <c r="BB136" s="40" t="str">
        <f>_xlfn.CONCAT(Sheet1!AE135," ",Sheet1!AF135)</f>
        <v>Kavya Chopra</v>
      </c>
      <c r="BL136" s="40" t="str">
        <v>Laptop</v>
      </c>
    </row>
    <row r="137" spans="40:64">
      <c r="AN137" s="49">
        <f>Sheet1!B136</f>
        <v>45541</v>
      </c>
      <c r="AO137" s="50">
        <f t="shared" si="15"/>
        <v>10</v>
      </c>
      <c r="AP137" s="50">
        <f t="shared" si="16"/>
        <v>9</v>
      </c>
      <c r="AQ137" s="50">
        <f t="shared" si="17"/>
        <v>2024</v>
      </c>
      <c r="AR137" s="50" t="str">
        <f t="shared" si="18"/>
        <v>Sep-2024</v>
      </c>
      <c r="AS137" s="52">
        <f t="shared" si="19"/>
        <v>45545</v>
      </c>
      <c r="AT137" s="44">
        <f t="shared" ca="1" si="20"/>
        <v>733</v>
      </c>
      <c r="AU137" s="40" t="str">
        <f>LEFT(Sheet1!AE136,3)</f>
        <v>Rah</v>
      </c>
      <c r="AV137" s="40" t="str">
        <f>RIGHT(Sheet1!AF136,2)</f>
        <v>gh</v>
      </c>
      <c r="AW137" s="40" t="str">
        <f>MID(Sheet1!AE136,2,3)</f>
        <v>ahu</v>
      </c>
      <c r="AX137" s="42">
        <f>LEN(Sheet1!AE136)</f>
        <v>5</v>
      </c>
      <c r="AY137" s="40" t="str">
        <f>UPPER(Sheet1!AE136)</f>
        <v>RAHUL</v>
      </c>
      <c r="AZ137" s="40" t="str">
        <f>LOWER(Sheet1!AE136)</f>
        <v>rahul</v>
      </c>
      <c r="BA137" s="40" t="str">
        <f>PROPER(Sheet1!AE136)</f>
        <v>Rahul</v>
      </c>
      <c r="BB137" s="40" t="str">
        <f>_xlfn.CONCAT(Sheet1!AE136," ",Sheet1!AF136)</f>
        <v>Rahul Singh</v>
      </c>
      <c r="BL137" s="40" t="str">
        <v>Laptop</v>
      </c>
    </row>
    <row r="138" spans="40:64">
      <c r="AN138" s="49">
        <f>Sheet1!B137</f>
        <v>45541</v>
      </c>
      <c r="AO138" s="50">
        <f t="shared" si="15"/>
        <v>10</v>
      </c>
      <c r="AP138" s="50">
        <f t="shared" si="16"/>
        <v>9</v>
      </c>
      <c r="AQ138" s="50">
        <f t="shared" si="17"/>
        <v>2024</v>
      </c>
      <c r="AR138" s="50" t="str">
        <f t="shared" si="18"/>
        <v>Sep-2024</v>
      </c>
      <c r="AS138" s="52">
        <f t="shared" si="19"/>
        <v>45545</v>
      </c>
      <c r="AT138" s="44">
        <f t="shared" ca="1" si="20"/>
        <v>733</v>
      </c>
      <c r="AU138" s="40" t="str">
        <f>LEFT(Sheet1!AE137,3)</f>
        <v>Ish</v>
      </c>
      <c r="AV138" s="40" t="str">
        <f>RIGHT(Sheet1!AF137,2)</f>
        <v>ra</v>
      </c>
      <c r="AW138" s="40" t="str">
        <f>MID(Sheet1!AE137,2,3)</f>
        <v>shi</v>
      </c>
      <c r="AX138" s="42">
        <f>LEN(Sheet1!AE137)</f>
        <v>6</v>
      </c>
      <c r="AY138" s="40" t="str">
        <f>UPPER(Sheet1!AE137)</f>
        <v>ISHITA</v>
      </c>
      <c r="AZ138" s="40" t="str">
        <f>LOWER(Sheet1!AE137)</f>
        <v>ishita</v>
      </c>
      <c r="BA138" s="40" t="str">
        <f>PROPER(Sheet1!AE137)</f>
        <v>Ishita</v>
      </c>
      <c r="BB138" s="40" t="str">
        <f>_xlfn.CONCAT(Sheet1!AE137," ",Sheet1!AF137)</f>
        <v>Ishita Chopra</v>
      </c>
      <c r="BL138" s="40" t="str">
        <v>Tablet</v>
      </c>
    </row>
    <row r="139" spans="40:64">
      <c r="AN139" s="49">
        <f>Sheet1!B138</f>
        <v>45541</v>
      </c>
      <c r="AO139" s="50">
        <f t="shared" si="15"/>
        <v>12</v>
      </c>
      <c r="AP139" s="50">
        <f t="shared" si="16"/>
        <v>9</v>
      </c>
      <c r="AQ139" s="50">
        <f t="shared" si="17"/>
        <v>2024</v>
      </c>
      <c r="AR139" s="50" t="str">
        <f t="shared" si="18"/>
        <v>Sep-2024</v>
      </c>
      <c r="AS139" s="52">
        <f t="shared" si="19"/>
        <v>45547</v>
      </c>
      <c r="AT139" s="44">
        <f t="shared" ca="1" si="20"/>
        <v>731</v>
      </c>
      <c r="AU139" s="40" t="str">
        <f>LEFT(Sheet1!AE138,3)</f>
        <v>Sne</v>
      </c>
      <c r="AV139" s="40" t="str">
        <f>RIGHT(Sheet1!AF138,2)</f>
        <v>ra</v>
      </c>
      <c r="AW139" s="40" t="str">
        <f>MID(Sheet1!AE138,2,3)</f>
        <v>neh</v>
      </c>
      <c r="AX139" s="42">
        <f>LEN(Sheet1!AE138)</f>
        <v>5</v>
      </c>
      <c r="AY139" s="40" t="str">
        <f>UPPER(Sheet1!AE138)</f>
        <v>SNEHA</v>
      </c>
      <c r="AZ139" s="40" t="str">
        <f>LOWER(Sheet1!AE138)</f>
        <v>sneha</v>
      </c>
      <c r="BA139" s="40" t="str">
        <f>PROPER(Sheet1!AE138)</f>
        <v>Sneha</v>
      </c>
      <c r="BB139" s="40" t="str">
        <f>_xlfn.CONCAT(Sheet1!AE138," ",Sheet1!AF138)</f>
        <v>Sneha Chopra</v>
      </c>
      <c r="BL139" s="40" t="str">
        <v>Tablet</v>
      </c>
    </row>
    <row r="140" spans="40:64">
      <c r="AN140" s="49">
        <f>Sheet1!B139</f>
        <v>45542</v>
      </c>
      <c r="AO140" s="50">
        <f t="shared" si="15"/>
        <v>1</v>
      </c>
      <c r="AP140" s="50">
        <f t="shared" si="16"/>
        <v>9</v>
      </c>
      <c r="AQ140" s="50">
        <f t="shared" si="17"/>
        <v>2024</v>
      </c>
      <c r="AR140" s="50" t="str">
        <f t="shared" si="18"/>
        <v>Sep-2024</v>
      </c>
      <c r="AS140" s="52">
        <f t="shared" si="19"/>
        <v>45536</v>
      </c>
      <c r="AT140" s="44">
        <f t="shared" ca="1" si="20"/>
        <v>742</v>
      </c>
      <c r="AU140" s="40" t="str">
        <f>LEFT(Sheet1!AE139,3)</f>
        <v>Sne</v>
      </c>
      <c r="AV140" s="40" t="str">
        <f>RIGHT(Sheet1!AF139,2)</f>
        <v>gh</v>
      </c>
      <c r="AW140" s="40" t="str">
        <f>MID(Sheet1!AE139,2,3)</f>
        <v>neh</v>
      </c>
      <c r="AX140" s="42">
        <f>LEN(Sheet1!AE139)</f>
        <v>5</v>
      </c>
      <c r="AY140" s="40" t="str">
        <f>UPPER(Sheet1!AE139)</f>
        <v>SNEHA</v>
      </c>
      <c r="AZ140" s="40" t="str">
        <f>LOWER(Sheet1!AE139)</f>
        <v>sneha</v>
      </c>
      <c r="BA140" s="40" t="str">
        <f>PROPER(Sheet1!AE139)</f>
        <v>Sneha</v>
      </c>
      <c r="BB140" s="40" t="str">
        <f>_xlfn.CONCAT(Sheet1!AE139," ",Sheet1!AF139)</f>
        <v>Sneha Singh</v>
      </c>
      <c r="BL140" s="40" t="str">
        <v>Tablet</v>
      </c>
    </row>
    <row r="141" spans="40:64">
      <c r="AN141" s="49">
        <f>Sheet1!B140</f>
        <v>45543</v>
      </c>
      <c r="AO141" s="50">
        <f t="shared" si="15"/>
        <v>1</v>
      </c>
      <c r="AP141" s="50">
        <f t="shared" si="16"/>
        <v>9</v>
      </c>
      <c r="AQ141" s="50">
        <f t="shared" si="17"/>
        <v>2024</v>
      </c>
      <c r="AR141" s="50" t="str">
        <f t="shared" si="18"/>
        <v>Sep-2024</v>
      </c>
      <c r="AS141" s="52">
        <f t="shared" si="19"/>
        <v>45536</v>
      </c>
      <c r="AT141" s="44">
        <f t="shared" ca="1" si="20"/>
        <v>742</v>
      </c>
      <c r="AU141" s="40" t="str">
        <f>LEFT(Sheet1!AE140,3)</f>
        <v>Nis</v>
      </c>
      <c r="AV141" s="40" t="str">
        <f>RIGHT(Sheet1!AF140,2)</f>
        <v>gh</v>
      </c>
      <c r="AW141" s="40" t="str">
        <f>MID(Sheet1!AE140,2,3)</f>
        <v>ish</v>
      </c>
      <c r="AX141" s="42">
        <f>LEN(Sheet1!AE140)</f>
        <v>5</v>
      </c>
      <c r="AY141" s="40" t="str">
        <f>UPPER(Sheet1!AE140)</f>
        <v>NISHA</v>
      </c>
      <c r="AZ141" s="40" t="str">
        <f>LOWER(Sheet1!AE140)</f>
        <v>nisha</v>
      </c>
      <c r="BA141" s="40" t="str">
        <f>PROPER(Sheet1!AE140)</f>
        <v>Nisha</v>
      </c>
      <c r="BB141" s="40" t="str">
        <f>_xlfn.CONCAT(Sheet1!AE140," ",Sheet1!AF140)</f>
        <v>Nisha Singh</v>
      </c>
      <c r="BL141" s="40" t="str">
        <v>Monitor</v>
      </c>
    </row>
    <row r="142" spans="40:64">
      <c r="AN142" s="49">
        <f>Sheet1!B141</f>
        <v>45544</v>
      </c>
      <c r="AO142" s="50">
        <f t="shared" si="15"/>
        <v>2</v>
      </c>
      <c r="AP142" s="50">
        <f t="shared" si="16"/>
        <v>9</v>
      </c>
      <c r="AQ142" s="50">
        <f t="shared" si="17"/>
        <v>2024</v>
      </c>
      <c r="AR142" s="50" t="str">
        <f t="shared" si="18"/>
        <v>Sep-2024</v>
      </c>
      <c r="AS142" s="52">
        <f t="shared" si="19"/>
        <v>45537</v>
      </c>
      <c r="AT142" s="44">
        <f t="shared" ca="1" si="20"/>
        <v>741</v>
      </c>
      <c r="AU142" s="40" t="str">
        <f>LEFT(Sheet1!AE141,3)</f>
        <v>Viv</v>
      </c>
      <c r="AV142" s="40" t="str">
        <f>RIGHT(Sheet1!AF141,2)</f>
        <v>ra</v>
      </c>
      <c r="AW142" s="40" t="str">
        <f>MID(Sheet1!AE141,2,3)</f>
        <v>iva</v>
      </c>
      <c r="AX142" s="42">
        <f>LEN(Sheet1!AE141)</f>
        <v>6</v>
      </c>
      <c r="AY142" s="40" t="str">
        <f>UPPER(Sheet1!AE141)</f>
        <v>VIVAAN</v>
      </c>
      <c r="AZ142" s="40" t="str">
        <f>LOWER(Sheet1!AE141)</f>
        <v>vivaan</v>
      </c>
      <c r="BA142" s="40" t="str">
        <f>PROPER(Sheet1!AE141)</f>
        <v>Vivaan</v>
      </c>
      <c r="BB142" s="40" t="str">
        <f>_xlfn.CONCAT(Sheet1!AE141," ",Sheet1!AF141)</f>
        <v>Vivaan Mishra</v>
      </c>
      <c r="BL142" s="40" t="str">
        <v>Monitor</v>
      </c>
    </row>
    <row r="143" spans="40:64">
      <c r="AN143" s="49">
        <f>Sheet1!B142</f>
        <v>45544</v>
      </c>
      <c r="AO143" s="50">
        <f t="shared" si="15"/>
        <v>2</v>
      </c>
      <c r="AP143" s="50">
        <f t="shared" si="16"/>
        <v>9</v>
      </c>
      <c r="AQ143" s="50">
        <f t="shared" si="17"/>
        <v>2024</v>
      </c>
      <c r="AR143" s="50" t="str">
        <f t="shared" si="18"/>
        <v>Sep-2024</v>
      </c>
      <c r="AS143" s="52">
        <f t="shared" si="19"/>
        <v>45537</v>
      </c>
      <c r="AT143" s="44">
        <f t="shared" ca="1" si="20"/>
        <v>741</v>
      </c>
      <c r="AU143" s="40" t="str">
        <f>LEFT(Sheet1!AE142,3)</f>
        <v>Kar</v>
      </c>
      <c r="AV143" s="40" t="str">
        <f>RIGHT(Sheet1!AF142,2)</f>
        <v>na</v>
      </c>
      <c r="AW143" s="40" t="str">
        <f>MID(Sheet1!AE142,2,3)</f>
        <v>ara</v>
      </c>
      <c r="AX143" s="42">
        <f>LEN(Sheet1!AE142)</f>
        <v>5</v>
      </c>
      <c r="AY143" s="40" t="str">
        <f>UPPER(Sheet1!AE142)</f>
        <v>KARAN</v>
      </c>
      <c r="AZ143" s="40" t="str">
        <f>LOWER(Sheet1!AE142)</f>
        <v>karan</v>
      </c>
      <c r="BA143" s="40" t="str">
        <f>PROPER(Sheet1!AE142)</f>
        <v>Karan</v>
      </c>
      <c r="BB143" s="40" t="str">
        <f>_xlfn.CONCAT(Sheet1!AE142," ",Sheet1!AF142)</f>
        <v>Karan Saxena</v>
      </c>
      <c r="BL143" s="40" t="str">
        <v>Tablet</v>
      </c>
    </row>
    <row r="144" spans="40:64">
      <c r="AN144" s="49">
        <f>Sheet1!B143</f>
        <v>45545</v>
      </c>
      <c r="AO144" s="50">
        <f t="shared" si="15"/>
        <v>3</v>
      </c>
      <c r="AP144" s="50">
        <f t="shared" si="16"/>
        <v>9</v>
      </c>
      <c r="AQ144" s="50">
        <f t="shared" si="17"/>
        <v>2024</v>
      </c>
      <c r="AR144" s="50" t="str">
        <f t="shared" si="18"/>
        <v>Sep-2024</v>
      </c>
      <c r="AS144" s="52">
        <f t="shared" si="19"/>
        <v>45538</v>
      </c>
      <c r="AT144" s="44">
        <f t="shared" ca="1" si="20"/>
        <v>740</v>
      </c>
      <c r="AU144" s="40" t="str">
        <f>LEFT(Sheet1!AE143,3)</f>
        <v>Pri</v>
      </c>
      <c r="AV144" s="40" t="str">
        <f>RIGHT(Sheet1!AF143,2)</f>
        <v>ra</v>
      </c>
      <c r="AW144" s="40" t="str">
        <f>MID(Sheet1!AE143,2,3)</f>
        <v>riy</v>
      </c>
      <c r="AX144" s="42">
        <f>LEN(Sheet1!AE143)</f>
        <v>5</v>
      </c>
      <c r="AY144" s="40" t="str">
        <f>UPPER(Sheet1!AE143)</f>
        <v>PRIYA</v>
      </c>
      <c r="AZ144" s="40" t="str">
        <f>LOWER(Sheet1!AE143)</f>
        <v>priya</v>
      </c>
      <c r="BA144" s="40" t="str">
        <f>PROPER(Sheet1!AE143)</f>
        <v>Priya</v>
      </c>
      <c r="BB144" s="40" t="str">
        <f>_xlfn.CONCAT(Sheet1!AE143," ",Sheet1!AF143)</f>
        <v>Priya Mishra</v>
      </c>
      <c r="BL144" s="40" t="str">
        <v>Monitor</v>
      </c>
    </row>
    <row r="145" spans="40:64">
      <c r="AN145" s="49">
        <f>Sheet1!B144</f>
        <v>45545</v>
      </c>
      <c r="AO145" s="50">
        <f t="shared" si="15"/>
        <v>4</v>
      </c>
      <c r="AP145" s="50">
        <f t="shared" si="16"/>
        <v>9</v>
      </c>
      <c r="AQ145" s="50">
        <f t="shared" si="17"/>
        <v>2024</v>
      </c>
      <c r="AR145" s="50" t="str">
        <f t="shared" si="18"/>
        <v>Sep-2024</v>
      </c>
      <c r="AS145" s="52">
        <f t="shared" si="19"/>
        <v>45539</v>
      </c>
      <c r="AT145" s="44">
        <f t="shared" ca="1" si="20"/>
        <v>739</v>
      </c>
      <c r="AU145" s="40" t="str">
        <f>LEFT(Sheet1!AE144,3)</f>
        <v>Aar</v>
      </c>
      <c r="AV145" s="40" t="str">
        <f>RIGHT(Sheet1!AF144,2)</f>
        <v>ta</v>
      </c>
      <c r="AW145" s="40" t="str">
        <f>MID(Sheet1!AE144,2,3)</f>
        <v>ara</v>
      </c>
      <c r="AX145" s="42">
        <f>LEN(Sheet1!AE144)</f>
        <v>5</v>
      </c>
      <c r="AY145" s="40" t="str">
        <f>UPPER(Sheet1!AE144)</f>
        <v>AARAV</v>
      </c>
      <c r="AZ145" s="40" t="str">
        <f>LOWER(Sheet1!AE144)</f>
        <v>aarav</v>
      </c>
      <c r="BA145" s="40" t="str">
        <f>PROPER(Sheet1!AE144)</f>
        <v>Aarav</v>
      </c>
      <c r="BB145" s="40" t="str">
        <f>_xlfn.CONCAT(Sheet1!AE144," ",Sheet1!AF144)</f>
        <v>Aarav Gupta</v>
      </c>
      <c r="BL145" s="40" t="str">
        <v>Tablet</v>
      </c>
    </row>
    <row r="146" spans="40:64">
      <c r="AN146" s="49">
        <f>Sheet1!B145</f>
        <v>45546</v>
      </c>
      <c r="AO146" s="50">
        <f t="shared" si="15"/>
        <v>4</v>
      </c>
      <c r="AP146" s="50">
        <f t="shared" si="16"/>
        <v>9</v>
      </c>
      <c r="AQ146" s="50">
        <f t="shared" si="17"/>
        <v>2024</v>
      </c>
      <c r="AR146" s="50" t="str">
        <f t="shared" si="18"/>
        <v>Sep-2024</v>
      </c>
      <c r="AS146" s="52">
        <f t="shared" si="19"/>
        <v>45539</v>
      </c>
      <c r="AT146" s="44">
        <f t="shared" ca="1" si="20"/>
        <v>739</v>
      </c>
      <c r="AU146" s="40" t="str">
        <f>LEFT(Sheet1!AE145,3)</f>
        <v>Ana</v>
      </c>
      <c r="AV146" s="40" t="str">
        <f>RIGHT(Sheet1!AF145,2)</f>
        <v>or</v>
      </c>
      <c r="AW146" s="40" t="str">
        <f>MID(Sheet1!AE145,2,3)</f>
        <v>nan</v>
      </c>
      <c r="AX146" s="42">
        <f>LEN(Sheet1!AE145)</f>
        <v>6</v>
      </c>
      <c r="AY146" s="40" t="str">
        <f>UPPER(Sheet1!AE145)</f>
        <v>ANANYA</v>
      </c>
      <c r="AZ146" s="40" t="str">
        <f>LOWER(Sheet1!AE145)</f>
        <v>ananya</v>
      </c>
      <c r="BA146" s="40" t="str">
        <f>PROPER(Sheet1!AE145)</f>
        <v>Ananya</v>
      </c>
      <c r="BB146" s="40" t="str">
        <f>_xlfn.CONCAT(Sheet1!AE145," ",Sheet1!AF145)</f>
        <v>Ananya Kapoor</v>
      </c>
      <c r="BL146" s="40" t="str">
        <v>Tablet</v>
      </c>
    </row>
    <row r="147" spans="40:64">
      <c r="AN147" s="49">
        <f>Sheet1!B146</f>
        <v>45566</v>
      </c>
      <c r="AO147" s="50">
        <f t="shared" si="15"/>
        <v>4</v>
      </c>
      <c r="AP147" s="50">
        <f t="shared" si="16"/>
        <v>10</v>
      </c>
      <c r="AQ147" s="50">
        <f t="shared" si="17"/>
        <v>2024</v>
      </c>
      <c r="AR147" s="50" t="str">
        <f t="shared" si="18"/>
        <v>Oct-2024</v>
      </c>
      <c r="AS147" s="52">
        <f t="shared" si="19"/>
        <v>45569</v>
      </c>
      <c r="AT147" s="44">
        <f t="shared" ca="1" si="20"/>
        <v>709</v>
      </c>
      <c r="AU147" s="40" t="str">
        <f>LEFT(Sheet1!AE146,3)</f>
        <v>Kav</v>
      </c>
      <c r="AV147" s="40" t="str">
        <f>RIGHT(Sheet1!AF146,2)</f>
        <v>al</v>
      </c>
      <c r="AW147" s="40" t="str">
        <f>MID(Sheet1!AE146,2,3)</f>
        <v>avy</v>
      </c>
      <c r="AX147" s="42">
        <f>LEN(Sheet1!AE146)</f>
        <v>5</v>
      </c>
      <c r="AY147" s="40" t="str">
        <f>UPPER(Sheet1!AE146)</f>
        <v>KAVYA</v>
      </c>
      <c r="AZ147" s="40" t="str">
        <f>LOWER(Sheet1!AE146)</f>
        <v>kavya</v>
      </c>
      <c r="BA147" s="40" t="str">
        <f>PROPER(Sheet1!AE146)</f>
        <v>Kavya</v>
      </c>
      <c r="BB147" s="40" t="str">
        <f>_xlfn.CONCAT(Sheet1!AE146," ",Sheet1!AF146)</f>
        <v>Kavya Agarwal</v>
      </c>
      <c r="BL147" s="40" t="str">
        <v>Smartphone</v>
      </c>
    </row>
    <row r="148" spans="40:64">
      <c r="AN148" s="49">
        <f>Sheet1!B147</f>
        <v>45567</v>
      </c>
      <c r="AO148" s="50">
        <f t="shared" si="15"/>
        <v>4</v>
      </c>
      <c r="AP148" s="50">
        <f t="shared" si="16"/>
        <v>10</v>
      </c>
      <c r="AQ148" s="50">
        <f t="shared" si="17"/>
        <v>2024</v>
      </c>
      <c r="AR148" s="50" t="str">
        <f t="shared" si="18"/>
        <v>Oct-2024</v>
      </c>
      <c r="AS148" s="52">
        <f t="shared" si="19"/>
        <v>45569</v>
      </c>
      <c r="AT148" s="44">
        <f t="shared" ca="1" si="20"/>
        <v>709</v>
      </c>
      <c r="AU148" s="40" t="str">
        <f>LEFT(Sheet1!AE147,3)</f>
        <v>Poo</v>
      </c>
      <c r="AV148" s="40" t="str">
        <f>RIGHT(Sheet1!AF147,2)</f>
        <v>ar</v>
      </c>
      <c r="AW148" s="40" t="str">
        <f>MID(Sheet1!AE147,2,3)</f>
        <v>ooj</v>
      </c>
      <c r="AX148" s="42">
        <f>LEN(Sheet1!AE147)</f>
        <v>5</v>
      </c>
      <c r="AY148" s="40" t="str">
        <f>UPPER(Sheet1!AE147)</f>
        <v>POOJA</v>
      </c>
      <c r="AZ148" s="40" t="str">
        <f>LOWER(Sheet1!AE147)</f>
        <v>pooja</v>
      </c>
      <c r="BA148" s="40" t="str">
        <f>PROPER(Sheet1!AE147)</f>
        <v>Pooja</v>
      </c>
      <c r="BB148" s="40" t="str">
        <f>_xlfn.CONCAT(Sheet1!AE147," ",Sheet1!AF147)</f>
        <v>Pooja Kumar</v>
      </c>
      <c r="BL148" s="40" t="str">
        <v>Tablet</v>
      </c>
    </row>
    <row r="149" spans="40:64">
      <c r="AN149" s="49">
        <f>Sheet1!B148</f>
        <v>45568</v>
      </c>
      <c r="AO149" s="50">
        <f t="shared" si="15"/>
        <v>4</v>
      </c>
      <c r="AP149" s="50">
        <f t="shared" si="16"/>
        <v>10</v>
      </c>
      <c r="AQ149" s="50">
        <f t="shared" si="17"/>
        <v>2024</v>
      </c>
      <c r="AR149" s="50" t="str">
        <f t="shared" si="18"/>
        <v>Oct-2024</v>
      </c>
      <c r="AS149" s="52">
        <f t="shared" si="19"/>
        <v>45569</v>
      </c>
      <c r="AT149" s="44">
        <f t="shared" ca="1" si="20"/>
        <v>709</v>
      </c>
      <c r="AU149" s="40" t="str">
        <f>LEFT(Sheet1!AE148,3)</f>
        <v>Adi</v>
      </c>
      <c r="AV149" s="40" t="str">
        <f>RIGHT(Sheet1!AF148,2)</f>
        <v>ma</v>
      </c>
      <c r="AW149" s="40" t="str">
        <f>MID(Sheet1!AE148,2,3)</f>
        <v>dit</v>
      </c>
      <c r="AX149" s="42">
        <f>LEN(Sheet1!AE148)</f>
        <v>5</v>
      </c>
      <c r="AY149" s="40" t="str">
        <f>UPPER(Sheet1!AE148)</f>
        <v>ADITI</v>
      </c>
      <c r="AZ149" s="40" t="str">
        <f>LOWER(Sheet1!AE148)</f>
        <v>aditi</v>
      </c>
      <c r="BA149" s="40" t="str">
        <f>PROPER(Sheet1!AE148)</f>
        <v>Aditi</v>
      </c>
      <c r="BB149" s="40" t="str">
        <f>_xlfn.CONCAT(Sheet1!AE148," ",Sheet1!AF148)</f>
        <v>Aditi Sharma</v>
      </c>
      <c r="BL149" s="40" t="str">
        <v>Monitor</v>
      </c>
    </row>
    <row r="150" spans="40:64">
      <c r="AN150" s="49">
        <f>Sheet1!B149</f>
        <v>45568</v>
      </c>
      <c r="AO150" s="50">
        <f t="shared" si="15"/>
        <v>4</v>
      </c>
      <c r="AP150" s="50">
        <f t="shared" si="16"/>
        <v>10</v>
      </c>
      <c r="AQ150" s="50">
        <f t="shared" si="17"/>
        <v>2024</v>
      </c>
      <c r="AR150" s="50" t="str">
        <f t="shared" si="18"/>
        <v>Oct-2024</v>
      </c>
      <c r="AS150" s="52">
        <f t="shared" si="19"/>
        <v>45569</v>
      </c>
      <c r="AT150" s="44">
        <f t="shared" ca="1" si="20"/>
        <v>709</v>
      </c>
      <c r="AU150" s="40" t="str">
        <f>LEFT(Sheet1!AE149,3)</f>
        <v>Aar</v>
      </c>
      <c r="AV150" s="40" t="str">
        <f>RIGHT(Sheet1!AF149,2)</f>
        <v>ma</v>
      </c>
      <c r="AW150" s="40" t="str">
        <f>MID(Sheet1!AE149,2,3)</f>
        <v>ara</v>
      </c>
      <c r="AX150" s="42">
        <f>LEN(Sheet1!AE149)</f>
        <v>5</v>
      </c>
      <c r="AY150" s="40" t="str">
        <f>UPPER(Sheet1!AE149)</f>
        <v>AARAV</v>
      </c>
      <c r="AZ150" s="40" t="str">
        <f>LOWER(Sheet1!AE149)</f>
        <v>aarav</v>
      </c>
      <c r="BA150" s="40" t="str">
        <f>PROPER(Sheet1!AE149)</f>
        <v>Aarav</v>
      </c>
      <c r="BB150" s="40" t="str">
        <f>_xlfn.CONCAT(Sheet1!AE149," ",Sheet1!AF149)</f>
        <v>Aarav Verma</v>
      </c>
      <c r="BL150" s="40" t="str">
        <v>Headphones</v>
      </c>
    </row>
    <row r="151" spans="40:64">
      <c r="AN151" s="49">
        <f>Sheet1!B150</f>
        <v>45569</v>
      </c>
      <c r="AO151" s="50">
        <f t="shared" si="15"/>
        <v>5</v>
      </c>
      <c r="AP151" s="50">
        <f t="shared" si="16"/>
        <v>10</v>
      </c>
      <c r="AQ151" s="50">
        <f t="shared" si="17"/>
        <v>2024</v>
      </c>
      <c r="AR151" s="50" t="str">
        <f t="shared" si="18"/>
        <v>Oct-2024</v>
      </c>
      <c r="AS151" s="52">
        <f t="shared" si="19"/>
        <v>45570</v>
      </c>
      <c r="AT151" s="44">
        <f t="shared" ca="1" si="20"/>
        <v>708</v>
      </c>
      <c r="AU151" s="40" t="str">
        <f>LEFT(Sheet1!AE150,3)</f>
        <v>Ish</v>
      </c>
      <c r="AV151" s="40" t="str">
        <f>RIGHT(Sheet1!AF150,2)</f>
        <v>al</v>
      </c>
      <c r="AW151" s="40" t="str">
        <f>MID(Sheet1!AE150,2,3)</f>
        <v>shi</v>
      </c>
      <c r="AX151" s="42">
        <f>LEN(Sheet1!AE150)</f>
        <v>6</v>
      </c>
      <c r="AY151" s="40" t="str">
        <f>UPPER(Sheet1!AE150)</f>
        <v>ISHITA</v>
      </c>
      <c r="AZ151" s="40" t="str">
        <f>LOWER(Sheet1!AE150)</f>
        <v>ishita</v>
      </c>
      <c r="BA151" s="40" t="str">
        <f>PROPER(Sheet1!AE150)</f>
        <v>Ishita</v>
      </c>
      <c r="BB151" s="40" t="str">
        <f>_xlfn.CONCAT(Sheet1!AE150," ",Sheet1!AF150)</f>
        <v>Ishita Bansal</v>
      </c>
      <c r="BL151" s="40" t="str">
        <v>Tablet</v>
      </c>
    </row>
    <row r="152" spans="40:64">
      <c r="AN152" s="49">
        <f>Sheet1!B151</f>
        <v>45569</v>
      </c>
      <c r="AO152" s="50">
        <f t="shared" si="15"/>
        <v>5</v>
      </c>
      <c r="AP152" s="50">
        <f t="shared" si="16"/>
        <v>10</v>
      </c>
      <c r="AQ152" s="50">
        <f t="shared" si="17"/>
        <v>2024</v>
      </c>
      <c r="AR152" s="50" t="str">
        <f t="shared" si="18"/>
        <v>Oct-2024</v>
      </c>
      <c r="AS152" s="52">
        <f t="shared" si="19"/>
        <v>45570</v>
      </c>
      <c r="AT152" s="44">
        <f t="shared" ca="1" si="20"/>
        <v>708</v>
      </c>
      <c r="AU152" s="40" t="str">
        <f>LEFT(Sheet1!AE151,3)</f>
        <v>Sim</v>
      </c>
      <c r="AV152" s="40" t="str">
        <f>RIGHT(Sheet1!AF151,2)</f>
        <v>ma</v>
      </c>
      <c r="AW152" s="40" t="str">
        <f>MID(Sheet1!AE151,2,3)</f>
        <v>imr</v>
      </c>
      <c r="AX152" s="42">
        <f>LEN(Sheet1!AE151)</f>
        <v>6</v>
      </c>
      <c r="AY152" s="40" t="str">
        <f>UPPER(Sheet1!AE151)</f>
        <v>SIMRAN</v>
      </c>
      <c r="AZ152" s="40" t="str">
        <f>LOWER(Sheet1!AE151)</f>
        <v>simran</v>
      </c>
      <c r="BA152" s="40" t="str">
        <f>PROPER(Sheet1!AE151)</f>
        <v>Simran</v>
      </c>
      <c r="BB152" s="40" t="str">
        <f>_xlfn.CONCAT(Sheet1!AE151," ",Sheet1!AF151)</f>
        <v>Simran Sharma</v>
      </c>
      <c r="BL152" s="40" t="str">
        <v>Laptop</v>
      </c>
    </row>
    <row r="153" spans="40:64">
      <c r="AN153" s="49">
        <f>Sheet1!B152</f>
        <v>45570</v>
      </c>
      <c r="AO153" s="50">
        <f t="shared" si="15"/>
        <v>6</v>
      </c>
      <c r="AP153" s="50">
        <f t="shared" si="16"/>
        <v>10</v>
      </c>
      <c r="AQ153" s="50">
        <f t="shared" si="17"/>
        <v>2024</v>
      </c>
      <c r="AR153" s="50" t="str">
        <f t="shared" si="18"/>
        <v>Oct-2024</v>
      </c>
      <c r="AS153" s="52">
        <f t="shared" si="19"/>
        <v>45571</v>
      </c>
      <c r="AT153" s="44">
        <f t="shared" ca="1" si="20"/>
        <v>707</v>
      </c>
      <c r="AU153" s="40" t="str">
        <f>LEFT(Sheet1!AE152,3)</f>
        <v>Vik</v>
      </c>
      <c r="AV153" s="40" t="str">
        <f>RIGHT(Sheet1!AF152,2)</f>
        <v>ma</v>
      </c>
      <c r="AW153" s="40" t="str">
        <f>MID(Sheet1!AE152,2,3)</f>
        <v>ikr</v>
      </c>
      <c r="AX153" s="42">
        <f>LEN(Sheet1!AE152)</f>
        <v>6</v>
      </c>
      <c r="AY153" s="40" t="str">
        <f>UPPER(Sheet1!AE152)</f>
        <v>VIKRAM</v>
      </c>
      <c r="AZ153" s="40" t="str">
        <f>LOWER(Sheet1!AE152)</f>
        <v>vikram</v>
      </c>
      <c r="BA153" s="40" t="str">
        <f>PROPER(Sheet1!AE152)</f>
        <v>Vikram</v>
      </c>
      <c r="BB153" s="40" t="str">
        <f>_xlfn.CONCAT(Sheet1!AE152," ",Sheet1!AF152)</f>
        <v>Vikram Sharma</v>
      </c>
      <c r="BL153" s="40" t="str">
        <v>Headphones</v>
      </c>
    </row>
    <row r="154" spans="40:64">
      <c r="AN154" s="49">
        <f>Sheet1!B153</f>
        <v>45571</v>
      </c>
      <c r="AO154" s="50">
        <f t="shared" si="15"/>
        <v>7</v>
      </c>
      <c r="AP154" s="50">
        <f t="shared" si="16"/>
        <v>10</v>
      </c>
      <c r="AQ154" s="50">
        <f t="shared" si="17"/>
        <v>2024</v>
      </c>
      <c r="AR154" s="50" t="str">
        <f t="shared" si="18"/>
        <v>Oct-2024</v>
      </c>
      <c r="AS154" s="52">
        <f t="shared" si="19"/>
        <v>45572</v>
      </c>
      <c r="AT154" s="44">
        <f t="shared" ca="1" si="20"/>
        <v>706</v>
      </c>
      <c r="AU154" s="40" t="str">
        <f>LEFT(Sheet1!AE153,3)</f>
        <v>Adi</v>
      </c>
      <c r="AV154" s="40" t="str">
        <f>RIGHT(Sheet1!AF153,2)</f>
        <v>al</v>
      </c>
      <c r="AW154" s="40" t="str">
        <f>MID(Sheet1!AE153,2,3)</f>
        <v>dit</v>
      </c>
      <c r="AX154" s="42">
        <f>LEN(Sheet1!AE153)</f>
        <v>6</v>
      </c>
      <c r="AY154" s="40" t="str">
        <f>UPPER(Sheet1!AE153)</f>
        <v>ADITYA</v>
      </c>
      <c r="AZ154" s="40" t="str">
        <f>LOWER(Sheet1!AE153)</f>
        <v>aditya</v>
      </c>
      <c r="BA154" s="40" t="str">
        <f>PROPER(Sheet1!AE153)</f>
        <v>Aditya</v>
      </c>
      <c r="BB154" s="40" t="str">
        <f>_xlfn.CONCAT(Sheet1!AE153," ",Sheet1!AF153)</f>
        <v>Aditya Bansal</v>
      </c>
      <c r="BL154" s="40" t="str">
        <v>Laptop</v>
      </c>
    </row>
    <row r="155" spans="40:64">
      <c r="AN155" s="49">
        <f>Sheet1!B154</f>
        <v>45571</v>
      </c>
      <c r="AO155" s="50">
        <f t="shared" si="15"/>
        <v>7</v>
      </c>
      <c r="AP155" s="50">
        <f t="shared" si="16"/>
        <v>10</v>
      </c>
      <c r="AQ155" s="50">
        <f t="shared" si="17"/>
        <v>2024</v>
      </c>
      <c r="AR155" s="50" t="str">
        <f t="shared" si="18"/>
        <v>Oct-2024</v>
      </c>
      <c r="AS155" s="52">
        <f t="shared" si="19"/>
        <v>45572</v>
      </c>
      <c r="AT155" s="44">
        <f t="shared" ca="1" si="20"/>
        <v>706</v>
      </c>
      <c r="AU155" s="40" t="str">
        <f>LEFT(Sheet1!AE154,3)</f>
        <v>Pri</v>
      </c>
      <c r="AV155" s="40" t="str">
        <f>RIGHT(Sheet1!AF154,2)</f>
        <v>ra</v>
      </c>
      <c r="AW155" s="40" t="str">
        <f>MID(Sheet1!AE154,2,3)</f>
        <v>riy</v>
      </c>
      <c r="AX155" s="42">
        <f>LEN(Sheet1!AE154)</f>
        <v>5</v>
      </c>
      <c r="AY155" s="40" t="str">
        <f>UPPER(Sheet1!AE154)</f>
        <v>PRIYA</v>
      </c>
      <c r="AZ155" s="40" t="str">
        <f>LOWER(Sheet1!AE154)</f>
        <v>priya</v>
      </c>
      <c r="BA155" s="40" t="str">
        <f>PROPER(Sheet1!AE154)</f>
        <v>Priya</v>
      </c>
      <c r="BB155" s="40" t="str">
        <f>_xlfn.CONCAT(Sheet1!AE154," ",Sheet1!AF154)</f>
        <v>Priya Mishra</v>
      </c>
      <c r="BL155" s="40" t="str">
        <v>Monitor</v>
      </c>
    </row>
    <row r="156" spans="40:64">
      <c r="AN156" s="49">
        <f>Sheet1!B155</f>
        <v>45571</v>
      </c>
      <c r="AO156" s="50">
        <f t="shared" si="15"/>
        <v>7</v>
      </c>
      <c r="AP156" s="50">
        <f t="shared" si="16"/>
        <v>10</v>
      </c>
      <c r="AQ156" s="50">
        <f t="shared" si="17"/>
        <v>2024</v>
      </c>
      <c r="AR156" s="50" t="str">
        <f t="shared" si="18"/>
        <v>Oct-2024</v>
      </c>
      <c r="AS156" s="52">
        <f t="shared" si="19"/>
        <v>45572</v>
      </c>
      <c r="AT156" s="44">
        <f t="shared" ca="1" si="20"/>
        <v>706</v>
      </c>
      <c r="AU156" s="40" t="str">
        <f>LEFT(Sheet1!AE155,3)</f>
        <v>Riy</v>
      </c>
      <c r="AV156" s="40" t="str">
        <f>RIGHT(Sheet1!AF155,2)</f>
        <v>ra</v>
      </c>
      <c r="AW156" s="40" t="str">
        <f>MID(Sheet1!AE155,2,3)</f>
        <v>iya</v>
      </c>
      <c r="AX156" s="42">
        <f>LEN(Sheet1!AE155)</f>
        <v>4</v>
      </c>
      <c r="AY156" s="40" t="str">
        <f>UPPER(Sheet1!AE155)</f>
        <v>RIYA</v>
      </c>
      <c r="AZ156" s="40" t="str">
        <f>LOWER(Sheet1!AE155)</f>
        <v>riya</v>
      </c>
      <c r="BA156" s="40" t="str">
        <f>PROPER(Sheet1!AE155)</f>
        <v>Riya</v>
      </c>
      <c r="BB156" s="40" t="str">
        <f>_xlfn.CONCAT(Sheet1!AE155," ",Sheet1!AF155)</f>
        <v>Riya Mishra</v>
      </c>
      <c r="BL156" s="40" t="str">
        <v>Headphones</v>
      </c>
    </row>
    <row r="157" spans="40:64">
      <c r="AN157" s="49">
        <f>Sheet1!B156</f>
        <v>45571</v>
      </c>
      <c r="AO157" s="50">
        <f t="shared" si="15"/>
        <v>8</v>
      </c>
      <c r="AP157" s="50">
        <f t="shared" si="16"/>
        <v>10</v>
      </c>
      <c r="AQ157" s="50">
        <f t="shared" si="17"/>
        <v>2024</v>
      </c>
      <c r="AR157" s="50" t="str">
        <f t="shared" si="18"/>
        <v>Oct-2024</v>
      </c>
      <c r="AS157" s="52">
        <f t="shared" si="19"/>
        <v>45573</v>
      </c>
      <c r="AT157" s="44">
        <f t="shared" ca="1" si="20"/>
        <v>705</v>
      </c>
      <c r="AU157" s="40" t="str">
        <f>LEFT(Sheet1!AE156,3)</f>
        <v>Roh</v>
      </c>
      <c r="AV157" s="40" t="str">
        <f>RIGHT(Sheet1!AF156,2)</f>
        <v>av</v>
      </c>
      <c r="AW157" s="40" t="str">
        <f>MID(Sheet1!AE156,2,3)</f>
        <v>oha</v>
      </c>
      <c r="AX157" s="42">
        <f>LEN(Sheet1!AE156)</f>
        <v>5</v>
      </c>
      <c r="AY157" s="40" t="str">
        <f>UPPER(Sheet1!AE156)</f>
        <v>ROHAN</v>
      </c>
      <c r="AZ157" s="40" t="str">
        <f>LOWER(Sheet1!AE156)</f>
        <v>rohan</v>
      </c>
      <c r="BA157" s="40" t="str">
        <f>PROPER(Sheet1!AE156)</f>
        <v>Rohan</v>
      </c>
      <c r="BB157" s="40" t="str">
        <f>_xlfn.CONCAT(Sheet1!AE156," ",Sheet1!AF156)</f>
        <v>Rohan Yadav</v>
      </c>
      <c r="BL157" s="40" t="str">
        <v>Headphones</v>
      </c>
    </row>
    <row r="158" spans="40:64">
      <c r="AN158" s="49">
        <f>Sheet1!B157</f>
        <v>45572</v>
      </c>
      <c r="AO158" s="50">
        <f t="shared" si="15"/>
        <v>9</v>
      </c>
      <c r="AP158" s="50">
        <f t="shared" si="16"/>
        <v>10</v>
      </c>
      <c r="AQ158" s="50">
        <f t="shared" si="17"/>
        <v>2024</v>
      </c>
      <c r="AR158" s="50" t="str">
        <f t="shared" si="18"/>
        <v>Oct-2024</v>
      </c>
      <c r="AS158" s="52">
        <f t="shared" si="19"/>
        <v>45574</v>
      </c>
      <c r="AT158" s="44">
        <f t="shared" ca="1" si="20"/>
        <v>704</v>
      </c>
      <c r="AU158" s="40" t="str">
        <f>LEFT(Sheet1!AE157,3)</f>
        <v>Ana</v>
      </c>
      <c r="AV158" s="40" t="str">
        <f>RIGHT(Sheet1!AF157,2)</f>
        <v>al</v>
      </c>
      <c r="AW158" s="40" t="str">
        <f>MID(Sheet1!AE157,2,3)</f>
        <v>nan</v>
      </c>
      <c r="AX158" s="42">
        <f>LEN(Sheet1!AE157)</f>
        <v>6</v>
      </c>
      <c r="AY158" s="40" t="str">
        <f>UPPER(Sheet1!AE157)</f>
        <v>ANANYA</v>
      </c>
      <c r="AZ158" s="40" t="str">
        <f>LOWER(Sheet1!AE157)</f>
        <v>ananya</v>
      </c>
      <c r="BA158" s="40" t="str">
        <f>PROPER(Sheet1!AE157)</f>
        <v>Ananya</v>
      </c>
      <c r="BB158" s="40" t="str">
        <f>_xlfn.CONCAT(Sheet1!AE157," ",Sheet1!AF157)</f>
        <v>Ananya Agarwal</v>
      </c>
      <c r="BL158" s="40" t="str">
        <v>Tablet</v>
      </c>
    </row>
    <row r="159" spans="40:64">
      <c r="AN159" s="49">
        <f>Sheet1!B158</f>
        <v>45572</v>
      </c>
      <c r="AO159" s="50">
        <f t="shared" si="15"/>
        <v>10</v>
      </c>
      <c r="AP159" s="50">
        <f t="shared" si="16"/>
        <v>10</v>
      </c>
      <c r="AQ159" s="50">
        <f t="shared" si="17"/>
        <v>2024</v>
      </c>
      <c r="AR159" s="50" t="str">
        <f t="shared" si="18"/>
        <v>Oct-2024</v>
      </c>
      <c r="AS159" s="52">
        <f t="shared" si="19"/>
        <v>45575</v>
      </c>
      <c r="AT159" s="44">
        <f t="shared" ca="1" si="20"/>
        <v>703</v>
      </c>
      <c r="AU159" s="40" t="str">
        <f>LEFT(Sheet1!AE158,3)</f>
        <v>Vik</v>
      </c>
      <c r="AV159" s="40" t="str">
        <f>RIGHT(Sheet1!AF158,2)</f>
        <v>av</v>
      </c>
      <c r="AW159" s="40" t="str">
        <f>MID(Sheet1!AE158,2,3)</f>
        <v>ikr</v>
      </c>
      <c r="AX159" s="42">
        <f>LEN(Sheet1!AE158)</f>
        <v>6</v>
      </c>
      <c r="AY159" s="40" t="str">
        <f>UPPER(Sheet1!AE158)</f>
        <v>VIKRAM</v>
      </c>
      <c r="AZ159" s="40" t="str">
        <f>LOWER(Sheet1!AE158)</f>
        <v>vikram</v>
      </c>
      <c r="BA159" s="40" t="str">
        <f>PROPER(Sheet1!AE158)</f>
        <v>Vikram</v>
      </c>
      <c r="BB159" s="40" t="str">
        <f>_xlfn.CONCAT(Sheet1!AE158," ",Sheet1!AF158)</f>
        <v>Vikram Yadav</v>
      </c>
      <c r="BL159" s="40" t="str">
        <v>Monitor</v>
      </c>
    </row>
    <row r="160" spans="40:64">
      <c r="AN160" s="49">
        <f>Sheet1!B159</f>
        <v>45573</v>
      </c>
      <c r="AO160" s="50">
        <f t="shared" si="15"/>
        <v>10</v>
      </c>
      <c r="AP160" s="50">
        <f t="shared" si="16"/>
        <v>10</v>
      </c>
      <c r="AQ160" s="50">
        <f t="shared" si="17"/>
        <v>2024</v>
      </c>
      <c r="AR160" s="50" t="str">
        <f t="shared" si="18"/>
        <v>Oct-2024</v>
      </c>
      <c r="AS160" s="52">
        <f t="shared" si="19"/>
        <v>45575</v>
      </c>
      <c r="AT160" s="44">
        <f t="shared" ca="1" si="20"/>
        <v>703</v>
      </c>
      <c r="AU160" s="40" t="str">
        <f>LEFT(Sheet1!AE159,3)</f>
        <v>Kav</v>
      </c>
      <c r="AV160" s="40" t="str">
        <f>RIGHT(Sheet1!AF159,2)</f>
        <v>ra</v>
      </c>
      <c r="AW160" s="40" t="str">
        <f>MID(Sheet1!AE159,2,3)</f>
        <v>avy</v>
      </c>
      <c r="AX160" s="42">
        <f>LEN(Sheet1!AE159)</f>
        <v>5</v>
      </c>
      <c r="AY160" s="40" t="str">
        <f>UPPER(Sheet1!AE159)</f>
        <v>KAVYA</v>
      </c>
      <c r="AZ160" s="40" t="str">
        <f>LOWER(Sheet1!AE159)</f>
        <v>kavya</v>
      </c>
      <c r="BA160" s="40" t="str">
        <f>PROPER(Sheet1!AE159)</f>
        <v>Kavya</v>
      </c>
      <c r="BB160" s="40" t="str">
        <f>_xlfn.CONCAT(Sheet1!AE159," ",Sheet1!AF159)</f>
        <v>Kavya Chopra</v>
      </c>
      <c r="BL160" s="40" t="str">
        <v>Headphones</v>
      </c>
    </row>
    <row r="161" spans="40:64">
      <c r="AN161" s="49">
        <f>Sheet1!B160</f>
        <v>45573</v>
      </c>
      <c r="AO161" s="50">
        <f t="shared" si="15"/>
        <v>10</v>
      </c>
      <c r="AP161" s="50">
        <f t="shared" si="16"/>
        <v>10</v>
      </c>
      <c r="AQ161" s="50">
        <f t="shared" si="17"/>
        <v>2024</v>
      </c>
      <c r="AR161" s="50" t="str">
        <f t="shared" si="18"/>
        <v>Oct-2024</v>
      </c>
      <c r="AS161" s="52">
        <f t="shared" si="19"/>
        <v>45575</v>
      </c>
      <c r="AT161" s="44">
        <f t="shared" ca="1" si="20"/>
        <v>703</v>
      </c>
      <c r="AU161" s="40" t="str">
        <f>LEFT(Sheet1!AE160,3)</f>
        <v>Poo</v>
      </c>
      <c r="AV161" s="40" t="str">
        <f>RIGHT(Sheet1!AF160,2)</f>
        <v>na</v>
      </c>
      <c r="AW161" s="40" t="str">
        <f>MID(Sheet1!AE160,2,3)</f>
        <v>ooj</v>
      </c>
      <c r="AX161" s="42">
        <f>LEN(Sheet1!AE160)</f>
        <v>5</v>
      </c>
      <c r="AY161" s="40" t="str">
        <f>UPPER(Sheet1!AE160)</f>
        <v>POOJA</v>
      </c>
      <c r="AZ161" s="40" t="str">
        <f>LOWER(Sheet1!AE160)</f>
        <v>pooja</v>
      </c>
      <c r="BA161" s="40" t="str">
        <f>PROPER(Sheet1!AE160)</f>
        <v>Pooja</v>
      </c>
      <c r="BB161" s="40" t="str">
        <f>_xlfn.CONCAT(Sheet1!AE160," ",Sheet1!AF160)</f>
        <v>Pooja Saxena</v>
      </c>
      <c r="BL161" s="40" t="str">
        <v>Monitor</v>
      </c>
    </row>
    <row r="162" spans="40:64">
      <c r="AN162" s="49">
        <f>Sheet1!B161</f>
        <v>45574</v>
      </c>
      <c r="AO162" s="50">
        <f t="shared" si="15"/>
        <v>12</v>
      </c>
      <c r="AP162" s="50">
        <f t="shared" si="16"/>
        <v>10</v>
      </c>
      <c r="AQ162" s="50">
        <f t="shared" si="17"/>
        <v>2024</v>
      </c>
      <c r="AR162" s="50" t="str">
        <f t="shared" si="18"/>
        <v>Oct-2024</v>
      </c>
      <c r="AS162" s="52">
        <f t="shared" si="19"/>
        <v>45577</v>
      </c>
      <c r="AT162" s="44">
        <f t="shared" ca="1" si="20"/>
        <v>701</v>
      </c>
      <c r="AU162" s="40" t="str">
        <f>LEFT(Sheet1!AE161,3)</f>
        <v>Sne</v>
      </c>
      <c r="AV162" s="40" t="str">
        <f>RIGHT(Sheet1!AF161,2)</f>
        <v>ra</v>
      </c>
      <c r="AW162" s="40" t="str">
        <f>MID(Sheet1!AE161,2,3)</f>
        <v>neh</v>
      </c>
      <c r="AX162" s="42">
        <f>LEN(Sheet1!AE161)</f>
        <v>5</v>
      </c>
      <c r="AY162" s="40" t="str">
        <f>UPPER(Sheet1!AE161)</f>
        <v>SNEHA</v>
      </c>
      <c r="AZ162" s="40" t="str">
        <f>LOWER(Sheet1!AE161)</f>
        <v>sneha</v>
      </c>
      <c r="BA162" s="40" t="str">
        <f>PROPER(Sheet1!AE161)</f>
        <v>Sneha</v>
      </c>
      <c r="BB162" s="40" t="str">
        <f>_xlfn.CONCAT(Sheet1!AE161," ",Sheet1!AF161)</f>
        <v>Sneha Malhotra</v>
      </c>
      <c r="BL162" s="40" t="str">
        <v>Monitor</v>
      </c>
    </row>
    <row r="163" spans="40:64">
      <c r="AN163" s="49">
        <f>Sheet1!B162</f>
        <v>45575</v>
      </c>
      <c r="AO163" s="50">
        <f t="shared" si="15"/>
        <v>1</v>
      </c>
      <c r="AP163" s="50">
        <f t="shared" si="16"/>
        <v>10</v>
      </c>
      <c r="AQ163" s="50">
        <f t="shared" si="17"/>
        <v>2024</v>
      </c>
      <c r="AR163" s="50" t="str">
        <f t="shared" si="18"/>
        <v>Oct-2024</v>
      </c>
      <c r="AS163" s="52">
        <f t="shared" si="19"/>
        <v>45566</v>
      </c>
      <c r="AT163" s="44">
        <f t="shared" ca="1" si="20"/>
        <v>712</v>
      </c>
      <c r="AU163" s="40" t="str">
        <f>LEFT(Sheet1!AE162,3)</f>
        <v>Kav</v>
      </c>
      <c r="AV163" s="40" t="str">
        <f>RIGHT(Sheet1!AF162,2)</f>
        <v>ra</v>
      </c>
      <c r="AW163" s="40" t="str">
        <f>MID(Sheet1!AE162,2,3)</f>
        <v>avy</v>
      </c>
      <c r="AX163" s="42">
        <f>LEN(Sheet1!AE162)</f>
        <v>5</v>
      </c>
      <c r="AY163" s="40" t="str">
        <f>UPPER(Sheet1!AE162)</f>
        <v>KAVYA</v>
      </c>
      <c r="AZ163" s="40" t="str">
        <f>LOWER(Sheet1!AE162)</f>
        <v>kavya</v>
      </c>
      <c r="BA163" s="40" t="str">
        <f>PROPER(Sheet1!AE162)</f>
        <v>Kavya</v>
      </c>
      <c r="BB163" s="40" t="str">
        <f>_xlfn.CONCAT(Sheet1!AE162," ",Sheet1!AF162)</f>
        <v>Kavya Malhotra</v>
      </c>
      <c r="BL163" s="40" t="str">
        <v>Smartphone</v>
      </c>
    </row>
    <row r="164" spans="40:64">
      <c r="AN164" s="49">
        <f>Sheet1!B163</f>
        <v>45575</v>
      </c>
      <c r="AO164" s="50">
        <f t="shared" si="15"/>
        <v>1</v>
      </c>
      <c r="AP164" s="50">
        <f t="shared" si="16"/>
        <v>10</v>
      </c>
      <c r="AQ164" s="50">
        <f t="shared" si="17"/>
        <v>2024</v>
      </c>
      <c r="AR164" s="50" t="str">
        <f t="shared" si="18"/>
        <v>Oct-2024</v>
      </c>
      <c r="AS164" s="52">
        <f t="shared" si="19"/>
        <v>45566</v>
      </c>
      <c r="AT164" s="44">
        <f t="shared" ca="1" si="20"/>
        <v>712</v>
      </c>
      <c r="AU164" s="40" t="str">
        <f>LEFT(Sheet1!AE163,3)</f>
        <v>Viv</v>
      </c>
      <c r="AV164" s="40" t="str">
        <f>RIGHT(Sheet1!AF163,2)</f>
        <v>or</v>
      </c>
      <c r="AW164" s="40" t="str">
        <f>MID(Sheet1!AE163,2,3)</f>
        <v>iva</v>
      </c>
      <c r="AX164" s="42">
        <f>LEN(Sheet1!AE163)</f>
        <v>6</v>
      </c>
      <c r="AY164" s="40" t="str">
        <f>UPPER(Sheet1!AE163)</f>
        <v>VIVAAN</v>
      </c>
      <c r="AZ164" s="40" t="str">
        <f>LOWER(Sheet1!AE163)</f>
        <v>vivaan</v>
      </c>
      <c r="BA164" s="40" t="str">
        <f>PROPER(Sheet1!AE163)</f>
        <v>Vivaan</v>
      </c>
      <c r="BB164" s="40" t="str">
        <f>_xlfn.CONCAT(Sheet1!AE163," ",Sheet1!AF163)</f>
        <v>Vivaan Kapoor</v>
      </c>
      <c r="BL164" s="40" t="str">
        <v>Monitor</v>
      </c>
    </row>
    <row r="165" spans="40:64">
      <c r="AN165" s="49">
        <f>Sheet1!B164</f>
        <v>45576</v>
      </c>
      <c r="AO165" s="50">
        <f t="shared" si="15"/>
        <v>3</v>
      </c>
      <c r="AP165" s="50">
        <f t="shared" si="16"/>
        <v>10</v>
      </c>
      <c r="AQ165" s="50">
        <f t="shared" si="17"/>
        <v>2024</v>
      </c>
      <c r="AR165" s="50" t="str">
        <f t="shared" si="18"/>
        <v>Oct-2024</v>
      </c>
      <c r="AS165" s="52">
        <f t="shared" si="19"/>
        <v>45568</v>
      </c>
      <c r="AT165" s="44">
        <f t="shared" ca="1" si="20"/>
        <v>710</v>
      </c>
      <c r="AU165" s="40" t="str">
        <f>LEFT(Sheet1!AE164,3)</f>
        <v>Neh</v>
      </c>
      <c r="AV165" s="40" t="str">
        <f>RIGHT(Sheet1!AF164,2)</f>
        <v>av</v>
      </c>
      <c r="AW165" s="40" t="str">
        <f>MID(Sheet1!AE164,2,3)</f>
        <v>eha</v>
      </c>
      <c r="AX165" s="42">
        <f>LEN(Sheet1!AE164)</f>
        <v>4</v>
      </c>
      <c r="AY165" s="40" t="str">
        <f>UPPER(Sheet1!AE164)</f>
        <v>NEHA</v>
      </c>
      <c r="AZ165" s="40" t="str">
        <f>LOWER(Sheet1!AE164)</f>
        <v>neha</v>
      </c>
      <c r="BA165" s="40" t="str">
        <f>PROPER(Sheet1!AE164)</f>
        <v>Neha</v>
      </c>
      <c r="BB165" s="40" t="str">
        <f>_xlfn.CONCAT(Sheet1!AE164," ",Sheet1!AF164)</f>
        <v>Neha Yadav</v>
      </c>
      <c r="BL165" s="40" t="str">
        <v>Monitor</v>
      </c>
    </row>
    <row r="166" spans="40:64">
      <c r="AN166" s="49">
        <f>Sheet1!B165</f>
        <v>45597</v>
      </c>
      <c r="AO166" s="50">
        <f t="shared" si="15"/>
        <v>4</v>
      </c>
      <c r="AP166" s="50">
        <f t="shared" si="16"/>
        <v>11</v>
      </c>
      <c r="AQ166" s="50">
        <f t="shared" si="17"/>
        <v>2024</v>
      </c>
      <c r="AR166" s="50" t="str">
        <f t="shared" si="18"/>
        <v>Nov-2024</v>
      </c>
      <c r="AS166" s="52">
        <f t="shared" si="19"/>
        <v>45600</v>
      </c>
      <c r="AT166" s="44">
        <f t="shared" ca="1" si="20"/>
        <v>678</v>
      </c>
      <c r="AU166" s="40" t="str">
        <f>LEFT(Sheet1!AE165,3)</f>
        <v>Roh</v>
      </c>
      <c r="AV166" s="40" t="str">
        <f>RIGHT(Sheet1!AF165,2)</f>
        <v>ar</v>
      </c>
      <c r="AW166" s="40" t="str">
        <f>MID(Sheet1!AE165,2,3)</f>
        <v>oha</v>
      </c>
      <c r="AX166" s="42">
        <f>LEN(Sheet1!AE165)</f>
        <v>5</v>
      </c>
      <c r="AY166" s="40" t="str">
        <f>UPPER(Sheet1!AE165)</f>
        <v>ROHAN</v>
      </c>
      <c r="AZ166" s="40" t="str">
        <f>LOWER(Sheet1!AE165)</f>
        <v>rohan</v>
      </c>
      <c r="BA166" s="40" t="str">
        <f>PROPER(Sheet1!AE165)</f>
        <v>Rohan</v>
      </c>
      <c r="BB166" s="40" t="str">
        <f>_xlfn.CONCAT(Sheet1!AE165," ",Sheet1!AF165)</f>
        <v>Rohan Kumar</v>
      </c>
      <c r="BL166" s="40" t="str">
        <v>Monitor</v>
      </c>
    </row>
    <row r="167" spans="40:64">
      <c r="AN167" s="49">
        <f>Sheet1!B166</f>
        <v>45597</v>
      </c>
      <c r="AO167" s="50">
        <f t="shared" si="15"/>
        <v>4</v>
      </c>
      <c r="AP167" s="50">
        <f t="shared" si="16"/>
        <v>11</v>
      </c>
      <c r="AQ167" s="50">
        <f t="shared" si="17"/>
        <v>2024</v>
      </c>
      <c r="AR167" s="50" t="str">
        <f t="shared" si="18"/>
        <v>Nov-2024</v>
      </c>
      <c r="AS167" s="52">
        <f t="shared" si="19"/>
        <v>45600</v>
      </c>
      <c r="AT167" s="44">
        <f t="shared" ca="1" si="20"/>
        <v>678</v>
      </c>
      <c r="AU167" s="40" t="str">
        <f>LEFT(Sheet1!AE166,3)</f>
        <v>Neh</v>
      </c>
      <c r="AV167" s="40" t="str">
        <f>RIGHT(Sheet1!AF166,2)</f>
        <v>ra</v>
      </c>
      <c r="AW167" s="40" t="str">
        <f>MID(Sheet1!AE166,2,3)</f>
        <v>eha</v>
      </c>
      <c r="AX167" s="42">
        <f>LEN(Sheet1!AE166)</f>
        <v>4</v>
      </c>
      <c r="AY167" s="40" t="str">
        <f>UPPER(Sheet1!AE166)</f>
        <v>NEHA</v>
      </c>
      <c r="AZ167" s="40" t="str">
        <f>LOWER(Sheet1!AE166)</f>
        <v>neha</v>
      </c>
      <c r="BA167" s="40" t="str">
        <f>PROPER(Sheet1!AE166)</f>
        <v>Neha</v>
      </c>
      <c r="BB167" s="40" t="str">
        <f>_xlfn.CONCAT(Sheet1!AE166," ",Sheet1!AF166)</f>
        <v>Neha Mishra</v>
      </c>
      <c r="BL167" s="40" t="str">
        <v>Monitor</v>
      </c>
    </row>
    <row r="168" spans="40:64">
      <c r="AN168" s="49">
        <f>Sheet1!B167</f>
        <v>45597</v>
      </c>
      <c r="AO168" s="50">
        <f t="shared" si="15"/>
        <v>5</v>
      </c>
      <c r="AP168" s="50">
        <f t="shared" si="16"/>
        <v>11</v>
      </c>
      <c r="AQ168" s="50">
        <f t="shared" si="17"/>
        <v>2024</v>
      </c>
      <c r="AR168" s="50" t="str">
        <f t="shared" si="18"/>
        <v>Nov-2024</v>
      </c>
      <c r="AS168" s="52">
        <f t="shared" si="19"/>
        <v>45601</v>
      </c>
      <c r="AT168" s="44">
        <f t="shared" ca="1" si="20"/>
        <v>677</v>
      </c>
      <c r="AU168" s="40" t="str">
        <f>LEFT(Sheet1!AE167,3)</f>
        <v>Rah</v>
      </c>
      <c r="AV168" s="40" t="str">
        <f>RIGHT(Sheet1!AF167,2)</f>
        <v>ar</v>
      </c>
      <c r="AW168" s="40" t="str">
        <f>MID(Sheet1!AE167,2,3)</f>
        <v>ahu</v>
      </c>
      <c r="AX168" s="42">
        <f>LEN(Sheet1!AE167)</f>
        <v>5</v>
      </c>
      <c r="AY168" s="40" t="str">
        <f>UPPER(Sheet1!AE167)</f>
        <v>RAHUL</v>
      </c>
      <c r="AZ168" s="40" t="str">
        <f>LOWER(Sheet1!AE167)</f>
        <v>rahul</v>
      </c>
      <c r="BA168" s="40" t="str">
        <f>PROPER(Sheet1!AE167)</f>
        <v>Rahul</v>
      </c>
      <c r="BB168" s="40" t="str">
        <f>_xlfn.CONCAT(Sheet1!AE167," ",Sheet1!AF167)</f>
        <v>Rahul Kumar</v>
      </c>
      <c r="BL168" s="40" t="str">
        <v>Monitor</v>
      </c>
    </row>
    <row r="169" spans="40:64">
      <c r="AN169" s="49">
        <f>Sheet1!B168</f>
        <v>45598</v>
      </c>
      <c r="AO169" s="50">
        <f t="shared" si="15"/>
        <v>5</v>
      </c>
      <c r="AP169" s="50">
        <f t="shared" si="16"/>
        <v>11</v>
      </c>
      <c r="AQ169" s="50">
        <f t="shared" si="17"/>
        <v>2024</v>
      </c>
      <c r="AR169" s="50" t="str">
        <f t="shared" si="18"/>
        <v>Nov-2024</v>
      </c>
      <c r="AS169" s="52">
        <f t="shared" si="19"/>
        <v>45601</v>
      </c>
      <c r="AT169" s="44">
        <f t="shared" ca="1" si="20"/>
        <v>677</v>
      </c>
      <c r="AU169" s="40" t="str">
        <f>LEFT(Sheet1!AE168,3)</f>
        <v>Viv</v>
      </c>
      <c r="AV169" s="40" t="str">
        <f>RIGHT(Sheet1!AF168,2)</f>
        <v>ra</v>
      </c>
      <c r="AW169" s="40" t="str">
        <f>MID(Sheet1!AE168,2,3)</f>
        <v>iva</v>
      </c>
      <c r="AX169" s="42">
        <f>LEN(Sheet1!AE168)</f>
        <v>6</v>
      </c>
      <c r="AY169" s="40" t="str">
        <f>UPPER(Sheet1!AE168)</f>
        <v>VIVAAN</v>
      </c>
      <c r="AZ169" s="40" t="str">
        <f>LOWER(Sheet1!AE168)</f>
        <v>vivaan</v>
      </c>
      <c r="BA169" s="40" t="str">
        <f>PROPER(Sheet1!AE168)</f>
        <v>Vivaan</v>
      </c>
      <c r="BB169" s="40" t="str">
        <f>_xlfn.CONCAT(Sheet1!AE168," ",Sheet1!AF168)</f>
        <v>Vivaan Malhotra</v>
      </c>
      <c r="BL169" s="40" t="str">
        <v>Tablet</v>
      </c>
    </row>
    <row r="170" spans="40:64">
      <c r="AN170" s="49">
        <f>Sheet1!B169</f>
        <v>45598</v>
      </c>
      <c r="AO170" s="50">
        <f t="shared" si="15"/>
        <v>5</v>
      </c>
      <c r="AP170" s="50">
        <f t="shared" si="16"/>
        <v>11</v>
      </c>
      <c r="AQ170" s="50">
        <f t="shared" si="17"/>
        <v>2024</v>
      </c>
      <c r="AR170" s="50" t="str">
        <f t="shared" si="18"/>
        <v>Nov-2024</v>
      </c>
      <c r="AS170" s="52">
        <f t="shared" si="19"/>
        <v>45601</v>
      </c>
      <c r="AT170" s="44">
        <f t="shared" ca="1" si="20"/>
        <v>677</v>
      </c>
      <c r="AU170" s="40" t="str">
        <f>LEFT(Sheet1!AE169,3)</f>
        <v>Aar</v>
      </c>
      <c r="AV170" s="40" t="str">
        <f>RIGHT(Sheet1!AF169,2)</f>
        <v>al</v>
      </c>
      <c r="AW170" s="40" t="str">
        <f>MID(Sheet1!AE169,2,3)</f>
        <v>ara</v>
      </c>
      <c r="AX170" s="42">
        <f>LEN(Sheet1!AE169)</f>
        <v>5</v>
      </c>
      <c r="AY170" s="40" t="str">
        <f>UPPER(Sheet1!AE169)</f>
        <v>AARAV</v>
      </c>
      <c r="AZ170" s="40" t="str">
        <f>LOWER(Sheet1!AE169)</f>
        <v>aarav</v>
      </c>
      <c r="BA170" s="40" t="str">
        <f>PROPER(Sheet1!AE169)</f>
        <v>Aarav</v>
      </c>
      <c r="BB170" s="40" t="str">
        <f>_xlfn.CONCAT(Sheet1!AE169," ",Sheet1!AF169)</f>
        <v>Aarav Agarwal</v>
      </c>
      <c r="BL170" s="40" t="str">
        <v>Smartphone</v>
      </c>
    </row>
    <row r="171" spans="40:64">
      <c r="AN171" s="49">
        <f>Sheet1!B170</f>
        <v>45599</v>
      </c>
      <c r="AO171" s="50">
        <f t="shared" si="15"/>
        <v>6</v>
      </c>
      <c r="AP171" s="50">
        <f t="shared" si="16"/>
        <v>11</v>
      </c>
      <c r="AQ171" s="50">
        <f t="shared" si="17"/>
        <v>2024</v>
      </c>
      <c r="AR171" s="50" t="str">
        <f t="shared" si="18"/>
        <v>Nov-2024</v>
      </c>
      <c r="AS171" s="52">
        <f t="shared" si="19"/>
        <v>45602</v>
      </c>
      <c r="AT171" s="44">
        <f t="shared" ca="1" si="20"/>
        <v>676</v>
      </c>
      <c r="AU171" s="40" t="str">
        <f>LEFT(Sheet1!AE170,3)</f>
        <v>Adi</v>
      </c>
      <c r="AV171" s="40" t="str">
        <f>RIGHT(Sheet1!AF170,2)</f>
        <v>av</v>
      </c>
      <c r="AW171" s="40" t="str">
        <f>MID(Sheet1!AE170,2,3)</f>
        <v>dit</v>
      </c>
      <c r="AX171" s="42">
        <f>LEN(Sheet1!AE170)</f>
        <v>5</v>
      </c>
      <c r="AY171" s="40" t="str">
        <f>UPPER(Sheet1!AE170)</f>
        <v>ADITI</v>
      </c>
      <c r="AZ171" s="40" t="str">
        <f>LOWER(Sheet1!AE170)</f>
        <v>aditi</v>
      </c>
      <c r="BA171" s="40" t="str">
        <f>PROPER(Sheet1!AE170)</f>
        <v>Aditi</v>
      </c>
      <c r="BB171" s="40" t="str">
        <f>_xlfn.CONCAT(Sheet1!AE170," ",Sheet1!AF170)</f>
        <v>Aditi Yadav</v>
      </c>
      <c r="BL171" s="40" t="str">
        <v>Monitor</v>
      </c>
    </row>
    <row r="172" spans="40:64">
      <c r="AN172" s="49">
        <f>Sheet1!B171</f>
        <v>45600</v>
      </c>
      <c r="AO172" s="50">
        <f t="shared" si="15"/>
        <v>6</v>
      </c>
      <c r="AP172" s="50">
        <f t="shared" si="16"/>
        <v>11</v>
      </c>
      <c r="AQ172" s="50">
        <f t="shared" si="17"/>
        <v>2024</v>
      </c>
      <c r="AR172" s="50" t="str">
        <f t="shared" si="18"/>
        <v>Nov-2024</v>
      </c>
      <c r="AS172" s="52">
        <f t="shared" si="19"/>
        <v>45602</v>
      </c>
      <c r="AT172" s="44">
        <f t="shared" ca="1" si="20"/>
        <v>676</v>
      </c>
      <c r="AU172" s="40" t="str">
        <f>LEFT(Sheet1!AE171,3)</f>
        <v>Arj</v>
      </c>
      <c r="AV172" s="40" t="str">
        <f>RIGHT(Sheet1!AF171,2)</f>
        <v>or</v>
      </c>
      <c r="AW172" s="40" t="str">
        <f>MID(Sheet1!AE171,2,3)</f>
        <v>rju</v>
      </c>
      <c r="AX172" s="42">
        <f>LEN(Sheet1!AE171)</f>
        <v>5</v>
      </c>
      <c r="AY172" s="40" t="str">
        <f>UPPER(Sheet1!AE171)</f>
        <v>ARJUN</v>
      </c>
      <c r="AZ172" s="40" t="str">
        <f>LOWER(Sheet1!AE171)</f>
        <v>arjun</v>
      </c>
      <c r="BA172" s="40" t="str">
        <f>PROPER(Sheet1!AE171)</f>
        <v>Arjun</v>
      </c>
      <c r="BB172" s="40" t="str">
        <f>_xlfn.CONCAT(Sheet1!AE171," ",Sheet1!AF171)</f>
        <v>Arjun Kapoor</v>
      </c>
      <c r="BL172" s="40" t="str">
        <v>Monitor</v>
      </c>
    </row>
    <row r="173" spans="40:64">
      <c r="AN173" s="49">
        <f>Sheet1!B172</f>
        <v>45601</v>
      </c>
      <c r="AO173" s="50">
        <f t="shared" si="15"/>
        <v>8</v>
      </c>
      <c r="AP173" s="50">
        <f t="shared" si="16"/>
        <v>11</v>
      </c>
      <c r="AQ173" s="50">
        <f t="shared" si="17"/>
        <v>2024</v>
      </c>
      <c r="AR173" s="50" t="str">
        <f t="shared" si="18"/>
        <v>Nov-2024</v>
      </c>
      <c r="AS173" s="52">
        <f t="shared" si="19"/>
        <v>45604</v>
      </c>
      <c r="AT173" s="44">
        <f t="shared" ca="1" si="20"/>
        <v>674</v>
      </c>
      <c r="AU173" s="40" t="str">
        <f>LEFT(Sheet1!AE172,3)</f>
        <v>Viv</v>
      </c>
      <c r="AV173" s="40" t="str">
        <f>RIGHT(Sheet1!AF172,2)</f>
        <v>or</v>
      </c>
      <c r="AW173" s="40" t="str">
        <f>MID(Sheet1!AE172,2,3)</f>
        <v>iva</v>
      </c>
      <c r="AX173" s="42">
        <f>LEN(Sheet1!AE172)</f>
        <v>6</v>
      </c>
      <c r="AY173" s="40" t="str">
        <f>UPPER(Sheet1!AE172)</f>
        <v>VIVAAN</v>
      </c>
      <c r="AZ173" s="40" t="str">
        <f>LOWER(Sheet1!AE172)</f>
        <v>vivaan</v>
      </c>
      <c r="BA173" s="40" t="str">
        <f>PROPER(Sheet1!AE172)</f>
        <v>Vivaan</v>
      </c>
      <c r="BB173" s="40" t="str">
        <f>_xlfn.CONCAT(Sheet1!AE172," ",Sheet1!AF172)</f>
        <v>Vivaan Kapoor</v>
      </c>
      <c r="BL173" s="40" t="str">
        <v>Laptop</v>
      </c>
    </row>
    <row r="174" spans="40:64">
      <c r="AN174" s="49">
        <f>Sheet1!B173</f>
        <v>45603</v>
      </c>
      <c r="AO174" s="50">
        <f t="shared" si="15"/>
        <v>8</v>
      </c>
      <c r="AP174" s="50">
        <f t="shared" si="16"/>
        <v>11</v>
      </c>
      <c r="AQ174" s="50">
        <f t="shared" si="17"/>
        <v>2024</v>
      </c>
      <c r="AR174" s="50" t="str">
        <f t="shared" si="18"/>
        <v>Nov-2024</v>
      </c>
      <c r="AS174" s="52">
        <f t="shared" si="19"/>
        <v>45604</v>
      </c>
      <c r="AT174" s="44">
        <f t="shared" ca="1" si="20"/>
        <v>674</v>
      </c>
      <c r="AU174" s="40" t="str">
        <f>LEFT(Sheet1!AE173,3)</f>
        <v>Viv</v>
      </c>
      <c r="AV174" s="40" t="str">
        <f>RIGHT(Sheet1!AF173,2)</f>
        <v>ma</v>
      </c>
      <c r="AW174" s="40" t="str">
        <f>MID(Sheet1!AE173,2,3)</f>
        <v>iva</v>
      </c>
      <c r="AX174" s="42">
        <f>LEN(Sheet1!AE173)</f>
        <v>6</v>
      </c>
      <c r="AY174" s="40" t="str">
        <f>UPPER(Sheet1!AE173)</f>
        <v>VIVAAN</v>
      </c>
      <c r="AZ174" s="40" t="str">
        <f>LOWER(Sheet1!AE173)</f>
        <v>vivaan</v>
      </c>
      <c r="BA174" s="40" t="str">
        <f>PROPER(Sheet1!AE173)</f>
        <v>Vivaan</v>
      </c>
      <c r="BB174" s="40" t="str">
        <f>_xlfn.CONCAT(Sheet1!AE173," ",Sheet1!AF173)</f>
        <v>Vivaan Verma</v>
      </c>
      <c r="BL174" s="40" t="str">
        <v>Tablet</v>
      </c>
    </row>
    <row r="175" spans="40:64">
      <c r="AN175" s="49">
        <f>Sheet1!B174</f>
        <v>45603</v>
      </c>
      <c r="AO175" s="50">
        <f t="shared" si="15"/>
        <v>9</v>
      </c>
      <c r="AP175" s="50">
        <f t="shared" si="16"/>
        <v>11</v>
      </c>
      <c r="AQ175" s="50">
        <f t="shared" si="17"/>
        <v>2024</v>
      </c>
      <c r="AR175" s="50" t="str">
        <f t="shared" si="18"/>
        <v>Nov-2024</v>
      </c>
      <c r="AS175" s="52">
        <f t="shared" si="19"/>
        <v>45605</v>
      </c>
      <c r="AT175" s="44">
        <f t="shared" ca="1" si="20"/>
        <v>673</v>
      </c>
      <c r="AU175" s="40" t="str">
        <f>LEFT(Sheet1!AE174,3)</f>
        <v>Mee</v>
      </c>
      <c r="AV175" s="40" t="str">
        <f>RIGHT(Sheet1!AF174,2)</f>
        <v>or</v>
      </c>
      <c r="AW175" s="40" t="str">
        <f>MID(Sheet1!AE174,2,3)</f>
        <v>eer</v>
      </c>
      <c r="AX175" s="42">
        <f>LEN(Sheet1!AE174)</f>
        <v>5</v>
      </c>
      <c r="AY175" s="40" t="str">
        <f>UPPER(Sheet1!AE174)</f>
        <v>MEERA</v>
      </c>
      <c r="AZ175" s="40" t="str">
        <f>LOWER(Sheet1!AE174)</f>
        <v>meera</v>
      </c>
      <c r="BA175" s="40" t="str">
        <f>PROPER(Sheet1!AE174)</f>
        <v>Meera</v>
      </c>
      <c r="BB175" s="40" t="str">
        <f>_xlfn.CONCAT(Sheet1!AE174," ",Sheet1!AF174)</f>
        <v>Meera Kapoor</v>
      </c>
      <c r="BL175" s="40" t="str">
        <v>Smartphone</v>
      </c>
    </row>
    <row r="176" spans="40:64">
      <c r="AN176" s="49">
        <f>Sheet1!B175</f>
        <v>45603</v>
      </c>
      <c r="AO176" s="50">
        <f t="shared" si="15"/>
        <v>9</v>
      </c>
      <c r="AP176" s="50">
        <f t="shared" si="16"/>
        <v>11</v>
      </c>
      <c r="AQ176" s="50">
        <f t="shared" si="17"/>
        <v>2024</v>
      </c>
      <c r="AR176" s="50" t="str">
        <f t="shared" si="18"/>
        <v>Nov-2024</v>
      </c>
      <c r="AS176" s="52">
        <f t="shared" si="19"/>
        <v>45605</v>
      </c>
      <c r="AT176" s="44">
        <f t="shared" ca="1" si="20"/>
        <v>673</v>
      </c>
      <c r="AU176" s="40" t="str">
        <f>LEFT(Sheet1!AE175,3)</f>
        <v>Neh</v>
      </c>
      <c r="AV176" s="40" t="str">
        <f>RIGHT(Sheet1!AF175,2)</f>
        <v>ta</v>
      </c>
      <c r="AW176" s="40" t="str">
        <f>MID(Sheet1!AE175,2,3)</f>
        <v>eha</v>
      </c>
      <c r="AX176" s="42">
        <f>LEN(Sheet1!AE175)</f>
        <v>4</v>
      </c>
      <c r="AY176" s="40" t="str">
        <f>UPPER(Sheet1!AE175)</f>
        <v>NEHA</v>
      </c>
      <c r="AZ176" s="40" t="str">
        <f>LOWER(Sheet1!AE175)</f>
        <v>neha</v>
      </c>
      <c r="BA176" s="40" t="str">
        <f>PROPER(Sheet1!AE175)</f>
        <v>Neha</v>
      </c>
      <c r="BB176" s="40" t="str">
        <f>_xlfn.CONCAT(Sheet1!AE175," ",Sheet1!AF175)</f>
        <v>Neha Mehta</v>
      </c>
      <c r="BL176" s="40" t="str">
        <v>Smartphone</v>
      </c>
    </row>
    <row r="177" spans="40:64">
      <c r="AN177" s="49">
        <f>Sheet1!B176</f>
        <v>45604</v>
      </c>
      <c r="AO177" s="50">
        <f t="shared" si="15"/>
        <v>10</v>
      </c>
      <c r="AP177" s="50">
        <f t="shared" si="16"/>
        <v>11</v>
      </c>
      <c r="AQ177" s="50">
        <f t="shared" si="17"/>
        <v>2024</v>
      </c>
      <c r="AR177" s="50" t="str">
        <f t="shared" si="18"/>
        <v>Nov-2024</v>
      </c>
      <c r="AS177" s="52">
        <f t="shared" si="19"/>
        <v>45606</v>
      </c>
      <c r="AT177" s="44">
        <f t="shared" ca="1" si="20"/>
        <v>672</v>
      </c>
      <c r="AU177" s="40" t="str">
        <f>LEFT(Sheet1!AE176,3)</f>
        <v>Mee</v>
      </c>
      <c r="AV177" s="40" t="str">
        <f>RIGHT(Sheet1!AF176,2)</f>
        <v>or</v>
      </c>
      <c r="AW177" s="40" t="str">
        <f>MID(Sheet1!AE176,2,3)</f>
        <v>eer</v>
      </c>
      <c r="AX177" s="42">
        <f>LEN(Sheet1!AE176)</f>
        <v>5</v>
      </c>
      <c r="AY177" s="40" t="str">
        <f>UPPER(Sheet1!AE176)</f>
        <v>MEERA</v>
      </c>
      <c r="AZ177" s="40" t="str">
        <f>LOWER(Sheet1!AE176)</f>
        <v>meera</v>
      </c>
      <c r="BA177" s="40" t="str">
        <f>PROPER(Sheet1!AE176)</f>
        <v>Meera</v>
      </c>
      <c r="BB177" s="40" t="str">
        <f>_xlfn.CONCAT(Sheet1!AE176," ",Sheet1!AF176)</f>
        <v>Meera Kapoor</v>
      </c>
      <c r="BL177" s="40" t="str">
        <v>Tablet</v>
      </c>
    </row>
    <row r="178" spans="40:64">
      <c r="AN178" s="49">
        <f>Sheet1!B177</f>
        <v>45605</v>
      </c>
      <c r="AO178" s="50">
        <f t="shared" si="15"/>
        <v>11</v>
      </c>
      <c r="AP178" s="50">
        <f t="shared" si="16"/>
        <v>11</v>
      </c>
      <c r="AQ178" s="50">
        <f t="shared" si="17"/>
        <v>2024</v>
      </c>
      <c r="AR178" s="50" t="str">
        <f t="shared" si="18"/>
        <v>Nov-2024</v>
      </c>
      <c r="AS178" s="52">
        <f t="shared" si="19"/>
        <v>45607</v>
      </c>
      <c r="AT178" s="44">
        <f t="shared" ca="1" si="20"/>
        <v>671</v>
      </c>
      <c r="AU178" s="40" t="str">
        <f>LEFT(Sheet1!AE177,3)</f>
        <v>Pri</v>
      </c>
      <c r="AV178" s="40" t="str">
        <f>RIGHT(Sheet1!AF177,2)</f>
        <v>al</v>
      </c>
      <c r="AW178" s="40" t="str">
        <f>MID(Sheet1!AE177,2,3)</f>
        <v>riy</v>
      </c>
      <c r="AX178" s="42">
        <f>LEN(Sheet1!AE177)</f>
        <v>5</v>
      </c>
      <c r="AY178" s="40" t="str">
        <f>UPPER(Sheet1!AE177)</f>
        <v>PRIYA</v>
      </c>
      <c r="AZ178" s="40" t="str">
        <f>LOWER(Sheet1!AE177)</f>
        <v>priya</v>
      </c>
      <c r="BA178" s="40" t="str">
        <f>PROPER(Sheet1!AE177)</f>
        <v>Priya</v>
      </c>
      <c r="BB178" s="40" t="str">
        <f>_xlfn.CONCAT(Sheet1!AE177," ",Sheet1!AF177)</f>
        <v>Priya Agarwal</v>
      </c>
      <c r="BL178" s="40" t="str">
        <v>Smartphone</v>
      </c>
    </row>
    <row r="179" spans="40:64">
      <c r="AN179" s="49">
        <f>Sheet1!B178</f>
        <v>45606</v>
      </c>
      <c r="AO179" s="50">
        <f t="shared" si="15"/>
        <v>11</v>
      </c>
      <c r="AP179" s="50">
        <f t="shared" si="16"/>
        <v>11</v>
      </c>
      <c r="AQ179" s="50">
        <f t="shared" si="17"/>
        <v>2024</v>
      </c>
      <c r="AR179" s="50" t="str">
        <f t="shared" si="18"/>
        <v>Nov-2024</v>
      </c>
      <c r="AS179" s="52">
        <f t="shared" si="19"/>
        <v>45607</v>
      </c>
      <c r="AT179" s="44">
        <f t="shared" ca="1" si="20"/>
        <v>671</v>
      </c>
      <c r="AU179" s="40" t="str">
        <f>LEFT(Sheet1!AE178,3)</f>
        <v>Adi</v>
      </c>
      <c r="AV179" s="40" t="str">
        <f>RIGHT(Sheet1!AF178,2)</f>
        <v>ra</v>
      </c>
      <c r="AW179" s="40" t="str">
        <f>MID(Sheet1!AE178,2,3)</f>
        <v>dit</v>
      </c>
      <c r="AX179" s="42">
        <f>LEN(Sheet1!AE178)</f>
        <v>6</v>
      </c>
      <c r="AY179" s="40" t="str">
        <f>UPPER(Sheet1!AE178)</f>
        <v>ADITYA</v>
      </c>
      <c r="AZ179" s="40" t="str">
        <f>LOWER(Sheet1!AE178)</f>
        <v>aditya</v>
      </c>
      <c r="BA179" s="40" t="str">
        <f>PROPER(Sheet1!AE178)</f>
        <v>Aditya</v>
      </c>
      <c r="BB179" s="40" t="str">
        <f>_xlfn.CONCAT(Sheet1!AE178," ",Sheet1!AF178)</f>
        <v>Aditya Malhotra</v>
      </c>
      <c r="BL179" s="40" t="str">
        <v>Headphones</v>
      </c>
    </row>
    <row r="180" spans="40:64">
      <c r="AN180" s="49">
        <f>Sheet1!B179</f>
        <v>45606</v>
      </c>
      <c r="AO180" s="50">
        <f t="shared" si="15"/>
        <v>11</v>
      </c>
      <c r="AP180" s="50">
        <f t="shared" si="16"/>
        <v>11</v>
      </c>
      <c r="AQ180" s="50">
        <f t="shared" si="17"/>
        <v>2024</v>
      </c>
      <c r="AR180" s="50" t="str">
        <f t="shared" si="18"/>
        <v>Nov-2024</v>
      </c>
      <c r="AS180" s="52">
        <f t="shared" si="19"/>
        <v>45607</v>
      </c>
      <c r="AT180" s="44">
        <f t="shared" ca="1" si="20"/>
        <v>671</v>
      </c>
      <c r="AU180" s="40" t="str">
        <f>LEFT(Sheet1!AE179,3)</f>
        <v>Adi</v>
      </c>
      <c r="AV180" s="40" t="str">
        <f>RIGHT(Sheet1!AF179,2)</f>
        <v>or</v>
      </c>
      <c r="AW180" s="40" t="str">
        <f>MID(Sheet1!AE179,2,3)</f>
        <v>dit</v>
      </c>
      <c r="AX180" s="42">
        <f>LEN(Sheet1!AE179)</f>
        <v>6</v>
      </c>
      <c r="AY180" s="40" t="str">
        <f>UPPER(Sheet1!AE179)</f>
        <v>ADITYA</v>
      </c>
      <c r="AZ180" s="40" t="str">
        <f>LOWER(Sheet1!AE179)</f>
        <v>aditya</v>
      </c>
      <c r="BA180" s="40" t="str">
        <f>PROPER(Sheet1!AE179)</f>
        <v>Aditya</v>
      </c>
      <c r="BB180" s="40" t="str">
        <f>_xlfn.CONCAT(Sheet1!AE179," ",Sheet1!AF179)</f>
        <v>Aditya Kapoor</v>
      </c>
      <c r="BL180" s="40" t="str">
        <v>Headphones</v>
      </c>
    </row>
    <row r="181" spans="40:64">
      <c r="AN181" s="49">
        <f>Sheet1!B180</f>
        <v>45606</v>
      </c>
      <c r="AO181" s="50">
        <f t="shared" si="15"/>
        <v>12</v>
      </c>
      <c r="AP181" s="50">
        <f t="shared" si="16"/>
        <v>11</v>
      </c>
      <c r="AQ181" s="50">
        <f t="shared" si="17"/>
        <v>2024</v>
      </c>
      <c r="AR181" s="50" t="str">
        <f t="shared" si="18"/>
        <v>Nov-2024</v>
      </c>
      <c r="AS181" s="52">
        <f t="shared" si="19"/>
        <v>45608</v>
      </c>
      <c r="AT181" s="44">
        <f t="shared" ca="1" si="20"/>
        <v>670</v>
      </c>
      <c r="AU181" s="40" t="str">
        <f>LEFT(Sheet1!AE180,3)</f>
        <v>Roh</v>
      </c>
      <c r="AV181" s="40" t="str">
        <f>RIGHT(Sheet1!AF180,2)</f>
        <v>or</v>
      </c>
      <c r="AW181" s="40" t="str">
        <f>MID(Sheet1!AE180,2,3)</f>
        <v>oha</v>
      </c>
      <c r="AX181" s="42">
        <f>LEN(Sheet1!AE180)</f>
        <v>5</v>
      </c>
      <c r="AY181" s="40" t="str">
        <f>UPPER(Sheet1!AE180)</f>
        <v>ROHAN</v>
      </c>
      <c r="AZ181" s="40" t="str">
        <f>LOWER(Sheet1!AE180)</f>
        <v>rohan</v>
      </c>
      <c r="BA181" s="40" t="str">
        <f>PROPER(Sheet1!AE180)</f>
        <v>Rohan</v>
      </c>
      <c r="BB181" s="40" t="str">
        <f>_xlfn.CONCAT(Sheet1!AE180," ",Sheet1!AF180)</f>
        <v>Rohan Kapoor</v>
      </c>
      <c r="BL181" s="40" t="str">
        <v>Smartphone</v>
      </c>
    </row>
    <row r="182" spans="40:64">
      <c r="AN182" s="49">
        <f>Sheet1!B181</f>
        <v>45607</v>
      </c>
      <c r="AO182" s="50">
        <f t="shared" si="15"/>
        <v>1</v>
      </c>
      <c r="AP182" s="50">
        <f t="shared" si="16"/>
        <v>11</v>
      </c>
      <c r="AQ182" s="50">
        <f t="shared" si="17"/>
        <v>2024</v>
      </c>
      <c r="AR182" s="50" t="str">
        <f t="shared" si="18"/>
        <v>Nov-2024</v>
      </c>
      <c r="AS182" s="52">
        <f t="shared" si="19"/>
        <v>45597</v>
      </c>
      <c r="AT182" s="44">
        <f t="shared" ca="1" si="20"/>
        <v>681</v>
      </c>
      <c r="AU182" s="40" t="str">
        <f>LEFT(Sheet1!AE181,3)</f>
        <v>Pri</v>
      </c>
      <c r="AV182" s="40" t="str">
        <f>RIGHT(Sheet1!AF181,2)</f>
        <v>ta</v>
      </c>
      <c r="AW182" s="40" t="str">
        <f>MID(Sheet1!AE181,2,3)</f>
        <v>riy</v>
      </c>
      <c r="AX182" s="42">
        <f>LEN(Sheet1!AE181)</f>
        <v>5</v>
      </c>
      <c r="AY182" s="40" t="str">
        <f>UPPER(Sheet1!AE181)</f>
        <v>PRIYA</v>
      </c>
      <c r="AZ182" s="40" t="str">
        <f>LOWER(Sheet1!AE181)</f>
        <v>priya</v>
      </c>
      <c r="BA182" s="40" t="str">
        <f>PROPER(Sheet1!AE181)</f>
        <v>Priya</v>
      </c>
      <c r="BB182" s="40" t="str">
        <f>_xlfn.CONCAT(Sheet1!AE181," ",Sheet1!AF181)</f>
        <v>Priya Gupta</v>
      </c>
      <c r="BL182" s="40" t="str">
        <v>Laptop</v>
      </c>
    </row>
    <row r="183" spans="40:64">
      <c r="AN183" s="49">
        <f>Sheet1!B182</f>
        <v>45607</v>
      </c>
      <c r="AO183" s="50">
        <f t="shared" si="15"/>
        <v>2</v>
      </c>
      <c r="AP183" s="50">
        <f t="shared" si="16"/>
        <v>11</v>
      </c>
      <c r="AQ183" s="50">
        <f t="shared" si="17"/>
        <v>2024</v>
      </c>
      <c r="AR183" s="50" t="str">
        <f t="shared" si="18"/>
        <v>Nov-2024</v>
      </c>
      <c r="AS183" s="52">
        <f t="shared" si="19"/>
        <v>45598</v>
      </c>
      <c r="AT183" s="44">
        <f t="shared" ca="1" si="20"/>
        <v>680</v>
      </c>
      <c r="AU183" s="40" t="str">
        <f>LEFT(Sheet1!AE182,3)</f>
        <v>Viv</v>
      </c>
      <c r="AV183" s="40" t="str">
        <f>RIGHT(Sheet1!AF182,2)</f>
        <v>al</v>
      </c>
      <c r="AW183" s="40" t="str">
        <f>MID(Sheet1!AE182,2,3)</f>
        <v>iva</v>
      </c>
      <c r="AX183" s="42">
        <f>LEN(Sheet1!AE182)</f>
        <v>6</v>
      </c>
      <c r="AY183" s="40" t="str">
        <f>UPPER(Sheet1!AE182)</f>
        <v>VIVAAN</v>
      </c>
      <c r="AZ183" s="40" t="str">
        <f>LOWER(Sheet1!AE182)</f>
        <v>vivaan</v>
      </c>
      <c r="BA183" s="40" t="str">
        <f>PROPER(Sheet1!AE182)</f>
        <v>Vivaan</v>
      </c>
      <c r="BB183" s="40" t="str">
        <f>_xlfn.CONCAT(Sheet1!AE182," ",Sheet1!AF182)</f>
        <v>Vivaan Agarwal</v>
      </c>
      <c r="BL183" s="40" t="str">
        <v>Smartphone</v>
      </c>
    </row>
    <row r="184" spans="40:64">
      <c r="AN184" s="49">
        <f>Sheet1!B183</f>
        <v>45608</v>
      </c>
      <c r="AO184" s="50">
        <f t="shared" si="15"/>
        <v>2</v>
      </c>
      <c r="AP184" s="50">
        <f t="shared" si="16"/>
        <v>11</v>
      </c>
      <c r="AQ184" s="50">
        <f t="shared" si="17"/>
        <v>2024</v>
      </c>
      <c r="AR184" s="50" t="str">
        <f t="shared" si="18"/>
        <v>Nov-2024</v>
      </c>
      <c r="AS184" s="52">
        <f t="shared" si="19"/>
        <v>45598</v>
      </c>
      <c r="AT184" s="44">
        <f t="shared" ca="1" si="20"/>
        <v>680</v>
      </c>
      <c r="AU184" s="40" t="str">
        <f>LEFT(Sheet1!AE183,3)</f>
        <v>Sne</v>
      </c>
      <c r="AV184" s="40" t="str">
        <f>RIGHT(Sheet1!AF183,2)</f>
        <v>ar</v>
      </c>
      <c r="AW184" s="40" t="str">
        <f>MID(Sheet1!AE183,2,3)</f>
        <v>neh</v>
      </c>
      <c r="AX184" s="42">
        <f>LEN(Sheet1!AE183)</f>
        <v>5</v>
      </c>
      <c r="AY184" s="40" t="str">
        <f>UPPER(Sheet1!AE183)</f>
        <v>SNEHA</v>
      </c>
      <c r="AZ184" s="40" t="str">
        <f>LOWER(Sheet1!AE183)</f>
        <v>sneha</v>
      </c>
      <c r="BA184" s="40" t="str">
        <f>PROPER(Sheet1!AE183)</f>
        <v>Sneha</v>
      </c>
      <c r="BB184" s="40" t="str">
        <f>_xlfn.CONCAT(Sheet1!AE183," ",Sheet1!AF183)</f>
        <v>Sneha Kumar</v>
      </c>
      <c r="BL184" s="40" t="str">
        <v>Headphones</v>
      </c>
    </row>
    <row r="185" spans="40:64">
      <c r="AN185" s="49">
        <f>Sheet1!B184</f>
        <v>45608</v>
      </c>
      <c r="AO185" s="50">
        <f t="shared" si="15"/>
        <v>2</v>
      </c>
      <c r="AP185" s="50">
        <f t="shared" si="16"/>
        <v>11</v>
      </c>
      <c r="AQ185" s="50">
        <f t="shared" si="17"/>
        <v>2024</v>
      </c>
      <c r="AR185" s="50" t="str">
        <f t="shared" si="18"/>
        <v>Nov-2024</v>
      </c>
      <c r="AS185" s="52">
        <f t="shared" si="19"/>
        <v>45598</v>
      </c>
      <c r="AT185" s="44">
        <f t="shared" ca="1" si="20"/>
        <v>680</v>
      </c>
      <c r="AU185" s="40" t="str">
        <f>LEFT(Sheet1!AE184,3)</f>
        <v>Neh</v>
      </c>
      <c r="AV185" s="40" t="str">
        <f>RIGHT(Sheet1!AF184,2)</f>
        <v>ar</v>
      </c>
      <c r="AW185" s="40" t="str">
        <f>MID(Sheet1!AE184,2,3)</f>
        <v>eha</v>
      </c>
      <c r="AX185" s="42">
        <f>LEN(Sheet1!AE184)</f>
        <v>4</v>
      </c>
      <c r="AY185" s="40" t="str">
        <f>UPPER(Sheet1!AE184)</f>
        <v>NEHA</v>
      </c>
      <c r="AZ185" s="40" t="str">
        <f>LOWER(Sheet1!AE184)</f>
        <v>neha</v>
      </c>
      <c r="BA185" s="40" t="str">
        <f>PROPER(Sheet1!AE184)</f>
        <v>Neha</v>
      </c>
      <c r="BB185" s="40" t="str">
        <f>_xlfn.CONCAT(Sheet1!AE184," ",Sheet1!AF184)</f>
        <v>Neha Kumar</v>
      </c>
      <c r="BL185" s="40" t="str">
        <v>Headphones</v>
      </c>
    </row>
    <row r="186" spans="40:64">
      <c r="AN186" s="49">
        <f>Sheet1!B185</f>
        <v>45608</v>
      </c>
      <c r="AO186" s="50">
        <f t="shared" si="15"/>
        <v>3</v>
      </c>
      <c r="AP186" s="50">
        <f t="shared" si="16"/>
        <v>11</v>
      </c>
      <c r="AQ186" s="50">
        <f t="shared" si="17"/>
        <v>2024</v>
      </c>
      <c r="AR186" s="50" t="str">
        <f t="shared" si="18"/>
        <v>Nov-2024</v>
      </c>
      <c r="AS186" s="52">
        <f t="shared" si="19"/>
        <v>45599</v>
      </c>
      <c r="AT186" s="44">
        <f t="shared" ca="1" si="20"/>
        <v>679</v>
      </c>
      <c r="AU186" s="40" t="str">
        <f>LEFT(Sheet1!AE185,3)</f>
        <v>Rah</v>
      </c>
      <c r="AV186" s="40" t="str">
        <f>RIGHT(Sheet1!AF185,2)</f>
        <v>gh</v>
      </c>
      <c r="AW186" s="40" t="str">
        <f>MID(Sheet1!AE185,2,3)</f>
        <v>ahu</v>
      </c>
      <c r="AX186" s="42">
        <f>LEN(Sheet1!AE185)</f>
        <v>5</v>
      </c>
      <c r="AY186" s="40" t="str">
        <f>UPPER(Sheet1!AE185)</f>
        <v>RAHUL</v>
      </c>
      <c r="AZ186" s="40" t="str">
        <f>LOWER(Sheet1!AE185)</f>
        <v>rahul</v>
      </c>
      <c r="BA186" s="40" t="str">
        <f>PROPER(Sheet1!AE185)</f>
        <v>Rahul</v>
      </c>
      <c r="BB186" s="40" t="str">
        <f>_xlfn.CONCAT(Sheet1!AE185," ",Sheet1!AF185)</f>
        <v>Rahul Singh</v>
      </c>
      <c r="BL186" s="40" t="str">
        <v>Tablet</v>
      </c>
    </row>
    <row r="187" spans="40:64">
      <c r="AN187" s="49">
        <f>Sheet1!B186</f>
        <v>45627</v>
      </c>
      <c r="AO187" s="50">
        <f t="shared" si="15"/>
        <v>4</v>
      </c>
      <c r="AP187" s="50">
        <f t="shared" si="16"/>
        <v>12</v>
      </c>
      <c r="AQ187" s="50">
        <f t="shared" si="17"/>
        <v>2024</v>
      </c>
      <c r="AR187" s="50" t="str">
        <f t="shared" si="18"/>
        <v>Dec-2024</v>
      </c>
      <c r="AS187" s="52">
        <f t="shared" si="19"/>
        <v>45630</v>
      </c>
      <c r="AT187" s="44">
        <f t="shared" ca="1" si="20"/>
        <v>648</v>
      </c>
      <c r="AU187" s="40" t="str">
        <f>LEFT(Sheet1!AE186,3)</f>
        <v>Nis</v>
      </c>
      <c r="AV187" s="40" t="str">
        <f>RIGHT(Sheet1!AF186,2)</f>
        <v>av</v>
      </c>
      <c r="AW187" s="40" t="str">
        <f>MID(Sheet1!AE186,2,3)</f>
        <v>ish</v>
      </c>
      <c r="AX187" s="42">
        <f>LEN(Sheet1!AE186)</f>
        <v>5</v>
      </c>
      <c r="AY187" s="40" t="str">
        <f>UPPER(Sheet1!AE186)</f>
        <v>NISHA</v>
      </c>
      <c r="AZ187" s="40" t="str">
        <f>LOWER(Sheet1!AE186)</f>
        <v>nisha</v>
      </c>
      <c r="BA187" s="40" t="str">
        <f>PROPER(Sheet1!AE186)</f>
        <v>Nisha</v>
      </c>
      <c r="BB187" s="40" t="str">
        <f>_xlfn.CONCAT(Sheet1!AE186," ",Sheet1!AF186)</f>
        <v>Nisha Yadav</v>
      </c>
      <c r="BL187" s="40" t="str">
        <v>Laptop</v>
      </c>
    </row>
    <row r="188" spans="40:64">
      <c r="AN188" s="49">
        <f>Sheet1!B187</f>
        <v>45627</v>
      </c>
      <c r="AO188" s="50">
        <f t="shared" si="15"/>
        <v>4</v>
      </c>
      <c r="AP188" s="50">
        <f t="shared" si="16"/>
        <v>12</v>
      </c>
      <c r="AQ188" s="50">
        <f t="shared" si="17"/>
        <v>2024</v>
      </c>
      <c r="AR188" s="50" t="str">
        <f t="shared" si="18"/>
        <v>Dec-2024</v>
      </c>
      <c r="AS188" s="52">
        <f t="shared" si="19"/>
        <v>45630</v>
      </c>
      <c r="AT188" s="44">
        <f t="shared" ca="1" si="20"/>
        <v>648</v>
      </c>
      <c r="AU188" s="40" t="str">
        <f>LEFT(Sheet1!AE187,3)</f>
        <v>Mee</v>
      </c>
      <c r="AV188" s="40" t="str">
        <f>RIGHT(Sheet1!AF187,2)</f>
        <v>gh</v>
      </c>
      <c r="AW188" s="40" t="str">
        <f>MID(Sheet1!AE187,2,3)</f>
        <v>eer</v>
      </c>
      <c r="AX188" s="42">
        <f>LEN(Sheet1!AE187)</f>
        <v>5</v>
      </c>
      <c r="AY188" s="40" t="str">
        <f>UPPER(Sheet1!AE187)</f>
        <v>MEERA</v>
      </c>
      <c r="AZ188" s="40" t="str">
        <f>LOWER(Sheet1!AE187)</f>
        <v>meera</v>
      </c>
      <c r="BA188" s="40" t="str">
        <f>PROPER(Sheet1!AE187)</f>
        <v>Meera</v>
      </c>
      <c r="BB188" s="40" t="str">
        <f>_xlfn.CONCAT(Sheet1!AE187," ",Sheet1!AF187)</f>
        <v>Meera Singh</v>
      </c>
      <c r="BL188" s="40" t="str">
        <v>Tablet</v>
      </c>
    </row>
    <row r="189" spans="40:64">
      <c r="AN189" s="49">
        <f>Sheet1!B188</f>
        <v>45628</v>
      </c>
      <c r="AO189" s="50">
        <f t="shared" si="15"/>
        <v>4</v>
      </c>
      <c r="AP189" s="50">
        <f t="shared" si="16"/>
        <v>12</v>
      </c>
      <c r="AQ189" s="50">
        <f t="shared" si="17"/>
        <v>2024</v>
      </c>
      <c r="AR189" s="50" t="str">
        <f t="shared" si="18"/>
        <v>Dec-2024</v>
      </c>
      <c r="AS189" s="52">
        <f t="shared" si="19"/>
        <v>45630</v>
      </c>
      <c r="AT189" s="44">
        <f t="shared" ca="1" si="20"/>
        <v>648</v>
      </c>
      <c r="AU189" s="40" t="str">
        <f>LEFT(Sheet1!AE188,3)</f>
        <v>Pri</v>
      </c>
      <c r="AV189" s="40" t="str">
        <f>RIGHT(Sheet1!AF188,2)</f>
        <v>ra</v>
      </c>
      <c r="AW189" s="40" t="str">
        <f>MID(Sheet1!AE188,2,3)</f>
        <v>riy</v>
      </c>
      <c r="AX189" s="42">
        <f>LEN(Sheet1!AE188)</f>
        <v>5</v>
      </c>
      <c r="AY189" s="40" t="str">
        <f>UPPER(Sheet1!AE188)</f>
        <v>PRIYA</v>
      </c>
      <c r="AZ189" s="40" t="str">
        <f>LOWER(Sheet1!AE188)</f>
        <v>priya</v>
      </c>
      <c r="BA189" s="40" t="str">
        <f>PROPER(Sheet1!AE188)</f>
        <v>Priya</v>
      </c>
      <c r="BB189" s="40" t="str">
        <f>_xlfn.CONCAT(Sheet1!AE188," ",Sheet1!AF188)</f>
        <v>Priya Mishra</v>
      </c>
      <c r="BL189" s="40" t="str">
        <v>Tablet</v>
      </c>
    </row>
    <row r="190" spans="40:64">
      <c r="AN190" s="49">
        <f>Sheet1!B189</f>
        <v>45628</v>
      </c>
      <c r="AO190" s="50">
        <f t="shared" si="15"/>
        <v>4</v>
      </c>
      <c r="AP190" s="50">
        <f t="shared" si="16"/>
        <v>12</v>
      </c>
      <c r="AQ190" s="50">
        <f t="shared" si="17"/>
        <v>2024</v>
      </c>
      <c r="AR190" s="50" t="str">
        <f t="shared" si="18"/>
        <v>Dec-2024</v>
      </c>
      <c r="AS190" s="52">
        <f t="shared" si="19"/>
        <v>45630</v>
      </c>
      <c r="AT190" s="44">
        <f t="shared" ca="1" si="20"/>
        <v>648</v>
      </c>
      <c r="AU190" s="40" t="str">
        <f>LEFT(Sheet1!AE189,3)</f>
        <v>Sne</v>
      </c>
      <c r="AV190" s="40" t="str">
        <f>RIGHT(Sheet1!AF189,2)</f>
        <v>ta</v>
      </c>
      <c r="AW190" s="40" t="str">
        <f>MID(Sheet1!AE189,2,3)</f>
        <v>neh</v>
      </c>
      <c r="AX190" s="42">
        <f>LEN(Sheet1!AE189)</f>
        <v>5</v>
      </c>
      <c r="AY190" s="40" t="str">
        <f>UPPER(Sheet1!AE189)</f>
        <v>SNEHA</v>
      </c>
      <c r="AZ190" s="40" t="str">
        <f>LOWER(Sheet1!AE189)</f>
        <v>sneha</v>
      </c>
      <c r="BA190" s="40" t="str">
        <f>PROPER(Sheet1!AE189)</f>
        <v>Sneha</v>
      </c>
      <c r="BB190" s="40" t="str">
        <f>_xlfn.CONCAT(Sheet1!AE189," ",Sheet1!AF189)</f>
        <v>Sneha Mehta</v>
      </c>
    </row>
    <row r="191" spans="40:64">
      <c r="AN191" s="49">
        <f>Sheet1!B190</f>
        <v>45629</v>
      </c>
      <c r="AO191" s="50">
        <f t="shared" si="15"/>
        <v>4</v>
      </c>
      <c r="AP191" s="50">
        <f t="shared" si="16"/>
        <v>12</v>
      </c>
      <c r="AQ191" s="50">
        <f t="shared" si="17"/>
        <v>2024</v>
      </c>
      <c r="AR191" s="50" t="str">
        <f t="shared" si="18"/>
        <v>Dec-2024</v>
      </c>
      <c r="AS191" s="52">
        <f t="shared" si="19"/>
        <v>45630</v>
      </c>
      <c r="AT191" s="44">
        <f t="shared" ca="1" si="20"/>
        <v>648</v>
      </c>
      <c r="AU191" s="40" t="str">
        <f>LEFT(Sheet1!AE190,3)</f>
        <v>Ish</v>
      </c>
      <c r="AV191" s="40" t="str">
        <f>RIGHT(Sheet1!AF190,2)</f>
        <v>ma</v>
      </c>
      <c r="AW191" s="40" t="str">
        <f>MID(Sheet1!AE190,2,3)</f>
        <v>shi</v>
      </c>
      <c r="AX191" s="42">
        <f>LEN(Sheet1!AE190)</f>
        <v>6</v>
      </c>
      <c r="AY191" s="40" t="str">
        <f>UPPER(Sheet1!AE190)</f>
        <v>ISHITA</v>
      </c>
      <c r="AZ191" s="40" t="str">
        <f>LOWER(Sheet1!AE190)</f>
        <v>ishita</v>
      </c>
      <c r="BA191" s="40" t="str">
        <f>PROPER(Sheet1!AE190)</f>
        <v>Ishita</v>
      </c>
      <c r="BB191" s="40" t="str">
        <f>_xlfn.CONCAT(Sheet1!AE190," ",Sheet1!AF190)</f>
        <v>Ishita Sharma</v>
      </c>
    </row>
    <row r="192" spans="40:64">
      <c r="AN192" s="49">
        <f>Sheet1!B191</f>
        <v>45630</v>
      </c>
      <c r="AO192" s="50">
        <f t="shared" si="15"/>
        <v>7</v>
      </c>
      <c r="AP192" s="50">
        <f t="shared" si="16"/>
        <v>12</v>
      </c>
      <c r="AQ192" s="50">
        <f t="shared" si="17"/>
        <v>2024</v>
      </c>
      <c r="AR192" s="50" t="str">
        <f t="shared" si="18"/>
        <v>Dec-2024</v>
      </c>
      <c r="AS192" s="52">
        <f t="shared" si="19"/>
        <v>45633</v>
      </c>
      <c r="AT192" s="44">
        <f t="shared" ca="1" si="20"/>
        <v>645</v>
      </c>
      <c r="AU192" s="40" t="str">
        <f>LEFT(Sheet1!AE191,3)</f>
        <v>Neh</v>
      </c>
      <c r="AV192" s="40" t="str">
        <f>RIGHT(Sheet1!AF191,2)</f>
        <v>ta</v>
      </c>
      <c r="AW192" s="40" t="str">
        <f>MID(Sheet1!AE191,2,3)</f>
        <v>eha</v>
      </c>
      <c r="AX192" s="42">
        <f>LEN(Sheet1!AE191)</f>
        <v>4</v>
      </c>
      <c r="AY192" s="40" t="str">
        <f>UPPER(Sheet1!AE191)</f>
        <v>NEHA</v>
      </c>
      <c r="AZ192" s="40" t="str">
        <f>LOWER(Sheet1!AE191)</f>
        <v>neha</v>
      </c>
      <c r="BA192" s="40" t="str">
        <f>PROPER(Sheet1!AE191)</f>
        <v>Neha</v>
      </c>
      <c r="BB192" s="40" t="str">
        <f>_xlfn.CONCAT(Sheet1!AE191," ",Sheet1!AF191)</f>
        <v>Neha Mehta</v>
      </c>
    </row>
    <row r="193" spans="40:54">
      <c r="AN193" s="49">
        <f>Sheet1!B192</f>
        <v>45630</v>
      </c>
      <c r="AO193" s="50">
        <f t="shared" ref="AO193:AO256" si="21">IFERROR(DAY(AN68),VALUE(LEFT(AN68,2)))</f>
        <v>8</v>
      </c>
      <c r="AP193" s="50">
        <f t="shared" si="16"/>
        <v>12</v>
      </c>
      <c r="AQ193" s="50">
        <f t="shared" si="17"/>
        <v>2024</v>
      </c>
      <c r="AR193" s="50" t="str">
        <f t="shared" si="18"/>
        <v>Dec-2024</v>
      </c>
      <c r="AS193" s="52">
        <f t="shared" si="19"/>
        <v>45634</v>
      </c>
      <c r="AT193" s="44">
        <f t="shared" ca="1" si="20"/>
        <v>644</v>
      </c>
      <c r="AU193" s="40" t="str">
        <f>LEFT(Sheet1!AE192,3)</f>
        <v>Kav</v>
      </c>
      <c r="AV193" s="40" t="str">
        <f>RIGHT(Sheet1!AF192,2)</f>
        <v>ra</v>
      </c>
      <c r="AW193" s="40" t="str">
        <f>MID(Sheet1!AE192,2,3)</f>
        <v>avy</v>
      </c>
      <c r="AX193" s="42">
        <f>LEN(Sheet1!AE192)</f>
        <v>5</v>
      </c>
      <c r="AY193" s="40" t="str">
        <f>UPPER(Sheet1!AE192)</f>
        <v>KAVYA</v>
      </c>
      <c r="AZ193" s="40" t="str">
        <f>LOWER(Sheet1!AE192)</f>
        <v>kavya</v>
      </c>
      <c r="BA193" s="40" t="str">
        <f>PROPER(Sheet1!AE192)</f>
        <v>Kavya</v>
      </c>
      <c r="BB193" s="40" t="str">
        <f>_xlfn.CONCAT(Sheet1!AE192," ",Sheet1!AF192)</f>
        <v>Kavya Mishra</v>
      </c>
    </row>
    <row r="194" spans="40:54">
      <c r="AN194" s="49">
        <f>Sheet1!B193</f>
        <v>45630</v>
      </c>
      <c r="AO194" s="50">
        <f t="shared" si="21"/>
        <v>8</v>
      </c>
      <c r="AP194" s="50">
        <f t="shared" si="16"/>
        <v>12</v>
      </c>
      <c r="AQ194" s="50">
        <f t="shared" si="17"/>
        <v>2024</v>
      </c>
      <c r="AR194" s="50" t="str">
        <f t="shared" si="18"/>
        <v>Dec-2024</v>
      </c>
      <c r="AS194" s="52">
        <f t="shared" si="19"/>
        <v>45634</v>
      </c>
      <c r="AT194" s="44">
        <f t="shared" ca="1" si="20"/>
        <v>644</v>
      </c>
      <c r="AU194" s="40" t="str">
        <f>LEFT(Sheet1!AE193,3)</f>
        <v>Roh</v>
      </c>
      <c r="AV194" s="40" t="str">
        <f>RIGHT(Sheet1!AF193,2)</f>
        <v>av</v>
      </c>
      <c r="AW194" s="40" t="str">
        <f>MID(Sheet1!AE193,2,3)</f>
        <v>oha</v>
      </c>
      <c r="AX194" s="42">
        <f>LEN(Sheet1!AE193)</f>
        <v>5</v>
      </c>
      <c r="AY194" s="40" t="str">
        <f>UPPER(Sheet1!AE193)</f>
        <v>ROHAN</v>
      </c>
      <c r="AZ194" s="40" t="str">
        <f>LOWER(Sheet1!AE193)</f>
        <v>rohan</v>
      </c>
      <c r="BA194" s="40" t="str">
        <f>PROPER(Sheet1!AE193)</f>
        <v>Rohan</v>
      </c>
      <c r="BB194" s="40" t="str">
        <f>_xlfn.CONCAT(Sheet1!AE193," ",Sheet1!AF193)</f>
        <v>Rohan Yadav</v>
      </c>
    </row>
    <row r="195" spans="40:54">
      <c r="AN195" s="49">
        <f>Sheet1!B194</f>
        <v>45630</v>
      </c>
      <c r="AO195" s="50">
        <f t="shared" si="21"/>
        <v>9</v>
      </c>
      <c r="AP195" s="50">
        <f t="shared" si="16"/>
        <v>12</v>
      </c>
      <c r="AQ195" s="50">
        <f t="shared" si="17"/>
        <v>2024</v>
      </c>
      <c r="AR195" s="50" t="str">
        <f t="shared" si="18"/>
        <v>Dec-2024</v>
      </c>
      <c r="AS195" s="52">
        <f t="shared" si="19"/>
        <v>45635</v>
      </c>
      <c r="AT195" s="44">
        <f t="shared" ca="1" si="20"/>
        <v>643</v>
      </c>
      <c r="AU195" s="40" t="str">
        <f>LEFT(Sheet1!AE194,3)</f>
        <v>Sim</v>
      </c>
      <c r="AV195" s="40" t="str">
        <f>RIGHT(Sheet1!AF194,2)</f>
        <v>ra</v>
      </c>
      <c r="AW195" s="40" t="str">
        <f>MID(Sheet1!AE194,2,3)</f>
        <v>imr</v>
      </c>
      <c r="AX195" s="42">
        <f>LEN(Sheet1!AE194)</f>
        <v>6</v>
      </c>
      <c r="AY195" s="40" t="str">
        <f>UPPER(Sheet1!AE194)</f>
        <v>SIMRAN</v>
      </c>
      <c r="AZ195" s="40" t="str">
        <f>LOWER(Sheet1!AE194)</f>
        <v>simran</v>
      </c>
      <c r="BA195" s="40" t="str">
        <f>PROPER(Sheet1!AE194)</f>
        <v>Simran</v>
      </c>
      <c r="BB195" s="40" t="str">
        <f>_xlfn.CONCAT(Sheet1!AE194," ",Sheet1!AF194)</f>
        <v>Simran Mishra</v>
      </c>
    </row>
    <row r="196" spans="40:54">
      <c r="AN196" s="49">
        <f>Sheet1!B195</f>
        <v>45632</v>
      </c>
      <c r="AO196" s="50">
        <f t="shared" si="21"/>
        <v>2</v>
      </c>
      <c r="AP196" s="50">
        <f t="shared" ref="AP196:AP259" si="22">IFERROR(MONTH(AN196),VALUE(MID(AN196,4,2)))</f>
        <v>12</v>
      </c>
      <c r="AQ196" s="50">
        <f t="shared" ref="AQ196:AQ259" si="23">IFERROR(YEAR(AN196),VALUE(RIGHT(AN196,4)))</f>
        <v>2024</v>
      </c>
      <c r="AR196" s="50" t="str">
        <f t="shared" ref="AR196:AR259" si="24">IF(ISNUMBER(AN196),TEXT(AN196,"mmm-yyyy"),TEXT(DATE(VALUE(RIGHT(AN196,4)),VALUE(MID(AN196,4,2)),VALUE(LEFT(AN196,2))),"mmm-yyyy"))</f>
        <v>Dec-2024</v>
      </c>
      <c r="AS196" s="52">
        <f t="shared" ref="AS196:AS259" si="25">DATE(AQ196,AP196,AO196)</f>
        <v>45628</v>
      </c>
      <c r="AT196" s="44">
        <f t="shared" ref="AT196:AT259" ca="1" si="26">TODAY()-AS196</f>
        <v>650</v>
      </c>
      <c r="AU196" s="40" t="str">
        <f>LEFT(Sheet1!AE195,3)</f>
        <v>Adi</v>
      </c>
      <c r="AV196" s="40" t="str">
        <f>RIGHT(Sheet1!AF195,2)</f>
        <v>ta</v>
      </c>
      <c r="AW196" s="40" t="str">
        <f>MID(Sheet1!AE195,2,3)</f>
        <v>dit</v>
      </c>
      <c r="AX196" s="42">
        <f>LEN(Sheet1!AE195)</f>
        <v>5</v>
      </c>
      <c r="AY196" s="40" t="str">
        <f>UPPER(Sheet1!AE195)</f>
        <v>ADITI</v>
      </c>
      <c r="AZ196" s="40" t="str">
        <f>LOWER(Sheet1!AE195)</f>
        <v>aditi</v>
      </c>
      <c r="BA196" s="40" t="str">
        <f>PROPER(Sheet1!AE195)</f>
        <v>Aditi</v>
      </c>
      <c r="BB196" s="40" t="str">
        <f>_xlfn.CONCAT(Sheet1!AE195," ",Sheet1!AF195)</f>
        <v>Aditi Gupta</v>
      </c>
    </row>
    <row r="197" spans="40:54">
      <c r="AN197" s="49">
        <f>Sheet1!B196</f>
        <v>45634</v>
      </c>
      <c r="AO197" s="50">
        <f t="shared" si="21"/>
        <v>3</v>
      </c>
      <c r="AP197" s="50">
        <f t="shared" si="22"/>
        <v>12</v>
      </c>
      <c r="AQ197" s="50">
        <f t="shared" si="23"/>
        <v>2024</v>
      </c>
      <c r="AR197" s="50" t="str">
        <f t="shared" si="24"/>
        <v>Dec-2024</v>
      </c>
      <c r="AS197" s="52">
        <f t="shared" si="25"/>
        <v>45629</v>
      </c>
      <c r="AT197" s="44">
        <f t="shared" ca="1" si="26"/>
        <v>649</v>
      </c>
      <c r="AU197" s="40" t="str">
        <f>LEFT(Sheet1!AE196,3)</f>
        <v>Roh</v>
      </c>
      <c r="AV197" s="40" t="str">
        <f>RIGHT(Sheet1!AF196,2)</f>
        <v>av</v>
      </c>
      <c r="AW197" s="40" t="str">
        <f>MID(Sheet1!AE196,2,3)</f>
        <v>oha</v>
      </c>
      <c r="AX197" s="42">
        <f>LEN(Sheet1!AE196)</f>
        <v>5</v>
      </c>
      <c r="AY197" s="40" t="str">
        <f>UPPER(Sheet1!AE196)</f>
        <v>ROHAN</v>
      </c>
      <c r="AZ197" s="40" t="str">
        <f>LOWER(Sheet1!AE196)</f>
        <v>rohan</v>
      </c>
      <c r="BA197" s="40" t="str">
        <f>PROPER(Sheet1!AE196)</f>
        <v>Rohan</v>
      </c>
      <c r="BB197" s="40" t="str">
        <f>_xlfn.CONCAT(Sheet1!AE196," ",Sheet1!AF196)</f>
        <v>Rohan Yadav</v>
      </c>
    </row>
    <row r="198" spans="40:54">
      <c r="AN198" s="49">
        <f>Sheet1!B197</f>
        <v>45635</v>
      </c>
      <c r="AO198" s="50">
        <f t="shared" si="21"/>
        <v>4</v>
      </c>
      <c r="AP198" s="50">
        <f t="shared" si="22"/>
        <v>12</v>
      </c>
      <c r="AQ198" s="50">
        <f t="shared" si="23"/>
        <v>2024</v>
      </c>
      <c r="AR198" s="50" t="str">
        <f t="shared" si="24"/>
        <v>Dec-2024</v>
      </c>
      <c r="AS198" s="52">
        <f t="shared" si="25"/>
        <v>45630</v>
      </c>
      <c r="AT198" s="44">
        <f t="shared" ca="1" si="26"/>
        <v>648</v>
      </c>
      <c r="AU198" s="40" t="str">
        <f>LEFT(Sheet1!AE197,3)</f>
        <v>Poo</v>
      </c>
      <c r="AV198" s="40" t="str">
        <f>RIGHT(Sheet1!AF197,2)</f>
        <v>ra</v>
      </c>
      <c r="AW198" s="40" t="str">
        <f>MID(Sheet1!AE197,2,3)</f>
        <v>ooj</v>
      </c>
      <c r="AX198" s="42">
        <f>LEN(Sheet1!AE197)</f>
        <v>5</v>
      </c>
      <c r="AY198" s="40" t="str">
        <f>UPPER(Sheet1!AE197)</f>
        <v>POOJA</v>
      </c>
      <c r="AZ198" s="40" t="str">
        <f>LOWER(Sheet1!AE197)</f>
        <v>pooja</v>
      </c>
      <c r="BA198" s="40" t="str">
        <f>PROPER(Sheet1!AE197)</f>
        <v>Pooja</v>
      </c>
      <c r="BB198" s="40" t="str">
        <f>_xlfn.CONCAT(Sheet1!AE197," ",Sheet1!AF197)</f>
        <v>Pooja Malhotra</v>
      </c>
    </row>
    <row r="199" spans="40:54">
      <c r="AN199" s="49">
        <f>Sheet1!B198</f>
        <v>45636</v>
      </c>
      <c r="AO199" s="50">
        <f t="shared" si="21"/>
        <v>4</v>
      </c>
      <c r="AP199" s="50">
        <f t="shared" si="22"/>
        <v>12</v>
      </c>
      <c r="AQ199" s="50">
        <f t="shared" si="23"/>
        <v>2024</v>
      </c>
      <c r="AR199" s="50" t="str">
        <f t="shared" si="24"/>
        <v>Dec-2024</v>
      </c>
      <c r="AS199" s="52">
        <f t="shared" si="25"/>
        <v>45630</v>
      </c>
      <c r="AT199" s="44">
        <f t="shared" ca="1" si="26"/>
        <v>648</v>
      </c>
      <c r="AU199" s="40" t="str">
        <f>LEFT(Sheet1!AE198,3)</f>
        <v>Adi</v>
      </c>
      <c r="AV199" s="40" t="str">
        <f>RIGHT(Sheet1!AF198,2)</f>
        <v>in</v>
      </c>
      <c r="AW199" s="40" t="str">
        <f>MID(Sheet1!AE198,2,3)</f>
        <v>dit</v>
      </c>
      <c r="AX199" s="42">
        <f>LEN(Sheet1!AE198)</f>
        <v>6</v>
      </c>
      <c r="AY199" s="40" t="str">
        <f>UPPER(Sheet1!AE198)</f>
        <v>ADITYA</v>
      </c>
      <c r="AZ199" s="40" t="str">
        <f>LOWER(Sheet1!AE198)</f>
        <v>aditya</v>
      </c>
      <c r="BA199" s="40" t="str">
        <f>PROPER(Sheet1!AE198)</f>
        <v>Aditya</v>
      </c>
      <c r="BB199" s="40" t="str">
        <f>_xlfn.CONCAT(Sheet1!AE198," ",Sheet1!AF198)</f>
        <v>Aditya Jain</v>
      </c>
    </row>
    <row r="200" spans="40:54">
      <c r="AN200" s="49">
        <f>Sheet1!B199</f>
        <v>45636</v>
      </c>
      <c r="AO200" s="50">
        <f t="shared" si="21"/>
        <v>4</v>
      </c>
      <c r="AP200" s="50">
        <f t="shared" si="22"/>
        <v>12</v>
      </c>
      <c r="AQ200" s="50">
        <f t="shared" si="23"/>
        <v>2024</v>
      </c>
      <c r="AR200" s="50" t="str">
        <f t="shared" si="24"/>
        <v>Dec-2024</v>
      </c>
      <c r="AS200" s="52">
        <f t="shared" si="25"/>
        <v>45630</v>
      </c>
      <c r="AT200" s="44">
        <f t="shared" ca="1" si="26"/>
        <v>648</v>
      </c>
      <c r="AU200" s="40" t="str">
        <f>LEFT(Sheet1!AE199,3)</f>
        <v>Sim</v>
      </c>
      <c r="AV200" s="40" t="str">
        <f>RIGHT(Sheet1!AF199,2)</f>
        <v>in</v>
      </c>
      <c r="AW200" s="40" t="str">
        <f>MID(Sheet1!AE199,2,3)</f>
        <v>imr</v>
      </c>
      <c r="AX200" s="42">
        <f>LEN(Sheet1!AE199)</f>
        <v>6</v>
      </c>
      <c r="AY200" s="40" t="str">
        <f>UPPER(Sheet1!AE199)</f>
        <v>SIMRAN</v>
      </c>
      <c r="AZ200" s="40" t="str">
        <f>LOWER(Sheet1!AE199)</f>
        <v>simran</v>
      </c>
      <c r="BA200" s="40" t="str">
        <f>PROPER(Sheet1!AE199)</f>
        <v>Simran</v>
      </c>
      <c r="BB200" s="40" t="str">
        <f>_xlfn.CONCAT(Sheet1!AE199," ",Sheet1!AF199)</f>
        <v>Simran Jain</v>
      </c>
    </row>
    <row r="201" spans="40:54">
      <c r="AN201" s="49">
        <f>Sheet1!B200</f>
        <v>45638</v>
      </c>
      <c r="AO201" s="50">
        <f t="shared" si="21"/>
        <v>6</v>
      </c>
      <c r="AP201" s="50">
        <f t="shared" si="22"/>
        <v>12</v>
      </c>
      <c r="AQ201" s="50">
        <f t="shared" si="23"/>
        <v>2024</v>
      </c>
      <c r="AR201" s="50" t="str">
        <f t="shared" si="24"/>
        <v>Dec-2024</v>
      </c>
      <c r="AS201" s="52">
        <f t="shared" si="25"/>
        <v>45632</v>
      </c>
      <c r="AT201" s="44">
        <f t="shared" ca="1" si="26"/>
        <v>646</v>
      </c>
      <c r="AU201" s="40" t="str">
        <f>LEFT(Sheet1!AE200,3)</f>
        <v>Adi</v>
      </c>
      <c r="AV201" s="40" t="str">
        <f>RIGHT(Sheet1!AF200,2)</f>
        <v>ma</v>
      </c>
      <c r="AW201" s="40" t="str">
        <f>MID(Sheet1!AE200,2,3)</f>
        <v>dit</v>
      </c>
      <c r="AX201" s="42">
        <f>LEN(Sheet1!AE200)</f>
        <v>5</v>
      </c>
      <c r="AY201" s="40" t="str">
        <f>UPPER(Sheet1!AE200)</f>
        <v>ADITI</v>
      </c>
      <c r="AZ201" s="40" t="str">
        <f>LOWER(Sheet1!AE200)</f>
        <v>aditi</v>
      </c>
      <c r="BA201" s="40" t="str">
        <f>PROPER(Sheet1!AE200)</f>
        <v>Aditi</v>
      </c>
      <c r="BB201" s="40" t="str">
        <f>_xlfn.CONCAT(Sheet1!AE200," ",Sheet1!AF200)</f>
        <v>Aditi Verma</v>
      </c>
    </row>
    <row r="202" spans="40:54">
      <c r="AN202" s="49">
        <f>Sheet1!B201</f>
        <v>45638</v>
      </c>
      <c r="AO202" s="50">
        <f t="shared" si="21"/>
        <v>7</v>
      </c>
      <c r="AP202" s="50">
        <f t="shared" si="22"/>
        <v>12</v>
      </c>
      <c r="AQ202" s="50">
        <f t="shared" si="23"/>
        <v>2024</v>
      </c>
      <c r="AR202" s="50" t="str">
        <f t="shared" si="24"/>
        <v>Dec-2024</v>
      </c>
      <c r="AS202" s="52">
        <f t="shared" si="25"/>
        <v>45633</v>
      </c>
      <c r="AT202" s="44">
        <f t="shared" ca="1" si="26"/>
        <v>645</v>
      </c>
      <c r="AU202" s="40" t="str">
        <f>LEFT(Sheet1!AE201,3)</f>
        <v>Pri</v>
      </c>
      <c r="AV202" s="40" t="str">
        <f>RIGHT(Sheet1!AF201,2)</f>
        <v>ar</v>
      </c>
      <c r="AW202" s="40" t="str">
        <f>MID(Sheet1!AE201,2,3)</f>
        <v>riy</v>
      </c>
      <c r="AX202" s="42">
        <f>LEN(Sheet1!AE201)</f>
        <v>5</v>
      </c>
      <c r="AY202" s="40" t="str">
        <f>UPPER(Sheet1!AE201)</f>
        <v>PRIYA</v>
      </c>
      <c r="AZ202" s="40" t="str">
        <f>LOWER(Sheet1!AE201)</f>
        <v>priya</v>
      </c>
      <c r="BA202" s="40" t="str">
        <f>PROPER(Sheet1!AE201)</f>
        <v>Priya</v>
      </c>
      <c r="BB202" s="40" t="str">
        <f>_xlfn.CONCAT(Sheet1!AE201," ",Sheet1!AF201)</f>
        <v>Priya Kumar</v>
      </c>
    </row>
    <row r="203" spans="40:54">
      <c r="AN203" s="49">
        <f>Sheet1!B202</f>
        <v>45658</v>
      </c>
      <c r="AO203" s="50">
        <f t="shared" si="21"/>
        <v>7</v>
      </c>
      <c r="AP203" s="50">
        <f t="shared" si="22"/>
        <v>1</v>
      </c>
      <c r="AQ203" s="50">
        <f t="shared" si="23"/>
        <v>2025</v>
      </c>
      <c r="AR203" s="50" t="str">
        <f t="shared" si="24"/>
        <v>Jan-2025</v>
      </c>
      <c r="AS203" s="52">
        <f t="shared" si="25"/>
        <v>45664</v>
      </c>
      <c r="AT203" s="44">
        <f t="shared" ca="1" si="26"/>
        <v>614</v>
      </c>
      <c r="AU203" s="40" t="str">
        <f>LEFT(Sheet1!AE202,3)</f>
        <v>Nis</v>
      </c>
      <c r="AV203" s="40" t="str">
        <f>RIGHT(Sheet1!AF202,2)</f>
        <v>ma</v>
      </c>
      <c r="AW203" s="40" t="str">
        <f>MID(Sheet1!AE202,2,3)</f>
        <v>ish</v>
      </c>
      <c r="AX203" s="42">
        <f>LEN(Sheet1!AE202)</f>
        <v>5</v>
      </c>
      <c r="AY203" s="40" t="str">
        <f>UPPER(Sheet1!AE202)</f>
        <v>NISHA</v>
      </c>
      <c r="AZ203" s="40" t="str">
        <f>LOWER(Sheet1!AE202)</f>
        <v>nisha</v>
      </c>
      <c r="BA203" s="40" t="str">
        <f>PROPER(Sheet1!AE202)</f>
        <v>Nisha</v>
      </c>
      <c r="BB203" s="40" t="str">
        <f>_xlfn.CONCAT(Sheet1!AE202," ",Sheet1!AF202)</f>
        <v>Nisha Verma</v>
      </c>
    </row>
    <row r="204" spans="40:54">
      <c r="AN204" s="49">
        <f>Sheet1!B203</f>
        <v>45659</v>
      </c>
      <c r="AO204" s="50">
        <f t="shared" si="21"/>
        <v>12</v>
      </c>
      <c r="AP204" s="50">
        <f t="shared" si="22"/>
        <v>1</v>
      </c>
      <c r="AQ204" s="50">
        <f t="shared" si="23"/>
        <v>2025</v>
      </c>
      <c r="AR204" s="50" t="str">
        <f t="shared" si="24"/>
        <v>Jan-2025</v>
      </c>
      <c r="AS204" s="52">
        <f t="shared" si="25"/>
        <v>45669</v>
      </c>
      <c r="AT204" s="44">
        <f t="shared" ca="1" si="26"/>
        <v>609</v>
      </c>
      <c r="AU204" s="40" t="str">
        <f>LEFT(Sheet1!AE203,3)</f>
        <v>Roh</v>
      </c>
      <c r="AV204" s="40" t="str">
        <f>RIGHT(Sheet1!AF203,2)</f>
        <v>ma</v>
      </c>
      <c r="AW204" s="40" t="str">
        <f>MID(Sheet1!AE203,2,3)</f>
        <v>oha</v>
      </c>
      <c r="AX204" s="42">
        <f>LEN(Sheet1!AE203)</f>
        <v>5</v>
      </c>
      <c r="AY204" s="40" t="str">
        <f>UPPER(Sheet1!AE203)</f>
        <v>ROHAN</v>
      </c>
      <c r="AZ204" s="40" t="str">
        <f>LOWER(Sheet1!AE203)</f>
        <v>rohan</v>
      </c>
      <c r="BA204" s="40" t="str">
        <f>PROPER(Sheet1!AE203)</f>
        <v>Rohan</v>
      </c>
      <c r="BB204" s="40" t="str">
        <f>_xlfn.CONCAT(Sheet1!AE203," ",Sheet1!AF203)</f>
        <v>Rohan Verma</v>
      </c>
    </row>
    <row r="205" spans="40:54">
      <c r="AN205" s="49">
        <f>Sheet1!B204</f>
        <v>45659</v>
      </c>
      <c r="AO205" s="50">
        <f t="shared" si="21"/>
        <v>12</v>
      </c>
      <c r="AP205" s="50">
        <f t="shared" si="22"/>
        <v>1</v>
      </c>
      <c r="AQ205" s="50">
        <f t="shared" si="23"/>
        <v>2025</v>
      </c>
      <c r="AR205" s="50" t="str">
        <f t="shared" si="24"/>
        <v>Jan-2025</v>
      </c>
      <c r="AS205" s="52">
        <f t="shared" si="25"/>
        <v>45669</v>
      </c>
      <c r="AT205" s="44">
        <f t="shared" ca="1" si="26"/>
        <v>609</v>
      </c>
      <c r="AU205" s="40" t="str">
        <f>LEFT(Sheet1!AE204,3)</f>
        <v>Adi</v>
      </c>
      <c r="AV205" s="40" t="str">
        <f>RIGHT(Sheet1!AF204,2)</f>
        <v>al</v>
      </c>
      <c r="AW205" s="40" t="str">
        <f>MID(Sheet1!AE204,2,3)</f>
        <v>dit</v>
      </c>
      <c r="AX205" s="42">
        <f>LEN(Sheet1!AE204)</f>
        <v>6</v>
      </c>
      <c r="AY205" s="40" t="str">
        <f>UPPER(Sheet1!AE204)</f>
        <v>ADITYA</v>
      </c>
      <c r="AZ205" s="40" t="str">
        <f>LOWER(Sheet1!AE204)</f>
        <v>aditya</v>
      </c>
      <c r="BA205" s="40" t="str">
        <f>PROPER(Sheet1!AE204)</f>
        <v>Aditya</v>
      </c>
      <c r="BB205" s="40" t="str">
        <f>_xlfn.CONCAT(Sheet1!AE204," ",Sheet1!AF204)</f>
        <v>Aditya Agarwal</v>
      </c>
    </row>
    <row r="206" spans="40:54">
      <c r="AN206" s="49">
        <f>Sheet1!B205</f>
        <v>45660</v>
      </c>
      <c r="AO206" s="50">
        <f t="shared" si="21"/>
        <v>1</v>
      </c>
      <c r="AP206" s="50">
        <f t="shared" si="22"/>
        <v>1</v>
      </c>
      <c r="AQ206" s="50">
        <f t="shared" si="23"/>
        <v>2025</v>
      </c>
      <c r="AR206" s="50" t="str">
        <f t="shared" si="24"/>
        <v>Jan-2025</v>
      </c>
      <c r="AS206" s="52">
        <f t="shared" si="25"/>
        <v>45658</v>
      </c>
      <c r="AT206" s="44">
        <f t="shared" ca="1" si="26"/>
        <v>620</v>
      </c>
      <c r="AU206" s="40" t="str">
        <f>LEFT(Sheet1!AE205,3)</f>
        <v>Pri</v>
      </c>
      <c r="AV206" s="40" t="str">
        <f>RIGHT(Sheet1!AF205,2)</f>
        <v>av</v>
      </c>
      <c r="AW206" s="40" t="str">
        <f>MID(Sheet1!AE205,2,3)</f>
        <v>riy</v>
      </c>
      <c r="AX206" s="42">
        <f>LEN(Sheet1!AE205)</f>
        <v>5</v>
      </c>
      <c r="AY206" s="40" t="str">
        <f>UPPER(Sheet1!AE205)</f>
        <v>PRIYA</v>
      </c>
      <c r="AZ206" s="40" t="str">
        <f>LOWER(Sheet1!AE205)</f>
        <v>priya</v>
      </c>
      <c r="BA206" s="40" t="str">
        <f>PROPER(Sheet1!AE205)</f>
        <v>Priya</v>
      </c>
      <c r="BB206" s="40" t="str">
        <f>_xlfn.CONCAT(Sheet1!AE205," ",Sheet1!AF205)</f>
        <v>Priya Yadav</v>
      </c>
    </row>
    <row r="207" spans="40:54">
      <c r="AN207" s="49">
        <f>Sheet1!B206</f>
        <v>45660</v>
      </c>
      <c r="AO207" s="50">
        <f t="shared" si="21"/>
        <v>1</v>
      </c>
      <c r="AP207" s="50">
        <f t="shared" si="22"/>
        <v>1</v>
      </c>
      <c r="AQ207" s="50">
        <f t="shared" si="23"/>
        <v>2025</v>
      </c>
      <c r="AR207" s="50" t="str">
        <f t="shared" si="24"/>
        <v>Jan-2025</v>
      </c>
      <c r="AS207" s="52">
        <f t="shared" si="25"/>
        <v>45658</v>
      </c>
      <c r="AT207" s="44">
        <f t="shared" ca="1" si="26"/>
        <v>620</v>
      </c>
      <c r="AU207" s="40" t="str">
        <f>LEFT(Sheet1!AE206,3)</f>
        <v>Kav</v>
      </c>
      <c r="AV207" s="40" t="str">
        <f>RIGHT(Sheet1!AF206,2)</f>
        <v>ar</v>
      </c>
      <c r="AW207" s="40" t="str">
        <f>MID(Sheet1!AE206,2,3)</f>
        <v>avy</v>
      </c>
      <c r="AX207" s="42">
        <f>LEN(Sheet1!AE206)</f>
        <v>5</v>
      </c>
      <c r="AY207" s="40" t="str">
        <f>UPPER(Sheet1!AE206)</f>
        <v>KAVYA</v>
      </c>
      <c r="AZ207" s="40" t="str">
        <f>LOWER(Sheet1!AE206)</f>
        <v>kavya</v>
      </c>
      <c r="BA207" s="40" t="str">
        <f>PROPER(Sheet1!AE206)</f>
        <v>Kavya</v>
      </c>
      <c r="BB207" s="40" t="str">
        <f>_xlfn.CONCAT(Sheet1!AE206," ",Sheet1!AF206)</f>
        <v>Kavya Kumar</v>
      </c>
    </row>
    <row r="208" spans="40:54">
      <c r="AN208" s="49">
        <f>Sheet1!B207</f>
        <v>45660</v>
      </c>
      <c r="AO208" s="50">
        <f t="shared" si="21"/>
        <v>1</v>
      </c>
      <c r="AP208" s="50">
        <f t="shared" si="22"/>
        <v>1</v>
      </c>
      <c r="AQ208" s="50">
        <f t="shared" si="23"/>
        <v>2025</v>
      </c>
      <c r="AR208" s="50" t="str">
        <f t="shared" si="24"/>
        <v>Jan-2025</v>
      </c>
      <c r="AS208" s="52">
        <f t="shared" si="25"/>
        <v>45658</v>
      </c>
      <c r="AT208" s="44">
        <f t="shared" ca="1" si="26"/>
        <v>620</v>
      </c>
      <c r="AU208" s="40" t="str">
        <f>LEFT(Sheet1!AE207,3)</f>
        <v>Roh</v>
      </c>
      <c r="AV208" s="40" t="str">
        <f>RIGHT(Sheet1!AF207,2)</f>
        <v>ma</v>
      </c>
      <c r="AW208" s="40" t="str">
        <f>MID(Sheet1!AE207,2,3)</f>
        <v>oha</v>
      </c>
      <c r="AX208" s="42">
        <f>LEN(Sheet1!AE207)</f>
        <v>5</v>
      </c>
      <c r="AY208" s="40" t="str">
        <f>UPPER(Sheet1!AE207)</f>
        <v>ROHAN</v>
      </c>
      <c r="AZ208" s="40" t="str">
        <f>LOWER(Sheet1!AE207)</f>
        <v>rohan</v>
      </c>
      <c r="BA208" s="40" t="str">
        <f>PROPER(Sheet1!AE207)</f>
        <v>Rohan</v>
      </c>
      <c r="BB208" s="40" t="str">
        <f>_xlfn.CONCAT(Sheet1!AE207," ",Sheet1!AF207)</f>
        <v>Rohan Sharma</v>
      </c>
    </row>
    <row r="209" spans="40:54">
      <c r="AN209" s="49">
        <f>Sheet1!B208</f>
        <v>45661</v>
      </c>
      <c r="AO209" s="50">
        <f t="shared" si="21"/>
        <v>2</v>
      </c>
      <c r="AP209" s="50">
        <f t="shared" si="22"/>
        <v>1</v>
      </c>
      <c r="AQ209" s="50">
        <f t="shared" si="23"/>
        <v>2025</v>
      </c>
      <c r="AR209" s="50" t="str">
        <f t="shared" si="24"/>
        <v>Jan-2025</v>
      </c>
      <c r="AS209" s="52">
        <f t="shared" si="25"/>
        <v>45659</v>
      </c>
      <c r="AT209" s="44">
        <f t="shared" ca="1" si="26"/>
        <v>619</v>
      </c>
      <c r="AU209" s="40" t="str">
        <f>LEFT(Sheet1!AE208,3)</f>
        <v>Rah</v>
      </c>
      <c r="AV209" s="40" t="str">
        <f>RIGHT(Sheet1!AF208,2)</f>
        <v>ma</v>
      </c>
      <c r="AW209" s="40" t="str">
        <f>MID(Sheet1!AE208,2,3)</f>
        <v>ahu</v>
      </c>
      <c r="AX209" s="42">
        <f>LEN(Sheet1!AE208)</f>
        <v>5</v>
      </c>
      <c r="AY209" s="40" t="str">
        <f>UPPER(Sheet1!AE208)</f>
        <v>RAHUL</v>
      </c>
      <c r="AZ209" s="40" t="str">
        <f>LOWER(Sheet1!AE208)</f>
        <v>rahul</v>
      </c>
      <c r="BA209" s="40" t="str">
        <f>PROPER(Sheet1!AE208)</f>
        <v>Rahul</v>
      </c>
      <c r="BB209" s="40" t="str">
        <f>_xlfn.CONCAT(Sheet1!AE208," ",Sheet1!AF208)</f>
        <v>Rahul Sharma</v>
      </c>
    </row>
    <row r="210" spans="40:54">
      <c r="AN210" s="49">
        <f>Sheet1!B209</f>
        <v>45662</v>
      </c>
      <c r="AO210" s="50">
        <f t="shared" si="21"/>
        <v>3</v>
      </c>
      <c r="AP210" s="50">
        <f t="shared" si="22"/>
        <v>1</v>
      </c>
      <c r="AQ210" s="50">
        <f t="shared" si="23"/>
        <v>2025</v>
      </c>
      <c r="AR210" s="50" t="str">
        <f t="shared" si="24"/>
        <v>Jan-2025</v>
      </c>
      <c r="AS210" s="52">
        <f t="shared" si="25"/>
        <v>45660</v>
      </c>
      <c r="AT210" s="44">
        <f t="shared" ca="1" si="26"/>
        <v>618</v>
      </c>
      <c r="AU210" s="40" t="str">
        <f>LEFT(Sheet1!AE209,3)</f>
        <v>Ana</v>
      </c>
      <c r="AV210" s="40" t="str">
        <f>RIGHT(Sheet1!AF209,2)</f>
        <v>al</v>
      </c>
      <c r="AW210" s="40" t="str">
        <f>MID(Sheet1!AE209,2,3)</f>
        <v>nan</v>
      </c>
      <c r="AX210" s="42">
        <f>LEN(Sheet1!AE209)</f>
        <v>6</v>
      </c>
      <c r="AY210" s="40" t="str">
        <f>UPPER(Sheet1!AE209)</f>
        <v>ANANYA</v>
      </c>
      <c r="AZ210" s="40" t="str">
        <f>LOWER(Sheet1!AE209)</f>
        <v>ananya</v>
      </c>
      <c r="BA210" s="40" t="str">
        <f>PROPER(Sheet1!AE209)</f>
        <v>Ananya</v>
      </c>
      <c r="BB210" s="40" t="str">
        <f>_xlfn.CONCAT(Sheet1!AE209," ",Sheet1!AF209)</f>
        <v>Ananya Agarwal</v>
      </c>
    </row>
    <row r="211" spans="40:54">
      <c r="AN211" s="49">
        <f>Sheet1!B210</f>
        <v>45662</v>
      </c>
      <c r="AO211" s="50">
        <f t="shared" si="21"/>
        <v>3</v>
      </c>
      <c r="AP211" s="50">
        <f t="shared" si="22"/>
        <v>1</v>
      </c>
      <c r="AQ211" s="50">
        <f t="shared" si="23"/>
        <v>2025</v>
      </c>
      <c r="AR211" s="50" t="str">
        <f t="shared" si="24"/>
        <v>Jan-2025</v>
      </c>
      <c r="AS211" s="52">
        <f t="shared" si="25"/>
        <v>45660</v>
      </c>
      <c r="AT211" s="44">
        <f t="shared" ca="1" si="26"/>
        <v>618</v>
      </c>
      <c r="AU211" s="40" t="str">
        <f>LEFT(Sheet1!AE210,3)</f>
        <v>Viv</v>
      </c>
      <c r="AV211" s="40" t="str">
        <f>RIGHT(Sheet1!AF210,2)</f>
        <v>ra</v>
      </c>
      <c r="AW211" s="40" t="str">
        <f>MID(Sheet1!AE210,2,3)</f>
        <v>iva</v>
      </c>
      <c r="AX211" s="42">
        <f>LEN(Sheet1!AE210)</f>
        <v>6</v>
      </c>
      <c r="AY211" s="40" t="str">
        <f>UPPER(Sheet1!AE210)</f>
        <v>VIVAAN</v>
      </c>
      <c r="AZ211" s="40" t="str">
        <f>LOWER(Sheet1!AE210)</f>
        <v>vivaan</v>
      </c>
      <c r="BA211" s="40" t="str">
        <f>PROPER(Sheet1!AE210)</f>
        <v>Vivaan</v>
      </c>
      <c r="BB211" s="40" t="str">
        <f>_xlfn.CONCAT(Sheet1!AE210," ",Sheet1!AF210)</f>
        <v>Vivaan Chopra</v>
      </c>
    </row>
    <row r="212" spans="40:54">
      <c r="AN212" s="49">
        <f>Sheet1!B211</f>
        <v>45662</v>
      </c>
      <c r="AO212" s="50">
        <f t="shared" si="21"/>
        <v>4</v>
      </c>
      <c r="AP212" s="50">
        <f t="shared" si="22"/>
        <v>1</v>
      </c>
      <c r="AQ212" s="50">
        <f t="shared" si="23"/>
        <v>2025</v>
      </c>
      <c r="AR212" s="50" t="str">
        <f t="shared" si="24"/>
        <v>Jan-2025</v>
      </c>
      <c r="AS212" s="52">
        <f t="shared" si="25"/>
        <v>45661</v>
      </c>
      <c r="AT212" s="44">
        <f t="shared" ca="1" si="26"/>
        <v>617</v>
      </c>
      <c r="AU212" s="40" t="str">
        <f>LEFT(Sheet1!AE211,3)</f>
        <v>Pri</v>
      </c>
      <c r="AV212" s="40" t="str">
        <f>RIGHT(Sheet1!AF211,2)</f>
        <v>ma</v>
      </c>
      <c r="AW212" s="40" t="str">
        <f>MID(Sheet1!AE211,2,3)</f>
        <v>riy</v>
      </c>
      <c r="AX212" s="42">
        <f>LEN(Sheet1!AE211)</f>
        <v>5</v>
      </c>
      <c r="AY212" s="40" t="str">
        <f>UPPER(Sheet1!AE211)</f>
        <v>PRIYA</v>
      </c>
      <c r="AZ212" s="40" t="str">
        <f>LOWER(Sheet1!AE211)</f>
        <v>priya</v>
      </c>
      <c r="BA212" s="40" t="str">
        <f>PROPER(Sheet1!AE211)</f>
        <v>Priya</v>
      </c>
      <c r="BB212" s="40" t="str">
        <f>_xlfn.CONCAT(Sheet1!AE211," ",Sheet1!AF211)</f>
        <v>Priya Verma</v>
      </c>
    </row>
    <row r="213" spans="40:54">
      <c r="AN213" s="49">
        <f>Sheet1!B212</f>
        <v>45663</v>
      </c>
      <c r="AO213" s="50">
        <f t="shared" si="21"/>
        <v>4</v>
      </c>
      <c r="AP213" s="50">
        <f t="shared" si="22"/>
        <v>1</v>
      </c>
      <c r="AQ213" s="50">
        <f t="shared" si="23"/>
        <v>2025</v>
      </c>
      <c r="AR213" s="50" t="str">
        <f t="shared" si="24"/>
        <v>Jan-2025</v>
      </c>
      <c r="AS213" s="52">
        <f t="shared" si="25"/>
        <v>45661</v>
      </c>
      <c r="AT213" s="44">
        <f t="shared" ca="1" si="26"/>
        <v>617</v>
      </c>
      <c r="AU213" s="40" t="str">
        <f>LEFT(Sheet1!AE212,3)</f>
        <v>Neh</v>
      </c>
      <c r="AV213" s="40" t="str">
        <f>RIGHT(Sheet1!AF212,2)</f>
        <v>ra</v>
      </c>
      <c r="AW213" s="40" t="str">
        <f>MID(Sheet1!AE212,2,3)</f>
        <v>eha</v>
      </c>
      <c r="AX213" s="42">
        <f>LEN(Sheet1!AE212)</f>
        <v>4</v>
      </c>
      <c r="AY213" s="40" t="str">
        <f>UPPER(Sheet1!AE212)</f>
        <v>NEHA</v>
      </c>
      <c r="AZ213" s="40" t="str">
        <f>LOWER(Sheet1!AE212)</f>
        <v>neha</v>
      </c>
      <c r="BA213" s="40" t="str">
        <f>PROPER(Sheet1!AE212)</f>
        <v>Neha</v>
      </c>
      <c r="BB213" s="40" t="str">
        <f>_xlfn.CONCAT(Sheet1!AE212," ",Sheet1!AF212)</f>
        <v>Neha Chopra</v>
      </c>
    </row>
    <row r="214" spans="40:54">
      <c r="AN214" s="49">
        <f>Sheet1!B213</f>
        <v>45663</v>
      </c>
      <c r="AO214" s="50">
        <f t="shared" si="21"/>
        <v>5</v>
      </c>
      <c r="AP214" s="50">
        <f t="shared" si="22"/>
        <v>1</v>
      </c>
      <c r="AQ214" s="50">
        <f t="shared" si="23"/>
        <v>2025</v>
      </c>
      <c r="AR214" s="50" t="str">
        <f t="shared" si="24"/>
        <v>Jan-2025</v>
      </c>
      <c r="AS214" s="52">
        <f t="shared" si="25"/>
        <v>45662</v>
      </c>
      <c r="AT214" s="44">
        <f t="shared" ca="1" si="26"/>
        <v>616</v>
      </c>
      <c r="AU214" s="40" t="str">
        <f>LEFT(Sheet1!AE213,3)</f>
        <v>Sim</v>
      </c>
      <c r="AV214" s="40" t="str">
        <f>RIGHT(Sheet1!AF213,2)</f>
        <v>na</v>
      </c>
      <c r="AW214" s="40" t="str">
        <f>MID(Sheet1!AE213,2,3)</f>
        <v>imr</v>
      </c>
      <c r="AX214" s="42">
        <f>LEN(Sheet1!AE213)</f>
        <v>6</v>
      </c>
      <c r="AY214" s="40" t="str">
        <f>UPPER(Sheet1!AE213)</f>
        <v>SIMRAN</v>
      </c>
      <c r="AZ214" s="40" t="str">
        <f>LOWER(Sheet1!AE213)</f>
        <v>simran</v>
      </c>
      <c r="BA214" s="40" t="str">
        <f>PROPER(Sheet1!AE213)</f>
        <v>Simran</v>
      </c>
      <c r="BB214" s="40" t="str">
        <f>_xlfn.CONCAT(Sheet1!AE213," ",Sheet1!AF213)</f>
        <v>Simran Saxena</v>
      </c>
    </row>
    <row r="215" spans="40:54">
      <c r="AN215" s="49">
        <f>Sheet1!B214</f>
        <v>45664</v>
      </c>
      <c r="AO215" s="50">
        <f t="shared" si="21"/>
        <v>6</v>
      </c>
      <c r="AP215" s="50">
        <f t="shared" si="22"/>
        <v>1</v>
      </c>
      <c r="AQ215" s="50">
        <f t="shared" si="23"/>
        <v>2025</v>
      </c>
      <c r="AR215" s="50" t="str">
        <f t="shared" si="24"/>
        <v>Jan-2025</v>
      </c>
      <c r="AS215" s="52">
        <f t="shared" si="25"/>
        <v>45663</v>
      </c>
      <c r="AT215" s="44">
        <f t="shared" ca="1" si="26"/>
        <v>615</v>
      </c>
      <c r="AU215" s="40" t="str">
        <f>LEFT(Sheet1!AE214,3)</f>
        <v>Riy</v>
      </c>
      <c r="AV215" s="40" t="str">
        <f>RIGHT(Sheet1!AF214,2)</f>
        <v>al</v>
      </c>
      <c r="AW215" s="40" t="str">
        <f>MID(Sheet1!AE214,2,3)</f>
        <v>iya</v>
      </c>
      <c r="AX215" s="42">
        <f>LEN(Sheet1!AE214)</f>
        <v>4</v>
      </c>
      <c r="AY215" s="40" t="str">
        <f>UPPER(Sheet1!AE214)</f>
        <v>RIYA</v>
      </c>
      <c r="AZ215" s="40" t="str">
        <f>LOWER(Sheet1!AE214)</f>
        <v>riya</v>
      </c>
      <c r="BA215" s="40" t="str">
        <f>PROPER(Sheet1!AE214)</f>
        <v>Riya</v>
      </c>
      <c r="BB215" s="40" t="str">
        <f>_xlfn.CONCAT(Sheet1!AE214," ",Sheet1!AF214)</f>
        <v>Riya Bansal</v>
      </c>
    </row>
    <row r="216" spans="40:54">
      <c r="AN216" s="49">
        <f>Sheet1!B215</f>
        <v>45664</v>
      </c>
      <c r="AO216" s="50">
        <f t="shared" si="21"/>
        <v>6</v>
      </c>
      <c r="AP216" s="50">
        <f t="shared" si="22"/>
        <v>1</v>
      </c>
      <c r="AQ216" s="50">
        <f t="shared" si="23"/>
        <v>2025</v>
      </c>
      <c r="AR216" s="50" t="str">
        <f t="shared" si="24"/>
        <v>Jan-2025</v>
      </c>
      <c r="AS216" s="52">
        <f t="shared" si="25"/>
        <v>45663</v>
      </c>
      <c r="AT216" s="44">
        <f t="shared" ca="1" si="26"/>
        <v>615</v>
      </c>
      <c r="AU216" s="40" t="str">
        <f>LEFT(Sheet1!AE215,3)</f>
        <v>Sne</v>
      </c>
      <c r="AV216" s="40" t="str">
        <f>RIGHT(Sheet1!AF215,2)</f>
        <v>or</v>
      </c>
      <c r="AW216" s="40" t="str">
        <f>MID(Sheet1!AE215,2,3)</f>
        <v>neh</v>
      </c>
      <c r="AX216" s="42">
        <f>LEN(Sheet1!AE215)</f>
        <v>5</v>
      </c>
      <c r="AY216" s="40" t="str">
        <f>UPPER(Sheet1!AE215)</f>
        <v>SNEHA</v>
      </c>
      <c r="AZ216" s="40" t="str">
        <f>LOWER(Sheet1!AE215)</f>
        <v>sneha</v>
      </c>
      <c r="BA216" s="40" t="str">
        <f>PROPER(Sheet1!AE215)</f>
        <v>Sneha</v>
      </c>
      <c r="BB216" s="40" t="str">
        <f>_xlfn.CONCAT(Sheet1!AE215," ",Sheet1!AF215)</f>
        <v>Sneha Kapoor</v>
      </c>
    </row>
    <row r="217" spans="40:54">
      <c r="AN217" s="49">
        <f>Sheet1!B216</f>
        <v>45667</v>
      </c>
      <c r="AO217" s="50">
        <f t="shared" si="21"/>
        <v>6</v>
      </c>
      <c r="AP217" s="50">
        <f t="shared" si="22"/>
        <v>1</v>
      </c>
      <c r="AQ217" s="50">
        <f t="shared" si="23"/>
        <v>2025</v>
      </c>
      <c r="AR217" s="50" t="str">
        <f t="shared" si="24"/>
        <v>Jan-2025</v>
      </c>
      <c r="AS217" s="52">
        <f t="shared" si="25"/>
        <v>45663</v>
      </c>
      <c r="AT217" s="44">
        <f t="shared" ca="1" si="26"/>
        <v>615</v>
      </c>
      <c r="AU217" s="40" t="str">
        <f>LEFT(Sheet1!AE216,3)</f>
        <v>Mee</v>
      </c>
      <c r="AV217" s="40" t="str">
        <f>RIGHT(Sheet1!AF216,2)</f>
        <v>ra</v>
      </c>
      <c r="AW217" s="40" t="str">
        <f>MID(Sheet1!AE216,2,3)</f>
        <v>eer</v>
      </c>
      <c r="AX217" s="42">
        <f>LEN(Sheet1!AE216)</f>
        <v>5</v>
      </c>
      <c r="AY217" s="40" t="str">
        <f>UPPER(Sheet1!AE216)</f>
        <v>MEERA</v>
      </c>
      <c r="AZ217" s="40" t="str">
        <f>LOWER(Sheet1!AE216)</f>
        <v>meera</v>
      </c>
      <c r="BA217" s="40" t="str">
        <f>PROPER(Sheet1!AE216)</f>
        <v>Meera</v>
      </c>
      <c r="BB217" s="40" t="str">
        <f>_xlfn.CONCAT(Sheet1!AE216," ",Sheet1!AF216)</f>
        <v>Meera Malhotra</v>
      </c>
    </row>
    <row r="218" spans="40:54">
      <c r="AN218" s="49">
        <f>Sheet1!B217</f>
        <v>45667</v>
      </c>
      <c r="AO218" s="50">
        <f t="shared" si="21"/>
        <v>7</v>
      </c>
      <c r="AP218" s="50">
        <f t="shared" si="22"/>
        <v>1</v>
      </c>
      <c r="AQ218" s="50">
        <f t="shared" si="23"/>
        <v>2025</v>
      </c>
      <c r="AR218" s="50" t="str">
        <f t="shared" si="24"/>
        <v>Jan-2025</v>
      </c>
      <c r="AS218" s="52">
        <f t="shared" si="25"/>
        <v>45664</v>
      </c>
      <c r="AT218" s="44">
        <f t="shared" ca="1" si="26"/>
        <v>614</v>
      </c>
      <c r="AU218" s="40" t="str">
        <f>LEFT(Sheet1!AE217,3)</f>
        <v>Sne</v>
      </c>
      <c r="AV218" s="40" t="str">
        <f>RIGHT(Sheet1!AF217,2)</f>
        <v>ra</v>
      </c>
      <c r="AW218" s="40" t="str">
        <f>MID(Sheet1!AE217,2,3)</f>
        <v>neh</v>
      </c>
      <c r="AX218" s="42">
        <f>LEN(Sheet1!AE217)</f>
        <v>5</v>
      </c>
      <c r="AY218" s="40" t="str">
        <f>UPPER(Sheet1!AE217)</f>
        <v>SNEHA</v>
      </c>
      <c r="AZ218" s="40" t="str">
        <f>LOWER(Sheet1!AE217)</f>
        <v>sneha</v>
      </c>
      <c r="BA218" s="40" t="str">
        <f>PROPER(Sheet1!AE217)</f>
        <v>Sneha</v>
      </c>
      <c r="BB218" s="40" t="str">
        <f>_xlfn.CONCAT(Sheet1!AE217," ",Sheet1!AF217)</f>
        <v>Sneha Malhotra</v>
      </c>
    </row>
    <row r="219" spans="40:54">
      <c r="AN219" s="49">
        <f>Sheet1!B218</f>
        <v>45668</v>
      </c>
      <c r="AO219" s="50">
        <f t="shared" si="21"/>
        <v>11</v>
      </c>
      <c r="AP219" s="50">
        <f t="shared" si="22"/>
        <v>1</v>
      </c>
      <c r="AQ219" s="50">
        <f t="shared" si="23"/>
        <v>2025</v>
      </c>
      <c r="AR219" s="50" t="str">
        <f t="shared" si="24"/>
        <v>Jan-2025</v>
      </c>
      <c r="AS219" s="52">
        <f t="shared" si="25"/>
        <v>45668</v>
      </c>
      <c r="AT219" s="44">
        <f t="shared" ca="1" si="26"/>
        <v>610</v>
      </c>
      <c r="AU219" s="40" t="str">
        <f>LEFT(Sheet1!AE218,3)</f>
        <v>Sim</v>
      </c>
      <c r="AV219" s="40" t="str">
        <f>RIGHT(Sheet1!AF218,2)</f>
        <v>in</v>
      </c>
      <c r="AW219" s="40" t="str">
        <f>MID(Sheet1!AE218,2,3)</f>
        <v>imr</v>
      </c>
      <c r="AX219" s="42">
        <f>LEN(Sheet1!AE218)</f>
        <v>6</v>
      </c>
      <c r="AY219" s="40" t="str">
        <f>UPPER(Sheet1!AE218)</f>
        <v>SIMRAN</v>
      </c>
      <c r="AZ219" s="40" t="str">
        <f>LOWER(Sheet1!AE218)</f>
        <v>simran</v>
      </c>
      <c r="BA219" s="40" t="str">
        <f>PROPER(Sheet1!AE218)</f>
        <v>Simran</v>
      </c>
      <c r="BB219" s="40" t="str">
        <f>_xlfn.CONCAT(Sheet1!AE218," ",Sheet1!AF218)</f>
        <v>Simran Jain</v>
      </c>
    </row>
    <row r="220" spans="40:54">
      <c r="AN220" s="49">
        <f>Sheet1!B219</f>
        <v>45669</v>
      </c>
      <c r="AO220" s="50">
        <f t="shared" si="21"/>
        <v>11</v>
      </c>
      <c r="AP220" s="50">
        <f t="shared" si="22"/>
        <v>1</v>
      </c>
      <c r="AQ220" s="50">
        <f t="shared" si="23"/>
        <v>2025</v>
      </c>
      <c r="AR220" s="50" t="str">
        <f t="shared" si="24"/>
        <v>Jan-2025</v>
      </c>
      <c r="AS220" s="52">
        <f t="shared" si="25"/>
        <v>45668</v>
      </c>
      <c r="AT220" s="44">
        <f t="shared" ca="1" si="26"/>
        <v>610</v>
      </c>
      <c r="AU220" s="40" t="str">
        <f>LEFT(Sheet1!AE219,3)</f>
        <v>Viv</v>
      </c>
      <c r="AV220" s="40" t="str">
        <f>RIGHT(Sheet1!AF219,2)</f>
        <v>in</v>
      </c>
      <c r="AW220" s="40" t="str">
        <f>MID(Sheet1!AE219,2,3)</f>
        <v>iva</v>
      </c>
      <c r="AX220" s="42">
        <f>LEN(Sheet1!AE219)</f>
        <v>6</v>
      </c>
      <c r="AY220" s="40" t="str">
        <f>UPPER(Sheet1!AE219)</f>
        <v>VIVAAN</v>
      </c>
      <c r="AZ220" s="40" t="str">
        <f>LOWER(Sheet1!AE219)</f>
        <v>vivaan</v>
      </c>
      <c r="BA220" s="40" t="str">
        <f>PROPER(Sheet1!AE219)</f>
        <v>Vivaan</v>
      </c>
      <c r="BB220" s="40" t="str">
        <f>_xlfn.CONCAT(Sheet1!AE219," ",Sheet1!AF219)</f>
        <v>Vivaan Jain</v>
      </c>
    </row>
    <row r="221" spans="40:54">
      <c r="AN221" s="49">
        <f>Sheet1!B220</f>
        <v>45669</v>
      </c>
      <c r="AO221" s="50">
        <f t="shared" si="21"/>
        <v>11</v>
      </c>
      <c r="AP221" s="50">
        <f t="shared" si="22"/>
        <v>1</v>
      </c>
      <c r="AQ221" s="50">
        <f t="shared" si="23"/>
        <v>2025</v>
      </c>
      <c r="AR221" s="50" t="str">
        <f t="shared" si="24"/>
        <v>Jan-2025</v>
      </c>
      <c r="AS221" s="52">
        <f t="shared" si="25"/>
        <v>45668</v>
      </c>
      <c r="AT221" s="44">
        <f t="shared" ca="1" si="26"/>
        <v>610</v>
      </c>
      <c r="AU221" s="40" t="str">
        <f>LEFT(Sheet1!AE220,3)</f>
        <v>Adi</v>
      </c>
      <c r="AV221" s="40" t="str">
        <f>RIGHT(Sheet1!AF220,2)</f>
        <v>in</v>
      </c>
      <c r="AW221" s="40" t="str">
        <f>MID(Sheet1!AE220,2,3)</f>
        <v>dit</v>
      </c>
      <c r="AX221" s="42">
        <f>LEN(Sheet1!AE220)</f>
        <v>6</v>
      </c>
      <c r="AY221" s="40" t="str">
        <f>UPPER(Sheet1!AE220)</f>
        <v>ADITYA</v>
      </c>
      <c r="AZ221" s="40" t="str">
        <f>LOWER(Sheet1!AE220)</f>
        <v>aditya</v>
      </c>
      <c r="BA221" s="40" t="str">
        <f>PROPER(Sheet1!AE220)</f>
        <v>Aditya</v>
      </c>
      <c r="BB221" s="40" t="str">
        <f>_xlfn.CONCAT(Sheet1!AE220," ",Sheet1!AF220)</f>
        <v>Aditya Jain</v>
      </c>
    </row>
    <row r="222" spans="40:54">
      <c r="AN222" s="49">
        <f>Sheet1!B221</f>
        <v>45689</v>
      </c>
      <c r="AO222" s="50">
        <f t="shared" si="21"/>
        <v>12</v>
      </c>
      <c r="AP222" s="50">
        <f t="shared" si="22"/>
        <v>2</v>
      </c>
      <c r="AQ222" s="50">
        <f t="shared" si="23"/>
        <v>2025</v>
      </c>
      <c r="AR222" s="50" t="str">
        <f t="shared" si="24"/>
        <v>Feb-2025</v>
      </c>
      <c r="AS222" s="52">
        <f t="shared" si="25"/>
        <v>45700</v>
      </c>
      <c r="AT222" s="44">
        <f t="shared" ca="1" si="26"/>
        <v>578</v>
      </c>
      <c r="AU222" s="40" t="str">
        <f>LEFT(Sheet1!AE221,3)</f>
        <v>Sim</v>
      </c>
      <c r="AV222" s="40" t="str">
        <f>RIGHT(Sheet1!AF221,2)</f>
        <v>ma</v>
      </c>
      <c r="AW222" s="40" t="str">
        <f>MID(Sheet1!AE221,2,3)</f>
        <v>imr</v>
      </c>
      <c r="AX222" s="42">
        <f>LEN(Sheet1!AE221)</f>
        <v>6</v>
      </c>
      <c r="AY222" s="40" t="str">
        <f>UPPER(Sheet1!AE221)</f>
        <v>SIMRAN</v>
      </c>
      <c r="AZ222" s="40" t="str">
        <f>LOWER(Sheet1!AE221)</f>
        <v>simran</v>
      </c>
      <c r="BA222" s="40" t="str">
        <f>PROPER(Sheet1!AE221)</f>
        <v>Simran</v>
      </c>
      <c r="BB222" s="40" t="str">
        <f>_xlfn.CONCAT(Sheet1!AE221," ",Sheet1!AF221)</f>
        <v>Simran Verma</v>
      </c>
    </row>
    <row r="223" spans="40:54">
      <c r="AN223" s="49">
        <f>Sheet1!B222</f>
        <v>45689</v>
      </c>
      <c r="AO223" s="50">
        <f t="shared" si="21"/>
        <v>12</v>
      </c>
      <c r="AP223" s="50">
        <f t="shared" si="22"/>
        <v>2</v>
      </c>
      <c r="AQ223" s="50">
        <f t="shared" si="23"/>
        <v>2025</v>
      </c>
      <c r="AR223" s="50" t="str">
        <f t="shared" si="24"/>
        <v>Feb-2025</v>
      </c>
      <c r="AS223" s="52">
        <f t="shared" si="25"/>
        <v>45700</v>
      </c>
      <c r="AT223" s="44">
        <f t="shared" ca="1" si="26"/>
        <v>578</v>
      </c>
      <c r="AU223" s="40" t="str">
        <f>LEFT(Sheet1!AE222,3)</f>
        <v>Ish</v>
      </c>
      <c r="AV223" s="40" t="str">
        <f>RIGHT(Sheet1!AF222,2)</f>
        <v>al</v>
      </c>
      <c r="AW223" s="40" t="str">
        <f>MID(Sheet1!AE222,2,3)</f>
        <v>shi</v>
      </c>
      <c r="AX223" s="42">
        <f>LEN(Sheet1!AE222)</f>
        <v>6</v>
      </c>
      <c r="AY223" s="40" t="str">
        <f>UPPER(Sheet1!AE222)</f>
        <v>ISHITA</v>
      </c>
      <c r="AZ223" s="40" t="str">
        <f>LOWER(Sheet1!AE222)</f>
        <v>ishita</v>
      </c>
      <c r="BA223" s="40" t="str">
        <f>PROPER(Sheet1!AE222)</f>
        <v>Ishita</v>
      </c>
      <c r="BB223" s="40" t="str">
        <f>_xlfn.CONCAT(Sheet1!AE222," ",Sheet1!AF222)</f>
        <v>Ishita Agarwal</v>
      </c>
    </row>
    <row r="224" spans="40:54">
      <c r="AN224" s="49">
        <f>Sheet1!B223</f>
        <v>45690</v>
      </c>
      <c r="AO224" s="50">
        <f t="shared" si="21"/>
        <v>1</v>
      </c>
      <c r="AP224" s="50">
        <f t="shared" si="22"/>
        <v>2</v>
      </c>
      <c r="AQ224" s="50">
        <f t="shared" si="23"/>
        <v>2025</v>
      </c>
      <c r="AR224" s="50" t="str">
        <f t="shared" si="24"/>
        <v>Feb-2025</v>
      </c>
      <c r="AS224" s="52">
        <f t="shared" si="25"/>
        <v>45689</v>
      </c>
      <c r="AT224" s="44">
        <f t="shared" ca="1" si="26"/>
        <v>589</v>
      </c>
      <c r="AU224" s="40" t="str">
        <f>LEFT(Sheet1!AE223,3)</f>
        <v>Adi</v>
      </c>
      <c r="AV224" s="40" t="str">
        <f>RIGHT(Sheet1!AF223,2)</f>
        <v>or</v>
      </c>
      <c r="AW224" s="40" t="str">
        <f>MID(Sheet1!AE223,2,3)</f>
        <v>dit</v>
      </c>
      <c r="AX224" s="42">
        <f>LEN(Sheet1!AE223)</f>
        <v>6</v>
      </c>
      <c r="AY224" s="40" t="str">
        <f>UPPER(Sheet1!AE223)</f>
        <v>ADITYA</v>
      </c>
      <c r="AZ224" s="40" t="str">
        <f>LOWER(Sheet1!AE223)</f>
        <v>aditya</v>
      </c>
      <c r="BA224" s="40" t="str">
        <f>PROPER(Sheet1!AE223)</f>
        <v>Aditya</v>
      </c>
      <c r="BB224" s="40" t="str">
        <f>_xlfn.CONCAT(Sheet1!AE223," ",Sheet1!AF223)</f>
        <v>Aditya Kapoor</v>
      </c>
    </row>
    <row r="225" spans="40:54">
      <c r="AN225" s="49">
        <f>Sheet1!B224</f>
        <v>45690</v>
      </c>
      <c r="AO225" s="50">
        <f t="shared" si="21"/>
        <v>1</v>
      </c>
      <c r="AP225" s="50">
        <f t="shared" si="22"/>
        <v>2</v>
      </c>
      <c r="AQ225" s="50">
        <f t="shared" si="23"/>
        <v>2025</v>
      </c>
      <c r="AR225" s="50" t="str">
        <f t="shared" si="24"/>
        <v>Feb-2025</v>
      </c>
      <c r="AS225" s="52">
        <f t="shared" si="25"/>
        <v>45689</v>
      </c>
      <c r="AT225" s="44">
        <f t="shared" ca="1" si="26"/>
        <v>589</v>
      </c>
      <c r="AU225" s="40" t="str">
        <f>LEFT(Sheet1!AE224,3)</f>
        <v>Neh</v>
      </c>
      <c r="AV225" s="40" t="str">
        <f>RIGHT(Sheet1!AF224,2)</f>
        <v>in</v>
      </c>
      <c r="AW225" s="40" t="str">
        <f>MID(Sheet1!AE224,2,3)</f>
        <v>eha</v>
      </c>
      <c r="AX225" s="42">
        <f>LEN(Sheet1!AE224)</f>
        <v>4</v>
      </c>
      <c r="AY225" s="40" t="str">
        <f>UPPER(Sheet1!AE224)</f>
        <v>NEHA</v>
      </c>
      <c r="AZ225" s="40" t="str">
        <f>LOWER(Sheet1!AE224)</f>
        <v>neha</v>
      </c>
      <c r="BA225" s="40" t="str">
        <f>PROPER(Sheet1!AE224)</f>
        <v>Neha</v>
      </c>
      <c r="BB225" s="40" t="str">
        <f>_xlfn.CONCAT(Sheet1!AE224," ",Sheet1!AF224)</f>
        <v>Neha Jain</v>
      </c>
    </row>
    <row r="226" spans="40:54">
      <c r="AN226" s="49">
        <f>Sheet1!B225</f>
        <v>45691</v>
      </c>
      <c r="AO226" s="50">
        <f t="shared" si="21"/>
        <v>5</v>
      </c>
      <c r="AP226" s="50">
        <f t="shared" si="22"/>
        <v>2</v>
      </c>
      <c r="AQ226" s="50">
        <f t="shared" si="23"/>
        <v>2025</v>
      </c>
      <c r="AR226" s="50" t="str">
        <f t="shared" si="24"/>
        <v>Feb-2025</v>
      </c>
      <c r="AS226" s="52">
        <f t="shared" si="25"/>
        <v>45693</v>
      </c>
      <c r="AT226" s="44">
        <f t="shared" ca="1" si="26"/>
        <v>585</v>
      </c>
      <c r="AU226" s="40" t="str">
        <f>LEFT(Sheet1!AE225,3)</f>
        <v>Kav</v>
      </c>
      <c r="AV226" s="40" t="str">
        <f>RIGHT(Sheet1!AF225,2)</f>
        <v>av</v>
      </c>
      <c r="AW226" s="40" t="str">
        <f>MID(Sheet1!AE225,2,3)</f>
        <v>avy</v>
      </c>
      <c r="AX226" s="42">
        <f>LEN(Sheet1!AE225)</f>
        <v>5</v>
      </c>
      <c r="AY226" s="40" t="str">
        <f>UPPER(Sheet1!AE225)</f>
        <v>KAVYA</v>
      </c>
      <c r="AZ226" s="40" t="str">
        <f>LOWER(Sheet1!AE225)</f>
        <v>kavya</v>
      </c>
      <c r="BA226" s="40" t="str">
        <f>PROPER(Sheet1!AE225)</f>
        <v>Kavya</v>
      </c>
      <c r="BB226" s="40" t="str">
        <f>_xlfn.CONCAT(Sheet1!AE225," ",Sheet1!AF225)</f>
        <v>Kavya Yadav</v>
      </c>
    </row>
    <row r="227" spans="40:54">
      <c r="AN227" s="49">
        <f>Sheet1!B226</f>
        <v>45692</v>
      </c>
      <c r="AO227" s="50">
        <f t="shared" si="21"/>
        <v>5</v>
      </c>
      <c r="AP227" s="50">
        <f t="shared" si="22"/>
        <v>2</v>
      </c>
      <c r="AQ227" s="50">
        <f t="shared" si="23"/>
        <v>2025</v>
      </c>
      <c r="AR227" s="50" t="str">
        <f t="shared" si="24"/>
        <v>Feb-2025</v>
      </c>
      <c r="AS227" s="52">
        <f t="shared" si="25"/>
        <v>45693</v>
      </c>
      <c r="AT227" s="44">
        <f t="shared" ca="1" si="26"/>
        <v>585</v>
      </c>
      <c r="AU227" s="40" t="str">
        <f>LEFT(Sheet1!AE226,3)</f>
        <v>Rah</v>
      </c>
      <c r="AV227" s="40" t="str">
        <f>RIGHT(Sheet1!AF226,2)</f>
        <v>ra</v>
      </c>
      <c r="AW227" s="40" t="str">
        <f>MID(Sheet1!AE226,2,3)</f>
        <v>ahu</v>
      </c>
      <c r="AX227" s="42">
        <f>LEN(Sheet1!AE226)</f>
        <v>5</v>
      </c>
      <c r="AY227" s="40" t="str">
        <f>UPPER(Sheet1!AE226)</f>
        <v>RAHUL</v>
      </c>
      <c r="AZ227" s="40" t="str">
        <f>LOWER(Sheet1!AE226)</f>
        <v>rahul</v>
      </c>
      <c r="BA227" s="40" t="str">
        <f>PROPER(Sheet1!AE226)</f>
        <v>Rahul</v>
      </c>
      <c r="BB227" s="40" t="str">
        <f>_xlfn.CONCAT(Sheet1!AE226," ",Sheet1!AF226)</f>
        <v>Rahul Mishra</v>
      </c>
    </row>
    <row r="228" spans="40:54">
      <c r="AN228" s="49">
        <f>Sheet1!B227</f>
        <v>45693</v>
      </c>
      <c r="AO228" s="50">
        <f t="shared" si="21"/>
        <v>6</v>
      </c>
      <c r="AP228" s="50">
        <f t="shared" si="22"/>
        <v>2</v>
      </c>
      <c r="AQ228" s="50">
        <f t="shared" si="23"/>
        <v>2025</v>
      </c>
      <c r="AR228" s="50" t="str">
        <f t="shared" si="24"/>
        <v>Feb-2025</v>
      </c>
      <c r="AS228" s="52">
        <f t="shared" si="25"/>
        <v>45694</v>
      </c>
      <c r="AT228" s="44">
        <f t="shared" ca="1" si="26"/>
        <v>584</v>
      </c>
      <c r="AU228" s="40" t="str">
        <f>LEFT(Sheet1!AE227,3)</f>
        <v>Ana</v>
      </c>
      <c r="AV228" s="40" t="str">
        <f>RIGHT(Sheet1!AF227,2)</f>
        <v>ta</v>
      </c>
      <c r="AW228" s="40" t="str">
        <f>MID(Sheet1!AE227,2,3)</f>
        <v>nan</v>
      </c>
      <c r="AX228" s="42">
        <f>LEN(Sheet1!AE227)</f>
        <v>6</v>
      </c>
      <c r="AY228" s="40" t="str">
        <f>UPPER(Sheet1!AE227)</f>
        <v>ANANYA</v>
      </c>
      <c r="AZ228" s="40" t="str">
        <f>LOWER(Sheet1!AE227)</f>
        <v>ananya</v>
      </c>
      <c r="BA228" s="40" t="str">
        <f>PROPER(Sheet1!AE227)</f>
        <v>Ananya</v>
      </c>
      <c r="BB228" s="40" t="str">
        <f>_xlfn.CONCAT(Sheet1!AE227," ",Sheet1!AF227)</f>
        <v>Ananya Gupta</v>
      </c>
    </row>
    <row r="229" spans="40:54">
      <c r="AN229" s="49">
        <f>Sheet1!B228</f>
        <v>45694</v>
      </c>
      <c r="AO229" s="50">
        <f t="shared" si="21"/>
        <v>7</v>
      </c>
      <c r="AP229" s="50">
        <f t="shared" si="22"/>
        <v>2</v>
      </c>
      <c r="AQ229" s="50">
        <f t="shared" si="23"/>
        <v>2025</v>
      </c>
      <c r="AR229" s="50" t="str">
        <f t="shared" si="24"/>
        <v>Feb-2025</v>
      </c>
      <c r="AS229" s="52">
        <f t="shared" si="25"/>
        <v>45695</v>
      </c>
      <c r="AT229" s="44">
        <f t="shared" ca="1" si="26"/>
        <v>583</v>
      </c>
      <c r="AU229" s="40" t="str">
        <f>LEFT(Sheet1!AE228,3)</f>
        <v>Vik</v>
      </c>
      <c r="AV229" s="40" t="str">
        <f>RIGHT(Sheet1!AF228,2)</f>
        <v>or</v>
      </c>
      <c r="AW229" s="40" t="str">
        <f>MID(Sheet1!AE228,2,3)</f>
        <v>ikr</v>
      </c>
      <c r="AX229" s="42">
        <f>LEN(Sheet1!AE228)</f>
        <v>6</v>
      </c>
      <c r="AY229" s="40" t="str">
        <f>UPPER(Sheet1!AE228)</f>
        <v>VIKRAM</v>
      </c>
      <c r="AZ229" s="40" t="str">
        <f>LOWER(Sheet1!AE228)</f>
        <v>vikram</v>
      </c>
      <c r="BA229" s="40" t="str">
        <f>PROPER(Sheet1!AE228)</f>
        <v>Vikram</v>
      </c>
      <c r="BB229" s="40" t="str">
        <f>_xlfn.CONCAT(Sheet1!AE228," ",Sheet1!AF228)</f>
        <v>Vikram Kapoor</v>
      </c>
    </row>
    <row r="230" spans="40:54">
      <c r="AN230" s="49">
        <f>Sheet1!B229</f>
        <v>45695</v>
      </c>
      <c r="AO230" s="50">
        <f t="shared" si="21"/>
        <v>7</v>
      </c>
      <c r="AP230" s="50">
        <f t="shared" si="22"/>
        <v>2</v>
      </c>
      <c r="AQ230" s="50">
        <f t="shared" si="23"/>
        <v>2025</v>
      </c>
      <c r="AR230" s="50" t="str">
        <f t="shared" si="24"/>
        <v>Feb-2025</v>
      </c>
      <c r="AS230" s="52">
        <f t="shared" si="25"/>
        <v>45695</v>
      </c>
      <c r="AT230" s="44">
        <f t="shared" ca="1" si="26"/>
        <v>583</v>
      </c>
      <c r="AU230" s="40" t="str">
        <f>LEFT(Sheet1!AE229,3)</f>
        <v>Nis</v>
      </c>
      <c r="AV230" s="40" t="str">
        <f>RIGHT(Sheet1!AF229,2)</f>
        <v>ta</v>
      </c>
      <c r="AW230" s="40" t="str">
        <f>MID(Sheet1!AE229,2,3)</f>
        <v>ish</v>
      </c>
      <c r="AX230" s="42">
        <f>LEN(Sheet1!AE229)</f>
        <v>5</v>
      </c>
      <c r="AY230" s="40" t="str">
        <f>UPPER(Sheet1!AE229)</f>
        <v>NISHA</v>
      </c>
      <c r="AZ230" s="40" t="str">
        <f>LOWER(Sheet1!AE229)</f>
        <v>nisha</v>
      </c>
      <c r="BA230" s="40" t="str">
        <f>PROPER(Sheet1!AE229)</f>
        <v>Nisha</v>
      </c>
      <c r="BB230" s="40" t="str">
        <f>_xlfn.CONCAT(Sheet1!AE229," ",Sheet1!AF229)</f>
        <v>Nisha Mehta</v>
      </c>
    </row>
    <row r="231" spans="40:54">
      <c r="AN231" s="49">
        <f>Sheet1!B230</f>
        <v>45695</v>
      </c>
      <c r="AO231" s="50">
        <f t="shared" si="21"/>
        <v>8</v>
      </c>
      <c r="AP231" s="50">
        <f t="shared" si="22"/>
        <v>2</v>
      </c>
      <c r="AQ231" s="50">
        <f t="shared" si="23"/>
        <v>2025</v>
      </c>
      <c r="AR231" s="50" t="str">
        <f t="shared" si="24"/>
        <v>Feb-2025</v>
      </c>
      <c r="AS231" s="52">
        <f t="shared" si="25"/>
        <v>45696</v>
      </c>
      <c r="AT231" s="44">
        <f t="shared" ca="1" si="26"/>
        <v>582</v>
      </c>
      <c r="AU231" s="40" t="str">
        <f>LEFT(Sheet1!AE230,3)</f>
        <v>Rah</v>
      </c>
      <c r="AV231" s="40" t="str">
        <f>RIGHT(Sheet1!AF230,2)</f>
        <v>av</v>
      </c>
      <c r="AW231" s="40" t="str">
        <f>MID(Sheet1!AE230,2,3)</f>
        <v>ahu</v>
      </c>
      <c r="AX231" s="42">
        <f>LEN(Sheet1!AE230)</f>
        <v>5</v>
      </c>
      <c r="AY231" s="40" t="str">
        <f>UPPER(Sheet1!AE230)</f>
        <v>RAHUL</v>
      </c>
      <c r="AZ231" s="40" t="str">
        <f>LOWER(Sheet1!AE230)</f>
        <v>rahul</v>
      </c>
      <c r="BA231" s="40" t="str">
        <f>PROPER(Sheet1!AE230)</f>
        <v>Rahul</v>
      </c>
      <c r="BB231" s="40" t="str">
        <f>_xlfn.CONCAT(Sheet1!AE230," ",Sheet1!AF230)</f>
        <v>Rahul Yadav</v>
      </c>
    </row>
    <row r="232" spans="40:54">
      <c r="AN232" s="49">
        <f>Sheet1!B231</f>
        <v>45695</v>
      </c>
      <c r="AO232" s="50">
        <f t="shared" si="21"/>
        <v>8</v>
      </c>
      <c r="AP232" s="50">
        <f t="shared" si="22"/>
        <v>2</v>
      </c>
      <c r="AQ232" s="50">
        <f t="shared" si="23"/>
        <v>2025</v>
      </c>
      <c r="AR232" s="50" t="str">
        <f t="shared" si="24"/>
        <v>Feb-2025</v>
      </c>
      <c r="AS232" s="52">
        <f t="shared" si="25"/>
        <v>45696</v>
      </c>
      <c r="AT232" s="44">
        <f t="shared" ca="1" si="26"/>
        <v>582</v>
      </c>
      <c r="AU232" s="40" t="str">
        <f>LEFT(Sheet1!AE231,3)</f>
        <v>Rah</v>
      </c>
      <c r="AV232" s="40" t="str">
        <f>RIGHT(Sheet1!AF231,2)</f>
        <v>ra</v>
      </c>
      <c r="AW232" s="40" t="str">
        <f>MID(Sheet1!AE231,2,3)</f>
        <v>ahu</v>
      </c>
      <c r="AX232" s="42">
        <f>LEN(Sheet1!AE231)</f>
        <v>5</v>
      </c>
      <c r="AY232" s="40" t="str">
        <f>UPPER(Sheet1!AE231)</f>
        <v>RAHUL</v>
      </c>
      <c r="AZ232" s="40" t="str">
        <f>LOWER(Sheet1!AE231)</f>
        <v>rahul</v>
      </c>
      <c r="BA232" s="40" t="str">
        <f>PROPER(Sheet1!AE231)</f>
        <v>Rahul</v>
      </c>
      <c r="BB232" s="40" t="str">
        <f>_xlfn.CONCAT(Sheet1!AE231," ",Sheet1!AF231)</f>
        <v>Rahul Chopra</v>
      </c>
    </row>
    <row r="233" spans="40:54">
      <c r="AN233" s="49">
        <f>Sheet1!B232</f>
        <v>45697</v>
      </c>
      <c r="AO233" s="50">
        <f t="shared" si="21"/>
        <v>8</v>
      </c>
      <c r="AP233" s="50">
        <f t="shared" si="22"/>
        <v>2</v>
      </c>
      <c r="AQ233" s="50">
        <f t="shared" si="23"/>
        <v>2025</v>
      </c>
      <c r="AR233" s="50" t="str">
        <f t="shared" si="24"/>
        <v>Feb-2025</v>
      </c>
      <c r="AS233" s="52">
        <f t="shared" si="25"/>
        <v>45696</v>
      </c>
      <c r="AT233" s="44">
        <f t="shared" ca="1" si="26"/>
        <v>582</v>
      </c>
      <c r="AU233" s="40" t="str">
        <f>LEFT(Sheet1!AE232,3)</f>
        <v>Mee</v>
      </c>
      <c r="AV233" s="40" t="str">
        <f>RIGHT(Sheet1!AF232,2)</f>
        <v>ar</v>
      </c>
      <c r="AW233" s="40" t="str">
        <f>MID(Sheet1!AE232,2,3)</f>
        <v>eer</v>
      </c>
      <c r="AX233" s="42">
        <f>LEN(Sheet1!AE232)</f>
        <v>5</v>
      </c>
      <c r="AY233" s="40" t="str">
        <f>UPPER(Sheet1!AE232)</f>
        <v>MEERA</v>
      </c>
      <c r="AZ233" s="40" t="str">
        <f>LOWER(Sheet1!AE232)</f>
        <v>meera</v>
      </c>
      <c r="BA233" s="40" t="str">
        <f>PROPER(Sheet1!AE232)</f>
        <v>Meera</v>
      </c>
      <c r="BB233" s="40" t="str">
        <f>_xlfn.CONCAT(Sheet1!AE232," ",Sheet1!AF232)</f>
        <v>Meera Kumar</v>
      </c>
    </row>
    <row r="234" spans="40:54">
      <c r="AN234" s="49">
        <f>Sheet1!B233</f>
        <v>45697</v>
      </c>
      <c r="AO234" s="50">
        <f t="shared" si="21"/>
        <v>9</v>
      </c>
      <c r="AP234" s="50">
        <f t="shared" si="22"/>
        <v>2</v>
      </c>
      <c r="AQ234" s="50">
        <f t="shared" si="23"/>
        <v>2025</v>
      </c>
      <c r="AR234" s="50" t="str">
        <f t="shared" si="24"/>
        <v>Feb-2025</v>
      </c>
      <c r="AS234" s="52">
        <f t="shared" si="25"/>
        <v>45697</v>
      </c>
      <c r="AT234" s="44">
        <f t="shared" ca="1" si="26"/>
        <v>581</v>
      </c>
      <c r="AU234" s="40" t="str">
        <f>LEFT(Sheet1!AE233,3)</f>
        <v>Pri</v>
      </c>
      <c r="AV234" s="40" t="str">
        <f>RIGHT(Sheet1!AF233,2)</f>
        <v>in</v>
      </c>
      <c r="AW234" s="40" t="str">
        <f>MID(Sheet1!AE233,2,3)</f>
        <v>riy</v>
      </c>
      <c r="AX234" s="42">
        <f>LEN(Sheet1!AE233)</f>
        <v>5</v>
      </c>
      <c r="AY234" s="40" t="str">
        <f>UPPER(Sheet1!AE233)</f>
        <v>PRIYA</v>
      </c>
      <c r="AZ234" s="40" t="str">
        <f>LOWER(Sheet1!AE233)</f>
        <v>priya</v>
      </c>
      <c r="BA234" s="40" t="str">
        <f>PROPER(Sheet1!AE233)</f>
        <v>Priya</v>
      </c>
      <c r="BB234" s="40" t="str">
        <f>_xlfn.CONCAT(Sheet1!AE233," ",Sheet1!AF233)</f>
        <v>Priya Jain</v>
      </c>
    </row>
    <row r="235" spans="40:54">
      <c r="AN235" s="49">
        <f>Sheet1!B234</f>
        <v>45697</v>
      </c>
      <c r="AO235" s="50">
        <f t="shared" si="21"/>
        <v>10</v>
      </c>
      <c r="AP235" s="50">
        <f t="shared" si="22"/>
        <v>2</v>
      </c>
      <c r="AQ235" s="50">
        <f t="shared" si="23"/>
        <v>2025</v>
      </c>
      <c r="AR235" s="50" t="str">
        <f t="shared" si="24"/>
        <v>Feb-2025</v>
      </c>
      <c r="AS235" s="52">
        <f t="shared" si="25"/>
        <v>45698</v>
      </c>
      <c r="AT235" s="44">
        <f t="shared" ca="1" si="26"/>
        <v>580</v>
      </c>
      <c r="AU235" s="40" t="str">
        <f>LEFT(Sheet1!AE234,3)</f>
        <v>Ish</v>
      </c>
      <c r="AV235" s="40" t="str">
        <f>RIGHT(Sheet1!AF234,2)</f>
        <v>in</v>
      </c>
      <c r="AW235" s="40" t="str">
        <f>MID(Sheet1!AE234,2,3)</f>
        <v>shi</v>
      </c>
      <c r="AX235" s="42">
        <f>LEN(Sheet1!AE234)</f>
        <v>6</v>
      </c>
      <c r="AY235" s="40" t="str">
        <f>UPPER(Sheet1!AE234)</f>
        <v>ISHITA</v>
      </c>
      <c r="AZ235" s="40" t="str">
        <f>LOWER(Sheet1!AE234)</f>
        <v>ishita</v>
      </c>
      <c r="BA235" s="40" t="str">
        <f>PROPER(Sheet1!AE234)</f>
        <v>Ishita</v>
      </c>
      <c r="BB235" s="40" t="str">
        <f>_xlfn.CONCAT(Sheet1!AE234," ",Sheet1!AF234)</f>
        <v>Ishita Jain</v>
      </c>
    </row>
    <row r="236" spans="40:54">
      <c r="AN236" s="49">
        <f>Sheet1!B235</f>
        <v>45698</v>
      </c>
      <c r="AO236" s="50">
        <f t="shared" si="21"/>
        <v>2</v>
      </c>
      <c r="AP236" s="50">
        <f t="shared" si="22"/>
        <v>2</v>
      </c>
      <c r="AQ236" s="50">
        <f t="shared" si="23"/>
        <v>2025</v>
      </c>
      <c r="AR236" s="50" t="str">
        <f t="shared" si="24"/>
        <v>Feb-2025</v>
      </c>
      <c r="AS236" s="52">
        <f t="shared" si="25"/>
        <v>45690</v>
      </c>
      <c r="AT236" s="44">
        <f t="shared" ca="1" si="26"/>
        <v>588</v>
      </c>
      <c r="AU236" s="40" t="str">
        <f>LEFT(Sheet1!AE235,3)</f>
        <v>Vik</v>
      </c>
      <c r="AV236" s="40" t="str">
        <f>RIGHT(Sheet1!AF235,2)</f>
        <v>ra</v>
      </c>
      <c r="AW236" s="40" t="str">
        <f>MID(Sheet1!AE235,2,3)</f>
        <v>ikr</v>
      </c>
      <c r="AX236" s="42">
        <f>LEN(Sheet1!AE235)</f>
        <v>6</v>
      </c>
      <c r="AY236" s="40" t="str">
        <f>UPPER(Sheet1!AE235)</f>
        <v>VIKRAM</v>
      </c>
      <c r="AZ236" s="40" t="str">
        <f>LOWER(Sheet1!AE235)</f>
        <v>vikram</v>
      </c>
      <c r="BA236" s="40" t="str">
        <f>PROPER(Sheet1!AE235)</f>
        <v>Vikram</v>
      </c>
      <c r="BB236" s="40" t="str">
        <f>_xlfn.CONCAT(Sheet1!AE235," ",Sheet1!AF235)</f>
        <v>Vikram Mishra</v>
      </c>
    </row>
    <row r="237" spans="40:54">
      <c r="AN237" s="49">
        <f>Sheet1!B236</f>
        <v>45699</v>
      </c>
      <c r="AO237" s="50">
        <f t="shared" si="21"/>
        <v>3</v>
      </c>
      <c r="AP237" s="50">
        <f t="shared" si="22"/>
        <v>2</v>
      </c>
      <c r="AQ237" s="50">
        <f t="shared" si="23"/>
        <v>2025</v>
      </c>
      <c r="AR237" s="50" t="str">
        <f t="shared" si="24"/>
        <v>Feb-2025</v>
      </c>
      <c r="AS237" s="52">
        <f t="shared" si="25"/>
        <v>45691</v>
      </c>
      <c r="AT237" s="44">
        <f t="shared" ca="1" si="26"/>
        <v>587</v>
      </c>
      <c r="AU237" s="40" t="str">
        <f>LEFT(Sheet1!AE236,3)</f>
        <v>Viv</v>
      </c>
      <c r="AV237" s="40" t="str">
        <f>RIGHT(Sheet1!AF236,2)</f>
        <v>in</v>
      </c>
      <c r="AW237" s="40" t="str">
        <f>MID(Sheet1!AE236,2,3)</f>
        <v>iva</v>
      </c>
      <c r="AX237" s="42">
        <f>LEN(Sheet1!AE236)</f>
        <v>6</v>
      </c>
      <c r="AY237" s="40" t="str">
        <f>UPPER(Sheet1!AE236)</f>
        <v>VIVAAN</v>
      </c>
      <c r="AZ237" s="40" t="str">
        <f>LOWER(Sheet1!AE236)</f>
        <v>vivaan</v>
      </c>
      <c r="BA237" s="40" t="str">
        <f>PROPER(Sheet1!AE236)</f>
        <v>Vivaan</v>
      </c>
      <c r="BB237" s="40" t="str">
        <f>_xlfn.CONCAT(Sheet1!AE236," ",Sheet1!AF236)</f>
        <v>Vivaan Jain</v>
      </c>
    </row>
    <row r="238" spans="40:54">
      <c r="AN238" s="49">
        <f>Sheet1!B237</f>
        <v>45717</v>
      </c>
      <c r="AO238" s="50">
        <f t="shared" si="21"/>
        <v>3</v>
      </c>
      <c r="AP238" s="50">
        <f t="shared" si="22"/>
        <v>3</v>
      </c>
      <c r="AQ238" s="50">
        <f t="shared" si="23"/>
        <v>2025</v>
      </c>
      <c r="AR238" s="50" t="str">
        <f t="shared" si="24"/>
        <v>Mar-2025</v>
      </c>
      <c r="AS238" s="52">
        <f t="shared" si="25"/>
        <v>45719</v>
      </c>
      <c r="AT238" s="44">
        <f t="shared" ca="1" si="26"/>
        <v>559</v>
      </c>
      <c r="AU238" s="40" t="str">
        <f>LEFT(Sheet1!AE237,3)</f>
        <v>Ish</v>
      </c>
      <c r="AV238" s="40" t="str">
        <f>RIGHT(Sheet1!AF237,2)</f>
        <v>or</v>
      </c>
      <c r="AW238" s="40" t="str">
        <f>MID(Sheet1!AE237,2,3)</f>
        <v>shi</v>
      </c>
      <c r="AX238" s="42">
        <f>LEN(Sheet1!AE237)</f>
        <v>6</v>
      </c>
      <c r="AY238" s="40" t="str">
        <f>UPPER(Sheet1!AE237)</f>
        <v>ISHITA</v>
      </c>
      <c r="AZ238" s="40" t="str">
        <f>LOWER(Sheet1!AE237)</f>
        <v>ishita</v>
      </c>
      <c r="BA238" s="40" t="str">
        <f>PROPER(Sheet1!AE237)</f>
        <v>Ishita</v>
      </c>
      <c r="BB238" s="40" t="str">
        <f>_xlfn.CONCAT(Sheet1!AE237," ",Sheet1!AF237)</f>
        <v>Ishita Kapoor</v>
      </c>
    </row>
    <row r="239" spans="40:54">
      <c r="AN239" s="49">
        <f>Sheet1!B238</f>
        <v>45718</v>
      </c>
      <c r="AO239" s="50">
        <f t="shared" si="21"/>
        <v>3</v>
      </c>
      <c r="AP239" s="50">
        <f t="shared" si="22"/>
        <v>3</v>
      </c>
      <c r="AQ239" s="50">
        <f t="shared" si="23"/>
        <v>2025</v>
      </c>
      <c r="AR239" s="50" t="str">
        <f t="shared" si="24"/>
        <v>Mar-2025</v>
      </c>
      <c r="AS239" s="52">
        <f t="shared" si="25"/>
        <v>45719</v>
      </c>
      <c r="AT239" s="44">
        <f t="shared" ca="1" si="26"/>
        <v>559</v>
      </c>
      <c r="AU239" s="40" t="str">
        <f>LEFT(Sheet1!AE238,3)</f>
        <v>Viv</v>
      </c>
      <c r="AV239" s="40" t="str">
        <f>RIGHT(Sheet1!AF238,2)</f>
        <v>al</v>
      </c>
      <c r="AW239" s="40" t="str">
        <f>MID(Sheet1!AE238,2,3)</f>
        <v>iva</v>
      </c>
      <c r="AX239" s="42">
        <f>LEN(Sheet1!AE238)</f>
        <v>6</v>
      </c>
      <c r="AY239" s="40" t="str">
        <f>UPPER(Sheet1!AE238)</f>
        <v>VIVAAN</v>
      </c>
      <c r="AZ239" s="40" t="str">
        <f>LOWER(Sheet1!AE238)</f>
        <v>vivaan</v>
      </c>
      <c r="BA239" s="40" t="str">
        <f>PROPER(Sheet1!AE238)</f>
        <v>Vivaan</v>
      </c>
      <c r="BB239" s="40" t="str">
        <f>_xlfn.CONCAT(Sheet1!AE238," ",Sheet1!AF238)</f>
        <v>Vivaan Agarwal</v>
      </c>
    </row>
    <row r="240" spans="40:54">
      <c r="AN240" s="49">
        <f>Sheet1!B239</f>
        <v>45719</v>
      </c>
      <c r="AO240" s="50">
        <f t="shared" si="21"/>
        <v>3</v>
      </c>
      <c r="AP240" s="50">
        <f t="shared" si="22"/>
        <v>3</v>
      </c>
      <c r="AQ240" s="50">
        <f t="shared" si="23"/>
        <v>2025</v>
      </c>
      <c r="AR240" s="50" t="str">
        <f t="shared" si="24"/>
        <v>Mar-2025</v>
      </c>
      <c r="AS240" s="52">
        <f t="shared" si="25"/>
        <v>45719</v>
      </c>
      <c r="AT240" s="44">
        <f t="shared" ca="1" si="26"/>
        <v>559</v>
      </c>
      <c r="AU240" s="40" t="str">
        <f>LEFT(Sheet1!AE239,3)</f>
        <v>Kav</v>
      </c>
      <c r="AV240" s="40" t="str">
        <f>RIGHT(Sheet1!AF239,2)</f>
        <v>ta</v>
      </c>
      <c r="AW240" s="40" t="str">
        <f>MID(Sheet1!AE239,2,3)</f>
        <v>avy</v>
      </c>
      <c r="AX240" s="42">
        <f>LEN(Sheet1!AE239)</f>
        <v>5</v>
      </c>
      <c r="AY240" s="40" t="str">
        <f>UPPER(Sheet1!AE239)</f>
        <v>KAVYA</v>
      </c>
      <c r="AZ240" s="40" t="str">
        <f>LOWER(Sheet1!AE239)</f>
        <v>kavya</v>
      </c>
      <c r="BA240" s="40" t="str">
        <f>PROPER(Sheet1!AE239)</f>
        <v>Kavya</v>
      </c>
      <c r="BB240" s="40" t="str">
        <f>_xlfn.CONCAT(Sheet1!AE239," ",Sheet1!AF239)</f>
        <v>Kavya Gupta</v>
      </c>
    </row>
    <row r="241" spans="40:54">
      <c r="AN241" s="49">
        <f>Sheet1!B240</f>
        <v>45721</v>
      </c>
      <c r="AO241" s="50">
        <f t="shared" si="21"/>
        <v>4</v>
      </c>
      <c r="AP241" s="50">
        <f t="shared" si="22"/>
        <v>3</v>
      </c>
      <c r="AQ241" s="50">
        <f t="shared" si="23"/>
        <v>2025</v>
      </c>
      <c r="AR241" s="50" t="str">
        <f t="shared" si="24"/>
        <v>Mar-2025</v>
      </c>
      <c r="AS241" s="52">
        <f t="shared" si="25"/>
        <v>45720</v>
      </c>
      <c r="AT241" s="44">
        <f t="shared" ca="1" si="26"/>
        <v>558</v>
      </c>
      <c r="AU241" s="40" t="str">
        <f>LEFT(Sheet1!AE240,3)</f>
        <v>Riy</v>
      </c>
      <c r="AV241" s="40" t="str">
        <f>RIGHT(Sheet1!AF240,2)</f>
        <v>al</v>
      </c>
      <c r="AW241" s="40" t="str">
        <f>MID(Sheet1!AE240,2,3)</f>
        <v>iya</v>
      </c>
      <c r="AX241" s="42">
        <f>LEN(Sheet1!AE240)</f>
        <v>4</v>
      </c>
      <c r="AY241" s="40" t="str">
        <f>UPPER(Sheet1!AE240)</f>
        <v>RIYA</v>
      </c>
      <c r="AZ241" s="40" t="str">
        <f>LOWER(Sheet1!AE240)</f>
        <v>riya</v>
      </c>
      <c r="BA241" s="40" t="str">
        <f>PROPER(Sheet1!AE240)</f>
        <v>Riya</v>
      </c>
      <c r="BB241" s="40" t="str">
        <f>_xlfn.CONCAT(Sheet1!AE240," ",Sheet1!AF240)</f>
        <v>Riya Bansal</v>
      </c>
    </row>
    <row r="242" spans="40:54">
      <c r="AN242" s="49">
        <f>Sheet1!B241</f>
        <v>45721</v>
      </c>
      <c r="AO242" s="50">
        <f t="shared" si="21"/>
        <v>5</v>
      </c>
      <c r="AP242" s="50">
        <f t="shared" si="22"/>
        <v>3</v>
      </c>
      <c r="AQ242" s="50">
        <f t="shared" si="23"/>
        <v>2025</v>
      </c>
      <c r="AR242" s="50" t="str">
        <f t="shared" si="24"/>
        <v>Mar-2025</v>
      </c>
      <c r="AS242" s="52">
        <f t="shared" si="25"/>
        <v>45721</v>
      </c>
      <c r="AT242" s="44">
        <f t="shared" ca="1" si="26"/>
        <v>557</v>
      </c>
      <c r="AU242" s="40" t="str">
        <f>LEFT(Sheet1!AE241,3)</f>
        <v>Adi</v>
      </c>
      <c r="AV242" s="40" t="str">
        <f>RIGHT(Sheet1!AF241,2)</f>
        <v>ma</v>
      </c>
      <c r="AW242" s="40" t="str">
        <f>MID(Sheet1!AE241,2,3)</f>
        <v>dit</v>
      </c>
      <c r="AX242" s="42">
        <f>LEN(Sheet1!AE241)</f>
        <v>5</v>
      </c>
      <c r="AY242" s="40" t="str">
        <f>UPPER(Sheet1!AE241)</f>
        <v>ADITI</v>
      </c>
      <c r="AZ242" s="40" t="str">
        <f>LOWER(Sheet1!AE241)</f>
        <v>aditi</v>
      </c>
      <c r="BA242" s="40" t="str">
        <f>PROPER(Sheet1!AE241)</f>
        <v>Aditi</v>
      </c>
      <c r="BB242" s="40" t="str">
        <f>_xlfn.CONCAT(Sheet1!AE241," ",Sheet1!AF241)</f>
        <v>Aditi Verma</v>
      </c>
    </row>
    <row r="243" spans="40:54">
      <c r="AN243" s="49">
        <f>Sheet1!B242</f>
        <v>45721</v>
      </c>
      <c r="AO243" s="50">
        <f t="shared" si="21"/>
        <v>6</v>
      </c>
      <c r="AP243" s="50">
        <f t="shared" si="22"/>
        <v>3</v>
      </c>
      <c r="AQ243" s="50">
        <f t="shared" si="23"/>
        <v>2025</v>
      </c>
      <c r="AR243" s="50" t="str">
        <f t="shared" si="24"/>
        <v>Mar-2025</v>
      </c>
      <c r="AS243" s="52">
        <f t="shared" si="25"/>
        <v>45722</v>
      </c>
      <c r="AT243" s="44">
        <f t="shared" ca="1" si="26"/>
        <v>556</v>
      </c>
      <c r="AU243" s="40" t="str">
        <f>LEFT(Sheet1!AE242,3)</f>
        <v>Rah</v>
      </c>
      <c r="AV243" s="40" t="str">
        <f>RIGHT(Sheet1!AF242,2)</f>
        <v>ta</v>
      </c>
      <c r="AW243" s="40" t="str">
        <f>MID(Sheet1!AE242,2,3)</f>
        <v>ahu</v>
      </c>
      <c r="AX243" s="42">
        <f>LEN(Sheet1!AE242)</f>
        <v>5</v>
      </c>
      <c r="AY243" s="40" t="str">
        <f>UPPER(Sheet1!AE242)</f>
        <v>RAHUL</v>
      </c>
      <c r="AZ243" s="40" t="str">
        <f>LOWER(Sheet1!AE242)</f>
        <v>rahul</v>
      </c>
      <c r="BA243" s="40" t="str">
        <f>PROPER(Sheet1!AE242)</f>
        <v>Rahul</v>
      </c>
      <c r="BB243" s="40" t="str">
        <f>_xlfn.CONCAT(Sheet1!AE242," ",Sheet1!AF242)</f>
        <v>Rahul Gupta</v>
      </c>
    </row>
    <row r="244" spans="40:54">
      <c r="AN244" s="49">
        <f>Sheet1!B243</f>
        <v>45721</v>
      </c>
      <c r="AO244" s="50">
        <f t="shared" si="21"/>
        <v>6</v>
      </c>
      <c r="AP244" s="50">
        <f t="shared" si="22"/>
        <v>3</v>
      </c>
      <c r="AQ244" s="50">
        <f t="shared" si="23"/>
        <v>2025</v>
      </c>
      <c r="AR244" s="50" t="str">
        <f t="shared" si="24"/>
        <v>Mar-2025</v>
      </c>
      <c r="AS244" s="52">
        <f t="shared" si="25"/>
        <v>45722</v>
      </c>
      <c r="AT244" s="44">
        <f t="shared" ca="1" si="26"/>
        <v>556</v>
      </c>
      <c r="AU244" s="40" t="str">
        <f>LEFT(Sheet1!AE243,3)</f>
        <v>Viv</v>
      </c>
      <c r="AV244" s="40" t="str">
        <f>RIGHT(Sheet1!AF243,2)</f>
        <v>al</v>
      </c>
      <c r="AW244" s="40" t="str">
        <f>MID(Sheet1!AE243,2,3)</f>
        <v>iva</v>
      </c>
      <c r="AX244" s="42">
        <f>LEN(Sheet1!AE243)</f>
        <v>6</v>
      </c>
      <c r="AY244" s="40" t="str">
        <f>UPPER(Sheet1!AE243)</f>
        <v>VIVAAN</v>
      </c>
      <c r="AZ244" s="40" t="str">
        <f>LOWER(Sheet1!AE243)</f>
        <v>vivaan</v>
      </c>
      <c r="BA244" s="40" t="str">
        <f>PROPER(Sheet1!AE243)</f>
        <v>Vivaan</v>
      </c>
      <c r="BB244" s="40" t="str">
        <f>_xlfn.CONCAT(Sheet1!AE243," ",Sheet1!AF243)</f>
        <v>Vivaan Agarwal</v>
      </c>
    </row>
    <row r="245" spans="40:54">
      <c r="AN245" s="49">
        <f>Sheet1!B244</f>
        <v>45722</v>
      </c>
      <c r="AO245" s="50">
        <f t="shared" si="21"/>
        <v>8</v>
      </c>
      <c r="AP245" s="50">
        <f t="shared" si="22"/>
        <v>3</v>
      </c>
      <c r="AQ245" s="50">
        <f t="shared" si="23"/>
        <v>2025</v>
      </c>
      <c r="AR245" s="50" t="str">
        <f t="shared" si="24"/>
        <v>Mar-2025</v>
      </c>
      <c r="AS245" s="52">
        <f t="shared" si="25"/>
        <v>45724</v>
      </c>
      <c r="AT245" s="44">
        <f t="shared" ca="1" si="26"/>
        <v>554</v>
      </c>
      <c r="AU245" s="40" t="str">
        <f>LEFT(Sheet1!AE244,3)</f>
        <v>Rah</v>
      </c>
      <c r="AV245" s="40" t="str">
        <f>RIGHT(Sheet1!AF244,2)</f>
        <v>ra</v>
      </c>
      <c r="AW245" s="40" t="str">
        <f>MID(Sheet1!AE244,2,3)</f>
        <v>ahu</v>
      </c>
      <c r="AX245" s="42">
        <f>LEN(Sheet1!AE244)</f>
        <v>5</v>
      </c>
      <c r="AY245" s="40" t="str">
        <f>UPPER(Sheet1!AE244)</f>
        <v>RAHUL</v>
      </c>
      <c r="AZ245" s="40" t="str">
        <f>LOWER(Sheet1!AE244)</f>
        <v>rahul</v>
      </c>
      <c r="BA245" s="40" t="str">
        <f>PROPER(Sheet1!AE244)</f>
        <v>Rahul</v>
      </c>
      <c r="BB245" s="40" t="str">
        <f>_xlfn.CONCAT(Sheet1!AE244," ",Sheet1!AF244)</f>
        <v>Rahul Mishra</v>
      </c>
    </row>
    <row r="246" spans="40:54">
      <c r="AN246" s="49">
        <f>Sheet1!B245</f>
        <v>45723</v>
      </c>
      <c r="AO246" s="50">
        <f t="shared" si="21"/>
        <v>8</v>
      </c>
      <c r="AP246" s="50">
        <f t="shared" si="22"/>
        <v>3</v>
      </c>
      <c r="AQ246" s="50">
        <f t="shared" si="23"/>
        <v>2025</v>
      </c>
      <c r="AR246" s="50" t="str">
        <f t="shared" si="24"/>
        <v>Mar-2025</v>
      </c>
      <c r="AS246" s="52">
        <f t="shared" si="25"/>
        <v>45724</v>
      </c>
      <c r="AT246" s="44">
        <f t="shared" ca="1" si="26"/>
        <v>554</v>
      </c>
      <c r="AU246" s="40" t="str">
        <f>LEFT(Sheet1!AE245,3)</f>
        <v>Adi</v>
      </c>
      <c r="AV246" s="40" t="str">
        <f>RIGHT(Sheet1!AF245,2)</f>
        <v>ar</v>
      </c>
      <c r="AW246" s="40" t="str">
        <f>MID(Sheet1!AE245,2,3)</f>
        <v>dit</v>
      </c>
      <c r="AX246" s="42">
        <f>LEN(Sheet1!AE245)</f>
        <v>6</v>
      </c>
      <c r="AY246" s="40" t="str">
        <f>UPPER(Sheet1!AE245)</f>
        <v>ADITYA</v>
      </c>
      <c r="AZ246" s="40" t="str">
        <f>LOWER(Sheet1!AE245)</f>
        <v>aditya</v>
      </c>
      <c r="BA246" s="40" t="str">
        <f>PROPER(Sheet1!AE245)</f>
        <v>Aditya</v>
      </c>
      <c r="BB246" s="40" t="str">
        <f>_xlfn.CONCAT(Sheet1!AE245," ",Sheet1!AF245)</f>
        <v>Aditya Kumar</v>
      </c>
    </row>
    <row r="247" spans="40:54">
      <c r="AN247" s="49">
        <f>Sheet1!B246</f>
        <v>45723</v>
      </c>
      <c r="AO247" s="50">
        <f t="shared" si="21"/>
        <v>8</v>
      </c>
      <c r="AP247" s="50">
        <f t="shared" si="22"/>
        <v>3</v>
      </c>
      <c r="AQ247" s="50">
        <f t="shared" si="23"/>
        <v>2025</v>
      </c>
      <c r="AR247" s="50" t="str">
        <f t="shared" si="24"/>
        <v>Mar-2025</v>
      </c>
      <c r="AS247" s="52">
        <f t="shared" si="25"/>
        <v>45724</v>
      </c>
      <c r="AT247" s="44">
        <f t="shared" ca="1" si="26"/>
        <v>554</v>
      </c>
      <c r="AU247" s="40" t="str">
        <f>LEFT(Sheet1!AE246,3)</f>
        <v>Poo</v>
      </c>
      <c r="AV247" s="40" t="str">
        <f>RIGHT(Sheet1!AF246,2)</f>
        <v>ar</v>
      </c>
      <c r="AW247" s="40" t="str">
        <f>MID(Sheet1!AE246,2,3)</f>
        <v>ooj</v>
      </c>
      <c r="AX247" s="42">
        <f>LEN(Sheet1!AE246)</f>
        <v>5</v>
      </c>
      <c r="AY247" s="40" t="str">
        <f>UPPER(Sheet1!AE246)</f>
        <v>POOJA</v>
      </c>
      <c r="AZ247" s="40" t="str">
        <f>LOWER(Sheet1!AE246)</f>
        <v>pooja</v>
      </c>
      <c r="BA247" s="40" t="str">
        <f>PROPER(Sheet1!AE246)</f>
        <v>Pooja</v>
      </c>
      <c r="BB247" s="40" t="str">
        <f>_xlfn.CONCAT(Sheet1!AE246," ",Sheet1!AF246)</f>
        <v>Pooja Kumar</v>
      </c>
    </row>
    <row r="248" spans="40:54">
      <c r="AN248" s="49">
        <f>Sheet1!B247</f>
        <v>45723</v>
      </c>
      <c r="AO248" s="50">
        <f t="shared" si="21"/>
        <v>9</v>
      </c>
      <c r="AP248" s="50">
        <f t="shared" si="22"/>
        <v>3</v>
      </c>
      <c r="AQ248" s="50">
        <f t="shared" si="23"/>
        <v>2025</v>
      </c>
      <c r="AR248" s="50" t="str">
        <f t="shared" si="24"/>
        <v>Mar-2025</v>
      </c>
      <c r="AS248" s="52">
        <f t="shared" si="25"/>
        <v>45725</v>
      </c>
      <c r="AT248" s="44">
        <f t="shared" ca="1" si="26"/>
        <v>553</v>
      </c>
      <c r="AU248" s="40" t="str">
        <f>LEFT(Sheet1!AE247,3)</f>
        <v>Kar</v>
      </c>
      <c r="AV248" s="40" t="str">
        <f>RIGHT(Sheet1!AF247,2)</f>
        <v>ta</v>
      </c>
      <c r="AW248" s="40" t="str">
        <f>MID(Sheet1!AE247,2,3)</f>
        <v>ara</v>
      </c>
      <c r="AX248" s="42">
        <f>LEN(Sheet1!AE247)</f>
        <v>5</v>
      </c>
      <c r="AY248" s="40" t="str">
        <f>UPPER(Sheet1!AE247)</f>
        <v>KARAN</v>
      </c>
      <c r="AZ248" s="40" t="str">
        <f>LOWER(Sheet1!AE247)</f>
        <v>karan</v>
      </c>
      <c r="BA248" s="40" t="str">
        <f>PROPER(Sheet1!AE247)</f>
        <v>Karan</v>
      </c>
      <c r="BB248" s="40" t="str">
        <f>_xlfn.CONCAT(Sheet1!AE247," ",Sheet1!AF247)</f>
        <v>Karan Mehta</v>
      </c>
    </row>
    <row r="249" spans="40:54">
      <c r="AN249" s="49">
        <f>Sheet1!B248</f>
        <v>45724</v>
      </c>
      <c r="AO249" s="50">
        <f t="shared" si="21"/>
        <v>9</v>
      </c>
      <c r="AP249" s="50">
        <f t="shared" si="22"/>
        <v>3</v>
      </c>
      <c r="AQ249" s="50">
        <f t="shared" si="23"/>
        <v>2025</v>
      </c>
      <c r="AR249" s="50" t="str">
        <f t="shared" si="24"/>
        <v>Mar-2025</v>
      </c>
      <c r="AS249" s="52">
        <f t="shared" si="25"/>
        <v>45725</v>
      </c>
      <c r="AT249" s="44">
        <f t="shared" ca="1" si="26"/>
        <v>553</v>
      </c>
      <c r="AU249" s="40" t="str">
        <f>LEFT(Sheet1!AE248,3)</f>
        <v>Vik</v>
      </c>
      <c r="AV249" s="40" t="str">
        <f>RIGHT(Sheet1!AF248,2)</f>
        <v>ra</v>
      </c>
      <c r="AW249" s="40" t="str">
        <f>MID(Sheet1!AE248,2,3)</f>
        <v>ikr</v>
      </c>
      <c r="AX249" s="42">
        <f>LEN(Sheet1!AE248)</f>
        <v>6</v>
      </c>
      <c r="AY249" s="40" t="str">
        <f>UPPER(Sheet1!AE248)</f>
        <v>VIKRAM</v>
      </c>
      <c r="AZ249" s="40" t="str">
        <f>LOWER(Sheet1!AE248)</f>
        <v>vikram</v>
      </c>
      <c r="BA249" s="40" t="str">
        <f>PROPER(Sheet1!AE248)</f>
        <v>Vikram</v>
      </c>
      <c r="BB249" s="40" t="str">
        <f>_xlfn.CONCAT(Sheet1!AE248," ",Sheet1!AF248)</f>
        <v>Vikram Malhotra</v>
      </c>
    </row>
    <row r="250" spans="40:54">
      <c r="AN250" s="49">
        <f>Sheet1!B249</f>
        <v>45725</v>
      </c>
      <c r="AO250" s="50">
        <f t="shared" si="21"/>
        <v>11</v>
      </c>
      <c r="AP250" s="50">
        <f t="shared" si="22"/>
        <v>3</v>
      </c>
      <c r="AQ250" s="50">
        <f t="shared" si="23"/>
        <v>2025</v>
      </c>
      <c r="AR250" s="50" t="str">
        <f t="shared" si="24"/>
        <v>Mar-2025</v>
      </c>
      <c r="AS250" s="52">
        <f t="shared" si="25"/>
        <v>45727</v>
      </c>
      <c r="AT250" s="44">
        <f t="shared" ca="1" si="26"/>
        <v>551</v>
      </c>
      <c r="AU250" s="40" t="str">
        <f>LEFT(Sheet1!AE249,3)</f>
        <v>Ish</v>
      </c>
      <c r="AV250" s="40" t="str">
        <f>RIGHT(Sheet1!AF249,2)</f>
        <v>ta</v>
      </c>
      <c r="AW250" s="40" t="str">
        <f>MID(Sheet1!AE249,2,3)</f>
        <v>shi</v>
      </c>
      <c r="AX250" s="42">
        <f>LEN(Sheet1!AE249)</f>
        <v>6</v>
      </c>
      <c r="AY250" s="40" t="str">
        <f>UPPER(Sheet1!AE249)</f>
        <v>ISHITA</v>
      </c>
      <c r="AZ250" s="40" t="str">
        <f>LOWER(Sheet1!AE249)</f>
        <v>ishita</v>
      </c>
      <c r="BA250" s="40" t="str">
        <f>PROPER(Sheet1!AE249)</f>
        <v>Ishita</v>
      </c>
      <c r="BB250" s="40" t="str">
        <f>_xlfn.CONCAT(Sheet1!AE249," ",Sheet1!AF249)</f>
        <v>Ishita Gupta</v>
      </c>
    </row>
    <row r="251" spans="40:54">
      <c r="AN251" s="49">
        <f>Sheet1!B250</f>
        <v>45725</v>
      </c>
      <c r="AO251" s="50">
        <f t="shared" si="21"/>
        <v>11</v>
      </c>
      <c r="AP251" s="50">
        <f t="shared" si="22"/>
        <v>3</v>
      </c>
      <c r="AQ251" s="50">
        <f t="shared" si="23"/>
        <v>2025</v>
      </c>
      <c r="AR251" s="50" t="str">
        <f t="shared" si="24"/>
        <v>Mar-2025</v>
      </c>
      <c r="AS251" s="52">
        <f t="shared" si="25"/>
        <v>45727</v>
      </c>
      <c r="AT251" s="44">
        <f t="shared" ca="1" si="26"/>
        <v>551</v>
      </c>
      <c r="AU251" s="40" t="str">
        <f>LEFT(Sheet1!AE250,3)</f>
        <v>Kav</v>
      </c>
      <c r="AV251" s="40" t="str">
        <f>RIGHT(Sheet1!AF250,2)</f>
        <v>al</v>
      </c>
      <c r="AW251" s="40" t="str">
        <f>MID(Sheet1!AE250,2,3)</f>
        <v>avy</v>
      </c>
      <c r="AX251" s="42">
        <f>LEN(Sheet1!AE250)</f>
        <v>5</v>
      </c>
      <c r="AY251" s="40" t="str">
        <f>UPPER(Sheet1!AE250)</f>
        <v>KAVYA</v>
      </c>
      <c r="AZ251" s="40" t="str">
        <f>LOWER(Sheet1!AE250)</f>
        <v>kavya</v>
      </c>
      <c r="BA251" s="40" t="str">
        <f>PROPER(Sheet1!AE250)</f>
        <v>Kavya</v>
      </c>
      <c r="BB251" s="40" t="str">
        <f>_xlfn.CONCAT(Sheet1!AE250," ",Sheet1!AF250)</f>
        <v>Kavya Agarwal</v>
      </c>
    </row>
    <row r="252" spans="40:54">
      <c r="AN252" s="49">
        <f>Sheet1!B251</f>
        <v>45726</v>
      </c>
      <c r="AO252" s="50">
        <f t="shared" si="21"/>
        <v>12</v>
      </c>
      <c r="AP252" s="50">
        <f t="shared" si="22"/>
        <v>3</v>
      </c>
      <c r="AQ252" s="50">
        <f t="shared" si="23"/>
        <v>2025</v>
      </c>
      <c r="AR252" s="50" t="str">
        <f t="shared" si="24"/>
        <v>Mar-2025</v>
      </c>
      <c r="AS252" s="52">
        <f t="shared" si="25"/>
        <v>45728</v>
      </c>
      <c r="AT252" s="44">
        <f t="shared" ca="1" si="26"/>
        <v>550</v>
      </c>
      <c r="AU252" s="40" t="str">
        <f>LEFT(Sheet1!AE251,3)</f>
        <v>Ish</v>
      </c>
      <c r="AV252" s="40" t="str">
        <f>RIGHT(Sheet1!AF251,2)</f>
        <v>ra</v>
      </c>
      <c r="AW252" s="40" t="str">
        <f>MID(Sheet1!AE251,2,3)</f>
        <v>shi</v>
      </c>
      <c r="AX252" s="42">
        <f>LEN(Sheet1!AE251)</f>
        <v>6</v>
      </c>
      <c r="AY252" s="40" t="str">
        <f>UPPER(Sheet1!AE251)</f>
        <v>ISHITA</v>
      </c>
      <c r="AZ252" s="40" t="str">
        <f>LOWER(Sheet1!AE251)</f>
        <v>ishita</v>
      </c>
      <c r="BA252" s="40" t="str">
        <f>PROPER(Sheet1!AE251)</f>
        <v>Ishita</v>
      </c>
      <c r="BB252" s="40" t="str">
        <f>_xlfn.CONCAT(Sheet1!AE251," ",Sheet1!AF251)</f>
        <v>Ishita Malhotra</v>
      </c>
    </row>
    <row r="253" spans="40:54">
      <c r="AN253" s="49">
        <f>Sheet1!B252</f>
        <v>45727</v>
      </c>
      <c r="AO253" s="50">
        <f t="shared" si="21"/>
        <v>2</v>
      </c>
      <c r="AP253" s="50">
        <f t="shared" si="22"/>
        <v>3</v>
      </c>
      <c r="AQ253" s="50">
        <f t="shared" si="23"/>
        <v>2025</v>
      </c>
      <c r="AR253" s="50" t="str">
        <f t="shared" si="24"/>
        <v>Mar-2025</v>
      </c>
      <c r="AS253" s="52">
        <f t="shared" si="25"/>
        <v>45718</v>
      </c>
      <c r="AT253" s="44">
        <f t="shared" ca="1" si="26"/>
        <v>560</v>
      </c>
      <c r="AU253" s="40" t="str">
        <f>LEFT(Sheet1!AE252,3)</f>
        <v>Arj</v>
      </c>
      <c r="AV253" s="40" t="str">
        <f>RIGHT(Sheet1!AF252,2)</f>
        <v>gh</v>
      </c>
      <c r="AW253" s="40" t="str">
        <f>MID(Sheet1!AE252,2,3)</f>
        <v>rju</v>
      </c>
      <c r="AX253" s="42">
        <f>LEN(Sheet1!AE252)</f>
        <v>5</v>
      </c>
      <c r="AY253" s="40" t="str">
        <f>UPPER(Sheet1!AE252)</f>
        <v>ARJUN</v>
      </c>
      <c r="AZ253" s="40" t="str">
        <f>LOWER(Sheet1!AE252)</f>
        <v>arjun</v>
      </c>
      <c r="BA253" s="40" t="str">
        <f>PROPER(Sheet1!AE252)</f>
        <v>Arjun</v>
      </c>
      <c r="BB253" s="40" t="str">
        <f>_xlfn.CONCAT(Sheet1!AE252," ",Sheet1!AF252)</f>
        <v>Arjun Singh</v>
      </c>
    </row>
    <row r="254" spans="40:54">
      <c r="AN254" s="49">
        <f>Sheet1!B253</f>
        <v>45748</v>
      </c>
      <c r="AO254" s="50">
        <f t="shared" si="21"/>
        <v>3</v>
      </c>
      <c r="AP254" s="50">
        <f t="shared" si="22"/>
        <v>4</v>
      </c>
      <c r="AQ254" s="50">
        <f t="shared" si="23"/>
        <v>2025</v>
      </c>
      <c r="AR254" s="50" t="str">
        <f t="shared" si="24"/>
        <v>Apr-2025</v>
      </c>
      <c r="AS254" s="52">
        <f t="shared" si="25"/>
        <v>45750</v>
      </c>
      <c r="AT254" s="44">
        <f t="shared" ca="1" si="26"/>
        <v>528</v>
      </c>
      <c r="AU254" s="40" t="str">
        <f>LEFT(Sheet1!AE253,3)</f>
        <v>Riy</v>
      </c>
      <c r="AV254" s="40" t="str">
        <f>RIGHT(Sheet1!AF253,2)</f>
        <v>in</v>
      </c>
      <c r="AW254" s="40" t="str">
        <f>MID(Sheet1!AE253,2,3)</f>
        <v>iya</v>
      </c>
      <c r="AX254" s="42">
        <f>LEN(Sheet1!AE253)</f>
        <v>4</v>
      </c>
      <c r="AY254" s="40" t="str">
        <f>UPPER(Sheet1!AE253)</f>
        <v>RIYA</v>
      </c>
      <c r="AZ254" s="40" t="str">
        <f>LOWER(Sheet1!AE253)</f>
        <v>riya</v>
      </c>
      <c r="BA254" s="40" t="str">
        <f>PROPER(Sheet1!AE253)</f>
        <v>Riya</v>
      </c>
      <c r="BB254" s="40" t="str">
        <f>_xlfn.CONCAT(Sheet1!AE253," ",Sheet1!AF253)</f>
        <v>Riya Jain</v>
      </c>
    </row>
    <row r="255" spans="40:54">
      <c r="AN255" s="49">
        <f>Sheet1!B254</f>
        <v>45749</v>
      </c>
      <c r="AO255" s="50">
        <f t="shared" si="21"/>
        <v>3</v>
      </c>
      <c r="AP255" s="50">
        <f t="shared" si="22"/>
        <v>4</v>
      </c>
      <c r="AQ255" s="50">
        <f t="shared" si="23"/>
        <v>2025</v>
      </c>
      <c r="AR255" s="50" t="str">
        <f t="shared" si="24"/>
        <v>Apr-2025</v>
      </c>
      <c r="AS255" s="52">
        <f t="shared" si="25"/>
        <v>45750</v>
      </c>
      <c r="AT255" s="44">
        <f t="shared" ca="1" si="26"/>
        <v>528</v>
      </c>
      <c r="AU255" s="40" t="str">
        <f>LEFT(Sheet1!AE254,3)</f>
        <v>Pri</v>
      </c>
      <c r="AV255" s="40" t="str">
        <f>RIGHT(Sheet1!AF254,2)</f>
        <v>av</v>
      </c>
      <c r="AW255" s="40" t="str">
        <f>MID(Sheet1!AE254,2,3)</f>
        <v>riy</v>
      </c>
      <c r="AX255" s="42">
        <f>LEN(Sheet1!AE254)</f>
        <v>5</v>
      </c>
      <c r="AY255" s="40" t="str">
        <f>UPPER(Sheet1!AE254)</f>
        <v>PRIYA</v>
      </c>
      <c r="AZ255" s="40" t="str">
        <f>LOWER(Sheet1!AE254)</f>
        <v>priya</v>
      </c>
      <c r="BA255" s="40" t="str">
        <f>PROPER(Sheet1!AE254)</f>
        <v>Priya</v>
      </c>
      <c r="BB255" s="40" t="str">
        <f>_xlfn.CONCAT(Sheet1!AE254," ",Sheet1!AF254)</f>
        <v>Priya Yadav</v>
      </c>
    </row>
    <row r="256" spans="40:54">
      <c r="AN256" s="49">
        <f>Sheet1!B255</f>
        <v>45749</v>
      </c>
      <c r="AO256" s="50">
        <f t="shared" si="21"/>
        <v>3</v>
      </c>
      <c r="AP256" s="50">
        <f t="shared" si="22"/>
        <v>4</v>
      </c>
      <c r="AQ256" s="50">
        <f t="shared" si="23"/>
        <v>2025</v>
      </c>
      <c r="AR256" s="50" t="str">
        <f t="shared" si="24"/>
        <v>Apr-2025</v>
      </c>
      <c r="AS256" s="52">
        <f t="shared" si="25"/>
        <v>45750</v>
      </c>
      <c r="AT256" s="44">
        <f t="shared" ca="1" si="26"/>
        <v>528</v>
      </c>
      <c r="AU256" s="40" t="str">
        <f>LEFT(Sheet1!AE255,3)</f>
        <v>Ish</v>
      </c>
      <c r="AV256" s="40" t="str">
        <f>RIGHT(Sheet1!AF255,2)</f>
        <v>or</v>
      </c>
      <c r="AW256" s="40" t="str">
        <f>MID(Sheet1!AE255,2,3)</f>
        <v>shi</v>
      </c>
      <c r="AX256" s="42">
        <f>LEN(Sheet1!AE255)</f>
        <v>6</v>
      </c>
      <c r="AY256" s="40" t="str">
        <f>UPPER(Sheet1!AE255)</f>
        <v>ISHITA</v>
      </c>
      <c r="AZ256" s="40" t="str">
        <f>LOWER(Sheet1!AE255)</f>
        <v>ishita</v>
      </c>
      <c r="BA256" s="40" t="str">
        <f>PROPER(Sheet1!AE255)</f>
        <v>Ishita</v>
      </c>
      <c r="BB256" s="40" t="str">
        <f>_xlfn.CONCAT(Sheet1!AE255," ",Sheet1!AF255)</f>
        <v>Ishita Kapoor</v>
      </c>
    </row>
    <row r="257" spans="40:54">
      <c r="AN257" s="49">
        <f>Sheet1!B256</f>
        <v>45750</v>
      </c>
      <c r="AO257" s="50">
        <f t="shared" ref="AO257:AO320" si="27">IFERROR(DAY(AN132),VALUE(LEFT(AN132,2)))</f>
        <v>4</v>
      </c>
      <c r="AP257" s="50">
        <f t="shared" si="22"/>
        <v>4</v>
      </c>
      <c r="AQ257" s="50">
        <f t="shared" si="23"/>
        <v>2025</v>
      </c>
      <c r="AR257" s="50" t="str">
        <f t="shared" si="24"/>
        <v>Apr-2025</v>
      </c>
      <c r="AS257" s="52">
        <f t="shared" si="25"/>
        <v>45751</v>
      </c>
      <c r="AT257" s="44">
        <f t="shared" ca="1" si="26"/>
        <v>527</v>
      </c>
      <c r="AU257" s="40" t="str">
        <f>LEFT(Sheet1!AE256,3)</f>
        <v>Kav</v>
      </c>
      <c r="AV257" s="40" t="str">
        <f>RIGHT(Sheet1!AF256,2)</f>
        <v>gh</v>
      </c>
      <c r="AW257" s="40" t="str">
        <f>MID(Sheet1!AE256,2,3)</f>
        <v>avy</v>
      </c>
      <c r="AX257" s="42">
        <f>LEN(Sheet1!AE256)</f>
        <v>5</v>
      </c>
      <c r="AY257" s="40" t="str">
        <f>UPPER(Sheet1!AE256)</f>
        <v>KAVYA</v>
      </c>
      <c r="AZ257" s="40" t="str">
        <f>LOWER(Sheet1!AE256)</f>
        <v>kavya</v>
      </c>
      <c r="BA257" s="40" t="str">
        <f>PROPER(Sheet1!AE256)</f>
        <v>Kavya</v>
      </c>
      <c r="BB257" s="40" t="str">
        <f>_xlfn.CONCAT(Sheet1!AE256," ",Sheet1!AF256)</f>
        <v>Kavya Singh</v>
      </c>
    </row>
    <row r="258" spans="40:54">
      <c r="AN258" s="49">
        <f>Sheet1!B257</f>
        <v>45750</v>
      </c>
      <c r="AO258" s="50">
        <f t="shared" si="27"/>
        <v>4</v>
      </c>
      <c r="AP258" s="50">
        <f t="shared" si="22"/>
        <v>4</v>
      </c>
      <c r="AQ258" s="50">
        <f t="shared" si="23"/>
        <v>2025</v>
      </c>
      <c r="AR258" s="50" t="str">
        <f t="shared" si="24"/>
        <v>Apr-2025</v>
      </c>
      <c r="AS258" s="52">
        <f t="shared" si="25"/>
        <v>45751</v>
      </c>
      <c r="AT258" s="44">
        <f t="shared" ca="1" si="26"/>
        <v>527</v>
      </c>
      <c r="AU258" s="40" t="str">
        <f>LEFT(Sheet1!AE257,3)</f>
        <v>Sne</v>
      </c>
      <c r="AV258" s="40" t="str">
        <f>RIGHT(Sheet1!AF257,2)</f>
        <v>na</v>
      </c>
      <c r="AW258" s="40" t="str">
        <f>MID(Sheet1!AE257,2,3)</f>
        <v>neh</v>
      </c>
      <c r="AX258" s="42">
        <f>LEN(Sheet1!AE257)</f>
        <v>5</v>
      </c>
      <c r="AY258" s="40" t="str">
        <f>UPPER(Sheet1!AE257)</f>
        <v>SNEHA</v>
      </c>
      <c r="AZ258" s="40" t="str">
        <f>LOWER(Sheet1!AE257)</f>
        <v>sneha</v>
      </c>
      <c r="BA258" s="40" t="str">
        <f>PROPER(Sheet1!AE257)</f>
        <v>Sneha</v>
      </c>
      <c r="BB258" s="40" t="str">
        <f>_xlfn.CONCAT(Sheet1!AE257," ",Sheet1!AF257)</f>
        <v>Sneha Saxena</v>
      </c>
    </row>
    <row r="259" spans="40:54">
      <c r="AN259" s="49">
        <f>Sheet1!B258</f>
        <v>45750</v>
      </c>
      <c r="AO259" s="50">
        <f t="shared" si="27"/>
        <v>4</v>
      </c>
      <c r="AP259" s="50">
        <f t="shared" si="22"/>
        <v>4</v>
      </c>
      <c r="AQ259" s="50">
        <f t="shared" si="23"/>
        <v>2025</v>
      </c>
      <c r="AR259" s="50" t="str">
        <f t="shared" si="24"/>
        <v>Apr-2025</v>
      </c>
      <c r="AS259" s="52">
        <f t="shared" si="25"/>
        <v>45751</v>
      </c>
      <c r="AT259" s="44">
        <f t="shared" ca="1" si="26"/>
        <v>527</v>
      </c>
      <c r="AU259" s="40" t="str">
        <f>LEFT(Sheet1!AE258,3)</f>
        <v>Arj</v>
      </c>
      <c r="AV259" s="40" t="str">
        <f>RIGHT(Sheet1!AF258,2)</f>
        <v>ra</v>
      </c>
      <c r="AW259" s="40" t="str">
        <f>MID(Sheet1!AE258,2,3)</f>
        <v>rju</v>
      </c>
      <c r="AX259" s="42">
        <f>LEN(Sheet1!AE258)</f>
        <v>5</v>
      </c>
      <c r="AY259" s="40" t="str">
        <f>UPPER(Sheet1!AE258)</f>
        <v>ARJUN</v>
      </c>
      <c r="AZ259" s="40" t="str">
        <f>LOWER(Sheet1!AE258)</f>
        <v>arjun</v>
      </c>
      <c r="BA259" s="40" t="str">
        <f>PROPER(Sheet1!AE258)</f>
        <v>Arjun</v>
      </c>
      <c r="BB259" s="40" t="str">
        <f>_xlfn.CONCAT(Sheet1!AE258," ",Sheet1!AF258)</f>
        <v>Arjun Mishra</v>
      </c>
    </row>
    <row r="260" spans="40:54">
      <c r="AN260" s="49">
        <f>Sheet1!B259</f>
        <v>45750</v>
      </c>
      <c r="AO260" s="50">
        <f t="shared" si="27"/>
        <v>5</v>
      </c>
      <c r="AP260" s="50">
        <f t="shared" ref="AP260:AP323" si="28">IFERROR(MONTH(AN260),VALUE(MID(AN260,4,2)))</f>
        <v>4</v>
      </c>
      <c r="AQ260" s="50">
        <f t="shared" ref="AQ260:AQ323" si="29">IFERROR(YEAR(AN260),VALUE(RIGHT(AN260,4)))</f>
        <v>2025</v>
      </c>
      <c r="AR260" s="50" t="str">
        <f t="shared" ref="AR260:AR323" si="30">IF(ISNUMBER(AN260),TEXT(AN260,"mmm-yyyy"),TEXT(DATE(VALUE(RIGHT(AN260,4)),VALUE(MID(AN260,4,2)),VALUE(LEFT(AN260,2))),"mmm-yyyy"))</f>
        <v>Apr-2025</v>
      </c>
      <c r="AS260" s="52">
        <f t="shared" ref="AS260:AS323" si="31">DATE(AQ260,AP260,AO260)</f>
        <v>45752</v>
      </c>
      <c r="AT260" s="44">
        <f t="shared" ref="AT260:AT323" ca="1" si="32">TODAY()-AS260</f>
        <v>526</v>
      </c>
      <c r="AU260" s="40" t="str">
        <f>LEFT(Sheet1!AE259,3)</f>
        <v>Kar</v>
      </c>
      <c r="AV260" s="40" t="str">
        <f>RIGHT(Sheet1!AF259,2)</f>
        <v>ra</v>
      </c>
      <c r="AW260" s="40" t="str">
        <f>MID(Sheet1!AE259,2,3)</f>
        <v>ara</v>
      </c>
      <c r="AX260" s="42">
        <f>LEN(Sheet1!AE259)</f>
        <v>5</v>
      </c>
      <c r="AY260" s="40" t="str">
        <f>UPPER(Sheet1!AE259)</f>
        <v>KARAN</v>
      </c>
      <c r="AZ260" s="40" t="str">
        <f>LOWER(Sheet1!AE259)</f>
        <v>karan</v>
      </c>
      <c r="BA260" s="40" t="str">
        <f>PROPER(Sheet1!AE259)</f>
        <v>Karan</v>
      </c>
      <c r="BB260" s="40" t="str">
        <f>_xlfn.CONCAT(Sheet1!AE259," ",Sheet1!AF259)</f>
        <v>Karan Chopra</v>
      </c>
    </row>
    <row r="261" spans="40:54">
      <c r="AN261" s="49">
        <f>Sheet1!B260</f>
        <v>45751</v>
      </c>
      <c r="AO261" s="50">
        <f t="shared" si="27"/>
        <v>5</v>
      </c>
      <c r="AP261" s="50">
        <f t="shared" si="28"/>
        <v>4</v>
      </c>
      <c r="AQ261" s="50">
        <f t="shared" si="29"/>
        <v>2025</v>
      </c>
      <c r="AR261" s="50" t="str">
        <f t="shared" si="30"/>
        <v>Apr-2025</v>
      </c>
      <c r="AS261" s="52">
        <f t="shared" si="31"/>
        <v>45752</v>
      </c>
      <c r="AT261" s="44">
        <f t="shared" ca="1" si="32"/>
        <v>526</v>
      </c>
      <c r="AU261" s="40" t="str">
        <f>LEFT(Sheet1!AE260,3)</f>
        <v>Kav</v>
      </c>
      <c r="AV261" s="40" t="str">
        <f>RIGHT(Sheet1!AF260,2)</f>
        <v>in</v>
      </c>
      <c r="AW261" s="40" t="str">
        <f>MID(Sheet1!AE260,2,3)</f>
        <v>avy</v>
      </c>
      <c r="AX261" s="42">
        <f>LEN(Sheet1!AE260)</f>
        <v>5</v>
      </c>
      <c r="AY261" s="40" t="str">
        <f>UPPER(Sheet1!AE260)</f>
        <v>KAVYA</v>
      </c>
      <c r="AZ261" s="40" t="str">
        <f>LOWER(Sheet1!AE260)</f>
        <v>kavya</v>
      </c>
      <c r="BA261" s="40" t="str">
        <f>PROPER(Sheet1!AE260)</f>
        <v>Kavya</v>
      </c>
      <c r="BB261" s="40" t="str">
        <f>_xlfn.CONCAT(Sheet1!AE260," ",Sheet1!AF260)</f>
        <v>Kavya Jain</v>
      </c>
    </row>
    <row r="262" spans="40:54">
      <c r="AN262" s="49">
        <f>Sheet1!B261</f>
        <v>45751</v>
      </c>
      <c r="AO262" s="50">
        <f t="shared" si="27"/>
        <v>6</v>
      </c>
      <c r="AP262" s="50">
        <f t="shared" si="28"/>
        <v>4</v>
      </c>
      <c r="AQ262" s="50">
        <f t="shared" si="29"/>
        <v>2025</v>
      </c>
      <c r="AR262" s="50" t="str">
        <f t="shared" si="30"/>
        <v>Apr-2025</v>
      </c>
      <c r="AS262" s="52">
        <f t="shared" si="31"/>
        <v>45753</v>
      </c>
      <c r="AT262" s="44">
        <f t="shared" ca="1" si="32"/>
        <v>525</v>
      </c>
      <c r="AU262" s="40" t="str">
        <f>LEFT(Sheet1!AE261,3)</f>
        <v>Adi</v>
      </c>
      <c r="AV262" s="40" t="str">
        <f>RIGHT(Sheet1!AF261,2)</f>
        <v>na</v>
      </c>
      <c r="AW262" s="40" t="str">
        <f>MID(Sheet1!AE261,2,3)</f>
        <v>dit</v>
      </c>
      <c r="AX262" s="42">
        <f>LEN(Sheet1!AE261)</f>
        <v>6</v>
      </c>
      <c r="AY262" s="40" t="str">
        <f>UPPER(Sheet1!AE261)</f>
        <v>ADITYA</v>
      </c>
      <c r="AZ262" s="40" t="str">
        <f>LOWER(Sheet1!AE261)</f>
        <v>aditya</v>
      </c>
      <c r="BA262" s="40" t="str">
        <f>PROPER(Sheet1!AE261)</f>
        <v>Aditya</v>
      </c>
      <c r="BB262" s="40" t="str">
        <f>_xlfn.CONCAT(Sheet1!AE261," ",Sheet1!AF261)</f>
        <v>Aditya Saxena</v>
      </c>
    </row>
    <row r="263" spans="40:54">
      <c r="AN263" s="49">
        <f>Sheet1!B262</f>
        <v>45751</v>
      </c>
      <c r="AO263" s="50">
        <f t="shared" si="27"/>
        <v>6</v>
      </c>
      <c r="AP263" s="50">
        <f t="shared" si="28"/>
        <v>4</v>
      </c>
      <c r="AQ263" s="50">
        <f t="shared" si="29"/>
        <v>2025</v>
      </c>
      <c r="AR263" s="50" t="str">
        <f t="shared" si="30"/>
        <v>Apr-2025</v>
      </c>
      <c r="AS263" s="52">
        <f t="shared" si="31"/>
        <v>45753</v>
      </c>
      <c r="AT263" s="44">
        <f t="shared" ca="1" si="32"/>
        <v>525</v>
      </c>
      <c r="AU263" s="40" t="str">
        <f>LEFT(Sheet1!AE262,3)</f>
        <v>Neh</v>
      </c>
      <c r="AV263" s="40" t="str">
        <f>RIGHT(Sheet1!AF262,2)</f>
        <v>av</v>
      </c>
      <c r="AW263" s="40" t="str">
        <f>MID(Sheet1!AE262,2,3)</f>
        <v>eha</v>
      </c>
      <c r="AX263" s="42">
        <f>LEN(Sheet1!AE262)</f>
        <v>4</v>
      </c>
      <c r="AY263" s="40" t="str">
        <f>UPPER(Sheet1!AE262)</f>
        <v>NEHA</v>
      </c>
      <c r="AZ263" s="40" t="str">
        <f>LOWER(Sheet1!AE262)</f>
        <v>neha</v>
      </c>
      <c r="BA263" s="40" t="str">
        <f>PROPER(Sheet1!AE262)</f>
        <v>Neha</v>
      </c>
      <c r="BB263" s="40" t="str">
        <f>_xlfn.CONCAT(Sheet1!AE262," ",Sheet1!AF262)</f>
        <v>Neha Yadav</v>
      </c>
    </row>
    <row r="264" spans="40:54">
      <c r="AN264" s="49">
        <f>Sheet1!B263</f>
        <v>45752</v>
      </c>
      <c r="AO264" s="50">
        <f t="shared" si="27"/>
        <v>6</v>
      </c>
      <c r="AP264" s="50">
        <f t="shared" si="28"/>
        <v>4</v>
      </c>
      <c r="AQ264" s="50">
        <f t="shared" si="29"/>
        <v>2025</v>
      </c>
      <c r="AR264" s="50" t="str">
        <f t="shared" si="30"/>
        <v>Apr-2025</v>
      </c>
      <c r="AS264" s="52">
        <f t="shared" si="31"/>
        <v>45753</v>
      </c>
      <c r="AT264" s="44">
        <f t="shared" ca="1" si="32"/>
        <v>525</v>
      </c>
      <c r="AU264" s="40" t="str">
        <f>LEFT(Sheet1!AE263,3)</f>
        <v>Arj</v>
      </c>
      <c r="AV264" s="40" t="str">
        <f>RIGHT(Sheet1!AF263,2)</f>
        <v>or</v>
      </c>
      <c r="AW264" s="40" t="str">
        <f>MID(Sheet1!AE263,2,3)</f>
        <v>rju</v>
      </c>
      <c r="AX264" s="42">
        <f>LEN(Sheet1!AE263)</f>
        <v>5</v>
      </c>
      <c r="AY264" s="40" t="str">
        <f>UPPER(Sheet1!AE263)</f>
        <v>ARJUN</v>
      </c>
      <c r="AZ264" s="40" t="str">
        <f>LOWER(Sheet1!AE263)</f>
        <v>arjun</v>
      </c>
      <c r="BA264" s="40" t="str">
        <f>PROPER(Sheet1!AE263)</f>
        <v>Arjun</v>
      </c>
      <c r="BB264" s="40" t="str">
        <f>_xlfn.CONCAT(Sheet1!AE263," ",Sheet1!AF263)</f>
        <v>Arjun Kapoor</v>
      </c>
    </row>
    <row r="265" spans="40:54">
      <c r="AN265" s="49">
        <f>Sheet1!B264</f>
        <v>45752</v>
      </c>
      <c r="AO265" s="50">
        <f t="shared" si="27"/>
        <v>7</v>
      </c>
      <c r="AP265" s="50">
        <f t="shared" si="28"/>
        <v>4</v>
      </c>
      <c r="AQ265" s="50">
        <f t="shared" si="29"/>
        <v>2025</v>
      </c>
      <c r="AR265" s="50" t="str">
        <f t="shared" si="30"/>
        <v>Apr-2025</v>
      </c>
      <c r="AS265" s="52">
        <f t="shared" si="31"/>
        <v>45754</v>
      </c>
      <c r="AT265" s="44">
        <f t="shared" ca="1" si="32"/>
        <v>524</v>
      </c>
      <c r="AU265" s="40" t="str">
        <f>LEFT(Sheet1!AE264,3)</f>
        <v>Mee</v>
      </c>
      <c r="AV265" s="40" t="str">
        <f>RIGHT(Sheet1!AF264,2)</f>
        <v>or</v>
      </c>
      <c r="AW265" s="40" t="str">
        <f>MID(Sheet1!AE264,2,3)</f>
        <v>eer</v>
      </c>
      <c r="AX265" s="42">
        <f>LEN(Sheet1!AE264)</f>
        <v>5</v>
      </c>
      <c r="AY265" s="40" t="str">
        <f>UPPER(Sheet1!AE264)</f>
        <v>MEERA</v>
      </c>
      <c r="AZ265" s="40" t="str">
        <f>LOWER(Sheet1!AE264)</f>
        <v>meera</v>
      </c>
      <c r="BA265" s="40" t="str">
        <f>PROPER(Sheet1!AE264)</f>
        <v>Meera</v>
      </c>
      <c r="BB265" s="40" t="str">
        <f>_xlfn.CONCAT(Sheet1!AE264," ",Sheet1!AF264)</f>
        <v>Meera Kapoor</v>
      </c>
    </row>
    <row r="266" spans="40:54">
      <c r="AN266" s="49">
        <f>Sheet1!B265</f>
        <v>45753</v>
      </c>
      <c r="AO266" s="50">
        <f t="shared" si="27"/>
        <v>8</v>
      </c>
      <c r="AP266" s="50">
        <f t="shared" si="28"/>
        <v>4</v>
      </c>
      <c r="AQ266" s="50">
        <f t="shared" si="29"/>
        <v>2025</v>
      </c>
      <c r="AR266" s="50" t="str">
        <f t="shared" si="30"/>
        <v>Apr-2025</v>
      </c>
      <c r="AS266" s="52">
        <f t="shared" si="31"/>
        <v>45755</v>
      </c>
      <c r="AT266" s="44">
        <f t="shared" ca="1" si="32"/>
        <v>523</v>
      </c>
      <c r="AU266" s="40" t="str">
        <f>LEFT(Sheet1!AE265,3)</f>
        <v>Adi</v>
      </c>
      <c r="AV266" s="40" t="str">
        <f>RIGHT(Sheet1!AF265,2)</f>
        <v>ma</v>
      </c>
      <c r="AW266" s="40" t="str">
        <f>MID(Sheet1!AE265,2,3)</f>
        <v>dit</v>
      </c>
      <c r="AX266" s="42">
        <f>LEN(Sheet1!AE265)</f>
        <v>5</v>
      </c>
      <c r="AY266" s="40" t="str">
        <f>UPPER(Sheet1!AE265)</f>
        <v>ADITI</v>
      </c>
      <c r="AZ266" s="40" t="str">
        <f>LOWER(Sheet1!AE265)</f>
        <v>aditi</v>
      </c>
      <c r="BA266" s="40" t="str">
        <f>PROPER(Sheet1!AE265)</f>
        <v>Aditi</v>
      </c>
      <c r="BB266" s="40" t="str">
        <f>_xlfn.CONCAT(Sheet1!AE265," ",Sheet1!AF265)</f>
        <v>Aditi Verma</v>
      </c>
    </row>
    <row r="267" spans="40:54">
      <c r="AN267" s="49">
        <f>Sheet1!B266</f>
        <v>45754</v>
      </c>
      <c r="AO267" s="50">
        <f t="shared" si="27"/>
        <v>9</v>
      </c>
      <c r="AP267" s="50">
        <f t="shared" si="28"/>
        <v>4</v>
      </c>
      <c r="AQ267" s="50">
        <f t="shared" si="29"/>
        <v>2025</v>
      </c>
      <c r="AR267" s="50" t="str">
        <f t="shared" si="30"/>
        <v>Apr-2025</v>
      </c>
      <c r="AS267" s="52">
        <f t="shared" si="31"/>
        <v>45756</v>
      </c>
      <c r="AT267" s="44">
        <f t="shared" ca="1" si="32"/>
        <v>522</v>
      </c>
      <c r="AU267" s="40" t="str">
        <f>LEFT(Sheet1!AE266,3)</f>
        <v>Viv</v>
      </c>
      <c r="AV267" s="40" t="str">
        <f>RIGHT(Sheet1!AF266,2)</f>
        <v>gh</v>
      </c>
      <c r="AW267" s="40" t="str">
        <f>MID(Sheet1!AE266,2,3)</f>
        <v>iva</v>
      </c>
      <c r="AX267" s="42">
        <f>LEN(Sheet1!AE266)</f>
        <v>6</v>
      </c>
      <c r="AY267" s="40" t="str">
        <f>UPPER(Sheet1!AE266)</f>
        <v>VIVAAN</v>
      </c>
      <c r="AZ267" s="40" t="str">
        <f>LOWER(Sheet1!AE266)</f>
        <v>vivaan</v>
      </c>
      <c r="BA267" s="40" t="str">
        <f>PROPER(Sheet1!AE266)</f>
        <v>Vivaan</v>
      </c>
      <c r="BB267" s="40" t="str">
        <f>_xlfn.CONCAT(Sheet1!AE266," ",Sheet1!AF266)</f>
        <v>Vivaan Singh</v>
      </c>
    </row>
    <row r="268" spans="40:54">
      <c r="AN268" s="49">
        <f>Sheet1!B267</f>
        <v>45754</v>
      </c>
      <c r="AO268" s="50">
        <f t="shared" si="27"/>
        <v>9</v>
      </c>
      <c r="AP268" s="50">
        <f t="shared" si="28"/>
        <v>4</v>
      </c>
      <c r="AQ268" s="50">
        <f t="shared" si="29"/>
        <v>2025</v>
      </c>
      <c r="AR268" s="50" t="str">
        <f t="shared" si="30"/>
        <v>Apr-2025</v>
      </c>
      <c r="AS268" s="52">
        <f t="shared" si="31"/>
        <v>45756</v>
      </c>
      <c r="AT268" s="44">
        <f t="shared" ca="1" si="32"/>
        <v>522</v>
      </c>
      <c r="AU268" s="40" t="str">
        <f>LEFT(Sheet1!AE267,3)</f>
        <v>Mee</v>
      </c>
      <c r="AV268" s="40" t="str">
        <f>RIGHT(Sheet1!AF267,2)</f>
        <v>ma</v>
      </c>
      <c r="AW268" s="40" t="str">
        <f>MID(Sheet1!AE267,2,3)</f>
        <v>eer</v>
      </c>
      <c r="AX268" s="42">
        <f>LEN(Sheet1!AE267)</f>
        <v>5</v>
      </c>
      <c r="AY268" s="40" t="str">
        <f>UPPER(Sheet1!AE267)</f>
        <v>MEERA</v>
      </c>
      <c r="AZ268" s="40" t="str">
        <f>LOWER(Sheet1!AE267)</f>
        <v>meera</v>
      </c>
      <c r="BA268" s="40" t="str">
        <f>PROPER(Sheet1!AE267)</f>
        <v>Meera</v>
      </c>
      <c r="BB268" s="40" t="str">
        <f>_xlfn.CONCAT(Sheet1!AE267," ",Sheet1!AF267)</f>
        <v>Meera Verma</v>
      </c>
    </row>
    <row r="269" spans="40:54">
      <c r="AN269" s="49">
        <f>Sheet1!B268</f>
        <v>45754</v>
      </c>
      <c r="AO269" s="50">
        <f t="shared" si="27"/>
        <v>10</v>
      </c>
      <c r="AP269" s="50">
        <f t="shared" si="28"/>
        <v>4</v>
      </c>
      <c r="AQ269" s="50">
        <f t="shared" si="29"/>
        <v>2025</v>
      </c>
      <c r="AR269" s="50" t="str">
        <f t="shared" si="30"/>
        <v>Apr-2025</v>
      </c>
      <c r="AS269" s="52">
        <f t="shared" si="31"/>
        <v>45757</v>
      </c>
      <c r="AT269" s="44">
        <f t="shared" ca="1" si="32"/>
        <v>521</v>
      </c>
      <c r="AU269" s="40" t="str">
        <f>LEFT(Sheet1!AE268,3)</f>
        <v>Roh</v>
      </c>
      <c r="AV269" s="40" t="str">
        <f>RIGHT(Sheet1!AF268,2)</f>
        <v>al</v>
      </c>
      <c r="AW269" s="40" t="str">
        <f>MID(Sheet1!AE268,2,3)</f>
        <v>oha</v>
      </c>
      <c r="AX269" s="42">
        <f>LEN(Sheet1!AE268)</f>
        <v>5</v>
      </c>
      <c r="AY269" s="40" t="str">
        <f>UPPER(Sheet1!AE268)</f>
        <v>ROHAN</v>
      </c>
      <c r="AZ269" s="40" t="str">
        <f>LOWER(Sheet1!AE268)</f>
        <v>rohan</v>
      </c>
      <c r="BA269" s="40" t="str">
        <f>PROPER(Sheet1!AE268)</f>
        <v>Rohan</v>
      </c>
      <c r="BB269" s="40" t="str">
        <f>_xlfn.CONCAT(Sheet1!AE268," ",Sheet1!AF268)</f>
        <v>Rohan Bansal</v>
      </c>
    </row>
    <row r="270" spans="40:54">
      <c r="AN270" s="49">
        <f>Sheet1!B269</f>
        <v>45754</v>
      </c>
      <c r="AO270" s="50">
        <f t="shared" si="27"/>
        <v>10</v>
      </c>
      <c r="AP270" s="50">
        <f t="shared" si="28"/>
        <v>4</v>
      </c>
      <c r="AQ270" s="50">
        <f t="shared" si="29"/>
        <v>2025</v>
      </c>
      <c r="AR270" s="50" t="str">
        <f t="shared" si="30"/>
        <v>Apr-2025</v>
      </c>
      <c r="AS270" s="52">
        <f t="shared" si="31"/>
        <v>45757</v>
      </c>
      <c r="AT270" s="44">
        <f t="shared" ca="1" si="32"/>
        <v>521</v>
      </c>
      <c r="AU270" s="40" t="str">
        <f>LEFT(Sheet1!AE269,3)</f>
        <v>Sne</v>
      </c>
      <c r="AV270" s="40" t="str">
        <f>RIGHT(Sheet1!AF269,2)</f>
        <v>gh</v>
      </c>
      <c r="AW270" s="40" t="str">
        <f>MID(Sheet1!AE269,2,3)</f>
        <v>neh</v>
      </c>
      <c r="AX270" s="42">
        <f>LEN(Sheet1!AE269)</f>
        <v>5</v>
      </c>
      <c r="AY270" s="40" t="str">
        <f>UPPER(Sheet1!AE269)</f>
        <v>SNEHA</v>
      </c>
      <c r="AZ270" s="40" t="str">
        <f>LOWER(Sheet1!AE269)</f>
        <v>sneha</v>
      </c>
      <c r="BA270" s="40" t="str">
        <f>PROPER(Sheet1!AE269)</f>
        <v>Sneha</v>
      </c>
      <c r="BB270" s="40" t="str">
        <f>_xlfn.CONCAT(Sheet1!AE269," ",Sheet1!AF269)</f>
        <v>Sneha Singh</v>
      </c>
    </row>
    <row r="271" spans="40:54">
      <c r="AN271" s="49">
        <f>Sheet1!B270</f>
        <v>45755</v>
      </c>
      <c r="AO271" s="50">
        <f t="shared" si="27"/>
        <v>11</v>
      </c>
      <c r="AP271" s="50">
        <f t="shared" si="28"/>
        <v>4</v>
      </c>
      <c r="AQ271" s="50">
        <f t="shared" si="29"/>
        <v>2025</v>
      </c>
      <c r="AR271" s="50" t="str">
        <f t="shared" si="30"/>
        <v>Apr-2025</v>
      </c>
      <c r="AS271" s="52">
        <f t="shared" si="31"/>
        <v>45758</v>
      </c>
      <c r="AT271" s="44">
        <f t="shared" ca="1" si="32"/>
        <v>520</v>
      </c>
      <c r="AU271" s="40" t="str">
        <f>LEFT(Sheet1!AE270,3)</f>
        <v>Viv</v>
      </c>
      <c r="AV271" s="40" t="str">
        <f>RIGHT(Sheet1!AF270,2)</f>
        <v>ma</v>
      </c>
      <c r="AW271" s="40" t="str">
        <f>MID(Sheet1!AE270,2,3)</f>
        <v>iva</v>
      </c>
      <c r="AX271" s="42">
        <f>LEN(Sheet1!AE270)</f>
        <v>6</v>
      </c>
      <c r="AY271" s="40" t="str">
        <f>UPPER(Sheet1!AE270)</f>
        <v>VIVAAN</v>
      </c>
      <c r="AZ271" s="40" t="str">
        <f>LOWER(Sheet1!AE270)</f>
        <v>vivaan</v>
      </c>
      <c r="BA271" s="40" t="str">
        <f>PROPER(Sheet1!AE270)</f>
        <v>Vivaan</v>
      </c>
      <c r="BB271" s="40" t="str">
        <f>_xlfn.CONCAT(Sheet1!AE270," ",Sheet1!AF270)</f>
        <v>Vivaan Verma</v>
      </c>
    </row>
    <row r="272" spans="40:54">
      <c r="AN272" s="49">
        <f>Sheet1!B271</f>
        <v>45755</v>
      </c>
      <c r="AO272" s="50">
        <f t="shared" si="27"/>
        <v>1</v>
      </c>
      <c r="AP272" s="50">
        <f t="shared" si="28"/>
        <v>4</v>
      </c>
      <c r="AQ272" s="50">
        <f t="shared" si="29"/>
        <v>2025</v>
      </c>
      <c r="AR272" s="50" t="str">
        <f t="shared" si="30"/>
        <v>Apr-2025</v>
      </c>
      <c r="AS272" s="52">
        <f t="shared" si="31"/>
        <v>45748</v>
      </c>
      <c r="AT272" s="44">
        <f t="shared" ca="1" si="32"/>
        <v>530</v>
      </c>
      <c r="AU272" s="40" t="str">
        <f>LEFT(Sheet1!AE271,3)</f>
        <v>Arj</v>
      </c>
      <c r="AV272" s="40" t="str">
        <f>RIGHT(Sheet1!AF271,2)</f>
        <v>na</v>
      </c>
      <c r="AW272" s="40" t="str">
        <f>MID(Sheet1!AE271,2,3)</f>
        <v>rju</v>
      </c>
      <c r="AX272" s="42">
        <f>LEN(Sheet1!AE271)</f>
        <v>5</v>
      </c>
      <c r="AY272" s="40" t="str">
        <f>UPPER(Sheet1!AE271)</f>
        <v>ARJUN</v>
      </c>
      <c r="AZ272" s="40" t="str">
        <f>LOWER(Sheet1!AE271)</f>
        <v>arjun</v>
      </c>
      <c r="BA272" s="40" t="str">
        <f>PROPER(Sheet1!AE271)</f>
        <v>Arjun</v>
      </c>
      <c r="BB272" s="40" t="str">
        <f>_xlfn.CONCAT(Sheet1!AE271," ",Sheet1!AF271)</f>
        <v>Arjun Saxena</v>
      </c>
    </row>
    <row r="273" spans="40:54">
      <c r="AN273" s="49">
        <f>Sheet1!B272</f>
        <v>45756</v>
      </c>
      <c r="AO273" s="50">
        <f t="shared" si="27"/>
        <v>2</v>
      </c>
      <c r="AP273" s="50">
        <f t="shared" si="28"/>
        <v>4</v>
      </c>
      <c r="AQ273" s="50">
        <f t="shared" si="29"/>
        <v>2025</v>
      </c>
      <c r="AR273" s="50" t="str">
        <f t="shared" si="30"/>
        <v>Apr-2025</v>
      </c>
      <c r="AS273" s="52">
        <f t="shared" si="31"/>
        <v>45749</v>
      </c>
      <c r="AT273" s="44">
        <f t="shared" ca="1" si="32"/>
        <v>529</v>
      </c>
      <c r="AU273" s="40" t="str">
        <f>LEFT(Sheet1!AE272,3)</f>
        <v>Poo</v>
      </c>
      <c r="AV273" s="40" t="str">
        <f>RIGHT(Sheet1!AF272,2)</f>
        <v>al</v>
      </c>
      <c r="AW273" s="40" t="str">
        <f>MID(Sheet1!AE272,2,3)</f>
        <v>ooj</v>
      </c>
      <c r="AX273" s="42">
        <f>LEN(Sheet1!AE272)</f>
        <v>5</v>
      </c>
      <c r="AY273" s="40" t="str">
        <f>UPPER(Sheet1!AE272)</f>
        <v>POOJA</v>
      </c>
      <c r="AZ273" s="40" t="str">
        <f>LOWER(Sheet1!AE272)</f>
        <v>pooja</v>
      </c>
      <c r="BA273" s="40" t="str">
        <f>PROPER(Sheet1!AE272)</f>
        <v>Pooja</v>
      </c>
      <c r="BB273" s="40" t="str">
        <f>_xlfn.CONCAT(Sheet1!AE272," ",Sheet1!AF272)</f>
        <v>Pooja Agarwal</v>
      </c>
    </row>
    <row r="274" spans="40:54">
      <c r="AN274" s="49">
        <f>Sheet1!B273</f>
        <v>45756</v>
      </c>
      <c r="AO274" s="50">
        <f t="shared" si="27"/>
        <v>3</v>
      </c>
      <c r="AP274" s="50">
        <f t="shared" si="28"/>
        <v>4</v>
      </c>
      <c r="AQ274" s="50">
        <f t="shared" si="29"/>
        <v>2025</v>
      </c>
      <c r="AR274" s="50" t="str">
        <f t="shared" si="30"/>
        <v>Apr-2025</v>
      </c>
      <c r="AS274" s="52">
        <f t="shared" si="31"/>
        <v>45750</v>
      </c>
      <c r="AT274" s="44">
        <f t="shared" ca="1" si="32"/>
        <v>528</v>
      </c>
      <c r="AU274" s="40" t="str">
        <f>LEFT(Sheet1!AE273,3)</f>
        <v>Ana</v>
      </c>
      <c r="AV274" s="40" t="str">
        <f>RIGHT(Sheet1!AF273,2)</f>
        <v>ta</v>
      </c>
      <c r="AW274" s="40" t="str">
        <f>MID(Sheet1!AE273,2,3)</f>
        <v>nan</v>
      </c>
      <c r="AX274" s="42">
        <f>LEN(Sheet1!AE273)</f>
        <v>6</v>
      </c>
      <c r="AY274" s="40" t="str">
        <f>UPPER(Sheet1!AE273)</f>
        <v>ANANYA</v>
      </c>
      <c r="AZ274" s="40" t="str">
        <f>LOWER(Sheet1!AE273)</f>
        <v>ananya</v>
      </c>
      <c r="BA274" s="40" t="str">
        <f>PROPER(Sheet1!AE273)</f>
        <v>Ananya</v>
      </c>
      <c r="BB274" s="40" t="str">
        <f>_xlfn.CONCAT(Sheet1!AE273," ",Sheet1!AF273)</f>
        <v>Ananya Gupta</v>
      </c>
    </row>
    <row r="275" spans="40:54">
      <c r="AN275" s="49">
        <f>Sheet1!B274</f>
        <v>45757</v>
      </c>
      <c r="AO275" s="50">
        <f t="shared" si="27"/>
        <v>3</v>
      </c>
      <c r="AP275" s="50">
        <f t="shared" si="28"/>
        <v>4</v>
      </c>
      <c r="AQ275" s="50">
        <f t="shared" si="29"/>
        <v>2025</v>
      </c>
      <c r="AR275" s="50" t="str">
        <f t="shared" si="30"/>
        <v>Apr-2025</v>
      </c>
      <c r="AS275" s="52">
        <f t="shared" si="31"/>
        <v>45750</v>
      </c>
      <c r="AT275" s="44">
        <f t="shared" ca="1" si="32"/>
        <v>528</v>
      </c>
      <c r="AU275" s="40" t="str">
        <f>LEFT(Sheet1!AE274,3)</f>
        <v>Arj</v>
      </c>
      <c r="AV275" s="40" t="str">
        <f>RIGHT(Sheet1!AF274,2)</f>
        <v>ra</v>
      </c>
      <c r="AW275" s="40" t="str">
        <f>MID(Sheet1!AE274,2,3)</f>
        <v>rju</v>
      </c>
      <c r="AX275" s="42">
        <f>LEN(Sheet1!AE274)</f>
        <v>5</v>
      </c>
      <c r="AY275" s="40" t="str">
        <f>UPPER(Sheet1!AE274)</f>
        <v>ARJUN</v>
      </c>
      <c r="AZ275" s="40" t="str">
        <f>LOWER(Sheet1!AE274)</f>
        <v>arjun</v>
      </c>
      <c r="BA275" s="40" t="str">
        <f>PROPER(Sheet1!AE274)</f>
        <v>Arjun</v>
      </c>
      <c r="BB275" s="40" t="str">
        <f>_xlfn.CONCAT(Sheet1!AE274," ",Sheet1!AF274)</f>
        <v>Arjun Malhotra</v>
      </c>
    </row>
    <row r="276" spans="40:54">
      <c r="AN276" s="49">
        <f>Sheet1!B275</f>
        <v>45757</v>
      </c>
      <c r="AO276" s="50">
        <f t="shared" si="27"/>
        <v>4</v>
      </c>
      <c r="AP276" s="50">
        <f t="shared" si="28"/>
        <v>4</v>
      </c>
      <c r="AQ276" s="50">
        <f t="shared" si="29"/>
        <v>2025</v>
      </c>
      <c r="AR276" s="50" t="str">
        <f t="shared" si="30"/>
        <v>Apr-2025</v>
      </c>
      <c r="AS276" s="52">
        <f t="shared" si="31"/>
        <v>45751</v>
      </c>
      <c r="AT276" s="44">
        <f t="shared" ca="1" si="32"/>
        <v>527</v>
      </c>
      <c r="AU276" s="40" t="str">
        <f>LEFT(Sheet1!AE275,3)</f>
        <v>Rah</v>
      </c>
      <c r="AV276" s="40" t="str">
        <f>RIGHT(Sheet1!AF275,2)</f>
        <v>ma</v>
      </c>
      <c r="AW276" s="40" t="str">
        <f>MID(Sheet1!AE275,2,3)</f>
        <v>ahu</v>
      </c>
      <c r="AX276" s="42">
        <f>LEN(Sheet1!AE275)</f>
        <v>5</v>
      </c>
      <c r="AY276" s="40" t="str">
        <f>UPPER(Sheet1!AE275)</f>
        <v>RAHUL</v>
      </c>
      <c r="AZ276" s="40" t="str">
        <f>LOWER(Sheet1!AE275)</f>
        <v>rahul</v>
      </c>
      <c r="BA276" s="40" t="str">
        <f>PROPER(Sheet1!AE275)</f>
        <v>Rahul</v>
      </c>
      <c r="BB276" s="40" t="str">
        <f>_xlfn.CONCAT(Sheet1!AE275," ",Sheet1!AF275)</f>
        <v>Rahul Verma</v>
      </c>
    </row>
    <row r="277" spans="40:54">
      <c r="AN277" s="49">
        <f>Sheet1!B276</f>
        <v>45757</v>
      </c>
      <c r="AO277" s="50">
        <f t="shared" si="27"/>
        <v>4</v>
      </c>
      <c r="AP277" s="50">
        <f t="shared" si="28"/>
        <v>4</v>
      </c>
      <c r="AQ277" s="50">
        <f t="shared" si="29"/>
        <v>2025</v>
      </c>
      <c r="AR277" s="50" t="str">
        <f t="shared" si="30"/>
        <v>Apr-2025</v>
      </c>
      <c r="AS277" s="52">
        <f t="shared" si="31"/>
        <v>45751</v>
      </c>
      <c r="AT277" s="44">
        <f t="shared" ca="1" si="32"/>
        <v>527</v>
      </c>
      <c r="AU277" s="40" t="str">
        <f>LEFT(Sheet1!AE276,3)</f>
        <v>Aar</v>
      </c>
      <c r="AV277" s="40" t="str">
        <f>RIGHT(Sheet1!AF276,2)</f>
        <v>ra</v>
      </c>
      <c r="AW277" s="40" t="str">
        <f>MID(Sheet1!AE276,2,3)</f>
        <v>ara</v>
      </c>
      <c r="AX277" s="42">
        <f>LEN(Sheet1!AE276)</f>
        <v>5</v>
      </c>
      <c r="AY277" s="40" t="str">
        <f>UPPER(Sheet1!AE276)</f>
        <v>AARAV</v>
      </c>
      <c r="AZ277" s="40" t="str">
        <f>LOWER(Sheet1!AE276)</f>
        <v>aarav</v>
      </c>
      <c r="BA277" s="40" t="str">
        <f>PROPER(Sheet1!AE276)</f>
        <v>Aarav</v>
      </c>
      <c r="BB277" s="40" t="str">
        <f>_xlfn.CONCAT(Sheet1!AE276," ",Sheet1!AF276)</f>
        <v>Aarav Chopra</v>
      </c>
    </row>
    <row r="278" spans="40:54">
      <c r="AN278" s="49">
        <f>Sheet1!B277</f>
        <v>45758</v>
      </c>
      <c r="AO278" s="50">
        <f t="shared" si="27"/>
        <v>5</v>
      </c>
      <c r="AP278" s="50">
        <f t="shared" si="28"/>
        <v>4</v>
      </c>
      <c r="AQ278" s="50">
        <f t="shared" si="29"/>
        <v>2025</v>
      </c>
      <c r="AR278" s="50" t="str">
        <f t="shared" si="30"/>
        <v>Apr-2025</v>
      </c>
      <c r="AS278" s="52">
        <f t="shared" si="31"/>
        <v>45752</v>
      </c>
      <c r="AT278" s="44">
        <f t="shared" ca="1" si="32"/>
        <v>526</v>
      </c>
      <c r="AU278" s="40" t="str">
        <f>LEFT(Sheet1!AE277,3)</f>
        <v>Aar</v>
      </c>
      <c r="AV278" s="40" t="str">
        <f>RIGHT(Sheet1!AF277,2)</f>
        <v>ma</v>
      </c>
      <c r="AW278" s="40" t="str">
        <f>MID(Sheet1!AE277,2,3)</f>
        <v>ara</v>
      </c>
      <c r="AX278" s="42">
        <f>LEN(Sheet1!AE277)</f>
        <v>5</v>
      </c>
      <c r="AY278" s="40" t="str">
        <f>UPPER(Sheet1!AE277)</f>
        <v>AARAV</v>
      </c>
      <c r="AZ278" s="40" t="str">
        <f>LOWER(Sheet1!AE277)</f>
        <v>aarav</v>
      </c>
      <c r="BA278" s="40" t="str">
        <f>PROPER(Sheet1!AE277)</f>
        <v>Aarav</v>
      </c>
      <c r="BB278" s="40" t="str">
        <f>_xlfn.CONCAT(Sheet1!AE277," ",Sheet1!AF277)</f>
        <v>Aarav Verma</v>
      </c>
    </row>
    <row r="279" spans="40:54">
      <c r="AN279" s="49">
        <f>Sheet1!B278</f>
        <v>45758</v>
      </c>
      <c r="AO279" s="50">
        <f t="shared" si="27"/>
        <v>6</v>
      </c>
      <c r="AP279" s="50">
        <f t="shared" si="28"/>
        <v>4</v>
      </c>
      <c r="AQ279" s="50">
        <f t="shared" si="29"/>
        <v>2025</v>
      </c>
      <c r="AR279" s="50" t="str">
        <f t="shared" si="30"/>
        <v>Apr-2025</v>
      </c>
      <c r="AS279" s="52">
        <f t="shared" si="31"/>
        <v>45753</v>
      </c>
      <c r="AT279" s="44">
        <f t="shared" ca="1" si="32"/>
        <v>525</v>
      </c>
      <c r="AU279" s="40" t="str">
        <f>LEFT(Sheet1!AE278,3)</f>
        <v>Rah</v>
      </c>
      <c r="AV279" s="40" t="str">
        <f>RIGHT(Sheet1!AF278,2)</f>
        <v>ra</v>
      </c>
      <c r="AW279" s="40" t="str">
        <f>MID(Sheet1!AE278,2,3)</f>
        <v>ahu</v>
      </c>
      <c r="AX279" s="42">
        <f>LEN(Sheet1!AE278)</f>
        <v>5</v>
      </c>
      <c r="AY279" s="40" t="str">
        <f>UPPER(Sheet1!AE278)</f>
        <v>RAHUL</v>
      </c>
      <c r="AZ279" s="40" t="str">
        <f>LOWER(Sheet1!AE278)</f>
        <v>rahul</v>
      </c>
      <c r="BA279" s="40" t="str">
        <f>PROPER(Sheet1!AE278)</f>
        <v>Rahul</v>
      </c>
      <c r="BB279" s="40" t="str">
        <f>_xlfn.CONCAT(Sheet1!AE278," ",Sheet1!AF278)</f>
        <v>Rahul Malhotra</v>
      </c>
    </row>
    <row r="280" spans="40:54">
      <c r="AN280" s="49">
        <f>Sheet1!B279</f>
        <v>45759</v>
      </c>
      <c r="AO280" s="50">
        <f t="shared" si="27"/>
        <v>6</v>
      </c>
      <c r="AP280" s="50">
        <f t="shared" si="28"/>
        <v>4</v>
      </c>
      <c r="AQ280" s="50">
        <f t="shared" si="29"/>
        <v>2025</v>
      </c>
      <c r="AR280" s="50" t="str">
        <f t="shared" si="30"/>
        <v>Apr-2025</v>
      </c>
      <c r="AS280" s="52">
        <f t="shared" si="31"/>
        <v>45753</v>
      </c>
      <c r="AT280" s="44">
        <f t="shared" ca="1" si="32"/>
        <v>525</v>
      </c>
      <c r="AU280" s="40" t="str">
        <f>LEFT(Sheet1!AE279,3)</f>
        <v>Nis</v>
      </c>
      <c r="AV280" s="40" t="str">
        <f>RIGHT(Sheet1!AF279,2)</f>
        <v>ma</v>
      </c>
      <c r="AW280" s="40" t="str">
        <f>MID(Sheet1!AE279,2,3)</f>
        <v>ish</v>
      </c>
      <c r="AX280" s="42">
        <f>LEN(Sheet1!AE279)</f>
        <v>5</v>
      </c>
      <c r="AY280" s="40" t="str">
        <f>UPPER(Sheet1!AE279)</f>
        <v>NISHA</v>
      </c>
      <c r="AZ280" s="40" t="str">
        <f>LOWER(Sheet1!AE279)</f>
        <v>nisha</v>
      </c>
      <c r="BA280" s="40" t="str">
        <f>PROPER(Sheet1!AE279)</f>
        <v>Nisha</v>
      </c>
      <c r="BB280" s="40" t="str">
        <f>_xlfn.CONCAT(Sheet1!AE279," ",Sheet1!AF279)</f>
        <v>Nisha Sharma</v>
      </c>
    </row>
    <row r="281" spans="40:54">
      <c r="AN281" s="49">
        <f>Sheet1!B280</f>
        <v>45778</v>
      </c>
      <c r="AO281" s="50">
        <f t="shared" si="27"/>
        <v>6</v>
      </c>
      <c r="AP281" s="50">
        <f t="shared" si="28"/>
        <v>5</v>
      </c>
      <c r="AQ281" s="50">
        <f t="shared" si="29"/>
        <v>2025</v>
      </c>
      <c r="AR281" s="50" t="str">
        <f t="shared" si="30"/>
        <v>May-2025</v>
      </c>
      <c r="AS281" s="52">
        <f t="shared" si="31"/>
        <v>45783</v>
      </c>
      <c r="AT281" s="44">
        <f t="shared" ca="1" si="32"/>
        <v>495</v>
      </c>
      <c r="AU281" s="40" t="str">
        <f>LEFT(Sheet1!AE280,3)</f>
        <v>Vik</v>
      </c>
      <c r="AV281" s="40" t="str">
        <f>RIGHT(Sheet1!AF280,2)</f>
        <v>al</v>
      </c>
      <c r="AW281" s="40" t="str">
        <f>MID(Sheet1!AE280,2,3)</f>
        <v>ikr</v>
      </c>
      <c r="AX281" s="42">
        <f>LEN(Sheet1!AE280)</f>
        <v>6</v>
      </c>
      <c r="AY281" s="40" t="str">
        <f>UPPER(Sheet1!AE280)</f>
        <v>VIKRAM</v>
      </c>
      <c r="AZ281" s="40" t="str">
        <f>LOWER(Sheet1!AE280)</f>
        <v>vikram</v>
      </c>
      <c r="BA281" s="40" t="str">
        <f>PROPER(Sheet1!AE280)</f>
        <v>Vikram</v>
      </c>
      <c r="BB281" s="40" t="str">
        <f>_xlfn.CONCAT(Sheet1!AE280," ",Sheet1!AF280)</f>
        <v>Vikram Agarwal</v>
      </c>
    </row>
    <row r="282" spans="40:54">
      <c r="AN282" s="49">
        <f>Sheet1!B281</f>
        <v>45779</v>
      </c>
      <c r="AO282" s="50">
        <f t="shared" si="27"/>
        <v>6</v>
      </c>
      <c r="AP282" s="50">
        <f t="shared" si="28"/>
        <v>5</v>
      </c>
      <c r="AQ282" s="50">
        <f t="shared" si="29"/>
        <v>2025</v>
      </c>
      <c r="AR282" s="50" t="str">
        <f t="shared" si="30"/>
        <v>May-2025</v>
      </c>
      <c r="AS282" s="52">
        <f t="shared" si="31"/>
        <v>45783</v>
      </c>
      <c r="AT282" s="44">
        <f t="shared" ca="1" si="32"/>
        <v>495</v>
      </c>
      <c r="AU282" s="40" t="str">
        <f>LEFT(Sheet1!AE281,3)</f>
        <v>Mee</v>
      </c>
      <c r="AV282" s="40" t="str">
        <f>RIGHT(Sheet1!AF281,2)</f>
        <v>ra</v>
      </c>
      <c r="AW282" s="40" t="str">
        <f>MID(Sheet1!AE281,2,3)</f>
        <v>eer</v>
      </c>
      <c r="AX282" s="42">
        <f>LEN(Sheet1!AE281)</f>
        <v>5</v>
      </c>
      <c r="AY282" s="40" t="str">
        <f>UPPER(Sheet1!AE281)</f>
        <v>MEERA</v>
      </c>
      <c r="AZ282" s="40" t="str">
        <f>LOWER(Sheet1!AE281)</f>
        <v>meera</v>
      </c>
      <c r="BA282" s="40" t="str">
        <f>PROPER(Sheet1!AE281)</f>
        <v>Meera</v>
      </c>
      <c r="BB282" s="40" t="str">
        <f>_xlfn.CONCAT(Sheet1!AE281," ",Sheet1!AF281)</f>
        <v>Meera Chopra</v>
      </c>
    </row>
    <row r="283" spans="40:54">
      <c r="AN283" s="49">
        <f>Sheet1!B282</f>
        <v>45780</v>
      </c>
      <c r="AO283" s="50">
        <f t="shared" si="27"/>
        <v>7</v>
      </c>
      <c r="AP283" s="50">
        <f t="shared" si="28"/>
        <v>5</v>
      </c>
      <c r="AQ283" s="50">
        <f t="shared" si="29"/>
        <v>2025</v>
      </c>
      <c r="AR283" s="50" t="str">
        <f t="shared" si="30"/>
        <v>May-2025</v>
      </c>
      <c r="AS283" s="52">
        <f t="shared" si="31"/>
        <v>45784</v>
      </c>
      <c r="AT283" s="44">
        <f t="shared" ca="1" si="32"/>
        <v>494</v>
      </c>
      <c r="AU283" s="40" t="str">
        <f>LEFT(Sheet1!AE282,3)</f>
        <v>Arj</v>
      </c>
      <c r="AV283" s="40" t="str">
        <f>RIGHT(Sheet1!AF282,2)</f>
        <v>al</v>
      </c>
      <c r="AW283" s="40" t="str">
        <f>MID(Sheet1!AE282,2,3)</f>
        <v>rju</v>
      </c>
      <c r="AX283" s="42">
        <f>LEN(Sheet1!AE282)</f>
        <v>5</v>
      </c>
      <c r="AY283" s="40" t="str">
        <f>UPPER(Sheet1!AE282)</f>
        <v>ARJUN</v>
      </c>
      <c r="AZ283" s="40" t="str">
        <f>LOWER(Sheet1!AE282)</f>
        <v>arjun</v>
      </c>
      <c r="BA283" s="40" t="str">
        <f>PROPER(Sheet1!AE282)</f>
        <v>Arjun</v>
      </c>
      <c r="BB283" s="40" t="str">
        <f>_xlfn.CONCAT(Sheet1!AE282," ",Sheet1!AF282)</f>
        <v>Arjun Bansal</v>
      </c>
    </row>
    <row r="284" spans="40:54">
      <c r="AN284" s="49">
        <f>Sheet1!B283</f>
        <v>45780</v>
      </c>
      <c r="AO284" s="50">
        <f t="shared" si="27"/>
        <v>7</v>
      </c>
      <c r="AP284" s="50">
        <f t="shared" si="28"/>
        <v>5</v>
      </c>
      <c r="AQ284" s="50">
        <f t="shared" si="29"/>
        <v>2025</v>
      </c>
      <c r="AR284" s="50" t="str">
        <f t="shared" si="30"/>
        <v>May-2025</v>
      </c>
      <c r="AS284" s="52">
        <f t="shared" si="31"/>
        <v>45784</v>
      </c>
      <c r="AT284" s="44">
        <f t="shared" ca="1" si="32"/>
        <v>494</v>
      </c>
      <c r="AU284" s="40" t="str">
        <f>LEFT(Sheet1!AE283,3)</f>
        <v>Kar</v>
      </c>
      <c r="AV284" s="40" t="str">
        <f>RIGHT(Sheet1!AF283,2)</f>
        <v>ma</v>
      </c>
      <c r="AW284" s="40" t="str">
        <f>MID(Sheet1!AE283,2,3)</f>
        <v>ara</v>
      </c>
      <c r="AX284" s="42">
        <f>LEN(Sheet1!AE283)</f>
        <v>5</v>
      </c>
      <c r="AY284" s="40" t="str">
        <f>UPPER(Sheet1!AE283)</f>
        <v>KARAN</v>
      </c>
      <c r="AZ284" s="40" t="str">
        <f>LOWER(Sheet1!AE283)</f>
        <v>karan</v>
      </c>
      <c r="BA284" s="40" t="str">
        <f>PROPER(Sheet1!AE283)</f>
        <v>Karan</v>
      </c>
      <c r="BB284" s="40" t="str">
        <f>_xlfn.CONCAT(Sheet1!AE283," ",Sheet1!AF283)</f>
        <v>Karan Verma</v>
      </c>
    </row>
    <row r="285" spans="40:54">
      <c r="AN285" s="49">
        <f>Sheet1!B284</f>
        <v>45781</v>
      </c>
      <c r="AO285" s="50">
        <f t="shared" si="27"/>
        <v>8</v>
      </c>
      <c r="AP285" s="50">
        <f t="shared" si="28"/>
        <v>5</v>
      </c>
      <c r="AQ285" s="50">
        <f t="shared" si="29"/>
        <v>2025</v>
      </c>
      <c r="AR285" s="50" t="str">
        <f t="shared" si="30"/>
        <v>May-2025</v>
      </c>
      <c r="AS285" s="52">
        <f t="shared" si="31"/>
        <v>45785</v>
      </c>
      <c r="AT285" s="44">
        <f t="shared" ca="1" si="32"/>
        <v>493</v>
      </c>
      <c r="AU285" s="40" t="str">
        <f>LEFT(Sheet1!AE284,3)</f>
        <v>Kav</v>
      </c>
      <c r="AV285" s="40" t="str">
        <f>RIGHT(Sheet1!AF284,2)</f>
        <v>al</v>
      </c>
      <c r="AW285" s="40" t="str">
        <f>MID(Sheet1!AE284,2,3)</f>
        <v>avy</v>
      </c>
      <c r="AX285" s="42">
        <f>LEN(Sheet1!AE284)</f>
        <v>5</v>
      </c>
      <c r="AY285" s="40" t="str">
        <f>UPPER(Sheet1!AE284)</f>
        <v>KAVYA</v>
      </c>
      <c r="AZ285" s="40" t="str">
        <f>LOWER(Sheet1!AE284)</f>
        <v>kavya</v>
      </c>
      <c r="BA285" s="40" t="str">
        <f>PROPER(Sheet1!AE284)</f>
        <v>Kavya</v>
      </c>
      <c r="BB285" s="40" t="str">
        <f>_xlfn.CONCAT(Sheet1!AE284," ",Sheet1!AF284)</f>
        <v>Kavya Bansal</v>
      </c>
    </row>
    <row r="286" spans="40:54">
      <c r="AN286" s="49">
        <f>Sheet1!B285</f>
        <v>45783</v>
      </c>
      <c r="AO286" s="50">
        <f t="shared" si="27"/>
        <v>8</v>
      </c>
      <c r="AP286" s="50">
        <f t="shared" si="28"/>
        <v>5</v>
      </c>
      <c r="AQ286" s="50">
        <f t="shared" si="29"/>
        <v>2025</v>
      </c>
      <c r="AR286" s="50" t="str">
        <f t="shared" si="30"/>
        <v>May-2025</v>
      </c>
      <c r="AS286" s="52">
        <f t="shared" si="31"/>
        <v>45785</v>
      </c>
      <c r="AT286" s="44">
        <f t="shared" ca="1" si="32"/>
        <v>493</v>
      </c>
      <c r="AU286" s="40" t="str">
        <f>LEFT(Sheet1!AE285,3)</f>
        <v>Vik</v>
      </c>
      <c r="AV286" s="40" t="str">
        <f>RIGHT(Sheet1!AF285,2)</f>
        <v>ra</v>
      </c>
      <c r="AW286" s="40" t="str">
        <f>MID(Sheet1!AE285,2,3)</f>
        <v>ikr</v>
      </c>
      <c r="AX286" s="42">
        <f>LEN(Sheet1!AE285)</f>
        <v>6</v>
      </c>
      <c r="AY286" s="40" t="str">
        <f>UPPER(Sheet1!AE285)</f>
        <v>VIKRAM</v>
      </c>
      <c r="AZ286" s="40" t="str">
        <f>LOWER(Sheet1!AE285)</f>
        <v>vikram</v>
      </c>
      <c r="BA286" s="40" t="str">
        <f>PROPER(Sheet1!AE285)</f>
        <v>Vikram</v>
      </c>
      <c r="BB286" s="40" t="str">
        <f>_xlfn.CONCAT(Sheet1!AE285," ",Sheet1!AF285)</f>
        <v>Vikram Malhotra</v>
      </c>
    </row>
    <row r="287" spans="40:54">
      <c r="AN287" s="49">
        <f>Sheet1!B286</f>
        <v>45784</v>
      </c>
      <c r="AO287" s="50">
        <f t="shared" si="27"/>
        <v>9</v>
      </c>
      <c r="AP287" s="50">
        <f t="shared" si="28"/>
        <v>5</v>
      </c>
      <c r="AQ287" s="50">
        <f t="shared" si="29"/>
        <v>2025</v>
      </c>
      <c r="AR287" s="50" t="str">
        <f t="shared" si="30"/>
        <v>May-2025</v>
      </c>
      <c r="AS287" s="52">
        <f t="shared" si="31"/>
        <v>45786</v>
      </c>
      <c r="AT287" s="44">
        <f t="shared" ca="1" si="32"/>
        <v>492</v>
      </c>
      <c r="AU287" s="40" t="str">
        <f>LEFT(Sheet1!AE286,3)</f>
        <v>Sne</v>
      </c>
      <c r="AV287" s="40" t="str">
        <f>RIGHT(Sheet1!AF286,2)</f>
        <v>ra</v>
      </c>
      <c r="AW287" s="40" t="str">
        <f>MID(Sheet1!AE286,2,3)</f>
        <v>neh</v>
      </c>
      <c r="AX287" s="42">
        <f>LEN(Sheet1!AE286)</f>
        <v>5</v>
      </c>
      <c r="AY287" s="40" t="str">
        <f>UPPER(Sheet1!AE286)</f>
        <v>SNEHA</v>
      </c>
      <c r="AZ287" s="40" t="str">
        <f>LOWER(Sheet1!AE286)</f>
        <v>sneha</v>
      </c>
      <c r="BA287" s="40" t="str">
        <f>PROPER(Sheet1!AE286)</f>
        <v>Sneha</v>
      </c>
      <c r="BB287" s="40" t="str">
        <f>_xlfn.CONCAT(Sheet1!AE286," ",Sheet1!AF286)</f>
        <v>Sneha Mishra</v>
      </c>
    </row>
    <row r="288" spans="40:54">
      <c r="AN288" s="49">
        <f>Sheet1!B287</f>
        <v>45784</v>
      </c>
      <c r="AO288" s="50">
        <f t="shared" si="27"/>
        <v>10</v>
      </c>
      <c r="AP288" s="50">
        <f t="shared" si="28"/>
        <v>5</v>
      </c>
      <c r="AQ288" s="50">
        <f t="shared" si="29"/>
        <v>2025</v>
      </c>
      <c r="AR288" s="50" t="str">
        <f t="shared" si="30"/>
        <v>May-2025</v>
      </c>
      <c r="AS288" s="52">
        <f t="shared" si="31"/>
        <v>45787</v>
      </c>
      <c r="AT288" s="44">
        <f t="shared" ca="1" si="32"/>
        <v>491</v>
      </c>
      <c r="AU288" s="40" t="str">
        <f>LEFT(Sheet1!AE287,3)</f>
        <v>Roh</v>
      </c>
      <c r="AV288" s="40" t="str">
        <f>RIGHT(Sheet1!AF287,2)</f>
        <v>ra</v>
      </c>
      <c r="AW288" s="40" t="str">
        <f>MID(Sheet1!AE287,2,3)</f>
        <v>oha</v>
      </c>
      <c r="AX288" s="42">
        <f>LEN(Sheet1!AE287)</f>
        <v>5</v>
      </c>
      <c r="AY288" s="40" t="str">
        <f>UPPER(Sheet1!AE287)</f>
        <v>ROHAN</v>
      </c>
      <c r="AZ288" s="40" t="str">
        <f>LOWER(Sheet1!AE287)</f>
        <v>rohan</v>
      </c>
      <c r="BA288" s="40" t="str">
        <f>PROPER(Sheet1!AE287)</f>
        <v>Rohan</v>
      </c>
      <c r="BB288" s="40" t="str">
        <f>_xlfn.CONCAT(Sheet1!AE287," ",Sheet1!AF287)</f>
        <v>Rohan Malhotra</v>
      </c>
    </row>
    <row r="289" spans="40:54">
      <c r="AN289" s="49">
        <f>Sheet1!B288</f>
        <v>45785</v>
      </c>
      <c r="AO289" s="50">
        <f t="shared" si="27"/>
        <v>10</v>
      </c>
      <c r="AP289" s="50">
        <f t="shared" si="28"/>
        <v>5</v>
      </c>
      <c r="AQ289" s="50">
        <f t="shared" si="29"/>
        <v>2025</v>
      </c>
      <c r="AR289" s="50" t="str">
        <f t="shared" si="30"/>
        <v>May-2025</v>
      </c>
      <c r="AS289" s="52">
        <f t="shared" si="31"/>
        <v>45787</v>
      </c>
      <c r="AT289" s="44">
        <f t="shared" ca="1" si="32"/>
        <v>491</v>
      </c>
      <c r="AU289" s="40" t="str">
        <f>LEFT(Sheet1!AE288,3)</f>
        <v>Adi</v>
      </c>
      <c r="AV289" s="40" t="str">
        <f>RIGHT(Sheet1!AF288,2)</f>
        <v>ra</v>
      </c>
      <c r="AW289" s="40" t="str">
        <f>MID(Sheet1!AE288,2,3)</f>
        <v>dit</v>
      </c>
      <c r="AX289" s="42">
        <f>LEN(Sheet1!AE288)</f>
        <v>5</v>
      </c>
      <c r="AY289" s="40" t="str">
        <f>UPPER(Sheet1!AE288)</f>
        <v>ADITI</v>
      </c>
      <c r="AZ289" s="40" t="str">
        <f>LOWER(Sheet1!AE288)</f>
        <v>aditi</v>
      </c>
      <c r="BA289" s="40" t="str">
        <f>PROPER(Sheet1!AE288)</f>
        <v>Aditi</v>
      </c>
      <c r="BB289" s="40" t="str">
        <f>_xlfn.CONCAT(Sheet1!AE288," ",Sheet1!AF288)</f>
        <v>Aditi Chopra</v>
      </c>
    </row>
    <row r="290" spans="40:54">
      <c r="AN290" s="49">
        <f>Sheet1!B289</f>
        <v>45786</v>
      </c>
      <c r="AO290" s="50">
        <f t="shared" si="27"/>
        <v>11</v>
      </c>
      <c r="AP290" s="50">
        <f t="shared" si="28"/>
        <v>5</v>
      </c>
      <c r="AQ290" s="50">
        <f t="shared" si="29"/>
        <v>2025</v>
      </c>
      <c r="AR290" s="50" t="str">
        <f t="shared" si="30"/>
        <v>May-2025</v>
      </c>
      <c r="AS290" s="52">
        <f t="shared" si="31"/>
        <v>45788</v>
      </c>
      <c r="AT290" s="44">
        <f t="shared" ca="1" si="32"/>
        <v>490</v>
      </c>
      <c r="AU290" s="40" t="str">
        <f>LEFT(Sheet1!AE289,3)</f>
        <v>Neh</v>
      </c>
      <c r="AV290" s="40" t="str">
        <f>RIGHT(Sheet1!AF289,2)</f>
        <v>in</v>
      </c>
      <c r="AW290" s="40" t="str">
        <f>MID(Sheet1!AE289,2,3)</f>
        <v>eha</v>
      </c>
      <c r="AX290" s="42">
        <f>LEN(Sheet1!AE289)</f>
        <v>4</v>
      </c>
      <c r="AY290" s="40" t="str">
        <f>UPPER(Sheet1!AE289)</f>
        <v>NEHA</v>
      </c>
      <c r="AZ290" s="40" t="str">
        <f>LOWER(Sheet1!AE289)</f>
        <v>neha</v>
      </c>
      <c r="BA290" s="40" t="str">
        <f>PROPER(Sheet1!AE289)</f>
        <v>Neha</v>
      </c>
      <c r="BB290" s="40" t="str">
        <f>_xlfn.CONCAT(Sheet1!AE289," ",Sheet1!AF289)</f>
        <v>Neha Jain</v>
      </c>
    </row>
    <row r="291" spans="40:54">
      <c r="AN291" s="49">
        <f>Sheet1!B290</f>
        <v>45787</v>
      </c>
      <c r="AO291" s="50">
        <f t="shared" si="27"/>
        <v>1</v>
      </c>
      <c r="AP291" s="50">
        <f t="shared" si="28"/>
        <v>5</v>
      </c>
      <c r="AQ291" s="50">
        <f t="shared" si="29"/>
        <v>2025</v>
      </c>
      <c r="AR291" s="50" t="str">
        <f t="shared" si="30"/>
        <v>May-2025</v>
      </c>
      <c r="AS291" s="52">
        <f t="shared" si="31"/>
        <v>45778</v>
      </c>
      <c r="AT291" s="44">
        <f t="shared" ca="1" si="32"/>
        <v>500</v>
      </c>
      <c r="AU291" s="40" t="str">
        <f>LEFT(Sheet1!AE290,3)</f>
        <v>Poo</v>
      </c>
      <c r="AV291" s="40" t="str">
        <f>RIGHT(Sheet1!AF290,2)</f>
        <v>in</v>
      </c>
      <c r="AW291" s="40" t="str">
        <f>MID(Sheet1!AE290,2,3)</f>
        <v>ooj</v>
      </c>
      <c r="AX291" s="42">
        <f>LEN(Sheet1!AE290)</f>
        <v>5</v>
      </c>
      <c r="AY291" s="40" t="str">
        <f>UPPER(Sheet1!AE290)</f>
        <v>POOJA</v>
      </c>
      <c r="AZ291" s="40" t="str">
        <f>LOWER(Sheet1!AE290)</f>
        <v>pooja</v>
      </c>
      <c r="BA291" s="40" t="str">
        <f>PROPER(Sheet1!AE290)</f>
        <v>Pooja</v>
      </c>
      <c r="BB291" s="40" t="str">
        <f>_xlfn.CONCAT(Sheet1!AE290," ",Sheet1!AF290)</f>
        <v>Pooja Jain</v>
      </c>
    </row>
    <row r="292" spans="40:54">
      <c r="AN292" s="49">
        <f>Sheet1!B291</f>
        <v>45788</v>
      </c>
      <c r="AO292" s="50">
        <f t="shared" si="27"/>
        <v>1</v>
      </c>
      <c r="AP292" s="50">
        <f t="shared" si="28"/>
        <v>5</v>
      </c>
      <c r="AQ292" s="50">
        <f t="shared" si="29"/>
        <v>2025</v>
      </c>
      <c r="AR292" s="50" t="str">
        <f t="shared" si="30"/>
        <v>May-2025</v>
      </c>
      <c r="AS292" s="52">
        <f t="shared" si="31"/>
        <v>45778</v>
      </c>
      <c r="AT292" s="44">
        <f t="shared" ca="1" si="32"/>
        <v>500</v>
      </c>
      <c r="AU292" s="40" t="str">
        <f>LEFT(Sheet1!AE291,3)</f>
        <v>Vik</v>
      </c>
      <c r="AV292" s="40" t="str">
        <f>RIGHT(Sheet1!AF291,2)</f>
        <v>ra</v>
      </c>
      <c r="AW292" s="40" t="str">
        <f>MID(Sheet1!AE291,2,3)</f>
        <v>ikr</v>
      </c>
      <c r="AX292" s="42">
        <f>LEN(Sheet1!AE291)</f>
        <v>6</v>
      </c>
      <c r="AY292" s="40" t="str">
        <f>UPPER(Sheet1!AE291)</f>
        <v>VIKRAM</v>
      </c>
      <c r="AZ292" s="40" t="str">
        <f>LOWER(Sheet1!AE291)</f>
        <v>vikram</v>
      </c>
      <c r="BA292" s="40" t="str">
        <f>PROPER(Sheet1!AE291)</f>
        <v>Vikram</v>
      </c>
      <c r="BB292" s="40" t="str">
        <f>_xlfn.CONCAT(Sheet1!AE291," ",Sheet1!AF291)</f>
        <v>Vikram Malhotra</v>
      </c>
    </row>
    <row r="293" spans="40:54">
      <c r="AN293" s="49">
        <f>Sheet1!B292</f>
        <v>45789</v>
      </c>
      <c r="AO293" s="50">
        <f t="shared" si="27"/>
        <v>1</v>
      </c>
      <c r="AP293" s="50">
        <f t="shared" si="28"/>
        <v>5</v>
      </c>
      <c r="AQ293" s="50">
        <f t="shared" si="29"/>
        <v>2025</v>
      </c>
      <c r="AR293" s="50" t="str">
        <f t="shared" si="30"/>
        <v>May-2025</v>
      </c>
      <c r="AS293" s="52">
        <f t="shared" si="31"/>
        <v>45778</v>
      </c>
      <c r="AT293" s="44">
        <f t="shared" ca="1" si="32"/>
        <v>500</v>
      </c>
      <c r="AU293" s="40" t="str">
        <f>LEFT(Sheet1!AE292,3)</f>
        <v>Ish</v>
      </c>
      <c r="AV293" s="40" t="str">
        <f>RIGHT(Sheet1!AF292,2)</f>
        <v>ra</v>
      </c>
      <c r="AW293" s="40" t="str">
        <f>MID(Sheet1!AE292,2,3)</f>
        <v>shi</v>
      </c>
      <c r="AX293" s="42">
        <f>LEN(Sheet1!AE292)</f>
        <v>6</v>
      </c>
      <c r="AY293" s="40" t="str">
        <f>UPPER(Sheet1!AE292)</f>
        <v>ISHITA</v>
      </c>
      <c r="AZ293" s="40" t="str">
        <f>LOWER(Sheet1!AE292)</f>
        <v>ishita</v>
      </c>
      <c r="BA293" s="40" t="str">
        <f>PROPER(Sheet1!AE292)</f>
        <v>Ishita</v>
      </c>
      <c r="BB293" s="40" t="str">
        <f>_xlfn.CONCAT(Sheet1!AE292," ",Sheet1!AF292)</f>
        <v>Ishita Mishra</v>
      </c>
    </row>
    <row r="294" spans="40:54">
      <c r="AN294" s="49">
        <f>Sheet1!B293</f>
        <v>45789</v>
      </c>
      <c r="AO294" s="50">
        <f t="shared" si="27"/>
        <v>2</v>
      </c>
      <c r="AP294" s="50">
        <f t="shared" si="28"/>
        <v>5</v>
      </c>
      <c r="AQ294" s="50">
        <f t="shared" si="29"/>
        <v>2025</v>
      </c>
      <c r="AR294" s="50" t="str">
        <f t="shared" si="30"/>
        <v>May-2025</v>
      </c>
      <c r="AS294" s="52">
        <f t="shared" si="31"/>
        <v>45779</v>
      </c>
      <c r="AT294" s="44">
        <f t="shared" ca="1" si="32"/>
        <v>499</v>
      </c>
      <c r="AU294" s="40" t="str">
        <f>LEFT(Sheet1!AE293,3)</f>
        <v>Vik</v>
      </c>
      <c r="AV294" s="40" t="str">
        <f>RIGHT(Sheet1!AF293,2)</f>
        <v>ta</v>
      </c>
      <c r="AW294" s="40" t="str">
        <f>MID(Sheet1!AE293,2,3)</f>
        <v>ikr</v>
      </c>
      <c r="AX294" s="42">
        <f>LEN(Sheet1!AE293)</f>
        <v>6</v>
      </c>
      <c r="AY294" s="40" t="str">
        <f>UPPER(Sheet1!AE293)</f>
        <v>VIKRAM</v>
      </c>
      <c r="AZ294" s="40" t="str">
        <f>LOWER(Sheet1!AE293)</f>
        <v>vikram</v>
      </c>
      <c r="BA294" s="40" t="str">
        <f>PROPER(Sheet1!AE293)</f>
        <v>Vikram</v>
      </c>
      <c r="BB294" s="40" t="str">
        <f>_xlfn.CONCAT(Sheet1!AE293," ",Sheet1!AF293)</f>
        <v>Vikram Gupta</v>
      </c>
    </row>
    <row r="295" spans="40:54">
      <c r="AN295" s="49">
        <f>Sheet1!B294</f>
        <v>45789</v>
      </c>
      <c r="AO295" s="50">
        <f t="shared" si="27"/>
        <v>2</v>
      </c>
      <c r="AP295" s="50">
        <f t="shared" si="28"/>
        <v>5</v>
      </c>
      <c r="AQ295" s="50">
        <f t="shared" si="29"/>
        <v>2025</v>
      </c>
      <c r="AR295" s="50" t="str">
        <f t="shared" si="30"/>
        <v>May-2025</v>
      </c>
      <c r="AS295" s="52">
        <f t="shared" si="31"/>
        <v>45779</v>
      </c>
      <c r="AT295" s="44">
        <f t="shared" ca="1" si="32"/>
        <v>499</v>
      </c>
      <c r="AU295" s="40" t="str">
        <f>LEFT(Sheet1!AE294,3)</f>
        <v>Roh</v>
      </c>
      <c r="AV295" s="40" t="str">
        <f>RIGHT(Sheet1!AF294,2)</f>
        <v>al</v>
      </c>
      <c r="AW295" s="40" t="str">
        <f>MID(Sheet1!AE294,2,3)</f>
        <v>oha</v>
      </c>
      <c r="AX295" s="42">
        <f>LEN(Sheet1!AE294)</f>
        <v>5</v>
      </c>
      <c r="AY295" s="40" t="str">
        <f>UPPER(Sheet1!AE294)</f>
        <v>ROHAN</v>
      </c>
      <c r="AZ295" s="40" t="str">
        <f>LOWER(Sheet1!AE294)</f>
        <v>rohan</v>
      </c>
      <c r="BA295" s="40" t="str">
        <f>PROPER(Sheet1!AE294)</f>
        <v>Rohan</v>
      </c>
      <c r="BB295" s="40" t="str">
        <f>_xlfn.CONCAT(Sheet1!AE294," ",Sheet1!AF294)</f>
        <v>Rohan Bansal</v>
      </c>
    </row>
    <row r="296" spans="40:54">
      <c r="AN296" s="49">
        <f>Sheet1!B295</f>
        <v>45789</v>
      </c>
      <c r="AO296" s="50">
        <f t="shared" si="27"/>
        <v>3</v>
      </c>
      <c r="AP296" s="50">
        <f t="shared" si="28"/>
        <v>5</v>
      </c>
      <c r="AQ296" s="50">
        <f t="shared" si="29"/>
        <v>2025</v>
      </c>
      <c r="AR296" s="50" t="str">
        <f t="shared" si="30"/>
        <v>May-2025</v>
      </c>
      <c r="AS296" s="52">
        <f t="shared" si="31"/>
        <v>45780</v>
      </c>
      <c r="AT296" s="44">
        <f t="shared" ca="1" si="32"/>
        <v>498</v>
      </c>
      <c r="AU296" s="40" t="str">
        <f>LEFT(Sheet1!AE295,3)</f>
        <v>Kar</v>
      </c>
      <c r="AV296" s="40" t="str">
        <f>RIGHT(Sheet1!AF295,2)</f>
        <v>in</v>
      </c>
      <c r="AW296" s="40" t="str">
        <f>MID(Sheet1!AE295,2,3)</f>
        <v>ara</v>
      </c>
      <c r="AX296" s="42">
        <f>LEN(Sheet1!AE295)</f>
        <v>5</v>
      </c>
      <c r="AY296" s="40" t="str">
        <f>UPPER(Sheet1!AE295)</f>
        <v>KARAN</v>
      </c>
      <c r="AZ296" s="40" t="str">
        <f>LOWER(Sheet1!AE295)</f>
        <v>karan</v>
      </c>
      <c r="BA296" s="40" t="str">
        <f>PROPER(Sheet1!AE295)</f>
        <v>Karan</v>
      </c>
      <c r="BB296" s="40" t="str">
        <f>_xlfn.CONCAT(Sheet1!AE295," ",Sheet1!AF295)</f>
        <v>Karan Jain</v>
      </c>
    </row>
    <row r="297" spans="40:54">
      <c r="AN297" s="49">
        <f>Sheet1!B296</f>
        <v>45809</v>
      </c>
      <c r="AO297" s="50">
        <f t="shared" si="27"/>
        <v>4</v>
      </c>
      <c r="AP297" s="50">
        <f t="shared" si="28"/>
        <v>6</v>
      </c>
      <c r="AQ297" s="50">
        <f t="shared" si="29"/>
        <v>2025</v>
      </c>
      <c r="AR297" s="50" t="str">
        <f t="shared" si="30"/>
        <v>Jun-2025</v>
      </c>
      <c r="AS297" s="52">
        <f t="shared" si="31"/>
        <v>45812</v>
      </c>
      <c r="AT297" s="44">
        <f t="shared" ca="1" si="32"/>
        <v>466</v>
      </c>
      <c r="AU297" s="40" t="str">
        <f>LEFT(Sheet1!AE296,3)</f>
        <v>Kar</v>
      </c>
      <c r="AV297" s="40" t="str">
        <f>RIGHT(Sheet1!AF296,2)</f>
        <v>ta</v>
      </c>
      <c r="AW297" s="40" t="str">
        <f>MID(Sheet1!AE296,2,3)</f>
        <v>ara</v>
      </c>
      <c r="AX297" s="42">
        <f>LEN(Sheet1!AE296)</f>
        <v>5</v>
      </c>
      <c r="AY297" s="40" t="str">
        <f>UPPER(Sheet1!AE296)</f>
        <v>KARAN</v>
      </c>
      <c r="AZ297" s="40" t="str">
        <f>LOWER(Sheet1!AE296)</f>
        <v>karan</v>
      </c>
      <c r="BA297" s="40" t="str">
        <f>PROPER(Sheet1!AE296)</f>
        <v>Karan</v>
      </c>
      <c r="BB297" s="40" t="str">
        <f>_xlfn.CONCAT(Sheet1!AE296," ",Sheet1!AF296)</f>
        <v>Karan Gupta</v>
      </c>
    </row>
    <row r="298" spans="40:54">
      <c r="AN298" s="49">
        <f>Sheet1!B297</f>
        <v>45812</v>
      </c>
      <c r="AO298" s="50">
        <f t="shared" si="27"/>
        <v>5</v>
      </c>
      <c r="AP298" s="50">
        <f t="shared" si="28"/>
        <v>6</v>
      </c>
      <c r="AQ298" s="50">
        <f t="shared" si="29"/>
        <v>2025</v>
      </c>
      <c r="AR298" s="50" t="str">
        <f t="shared" si="30"/>
        <v>Jun-2025</v>
      </c>
      <c r="AS298" s="52">
        <f t="shared" si="31"/>
        <v>45813</v>
      </c>
      <c r="AT298" s="44">
        <f t="shared" ca="1" si="32"/>
        <v>465</v>
      </c>
      <c r="AU298" s="40" t="str">
        <f>LEFT(Sheet1!AE297,3)</f>
        <v>Ish</v>
      </c>
      <c r="AV298" s="40" t="str">
        <f>RIGHT(Sheet1!AF297,2)</f>
        <v>ta</v>
      </c>
      <c r="AW298" s="40" t="str">
        <f>MID(Sheet1!AE297,2,3)</f>
        <v>shi</v>
      </c>
      <c r="AX298" s="42">
        <f>LEN(Sheet1!AE297)</f>
        <v>6</v>
      </c>
      <c r="AY298" s="40" t="str">
        <f>UPPER(Sheet1!AE297)</f>
        <v>ISHITA</v>
      </c>
      <c r="AZ298" s="40" t="str">
        <f>LOWER(Sheet1!AE297)</f>
        <v>ishita</v>
      </c>
      <c r="BA298" s="40" t="str">
        <f>PROPER(Sheet1!AE297)</f>
        <v>Ishita</v>
      </c>
      <c r="BB298" s="40" t="str">
        <f>_xlfn.CONCAT(Sheet1!AE297," ",Sheet1!AF297)</f>
        <v>Ishita Gupta</v>
      </c>
    </row>
    <row r="299" spans="40:54">
      <c r="AN299" s="49">
        <f>Sheet1!B298</f>
        <v>45812</v>
      </c>
      <c r="AO299" s="50">
        <f t="shared" si="27"/>
        <v>7</v>
      </c>
      <c r="AP299" s="50">
        <f t="shared" si="28"/>
        <v>6</v>
      </c>
      <c r="AQ299" s="50">
        <f t="shared" si="29"/>
        <v>2025</v>
      </c>
      <c r="AR299" s="50" t="str">
        <f t="shared" si="30"/>
        <v>Jun-2025</v>
      </c>
      <c r="AS299" s="52">
        <f t="shared" si="31"/>
        <v>45815</v>
      </c>
      <c r="AT299" s="44">
        <f t="shared" ca="1" si="32"/>
        <v>463</v>
      </c>
      <c r="AU299" s="40" t="str">
        <f>LEFT(Sheet1!AE298,3)</f>
        <v>Kav</v>
      </c>
      <c r="AV299" s="40" t="str">
        <f>RIGHT(Sheet1!AF298,2)</f>
        <v>ta</v>
      </c>
      <c r="AW299" s="40" t="str">
        <f>MID(Sheet1!AE298,2,3)</f>
        <v>avy</v>
      </c>
      <c r="AX299" s="42">
        <f>LEN(Sheet1!AE298)</f>
        <v>5</v>
      </c>
      <c r="AY299" s="40" t="str">
        <f>UPPER(Sheet1!AE298)</f>
        <v>KAVYA</v>
      </c>
      <c r="AZ299" s="40" t="str">
        <f>LOWER(Sheet1!AE298)</f>
        <v>kavya</v>
      </c>
      <c r="BA299" s="40" t="str">
        <f>PROPER(Sheet1!AE298)</f>
        <v>Kavya</v>
      </c>
      <c r="BB299" s="40" t="str">
        <f>_xlfn.CONCAT(Sheet1!AE298," ",Sheet1!AF298)</f>
        <v>Kavya Gupta</v>
      </c>
    </row>
    <row r="300" spans="40:54">
      <c r="AN300" s="49">
        <f>Sheet1!B299</f>
        <v>45812</v>
      </c>
      <c r="AO300" s="50">
        <f t="shared" si="27"/>
        <v>7</v>
      </c>
      <c r="AP300" s="50">
        <f t="shared" si="28"/>
        <v>6</v>
      </c>
      <c r="AQ300" s="50">
        <f t="shared" si="29"/>
        <v>2025</v>
      </c>
      <c r="AR300" s="50" t="str">
        <f t="shared" si="30"/>
        <v>Jun-2025</v>
      </c>
      <c r="AS300" s="52">
        <f t="shared" si="31"/>
        <v>45815</v>
      </c>
      <c r="AT300" s="44">
        <f t="shared" ca="1" si="32"/>
        <v>463</v>
      </c>
      <c r="AU300" s="40" t="str">
        <f>LEFT(Sheet1!AE299,3)</f>
        <v>Vik</v>
      </c>
      <c r="AV300" s="40" t="str">
        <f>RIGHT(Sheet1!AF299,2)</f>
        <v>ra</v>
      </c>
      <c r="AW300" s="40" t="str">
        <f>MID(Sheet1!AE299,2,3)</f>
        <v>ikr</v>
      </c>
      <c r="AX300" s="42">
        <f>LEN(Sheet1!AE299)</f>
        <v>6</v>
      </c>
      <c r="AY300" s="40" t="str">
        <f>UPPER(Sheet1!AE299)</f>
        <v>VIKRAM</v>
      </c>
      <c r="AZ300" s="40" t="str">
        <f>LOWER(Sheet1!AE299)</f>
        <v>vikram</v>
      </c>
      <c r="BA300" s="40" t="str">
        <f>PROPER(Sheet1!AE299)</f>
        <v>Vikram</v>
      </c>
      <c r="BB300" s="40" t="str">
        <f>_xlfn.CONCAT(Sheet1!AE299," ",Sheet1!AF299)</f>
        <v>Vikram Chopra</v>
      </c>
    </row>
    <row r="301" spans="40:54">
      <c r="AN301" s="49">
        <f>Sheet1!B300</f>
        <v>45812</v>
      </c>
      <c r="AO301" s="50">
        <f t="shared" si="27"/>
        <v>7</v>
      </c>
      <c r="AP301" s="50">
        <f t="shared" si="28"/>
        <v>6</v>
      </c>
      <c r="AQ301" s="50">
        <f t="shared" si="29"/>
        <v>2025</v>
      </c>
      <c r="AR301" s="50" t="str">
        <f t="shared" si="30"/>
        <v>Jun-2025</v>
      </c>
      <c r="AS301" s="52">
        <f t="shared" si="31"/>
        <v>45815</v>
      </c>
      <c r="AT301" s="44">
        <f t="shared" ca="1" si="32"/>
        <v>463</v>
      </c>
      <c r="AU301" s="40" t="str">
        <f>LEFT(Sheet1!AE300,3)</f>
        <v>Neh</v>
      </c>
      <c r="AV301" s="40" t="str">
        <f>RIGHT(Sheet1!AF300,2)</f>
        <v>ar</v>
      </c>
      <c r="AW301" s="40" t="str">
        <f>MID(Sheet1!AE300,2,3)</f>
        <v>eha</v>
      </c>
      <c r="AX301" s="42">
        <f>LEN(Sheet1!AE300)</f>
        <v>4</v>
      </c>
      <c r="AY301" s="40" t="str">
        <f>UPPER(Sheet1!AE300)</f>
        <v>NEHA</v>
      </c>
      <c r="AZ301" s="40" t="str">
        <f>LOWER(Sheet1!AE300)</f>
        <v>neha</v>
      </c>
      <c r="BA301" s="40" t="str">
        <f>PROPER(Sheet1!AE300)</f>
        <v>Neha</v>
      </c>
      <c r="BB301" s="40" t="str">
        <f>_xlfn.CONCAT(Sheet1!AE300," ",Sheet1!AF300)</f>
        <v>Neha Kumar</v>
      </c>
    </row>
    <row r="302" spans="40:54">
      <c r="AN302" s="49">
        <f>Sheet1!B301</f>
        <v>45813</v>
      </c>
      <c r="AO302" s="50">
        <f t="shared" si="27"/>
        <v>8</v>
      </c>
      <c r="AP302" s="50">
        <f t="shared" si="28"/>
        <v>6</v>
      </c>
      <c r="AQ302" s="50">
        <f t="shared" si="29"/>
        <v>2025</v>
      </c>
      <c r="AR302" s="50" t="str">
        <f t="shared" si="30"/>
        <v>Jun-2025</v>
      </c>
      <c r="AS302" s="52">
        <f t="shared" si="31"/>
        <v>45816</v>
      </c>
      <c r="AT302" s="44">
        <f t="shared" ca="1" si="32"/>
        <v>462</v>
      </c>
      <c r="AU302" s="40" t="str">
        <f>LEFT(Sheet1!AE301,3)</f>
        <v>Vik</v>
      </c>
      <c r="AV302" s="40" t="str">
        <f>RIGHT(Sheet1!AF301,2)</f>
        <v>ma</v>
      </c>
      <c r="AW302" s="40" t="str">
        <f>MID(Sheet1!AE301,2,3)</f>
        <v>ikr</v>
      </c>
      <c r="AX302" s="42">
        <f>LEN(Sheet1!AE301)</f>
        <v>6</v>
      </c>
      <c r="AY302" s="40" t="str">
        <f>UPPER(Sheet1!AE301)</f>
        <v>VIKRAM</v>
      </c>
      <c r="AZ302" s="40" t="str">
        <f>LOWER(Sheet1!AE301)</f>
        <v>vikram</v>
      </c>
      <c r="BA302" s="40" t="str">
        <f>PROPER(Sheet1!AE301)</f>
        <v>Vikram</v>
      </c>
      <c r="BB302" s="40" t="str">
        <f>_xlfn.CONCAT(Sheet1!AE301," ",Sheet1!AF301)</f>
        <v>Vikram Verma</v>
      </c>
    </row>
    <row r="303" spans="40:54">
      <c r="AN303" s="49">
        <f>Sheet1!B302</f>
        <v>45813</v>
      </c>
      <c r="AO303" s="50">
        <f t="shared" si="27"/>
        <v>9</v>
      </c>
      <c r="AP303" s="50">
        <f t="shared" si="28"/>
        <v>6</v>
      </c>
      <c r="AQ303" s="50">
        <f t="shared" si="29"/>
        <v>2025</v>
      </c>
      <c r="AR303" s="50" t="str">
        <f t="shared" si="30"/>
        <v>Jun-2025</v>
      </c>
      <c r="AS303" s="52">
        <f t="shared" si="31"/>
        <v>45817</v>
      </c>
      <c r="AT303" s="44">
        <f t="shared" ca="1" si="32"/>
        <v>461</v>
      </c>
      <c r="AU303" s="40" t="str">
        <f>LEFT(Sheet1!AE302,3)</f>
        <v>Vik</v>
      </c>
      <c r="AV303" s="40" t="str">
        <f>RIGHT(Sheet1!AF302,2)</f>
        <v>ra</v>
      </c>
      <c r="AW303" s="40" t="str">
        <f>MID(Sheet1!AE302,2,3)</f>
        <v>ikr</v>
      </c>
      <c r="AX303" s="42">
        <f>LEN(Sheet1!AE302)</f>
        <v>6</v>
      </c>
      <c r="AY303" s="40" t="str">
        <f>UPPER(Sheet1!AE302)</f>
        <v>VIKRAM</v>
      </c>
      <c r="AZ303" s="40" t="str">
        <f>LOWER(Sheet1!AE302)</f>
        <v>vikram</v>
      </c>
      <c r="BA303" s="40" t="str">
        <f>PROPER(Sheet1!AE302)</f>
        <v>Vikram</v>
      </c>
      <c r="BB303" s="40" t="str">
        <f>_xlfn.CONCAT(Sheet1!AE302," ",Sheet1!AF302)</f>
        <v>Vikram Mishra</v>
      </c>
    </row>
    <row r="304" spans="40:54">
      <c r="AN304" s="49">
        <f>Sheet1!B303</f>
        <v>45814</v>
      </c>
      <c r="AO304" s="50">
        <f t="shared" si="27"/>
        <v>10</v>
      </c>
      <c r="AP304" s="50">
        <f t="shared" si="28"/>
        <v>6</v>
      </c>
      <c r="AQ304" s="50">
        <f t="shared" si="29"/>
        <v>2025</v>
      </c>
      <c r="AR304" s="50" t="str">
        <f t="shared" si="30"/>
        <v>Jun-2025</v>
      </c>
      <c r="AS304" s="52">
        <f t="shared" si="31"/>
        <v>45818</v>
      </c>
      <c r="AT304" s="44">
        <f t="shared" ca="1" si="32"/>
        <v>460</v>
      </c>
      <c r="AU304" s="40" t="str">
        <f>LEFT(Sheet1!AE303,3)</f>
        <v>Adi</v>
      </c>
      <c r="AV304" s="40" t="str">
        <f>RIGHT(Sheet1!AF303,2)</f>
        <v>ma</v>
      </c>
      <c r="AW304" s="40" t="str">
        <f>MID(Sheet1!AE303,2,3)</f>
        <v>dit</v>
      </c>
      <c r="AX304" s="42">
        <f>LEN(Sheet1!AE303)</f>
        <v>5</v>
      </c>
      <c r="AY304" s="40" t="str">
        <f>UPPER(Sheet1!AE303)</f>
        <v>ADITI</v>
      </c>
      <c r="AZ304" s="40" t="str">
        <f>LOWER(Sheet1!AE303)</f>
        <v>aditi</v>
      </c>
      <c r="BA304" s="40" t="str">
        <f>PROPER(Sheet1!AE303)</f>
        <v>Aditi</v>
      </c>
      <c r="BB304" s="40" t="str">
        <f>_xlfn.CONCAT(Sheet1!AE303," ",Sheet1!AF303)</f>
        <v>Aditi Verma</v>
      </c>
    </row>
    <row r="305" spans="40:54">
      <c r="AN305" s="49">
        <f>Sheet1!B304</f>
        <v>45815</v>
      </c>
      <c r="AO305" s="50">
        <f t="shared" si="27"/>
        <v>10</v>
      </c>
      <c r="AP305" s="50">
        <f t="shared" si="28"/>
        <v>6</v>
      </c>
      <c r="AQ305" s="50">
        <f t="shared" si="29"/>
        <v>2025</v>
      </c>
      <c r="AR305" s="50" t="str">
        <f t="shared" si="30"/>
        <v>Jun-2025</v>
      </c>
      <c r="AS305" s="52">
        <f t="shared" si="31"/>
        <v>45818</v>
      </c>
      <c r="AT305" s="44">
        <f t="shared" ca="1" si="32"/>
        <v>460</v>
      </c>
      <c r="AU305" s="40" t="str">
        <f>LEFT(Sheet1!AE304,3)</f>
        <v>Ish</v>
      </c>
      <c r="AV305" s="40" t="str">
        <f>RIGHT(Sheet1!AF304,2)</f>
        <v>av</v>
      </c>
      <c r="AW305" s="40" t="str">
        <f>MID(Sheet1!AE304,2,3)</f>
        <v>shi</v>
      </c>
      <c r="AX305" s="42">
        <f>LEN(Sheet1!AE304)</f>
        <v>6</v>
      </c>
      <c r="AY305" s="40" t="str">
        <f>UPPER(Sheet1!AE304)</f>
        <v>ISHITA</v>
      </c>
      <c r="AZ305" s="40" t="str">
        <f>LOWER(Sheet1!AE304)</f>
        <v>ishita</v>
      </c>
      <c r="BA305" s="40" t="str">
        <f>PROPER(Sheet1!AE304)</f>
        <v>Ishita</v>
      </c>
      <c r="BB305" s="40" t="str">
        <f>_xlfn.CONCAT(Sheet1!AE304," ",Sheet1!AF304)</f>
        <v>Ishita Yadav</v>
      </c>
    </row>
    <row r="306" spans="40:54">
      <c r="AN306" s="49">
        <f>Sheet1!B305</f>
        <v>45815</v>
      </c>
      <c r="AO306" s="50">
        <f t="shared" si="27"/>
        <v>10</v>
      </c>
      <c r="AP306" s="50">
        <f t="shared" si="28"/>
        <v>6</v>
      </c>
      <c r="AQ306" s="50">
        <f t="shared" si="29"/>
        <v>2025</v>
      </c>
      <c r="AR306" s="50" t="str">
        <f t="shared" si="30"/>
        <v>Jun-2025</v>
      </c>
      <c r="AS306" s="52">
        <f t="shared" si="31"/>
        <v>45818</v>
      </c>
      <c r="AT306" s="44">
        <f t="shared" ca="1" si="32"/>
        <v>460</v>
      </c>
      <c r="AU306" s="40" t="str">
        <f>LEFT(Sheet1!AE305,3)</f>
        <v>Ish</v>
      </c>
      <c r="AV306" s="40" t="str">
        <f>RIGHT(Sheet1!AF305,2)</f>
        <v>ar</v>
      </c>
      <c r="AW306" s="40" t="str">
        <f>MID(Sheet1!AE305,2,3)</f>
        <v>shi</v>
      </c>
      <c r="AX306" s="42">
        <f>LEN(Sheet1!AE305)</f>
        <v>6</v>
      </c>
      <c r="AY306" s="40" t="str">
        <f>UPPER(Sheet1!AE305)</f>
        <v>ISHITA</v>
      </c>
      <c r="AZ306" s="40" t="str">
        <f>LOWER(Sheet1!AE305)</f>
        <v>ishita</v>
      </c>
      <c r="BA306" s="40" t="str">
        <f>PROPER(Sheet1!AE305)</f>
        <v>Ishita</v>
      </c>
      <c r="BB306" s="40" t="str">
        <f>_xlfn.CONCAT(Sheet1!AE305," ",Sheet1!AF305)</f>
        <v>Ishita Kumar</v>
      </c>
    </row>
    <row r="307" spans="40:54">
      <c r="AN307" s="49">
        <f>Sheet1!B306</f>
        <v>45815</v>
      </c>
      <c r="AO307" s="50">
        <f t="shared" si="27"/>
        <v>11</v>
      </c>
      <c r="AP307" s="50">
        <f t="shared" si="28"/>
        <v>6</v>
      </c>
      <c r="AQ307" s="50">
        <f t="shared" si="29"/>
        <v>2025</v>
      </c>
      <c r="AR307" s="50" t="str">
        <f t="shared" si="30"/>
        <v>Jun-2025</v>
      </c>
      <c r="AS307" s="52">
        <f t="shared" si="31"/>
        <v>45819</v>
      </c>
      <c r="AT307" s="44">
        <f t="shared" ca="1" si="32"/>
        <v>459</v>
      </c>
      <c r="AU307" s="40" t="str">
        <f>LEFT(Sheet1!AE306,3)</f>
        <v>Ana</v>
      </c>
      <c r="AV307" s="40" t="str">
        <f>RIGHT(Sheet1!AF306,2)</f>
        <v>ta</v>
      </c>
      <c r="AW307" s="40" t="str">
        <f>MID(Sheet1!AE306,2,3)</f>
        <v>nan</v>
      </c>
      <c r="AX307" s="42">
        <f>LEN(Sheet1!AE306)</f>
        <v>6</v>
      </c>
      <c r="AY307" s="40" t="str">
        <f>UPPER(Sheet1!AE306)</f>
        <v>ANANYA</v>
      </c>
      <c r="AZ307" s="40" t="str">
        <f>LOWER(Sheet1!AE306)</f>
        <v>ananya</v>
      </c>
      <c r="BA307" s="40" t="str">
        <f>PROPER(Sheet1!AE306)</f>
        <v>Ananya</v>
      </c>
      <c r="BB307" s="40" t="str">
        <f>_xlfn.CONCAT(Sheet1!AE306," ",Sheet1!AF306)</f>
        <v>Ananya Mehta</v>
      </c>
    </row>
    <row r="308" spans="40:54">
      <c r="AN308" s="49">
        <f>Sheet1!B307</f>
        <v>45816</v>
      </c>
      <c r="AO308" s="50">
        <f t="shared" si="27"/>
        <v>11</v>
      </c>
      <c r="AP308" s="50">
        <f t="shared" si="28"/>
        <v>6</v>
      </c>
      <c r="AQ308" s="50">
        <f t="shared" si="29"/>
        <v>2025</v>
      </c>
      <c r="AR308" s="50" t="str">
        <f t="shared" si="30"/>
        <v>Jun-2025</v>
      </c>
      <c r="AS308" s="52">
        <f t="shared" si="31"/>
        <v>45819</v>
      </c>
      <c r="AT308" s="44">
        <f t="shared" ca="1" si="32"/>
        <v>459</v>
      </c>
      <c r="AU308" s="40" t="str">
        <f>LEFT(Sheet1!AE307,3)</f>
        <v>Ish</v>
      </c>
      <c r="AV308" s="40" t="str">
        <f>RIGHT(Sheet1!AF307,2)</f>
        <v>av</v>
      </c>
      <c r="AW308" s="40" t="str">
        <f>MID(Sheet1!AE307,2,3)</f>
        <v>shi</v>
      </c>
      <c r="AX308" s="42">
        <f>LEN(Sheet1!AE307)</f>
        <v>6</v>
      </c>
      <c r="AY308" s="40" t="str">
        <f>UPPER(Sheet1!AE307)</f>
        <v>ISHITA</v>
      </c>
      <c r="AZ308" s="40" t="str">
        <f>LOWER(Sheet1!AE307)</f>
        <v>ishita</v>
      </c>
      <c r="BA308" s="40" t="str">
        <f>PROPER(Sheet1!AE307)</f>
        <v>Ishita</v>
      </c>
      <c r="BB308" s="40" t="str">
        <f>_xlfn.CONCAT(Sheet1!AE307," ",Sheet1!AF307)</f>
        <v>Ishita Yadav</v>
      </c>
    </row>
    <row r="309" spans="40:54">
      <c r="AN309" s="49">
        <f>Sheet1!B308</f>
        <v>45816</v>
      </c>
      <c r="AO309" s="50">
        <f t="shared" si="27"/>
        <v>12</v>
      </c>
      <c r="AP309" s="50">
        <f t="shared" si="28"/>
        <v>6</v>
      </c>
      <c r="AQ309" s="50">
        <f t="shared" si="29"/>
        <v>2025</v>
      </c>
      <c r="AR309" s="50" t="str">
        <f t="shared" si="30"/>
        <v>Jun-2025</v>
      </c>
      <c r="AS309" s="52">
        <f t="shared" si="31"/>
        <v>45820</v>
      </c>
      <c r="AT309" s="44">
        <f t="shared" ca="1" si="32"/>
        <v>458</v>
      </c>
      <c r="AU309" s="40" t="str">
        <f>LEFT(Sheet1!AE308,3)</f>
        <v>Adi</v>
      </c>
      <c r="AV309" s="40" t="str">
        <f>RIGHT(Sheet1!AF308,2)</f>
        <v>al</v>
      </c>
      <c r="AW309" s="40" t="str">
        <f>MID(Sheet1!AE308,2,3)</f>
        <v>dit</v>
      </c>
      <c r="AX309" s="42">
        <f>LEN(Sheet1!AE308)</f>
        <v>6</v>
      </c>
      <c r="AY309" s="40" t="str">
        <f>UPPER(Sheet1!AE308)</f>
        <v>ADITYA</v>
      </c>
      <c r="AZ309" s="40" t="str">
        <f>LOWER(Sheet1!AE308)</f>
        <v>aditya</v>
      </c>
      <c r="BA309" s="40" t="str">
        <f>PROPER(Sheet1!AE308)</f>
        <v>Aditya</v>
      </c>
      <c r="BB309" s="40" t="str">
        <f>_xlfn.CONCAT(Sheet1!AE308," ",Sheet1!AF308)</f>
        <v>Aditya Bansal</v>
      </c>
    </row>
    <row r="310" spans="40:54">
      <c r="AN310" s="49">
        <f>Sheet1!B309</f>
        <v>45817</v>
      </c>
      <c r="AO310" s="50">
        <f t="shared" si="27"/>
        <v>12</v>
      </c>
      <c r="AP310" s="50">
        <f t="shared" si="28"/>
        <v>6</v>
      </c>
      <c r="AQ310" s="50">
        <f t="shared" si="29"/>
        <v>2025</v>
      </c>
      <c r="AR310" s="50" t="str">
        <f t="shared" si="30"/>
        <v>Jun-2025</v>
      </c>
      <c r="AS310" s="52">
        <f t="shared" si="31"/>
        <v>45820</v>
      </c>
      <c r="AT310" s="44">
        <f t="shared" ca="1" si="32"/>
        <v>458</v>
      </c>
      <c r="AU310" s="40" t="str">
        <f>LEFT(Sheet1!AE309,3)</f>
        <v>Poo</v>
      </c>
      <c r="AV310" s="40" t="str">
        <f>RIGHT(Sheet1!AF309,2)</f>
        <v>ta</v>
      </c>
      <c r="AW310" s="40" t="str">
        <f>MID(Sheet1!AE309,2,3)</f>
        <v>ooj</v>
      </c>
      <c r="AX310" s="42">
        <f>LEN(Sheet1!AE309)</f>
        <v>5</v>
      </c>
      <c r="AY310" s="40" t="str">
        <f>UPPER(Sheet1!AE309)</f>
        <v>POOJA</v>
      </c>
      <c r="AZ310" s="40" t="str">
        <f>LOWER(Sheet1!AE309)</f>
        <v>pooja</v>
      </c>
      <c r="BA310" s="40" t="str">
        <f>PROPER(Sheet1!AE309)</f>
        <v>Pooja</v>
      </c>
      <c r="BB310" s="40" t="str">
        <f>_xlfn.CONCAT(Sheet1!AE309," ",Sheet1!AF309)</f>
        <v>Pooja Mehta</v>
      </c>
    </row>
    <row r="311" spans="40:54">
      <c r="AN311" s="49">
        <f>Sheet1!B310</f>
        <v>45817</v>
      </c>
      <c r="AO311" s="50">
        <f t="shared" si="27"/>
        <v>12</v>
      </c>
      <c r="AP311" s="50">
        <f t="shared" si="28"/>
        <v>6</v>
      </c>
      <c r="AQ311" s="50">
        <f t="shared" si="29"/>
        <v>2025</v>
      </c>
      <c r="AR311" s="50" t="str">
        <f t="shared" si="30"/>
        <v>Jun-2025</v>
      </c>
      <c r="AS311" s="52">
        <f t="shared" si="31"/>
        <v>45820</v>
      </c>
      <c r="AT311" s="44">
        <f t="shared" ca="1" si="32"/>
        <v>458</v>
      </c>
      <c r="AU311" s="40" t="str">
        <f>LEFT(Sheet1!AE310,3)</f>
        <v>Riy</v>
      </c>
      <c r="AV311" s="40" t="str">
        <f>RIGHT(Sheet1!AF310,2)</f>
        <v>av</v>
      </c>
      <c r="AW311" s="40" t="str">
        <f>MID(Sheet1!AE310,2,3)</f>
        <v>iya</v>
      </c>
      <c r="AX311" s="42">
        <f>LEN(Sheet1!AE310)</f>
        <v>4</v>
      </c>
      <c r="AY311" s="40" t="str">
        <f>UPPER(Sheet1!AE310)</f>
        <v>RIYA</v>
      </c>
      <c r="AZ311" s="40" t="str">
        <f>LOWER(Sheet1!AE310)</f>
        <v>riya</v>
      </c>
      <c r="BA311" s="40" t="str">
        <f>PROPER(Sheet1!AE310)</f>
        <v>Riya</v>
      </c>
      <c r="BB311" s="40" t="str">
        <f>_xlfn.CONCAT(Sheet1!AE310," ",Sheet1!AF310)</f>
        <v>Riya Yadav</v>
      </c>
    </row>
    <row r="312" spans="40:54">
      <c r="AN312" s="49">
        <f>Sheet1!B311</f>
        <v>45818</v>
      </c>
      <c r="AO312" s="50">
        <f t="shared" si="27"/>
        <v>1</v>
      </c>
      <c r="AP312" s="50">
        <f t="shared" si="28"/>
        <v>6</v>
      </c>
      <c r="AQ312" s="50">
        <f t="shared" si="29"/>
        <v>2025</v>
      </c>
      <c r="AR312" s="50" t="str">
        <f t="shared" si="30"/>
        <v>Jun-2025</v>
      </c>
      <c r="AS312" s="52">
        <f t="shared" si="31"/>
        <v>45809</v>
      </c>
      <c r="AT312" s="44">
        <f t="shared" ca="1" si="32"/>
        <v>469</v>
      </c>
      <c r="AU312" s="40" t="str">
        <f>LEFT(Sheet1!AE311,3)</f>
        <v>Pri</v>
      </c>
      <c r="AV312" s="40" t="str">
        <f>RIGHT(Sheet1!AF311,2)</f>
        <v>ta</v>
      </c>
      <c r="AW312" s="40" t="str">
        <f>MID(Sheet1!AE311,2,3)</f>
        <v>riy</v>
      </c>
      <c r="AX312" s="42">
        <f>LEN(Sheet1!AE311)</f>
        <v>5</v>
      </c>
      <c r="AY312" s="40" t="str">
        <f>UPPER(Sheet1!AE311)</f>
        <v>PRIYA</v>
      </c>
      <c r="AZ312" s="40" t="str">
        <f>LOWER(Sheet1!AE311)</f>
        <v>priya</v>
      </c>
      <c r="BA312" s="40" t="str">
        <f>PROPER(Sheet1!AE311)</f>
        <v>Priya</v>
      </c>
      <c r="BB312" s="40" t="str">
        <f>_xlfn.CONCAT(Sheet1!AE311," ",Sheet1!AF311)</f>
        <v>Priya Mehta</v>
      </c>
    </row>
    <row r="313" spans="40:54">
      <c r="AN313" s="49">
        <f>Sheet1!B312</f>
        <v>45819</v>
      </c>
      <c r="AO313" s="50">
        <f t="shared" si="27"/>
        <v>1</v>
      </c>
      <c r="AP313" s="50">
        <f t="shared" si="28"/>
        <v>6</v>
      </c>
      <c r="AQ313" s="50">
        <f t="shared" si="29"/>
        <v>2025</v>
      </c>
      <c r="AR313" s="50" t="str">
        <f t="shared" si="30"/>
        <v>Jun-2025</v>
      </c>
      <c r="AS313" s="52">
        <f t="shared" si="31"/>
        <v>45809</v>
      </c>
      <c r="AT313" s="44">
        <f t="shared" ca="1" si="32"/>
        <v>469</v>
      </c>
      <c r="AU313" s="40" t="str">
        <f>LEFT(Sheet1!AE312,3)</f>
        <v>Sne</v>
      </c>
      <c r="AV313" s="40" t="str">
        <f>RIGHT(Sheet1!AF312,2)</f>
        <v>na</v>
      </c>
      <c r="AW313" s="40" t="str">
        <f>MID(Sheet1!AE312,2,3)</f>
        <v>neh</v>
      </c>
      <c r="AX313" s="42">
        <f>LEN(Sheet1!AE312)</f>
        <v>5</v>
      </c>
      <c r="AY313" s="40" t="str">
        <f>UPPER(Sheet1!AE312)</f>
        <v>SNEHA</v>
      </c>
      <c r="AZ313" s="40" t="str">
        <f>LOWER(Sheet1!AE312)</f>
        <v>sneha</v>
      </c>
      <c r="BA313" s="40" t="str">
        <f>PROPER(Sheet1!AE312)</f>
        <v>Sneha</v>
      </c>
      <c r="BB313" s="40" t="str">
        <f>_xlfn.CONCAT(Sheet1!AE312," ",Sheet1!AF312)</f>
        <v>Sneha Saxena</v>
      </c>
    </row>
    <row r="314" spans="40:54">
      <c r="AN314" s="49">
        <f>Sheet1!B313</f>
        <v>45840</v>
      </c>
      <c r="AO314" s="50">
        <f t="shared" si="27"/>
        <v>2</v>
      </c>
      <c r="AP314" s="50">
        <f t="shared" si="28"/>
        <v>7</v>
      </c>
      <c r="AQ314" s="50">
        <f t="shared" si="29"/>
        <v>2025</v>
      </c>
      <c r="AR314" s="50" t="str">
        <f t="shared" si="30"/>
        <v>Jul-2025</v>
      </c>
      <c r="AS314" s="52">
        <f t="shared" si="31"/>
        <v>45840</v>
      </c>
      <c r="AT314" s="44">
        <f t="shared" ca="1" si="32"/>
        <v>438</v>
      </c>
      <c r="AU314" s="40" t="str">
        <f>LEFT(Sheet1!AE313,3)</f>
        <v>Adi</v>
      </c>
      <c r="AV314" s="40" t="str">
        <f>RIGHT(Sheet1!AF313,2)</f>
        <v>gh</v>
      </c>
      <c r="AW314" s="40" t="str">
        <f>MID(Sheet1!AE313,2,3)</f>
        <v>dit</v>
      </c>
      <c r="AX314" s="42">
        <f>LEN(Sheet1!AE313)</f>
        <v>5</v>
      </c>
      <c r="AY314" s="40" t="str">
        <f>UPPER(Sheet1!AE313)</f>
        <v>ADITI</v>
      </c>
      <c r="AZ314" s="40" t="str">
        <f>LOWER(Sheet1!AE313)</f>
        <v>aditi</v>
      </c>
      <c r="BA314" s="40" t="str">
        <f>PROPER(Sheet1!AE313)</f>
        <v>Aditi</v>
      </c>
      <c r="BB314" s="40" t="str">
        <f>_xlfn.CONCAT(Sheet1!AE313," ",Sheet1!AF313)</f>
        <v>Aditi Singh</v>
      </c>
    </row>
    <row r="315" spans="40:54">
      <c r="AN315" s="49">
        <f>Sheet1!B314</f>
        <v>45841</v>
      </c>
      <c r="AO315" s="50">
        <f t="shared" si="27"/>
        <v>2</v>
      </c>
      <c r="AP315" s="50">
        <f t="shared" si="28"/>
        <v>7</v>
      </c>
      <c r="AQ315" s="50">
        <f t="shared" si="29"/>
        <v>2025</v>
      </c>
      <c r="AR315" s="50" t="str">
        <f t="shared" si="30"/>
        <v>Jul-2025</v>
      </c>
      <c r="AS315" s="52">
        <f t="shared" si="31"/>
        <v>45840</v>
      </c>
      <c r="AT315" s="44">
        <f t="shared" ca="1" si="32"/>
        <v>438</v>
      </c>
      <c r="AU315" s="40" t="str">
        <f>LEFT(Sheet1!AE314,3)</f>
        <v>Viv</v>
      </c>
      <c r="AV315" s="40" t="str">
        <f>RIGHT(Sheet1!AF314,2)</f>
        <v>in</v>
      </c>
      <c r="AW315" s="40" t="str">
        <f>MID(Sheet1!AE314,2,3)</f>
        <v>iva</v>
      </c>
      <c r="AX315" s="42">
        <f>LEN(Sheet1!AE314)</f>
        <v>6</v>
      </c>
      <c r="AY315" s="40" t="str">
        <f>UPPER(Sheet1!AE314)</f>
        <v>VIVAAN</v>
      </c>
      <c r="AZ315" s="40" t="str">
        <f>LOWER(Sheet1!AE314)</f>
        <v>vivaan</v>
      </c>
      <c r="BA315" s="40" t="str">
        <f>PROPER(Sheet1!AE314)</f>
        <v>Vivaan</v>
      </c>
      <c r="BB315" s="40" t="str">
        <f>_xlfn.CONCAT(Sheet1!AE314," ",Sheet1!AF314)</f>
        <v>Vivaan Jain</v>
      </c>
    </row>
    <row r="316" spans="40:54">
      <c r="AN316" s="49">
        <f>Sheet1!B315</f>
        <v>45841</v>
      </c>
      <c r="AO316" s="50">
        <f t="shared" si="27"/>
        <v>3</v>
      </c>
      <c r="AP316" s="50">
        <f t="shared" si="28"/>
        <v>7</v>
      </c>
      <c r="AQ316" s="50">
        <f t="shared" si="29"/>
        <v>2025</v>
      </c>
      <c r="AR316" s="50" t="str">
        <f t="shared" si="30"/>
        <v>Jul-2025</v>
      </c>
      <c r="AS316" s="52">
        <f t="shared" si="31"/>
        <v>45841</v>
      </c>
      <c r="AT316" s="44">
        <f t="shared" ca="1" si="32"/>
        <v>437</v>
      </c>
      <c r="AU316" s="40" t="str">
        <f>LEFT(Sheet1!AE315,3)</f>
        <v>Roh</v>
      </c>
      <c r="AV316" s="40" t="str">
        <f>RIGHT(Sheet1!AF315,2)</f>
        <v>ma</v>
      </c>
      <c r="AW316" s="40" t="str">
        <f>MID(Sheet1!AE315,2,3)</f>
        <v>oha</v>
      </c>
      <c r="AX316" s="42">
        <f>LEN(Sheet1!AE315)</f>
        <v>5</v>
      </c>
      <c r="AY316" s="40" t="str">
        <f>UPPER(Sheet1!AE315)</f>
        <v>ROHAN</v>
      </c>
      <c r="AZ316" s="40" t="str">
        <f>LOWER(Sheet1!AE315)</f>
        <v>rohan</v>
      </c>
      <c r="BA316" s="40" t="str">
        <f>PROPER(Sheet1!AE315)</f>
        <v>Rohan</v>
      </c>
      <c r="BB316" s="40" t="str">
        <f>_xlfn.CONCAT(Sheet1!AE315," ",Sheet1!AF315)</f>
        <v>Rohan Verma</v>
      </c>
    </row>
    <row r="317" spans="40:54">
      <c r="AN317" s="49">
        <f>Sheet1!B316</f>
        <v>45841</v>
      </c>
      <c r="AO317" s="50">
        <f t="shared" si="27"/>
        <v>4</v>
      </c>
      <c r="AP317" s="50">
        <f t="shared" si="28"/>
        <v>7</v>
      </c>
      <c r="AQ317" s="50">
        <f t="shared" si="29"/>
        <v>2025</v>
      </c>
      <c r="AR317" s="50" t="str">
        <f t="shared" si="30"/>
        <v>Jul-2025</v>
      </c>
      <c r="AS317" s="52">
        <f t="shared" si="31"/>
        <v>45842</v>
      </c>
      <c r="AT317" s="44">
        <f t="shared" ca="1" si="32"/>
        <v>436</v>
      </c>
      <c r="AU317" s="40" t="str">
        <f>LEFT(Sheet1!AE316,3)</f>
        <v>Ana</v>
      </c>
      <c r="AV317" s="40" t="str">
        <f>RIGHT(Sheet1!AF316,2)</f>
        <v>na</v>
      </c>
      <c r="AW317" s="40" t="str">
        <f>MID(Sheet1!AE316,2,3)</f>
        <v>nan</v>
      </c>
      <c r="AX317" s="42">
        <f>LEN(Sheet1!AE316)</f>
        <v>6</v>
      </c>
      <c r="AY317" s="40" t="str">
        <f>UPPER(Sheet1!AE316)</f>
        <v>ANANYA</v>
      </c>
      <c r="AZ317" s="40" t="str">
        <f>LOWER(Sheet1!AE316)</f>
        <v>ananya</v>
      </c>
      <c r="BA317" s="40" t="str">
        <f>PROPER(Sheet1!AE316)</f>
        <v>Ananya</v>
      </c>
      <c r="BB317" s="40" t="str">
        <f>_xlfn.CONCAT(Sheet1!AE316," ",Sheet1!AF316)</f>
        <v>Ananya Saxena</v>
      </c>
    </row>
    <row r="318" spans="40:54">
      <c r="AN318" s="49">
        <f>Sheet1!B317</f>
        <v>45842</v>
      </c>
      <c r="AO318" s="50">
        <f t="shared" si="27"/>
        <v>4</v>
      </c>
      <c r="AP318" s="50">
        <f t="shared" si="28"/>
        <v>7</v>
      </c>
      <c r="AQ318" s="50">
        <f t="shared" si="29"/>
        <v>2025</v>
      </c>
      <c r="AR318" s="50" t="str">
        <f t="shared" si="30"/>
        <v>Jul-2025</v>
      </c>
      <c r="AS318" s="52">
        <f t="shared" si="31"/>
        <v>45842</v>
      </c>
      <c r="AT318" s="44">
        <f t="shared" ca="1" si="32"/>
        <v>436</v>
      </c>
      <c r="AU318" s="40" t="str">
        <f>LEFT(Sheet1!AE317,3)</f>
        <v>Mee</v>
      </c>
      <c r="AV318" s="40" t="str">
        <f>RIGHT(Sheet1!AF317,2)</f>
        <v>al</v>
      </c>
      <c r="AW318" s="40" t="str">
        <f>MID(Sheet1!AE317,2,3)</f>
        <v>eer</v>
      </c>
      <c r="AX318" s="42">
        <f>LEN(Sheet1!AE317)</f>
        <v>5</v>
      </c>
      <c r="AY318" s="40" t="str">
        <f>UPPER(Sheet1!AE317)</f>
        <v>MEERA</v>
      </c>
      <c r="AZ318" s="40" t="str">
        <f>LOWER(Sheet1!AE317)</f>
        <v>meera</v>
      </c>
      <c r="BA318" s="40" t="str">
        <f>PROPER(Sheet1!AE317)</f>
        <v>Meera</v>
      </c>
      <c r="BB318" s="40" t="str">
        <f>_xlfn.CONCAT(Sheet1!AE317," ",Sheet1!AF317)</f>
        <v>Meera Agarwal</v>
      </c>
    </row>
    <row r="319" spans="40:54">
      <c r="AN319" s="49">
        <f>Sheet1!B318</f>
        <v>45843</v>
      </c>
      <c r="AO319" s="50">
        <f t="shared" si="27"/>
        <v>4</v>
      </c>
      <c r="AP319" s="50">
        <f t="shared" si="28"/>
        <v>7</v>
      </c>
      <c r="AQ319" s="50">
        <f t="shared" si="29"/>
        <v>2025</v>
      </c>
      <c r="AR319" s="50" t="str">
        <f t="shared" si="30"/>
        <v>Jul-2025</v>
      </c>
      <c r="AS319" s="52">
        <f t="shared" si="31"/>
        <v>45842</v>
      </c>
      <c r="AT319" s="44">
        <f t="shared" ca="1" si="32"/>
        <v>436</v>
      </c>
      <c r="AU319" s="40" t="str">
        <f>LEFT(Sheet1!AE318,3)</f>
        <v>Poo</v>
      </c>
      <c r="AV319" s="40" t="str">
        <f>RIGHT(Sheet1!AF318,2)</f>
        <v>ra</v>
      </c>
      <c r="AW319" s="40" t="str">
        <f>MID(Sheet1!AE318,2,3)</f>
        <v>ooj</v>
      </c>
      <c r="AX319" s="42">
        <f>LEN(Sheet1!AE318)</f>
        <v>5</v>
      </c>
      <c r="AY319" s="40" t="str">
        <f>UPPER(Sheet1!AE318)</f>
        <v>POOJA</v>
      </c>
      <c r="AZ319" s="40" t="str">
        <f>LOWER(Sheet1!AE318)</f>
        <v>pooja</v>
      </c>
      <c r="BA319" s="40" t="str">
        <f>PROPER(Sheet1!AE318)</f>
        <v>Pooja</v>
      </c>
      <c r="BB319" s="40" t="str">
        <f>_xlfn.CONCAT(Sheet1!AE318," ",Sheet1!AF318)</f>
        <v>Pooja Malhotra</v>
      </c>
    </row>
    <row r="320" spans="40:54">
      <c r="AN320" s="49">
        <f>Sheet1!B319</f>
        <v>45843</v>
      </c>
      <c r="AO320" s="50">
        <f t="shared" si="27"/>
        <v>4</v>
      </c>
      <c r="AP320" s="50">
        <f t="shared" si="28"/>
        <v>7</v>
      </c>
      <c r="AQ320" s="50">
        <f t="shared" si="29"/>
        <v>2025</v>
      </c>
      <c r="AR320" s="50" t="str">
        <f t="shared" si="30"/>
        <v>Jul-2025</v>
      </c>
      <c r="AS320" s="52">
        <f t="shared" si="31"/>
        <v>45842</v>
      </c>
      <c r="AT320" s="44">
        <f t="shared" ca="1" si="32"/>
        <v>436</v>
      </c>
      <c r="AU320" s="40" t="str">
        <f>LEFT(Sheet1!AE319,3)</f>
        <v>Roh</v>
      </c>
      <c r="AV320" s="40" t="str">
        <f>RIGHT(Sheet1!AF319,2)</f>
        <v>al</v>
      </c>
      <c r="AW320" s="40" t="str">
        <f>MID(Sheet1!AE319,2,3)</f>
        <v>oha</v>
      </c>
      <c r="AX320" s="42">
        <f>LEN(Sheet1!AE319)</f>
        <v>5</v>
      </c>
      <c r="AY320" s="40" t="str">
        <f>UPPER(Sheet1!AE319)</f>
        <v>ROHAN</v>
      </c>
      <c r="AZ320" s="40" t="str">
        <f>LOWER(Sheet1!AE319)</f>
        <v>rohan</v>
      </c>
      <c r="BA320" s="40" t="str">
        <f>PROPER(Sheet1!AE319)</f>
        <v>Rohan</v>
      </c>
      <c r="BB320" s="40" t="str">
        <f>_xlfn.CONCAT(Sheet1!AE319," ",Sheet1!AF319)</f>
        <v>Rohan Agarwal</v>
      </c>
    </row>
    <row r="321" spans="40:54">
      <c r="AN321" s="49">
        <f>Sheet1!B320</f>
        <v>45845</v>
      </c>
      <c r="AO321" s="50">
        <f t="shared" ref="AO321:AO384" si="33">IFERROR(DAY(AN196),VALUE(LEFT(AN196,2)))</f>
        <v>6</v>
      </c>
      <c r="AP321" s="50">
        <f t="shared" si="28"/>
        <v>7</v>
      </c>
      <c r="AQ321" s="50">
        <f t="shared" si="29"/>
        <v>2025</v>
      </c>
      <c r="AR321" s="50" t="str">
        <f t="shared" si="30"/>
        <v>Jul-2025</v>
      </c>
      <c r="AS321" s="52">
        <f t="shared" si="31"/>
        <v>45844</v>
      </c>
      <c r="AT321" s="44">
        <f t="shared" ca="1" si="32"/>
        <v>434</v>
      </c>
      <c r="AU321" s="40" t="str">
        <f>LEFT(Sheet1!AE320,3)</f>
        <v>Ish</v>
      </c>
      <c r="AV321" s="40" t="str">
        <f>RIGHT(Sheet1!AF320,2)</f>
        <v>na</v>
      </c>
      <c r="AW321" s="40" t="str">
        <f>MID(Sheet1!AE320,2,3)</f>
        <v>shi</v>
      </c>
      <c r="AX321" s="42">
        <f>LEN(Sheet1!AE320)</f>
        <v>6</v>
      </c>
      <c r="AY321" s="40" t="str">
        <f>UPPER(Sheet1!AE320)</f>
        <v>ISHITA</v>
      </c>
      <c r="AZ321" s="40" t="str">
        <f>LOWER(Sheet1!AE320)</f>
        <v>ishita</v>
      </c>
      <c r="BA321" s="40" t="str">
        <f>PROPER(Sheet1!AE320)</f>
        <v>Ishita</v>
      </c>
      <c r="BB321" s="40" t="str">
        <f>_xlfn.CONCAT(Sheet1!AE320," ",Sheet1!AF320)</f>
        <v>Ishita Saxena</v>
      </c>
    </row>
    <row r="322" spans="40:54">
      <c r="AN322" s="49">
        <f>Sheet1!B321</f>
        <v>45845</v>
      </c>
      <c r="AO322" s="50">
        <f t="shared" si="33"/>
        <v>8</v>
      </c>
      <c r="AP322" s="50">
        <f t="shared" si="28"/>
        <v>7</v>
      </c>
      <c r="AQ322" s="50">
        <f t="shared" si="29"/>
        <v>2025</v>
      </c>
      <c r="AR322" s="50" t="str">
        <f t="shared" si="30"/>
        <v>Jul-2025</v>
      </c>
      <c r="AS322" s="52">
        <f t="shared" si="31"/>
        <v>45846</v>
      </c>
      <c r="AT322" s="44">
        <f t="shared" ca="1" si="32"/>
        <v>432</v>
      </c>
      <c r="AU322" s="40" t="str">
        <f>LEFT(Sheet1!AE321,3)</f>
        <v>Ish</v>
      </c>
      <c r="AV322" s="40" t="str">
        <f>RIGHT(Sheet1!AF321,2)</f>
        <v>ta</v>
      </c>
      <c r="AW322" s="40" t="str">
        <f>MID(Sheet1!AE321,2,3)</f>
        <v>shi</v>
      </c>
      <c r="AX322" s="42">
        <f>LEN(Sheet1!AE321)</f>
        <v>6</v>
      </c>
      <c r="AY322" s="40" t="str">
        <f>UPPER(Sheet1!AE321)</f>
        <v>ISHITA</v>
      </c>
      <c r="AZ322" s="40" t="str">
        <f>LOWER(Sheet1!AE321)</f>
        <v>ishita</v>
      </c>
      <c r="BA322" s="40" t="str">
        <f>PROPER(Sheet1!AE321)</f>
        <v>Ishita</v>
      </c>
      <c r="BB322" s="40" t="str">
        <f>_xlfn.CONCAT(Sheet1!AE321," ",Sheet1!AF321)</f>
        <v>Ishita Gupta</v>
      </c>
    </row>
    <row r="323" spans="40:54">
      <c r="AN323" s="49">
        <f>Sheet1!B322</f>
        <v>45846</v>
      </c>
      <c r="AO323" s="50">
        <f t="shared" si="33"/>
        <v>9</v>
      </c>
      <c r="AP323" s="50">
        <f t="shared" si="28"/>
        <v>7</v>
      </c>
      <c r="AQ323" s="50">
        <f t="shared" si="29"/>
        <v>2025</v>
      </c>
      <c r="AR323" s="50" t="str">
        <f t="shared" si="30"/>
        <v>Jul-2025</v>
      </c>
      <c r="AS323" s="52">
        <f t="shared" si="31"/>
        <v>45847</v>
      </c>
      <c r="AT323" s="44">
        <f t="shared" ca="1" si="32"/>
        <v>431</v>
      </c>
      <c r="AU323" s="40" t="str">
        <f>LEFT(Sheet1!AE322,3)</f>
        <v>Arj</v>
      </c>
      <c r="AV323" s="40" t="str">
        <f>RIGHT(Sheet1!AF322,2)</f>
        <v>av</v>
      </c>
      <c r="AW323" s="40" t="str">
        <f>MID(Sheet1!AE322,2,3)</f>
        <v>rju</v>
      </c>
      <c r="AX323" s="42">
        <f>LEN(Sheet1!AE322)</f>
        <v>5</v>
      </c>
      <c r="AY323" s="40" t="str">
        <f>UPPER(Sheet1!AE322)</f>
        <v>ARJUN</v>
      </c>
      <c r="AZ323" s="40" t="str">
        <f>LOWER(Sheet1!AE322)</f>
        <v>arjun</v>
      </c>
      <c r="BA323" s="40" t="str">
        <f>PROPER(Sheet1!AE322)</f>
        <v>Arjun</v>
      </c>
      <c r="BB323" s="40" t="str">
        <f>_xlfn.CONCAT(Sheet1!AE322," ",Sheet1!AF322)</f>
        <v>Arjun Yadav</v>
      </c>
    </row>
    <row r="324" spans="40:54">
      <c r="AN324" s="49">
        <f>Sheet1!B323</f>
        <v>45846</v>
      </c>
      <c r="AO324" s="50">
        <f t="shared" si="33"/>
        <v>10</v>
      </c>
      <c r="AP324" s="50">
        <f t="shared" ref="AP324:AP387" si="34">IFERROR(MONTH(AN324),VALUE(MID(AN324,4,2)))</f>
        <v>7</v>
      </c>
      <c r="AQ324" s="50">
        <f t="shared" ref="AQ324:AQ387" si="35">IFERROR(YEAR(AN324),VALUE(RIGHT(AN324,4)))</f>
        <v>2025</v>
      </c>
      <c r="AR324" s="50" t="str">
        <f t="shared" ref="AR324:AR387" si="36">IF(ISNUMBER(AN324),TEXT(AN324,"mmm-yyyy"),TEXT(DATE(VALUE(RIGHT(AN324,4)),VALUE(MID(AN324,4,2)),VALUE(LEFT(AN324,2))),"mmm-yyyy"))</f>
        <v>Jul-2025</v>
      </c>
      <c r="AS324" s="52">
        <f t="shared" ref="AS324:AS387" si="37">DATE(AQ324,AP324,AO324)</f>
        <v>45848</v>
      </c>
      <c r="AT324" s="44">
        <f t="shared" ref="AT324:AT387" ca="1" si="38">TODAY()-AS324</f>
        <v>430</v>
      </c>
      <c r="AU324" s="40" t="str">
        <f>LEFT(Sheet1!AE323,3)</f>
        <v>Kav</v>
      </c>
      <c r="AV324" s="40" t="str">
        <f>RIGHT(Sheet1!AF323,2)</f>
        <v>al</v>
      </c>
      <c r="AW324" s="40" t="str">
        <f>MID(Sheet1!AE323,2,3)</f>
        <v>avy</v>
      </c>
      <c r="AX324" s="42">
        <f>LEN(Sheet1!AE323)</f>
        <v>5</v>
      </c>
      <c r="AY324" s="40" t="str">
        <f>UPPER(Sheet1!AE323)</f>
        <v>KAVYA</v>
      </c>
      <c r="AZ324" s="40" t="str">
        <f>LOWER(Sheet1!AE323)</f>
        <v>kavya</v>
      </c>
      <c r="BA324" s="40" t="str">
        <f>PROPER(Sheet1!AE323)</f>
        <v>Kavya</v>
      </c>
      <c r="BB324" s="40" t="str">
        <f>_xlfn.CONCAT(Sheet1!AE323," ",Sheet1!AF323)</f>
        <v>Kavya Bansal</v>
      </c>
    </row>
    <row r="325" spans="40:54">
      <c r="AN325" s="49">
        <f>Sheet1!B324</f>
        <v>45847</v>
      </c>
      <c r="AO325" s="50">
        <f t="shared" si="33"/>
        <v>10</v>
      </c>
      <c r="AP325" s="50">
        <f t="shared" si="34"/>
        <v>7</v>
      </c>
      <c r="AQ325" s="50">
        <f t="shared" si="35"/>
        <v>2025</v>
      </c>
      <c r="AR325" s="50" t="str">
        <f t="shared" si="36"/>
        <v>Jul-2025</v>
      </c>
      <c r="AS325" s="52">
        <f t="shared" si="37"/>
        <v>45848</v>
      </c>
      <c r="AT325" s="44">
        <f t="shared" ca="1" si="38"/>
        <v>430</v>
      </c>
      <c r="AU325" s="40" t="str">
        <f>LEFT(Sheet1!AE324,3)</f>
        <v>Ana</v>
      </c>
      <c r="AV325" s="40" t="str">
        <f>RIGHT(Sheet1!AF324,2)</f>
        <v>ta</v>
      </c>
      <c r="AW325" s="40" t="str">
        <f>MID(Sheet1!AE324,2,3)</f>
        <v>nan</v>
      </c>
      <c r="AX325" s="42">
        <f>LEN(Sheet1!AE324)</f>
        <v>6</v>
      </c>
      <c r="AY325" s="40" t="str">
        <f>UPPER(Sheet1!AE324)</f>
        <v>ANANYA</v>
      </c>
      <c r="AZ325" s="40" t="str">
        <f>LOWER(Sheet1!AE324)</f>
        <v>ananya</v>
      </c>
      <c r="BA325" s="40" t="str">
        <f>PROPER(Sheet1!AE324)</f>
        <v>Ananya</v>
      </c>
      <c r="BB325" s="40" t="str">
        <f>_xlfn.CONCAT(Sheet1!AE324," ",Sheet1!AF324)</f>
        <v>Ananya Mehta</v>
      </c>
    </row>
    <row r="326" spans="40:54">
      <c r="AN326" s="49">
        <f>Sheet1!B325</f>
        <v>45848</v>
      </c>
      <c r="AO326" s="50">
        <f t="shared" si="33"/>
        <v>12</v>
      </c>
      <c r="AP326" s="50">
        <f t="shared" si="34"/>
        <v>7</v>
      </c>
      <c r="AQ326" s="50">
        <f t="shared" si="35"/>
        <v>2025</v>
      </c>
      <c r="AR326" s="50" t="str">
        <f t="shared" si="36"/>
        <v>Jul-2025</v>
      </c>
      <c r="AS326" s="52">
        <f t="shared" si="37"/>
        <v>45850</v>
      </c>
      <c r="AT326" s="44">
        <f t="shared" ca="1" si="38"/>
        <v>428</v>
      </c>
      <c r="AU326" s="40" t="str">
        <f>LEFT(Sheet1!AE325,3)</f>
        <v>Pri</v>
      </c>
      <c r="AV326" s="40" t="str">
        <f>RIGHT(Sheet1!AF325,2)</f>
        <v>ar</v>
      </c>
      <c r="AW326" s="40" t="str">
        <f>MID(Sheet1!AE325,2,3)</f>
        <v>riy</v>
      </c>
      <c r="AX326" s="42">
        <f>LEN(Sheet1!AE325)</f>
        <v>5</v>
      </c>
      <c r="AY326" s="40" t="str">
        <f>UPPER(Sheet1!AE325)</f>
        <v>PRIYA</v>
      </c>
      <c r="AZ326" s="40" t="str">
        <f>LOWER(Sheet1!AE325)</f>
        <v>priya</v>
      </c>
      <c r="BA326" s="40" t="str">
        <f>PROPER(Sheet1!AE325)</f>
        <v>Priya</v>
      </c>
      <c r="BB326" s="40" t="str">
        <f>_xlfn.CONCAT(Sheet1!AE325," ",Sheet1!AF325)</f>
        <v>Priya Kumar</v>
      </c>
    </row>
    <row r="327" spans="40:54">
      <c r="AN327" s="49">
        <f>Sheet1!B326</f>
        <v>45848</v>
      </c>
      <c r="AO327" s="50">
        <f t="shared" si="33"/>
        <v>12</v>
      </c>
      <c r="AP327" s="50">
        <f t="shared" si="34"/>
        <v>7</v>
      </c>
      <c r="AQ327" s="50">
        <f t="shared" si="35"/>
        <v>2025</v>
      </c>
      <c r="AR327" s="50" t="str">
        <f t="shared" si="36"/>
        <v>Jul-2025</v>
      </c>
      <c r="AS327" s="52">
        <f t="shared" si="37"/>
        <v>45850</v>
      </c>
      <c r="AT327" s="44">
        <f t="shared" ca="1" si="38"/>
        <v>428</v>
      </c>
      <c r="AU327" s="40" t="str">
        <f>LEFT(Sheet1!AE326,3)</f>
        <v>Viv</v>
      </c>
      <c r="AV327" s="40" t="str">
        <f>RIGHT(Sheet1!AF326,2)</f>
        <v>gh</v>
      </c>
      <c r="AW327" s="40" t="str">
        <f>MID(Sheet1!AE326,2,3)</f>
        <v>iva</v>
      </c>
      <c r="AX327" s="42">
        <f>LEN(Sheet1!AE326)</f>
        <v>6</v>
      </c>
      <c r="AY327" s="40" t="str">
        <f>UPPER(Sheet1!AE326)</f>
        <v>VIVAAN</v>
      </c>
      <c r="AZ327" s="40" t="str">
        <f>LOWER(Sheet1!AE326)</f>
        <v>vivaan</v>
      </c>
      <c r="BA327" s="40" t="str">
        <f>PROPER(Sheet1!AE326)</f>
        <v>Vivaan</v>
      </c>
      <c r="BB327" s="40" t="str">
        <f>_xlfn.CONCAT(Sheet1!AE326," ",Sheet1!AF326)</f>
        <v>Vivaan Singh</v>
      </c>
    </row>
    <row r="328" spans="40:54">
      <c r="AN328" s="49">
        <f>Sheet1!B327</f>
        <v>45848</v>
      </c>
      <c r="AO328" s="50">
        <f t="shared" si="33"/>
        <v>1</v>
      </c>
      <c r="AP328" s="50">
        <f t="shared" si="34"/>
        <v>7</v>
      </c>
      <c r="AQ328" s="50">
        <f t="shared" si="35"/>
        <v>2025</v>
      </c>
      <c r="AR328" s="50" t="str">
        <f t="shared" si="36"/>
        <v>Jul-2025</v>
      </c>
      <c r="AS328" s="52">
        <f t="shared" si="37"/>
        <v>45839</v>
      </c>
      <c r="AT328" s="44">
        <f t="shared" ca="1" si="38"/>
        <v>439</v>
      </c>
      <c r="AU328" s="40" t="str">
        <f>LEFT(Sheet1!AE327,3)</f>
        <v>Mee</v>
      </c>
      <c r="AV328" s="40" t="str">
        <f>RIGHT(Sheet1!AF327,2)</f>
        <v>al</v>
      </c>
      <c r="AW328" s="40" t="str">
        <f>MID(Sheet1!AE327,2,3)</f>
        <v>eer</v>
      </c>
      <c r="AX328" s="42">
        <f>LEN(Sheet1!AE327)</f>
        <v>5</v>
      </c>
      <c r="AY328" s="40" t="str">
        <f>UPPER(Sheet1!AE327)</f>
        <v>MEERA</v>
      </c>
      <c r="AZ328" s="40" t="str">
        <f>LOWER(Sheet1!AE327)</f>
        <v>meera</v>
      </c>
      <c r="BA328" s="40" t="str">
        <f>PROPER(Sheet1!AE327)</f>
        <v>Meera</v>
      </c>
      <c r="BB328" s="40" t="str">
        <f>_xlfn.CONCAT(Sheet1!AE327," ",Sheet1!AF327)</f>
        <v>Meera Agarwal</v>
      </c>
    </row>
    <row r="329" spans="40:54">
      <c r="AN329" s="49">
        <f>Sheet1!B328</f>
        <v>45849</v>
      </c>
      <c r="AO329" s="50">
        <f t="shared" si="33"/>
        <v>2</v>
      </c>
      <c r="AP329" s="50">
        <f t="shared" si="34"/>
        <v>7</v>
      </c>
      <c r="AQ329" s="50">
        <f t="shared" si="35"/>
        <v>2025</v>
      </c>
      <c r="AR329" s="50" t="str">
        <f t="shared" si="36"/>
        <v>Jul-2025</v>
      </c>
      <c r="AS329" s="52">
        <f t="shared" si="37"/>
        <v>45840</v>
      </c>
      <c r="AT329" s="44">
        <f t="shared" ca="1" si="38"/>
        <v>438</v>
      </c>
      <c r="AU329" s="40" t="str">
        <f>LEFT(Sheet1!AE328,3)</f>
        <v>Poo</v>
      </c>
      <c r="AV329" s="40" t="str">
        <f>RIGHT(Sheet1!AF328,2)</f>
        <v>ra</v>
      </c>
      <c r="AW329" s="40" t="str">
        <f>MID(Sheet1!AE328,2,3)</f>
        <v>ooj</v>
      </c>
      <c r="AX329" s="42">
        <f>LEN(Sheet1!AE328)</f>
        <v>5</v>
      </c>
      <c r="AY329" s="40" t="str">
        <f>UPPER(Sheet1!AE328)</f>
        <v>POOJA</v>
      </c>
      <c r="AZ329" s="40" t="str">
        <f>LOWER(Sheet1!AE328)</f>
        <v>pooja</v>
      </c>
      <c r="BA329" s="40" t="str">
        <f>PROPER(Sheet1!AE328)</f>
        <v>Pooja</v>
      </c>
      <c r="BB329" s="40" t="str">
        <f>_xlfn.CONCAT(Sheet1!AE328," ",Sheet1!AF328)</f>
        <v>Pooja Chopra</v>
      </c>
    </row>
    <row r="330" spans="40:54">
      <c r="AN330" s="49">
        <f>Sheet1!B329</f>
        <v>45849</v>
      </c>
      <c r="AO330" s="50">
        <f t="shared" si="33"/>
        <v>2</v>
      </c>
      <c r="AP330" s="50">
        <f t="shared" si="34"/>
        <v>7</v>
      </c>
      <c r="AQ330" s="50">
        <f t="shared" si="35"/>
        <v>2025</v>
      </c>
      <c r="AR330" s="50" t="str">
        <f t="shared" si="36"/>
        <v>Jul-2025</v>
      </c>
      <c r="AS330" s="52">
        <f t="shared" si="37"/>
        <v>45840</v>
      </c>
      <c r="AT330" s="44">
        <f t="shared" ca="1" si="38"/>
        <v>438</v>
      </c>
      <c r="AU330" s="40" t="str">
        <f>LEFT(Sheet1!AE329,3)</f>
        <v>Kav</v>
      </c>
      <c r="AV330" s="40" t="str">
        <f>RIGHT(Sheet1!AF329,2)</f>
        <v>in</v>
      </c>
      <c r="AW330" s="40" t="str">
        <f>MID(Sheet1!AE329,2,3)</f>
        <v>avy</v>
      </c>
      <c r="AX330" s="42">
        <f>LEN(Sheet1!AE329)</f>
        <v>5</v>
      </c>
      <c r="AY330" s="40" t="str">
        <f>UPPER(Sheet1!AE329)</f>
        <v>KAVYA</v>
      </c>
      <c r="AZ330" s="40" t="str">
        <f>LOWER(Sheet1!AE329)</f>
        <v>kavya</v>
      </c>
      <c r="BA330" s="40" t="str">
        <f>PROPER(Sheet1!AE329)</f>
        <v>Kavya</v>
      </c>
      <c r="BB330" s="40" t="str">
        <f>_xlfn.CONCAT(Sheet1!AE329," ",Sheet1!AF329)</f>
        <v>Kavya Jain</v>
      </c>
    </row>
    <row r="331" spans="40:54">
      <c r="AN331" s="49">
        <f>Sheet1!B330</f>
        <v>45849</v>
      </c>
      <c r="AO331" s="50">
        <f t="shared" si="33"/>
        <v>3</v>
      </c>
      <c r="AP331" s="50">
        <f t="shared" si="34"/>
        <v>7</v>
      </c>
      <c r="AQ331" s="50">
        <f t="shared" si="35"/>
        <v>2025</v>
      </c>
      <c r="AR331" s="50" t="str">
        <f t="shared" si="36"/>
        <v>Jul-2025</v>
      </c>
      <c r="AS331" s="52">
        <f t="shared" si="37"/>
        <v>45841</v>
      </c>
      <c r="AT331" s="44">
        <f t="shared" ca="1" si="38"/>
        <v>437</v>
      </c>
      <c r="AU331" s="40" t="str">
        <f>LEFT(Sheet1!AE330,3)</f>
        <v>Adi</v>
      </c>
      <c r="AV331" s="40" t="str">
        <f>RIGHT(Sheet1!AF330,2)</f>
        <v>gh</v>
      </c>
      <c r="AW331" s="40" t="str">
        <f>MID(Sheet1!AE330,2,3)</f>
        <v>dit</v>
      </c>
      <c r="AX331" s="42">
        <f>LEN(Sheet1!AE330)</f>
        <v>6</v>
      </c>
      <c r="AY331" s="40" t="str">
        <f>UPPER(Sheet1!AE330)</f>
        <v>ADITYA</v>
      </c>
      <c r="AZ331" s="40" t="str">
        <f>LOWER(Sheet1!AE330)</f>
        <v>aditya</v>
      </c>
      <c r="BA331" s="40" t="str">
        <f>PROPER(Sheet1!AE330)</f>
        <v>Aditya</v>
      </c>
      <c r="BB331" s="40" t="str">
        <f>_xlfn.CONCAT(Sheet1!AE330," ",Sheet1!AF330)</f>
        <v>Aditya Singh</v>
      </c>
    </row>
    <row r="332" spans="40:54">
      <c r="AN332" s="49">
        <f>Sheet1!B331</f>
        <v>45870</v>
      </c>
      <c r="AO332" s="50">
        <f t="shared" si="33"/>
        <v>3</v>
      </c>
      <c r="AP332" s="50">
        <f t="shared" si="34"/>
        <v>8</v>
      </c>
      <c r="AQ332" s="50">
        <f t="shared" si="35"/>
        <v>2025</v>
      </c>
      <c r="AR332" s="50" t="str">
        <f t="shared" si="36"/>
        <v>Aug-2025</v>
      </c>
      <c r="AS332" s="52">
        <f t="shared" si="37"/>
        <v>45872</v>
      </c>
      <c r="AT332" s="44">
        <f t="shared" ca="1" si="38"/>
        <v>406</v>
      </c>
      <c r="AU332" s="40" t="str">
        <f>LEFT(Sheet1!AE331,3)</f>
        <v>Kar</v>
      </c>
      <c r="AV332" s="40" t="str">
        <f>RIGHT(Sheet1!AF331,2)</f>
        <v>ta</v>
      </c>
      <c r="AW332" s="40" t="str">
        <f>MID(Sheet1!AE331,2,3)</f>
        <v>ara</v>
      </c>
      <c r="AX332" s="42">
        <f>LEN(Sheet1!AE331)</f>
        <v>5</v>
      </c>
      <c r="AY332" s="40" t="str">
        <f>UPPER(Sheet1!AE331)</f>
        <v>KARAN</v>
      </c>
      <c r="AZ332" s="40" t="str">
        <f>LOWER(Sheet1!AE331)</f>
        <v>karan</v>
      </c>
      <c r="BA332" s="40" t="str">
        <f>PROPER(Sheet1!AE331)</f>
        <v>Karan</v>
      </c>
      <c r="BB332" s="40" t="str">
        <f>_xlfn.CONCAT(Sheet1!AE331," ",Sheet1!AF331)</f>
        <v>Karan Gupta</v>
      </c>
    </row>
    <row r="333" spans="40:54">
      <c r="AN333" s="49">
        <f>Sheet1!B332</f>
        <v>45871</v>
      </c>
      <c r="AO333" s="50">
        <f t="shared" si="33"/>
        <v>3</v>
      </c>
      <c r="AP333" s="50">
        <f t="shared" si="34"/>
        <v>8</v>
      </c>
      <c r="AQ333" s="50">
        <f t="shared" si="35"/>
        <v>2025</v>
      </c>
      <c r="AR333" s="50" t="str">
        <f t="shared" si="36"/>
        <v>Aug-2025</v>
      </c>
      <c r="AS333" s="52">
        <f t="shared" si="37"/>
        <v>45872</v>
      </c>
      <c r="AT333" s="44">
        <f t="shared" ca="1" si="38"/>
        <v>406</v>
      </c>
      <c r="AU333" s="40" t="str">
        <f>LEFT(Sheet1!AE332,3)</f>
        <v>Nis</v>
      </c>
      <c r="AV333" s="40" t="str">
        <f>RIGHT(Sheet1!AF332,2)</f>
        <v>ma</v>
      </c>
      <c r="AW333" s="40" t="str">
        <f>MID(Sheet1!AE332,2,3)</f>
        <v>ish</v>
      </c>
      <c r="AX333" s="42">
        <f>LEN(Sheet1!AE332)</f>
        <v>5</v>
      </c>
      <c r="AY333" s="40" t="str">
        <f>UPPER(Sheet1!AE332)</f>
        <v>NISHA</v>
      </c>
      <c r="AZ333" s="40" t="str">
        <f>LOWER(Sheet1!AE332)</f>
        <v>nisha</v>
      </c>
      <c r="BA333" s="40" t="str">
        <f>PROPER(Sheet1!AE332)</f>
        <v>Nisha</v>
      </c>
      <c r="BB333" s="40" t="str">
        <f>_xlfn.CONCAT(Sheet1!AE332," ",Sheet1!AF332)</f>
        <v>Nisha Verma</v>
      </c>
    </row>
    <row r="334" spans="40:54">
      <c r="AN334" s="49">
        <f>Sheet1!B333</f>
        <v>45872</v>
      </c>
      <c r="AO334" s="50">
        <f t="shared" si="33"/>
        <v>4</v>
      </c>
      <c r="AP334" s="50">
        <f t="shared" si="34"/>
        <v>8</v>
      </c>
      <c r="AQ334" s="50">
        <f t="shared" si="35"/>
        <v>2025</v>
      </c>
      <c r="AR334" s="50" t="str">
        <f t="shared" si="36"/>
        <v>Aug-2025</v>
      </c>
      <c r="AS334" s="52">
        <f t="shared" si="37"/>
        <v>45873</v>
      </c>
      <c r="AT334" s="44">
        <f t="shared" ca="1" si="38"/>
        <v>405</v>
      </c>
      <c r="AU334" s="40" t="str">
        <f>LEFT(Sheet1!AE333,3)</f>
        <v>Sim</v>
      </c>
      <c r="AV334" s="40" t="str">
        <f>RIGHT(Sheet1!AF333,2)</f>
        <v>ar</v>
      </c>
      <c r="AW334" s="40" t="str">
        <f>MID(Sheet1!AE333,2,3)</f>
        <v>imr</v>
      </c>
      <c r="AX334" s="42">
        <f>LEN(Sheet1!AE333)</f>
        <v>6</v>
      </c>
      <c r="AY334" s="40" t="str">
        <f>UPPER(Sheet1!AE333)</f>
        <v>SIMRAN</v>
      </c>
      <c r="AZ334" s="40" t="str">
        <f>LOWER(Sheet1!AE333)</f>
        <v>simran</v>
      </c>
      <c r="BA334" s="40" t="str">
        <f>PROPER(Sheet1!AE333)</f>
        <v>Simran</v>
      </c>
      <c r="BB334" s="40" t="str">
        <f>_xlfn.CONCAT(Sheet1!AE333," ",Sheet1!AF333)</f>
        <v>Simran Kumar</v>
      </c>
    </row>
    <row r="335" spans="40:54">
      <c r="AN335" s="49">
        <f>Sheet1!B334</f>
        <v>45873</v>
      </c>
      <c r="AO335" s="50">
        <f t="shared" si="33"/>
        <v>5</v>
      </c>
      <c r="AP335" s="50">
        <f t="shared" si="34"/>
        <v>8</v>
      </c>
      <c r="AQ335" s="50">
        <f t="shared" si="35"/>
        <v>2025</v>
      </c>
      <c r="AR335" s="50" t="str">
        <f t="shared" si="36"/>
        <v>Aug-2025</v>
      </c>
      <c r="AS335" s="52">
        <f t="shared" si="37"/>
        <v>45874</v>
      </c>
      <c r="AT335" s="44">
        <f t="shared" ca="1" si="38"/>
        <v>404</v>
      </c>
      <c r="AU335" s="40" t="str">
        <f>LEFT(Sheet1!AE334,3)</f>
        <v>Pri</v>
      </c>
      <c r="AV335" s="40" t="str">
        <f>RIGHT(Sheet1!AF334,2)</f>
        <v>in</v>
      </c>
      <c r="AW335" s="40" t="str">
        <f>MID(Sheet1!AE334,2,3)</f>
        <v>riy</v>
      </c>
      <c r="AX335" s="42">
        <f>LEN(Sheet1!AE334)</f>
        <v>5</v>
      </c>
      <c r="AY335" s="40" t="str">
        <f>UPPER(Sheet1!AE334)</f>
        <v>PRIYA</v>
      </c>
      <c r="AZ335" s="40" t="str">
        <f>LOWER(Sheet1!AE334)</f>
        <v>priya</v>
      </c>
      <c r="BA335" s="40" t="str">
        <f>PROPER(Sheet1!AE334)</f>
        <v>Priya</v>
      </c>
      <c r="BB335" s="40" t="str">
        <f>_xlfn.CONCAT(Sheet1!AE334," ",Sheet1!AF334)</f>
        <v>Priya Jain</v>
      </c>
    </row>
    <row r="336" spans="40:54">
      <c r="AN336" s="49">
        <f>Sheet1!B335</f>
        <v>45873</v>
      </c>
      <c r="AO336" s="50">
        <f t="shared" si="33"/>
        <v>5</v>
      </c>
      <c r="AP336" s="50">
        <f t="shared" si="34"/>
        <v>8</v>
      </c>
      <c r="AQ336" s="50">
        <f t="shared" si="35"/>
        <v>2025</v>
      </c>
      <c r="AR336" s="50" t="str">
        <f t="shared" si="36"/>
        <v>Aug-2025</v>
      </c>
      <c r="AS336" s="52">
        <f t="shared" si="37"/>
        <v>45874</v>
      </c>
      <c r="AT336" s="44">
        <f t="shared" ca="1" si="38"/>
        <v>404</v>
      </c>
      <c r="AU336" s="40" t="str">
        <f>LEFT(Sheet1!AE335,3)</f>
        <v>Adi</v>
      </c>
      <c r="AV336" s="40" t="str">
        <f>RIGHT(Sheet1!AF335,2)</f>
        <v>in</v>
      </c>
      <c r="AW336" s="40" t="str">
        <f>MID(Sheet1!AE335,2,3)</f>
        <v>dit</v>
      </c>
      <c r="AX336" s="42">
        <f>LEN(Sheet1!AE335)</f>
        <v>6</v>
      </c>
      <c r="AY336" s="40" t="str">
        <f>UPPER(Sheet1!AE335)</f>
        <v>ADITYA</v>
      </c>
      <c r="AZ336" s="40" t="str">
        <f>LOWER(Sheet1!AE335)</f>
        <v>aditya</v>
      </c>
      <c r="BA336" s="40" t="str">
        <f>PROPER(Sheet1!AE335)</f>
        <v>Aditya</v>
      </c>
      <c r="BB336" s="40" t="str">
        <f>_xlfn.CONCAT(Sheet1!AE335," ",Sheet1!AF335)</f>
        <v>Aditya Jain</v>
      </c>
    </row>
    <row r="337" spans="40:54">
      <c r="AN337" s="49">
        <f>Sheet1!B336</f>
        <v>45874</v>
      </c>
      <c r="AO337" s="50">
        <f t="shared" si="33"/>
        <v>5</v>
      </c>
      <c r="AP337" s="50">
        <f t="shared" si="34"/>
        <v>8</v>
      </c>
      <c r="AQ337" s="50">
        <f t="shared" si="35"/>
        <v>2025</v>
      </c>
      <c r="AR337" s="50" t="str">
        <f t="shared" si="36"/>
        <v>Aug-2025</v>
      </c>
      <c r="AS337" s="52">
        <f t="shared" si="37"/>
        <v>45874</v>
      </c>
      <c r="AT337" s="44">
        <f t="shared" ca="1" si="38"/>
        <v>404</v>
      </c>
      <c r="AU337" s="40" t="str">
        <f>LEFT(Sheet1!AE336,3)</f>
        <v>Neh</v>
      </c>
      <c r="AV337" s="40" t="str">
        <f>RIGHT(Sheet1!AF336,2)</f>
        <v>ra</v>
      </c>
      <c r="AW337" s="40" t="str">
        <f>MID(Sheet1!AE336,2,3)</f>
        <v>eha</v>
      </c>
      <c r="AX337" s="42">
        <f>LEN(Sheet1!AE336)</f>
        <v>4</v>
      </c>
      <c r="AY337" s="40" t="str">
        <f>UPPER(Sheet1!AE336)</f>
        <v>NEHA</v>
      </c>
      <c r="AZ337" s="40" t="str">
        <f>LOWER(Sheet1!AE336)</f>
        <v>neha</v>
      </c>
      <c r="BA337" s="40" t="str">
        <f>PROPER(Sheet1!AE336)</f>
        <v>Neha</v>
      </c>
      <c r="BB337" s="40" t="str">
        <f>_xlfn.CONCAT(Sheet1!AE336," ",Sheet1!AF336)</f>
        <v>Neha Malhotra</v>
      </c>
    </row>
    <row r="338" spans="40:54">
      <c r="AN338" s="49">
        <f>Sheet1!B337</f>
        <v>45874</v>
      </c>
      <c r="AO338" s="50">
        <f t="shared" si="33"/>
        <v>6</v>
      </c>
      <c r="AP338" s="50">
        <f t="shared" si="34"/>
        <v>8</v>
      </c>
      <c r="AQ338" s="50">
        <f t="shared" si="35"/>
        <v>2025</v>
      </c>
      <c r="AR338" s="50" t="str">
        <f t="shared" si="36"/>
        <v>Aug-2025</v>
      </c>
      <c r="AS338" s="52">
        <f t="shared" si="37"/>
        <v>45875</v>
      </c>
      <c r="AT338" s="44">
        <f t="shared" ca="1" si="38"/>
        <v>403</v>
      </c>
      <c r="AU338" s="40" t="str">
        <f>LEFT(Sheet1!AE337,3)</f>
        <v>Ana</v>
      </c>
      <c r="AV338" s="40" t="str">
        <f>RIGHT(Sheet1!AF337,2)</f>
        <v>ra</v>
      </c>
      <c r="AW338" s="40" t="str">
        <f>MID(Sheet1!AE337,2,3)</f>
        <v>nan</v>
      </c>
      <c r="AX338" s="42">
        <f>LEN(Sheet1!AE337)</f>
        <v>6</v>
      </c>
      <c r="AY338" s="40" t="str">
        <f>UPPER(Sheet1!AE337)</f>
        <v>ANANYA</v>
      </c>
      <c r="AZ338" s="40" t="str">
        <f>LOWER(Sheet1!AE337)</f>
        <v>ananya</v>
      </c>
      <c r="BA338" s="40" t="str">
        <f>PROPER(Sheet1!AE337)</f>
        <v>Ananya</v>
      </c>
      <c r="BB338" s="40" t="str">
        <f>_xlfn.CONCAT(Sheet1!AE337," ",Sheet1!AF337)</f>
        <v>Ananya Malhotra</v>
      </c>
    </row>
    <row r="339" spans="40:54">
      <c r="AN339" s="49">
        <f>Sheet1!B338</f>
        <v>45875</v>
      </c>
      <c r="AO339" s="50">
        <f t="shared" si="33"/>
        <v>6</v>
      </c>
      <c r="AP339" s="50">
        <f t="shared" si="34"/>
        <v>8</v>
      </c>
      <c r="AQ339" s="50">
        <f t="shared" si="35"/>
        <v>2025</v>
      </c>
      <c r="AR339" s="50" t="str">
        <f t="shared" si="36"/>
        <v>Aug-2025</v>
      </c>
      <c r="AS339" s="52">
        <f t="shared" si="37"/>
        <v>45875</v>
      </c>
      <c r="AT339" s="44">
        <f t="shared" ca="1" si="38"/>
        <v>403</v>
      </c>
      <c r="AU339" s="40" t="str">
        <f>LEFT(Sheet1!AE338,3)</f>
        <v>Pri</v>
      </c>
      <c r="AV339" s="40" t="str">
        <f>RIGHT(Sheet1!AF338,2)</f>
        <v>ma</v>
      </c>
      <c r="AW339" s="40" t="str">
        <f>MID(Sheet1!AE338,2,3)</f>
        <v>riy</v>
      </c>
      <c r="AX339" s="42">
        <f>LEN(Sheet1!AE338)</f>
        <v>5</v>
      </c>
      <c r="AY339" s="40" t="str">
        <f>UPPER(Sheet1!AE338)</f>
        <v>PRIYA</v>
      </c>
      <c r="AZ339" s="40" t="str">
        <f>LOWER(Sheet1!AE338)</f>
        <v>priya</v>
      </c>
      <c r="BA339" s="40" t="str">
        <f>PROPER(Sheet1!AE338)</f>
        <v>Priya</v>
      </c>
      <c r="BB339" s="40" t="str">
        <f>_xlfn.CONCAT(Sheet1!AE338," ",Sheet1!AF338)</f>
        <v>Priya Sharma</v>
      </c>
    </row>
    <row r="340" spans="40:54">
      <c r="AN340" s="49">
        <f>Sheet1!B339</f>
        <v>45875</v>
      </c>
      <c r="AO340" s="50">
        <f t="shared" si="33"/>
        <v>7</v>
      </c>
      <c r="AP340" s="50">
        <f t="shared" si="34"/>
        <v>8</v>
      </c>
      <c r="AQ340" s="50">
        <f t="shared" si="35"/>
        <v>2025</v>
      </c>
      <c r="AR340" s="50" t="str">
        <f t="shared" si="36"/>
        <v>Aug-2025</v>
      </c>
      <c r="AS340" s="52">
        <f t="shared" si="37"/>
        <v>45876</v>
      </c>
      <c r="AT340" s="44">
        <f t="shared" ca="1" si="38"/>
        <v>402</v>
      </c>
      <c r="AU340" s="40" t="str">
        <f>LEFT(Sheet1!AE339,3)</f>
        <v>Sne</v>
      </c>
      <c r="AV340" s="40" t="str">
        <f>RIGHT(Sheet1!AF339,2)</f>
        <v>ra</v>
      </c>
      <c r="AW340" s="40" t="str">
        <f>MID(Sheet1!AE339,2,3)</f>
        <v>neh</v>
      </c>
      <c r="AX340" s="42">
        <f>LEN(Sheet1!AE339)</f>
        <v>5</v>
      </c>
      <c r="AY340" s="40" t="str">
        <f>UPPER(Sheet1!AE339)</f>
        <v>SNEHA</v>
      </c>
      <c r="AZ340" s="40" t="str">
        <f>LOWER(Sheet1!AE339)</f>
        <v>sneha</v>
      </c>
      <c r="BA340" s="40" t="str">
        <f>PROPER(Sheet1!AE339)</f>
        <v>Sneha</v>
      </c>
      <c r="BB340" s="40" t="str">
        <f>_xlfn.CONCAT(Sheet1!AE339," ",Sheet1!AF339)</f>
        <v>Sneha Malhotra</v>
      </c>
    </row>
    <row r="341" spans="40:54">
      <c r="AN341" s="49">
        <f>Sheet1!B340</f>
        <v>45879</v>
      </c>
      <c r="AO341" s="50">
        <f t="shared" si="33"/>
        <v>7</v>
      </c>
      <c r="AP341" s="50">
        <f t="shared" si="34"/>
        <v>8</v>
      </c>
      <c r="AQ341" s="50">
        <f t="shared" si="35"/>
        <v>2025</v>
      </c>
      <c r="AR341" s="50" t="str">
        <f t="shared" si="36"/>
        <v>Aug-2025</v>
      </c>
      <c r="AS341" s="52">
        <f t="shared" si="37"/>
        <v>45876</v>
      </c>
      <c r="AT341" s="44">
        <f t="shared" ca="1" si="38"/>
        <v>402</v>
      </c>
      <c r="AU341" s="40" t="str">
        <f>LEFT(Sheet1!AE340,3)</f>
        <v>Poo</v>
      </c>
      <c r="AV341" s="40" t="str">
        <f>RIGHT(Sheet1!AF340,2)</f>
        <v>ra</v>
      </c>
      <c r="AW341" s="40" t="str">
        <f>MID(Sheet1!AE340,2,3)</f>
        <v>ooj</v>
      </c>
      <c r="AX341" s="42">
        <f>LEN(Sheet1!AE340)</f>
        <v>5</v>
      </c>
      <c r="AY341" s="40" t="str">
        <f>UPPER(Sheet1!AE340)</f>
        <v>POOJA</v>
      </c>
      <c r="AZ341" s="40" t="str">
        <f>LOWER(Sheet1!AE340)</f>
        <v>pooja</v>
      </c>
      <c r="BA341" s="40" t="str">
        <f>PROPER(Sheet1!AE340)</f>
        <v>Pooja</v>
      </c>
      <c r="BB341" s="40" t="str">
        <f>_xlfn.CONCAT(Sheet1!AE340," ",Sheet1!AF340)</f>
        <v>Pooja Mishra</v>
      </c>
    </row>
    <row r="342" spans="40:54">
      <c r="AN342" s="49">
        <f>Sheet1!B341</f>
        <v>45880</v>
      </c>
      <c r="AO342" s="50">
        <f t="shared" si="33"/>
        <v>10</v>
      </c>
      <c r="AP342" s="50">
        <f t="shared" si="34"/>
        <v>8</v>
      </c>
      <c r="AQ342" s="50">
        <f t="shared" si="35"/>
        <v>2025</v>
      </c>
      <c r="AR342" s="50" t="str">
        <f t="shared" si="36"/>
        <v>Aug-2025</v>
      </c>
      <c r="AS342" s="52">
        <f t="shared" si="37"/>
        <v>45879</v>
      </c>
      <c r="AT342" s="44">
        <f t="shared" ca="1" si="38"/>
        <v>399</v>
      </c>
      <c r="AU342" s="40" t="str">
        <f>LEFT(Sheet1!AE341,3)</f>
        <v>Kav</v>
      </c>
      <c r="AV342" s="40" t="str">
        <f>RIGHT(Sheet1!AF341,2)</f>
        <v>ra</v>
      </c>
      <c r="AW342" s="40" t="str">
        <f>MID(Sheet1!AE341,2,3)</f>
        <v>avy</v>
      </c>
      <c r="AX342" s="42">
        <f>LEN(Sheet1!AE341)</f>
        <v>5</v>
      </c>
      <c r="AY342" s="40" t="str">
        <f>UPPER(Sheet1!AE341)</f>
        <v>KAVYA</v>
      </c>
      <c r="AZ342" s="40" t="str">
        <f>LOWER(Sheet1!AE341)</f>
        <v>kavya</v>
      </c>
      <c r="BA342" s="40" t="str">
        <f>PROPER(Sheet1!AE341)</f>
        <v>Kavya</v>
      </c>
      <c r="BB342" s="40" t="str">
        <f>_xlfn.CONCAT(Sheet1!AE341," ",Sheet1!AF341)</f>
        <v>Kavya Chopra</v>
      </c>
    </row>
    <row r="343" spans="40:54">
      <c r="AN343" s="49">
        <f>Sheet1!B342</f>
        <v>45881</v>
      </c>
      <c r="AO343" s="50">
        <f t="shared" si="33"/>
        <v>10</v>
      </c>
      <c r="AP343" s="50">
        <f t="shared" si="34"/>
        <v>8</v>
      </c>
      <c r="AQ343" s="50">
        <f t="shared" si="35"/>
        <v>2025</v>
      </c>
      <c r="AR343" s="50" t="str">
        <f t="shared" si="36"/>
        <v>Aug-2025</v>
      </c>
      <c r="AS343" s="52">
        <f t="shared" si="37"/>
        <v>45879</v>
      </c>
      <c r="AT343" s="44">
        <f t="shared" ca="1" si="38"/>
        <v>399</v>
      </c>
      <c r="AU343" s="40" t="str">
        <f>LEFT(Sheet1!AE342,3)</f>
        <v>Pri</v>
      </c>
      <c r="AV343" s="40" t="str">
        <f>RIGHT(Sheet1!AF342,2)</f>
        <v>ma</v>
      </c>
      <c r="AW343" s="40" t="str">
        <f>MID(Sheet1!AE342,2,3)</f>
        <v>riy</v>
      </c>
      <c r="AX343" s="42">
        <f>LEN(Sheet1!AE342)</f>
        <v>5</v>
      </c>
      <c r="AY343" s="40" t="str">
        <f>UPPER(Sheet1!AE342)</f>
        <v>PRIYA</v>
      </c>
      <c r="AZ343" s="40" t="str">
        <f>LOWER(Sheet1!AE342)</f>
        <v>priya</v>
      </c>
      <c r="BA343" s="40" t="str">
        <f>PROPER(Sheet1!AE342)</f>
        <v>Priya</v>
      </c>
      <c r="BB343" s="40" t="str">
        <f>_xlfn.CONCAT(Sheet1!AE342," ",Sheet1!AF342)</f>
        <v>Priya Verma</v>
      </c>
    </row>
    <row r="344" spans="40:54">
      <c r="AN344" s="49">
        <f>Sheet1!B343</f>
        <v>45901</v>
      </c>
      <c r="AO344" s="50">
        <f t="shared" si="33"/>
        <v>11</v>
      </c>
      <c r="AP344" s="50">
        <f t="shared" si="34"/>
        <v>9</v>
      </c>
      <c r="AQ344" s="50">
        <f t="shared" si="35"/>
        <v>2025</v>
      </c>
      <c r="AR344" s="50" t="str">
        <f t="shared" si="36"/>
        <v>Sep-2025</v>
      </c>
      <c r="AS344" s="52">
        <f t="shared" si="37"/>
        <v>45911</v>
      </c>
      <c r="AT344" s="44">
        <f t="shared" ca="1" si="38"/>
        <v>367</v>
      </c>
      <c r="AU344" s="40" t="str">
        <f>LEFT(Sheet1!AE343,3)</f>
        <v>Adi</v>
      </c>
      <c r="AV344" s="40" t="str">
        <f>RIGHT(Sheet1!AF343,2)</f>
        <v>av</v>
      </c>
      <c r="AW344" s="40" t="str">
        <f>MID(Sheet1!AE343,2,3)</f>
        <v>dit</v>
      </c>
      <c r="AX344" s="42">
        <f>LEN(Sheet1!AE343)</f>
        <v>5</v>
      </c>
      <c r="AY344" s="40" t="str">
        <f>UPPER(Sheet1!AE343)</f>
        <v>ADITI</v>
      </c>
      <c r="AZ344" s="40" t="str">
        <f>LOWER(Sheet1!AE343)</f>
        <v>aditi</v>
      </c>
      <c r="BA344" s="40" t="str">
        <f>PROPER(Sheet1!AE343)</f>
        <v>Aditi</v>
      </c>
      <c r="BB344" s="40" t="str">
        <f>_xlfn.CONCAT(Sheet1!AE343," ",Sheet1!AF343)</f>
        <v>Aditi Yadav</v>
      </c>
    </row>
    <row r="345" spans="40:54">
      <c r="AN345" s="49">
        <f>Sheet1!B344</f>
        <v>45902</v>
      </c>
      <c r="AO345" s="50">
        <f t="shared" si="33"/>
        <v>12</v>
      </c>
      <c r="AP345" s="50">
        <f t="shared" si="34"/>
        <v>9</v>
      </c>
      <c r="AQ345" s="50">
        <f t="shared" si="35"/>
        <v>2025</v>
      </c>
      <c r="AR345" s="50" t="str">
        <f t="shared" si="36"/>
        <v>Sep-2025</v>
      </c>
      <c r="AS345" s="52">
        <f t="shared" si="37"/>
        <v>45912</v>
      </c>
      <c r="AT345" s="44">
        <f t="shared" ca="1" si="38"/>
        <v>366</v>
      </c>
      <c r="AU345" s="40" t="str">
        <f>LEFT(Sheet1!AE344,3)</f>
        <v>Adi</v>
      </c>
      <c r="AV345" s="40" t="str">
        <f>RIGHT(Sheet1!AF344,2)</f>
        <v>or</v>
      </c>
      <c r="AW345" s="40" t="str">
        <f>MID(Sheet1!AE344,2,3)</f>
        <v>dit</v>
      </c>
      <c r="AX345" s="42">
        <f>LEN(Sheet1!AE344)</f>
        <v>5</v>
      </c>
      <c r="AY345" s="40" t="str">
        <f>UPPER(Sheet1!AE344)</f>
        <v>ADITI</v>
      </c>
      <c r="AZ345" s="40" t="str">
        <f>LOWER(Sheet1!AE344)</f>
        <v>aditi</v>
      </c>
      <c r="BA345" s="40" t="str">
        <f>PROPER(Sheet1!AE344)</f>
        <v>Aditi</v>
      </c>
      <c r="BB345" s="40" t="str">
        <f>_xlfn.CONCAT(Sheet1!AE344," ",Sheet1!AF344)</f>
        <v>Aditi Kapoor</v>
      </c>
    </row>
    <row r="346" spans="40:54">
      <c r="AN346" s="49">
        <f>Sheet1!B345</f>
        <v>45902</v>
      </c>
      <c r="AO346" s="50">
        <f t="shared" si="33"/>
        <v>12</v>
      </c>
      <c r="AP346" s="50">
        <f t="shared" si="34"/>
        <v>9</v>
      </c>
      <c r="AQ346" s="50">
        <f t="shared" si="35"/>
        <v>2025</v>
      </c>
      <c r="AR346" s="50" t="str">
        <f t="shared" si="36"/>
        <v>Sep-2025</v>
      </c>
      <c r="AS346" s="52">
        <f t="shared" si="37"/>
        <v>45912</v>
      </c>
      <c r="AT346" s="44">
        <f t="shared" ca="1" si="38"/>
        <v>366</v>
      </c>
      <c r="AU346" s="40" t="str">
        <f>LEFT(Sheet1!AE345,3)</f>
        <v>Neh</v>
      </c>
      <c r="AV346" s="40" t="str">
        <f>RIGHT(Sheet1!AF345,2)</f>
        <v>ta</v>
      </c>
      <c r="AW346" s="40" t="str">
        <f>MID(Sheet1!AE345,2,3)</f>
        <v>eha</v>
      </c>
      <c r="AX346" s="42">
        <f>LEN(Sheet1!AE345)</f>
        <v>4</v>
      </c>
      <c r="AY346" s="40" t="str">
        <f>UPPER(Sheet1!AE345)</f>
        <v>NEHA</v>
      </c>
      <c r="AZ346" s="40" t="str">
        <f>LOWER(Sheet1!AE345)</f>
        <v>neha</v>
      </c>
      <c r="BA346" s="40" t="str">
        <f>PROPER(Sheet1!AE345)</f>
        <v>Neha</v>
      </c>
      <c r="BB346" s="40" t="str">
        <f>_xlfn.CONCAT(Sheet1!AE345," ",Sheet1!AF345)</f>
        <v>Neha Mehta</v>
      </c>
    </row>
    <row r="347" spans="40:54">
      <c r="AN347" s="49">
        <f>Sheet1!B346</f>
        <v>45907</v>
      </c>
      <c r="AO347" s="50">
        <f t="shared" si="33"/>
        <v>1</v>
      </c>
      <c r="AP347" s="50">
        <f t="shared" si="34"/>
        <v>9</v>
      </c>
      <c r="AQ347" s="50">
        <f t="shared" si="35"/>
        <v>2025</v>
      </c>
      <c r="AR347" s="50" t="str">
        <f t="shared" si="36"/>
        <v>Sep-2025</v>
      </c>
      <c r="AS347" s="52">
        <f t="shared" si="37"/>
        <v>45901</v>
      </c>
      <c r="AT347" s="44">
        <f t="shared" ca="1" si="38"/>
        <v>377</v>
      </c>
      <c r="AU347" s="40" t="str">
        <f>LEFT(Sheet1!AE346,3)</f>
        <v>Kav</v>
      </c>
      <c r="AV347" s="40" t="str">
        <f>RIGHT(Sheet1!AF346,2)</f>
        <v>al</v>
      </c>
      <c r="AW347" s="40" t="str">
        <f>MID(Sheet1!AE346,2,3)</f>
        <v>avy</v>
      </c>
      <c r="AX347" s="42">
        <f>LEN(Sheet1!AE346)</f>
        <v>5</v>
      </c>
      <c r="AY347" s="40" t="str">
        <f>UPPER(Sheet1!AE346)</f>
        <v>KAVYA</v>
      </c>
      <c r="AZ347" s="40" t="str">
        <f>LOWER(Sheet1!AE346)</f>
        <v>kavya</v>
      </c>
      <c r="BA347" s="40" t="str">
        <f>PROPER(Sheet1!AE346)</f>
        <v>Kavya</v>
      </c>
      <c r="BB347" s="40" t="str">
        <f>_xlfn.CONCAT(Sheet1!AE346," ",Sheet1!AF346)</f>
        <v>Kavya Bansal</v>
      </c>
    </row>
    <row r="348" spans="40:54">
      <c r="AN348" s="49">
        <f>Sheet1!B347</f>
        <v>45907</v>
      </c>
      <c r="AO348" s="50">
        <f t="shared" si="33"/>
        <v>1</v>
      </c>
      <c r="AP348" s="50">
        <f t="shared" si="34"/>
        <v>9</v>
      </c>
      <c r="AQ348" s="50">
        <f t="shared" si="35"/>
        <v>2025</v>
      </c>
      <c r="AR348" s="50" t="str">
        <f t="shared" si="36"/>
        <v>Sep-2025</v>
      </c>
      <c r="AS348" s="52">
        <f t="shared" si="37"/>
        <v>45901</v>
      </c>
      <c r="AT348" s="44">
        <f t="shared" ca="1" si="38"/>
        <v>377</v>
      </c>
      <c r="AU348" s="40" t="str">
        <f>LEFT(Sheet1!AE347,3)</f>
        <v>Ish</v>
      </c>
      <c r="AV348" s="40" t="str">
        <f>RIGHT(Sheet1!AF347,2)</f>
        <v>ra</v>
      </c>
      <c r="AW348" s="40" t="str">
        <f>MID(Sheet1!AE347,2,3)</f>
        <v>shi</v>
      </c>
      <c r="AX348" s="42">
        <f>LEN(Sheet1!AE347)</f>
        <v>6</v>
      </c>
      <c r="AY348" s="40" t="str">
        <f>UPPER(Sheet1!AE347)</f>
        <v>ISHITA</v>
      </c>
      <c r="AZ348" s="40" t="str">
        <f>LOWER(Sheet1!AE347)</f>
        <v>ishita</v>
      </c>
      <c r="BA348" s="40" t="str">
        <f>PROPER(Sheet1!AE347)</f>
        <v>Ishita</v>
      </c>
      <c r="BB348" s="40" t="str">
        <f>_xlfn.CONCAT(Sheet1!AE347," ",Sheet1!AF347)</f>
        <v>Ishita Mishra</v>
      </c>
    </row>
    <row r="349" spans="40:54">
      <c r="AN349" s="49">
        <f>Sheet1!B348</f>
        <v>45909</v>
      </c>
      <c r="AO349" s="50">
        <f t="shared" si="33"/>
        <v>2</v>
      </c>
      <c r="AP349" s="50">
        <f t="shared" si="34"/>
        <v>9</v>
      </c>
      <c r="AQ349" s="50">
        <f t="shared" si="35"/>
        <v>2025</v>
      </c>
      <c r="AR349" s="50" t="str">
        <f t="shared" si="36"/>
        <v>Sep-2025</v>
      </c>
      <c r="AS349" s="52">
        <f t="shared" si="37"/>
        <v>45902</v>
      </c>
      <c r="AT349" s="44">
        <f t="shared" ca="1" si="38"/>
        <v>376</v>
      </c>
      <c r="AU349" s="40" t="str">
        <f>LEFT(Sheet1!AE348,3)</f>
        <v>Riy</v>
      </c>
      <c r="AV349" s="40" t="str">
        <f>RIGHT(Sheet1!AF348,2)</f>
        <v>ma</v>
      </c>
      <c r="AW349" s="40" t="str">
        <f>MID(Sheet1!AE348,2,3)</f>
        <v>iya</v>
      </c>
      <c r="AX349" s="42">
        <f>LEN(Sheet1!AE348)</f>
        <v>4</v>
      </c>
      <c r="AY349" s="40" t="str">
        <f>UPPER(Sheet1!AE348)</f>
        <v>RIYA</v>
      </c>
      <c r="AZ349" s="40" t="str">
        <f>LOWER(Sheet1!AE348)</f>
        <v>riya</v>
      </c>
      <c r="BA349" s="40" t="str">
        <f>PROPER(Sheet1!AE348)</f>
        <v>Riya</v>
      </c>
      <c r="BB349" s="40" t="str">
        <f>_xlfn.CONCAT(Sheet1!AE348," ",Sheet1!AF348)</f>
        <v>Riya Sharma</v>
      </c>
    </row>
    <row r="350" spans="40:54">
      <c r="AN350" s="49">
        <f>Sheet1!B349</f>
        <v>45909</v>
      </c>
      <c r="AO350" s="50">
        <f t="shared" si="33"/>
        <v>2</v>
      </c>
      <c r="AP350" s="50">
        <f t="shared" si="34"/>
        <v>9</v>
      </c>
      <c r="AQ350" s="50">
        <f t="shared" si="35"/>
        <v>2025</v>
      </c>
      <c r="AR350" s="50" t="str">
        <f t="shared" si="36"/>
        <v>Sep-2025</v>
      </c>
      <c r="AS350" s="52">
        <f t="shared" si="37"/>
        <v>45902</v>
      </c>
      <c r="AT350" s="44">
        <f t="shared" ca="1" si="38"/>
        <v>376</v>
      </c>
      <c r="AU350" s="40" t="str">
        <f>LEFT(Sheet1!AE349,3)</f>
        <v>Ish</v>
      </c>
      <c r="AV350" s="40" t="str">
        <f>RIGHT(Sheet1!AF349,2)</f>
        <v>or</v>
      </c>
      <c r="AW350" s="40" t="str">
        <f>MID(Sheet1!AE349,2,3)</f>
        <v>shi</v>
      </c>
      <c r="AX350" s="42">
        <f>LEN(Sheet1!AE349)</f>
        <v>6</v>
      </c>
      <c r="AY350" s="40" t="str">
        <f>UPPER(Sheet1!AE349)</f>
        <v>ISHITA</v>
      </c>
      <c r="AZ350" s="40" t="str">
        <f>LOWER(Sheet1!AE349)</f>
        <v>ishita</v>
      </c>
      <c r="BA350" s="40" t="str">
        <f>PROPER(Sheet1!AE349)</f>
        <v>Ishita</v>
      </c>
      <c r="BB350" s="40" t="str">
        <f>_xlfn.CONCAT(Sheet1!AE349," ",Sheet1!AF349)</f>
        <v>Ishita Kapoor</v>
      </c>
    </row>
    <row r="351" spans="40:54">
      <c r="AN351" s="49">
        <f>Sheet1!B350</f>
        <v>45909</v>
      </c>
      <c r="AO351" s="50">
        <f t="shared" si="33"/>
        <v>3</v>
      </c>
      <c r="AP351" s="50">
        <f t="shared" si="34"/>
        <v>9</v>
      </c>
      <c r="AQ351" s="50">
        <f t="shared" si="35"/>
        <v>2025</v>
      </c>
      <c r="AR351" s="50" t="str">
        <f t="shared" si="36"/>
        <v>Sep-2025</v>
      </c>
      <c r="AS351" s="52">
        <f t="shared" si="37"/>
        <v>45903</v>
      </c>
      <c r="AT351" s="44">
        <f t="shared" ca="1" si="38"/>
        <v>375</v>
      </c>
      <c r="AU351" s="40" t="str">
        <f>LEFT(Sheet1!AE350,3)</f>
        <v>Arj</v>
      </c>
      <c r="AV351" s="40" t="str">
        <f>RIGHT(Sheet1!AF350,2)</f>
        <v>ta</v>
      </c>
      <c r="AW351" s="40" t="str">
        <f>MID(Sheet1!AE350,2,3)</f>
        <v>rju</v>
      </c>
      <c r="AX351" s="42">
        <f>LEN(Sheet1!AE350)</f>
        <v>5</v>
      </c>
      <c r="AY351" s="40" t="str">
        <f>UPPER(Sheet1!AE350)</f>
        <v>ARJUN</v>
      </c>
      <c r="AZ351" s="40" t="str">
        <f>LOWER(Sheet1!AE350)</f>
        <v>arjun</v>
      </c>
      <c r="BA351" s="40" t="str">
        <f>PROPER(Sheet1!AE350)</f>
        <v>Arjun</v>
      </c>
      <c r="BB351" s="40" t="str">
        <f>_xlfn.CONCAT(Sheet1!AE350," ",Sheet1!AF350)</f>
        <v>Arjun Mehta</v>
      </c>
    </row>
    <row r="352" spans="40:54">
      <c r="AN352" s="49">
        <f>Sheet1!B351</f>
        <v>45909</v>
      </c>
      <c r="AO352" s="50">
        <f t="shared" si="33"/>
        <v>4</v>
      </c>
      <c r="AP352" s="50">
        <f t="shared" si="34"/>
        <v>9</v>
      </c>
      <c r="AQ352" s="50">
        <f t="shared" si="35"/>
        <v>2025</v>
      </c>
      <c r="AR352" s="50" t="str">
        <f t="shared" si="36"/>
        <v>Sep-2025</v>
      </c>
      <c r="AS352" s="52">
        <f t="shared" si="37"/>
        <v>45904</v>
      </c>
      <c r="AT352" s="44">
        <f t="shared" ca="1" si="38"/>
        <v>374</v>
      </c>
      <c r="AU352" s="40" t="str">
        <f>LEFT(Sheet1!AE351,3)</f>
        <v>Arj</v>
      </c>
      <c r="AV352" s="40" t="str">
        <f>RIGHT(Sheet1!AF351,2)</f>
        <v>ma</v>
      </c>
      <c r="AW352" s="40" t="str">
        <f>MID(Sheet1!AE351,2,3)</f>
        <v>rju</v>
      </c>
      <c r="AX352" s="42">
        <f>LEN(Sheet1!AE351)</f>
        <v>5</v>
      </c>
      <c r="AY352" s="40" t="str">
        <f>UPPER(Sheet1!AE351)</f>
        <v>ARJUN</v>
      </c>
      <c r="AZ352" s="40" t="str">
        <f>LOWER(Sheet1!AE351)</f>
        <v>arjun</v>
      </c>
      <c r="BA352" s="40" t="str">
        <f>PROPER(Sheet1!AE351)</f>
        <v>Arjun</v>
      </c>
      <c r="BB352" s="40" t="str">
        <f>_xlfn.CONCAT(Sheet1!AE351," ",Sheet1!AF351)</f>
        <v>Arjun Sharma</v>
      </c>
    </row>
    <row r="353" spans="40:54">
      <c r="AN353" s="49">
        <f>Sheet1!B352</f>
        <v>45912</v>
      </c>
      <c r="AO353" s="50">
        <f t="shared" si="33"/>
        <v>5</v>
      </c>
      <c r="AP353" s="50">
        <f t="shared" si="34"/>
        <v>9</v>
      </c>
      <c r="AQ353" s="50">
        <f t="shared" si="35"/>
        <v>2025</v>
      </c>
      <c r="AR353" s="50" t="str">
        <f t="shared" si="36"/>
        <v>Sep-2025</v>
      </c>
      <c r="AS353" s="52">
        <f t="shared" si="37"/>
        <v>45905</v>
      </c>
      <c r="AT353" s="44">
        <f t="shared" ca="1" si="38"/>
        <v>373</v>
      </c>
      <c r="AU353" s="40" t="str">
        <f>LEFT(Sheet1!AE352,3)</f>
        <v>Ana</v>
      </c>
      <c r="AV353" s="40" t="str">
        <f>RIGHT(Sheet1!AF352,2)</f>
        <v>na</v>
      </c>
      <c r="AW353" s="40" t="str">
        <f>MID(Sheet1!AE352,2,3)</f>
        <v>nan</v>
      </c>
      <c r="AX353" s="42">
        <f>LEN(Sheet1!AE352)</f>
        <v>6</v>
      </c>
      <c r="AY353" s="40" t="str">
        <f>UPPER(Sheet1!AE352)</f>
        <v>ANANYA</v>
      </c>
      <c r="AZ353" s="40" t="str">
        <f>LOWER(Sheet1!AE352)</f>
        <v>ananya</v>
      </c>
      <c r="BA353" s="40" t="str">
        <f>PROPER(Sheet1!AE352)</f>
        <v>Ananya</v>
      </c>
      <c r="BB353" s="40" t="str">
        <f>_xlfn.CONCAT(Sheet1!AE352," ",Sheet1!AF352)</f>
        <v>Ananya Saxena</v>
      </c>
    </row>
    <row r="354" spans="40:54">
      <c r="AN354" s="49">
        <f>Sheet1!B353</f>
        <v>45931</v>
      </c>
      <c r="AO354" s="50">
        <f t="shared" si="33"/>
        <v>6</v>
      </c>
      <c r="AP354" s="50">
        <f t="shared" si="34"/>
        <v>10</v>
      </c>
      <c r="AQ354" s="50">
        <f t="shared" si="35"/>
        <v>2025</v>
      </c>
      <c r="AR354" s="50" t="str">
        <f t="shared" si="36"/>
        <v>Oct-2025</v>
      </c>
      <c r="AS354" s="52">
        <f t="shared" si="37"/>
        <v>45936</v>
      </c>
      <c r="AT354" s="44">
        <f t="shared" ca="1" si="38"/>
        <v>342</v>
      </c>
      <c r="AU354" s="40" t="str">
        <f>LEFT(Sheet1!AE353,3)</f>
        <v>Pri</v>
      </c>
      <c r="AV354" s="40" t="str">
        <f>RIGHT(Sheet1!AF353,2)</f>
        <v>in</v>
      </c>
      <c r="AW354" s="40" t="str">
        <f>MID(Sheet1!AE353,2,3)</f>
        <v>riy</v>
      </c>
      <c r="AX354" s="42">
        <f>LEN(Sheet1!AE353)</f>
        <v>5</v>
      </c>
      <c r="AY354" s="40" t="str">
        <f>UPPER(Sheet1!AE353)</f>
        <v>PRIYA</v>
      </c>
      <c r="AZ354" s="40" t="str">
        <f>LOWER(Sheet1!AE353)</f>
        <v>priya</v>
      </c>
      <c r="BA354" s="40" t="str">
        <f>PROPER(Sheet1!AE353)</f>
        <v>Priya</v>
      </c>
      <c r="BB354" s="40" t="str">
        <f>_xlfn.CONCAT(Sheet1!AE353," ",Sheet1!AF353)</f>
        <v>Priya Jain</v>
      </c>
    </row>
    <row r="355" spans="40:54">
      <c r="AN355" s="49">
        <f>Sheet1!B354</f>
        <v>45931</v>
      </c>
      <c r="AO355" s="50">
        <f t="shared" si="33"/>
        <v>7</v>
      </c>
      <c r="AP355" s="50">
        <f t="shared" si="34"/>
        <v>10</v>
      </c>
      <c r="AQ355" s="50">
        <f t="shared" si="35"/>
        <v>2025</v>
      </c>
      <c r="AR355" s="50" t="str">
        <f t="shared" si="36"/>
        <v>Oct-2025</v>
      </c>
      <c r="AS355" s="52">
        <f t="shared" si="37"/>
        <v>45937</v>
      </c>
      <c r="AT355" s="44">
        <f t="shared" ca="1" si="38"/>
        <v>341</v>
      </c>
      <c r="AU355" s="40" t="str">
        <f>LEFT(Sheet1!AE354,3)</f>
        <v>Rah</v>
      </c>
      <c r="AV355" s="40" t="str">
        <f>RIGHT(Sheet1!AF354,2)</f>
        <v>ra</v>
      </c>
      <c r="AW355" s="40" t="str">
        <f>MID(Sheet1!AE354,2,3)</f>
        <v>ahu</v>
      </c>
      <c r="AX355" s="42">
        <f>LEN(Sheet1!AE354)</f>
        <v>5</v>
      </c>
      <c r="AY355" s="40" t="str">
        <f>UPPER(Sheet1!AE354)</f>
        <v>RAHUL</v>
      </c>
      <c r="AZ355" s="40" t="str">
        <f>LOWER(Sheet1!AE354)</f>
        <v>rahul</v>
      </c>
      <c r="BA355" s="40" t="str">
        <f>PROPER(Sheet1!AE354)</f>
        <v>Rahul</v>
      </c>
      <c r="BB355" s="40" t="str">
        <f>_xlfn.CONCAT(Sheet1!AE354," ",Sheet1!AF354)</f>
        <v>Rahul Chopra</v>
      </c>
    </row>
    <row r="356" spans="40:54">
      <c r="AN356" s="49">
        <f>Sheet1!B355</f>
        <v>45932</v>
      </c>
      <c r="AO356" s="50">
        <f t="shared" si="33"/>
        <v>7</v>
      </c>
      <c r="AP356" s="50">
        <f t="shared" si="34"/>
        <v>10</v>
      </c>
      <c r="AQ356" s="50">
        <f t="shared" si="35"/>
        <v>2025</v>
      </c>
      <c r="AR356" s="50" t="str">
        <f t="shared" si="36"/>
        <v>Oct-2025</v>
      </c>
      <c r="AS356" s="52">
        <f t="shared" si="37"/>
        <v>45937</v>
      </c>
      <c r="AT356" s="44">
        <f t="shared" ca="1" si="38"/>
        <v>341</v>
      </c>
      <c r="AU356" s="40" t="str">
        <f>LEFT(Sheet1!AE355,3)</f>
        <v>Sne</v>
      </c>
      <c r="AV356" s="40" t="str">
        <f>RIGHT(Sheet1!AF355,2)</f>
        <v>gh</v>
      </c>
      <c r="AW356" s="40" t="str">
        <f>MID(Sheet1!AE355,2,3)</f>
        <v>neh</v>
      </c>
      <c r="AX356" s="42">
        <f>LEN(Sheet1!AE355)</f>
        <v>5</v>
      </c>
      <c r="AY356" s="40" t="str">
        <f>UPPER(Sheet1!AE355)</f>
        <v>SNEHA</v>
      </c>
      <c r="AZ356" s="40" t="str">
        <f>LOWER(Sheet1!AE355)</f>
        <v>sneha</v>
      </c>
      <c r="BA356" s="40" t="str">
        <f>PROPER(Sheet1!AE355)</f>
        <v>Sneha</v>
      </c>
      <c r="BB356" s="40" t="str">
        <f>_xlfn.CONCAT(Sheet1!AE355," ",Sheet1!AF355)</f>
        <v>Sneha Singh</v>
      </c>
    </row>
    <row r="357" spans="40:54">
      <c r="AN357" s="49">
        <f>Sheet1!B356</f>
        <v>45932</v>
      </c>
      <c r="AO357" s="50">
        <f t="shared" si="33"/>
        <v>7</v>
      </c>
      <c r="AP357" s="50">
        <f t="shared" si="34"/>
        <v>10</v>
      </c>
      <c r="AQ357" s="50">
        <f t="shared" si="35"/>
        <v>2025</v>
      </c>
      <c r="AR357" s="50" t="str">
        <f t="shared" si="36"/>
        <v>Oct-2025</v>
      </c>
      <c r="AS357" s="52">
        <f t="shared" si="37"/>
        <v>45937</v>
      </c>
      <c r="AT357" s="44">
        <f t="shared" ca="1" si="38"/>
        <v>341</v>
      </c>
      <c r="AU357" s="40" t="str">
        <f>LEFT(Sheet1!AE356,3)</f>
        <v>Sim</v>
      </c>
      <c r="AV357" s="40" t="str">
        <f>RIGHT(Sheet1!AF356,2)</f>
        <v>ar</v>
      </c>
      <c r="AW357" s="40" t="str">
        <f>MID(Sheet1!AE356,2,3)</f>
        <v>imr</v>
      </c>
      <c r="AX357" s="42">
        <f>LEN(Sheet1!AE356)</f>
        <v>6</v>
      </c>
      <c r="AY357" s="40" t="str">
        <f>UPPER(Sheet1!AE356)</f>
        <v>SIMRAN</v>
      </c>
      <c r="AZ357" s="40" t="str">
        <f>LOWER(Sheet1!AE356)</f>
        <v>simran</v>
      </c>
      <c r="BA357" s="40" t="str">
        <f>PROPER(Sheet1!AE356)</f>
        <v>Simran</v>
      </c>
      <c r="BB357" s="40" t="str">
        <f>_xlfn.CONCAT(Sheet1!AE356," ",Sheet1!AF356)</f>
        <v>Simran Kumar</v>
      </c>
    </row>
    <row r="358" spans="40:54">
      <c r="AN358" s="49">
        <f>Sheet1!B357</f>
        <v>45933</v>
      </c>
      <c r="AO358" s="50">
        <f t="shared" si="33"/>
        <v>9</v>
      </c>
      <c r="AP358" s="50">
        <f t="shared" si="34"/>
        <v>10</v>
      </c>
      <c r="AQ358" s="50">
        <f t="shared" si="35"/>
        <v>2025</v>
      </c>
      <c r="AR358" s="50" t="str">
        <f t="shared" si="36"/>
        <v>Oct-2025</v>
      </c>
      <c r="AS358" s="52">
        <f t="shared" si="37"/>
        <v>45939</v>
      </c>
      <c r="AT358" s="44">
        <f t="shared" ca="1" si="38"/>
        <v>339</v>
      </c>
      <c r="AU358" s="40" t="str">
        <f>LEFT(Sheet1!AE357,3)</f>
        <v>Aar</v>
      </c>
      <c r="AV358" s="40" t="str">
        <f>RIGHT(Sheet1!AF357,2)</f>
        <v>av</v>
      </c>
      <c r="AW358" s="40" t="str">
        <f>MID(Sheet1!AE357,2,3)</f>
        <v>ara</v>
      </c>
      <c r="AX358" s="42">
        <f>LEN(Sheet1!AE357)</f>
        <v>5</v>
      </c>
      <c r="AY358" s="40" t="str">
        <f>UPPER(Sheet1!AE357)</f>
        <v>AARAV</v>
      </c>
      <c r="AZ358" s="40" t="str">
        <f>LOWER(Sheet1!AE357)</f>
        <v>aarav</v>
      </c>
      <c r="BA358" s="40" t="str">
        <f>PROPER(Sheet1!AE357)</f>
        <v>Aarav</v>
      </c>
      <c r="BB358" s="40" t="str">
        <f>_xlfn.CONCAT(Sheet1!AE357," ",Sheet1!AF357)</f>
        <v>Aarav Yadav</v>
      </c>
    </row>
    <row r="359" spans="40:54">
      <c r="AN359" s="49">
        <f>Sheet1!B358</f>
        <v>45934</v>
      </c>
      <c r="AO359" s="50">
        <f t="shared" si="33"/>
        <v>9</v>
      </c>
      <c r="AP359" s="50">
        <f t="shared" si="34"/>
        <v>10</v>
      </c>
      <c r="AQ359" s="50">
        <f t="shared" si="35"/>
        <v>2025</v>
      </c>
      <c r="AR359" s="50" t="str">
        <f t="shared" si="36"/>
        <v>Oct-2025</v>
      </c>
      <c r="AS359" s="52">
        <f t="shared" si="37"/>
        <v>45939</v>
      </c>
      <c r="AT359" s="44">
        <f t="shared" ca="1" si="38"/>
        <v>339</v>
      </c>
      <c r="AU359" s="40" t="str">
        <f>LEFT(Sheet1!AE358,3)</f>
        <v>Kav</v>
      </c>
      <c r="AV359" s="40" t="str">
        <f>RIGHT(Sheet1!AF358,2)</f>
        <v>al</v>
      </c>
      <c r="AW359" s="40" t="str">
        <f>MID(Sheet1!AE358,2,3)</f>
        <v>avy</v>
      </c>
      <c r="AX359" s="42">
        <f>LEN(Sheet1!AE358)</f>
        <v>5</v>
      </c>
      <c r="AY359" s="40" t="str">
        <f>UPPER(Sheet1!AE358)</f>
        <v>KAVYA</v>
      </c>
      <c r="AZ359" s="40" t="str">
        <f>LOWER(Sheet1!AE358)</f>
        <v>kavya</v>
      </c>
      <c r="BA359" s="40" t="str">
        <f>PROPER(Sheet1!AE358)</f>
        <v>Kavya</v>
      </c>
      <c r="BB359" s="40" t="str">
        <f>_xlfn.CONCAT(Sheet1!AE358," ",Sheet1!AF358)</f>
        <v>Kavya Agarwal</v>
      </c>
    </row>
    <row r="360" spans="40:54">
      <c r="AN360" s="49">
        <f>Sheet1!B359</f>
        <v>45935</v>
      </c>
      <c r="AO360" s="50">
        <f t="shared" si="33"/>
        <v>9</v>
      </c>
      <c r="AP360" s="50">
        <f t="shared" si="34"/>
        <v>10</v>
      </c>
      <c r="AQ360" s="50">
        <f t="shared" si="35"/>
        <v>2025</v>
      </c>
      <c r="AR360" s="50" t="str">
        <f t="shared" si="36"/>
        <v>Oct-2025</v>
      </c>
      <c r="AS360" s="52">
        <f t="shared" si="37"/>
        <v>45939</v>
      </c>
      <c r="AT360" s="44">
        <f t="shared" ca="1" si="38"/>
        <v>339</v>
      </c>
      <c r="AU360" s="40" t="str">
        <f>LEFT(Sheet1!AE359,3)</f>
        <v>Arj</v>
      </c>
      <c r="AV360" s="40" t="str">
        <f>RIGHT(Sheet1!AF359,2)</f>
        <v>ra</v>
      </c>
      <c r="AW360" s="40" t="str">
        <f>MID(Sheet1!AE359,2,3)</f>
        <v>rju</v>
      </c>
      <c r="AX360" s="42">
        <f>LEN(Sheet1!AE359)</f>
        <v>5</v>
      </c>
      <c r="AY360" s="40" t="str">
        <f>UPPER(Sheet1!AE359)</f>
        <v>ARJUN</v>
      </c>
      <c r="AZ360" s="40" t="str">
        <f>LOWER(Sheet1!AE359)</f>
        <v>arjun</v>
      </c>
      <c r="BA360" s="40" t="str">
        <f>PROPER(Sheet1!AE359)</f>
        <v>Arjun</v>
      </c>
      <c r="BB360" s="40" t="str">
        <f>_xlfn.CONCAT(Sheet1!AE359," ",Sheet1!AF359)</f>
        <v>Arjun Chopra</v>
      </c>
    </row>
    <row r="361" spans="40:54">
      <c r="AN361" s="49">
        <f>Sheet1!B360</f>
        <v>45937</v>
      </c>
      <c r="AO361" s="50">
        <f t="shared" si="33"/>
        <v>10</v>
      </c>
      <c r="AP361" s="50">
        <f t="shared" si="34"/>
        <v>10</v>
      </c>
      <c r="AQ361" s="50">
        <f t="shared" si="35"/>
        <v>2025</v>
      </c>
      <c r="AR361" s="50" t="str">
        <f t="shared" si="36"/>
        <v>Oct-2025</v>
      </c>
      <c r="AS361" s="52">
        <f t="shared" si="37"/>
        <v>45940</v>
      </c>
      <c r="AT361" s="44">
        <f t="shared" ca="1" si="38"/>
        <v>338</v>
      </c>
      <c r="AU361" s="40" t="str">
        <f>LEFT(Sheet1!AE360,3)</f>
        <v>Ana</v>
      </c>
      <c r="AV361" s="40" t="str">
        <f>RIGHT(Sheet1!AF360,2)</f>
        <v>al</v>
      </c>
      <c r="AW361" s="40" t="str">
        <f>MID(Sheet1!AE360,2,3)</f>
        <v>nan</v>
      </c>
      <c r="AX361" s="42">
        <f>LEN(Sheet1!AE360)</f>
        <v>6</v>
      </c>
      <c r="AY361" s="40" t="str">
        <f>UPPER(Sheet1!AE360)</f>
        <v>ANANYA</v>
      </c>
      <c r="AZ361" s="40" t="str">
        <f>LOWER(Sheet1!AE360)</f>
        <v>ananya</v>
      </c>
      <c r="BA361" s="40" t="str">
        <f>PROPER(Sheet1!AE360)</f>
        <v>Ananya</v>
      </c>
      <c r="BB361" s="40" t="str">
        <f>_xlfn.CONCAT(Sheet1!AE360," ",Sheet1!AF360)</f>
        <v>Ananya Bansal</v>
      </c>
    </row>
    <row r="362" spans="40:54">
      <c r="AN362" s="49">
        <f>Sheet1!B361</f>
        <v>45938</v>
      </c>
      <c r="AO362" s="50">
        <f t="shared" si="33"/>
        <v>11</v>
      </c>
      <c r="AP362" s="50">
        <f t="shared" si="34"/>
        <v>10</v>
      </c>
      <c r="AQ362" s="50">
        <f t="shared" si="35"/>
        <v>2025</v>
      </c>
      <c r="AR362" s="50" t="str">
        <f t="shared" si="36"/>
        <v>Oct-2025</v>
      </c>
      <c r="AS362" s="52">
        <f t="shared" si="37"/>
        <v>45941</v>
      </c>
      <c r="AT362" s="44">
        <f t="shared" ca="1" si="38"/>
        <v>337</v>
      </c>
      <c r="AU362" s="40" t="str">
        <f>LEFT(Sheet1!AE361,3)</f>
        <v>Rah</v>
      </c>
      <c r="AV362" s="40" t="str">
        <f>RIGHT(Sheet1!AF361,2)</f>
        <v>ra</v>
      </c>
      <c r="AW362" s="40" t="str">
        <f>MID(Sheet1!AE361,2,3)</f>
        <v>ahu</v>
      </c>
      <c r="AX362" s="42">
        <f>LEN(Sheet1!AE361)</f>
        <v>5</v>
      </c>
      <c r="AY362" s="40" t="str">
        <f>UPPER(Sheet1!AE361)</f>
        <v>RAHUL</v>
      </c>
      <c r="AZ362" s="40" t="str">
        <f>LOWER(Sheet1!AE361)</f>
        <v>rahul</v>
      </c>
      <c r="BA362" s="40" t="str">
        <f>PROPER(Sheet1!AE361)</f>
        <v>Rahul</v>
      </c>
      <c r="BB362" s="40" t="str">
        <f>_xlfn.CONCAT(Sheet1!AE361," ",Sheet1!AF361)</f>
        <v>Rahul Malhotra</v>
      </c>
    </row>
    <row r="363" spans="40:54">
      <c r="AN363" s="49">
        <f>Sheet1!B362</f>
        <v>45938</v>
      </c>
      <c r="AO363" s="50">
        <f t="shared" si="33"/>
        <v>1</v>
      </c>
      <c r="AP363" s="50">
        <f t="shared" si="34"/>
        <v>10</v>
      </c>
      <c r="AQ363" s="50">
        <f t="shared" si="35"/>
        <v>2025</v>
      </c>
      <c r="AR363" s="50" t="str">
        <f t="shared" si="36"/>
        <v>Oct-2025</v>
      </c>
      <c r="AS363" s="52">
        <f t="shared" si="37"/>
        <v>45931</v>
      </c>
      <c r="AT363" s="44">
        <f t="shared" ca="1" si="38"/>
        <v>347</v>
      </c>
      <c r="AU363" s="40" t="str">
        <f>LEFT(Sheet1!AE362,3)</f>
        <v>Poo</v>
      </c>
      <c r="AV363" s="40" t="str">
        <f>RIGHT(Sheet1!AF362,2)</f>
        <v>ta</v>
      </c>
      <c r="AW363" s="40" t="str">
        <f>MID(Sheet1!AE362,2,3)</f>
        <v>ooj</v>
      </c>
      <c r="AX363" s="42">
        <f>LEN(Sheet1!AE362)</f>
        <v>5</v>
      </c>
      <c r="AY363" s="40" t="str">
        <f>UPPER(Sheet1!AE362)</f>
        <v>POOJA</v>
      </c>
      <c r="AZ363" s="40" t="str">
        <f>LOWER(Sheet1!AE362)</f>
        <v>pooja</v>
      </c>
      <c r="BA363" s="40" t="str">
        <f>PROPER(Sheet1!AE362)</f>
        <v>Pooja</v>
      </c>
      <c r="BB363" s="40" t="str">
        <f>_xlfn.CONCAT(Sheet1!AE362," ",Sheet1!AF362)</f>
        <v>Pooja Mehta</v>
      </c>
    </row>
    <row r="364" spans="40:54">
      <c r="AN364" s="49">
        <f>Sheet1!B363</f>
        <v>45939</v>
      </c>
      <c r="AO364" s="50">
        <f t="shared" si="33"/>
        <v>2</v>
      </c>
      <c r="AP364" s="50">
        <f t="shared" si="34"/>
        <v>10</v>
      </c>
      <c r="AQ364" s="50">
        <f t="shared" si="35"/>
        <v>2025</v>
      </c>
      <c r="AR364" s="50" t="str">
        <f t="shared" si="36"/>
        <v>Oct-2025</v>
      </c>
      <c r="AS364" s="52">
        <f t="shared" si="37"/>
        <v>45932</v>
      </c>
      <c r="AT364" s="44">
        <f t="shared" ca="1" si="38"/>
        <v>346</v>
      </c>
      <c r="AU364" s="40" t="str">
        <f>LEFT(Sheet1!AE363,3)</f>
        <v>Aar</v>
      </c>
      <c r="AV364" s="40" t="str">
        <f>RIGHT(Sheet1!AF363,2)</f>
        <v>av</v>
      </c>
      <c r="AW364" s="40" t="str">
        <f>MID(Sheet1!AE363,2,3)</f>
        <v>ara</v>
      </c>
      <c r="AX364" s="42">
        <f>LEN(Sheet1!AE363)</f>
        <v>5</v>
      </c>
      <c r="AY364" s="40" t="str">
        <f>UPPER(Sheet1!AE363)</f>
        <v>AARAV</v>
      </c>
      <c r="AZ364" s="40" t="str">
        <f>LOWER(Sheet1!AE363)</f>
        <v>aarav</v>
      </c>
      <c r="BA364" s="40" t="str">
        <f>PROPER(Sheet1!AE363)</f>
        <v>Aarav</v>
      </c>
      <c r="BB364" s="40" t="str">
        <f>_xlfn.CONCAT(Sheet1!AE363," ",Sheet1!AF363)</f>
        <v>Aarav Yadav</v>
      </c>
    </row>
    <row r="365" spans="40:54">
      <c r="AN365" s="49">
        <f>Sheet1!B364</f>
        <v>45940</v>
      </c>
      <c r="AO365" s="50">
        <f t="shared" si="33"/>
        <v>3</v>
      </c>
      <c r="AP365" s="50">
        <f t="shared" si="34"/>
        <v>10</v>
      </c>
      <c r="AQ365" s="50">
        <f t="shared" si="35"/>
        <v>2025</v>
      </c>
      <c r="AR365" s="50" t="str">
        <f t="shared" si="36"/>
        <v>Oct-2025</v>
      </c>
      <c r="AS365" s="52">
        <f t="shared" si="37"/>
        <v>45933</v>
      </c>
      <c r="AT365" s="44">
        <f t="shared" ca="1" si="38"/>
        <v>345</v>
      </c>
      <c r="AU365" s="40" t="str">
        <f>LEFT(Sheet1!AE364,3)</f>
        <v>Sne</v>
      </c>
      <c r="AV365" s="40" t="str">
        <f>RIGHT(Sheet1!AF364,2)</f>
        <v>av</v>
      </c>
      <c r="AW365" s="40" t="str">
        <f>MID(Sheet1!AE364,2,3)</f>
        <v>neh</v>
      </c>
      <c r="AX365" s="42">
        <f>LEN(Sheet1!AE364)</f>
        <v>5</v>
      </c>
      <c r="AY365" s="40" t="str">
        <f>UPPER(Sheet1!AE364)</f>
        <v>SNEHA</v>
      </c>
      <c r="AZ365" s="40" t="str">
        <f>LOWER(Sheet1!AE364)</f>
        <v>sneha</v>
      </c>
      <c r="BA365" s="40" t="str">
        <f>PROPER(Sheet1!AE364)</f>
        <v>Sneha</v>
      </c>
      <c r="BB365" s="40" t="str">
        <f>_xlfn.CONCAT(Sheet1!AE364," ",Sheet1!AF364)</f>
        <v>Sneha Yadav</v>
      </c>
    </row>
    <row r="366" spans="40:54">
      <c r="AN366" s="49">
        <f>Sheet1!B365</f>
        <v>45940</v>
      </c>
      <c r="AO366" s="50">
        <f t="shared" si="33"/>
        <v>5</v>
      </c>
      <c r="AP366" s="50">
        <f t="shared" si="34"/>
        <v>10</v>
      </c>
      <c r="AQ366" s="50">
        <f t="shared" si="35"/>
        <v>2025</v>
      </c>
      <c r="AR366" s="50" t="str">
        <f t="shared" si="36"/>
        <v>Oct-2025</v>
      </c>
      <c r="AS366" s="52">
        <f t="shared" si="37"/>
        <v>45935</v>
      </c>
      <c r="AT366" s="44">
        <f t="shared" ca="1" si="38"/>
        <v>343</v>
      </c>
      <c r="AU366" s="40" t="str">
        <f>LEFT(Sheet1!AE365,3)</f>
        <v>Sne</v>
      </c>
      <c r="AV366" s="40" t="str">
        <f>RIGHT(Sheet1!AF365,2)</f>
        <v>or</v>
      </c>
      <c r="AW366" s="40" t="str">
        <f>MID(Sheet1!AE365,2,3)</f>
        <v>neh</v>
      </c>
      <c r="AX366" s="42">
        <f>LEN(Sheet1!AE365)</f>
        <v>5</v>
      </c>
      <c r="AY366" s="40" t="str">
        <f>UPPER(Sheet1!AE365)</f>
        <v>SNEHA</v>
      </c>
      <c r="AZ366" s="40" t="str">
        <f>LOWER(Sheet1!AE365)</f>
        <v>sneha</v>
      </c>
      <c r="BA366" s="40" t="str">
        <f>PROPER(Sheet1!AE365)</f>
        <v>Sneha</v>
      </c>
      <c r="BB366" s="40" t="str">
        <f>_xlfn.CONCAT(Sheet1!AE365," ",Sheet1!AF365)</f>
        <v>Sneha Kapoor</v>
      </c>
    </row>
    <row r="367" spans="40:54">
      <c r="AN367" s="49">
        <f>Sheet1!B366</f>
        <v>45940</v>
      </c>
      <c r="AO367" s="50">
        <f t="shared" si="33"/>
        <v>5</v>
      </c>
      <c r="AP367" s="50">
        <f t="shared" si="34"/>
        <v>10</v>
      </c>
      <c r="AQ367" s="50">
        <f t="shared" si="35"/>
        <v>2025</v>
      </c>
      <c r="AR367" s="50" t="str">
        <f t="shared" si="36"/>
        <v>Oct-2025</v>
      </c>
      <c r="AS367" s="52">
        <f t="shared" si="37"/>
        <v>45935</v>
      </c>
      <c r="AT367" s="44">
        <f t="shared" ca="1" si="38"/>
        <v>343</v>
      </c>
      <c r="AU367" s="40" t="str">
        <f>LEFT(Sheet1!AE366,3)</f>
        <v>Riy</v>
      </c>
      <c r="AV367" s="40" t="str">
        <f>RIGHT(Sheet1!AF366,2)</f>
        <v>av</v>
      </c>
      <c r="AW367" s="40" t="str">
        <f>MID(Sheet1!AE366,2,3)</f>
        <v>iya</v>
      </c>
      <c r="AX367" s="42">
        <f>LEN(Sheet1!AE366)</f>
        <v>4</v>
      </c>
      <c r="AY367" s="40" t="str">
        <f>UPPER(Sheet1!AE366)</f>
        <v>RIYA</v>
      </c>
      <c r="AZ367" s="40" t="str">
        <f>LOWER(Sheet1!AE366)</f>
        <v>riya</v>
      </c>
      <c r="BA367" s="40" t="str">
        <f>PROPER(Sheet1!AE366)</f>
        <v>Riya</v>
      </c>
      <c r="BB367" s="40" t="str">
        <f>_xlfn.CONCAT(Sheet1!AE366," ",Sheet1!AF366)</f>
        <v>Riya Yadav</v>
      </c>
    </row>
    <row r="368" spans="40:54">
      <c r="AN368" s="49">
        <f>Sheet1!B367</f>
        <v>45941</v>
      </c>
      <c r="AO368" s="50">
        <f t="shared" si="33"/>
        <v>5</v>
      </c>
      <c r="AP368" s="50">
        <f t="shared" si="34"/>
        <v>10</v>
      </c>
      <c r="AQ368" s="50">
        <f t="shared" si="35"/>
        <v>2025</v>
      </c>
      <c r="AR368" s="50" t="str">
        <f t="shared" si="36"/>
        <v>Oct-2025</v>
      </c>
      <c r="AS368" s="52">
        <f t="shared" si="37"/>
        <v>45935</v>
      </c>
      <c r="AT368" s="44">
        <f t="shared" ca="1" si="38"/>
        <v>343</v>
      </c>
      <c r="AU368" s="40" t="str">
        <f>LEFT(Sheet1!AE367,3)</f>
        <v>Pri</v>
      </c>
      <c r="AV368" s="40" t="str">
        <f>RIGHT(Sheet1!AF367,2)</f>
        <v>gh</v>
      </c>
      <c r="AW368" s="40" t="str">
        <f>MID(Sheet1!AE367,2,3)</f>
        <v>riy</v>
      </c>
      <c r="AX368" s="42">
        <f>LEN(Sheet1!AE367)</f>
        <v>5</v>
      </c>
      <c r="AY368" s="40" t="str">
        <f>UPPER(Sheet1!AE367)</f>
        <v>PRIYA</v>
      </c>
      <c r="AZ368" s="40" t="str">
        <f>LOWER(Sheet1!AE367)</f>
        <v>priya</v>
      </c>
      <c r="BA368" s="40" t="str">
        <f>PROPER(Sheet1!AE367)</f>
        <v>Priya</v>
      </c>
      <c r="BB368" s="40" t="str">
        <f>_xlfn.CONCAT(Sheet1!AE367," ",Sheet1!AF367)</f>
        <v>Priya Singh</v>
      </c>
    </row>
    <row r="369" spans="40:54">
      <c r="AN369" s="49">
        <f>Sheet1!B368</f>
        <v>45964</v>
      </c>
      <c r="AO369" s="50">
        <f t="shared" si="33"/>
        <v>5</v>
      </c>
      <c r="AP369" s="50">
        <f t="shared" si="34"/>
        <v>11</v>
      </c>
      <c r="AQ369" s="50">
        <f t="shared" si="35"/>
        <v>2025</v>
      </c>
      <c r="AR369" s="50" t="str">
        <f t="shared" si="36"/>
        <v>Nov-2025</v>
      </c>
      <c r="AS369" s="52">
        <f t="shared" si="37"/>
        <v>45966</v>
      </c>
      <c r="AT369" s="44">
        <f t="shared" ca="1" si="38"/>
        <v>312</v>
      </c>
      <c r="AU369" s="40" t="str">
        <f>LEFT(Sheet1!AE368,3)</f>
        <v>Riy</v>
      </c>
      <c r="AV369" s="40" t="str">
        <f>RIGHT(Sheet1!AF368,2)</f>
        <v>ma</v>
      </c>
      <c r="AW369" s="40" t="str">
        <f>MID(Sheet1!AE368,2,3)</f>
        <v>iya</v>
      </c>
      <c r="AX369" s="42">
        <f>LEN(Sheet1!AE368)</f>
        <v>4</v>
      </c>
      <c r="AY369" s="40" t="str">
        <f>UPPER(Sheet1!AE368)</f>
        <v>RIYA</v>
      </c>
      <c r="AZ369" s="40" t="str">
        <f>LOWER(Sheet1!AE368)</f>
        <v>riya</v>
      </c>
      <c r="BA369" s="40" t="str">
        <f>PROPER(Sheet1!AE368)</f>
        <v>Riya</v>
      </c>
      <c r="BB369" s="40" t="str">
        <f>_xlfn.CONCAT(Sheet1!AE368," ",Sheet1!AF368)</f>
        <v>Riya Sharma</v>
      </c>
    </row>
    <row r="370" spans="40:54">
      <c r="AN370" s="49">
        <f>Sheet1!B369</f>
        <v>45964</v>
      </c>
      <c r="AO370" s="50">
        <f t="shared" si="33"/>
        <v>6</v>
      </c>
      <c r="AP370" s="50">
        <f t="shared" si="34"/>
        <v>11</v>
      </c>
      <c r="AQ370" s="50">
        <f t="shared" si="35"/>
        <v>2025</v>
      </c>
      <c r="AR370" s="50" t="str">
        <f t="shared" si="36"/>
        <v>Nov-2025</v>
      </c>
      <c r="AS370" s="52">
        <f t="shared" si="37"/>
        <v>45967</v>
      </c>
      <c r="AT370" s="44">
        <f t="shared" ca="1" si="38"/>
        <v>311</v>
      </c>
      <c r="AU370" s="40" t="str">
        <f>LEFT(Sheet1!AE369,3)</f>
        <v>Riy</v>
      </c>
      <c r="AV370" s="40" t="str">
        <f>RIGHT(Sheet1!AF369,2)</f>
        <v>ar</v>
      </c>
      <c r="AW370" s="40" t="str">
        <f>MID(Sheet1!AE369,2,3)</f>
        <v>iya</v>
      </c>
      <c r="AX370" s="42">
        <f>LEN(Sheet1!AE369)</f>
        <v>4</v>
      </c>
      <c r="AY370" s="40" t="str">
        <f>UPPER(Sheet1!AE369)</f>
        <v>RIYA</v>
      </c>
      <c r="AZ370" s="40" t="str">
        <f>LOWER(Sheet1!AE369)</f>
        <v>riya</v>
      </c>
      <c r="BA370" s="40" t="str">
        <f>PROPER(Sheet1!AE369)</f>
        <v>Riya</v>
      </c>
      <c r="BB370" s="40" t="str">
        <f>_xlfn.CONCAT(Sheet1!AE369," ",Sheet1!AF369)</f>
        <v>Riya Kumar</v>
      </c>
    </row>
    <row r="371" spans="40:54">
      <c r="AN371" s="49">
        <f>Sheet1!B370</f>
        <v>45964</v>
      </c>
      <c r="AO371" s="50">
        <f t="shared" si="33"/>
        <v>7</v>
      </c>
      <c r="AP371" s="50">
        <f t="shared" si="34"/>
        <v>11</v>
      </c>
      <c r="AQ371" s="50">
        <f t="shared" si="35"/>
        <v>2025</v>
      </c>
      <c r="AR371" s="50" t="str">
        <f t="shared" si="36"/>
        <v>Nov-2025</v>
      </c>
      <c r="AS371" s="52">
        <f t="shared" si="37"/>
        <v>45968</v>
      </c>
      <c r="AT371" s="44">
        <f t="shared" ca="1" si="38"/>
        <v>310</v>
      </c>
      <c r="AU371" s="40" t="str">
        <f>LEFT(Sheet1!AE370,3)</f>
        <v>Aar</v>
      </c>
      <c r="AV371" s="40" t="str">
        <f>RIGHT(Sheet1!AF370,2)</f>
        <v>al</v>
      </c>
      <c r="AW371" s="40" t="str">
        <f>MID(Sheet1!AE370,2,3)</f>
        <v>ara</v>
      </c>
      <c r="AX371" s="42">
        <f>LEN(Sheet1!AE370)</f>
        <v>5</v>
      </c>
      <c r="AY371" s="40" t="str">
        <f>UPPER(Sheet1!AE370)</f>
        <v>AARAV</v>
      </c>
      <c r="AZ371" s="40" t="str">
        <f>LOWER(Sheet1!AE370)</f>
        <v>aarav</v>
      </c>
      <c r="BA371" s="40" t="str">
        <f>PROPER(Sheet1!AE370)</f>
        <v>Aarav</v>
      </c>
      <c r="BB371" s="40" t="str">
        <f>_xlfn.CONCAT(Sheet1!AE370," ",Sheet1!AF370)</f>
        <v>Aarav Bansal</v>
      </c>
    </row>
    <row r="372" spans="40:54">
      <c r="AN372" s="49">
        <f>Sheet1!B371</f>
        <v>45964</v>
      </c>
      <c r="AO372" s="50">
        <f t="shared" si="33"/>
        <v>7</v>
      </c>
      <c r="AP372" s="50">
        <f t="shared" si="34"/>
        <v>11</v>
      </c>
      <c r="AQ372" s="50">
        <f t="shared" si="35"/>
        <v>2025</v>
      </c>
      <c r="AR372" s="50" t="str">
        <f t="shared" si="36"/>
        <v>Nov-2025</v>
      </c>
      <c r="AS372" s="52">
        <f t="shared" si="37"/>
        <v>45968</v>
      </c>
      <c r="AT372" s="44">
        <f t="shared" ca="1" si="38"/>
        <v>310</v>
      </c>
      <c r="AU372" s="40" t="str">
        <f>LEFT(Sheet1!AE371,3)</f>
        <v>Nis</v>
      </c>
      <c r="AV372" s="40" t="str">
        <f>RIGHT(Sheet1!AF371,2)</f>
        <v>ma</v>
      </c>
      <c r="AW372" s="40" t="str">
        <f>MID(Sheet1!AE371,2,3)</f>
        <v>ish</v>
      </c>
      <c r="AX372" s="42">
        <f>LEN(Sheet1!AE371)</f>
        <v>5</v>
      </c>
      <c r="AY372" s="40" t="str">
        <f>UPPER(Sheet1!AE371)</f>
        <v>NISHA</v>
      </c>
      <c r="AZ372" s="40" t="str">
        <f>LOWER(Sheet1!AE371)</f>
        <v>nisha</v>
      </c>
      <c r="BA372" s="40" t="str">
        <f>PROPER(Sheet1!AE371)</f>
        <v>Nisha</v>
      </c>
      <c r="BB372" s="40" t="str">
        <f>_xlfn.CONCAT(Sheet1!AE371," ",Sheet1!AF371)</f>
        <v>Nisha Sharma</v>
      </c>
    </row>
    <row r="373" spans="40:54">
      <c r="AN373" s="49">
        <f>Sheet1!B372</f>
        <v>45964</v>
      </c>
      <c r="AO373" s="50">
        <f t="shared" si="33"/>
        <v>7</v>
      </c>
      <c r="AP373" s="50">
        <f t="shared" si="34"/>
        <v>11</v>
      </c>
      <c r="AQ373" s="50">
        <f t="shared" si="35"/>
        <v>2025</v>
      </c>
      <c r="AR373" s="50" t="str">
        <f t="shared" si="36"/>
        <v>Nov-2025</v>
      </c>
      <c r="AS373" s="52">
        <f t="shared" si="37"/>
        <v>45968</v>
      </c>
      <c r="AT373" s="44">
        <f t="shared" ca="1" si="38"/>
        <v>310</v>
      </c>
      <c r="AU373" s="40" t="str">
        <f>LEFT(Sheet1!AE372,3)</f>
        <v>Ana</v>
      </c>
      <c r="AV373" s="40" t="str">
        <f>RIGHT(Sheet1!AF372,2)</f>
        <v>al</v>
      </c>
      <c r="AW373" s="40" t="str">
        <f>MID(Sheet1!AE372,2,3)</f>
        <v>nan</v>
      </c>
      <c r="AX373" s="42">
        <f>LEN(Sheet1!AE372)</f>
        <v>6</v>
      </c>
      <c r="AY373" s="40" t="str">
        <f>UPPER(Sheet1!AE372)</f>
        <v>ANANYA</v>
      </c>
      <c r="AZ373" s="40" t="str">
        <f>LOWER(Sheet1!AE372)</f>
        <v>ananya</v>
      </c>
      <c r="BA373" s="40" t="str">
        <f>PROPER(Sheet1!AE372)</f>
        <v>Ananya</v>
      </c>
      <c r="BB373" s="40" t="str">
        <f>_xlfn.CONCAT(Sheet1!AE372," ",Sheet1!AF372)</f>
        <v>Ananya Agarwal</v>
      </c>
    </row>
    <row r="374" spans="40:54">
      <c r="AN374" s="49">
        <f>Sheet1!B373</f>
        <v>45965</v>
      </c>
      <c r="AO374" s="50">
        <f t="shared" si="33"/>
        <v>8</v>
      </c>
      <c r="AP374" s="50">
        <f t="shared" si="34"/>
        <v>11</v>
      </c>
      <c r="AQ374" s="50">
        <f t="shared" si="35"/>
        <v>2025</v>
      </c>
      <c r="AR374" s="50" t="str">
        <f t="shared" si="36"/>
        <v>Nov-2025</v>
      </c>
      <c r="AS374" s="52">
        <f t="shared" si="37"/>
        <v>45969</v>
      </c>
      <c r="AT374" s="44">
        <f t="shared" ca="1" si="38"/>
        <v>309</v>
      </c>
      <c r="AU374" s="40" t="str">
        <f>LEFT(Sheet1!AE373,3)</f>
        <v>Ish</v>
      </c>
      <c r="AV374" s="40" t="str">
        <f>RIGHT(Sheet1!AF373,2)</f>
        <v>in</v>
      </c>
      <c r="AW374" s="40" t="str">
        <f>MID(Sheet1!AE373,2,3)</f>
        <v>shi</v>
      </c>
      <c r="AX374" s="42">
        <f>LEN(Sheet1!AE373)</f>
        <v>6</v>
      </c>
      <c r="AY374" s="40" t="str">
        <f>UPPER(Sheet1!AE373)</f>
        <v>ISHITA</v>
      </c>
      <c r="AZ374" s="40" t="str">
        <f>LOWER(Sheet1!AE373)</f>
        <v>ishita</v>
      </c>
      <c r="BA374" s="40" t="str">
        <f>PROPER(Sheet1!AE373)</f>
        <v>Ishita</v>
      </c>
      <c r="BB374" s="40" t="str">
        <f>_xlfn.CONCAT(Sheet1!AE373," ",Sheet1!AF373)</f>
        <v>Ishita Jain</v>
      </c>
    </row>
    <row r="375" spans="40:54">
      <c r="AN375" s="49">
        <f>Sheet1!B374</f>
        <v>45965</v>
      </c>
      <c r="AO375" s="50">
        <f t="shared" si="33"/>
        <v>9</v>
      </c>
      <c r="AP375" s="50">
        <f t="shared" si="34"/>
        <v>11</v>
      </c>
      <c r="AQ375" s="50">
        <f t="shared" si="35"/>
        <v>2025</v>
      </c>
      <c r="AR375" s="50" t="str">
        <f t="shared" si="36"/>
        <v>Nov-2025</v>
      </c>
      <c r="AS375" s="52">
        <f t="shared" si="37"/>
        <v>45970</v>
      </c>
      <c r="AT375" s="44">
        <f t="shared" ca="1" si="38"/>
        <v>308</v>
      </c>
      <c r="AU375" s="40" t="str">
        <f>LEFT(Sheet1!AE374,3)</f>
        <v>Pri</v>
      </c>
      <c r="AV375" s="40" t="str">
        <f>RIGHT(Sheet1!AF374,2)</f>
        <v>ta</v>
      </c>
      <c r="AW375" s="40" t="str">
        <f>MID(Sheet1!AE374,2,3)</f>
        <v>riy</v>
      </c>
      <c r="AX375" s="42">
        <f>LEN(Sheet1!AE374)</f>
        <v>5</v>
      </c>
      <c r="AY375" s="40" t="str">
        <f>UPPER(Sheet1!AE374)</f>
        <v>PRIYA</v>
      </c>
      <c r="AZ375" s="40" t="str">
        <f>LOWER(Sheet1!AE374)</f>
        <v>priya</v>
      </c>
      <c r="BA375" s="40" t="str">
        <f>PROPER(Sheet1!AE374)</f>
        <v>Priya</v>
      </c>
      <c r="BB375" s="40" t="str">
        <f>_xlfn.CONCAT(Sheet1!AE374," ",Sheet1!AF374)</f>
        <v>Priya Gupta</v>
      </c>
    </row>
    <row r="376" spans="40:54">
      <c r="AN376" s="49">
        <f>Sheet1!B375</f>
        <v>45966</v>
      </c>
      <c r="AO376" s="50">
        <f t="shared" si="33"/>
        <v>9</v>
      </c>
      <c r="AP376" s="50">
        <f t="shared" si="34"/>
        <v>11</v>
      </c>
      <c r="AQ376" s="50">
        <f t="shared" si="35"/>
        <v>2025</v>
      </c>
      <c r="AR376" s="50" t="str">
        <f t="shared" si="36"/>
        <v>Nov-2025</v>
      </c>
      <c r="AS376" s="52">
        <f t="shared" si="37"/>
        <v>45970</v>
      </c>
      <c r="AT376" s="44">
        <f t="shared" ca="1" si="38"/>
        <v>308</v>
      </c>
      <c r="AU376" s="40" t="str">
        <f>LEFT(Sheet1!AE375,3)</f>
        <v>Vik</v>
      </c>
      <c r="AV376" s="40" t="str">
        <f>RIGHT(Sheet1!AF375,2)</f>
        <v>gh</v>
      </c>
      <c r="AW376" s="40" t="str">
        <f>MID(Sheet1!AE375,2,3)</f>
        <v>ikr</v>
      </c>
      <c r="AX376" s="42">
        <f>LEN(Sheet1!AE375)</f>
        <v>6</v>
      </c>
      <c r="AY376" s="40" t="str">
        <f>UPPER(Sheet1!AE375)</f>
        <v>VIKRAM</v>
      </c>
      <c r="AZ376" s="40" t="str">
        <f>LOWER(Sheet1!AE375)</f>
        <v>vikram</v>
      </c>
      <c r="BA376" s="40" t="str">
        <f>PROPER(Sheet1!AE375)</f>
        <v>Vikram</v>
      </c>
      <c r="BB376" s="40" t="str">
        <f>_xlfn.CONCAT(Sheet1!AE375," ",Sheet1!AF375)</f>
        <v>Vikram Singh</v>
      </c>
    </row>
    <row r="377" spans="40:54">
      <c r="AN377" s="49">
        <f>Sheet1!B376</f>
        <v>45967</v>
      </c>
      <c r="AO377" s="50">
        <f t="shared" si="33"/>
        <v>10</v>
      </c>
      <c r="AP377" s="50">
        <f t="shared" si="34"/>
        <v>11</v>
      </c>
      <c r="AQ377" s="50">
        <f t="shared" si="35"/>
        <v>2025</v>
      </c>
      <c r="AR377" s="50" t="str">
        <f t="shared" si="36"/>
        <v>Nov-2025</v>
      </c>
      <c r="AS377" s="52">
        <f t="shared" si="37"/>
        <v>45971</v>
      </c>
      <c r="AT377" s="44">
        <f t="shared" ca="1" si="38"/>
        <v>307</v>
      </c>
      <c r="AU377" s="40" t="str">
        <f>LEFT(Sheet1!AE376,3)</f>
        <v>Kar</v>
      </c>
      <c r="AV377" s="40" t="str">
        <f>RIGHT(Sheet1!AF376,2)</f>
        <v>ta</v>
      </c>
      <c r="AW377" s="40" t="str">
        <f>MID(Sheet1!AE376,2,3)</f>
        <v>ara</v>
      </c>
      <c r="AX377" s="42">
        <f>LEN(Sheet1!AE376)</f>
        <v>5</v>
      </c>
      <c r="AY377" s="40" t="str">
        <f>UPPER(Sheet1!AE376)</f>
        <v>KARAN</v>
      </c>
      <c r="AZ377" s="40" t="str">
        <f>LOWER(Sheet1!AE376)</f>
        <v>karan</v>
      </c>
      <c r="BA377" s="40" t="str">
        <f>PROPER(Sheet1!AE376)</f>
        <v>Karan</v>
      </c>
      <c r="BB377" s="40" t="str">
        <f>_xlfn.CONCAT(Sheet1!AE376," ",Sheet1!AF376)</f>
        <v>Karan Gupta</v>
      </c>
    </row>
    <row r="378" spans="40:54">
      <c r="AN378" s="49">
        <f>Sheet1!B377</f>
        <v>45967</v>
      </c>
      <c r="AO378" s="50">
        <f t="shared" si="33"/>
        <v>11</v>
      </c>
      <c r="AP378" s="50">
        <f t="shared" si="34"/>
        <v>11</v>
      </c>
      <c r="AQ378" s="50">
        <f t="shared" si="35"/>
        <v>2025</v>
      </c>
      <c r="AR378" s="50" t="str">
        <f t="shared" si="36"/>
        <v>Nov-2025</v>
      </c>
      <c r="AS378" s="52">
        <f t="shared" si="37"/>
        <v>45972</v>
      </c>
      <c r="AT378" s="44">
        <f t="shared" ca="1" si="38"/>
        <v>306</v>
      </c>
      <c r="AU378" s="40" t="str">
        <f>LEFT(Sheet1!AE377,3)</f>
        <v>Pri</v>
      </c>
      <c r="AV378" s="40" t="str">
        <f>RIGHT(Sheet1!AF377,2)</f>
        <v>ma</v>
      </c>
      <c r="AW378" s="40" t="str">
        <f>MID(Sheet1!AE377,2,3)</f>
        <v>riy</v>
      </c>
      <c r="AX378" s="42">
        <f>LEN(Sheet1!AE377)</f>
        <v>5</v>
      </c>
      <c r="AY378" s="40" t="str">
        <f>UPPER(Sheet1!AE377)</f>
        <v>PRIYA</v>
      </c>
      <c r="AZ378" s="40" t="str">
        <f>LOWER(Sheet1!AE377)</f>
        <v>priya</v>
      </c>
      <c r="BA378" s="40" t="str">
        <f>PROPER(Sheet1!AE377)</f>
        <v>Priya</v>
      </c>
      <c r="BB378" s="40" t="str">
        <f>_xlfn.CONCAT(Sheet1!AE377," ",Sheet1!AF377)</f>
        <v>Priya Sharma</v>
      </c>
    </row>
    <row r="379" spans="40:54">
      <c r="AN379" s="49">
        <f>Sheet1!B378</f>
        <v>45969</v>
      </c>
      <c r="AO379" s="50">
        <f t="shared" si="33"/>
        <v>1</v>
      </c>
      <c r="AP379" s="50">
        <f t="shared" si="34"/>
        <v>11</v>
      </c>
      <c r="AQ379" s="50">
        <f t="shared" si="35"/>
        <v>2025</v>
      </c>
      <c r="AR379" s="50" t="str">
        <f t="shared" si="36"/>
        <v>Nov-2025</v>
      </c>
      <c r="AS379" s="52">
        <f t="shared" si="37"/>
        <v>45962</v>
      </c>
      <c r="AT379" s="44">
        <f t="shared" ca="1" si="38"/>
        <v>316</v>
      </c>
      <c r="AU379" s="40" t="str">
        <f>LEFT(Sheet1!AE378,3)</f>
        <v>Nis</v>
      </c>
      <c r="AV379" s="40" t="str">
        <f>RIGHT(Sheet1!AF378,2)</f>
        <v>ta</v>
      </c>
      <c r="AW379" s="40" t="str">
        <f>MID(Sheet1!AE378,2,3)</f>
        <v>ish</v>
      </c>
      <c r="AX379" s="42">
        <f>LEN(Sheet1!AE378)</f>
        <v>5</v>
      </c>
      <c r="AY379" s="40" t="str">
        <f>UPPER(Sheet1!AE378)</f>
        <v>NISHA</v>
      </c>
      <c r="AZ379" s="40" t="str">
        <f>LOWER(Sheet1!AE378)</f>
        <v>nisha</v>
      </c>
      <c r="BA379" s="40" t="str">
        <f>PROPER(Sheet1!AE378)</f>
        <v>Nisha</v>
      </c>
      <c r="BB379" s="40" t="str">
        <f>_xlfn.CONCAT(Sheet1!AE378," ",Sheet1!AF378)</f>
        <v>Nisha Mehta</v>
      </c>
    </row>
    <row r="380" spans="40:54">
      <c r="AN380" s="49">
        <f>Sheet1!B379</f>
        <v>45970</v>
      </c>
      <c r="AO380" s="50">
        <f t="shared" si="33"/>
        <v>2</v>
      </c>
      <c r="AP380" s="50">
        <f t="shared" si="34"/>
        <v>11</v>
      </c>
      <c r="AQ380" s="50">
        <f t="shared" si="35"/>
        <v>2025</v>
      </c>
      <c r="AR380" s="50" t="str">
        <f t="shared" si="36"/>
        <v>Nov-2025</v>
      </c>
      <c r="AS380" s="52">
        <f t="shared" si="37"/>
        <v>45963</v>
      </c>
      <c r="AT380" s="44">
        <f t="shared" ca="1" si="38"/>
        <v>315</v>
      </c>
      <c r="AU380" s="40" t="str">
        <f>LEFT(Sheet1!AE379,3)</f>
        <v>Kav</v>
      </c>
      <c r="AV380" s="40" t="str">
        <f>RIGHT(Sheet1!AF379,2)</f>
        <v>ra</v>
      </c>
      <c r="AW380" s="40" t="str">
        <f>MID(Sheet1!AE379,2,3)</f>
        <v>avy</v>
      </c>
      <c r="AX380" s="42">
        <f>LEN(Sheet1!AE379)</f>
        <v>5</v>
      </c>
      <c r="AY380" s="40" t="str">
        <f>UPPER(Sheet1!AE379)</f>
        <v>KAVYA</v>
      </c>
      <c r="AZ380" s="40" t="str">
        <f>LOWER(Sheet1!AE379)</f>
        <v>kavya</v>
      </c>
      <c r="BA380" s="40" t="str">
        <f>PROPER(Sheet1!AE379)</f>
        <v>Kavya</v>
      </c>
      <c r="BB380" s="40" t="str">
        <f>_xlfn.CONCAT(Sheet1!AE379," ",Sheet1!AF379)</f>
        <v>Kavya Malhotra</v>
      </c>
    </row>
    <row r="381" spans="40:54">
      <c r="AN381" s="49">
        <f>Sheet1!B380</f>
        <v>45972</v>
      </c>
      <c r="AO381" s="50">
        <f t="shared" si="33"/>
        <v>2</v>
      </c>
      <c r="AP381" s="50">
        <f t="shared" si="34"/>
        <v>11</v>
      </c>
      <c r="AQ381" s="50">
        <f t="shared" si="35"/>
        <v>2025</v>
      </c>
      <c r="AR381" s="50" t="str">
        <f t="shared" si="36"/>
        <v>Nov-2025</v>
      </c>
      <c r="AS381" s="52">
        <f t="shared" si="37"/>
        <v>45963</v>
      </c>
      <c r="AT381" s="44">
        <f t="shared" ca="1" si="38"/>
        <v>315</v>
      </c>
      <c r="AU381" s="40" t="str">
        <f>LEFT(Sheet1!AE380,3)</f>
        <v>Pri</v>
      </c>
      <c r="AV381" s="40" t="str">
        <f>RIGHT(Sheet1!AF380,2)</f>
        <v>or</v>
      </c>
      <c r="AW381" s="40" t="str">
        <f>MID(Sheet1!AE380,2,3)</f>
        <v>riy</v>
      </c>
      <c r="AX381" s="42">
        <f>LEN(Sheet1!AE380)</f>
        <v>5</v>
      </c>
      <c r="AY381" s="40" t="str">
        <f>UPPER(Sheet1!AE380)</f>
        <v>PRIYA</v>
      </c>
      <c r="AZ381" s="40" t="str">
        <f>LOWER(Sheet1!AE380)</f>
        <v>priya</v>
      </c>
      <c r="BA381" s="40" t="str">
        <f>PROPER(Sheet1!AE380)</f>
        <v>Priya</v>
      </c>
      <c r="BB381" s="40" t="str">
        <f>_xlfn.CONCAT(Sheet1!AE380," ",Sheet1!AF380)</f>
        <v>Priya Kapoor</v>
      </c>
    </row>
    <row r="382" spans="40:54">
      <c r="AN382" s="49">
        <f>Sheet1!B381</f>
        <v>45972</v>
      </c>
      <c r="AO382" s="50">
        <f t="shared" si="33"/>
        <v>3</v>
      </c>
      <c r="AP382" s="50">
        <f t="shared" si="34"/>
        <v>11</v>
      </c>
      <c r="AQ382" s="50">
        <f t="shared" si="35"/>
        <v>2025</v>
      </c>
      <c r="AR382" s="50" t="str">
        <f t="shared" si="36"/>
        <v>Nov-2025</v>
      </c>
      <c r="AS382" s="52">
        <f t="shared" si="37"/>
        <v>45964</v>
      </c>
      <c r="AT382" s="44">
        <f t="shared" ca="1" si="38"/>
        <v>314</v>
      </c>
      <c r="AU382" s="40" t="str">
        <f>LEFT(Sheet1!AE381,3)</f>
        <v>Rah</v>
      </c>
      <c r="AV382" s="40" t="str">
        <f>RIGHT(Sheet1!AF381,2)</f>
        <v>ra</v>
      </c>
      <c r="AW382" s="40" t="str">
        <f>MID(Sheet1!AE381,2,3)</f>
        <v>ahu</v>
      </c>
      <c r="AX382" s="42">
        <f>LEN(Sheet1!AE381)</f>
        <v>5</v>
      </c>
      <c r="AY382" s="40" t="str">
        <f>UPPER(Sheet1!AE381)</f>
        <v>RAHUL</v>
      </c>
      <c r="AZ382" s="40" t="str">
        <f>LOWER(Sheet1!AE381)</f>
        <v>rahul</v>
      </c>
      <c r="BA382" s="40" t="str">
        <f>PROPER(Sheet1!AE381)</f>
        <v>Rahul</v>
      </c>
      <c r="BB382" s="40" t="str">
        <f>_xlfn.CONCAT(Sheet1!AE381," ",Sheet1!AF381)</f>
        <v>Rahul Chopra</v>
      </c>
    </row>
    <row r="383" spans="40:54">
      <c r="AN383" s="49">
        <f>Sheet1!B382</f>
        <v>45973</v>
      </c>
      <c r="AO383" s="50">
        <f t="shared" si="33"/>
        <v>3</v>
      </c>
      <c r="AP383" s="50">
        <f t="shared" si="34"/>
        <v>11</v>
      </c>
      <c r="AQ383" s="50">
        <f t="shared" si="35"/>
        <v>2025</v>
      </c>
      <c r="AR383" s="50" t="str">
        <f t="shared" si="36"/>
        <v>Nov-2025</v>
      </c>
      <c r="AS383" s="52">
        <f t="shared" si="37"/>
        <v>45964</v>
      </c>
      <c r="AT383" s="44">
        <f t="shared" ca="1" si="38"/>
        <v>314</v>
      </c>
      <c r="AU383" s="40" t="str">
        <f>LEFT(Sheet1!AE382,3)</f>
        <v>Neh</v>
      </c>
      <c r="AV383" s="40" t="str">
        <f>RIGHT(Sheet1!AF382,2)</f>
        <v>ta</v>
      </c>
      <c r="AW383" s="40" t="str">
        <f>MID(Sheet1!AE382,2,3)</f>
        <v>eha</v>
      </c>
      <c r="AX383" s="42">
        <f>LEN(Sheet1!AE382)</f>
        <v>4</v>
      </c>
      <c r="AY383" s="40" t="str">
        <f>UPPER(Sheet1!AE382)</f>
        <v>NEHA</v>
      </c>
      <c r="AZ383" s="40" t="str">
        <f>LOWER(Sheet1!AE382)</f>
        <v>neha</v>
      </c>
      <c r="BA383" s="40" t="str">
        <f>PROPER(Sheet1!AE382)</f>
        <v>Neha</v>
      </c>
      <c r="BB383" s="40" t="str">
        <f>_xlfn.CONCAT(Sheet1!AE382," ",Sheet1!AF382)</f>
        <v>Neha Mehta</v>
      </c>
    </row>
    <row r="384" spans="40:54">
      <c r="AN384" s="49">
        <f>Sheet1!B383</f>
        <v>45992</v>
      </c>
      <c r="AO384" s="50">
        <f t="shared" si="33"/>
        <v>3</v>
      </c>
      <c r="AP384" s="50">
        <f t="shared" si="34"/>
        <v>12</v>
      </c>
      <c r="AQ384" s="50">
        <f t="shared" si="35"/>
        <v>2025</v>
      </c>
      <c r="AR384" s="50" t="str">
        <f t="shared" si="36"/>
        <v>Dec-2025</v>
      </c>
      <c r="AS384" s="52">
        <f t="shared" si="37"/>
        <v>45994</v>
      </c>
      <c r="AT384" s="44">
        <f t="shared" ca="1" si="38"/>
        <v>284</v>
      </c>
      <c r="AU384" s="40" t="str">
        <f>LEFT(Sheet1!AE383,3)</f>
        <v>Adi</v>
      </c>
      <c r="AV384" s="40" t="str">
        <f>RIGHT(Sheet1!AF383,2)</f>
        <v>ar</v>
      </c>
      <c r="AW384" s="40" t="str">
        <f>MID(Sheet1!AE383,2,3)</f>
        <v>dit</v>
      </c>
      <c r="AX384" s="42">
        <f>LEN(Sheet1!AE383)</f>
        <v>6</v>
      </c>
      <c r="AY384" s="40" t="str">
        <f>UPPER(Sheet1!AE383)</f>
        <v>ADITYA</v>
      </c>
      <c r="AZ384" s="40" t="str">
        <f>LOWER(Sheet1!AE383)</f>
        <v>aditya</v>
      </c>
      <c r="BA384" s="40" t="str">
        <f>PROPER(Sheet1!AE383)</f>
        <v>Aditya</v>
      </c>
      <c r="BB384" s="40" t="str">
        <f>_xlfn.CONCAT(Sheet1!AE383," ",Sheet1!AF383)</f>
        <v>Aditya Kumar</v>
      </c>
    </row>
    <row r="385" spans="40:54">
      <c r="AN385" s="49">
        <f>Sheet1!B384</f>
        <v>45994</v>
      </c>
      <c r="AO385" s="50">
        <f t="shared" ref="AO385:AO448" si="39">IFERROR(DAY(AN260),VALUE(LEFT(AN260,2)))</f>
        <v>3</v>
      </c>
      <c r="AP385" s="50">
        <f t="shared" si="34"/>
        <v>12</v>
      </c>
      <c r="AQ385" s="50">
        <f t="shared" si="35"/>
        <v>2025</v>
      </c>
      <c r="AR385" s="50" t="str">
        <f t="shared" si="36"/>
        <v>Dec-2025</v>
      </c>
      <c r="AS385" s="52">
        <f t="shared" si="37"/>
        <v>45994</v>
      </c>
      <c r="AT385" s="44">
        <f t="shared" ca="1" si="38"/>
        <v>284</v>
      </c>
      <c r="AU385" s="40" t="str">
        <f>LEFT(Sheet1!AE384,3)</f>
        <v>Neh</v>
      </c>
      <c r="AV385" s="40" t="str">
        <f>RIGHT(Sheet1!AF384,2)</f>
        <v>al</v>
      </c>
      <c r="AW385" s="40" t="str">
        <f>MID(Sheet1!AE384,2,3)</f>
        <v>eha</v>
      </c>
      <c r="AX385" s="42">
        <f>LEN(Sheet1!AE384)</f>
        <v>4</v>
      </c>
      <c r="AY385" s="40" t="str">
        <f>UPPER(Sheet1!AE384)</f>
        <v>NEHA</v>
      </c>
      <c r="AZ385" s="40" t="str">
        <f>LOWER(Sheet1!AE384)</f>
        <v>neha</v>
      </c>
      <c r="BA385" s="40" t="str">
        <f>PROPER(Sheet1!AE384)</f>
        <v>Neha</v>
      </c>
      <c r="BB385" s="40" t="str">
        <f>_xlfn.CONCAT(Sheet1!AE384," ",Sheet1!AF384)</f>
        <v>Neha Bansal</v>
      </c>
    </row>
    <row r="386" spans="40:54">
      <c r="AN386" s="49">
        <f>Sheet1!B385</f>
        <v>45995</v>
      </c>
      <c r="AO386" s="50">
        <f t="shared" si="39"/>
        <v>4</v>
      </c>
      <c r="AP386" s="50">
        <f t="shared" si="34"/>
        <v>12</v>
      </c>
      <c r="AQ386" s="50">
        <f t="shared" si="35"/>
        <v>2025</v>
      </c>
      <c r="AR386" s="50" t="str">
        <f t="shared" si="36"/>
        <v>Dec-2025</v>
      </c>
      <c r="AS386" s="52">
        <f t="shared" si="37"/>
        <v>45995</v>
      </c>
      <c r="AT386" s="44">
        <f t="shared" ca="1" si="38"/>
        <v>283</v>
      </c>
      <c r="AU386" s="40" t="str">
        <f>LEFT(Sheet1!AE385,3)</f>
        <v>Kav</v>
      </c>
      <c r="AV386" s="40" t="str">
        <f>RIGHT(Sheet1!AF385,2)</f>
        <v>ra</v>
      </c>
      <c r="AW386" s="40" t="str">
        <f>MID(Sheet1!AE385,2,3)</f>
        <v>avy</v>
      </c>
      <c r="AX386" s="42">
        <f>LEN(Sheet1!AE385)</f>
        <v>5</v>
      </c>
      <c r="AY386" s="40" t="str">
        <f>UPPER(Sheet1!AE385)</f>
        <v>KAVYA</v>
      </c>
      <c r="AZ386" s="40" t="str">
        <f>LOWER(Sheet1!AE385)</f>
        <v>kavya</v>
      </c>
      <c r="BA386" s="40" t="str">
        <f>PROPER(Sheet1!AE385)</f>
        <v>Kavya</v>
      </c>
      <c r="BB386" s="40" t="str">
        <f>_xlfn.CONCAT(Sheet1!AE385," ",Sheet1!AF385)</f>
        <v>Kavya Chopra</v>
      </c>
    </row>
    <row r="387" spans="40:54">
      <c r="AN387" s="49">
        <f>Sheet1!B386</f>
        <v>45995</v>
      </c>
      <c r="AO387" s="50">
        <f t="shared" si="39"/>
        <v>4</v>
      </c>
      <c r="AP387" s="50">
        <f t="shared" si="34"/>
        <v>12</v>
      </c>
      <c r="AQ387" s="50">
        <f t="shared" si="35"/>
        <v>2025</v>
      </c>
      <c r="AR387" s="50" t="str">
        <f t="shared" si="36"/>
        <v>Dec-2025</v>
      </c>
      <c r="AS387" s="52">
        <f t="shared" si="37"/>
        <v>45995</v>
      </c>
      <c r="AT387" s="44">
        <f t="shared" ca="1" si="38"/>
        <v>283</v>
      </c>
      <c r="AU387" s="40" t="str">
        <f>LEFT(Sheet1!AE386,3)</f>
        <v>Nis</v>
      </c>
      <c r="AV387" s="40" t="str">
        <f>RIGHT(Sheet1!AF386,2)</f>
        <v>ra</v>
      </c>
      <c r="AW387" s="40" t="str">
        <f>MID(Sheet1!AE386,2,3)</f>
        <v>ish</v>
      </c>
      <c r="AX387" s="42">
        <f>LEN(Sheet1!AE386)</f>
        <v>5</v>
      </c>
      <c r="AY387" s="40" t="str">
        <f>UPPER(Sheet1!AE386)</f>
        <v>NISHA</v>
      </c>
      <c r="AZ387" s="40" t="str">
        <f>LOWER(Sheet1!AE386)</f>
        <v>nisha</v>
      </c>
      <c r="BA387" s="40" t="str">
        <f>PROPER(Sheet1!AE386)</f>
        <v>Nisha</v>
      </c>
      <c r="BB387" s="40" t="str">
        <f>_xlfn.CONCAT(Sheet1!AE386," ",Sheet1!AF386)</f>
        <v>Nisha Mishra</v>
      </c>
    </row>
    <row r="388" spans="40:54">
      <c r="AN388" s="49">
        <f>Sheet1!B387</f>
        <v>45997</v>
      </c>
      <c r="AO388" s="50">
        <f t="shared" si="39"/>
        <v>4</v>
      </c>
      <c r="AP388" s="50">
        <f t="shared" ref="AP388:AP451" si="40">IFERROR(MONTH(AN388),VALUE(MID(AN388,4,2)))</f>
        <v>12</v>
      </c>
      <c r="AQ388" s="50">
        <f t="shared" ref="AQ388:AQ451" si="41">IFERROR(YEAR(AN388),VALUE(RIGHT(AN388,4)))</f>
        <v>2025</v>
      </c>
      <c r="AR388" s="50" t="str">
        <f t="shared" ref="AR388:AR451" si="42">IF(ISNUMBER(AN388),TEXT(AN388,"mmm-yyyy"),TEXT(DATE(VALUE(RIGHT(AN388,4)),VALUE(MID(AN388,4,2)),VALUE(LEFT(AN388,2))),"mmm-yyyy"))</f>
        <v>Dec-2025</v>
      </c>
      <c r="AS388" s="52">
        <f t="shared" ref="AS388:AS451" si="43">DATE(AQ388,AP388,AO388)</f>
        <v>45995</v>
      </c>
      <c r="AT388" s="44">
        <f t="shared" ref="AT388:AT451" ca="1" si="44">TODAY()-AS388</f>
        <v>283</v>
      </c>
      <c r="AU388" s="40" t="str">
        <f>LEFT(Sheet1!AE387,3)</f>
        <v>Roh</v>
      </c>
      <c r="AV388" s="40" t="str">
        <f>RIGHT(Sheet1!AF387,2)</f>
        <v>gh</v>
      </c>
      <c r="AW388" s="40" t="str">
        <f>MID(Sheet1!AE387,2,3)</f>
        <v>oha</v>
      </c>
      <c r="AX388" s="42">
        <f>LEN(Sheet1!AE387)</f>
        <v>5</v>
      </c>
      <c r="AY388" s="40" t="str">
        <f>UPPER(Sheet1!AE387)</f>
        <v>ROHAN</v>
      </c>
      <c r="AZ388" s="40" t="str">
        <f>LOWER(Sheet1!AE387)</f>
        <v>rohan</v>
      </c>
      <c r="BA388" s="40" t="str">
        <f>PROPER(Sheet1!AE387)</f>
        <v>Rohan</v>
      </c>
      <c r="BB388" s="40" t="str">
        <f>_xlfn.CONCAT(Sheet1!AE387," ",Sheet1!AF387)</f>
        <v>Rohan Singh</v>
      </c>
    </row>
    <row r="389" spans="40:54">
      <c r="AN389" s="49">
        <f>Sheet1!B388</f>
        <v>45999</v>
      </c>
      <c r="AO389" s="50">
        <f t="shared" si="39"/>
        <v>5</v>
      </c>
      <c r="AP389" s="50">
        <f t="shared" si="40"/>
        <v>12</v>
      </c>
      <c r="AQ389" s="50">
        <f t="shared" si="41"/>
        <v>2025</v>
      </c>
      <c r="AR389" s="50" t="str">
        <f t="shared" si="42"/>
        <v>Dec-2025</v>
      </c>
      <c r="AS389" s="52">
        <f t="shared" si="43"/>
        <v>45996</v>
      </c>
      <c r="AT389" s="44">
        <f t="shared" ca="1" si="44"/>
        <v>282</v>
      </c>
      <c r="AU389" s="40" t="str">
        <f>LEFT(Sheet1!AE388,3)</f>
        <v>Neh</v>
      </c>
      <c r="AV389" s="40" t="str">
        <f>RIGHT(Sheet1!AF388,2)</f>
        <v>gh</v>
      </c>
      <c r="AW389" s="40" t="str">
        <f>MID(Sheet1!AE388,2,3)</f>
        <v>eha</v>
      </c>
      <c r="AX389" s="42">
        <f>LEN(Sheet1!AE388)</f>
        <v>4</v>
      </c>
      <c r="AY389" s="40" t="str">
        <f>UPPER(Sheet1!AE388)</f>
        <v>NEHA</v>
      </c>
      <c r="AZ389" s="40" t="str">
        <f>LOWER(Sheet1!AE388)</f>
        <v>neha</v>
      </c>
      <c r="BA389" s="40" t="str">
        <f>PROPER(Sheet1!AE388)</f>
        <v>Neha</v>
      </c>
      <c r="BB389" s="40" t="str">
        <f>_xlfn.CONCAT(Sheet1!AE388," ",Sheet1!AF388)</f>
        <v>Neha Singh</v>
      </c>
    </row>
    <row r="390" spans="40:54">
      <c r="AN390" s="49">
        <f>Sheet1!B389</f>
        <v>46000</v>
      </c>
      <c r="AO390" s="50">
        <f t="shared" si="39"/>
        <v>5</v>
      </c>
      <c r="AP390" s="50">
        <f t="shared" si="40"/>
        <v>12</v>
      </c>
      <c r="AQ390" s="50">
        <f t="shared" si="41"/>
        <v>2025</v>
      </c>
      <c r="AR390" s="50" t="str">
        <f t="shared" si="42"/>
        <v>Dec-2025</v>
      </c>
      <c r="AS390" s="52">
        <f t="shared" si="43"/>
        <v>45996</v>
      </c>
      <c r="AT390" s="44">
        <f t="shared" ca="1" si="44"/>
        <v>282</v>
      </c>
      <c r="AU390" s="40" t="str">
        <f>LEFT(Sheet1!AE389,3)</f>
        <v>Arj</v>
      </c>
      <c r="AV390" s="40" t="str">
        <f>RIGHT(Sheet1!AF389,2)</f>
        <v>ta</v>
      </c>
      <c r="AW390" s="40" t="str">
        <f>MID(Sheet1!AE389,2,3)</f>
        <v>rju</v>
      </c>
      <c r="AX390" s="42">
        <f>LEN(Sheet1!AE389)</f>
        <v>5</v>
      </c>
      <c r="AY390" s="40" t="str">
        <f>UPPER(Sheet1!AE389)</f>
        <v>ARJUN</v>
      </c>
      <c r="AZ390" s="40" t="str">
        <f>LOWER(Sheet1!AE389)</f>
        <v>arjun</v>
      </c>
      <c r="BA390" s="40" t="str">
        <f>PROPER(Sheet1!AE389)</f>
        <v>Arjun</v>
      </c>
      <c r="BB390" s="40" t="str">
        <f>_xlfn.CONCAT(Sheet1!AE389," ",Sheet1!AF389)</f>
        <v>Arjun Gupta</v>
      </c>
    </row>
    <row r="391" spans="40:54">
      <c r="AN391" s="49">
        <f>Sheet1!B390</f>
        <v>46001</v>
      </c>
      <c r="AO391" s="50">
        <f t="shared" si="39"/>
        <v>6</v>
      </c>
      <c r="AP391" s="50">
        <f t="shared" si="40"/>
        <v>12</v>
      </c>
      <c r="AQ391" s="50">
        <f t="shared" si="41"/>
        <v>2025</v>
      </c>
      <c r="AR391" s="50" t="str">
        <f t="shared" si="42"/>
        <v>Dec-2025</v>
      </c>
      <c r="AS391" s="52">
        <f t="shared" si="43"/>
        <v>45997</v>
      </c>
      <c r="AT391" s="44">
        <f t="shared" ca="1" si="44"/>
        <v>281</v>
      </c>
      <c r="AU391" s="40" t="str">
        <f>LEFT(Sheet1!AE390,3)</f>
        <v>Riy</v>
      </c>
      <c r="AV391" s="40" t="str">
        <f>RIGHT(Sheet1!AF390,2)</f>
        <v>ta</v>
      </c>
      <c r="AW391" s="40" t="str">
        <f>MID(Sheet1!AE390,2,3)</f>
        <v>iya</v>
      </c>
      <c r="AX391" s="42">
        <f>LEN(Sheet1!AE390)</f>
        <v>4</v>
      </c>
      <c r="AY391" s="40" t="str">
        <f>UPPER(Sheet1!AE390)</f>
        <v>RIYA</v>
      </c>
      <c r="AZ391" s="40" t="str">
        <f>LOWER(Sheet1!AE390)</f>
        <v>riya</v>
      </c>
      <c r="BA391" s="40" t="str">
        <f>PROPER(Sheet1!AE390)</f>
        <v>Riya</v>
      </c>
      <c r="BB391" s="40" t="str">
        <f>_xlfn.CONCAT(Sheet1!AE390," ",Sheet1!AF390)</f>
        <v>Riya Mehta</v>
      </c>
    </row>
    <row r="392" spans="40:54">
      <c r="AN392" s="49">
        <f>Sheet1!B391</f>
        <v>46002</v>
      </c>
      <c r="AO392" s="50">
        <f t="shared" si="39"/>
        <v>7</v>
      </c>
      <c r="AP392" s="50">
        <f t="shared" si="40"/>
        <v>12</v>
      </c>
      <c r="AQ392" s="50">
        <f t="shared" si="41"/>
        <v>2025</v>
      </c>
      <c r="AR392" s="50" t="str">
        <f t="shared" si="42"/>
        <v>Dec-2025</v>
      </c>
      <c r="AS392" s="52">
        <f t="shared" si="43"/>
        <v>45998</v>
      </c>
      <c r="AT392" s="44">
        <f t="shared" ca="1" si="44"/>
        <v>280</v>
      </c>
      <c r="AU392" s="40" t="str">
        <f>LEFT(Sheet1!AE391,3)</f>
        <v>Ish</v>
      </c>
      <c r="AV392" s="40" t="str">
        <f>RIGHT(Sheet1!AF391,2)</f>
        <v>ma</v>
      </c>
      <c r="AW392" s="40" t="str">
        <f>MID(Sheet1!AE391,2,3)</f>
        <v>shi</v>
      </c>
      <c r="AX392" s="42">
        <f>LEN(Sheet1!AE391)</f>
        <v>6</v>
      </c>
      <c r="AY392" s="40" t="str">
        <f>UPPER(Sheet1!AE391)</f>
        <v>ISHITA</v>
      </c>
      <c r="AZ392" s="40" t="str">
        <f>LOWER(Sheet1!AE391)</f>
        <v>ishita</v>
      </c>
      <c r="BA392" s="40" t="str">
        <f>PROPER(Sheet1!AE391)</f>
        <v>Ishita</v>
      </c>
      <c r="BB392" s="40" t="str">
        <f>_xlfn.CONCAT(Sheet1!AE391," ",Sheet1!AF391)</f>
        <v>Ishita Sharma</v>
      </c>
    </row>
    <row r="393" spans="40:54">
      <c r="AN393" s="51" t="str">
        <f>Sheet1!B392</f>
        <v>13-01-2024</v>
      </c>
      <c r="AO393" s="50">
        <f t="shared" si="39"/>
        <v>7</v>
      </c>
      <c r="AP393" s="50">
        <f t="shared" si="40"/>
        <v>1</v>
      </c>
      <c r="AQ393" s="50">
        <f t="shared" si="41"/>
        <v>2024</v>
      </c>
      <c r="AR393" s="50" t="str">
        <f t="shared" si="42"/>
        <v>Jan-2024</v>
      </c>
      <c r="AS393" s="52">
        <f t="shared" si="43"/>
        <v>45298</v>
      </c>
      <c r="AT393" s="44">
        <f t="shared" ca="1" si="44"/>
        <v>980</v>
      </c>
      <c r="AU393" s="40" t="str">
        <f>LEFT(Sheet1!AE392,3)</f>
        <v>Mee</v>
      </c>
      <c r="AV393" s="40" t="str">
        <f>RIGHT(Sheet1!AF392,2)</f>
        <v>or</v>
      </c>
      <c r="AW393" s="40" t="str">
        <f>MID(Sheet1!AE392,2,3)</f>
        <v>eer</v>
      </c>
      <c r="AX393" s="42">
        <f>LEN(Sheet1!AE392)</f>
        <v>5</v>
      </c>
      <c r="AY393" s="40" t="str">
        <f>UPPER(Sheet1!AE392)</f>
        <v>MEERA</v>
      </c>
      <c r="AZ393" s="40" t="str">
        <f>LOWER(Sheet1!AE392)</f>
        <v>meera</v>
      </c>
      <c r="BA393" s="40" t="str">
        <f>PROPER(Sheet1!AE392)</f>
        <v>Meera</v>
      </c>
      <c r="BB393" s="40" t="str">
        <f>_xlfn.CONCAT(Sheet1!AE392," ",Sheet1!AF392)</f>
        <v>Meera Kapoor</v>
      </c>
    </row>
    <row r="394" spans="40:54">
      <c r="AN394" s="51" t="str">
        <f>Sheet1!B393</f>
        <v>13-01-2024</v>
      </c>
      <c r="AO394" s="50">
        <f t="shared" si="39"/>
        <v>7</v>
      </c>
      <c r="AP394" s="50">
        <f t="shared" si="40"/>
        <v>1</v>
      </c>
      <c r="AQ394" s="50">
        <f t="shared" si="41"/>
        <v>2024</v>
      </c>
      <c r="AR394" s="50" t="str">
        <f t="shared" si="42"/>
        <v>Jan-2024</v>
      </c>
      <c r="AS394" s="52">
        <f t="shared" si="43"/>
        <v>45298</v>
      </c>
      <c r="AT394" s="44">
        <f t="shared" ca="1" si="44"/>
        <v>980</v>
      </c>
      <c r="AU394" s="40" t="str">
        <f>LEFT(Sheet1!AE393,3)</f>
        <v>Mee</v>
      </c>
      <c r="AV394" s="40" t="str">
        <f>RIGHT(Sheet1!AF393,2)</f>
        <v>ra</v>
      </c>
      <c r="AW394" s="40" t="str">
        <f>MID(Sheet1!AE393,2,3)</f>
        <v>eer</v>
      </c>
      <c r="AX394" s="42">
        <f>LEN(Sheet1!AE393)</f>
        <v>5</v>
      </c>
      <c r="AY394" s="40" t="str">
        <f>UPPER(Sheet1!AE393)</f>
        <v>MEERA</v>
      </c>
      <c r="AZ394" s="40" t="str">
        <f>LOWER(Sheet1!AE393)</f>
        <v>meera</v>
      </c>
      <c r="BA394" s="40" t="str">
        <f>PROPER(Sheet1!AE393)</f>
        <v>Meera</v>
      </c>
      <c r="BB394" s="40" t="str">
        <f>_xlfn.CONCAT(Sheet1!AE393," ",Sheet1!AF393)</f>
        <v>Meera Mishra</v>
      </c>
    </row>
    <row r="395" spans="40:54">
      <c r="AN395" s="51" t="str">
        <f>Sheet1!B394</f>
        <v>13-01-2024</v>
      </c>
      <c r="AO395" s="50">
        <f t="shared" si="39"/>
        <v>7</v>
      </c>
      <c r="AP395" s="50">
        <f t="shared" si="40"/>
        <v>1</v>
      </c>
      <c r="AQ395" s="50">
        <f t="shared" si="41"/>
        <v>2024</v>
      </c>
      <c r="AR395" s="50" t="str">
        <f t="shared" si="42"/>
        <v>Jan-2024</v>
      </c>
      <c r="AS395" s="52">
        <f t="shared" si="43"/>
        <v>45298</v>
      </c>
      <c r="AT395" s="44">
        <f t="shared" ca="1" si="44"/>
        <v>980</v>
      </c>
      <c r="AU395" s="40" t="str">
        <f>LEFT(Sheet1!AE394,3)</f>
        <v>Adi</v>
      </c>
      <c r="AV395" s="40" t="str">
        <f>RIGHT(Sheet1!AF394,2)</f>
        <v>ma</v>
      </c>
      <c r="AW395" s="40" t="str">
        <f>MID(Sheet1!AE394,2,3)</f>
        <v>dit</v>
      </c>
      <c r="AX395" s="42">
        <f>LEN(Sheet1!AE394)</f>
        <v>5</v>
      </c>
      <c r="AY395" s="40" t="str">
        <f>UPPER(Sheet1!AE394)</f>
        <v>ADITI</v>
      </c>
      <c r="AZ395" s="40" t="str">
        <f>LOWER(Sheet1!AE394)</f>
        <v>aditi</v>
      </c>
      <c r="BA395" s="40" t="str">
        <f>PROPER(Sheet1!AE394)</f>
        <v>Aditi</v>
      </c>
      <c r="BB395" s="40" t="str">
        <f>_xlfn.CONCAT(Sheet1!AE394," ",Sheet1!AF394)</f>
        <v>Aditi Verma</v>
      </c>
    </row>
    <row r="396" spans="40:54">
      <c r="AN396" s="51" t="str">
        <f>Sheet1!B395</f>
        <v>13-01-2025</v>
      </c>
      <c r="AO396" s="50">
        <f t="shared" si="39"/>
        <v>8</v>
      </c>
      <c r="AP396" s="50">
        <f t="shared" si="40"/>
        <v>1</v>
      </c>
      <c r="AQ396" s="50">
        <f t="shared" si="41"/>
        <v>2025</v>
      </c>
      <c r="AR396" s="50" t="str">
        <f t="shared" si="42"/>
        <v>Jan-2025</v>
      </c>
      <c r="AS396" s="52">
        <f t="shared" si="43"/>
        <v>45665</v>
      </c>
      <c r="AT396" s="44">
        <f t="shared" ca="1" si="44"/>
        <v>613</v>
      </c>
      <c r="AU396" s="40" t="str">
        <f>LEFT(Sheet1!AE395,3)</f>
        <v>Neh</v>
      </c>
      <c r="AV396" s="40" t="str">
        <f>RIGHT(Sheet1!AF395,2)</f>
        <v>ta</v>
      </c>
      <c r="AW396" s="40" t="str">
        <f>MID(Sheet1!AE395,2,3)</f>
        <v>eha</v>
      </c>
      <c r="AX396" s="42">
        <f>LEN(Sheet1!AE395)</f>
        <v>4</v>
      </c>
      <c r="AY396" s="40" t="str">
        <f>UPPER(Sheet1!AE395)</f>
        <v>NEHA</v>
      </c>
      <c r="AZ396" s="40" t="str">
        <f>LOWER(Sheet1!AE395)</f>
        <v>neha</v>
      </c>
      <c r="BA396" s="40" t="str">
        <f>PROPER(Sheet1!AE395)</f>
        <v>Neha</v>
      </c>
      <c r="BB396" s="40" t="str">
        <f>_xlfn.CONCAT(Sheet1!AE395," ",Sheet1!AF395)</f>
        <v>Neha Gupta</v>
      </c>
    </row>
    <row r="397" spans="40:54">
      <c r="AN397" s="51" t="str">
        <f>Sheet1!B396</f>
        <v>13-02-2025</v>
      </c>
      <c r="AO397" s="50">
        <f t="shared" si="39"/>
        <v>8</v>
      </c>
      <c r="AP397" s="50">
        <f t="shared" si="40"/>
        <v>2</v>
      </c>
      <c r="AQ397" s="50">
        <f t="shared" si="41"/>
        <v>2025</v>
      </c>
      <c r="AR397" s="50" t="str">
        <f t="shared" si="42"/>
        <v>Feb-2025</v>
      </c>
      <c r="AS397" s="52">
        <f t="shared" si="43"/>
        <v>45696</v>
      </c>
      <c r="AT397" s="44">
        <f t="shared" ca="1" si="44"/>
        <v>582</v>
      </c>
      <c r="AU397" s="40" t="str">
        <f>LEFT(Sheet1!AE396,3)</f>
        <v>Pri</v>
      </c>
      <c r="AV397" s="40" t="str">
        <f>RIGHT(Sheet1!AF396,2)</f>
        <v>ra</v>
      </c>
      <c r="AW397" s="40" t="str">
        <f>MID(Sheet1!AE396,2,3)</f>
        <v>riy</v>
      </c>
      <c r="AX397" s="42">
        <f>LEN(Sheet1!AE396)</f>
        <v>5</v>
      </c>
      <c r="AY397" s="40" t="str">
        <f>UPPER(Sheet1!AE396)</f>
        <v>PRIYA</v>
      </c>
      <c r="AZ397" s="40" t="str">
        <f>LOWER(Sheet1!AE396)</f>
        <v>priya</v>
      </c>
      <c r="BA397" s="40" t="str">
        <f>PROPER(Sheet1!AE396)</f>
        <v>Priya</v>
      </c>
      <c r="BB397" s="40" t="str">
        <f>_xlfn.CONCAT(Sheet1!AE396," ",Sheet1!AF396)</f>
        <v>Priya Chopra</v>
      </c>
    </row>
    <row r="398" spans="40:54">
      <c r="AN398" s="51" t="str">
        <f>Sheet1!B397</f>
        <v>13-02-2025</v>
      </c>
      <c r="AO398" s="50">
        <f t="shared" si="39"/>
        <v>9</v>
      </c>
      <c r="AP398" s="50">
        <f t="shared" si="40"/>
        <v>2</v>
      </c>
      <c r="AQ398" s="50">
        <f t="shared" si="41"/>
        <v>2025</v>
      </c>
      <c r="AR398" s="50" t="str">
        <f t="shared" si="42"/>
        <v>Feb-2025</v>
      </c>
      <c r="AS398" s="52">
        <f t="shared" si="43"/>
        <v>45697</v>
      </c>
      <c r="AT398" s="44">
        <f t="shared" ca="1" si="44"/>
        <v>581</v>
      </c>
      <c r="AU398" s="40" t="str">
        <f>LEFT(Sheet1!AE397,3)</f>
        <v>Kar</v>
      </c>
      <c r="AV398" s="40" t="str">
        <f>RIGHT(Sheet1!AF397,2)</f>
        <v>ta</v>
      </c>
      <c r="AW398" s="40" t="str">
        <f>MID(Sheet1!AE397,2,3)</f>
        <v>ara</v>
      </c>
      <c r="AX398" s="42">
        <f>LEN(Sheet1!AE397)</f>
        <v>5</v>
      </c>
      <c r="AY398" s="40" t="str">
        <f>UPPER(Sheet1!AE397)</f>
        <v>KARAN</v>
      </c>
      <c r="AZ398" s="40" t="str">
        <f>LOWER(Sheet1!AE397)</f>
        <v>karan</v>
      </c>
      <c r="BA398" s="40" t="str">
        <f>PROPER(Sheet1!AE397)</f>
        <v>Karan</v>
      </c>
      <c r="BB398" s="40" t="str">
        <f>_xlfn.CONCAT(Sheet1!AE397," ",Sheet1!AF397)</f>
        <v>Karan Gupta</v>
      </c>
    </row>
    <row r="399" spans="40:54">
      <c r="AN399" s="51" t="str">
        <f>Sheet1!B398</f>
        <v>13-03-2024</v>
      </c>
      <c r="AO399" s="50">
        <f t="shared" si="39"/>
        <v>9</v>
      </c>
      <c r="AP399" s="50">
        <f t="shared" si="40"/>
        <v>3</v>
      </c>
      <c r="AQ399" s="50">
        <f t="shared" si="41"/>
        <v>2024</v>
      </c>
      <c r="AR399" s="50" t="str">
        <f t="shared" si="42"/>
        <v>Mar-2024</v>
      </c>
      <c r="AS399" s="52">
        <f t="shared" si="43"/>
        <v>45360</v>
      </c>
      <c r="AT399" s="44">
        <f t="shared" ca="1" si="44"/>
        <v>918</v>
      </c>
      <c r="AU399" s="40" t="str">
        <f>LEFT(Sheet1!AE398,3)</f>
        <v>Ana</v>
      </c>
      <c r="AV399" s="40" t="str">
        <f>RIGHT(Sheet1!AF398,2)</f>
        <v>al</v>
      </c>
      <c r="AW399" s="40" t="str">
        <f>MID(Sheet1!AE398,2,3)</f>
        <v>nan</v>
      </c>
      <c r="AX399" s="42">
        <f>LEN(Sheet1!AE398)</f>
        <v>6</v>
      </c>
      <c r="AY399" s="40" t="str">
        <f>UPPER(Sheet1!AE398)</f>
        <v>ANANYA</v>
      </c>
      <c r="AZ399" s="40" t="str">
        <f>LOWER(Sheet1!AE398)</f>
        <v>ananya</v>
      </c>
      <c r="BA399" s="40" t="str">
        <f>PROPER(Sheet1!AE398)</f>
        <v>Ananya</v>
      </c>
      <c r="BB399" s="40" t="str">
        <f>_xlfn.CONCAT(Sheet1!AE398," ",Sheet1!AF398)</f>
        <v>Ananya Agarwal</v>
      </c>
    </row>
    <row r="400" spans="40:54">
      <c r="AN400" s="51" t="str">
        <f>Sheet1!B399</f>
        <v>13-03-2025</v>
      </c>
      <c r="AO400" s="50">
        <f t="shared" si="39"/>
        <v>10</v>
      </c>
      <c r="AP400" s="50">
        <f t="shared" si="40"/>
        <v>3</v>
      </c>
      <c r="AQ400" s="50">
        <f t="shared" si="41"/>
        <v>2025</v>
      </c>
      <c r="AR400" s="50" t="str">
        <f t="shared" si="42"/>
        <v>Mar-2025</v>
      </c>
      <c r="AS400" s="52">
        <f t="shared" si="43"/>
        <v>45726</v>
      </c>
      <c r="AT400" s="44">
        <f t="shared" ca="1" si="44"/>
        <v>552</v>
      </c>
      <c r="AU400" s="40" t="str">
        <f>LEFT(Sheet1!AE399,3)</f>
        <v>Sim</v>
      </c>
      <c r="AV400" s="40" t="str">
        <f>RIGHT(Sheet1!AF399,2)</f>
        <v>ra</v>
      </c>
      <c r="AW400" s="40" t="str">
        <f>MID(Sheet1!AE399,2,3)</f>
        <v>imr</v>
      </c>
      <c r="AX400" s="42">
        <f>LEN(Sheet1!AE399)</f>
        <v>6</v>
      </c>
      <c r="AY400" s="40" t="str">
        <f>UPPER(Sheet1!AE399)</f>
        <v>SIMRAN</v>
      </c>
      <c r="AZ400" s="40" t="str">
        <f>LOWER(Sheet1!AE399)</f>
        <v>simran</v>
      </c>
      <c r="BA400" s="40" t="str">
        <f>PROPER(Sheet1!AE399)</f>
        <v>Simran</v>
      </c>
      <c r="BB400" s="40" t="str">
        <f>_xlfn.CONCAT(Sheet1!AE399," ",Sheet1!AF399)</f>
        <v>Simran Malhotra</v>
      </c>
    </row>
    <row r="401" spans="40:54">
      <c r="AN401" s="51" t="str">
        <f>Sheet1!B400</f>
        <v>13-03-2025</v>
      </c>
      <c r="AO401" s="50">
        <f t="shared" si="39"/>
        <v>10</v>
      </c>
      <c r="AP401" s="50">
        <f t="shared" si="40"/>
        <v>3</v>
      </c>
      <c r="AQ401" s="50">
        <f t="shared" si="41"/>
        <v>2025</v>
      </c>
      <c r="AR401" s="50" t="str">
        <f t="shared" si="42"/>
        <v>Mar-2025</v>
      </c>
      <c r="AS401" s="52">
        <f t="shared" si="43"/>
        <v>45726</v>
      </c>
      <c r="AT401" s="44">
        <f t="shared" ca="1" si="44"/>
        <v>552</v>
      </c>
      <c r="AU401" s="40" t="str">
        <f>LEFT(Sheet1!AE400,3)</f>
        <v>Vik</v>
      </c>
      <c r="AV401" s="40" t="str">
        <f>RIGHT(Sheet1!AF400,2)</f>
        <v>na</v>
      </c>
      <c r="AW401" s="40" t="str">
        <f>MID(Sheet1!AE400,2,3)</f>
        <v>ikr</v>
      </c>
      <c r="AX401" s="42">
        <f>LEN(Sheet1!AE400)</f>
        <v>6</v>
      </c>
      <c r="AY401" s="40" t="str">
        <f>UPPER(Sheet1!AE400)</f>
        <v>VIKRAM</v>
      </c>
      <c r="AZ401" s="40" t="str">
        <f>LOWER(Sheet1!AE400)</f>
        <v>vikram</v>
      </c>
      <c r="BA401" s="40" t="str">
        <f>PROPER(Sheet1!AE400)</f>
        <v>Vikram</v>
      </c>
      <c r="BB401" s="40" t="str">
        <f>_xlfn.CONCAT(Sheet1!AE400," ",Sheet1!AF400)</f>
        <v>Vikram Saxena</v>
      </c>
    </row>
    <row r="402" spans="40:54">
      <c r="AN402" s="51" t="str">
        <f>Sheet1!B401</f>
        <v>13-03-2025</v>
      </c>
      <c r="AO402" s="50">
        <f t="shared" si="39"/>
        <v>10</v>
      </c>
      <c r="AP402" s="50">
        <f t="shared" si="40"/>
        <v>3</v>
      </c>
      <c r="AQ402" s="50">
        <f t="shared" si="41"/>
        <v>2025</v>
      </c>
      <c r="AR402" s="50" t="str">
        <f t="shared" si="42"/>
        <v>Mar-2025</v>
      </c>
      <c r="AS402" s="52">
        <f t="shared" si="43"/>
        <v>45726</v>
      </c>
      <c r="AT402" s="44">
        <f t="shared" ca="1" si="44"/>
        <v>552</v>
      </c>
      <c r="AU402" s="40" t="str">
        <f>LEFT(Sheet1!AE401,3)</f>
        <v>Vik</v>
      </c>
      <c r="AV402" s="40" t="str">
        <f>RIGHT(Sheet1!AF401,2)</f>
        <v>ta</v>
      </c>
      <c r="AW402" s="40" t="str">
        <f>MID(Sheet1!AE401,2,3)</f>
        <v>ikr</v>
      </c>
      <c r="AX402" s="42">
        <f>LEN(Sheet1!AE401)</f>
        <v>6</v>
      </c>
      <c r="AY402" s="40" t="str">
        <f>UPPER(Sheet1!AE401)</f>
        <v>VIKRAM</v>
      </c>
      <c r="AZ402" s="40" t="str">
        <f>LOWER(Sheet1!AE401)</f>
        <v>vikram</v>
      </c>
      <c r="BA402" s="40" t="str">
        <f>PROPER(Sheet1!AE401)</f>
        <v>Vikram</v>
      </c>
      <c r="BB402" s="40" t="str">
        <f>_xlfn.CONCAT(Sheet1!AE401," ",Sheet1!AF401)</f>
        <v>Vikram Gupta</v>
      </c>
    </row>
    <row r="403" spans="40:54">
      <c r="AN403" s="51" t="str">
        <f>Sheet1!B402</f>
        <v>13-04-2024</v>
      </c>
      <c r="AO403" s="50">
        <f t="shared" si="39"/>
        <v>11</v>
      </c>
      <c r="AP403" s="50">
        <f t="shared" si="40"/>
        <v>4</v>
      </c>
      <c r="AQ403" s="50">
        <f t="shared" si="41"/>
        <v>2024</v>
      </c>
      <c r="AR403" s="50" t="str">
        <f t="shared" si="42"/>
        <v>Apr-2024</v>
      </c>
      <c r="AS403" s="52">
        <f t="shared" si="43"/>
        <v>45393</v>
      </c>
      <c r="AT403" s="44">
        <f t="shared" ca="1" si="44"/>
        <v>885</v>
      </c>
      <c r="AU403" s="40" t="str">
        <f>LEFT(Sheet1!AE402,3)</f>
        <v>Mee</v>
      </c>
      <c r="AV403" s="40" t="str">
        <f>RIGHT(Sheet1!AF402,2)</f>
        <v>gh</v>
      </c>
      <c r="AW403" s="40" t="str">
        <f>MID(Sheet1!AE402,2,3)</f>
        <v>eer</v>
      </c>
      <c r="AX403" s="42">
        <f>LEN(Sheet1!AE402)</f>
        <v>5</v>
      </c>
      <c r="AY403" s="40" t="str">
        <f>UPPER(Sheet1!AE402)</f>
        <v>MEERA</v>
      </c>
      <c r="AZ403" s="40" t="str">
        <f>LOWER(Sheet1!AE402)</f>
        <v>meera</v>
      </c>
      <c r="BA403" s="40" t="str">
        <f>PROPER(Sheet1!AE402)</f>
        <v>Meera</v>
      </c>
      <c r="BB403" s="40" t="str">
        <f>_xlfn.CONCAT(Sheet1!AE402," ",Sheet1!AF402)</f>
        <v>Meera Singh</v>
      </c>
    </row>
    <row r="404" spans="40:54">
      <c r="AN404" s="51" t="str">
        <f>Sheet1!B403</f>
        <v>13-04-2025</v>
      </c>
      <c r="AO404" s="50">
        <f t="shared" si="39"/>
        <v>11</v>
      </c>
      <c r="AP404" s="50">
        <f t="shared" si="40"/>
        <v>4</v>
      </c>
      <c r="AQ404" s="50">
        <f t="shared" si="41"/>
        <v>2025</v>
      </c>
      <c r="AR404" s="50" t="str">
        <f t="shared" si="42"/>
        <v>Apr-2025</v>
      </c>
      <c r="AS404" s="52">
        <f t="shared" si="43"/>
        <v>45758</v>
      </c>
      <c r="AT404" s="44">
        <f t="shared" ca="1" si="44"/>
        <v>520</v>
      </c>
      <c r="AU404" s="40" t="str">
        <f>LEFT(Sheet1!AE403,3)</f>
        <v>Sim</v>
      </c>
      <c r="AV404" s="40" t="str">
        <f>RIGHT(Sheet1!AF403,2)</f>
        <v>av</v>
      </c>
      <c r="AW404" s="40" t="str">
        <f>MID(Sheet1!AE403,2,3)</f>
        <v>imr</v>
      </c>
      <c r="AX404" s="42">
        <f>LEN(Sheet1!AE403)</f>
        <v>6</v>
      </c>
      <c r="AY404" s="40" t="str">
        <f>UPPER(Sheet1!AE403)</f>
        <v>SIMRAN</v>
      </c>
      <c r="AZ404" s="40" t="str">
        <f>LOWER(Sheet1!AE403)</f>
        <v>simran</v>
      </c>
      <c r="BA404" s="40" t="str">
        <f>PROPER(Sheet1!AE403)</f>
        <v>Simran</v>
      </c>
      <c r="BB404" s="40" t="str">
        <f>_xlfn.CONCAT(Sheet1!AE403," ",Sheet1!AF403)</f>
        <v>Simran Yadav</v>
      </c>
    </row>
    <row r="405" spans="40:54">
      <c r="AN405" s="51" t="str">
        <f>Sheet1!B404</f>
        <v>13-04-2025</v>
      </c>
      <c r="AO405" s="50">
        <f t="shared" si="39"/>
        <v>12</v>
      </c>
      <c r="AP405" s="50">
        <f t="shared" si="40"/>
        <v>4</v>
      </c>
      <c r="AQ405" s="50">
        <f t="shared" si="41"/>
        <v>2025</v>
      </c>
      <c r="AR405" s="50" t="str">
        <f t="shared" si="42"/>
        <v>Apr-2025</v>
      </c>
      <c r="AS405" s="52">
        <f t="shared" si="43"/>
        <v>45759</v>
      </c>
      <c r="AT405" s="44">
        <f t="shared" ca="1" si="44"/>
        <v>519</v>
      </c>
      <c r="AU405" s="40" t="str">
        <f>LEFT(Sheet1!AE404,3)</f>
        <v>Neh</v>
      </c>
      <c r="AV405" s="40" t="str">
        <f>RIGHT(Sheet1!AF404,2)</f>
        <v>ta</v>
      </c>
      <c r="AW405" s="40" t="str">
        <f>MID(Sheet1!AE404,2,3)</f>
        <v>eha</v>
      </c>
      <c r="AX405" s="42">
        <f>LEN(Sheet1!AE404)</f>
        <v>4</v>
      </c>
      <c r="AY405" s="40" t="str">
        <f>UPPER(Sheet1!AE404)</f>
        <v>NEHA</v>
      </c>
      <c r="AZ405" s="40" t="str">
        <f>LOWER(Sheet1!AE404)</f>
        <v>neha</v>
      </c>
      <c r="BA405" s="40" t="str">
        <f>PROPER(Sheet1!AE404)</f>
        <v>Neha</v>
      </c>
      <c r="BB405" s="40" t="str">
        <f>_xlfn.CONCAT(Sheet1!AE404," ",Sheet1!AF404)</f>
        <v>Neha Gupta</v>
      </c>
    </row>
    <row r="406" spans="40:54">
      <c r="AN406" s="51" t="str">
        <f>Sheet1!B405</f>
        <v>13-05-2024</v>
      </c>
      <c r="AO406" s="50">
        <f t="shared" si="39"/>
        <v>1</v>
      </c>
      <c r="AP406" s="50">
        <f t="shared" si="40"/>
        <v>5</v>
      </c>
      <c r="AQ406" s="50">
        <f t="shared" si="41"/>
        <v>2024</v>
      </c>
      <c r="AR406" s="50" t="str">
        <f t="shared" si="42"/>
        <v>May-2024</v>
      </c>
      <c r="AS406" s="52">
        <f t="shared" si="43"/>
        <v>45413</v>
      </c>
      <c r="AT406" s="44">
        <f t="shared" ca="1" si="44"/>
        <v>865</v>
      </c>
      <c r="AU406" s="40" t="str">
        <f>LEFT(Sheet1!AE405,3)</f>
        <v>Vik</v>
      </c>
      <c r="AV406" s="40" t="str">
        <f>RIGHT(Sheet1!AF405,2)</f>
        <v>ra</v>
      </c>
      <c r="AW406" s="40" t="str">
        <f>MID(Sheet1!AE405,2,3)</f>
        <v>ikr</v>
      </c>
      <c r="AX406" s="42">
        <f>LEN(Sheet1!AE405)</f>
        <v>6</v>
      </c>
      <c r="AY406" s="40" t="str">
        <f>UPPER(Sheet1!AE405)</f>
        <v>VIKRAM</v>
      </c>
      <c r="AZ406" s="40" t="str">
        <f>LOWER(Sheet1!AE405)</f>
        <v>vikram</v>
      </c>
      <c r="BA406" s="40" t="str">
        <f>PROPER(Sheet1!AE405)</f>
        <v>Vikram</v>
      </c>
      <c r="BB406" s="40" t="str">
        <f>_xlfn.CONCAT(Sheet1!AE405," ",Sheet1!AF405)</f>
        <v>Vikram Malhotra</v>
      </c>
    </row>
    <row r="407" spans="40:54">
      <c r="AN407" s="51" t="str">
        <f>Sheet1!B406</f>
        <v>13-05-2024</v>
      </c>
      <c r="AO407" s="50">
        <f t="shared" si="39"/>
        <v>2</v>
      </c>
      <c r="AP407" s="50">
        <f t="shared" si="40"/>
        <v>5</v>
      </c>
      <c r="AQ407" s="50">
        <f t="shared" si="41"/>
        <v>2024</v>
      </c>
      <c r="AR407" s="50" t="str">
        <f t="shared" si="42"/>
        <v>May-2024</v>
      </c>
      <c r="AS407" s="52">
        <f t="shared" si="43"/>
        <v>45414</v>
      </c>
      <c r="AT407" s="44">
        <f t="shared" ca="1" si="44"/>
        <v>864</v>
      </c>
      <c r="AU407" s="40" t="str">
        <f>LEFT(Sheet1!AE406,3)</f>
        <v>Arj</v>
      </c>
      <c r="AV407" s="40" t="str">
        <f>RIGHT(Sheet1!AF406,2)</f>
        <v>ta</v>
      </c>
      <c r="AW407" s="40" t="str">
        <f>MID(Sheet1!AE406,2,3)</f>
        <v>rju</v>
      </c>
      <c r="AX407" s="42">
        <f>LEN(Sheet1!AE406)</f>
        <v>5</v>
      </c>
      <c r="AY407" s="40" t="str">
        <f>UPPER(Sheet1!AE406)</f>
        <v>ARJUN</v>
      </c>
      <c r="AZ407" s="40" t="str">
        <f>LOWER(Sheet1!AE406)</f>
        <v>arjun</v>
      </c>
      <c r="BA407" s="40" t="str">
        <f>PROPER(Sheet1!AE406)</f>
        <v>Arjun</v>
      </c>
      <c r="BB407" s="40" t="str">
        <f>_xlfn.CONCAT(Sheet1!AE406," ",Sheet1!AF406)</f>
        <v>Arjun Mehta</v>
      </c>
    </row>
    <row r="408" spans="40:54">
      <c r="AN408" s="51" t="str">
        <f>Sheet1!B407</f>
        <v>13-05-2024</v>
      </c>
      <c r="AO408" s="50">
        <f t="shared" si="39"/>
        <v>3</v>
      </c>
      <c r="AP408" s="50">
        <f t="shared" si="40"/>
        <v>5</v>
      </c>
      <c r="AQ408" s="50">
        <f t="shared" si="41"/>
        <v>2024</v>
      </c>
      <c r="AR408" s="50" t="str">
        <f t="shared" si="42"/>
        <v>May-2024</v>
      </c>
      <c r="AS408" s="52">
        <f t="shared" si="43"/>
        <v>45415</v>
      </c>
      <c r="AT408" s="44">
        <f t="shared" ca="1" si="44"/>
        <v>863</v>
      </c>
      <c r="AU408" s="40" t="str">
        <f>LEFT(Sheet1!AE407,3)</f>
        <v>Rah</v>
      </c>
      <c r="AV408" s="40" t="str">
        <f>RIGHT(Sheet1!AF407,2)</f>
        <v>ta</v>
      </c>
      <c r="AW408" s="40" t="str">
        <f>MID(Sheet1!AE407,2,3)</f>
        <v>ahu</v>
      </c>
      <c r="AX408" s="42">
        <f>LEN(Sheet1!AE407)</f>
        <v>5</v>
      </c>
      <c r="AY408" s="40" t="str">
        <f>UPPER(Sheet1!AE407)</f>
        <v>RAHUL</v>
      </c>
      <c r="AZ408" s="40" t="str">
        <f>LOWER(Sheet1!AE407)</f>
        <v>rahul</v>
      </c>
      <c r="BA408" s="40" t="str">
        <f>PROPER(Sheet1!AE407)</f>
        <v>Rahul</v>
      </c>
      <c r="BB408" s="40" t="str">
        <f>_xlfn.CONCAT(Sheet1!AE407," ",Sheet1!AF407)</f>
        <v>Rahul Mehta</v>
      </c>
    </row>
    <row r="409" spans="40:54">
      <c r="AN409" s="51" t="str">
        <f>Sheet1!B408</f>
        <v>13-06-2024</v>
      </c>
      <c r="AO409" s="50">
        <f t="shared" si="39"/>
        <v>3</v>
      </c>
      <c r="AP409" s="50">
        <f t="shared" si="40"/>
        <v>6</v>
      </c>
      <c r="AQ409" s="50">
        <f t="shared" si="41"/>
        <v>2024</v>
      </c>
      <c r="AR409" s="50" t="str">
        <f t="shared" si="42"/>
        <v>Jun-2024</v>
      </c>
      <c r="AS409" s="52">
        <f t="shared" si="43"/>
        <v>45446</v>
      </c>
      <c r="AT409" s="44">
        <f t="shared" ca="1" si="44"/>
        <v>832</v>
      </c>
      <c r="AU409" s="40" t="str">
        <f>LEFT(Sheet1!AE408,3)</f>
        <v>Pri</v>
      </c>
      <c r="AV409" s="40" t="str">
        <f>RIGHT(Sheet1!AF408,2)</f>
        <v>gh</v>
      </c>
      <c r="AW409" s="40" t="str">
        <f>MID(Sheet1!AE408,2,3)</f>
        <v>riy</v>
      </c>
      <c r="AX409" s="42">
        <f>LEN(Sheet1!AE408)</f>
        <v>5</v>
      </c>
      <c r="AY409" s="40" t="str">
        <f>UPPER(Sheet1!AE408)</f>
        <v>PRIYA</v>
      </c>
      <c r="AZ409" s="40" t="str">
        <f>LOWER(Sheet1!AE408)</f>
        <v>priya</v>
      </c>
      <c r="BA409" s="40" t="str">
        <f>PROPER(Sheet1!AE408)</f>
        <v>Priya</v>
      </c>
      <c r="BB409" s="40" t="str">
        <f>_xlfn.CONCAT(Sheet1!AE408," ",Sheet1!AF408)</f>
        <v>Priya Singh</v>
      </c>
    </row>
    <row r="410" spans="40:54">
      <c r="AN410" s="50" t="str">
        <f>Sheet1!B409</f>
        <v>13-06-2024</v>
      </c>
      <c r="AO410" s="50">
        <f t="shared" si="39"/>
        <v>4</v>
      </c>
      <c r="AP410" s="50">
        <f t="shared" si="40"/>
        <v>6</v>
      </c>
      <c r="AQ410" s="50">
        <f t="shared" si="41"/>
        <v>2024</v>
      </c>
      <c r="AR410" s="50" t="str">
        <f t="shared" si="42"/>
        <v>Jun-2024</v>
      </c>
      <c r="AS410" s="52">
        <f t="shared" si="43"/>
        <v>45447</v>
      </c>
      <c r="AT410" s="44">
        <f t="shared" ca="1" si="44"/>
        <v>831</v>
      </c>
      <c r="AU410" s="40" t="str">
        <f>LEFT(Sheet1!AE409,3)</f>
        <v>Ana</v>
      </c>
      <c r="AV410" s="40" t="str">
        <f>RIGHT(Sheet1!AF409,2)</f>
        <v>ra</v>
      </c>
      <c r="AW410" s="40" t="str">
        <f>MID(Sheet1!AE409,2,3)</f>
        <v>nan</v>
      </c>
      <c r="AX410" s="42">
        <f>LEN(Sheet1!AE409)</f>
        <v>6</v>
      </c>
      <c r="AY410" s="40" t="str">
        <f>UPPER(Sheet1!AE409)</f>
        <v>ANANYA</v>
      </c>
      <c r="AZ410" s="40" t="str">
        <f>LOWER(Sheet1!AE409)</f>
        <v>ananya</v>
      </c>
      <c r="BA410" s="40" t="str">
        <f>PROPER(Sheet1!AE409)</f>
        <v>Ananya</v>
      </c>
      <c r="BB410" s="40" t="str">
        <f>_xlfn.CONCAT(Sheet1!AE409," ",Sheet1!AF409)</f>
        <v>Ananya Mishra</v>
      </c>
    </row>
    <row r="411" spans="40:54">
      <c r="AN411" s="50" t="str">
        <f>Sheet1!B410</f>
        <v>13-06-2024</v>
      </c>
      <c r="AO411" s="50">
        <f t="shared" si="39"/>
        <v>6</v>
      </c>
      <c r="AP411" s="50">
        <f t="shared" si="40"/>
        <v>6</v>
      </c>
      <c r="AQ411" s="50">
        <f t="shared" si="41"/>
        <v>2024</v>
      </c>
      <c r="AR411" s="50" t="str">
        <f t="shared" si="42"/>
        <v>Jun-2024</v>
      </c>
      <c r="AS411" s="52">
        <f t="shared" si="43"/>
        <v>45449</v>
      </c>
      <c r="AT411" s="44">
        <f t="shared" ca="1" si="44"/>
        <v>829</v>
      </c>
      <c r="AU411" s="40" t="str">
        <f>LEFT(Sheet1!AE410,3)</f>
        <v>Nis</v>
      </c>
      <c r="AV411" s="40" t="str">
        <f>RIGHT(Sheet1!AF410,2)</f>
        <v>ra</v>
      </c>
      <c r="AW411" s="40" t="str">
        <f>MID(Sheet1!AE410,2,3)</f>
        <v>ish</v>
      </c>
      <c r="AX411" s="42">
        <f>LEN(Sheet1!AE410)</f>
        <v>5</v>
      </c>
      <c r="AY411" s="40" t="str">
        <f>UPPER(Sheet1!AE410)</f>
        <v>NISHA</v>
      </c>
      <c r="AZ411" s="40" t="str">
        <f>LOWER(Sheet1!AE410)</f>
        <v>nisha</v>
      </c>
      <c r="BA411" s="40" t="str">
        <f>PROPER(Sheet1!AE410)</f>
        <v>Nisha</v>
      </c>
      <c r="BB411" s="40" t="str">
        <f>_xlfn.CONCAT(Sheet1!AE410," ",Sheet1!AF410)</f>
        <v>Nisha Mishra</v>
      </c>
    </row>
    <row r="412" spans="40:54">
      <c r="AN412" s="50" t="str">
        <f>Sheet1!B411</f>
        <v>13-06-2025</v>
      </c>
      <c r="AO412" s="50">
        <f t="shared" si="39"/>
        <v>7</v>
      </c>
      <c r="AP412" s="50">
        <f t="shared" si="40"/>
        <v>6</v>
      </c>
      <c r="AQ412" s="50">
        <f t="shared" si="41"/>
        <v>2025</v>
      </c>
      <c r="AR412" s="50" t="str">
        <f t="shared" si="42"/>
        <v>Jun-2025</v>
      </c>
      <c r="AS412" s="52">
        <f t="shared" si="43"/>
        <v>45815</v>
      </c>
      <c r="AT412" s="44">
        <f t="shared" ca="1" si="44"/>
        <v>463</v>
      </c>
      <c r="AU412" s="40" t="str">
        <f>LEFT(Sheet1!AE411,3)</f>
        <v>Neh</v>
      </c>
      <c r="AV412" s="40" t="str">
        <f>RIGHT(Sheet1!AF411,2)</f>
        <v>ta</v>
      </c>
      <c r="AW412" s="40" t="str">
        <f>MID(Sheet1!AE411,2,3)</f>
        <v>eha</v>
      </c>
      <c r="AX412" s="42">
        <f>LEN(Sheet1!AE411)</f>
        <v>4</v>
      </c>
      <c r="AY412" s="40" t="str">
        <f>UPPER(Sheet1!AE411)</f>
        <v>NEHA</v>
      </c>
      <c r="AZ412" s="40" t="str">
        <f>LOWER(Sheet1!AE411)</f>
        <v>neha</v>
      </c>
      <c r="BA412" s="40" t="str">
        <f>PROPER(Sheet1!AE411)</f>
        <v>Neha</v>
      </c>
      <c r="BB412" s="40" t="str">
        <f>_xlfn.CONCAT(Sheet1!AE411," ",Sheet1!AF411)</f>
        <v>Neha Mehta</v>
      </c>
    </row>
    <row r="413" spans="40:54">
      <c r="AN413" s="50" t="str">
        <f>Sheet1!B412</f>
        <v>13-07-2025</v>
      </c>
      <c r="AO413" s="50">
        <f t="shared" si="39"/>
        <v>7</v>
      </c>
      <c r="AP413" s="50">
        <f t="shared" si="40"/>
        <v>7</v>
      </c>
      <c r="AQ413" s="50">
        <f t="shared" si="41"/>
        <v>2025</v>
      </c>
      <c r="AR413" s="50" t="str">
        <f t="shared" si="42"/>
        <v>Jul-2025</v>
      </c>
      <c r="AS413" s="52">
        <f t="shared" si="43"/>
        <v>45845</v>
      </c>
      <c r="AT413" s="44">
        <f t="shared" ca="1" si="44"/>
        <v>433</v>
      </c>
      <c r="AU413" s="40" t="str">
        <f>LEFT(Sheet1!AE412,3)</f>
        <v>Mee</v>
      </c>
      <c r="AV413" s="40" t="str">
        <f>RIGHT(Sheet1!AF412,2)</f>
        <v>ra</v>
      </c>
      <c r="AW413" s="40" t="str">
        <f>MID(Sheet1!AE412,2,3)</f>
        <v>eer</v>
      </c>
      <c r="AX413" s="42">
        <f>LEN(Sheet1!AE412)</f>
        <v>5</v>
      </c>
      <c r="AY413" s="40" t="str">
        <f>UPPER(Sheet1!AE412)</f>
        <v>MEERA</v>
      </c>
      <c r="AZ413" s="40" t="str">
        <f>LOWER(Sheet1!AE412)</f>
        <v>meera</v>
      </c>
      <c r="BA413" s="40" t="str">
        <f>PROPER(Sheet1!AE412)</f>
        <v>Meera</v>
      </c>
      <c r="BB413" s="40" t="str">
        <f>_xlfn.CONCAT(Sheet1!AE412," ",Sheet1!AF412)</f>
        <v>Meera Malhotra</v>
      </c>
    </row>
    <row r="414" spans="40:54">
      <c r="AN414" s="50" t="str">
        <f>Sheet1!B413</f>
        <v>13-08-2024</v>
      </c>
      <c r="AO414" s="50">
        <f t="shared" si="39"/>
        <v>8</v>
      </c>
      <c r="AP414" s="50">
        <f t="shared" si="40"/>
        <v>8</v>
      </c>
      <c r="AQ414" s="50">
        <f t="shared" si="41"/>
        <v>2024</v>
      </c>
      <c r="AR414" s="50" t="str">
        <f t="shared" si="42"/>
        <v>Aug-2024</v>
      </c>
      <c r="AS414" s="52">
        <f t="shared" si="43"/>
        <v>45512</v>
      </c>
      <c r="AT414" s="44">
        <f t="shared" ca="1" si="44"/>
        <v>766</v>
      </c>
      <c r="AU414" s="40" t="str">
        <f>LEFT(Sheet1!AE413,3)</f>
        <v>Pri</v>
      </c>
      <c r="AV414" s="40" t="str">
        <f>RIGHT(Sheet1!AF413,2)</f>
        <v>ta</v>
      </c>
      <c r="AW414" s="40" t="str">
        <f>MID(Sheet1!AE413,2,3)</f>
        <v>riy</v>
      </c>
      <c r="AX414" s="42">
        <f>LEN(Sheet1!AE413)</f>
        <v>5</v>
      </c>
      <c r="AY414" s="40" t="str">
        <f>UPPER(Sheet1!AE413)</f>
        <v>PRIYA</v>
      </c>
      <c r="AZ414" s="40" t="str">
        <f>LOWER(Sheet1!AE413)</f>
        <v>priya</v>
      </c>
      <c r="BA414" s="40" t="str">
        <f>PROPER(Sheet1!AE413)</f>
        <v>Priya</v>
      </c>
      <c r="BB414" s="40" t="str">
        <f>_xlfn.CONCAT(Sheet1!AE413," ",Sheet1!AF413)</f>
        <v>Priya Gupta</v>
      </c>
    </row>
    <row r="415" spans="40:54">
      <c r="AN415" s="50" t="str">
        <f>Sheet1!B414</f>
        <v>13-08-2024</v>
      </c>
      <c r="AO415" s="50">
        <f t="shared" si="39"/>
        <v>9</v>
      </c>
      <c r="AP415" s="50">
        <f t="shared" si="40"/>
        <v>8</v>
      </c>
      <c r="AQ415" s="50">
        <f t="shared" si="41"/>
        <v>2024</v>
      </c>
      <c r="AR415" s="50" t="str">
        <f t="shared" si="42"/>
        <v>Aug-2024</v>
      </c>
      <c r="AS415" s="52">
        <f t="shared" si="43"/>
        <v>45513</v>
      </c>
      <c r="AT415" s="44">
        <f t="shared" ca="1" si="44"/>
        <v>765</v>
      </c>
      <c r="AU415" s="40" t="str">
        <f>LEFT(Sheet1!AE414,3)</f>
        <v>Pri</v>
      </c>
      <c r="AV415" s="40" t="str">
        <f>RIGHT(Sheet1!AF414,2)</f>
        <v>ra</v>
      </c>
      <c r="AW415" s="40" t="str">
        <f>MID(Sheet1!AE414,2,3)</f>
        <v>riy</v>
      </c>
      <c r="AX415" s="42">
        <f>LEN(Sheet1!AE414)</f>
        <v>5</v>
      </c>
      <c r="AY415" s="40" t="str">
        <f>UPPER(Sheet1!AE414)</f>
        <v>PRIYA</v>
      </c>
      <c r="AZ415" s="40" t="str">
        <f>LOWER(Sheet1!AE414)</f>
        <v>priya</v>
      </c>
      <c r="BA415" s="40" t="str">
        <f>PROPER(Sheet1!AE414)</f>
        <v>Priya</v>
      </c>
      <c r="BB415" s="40" t="str">
        <f>_xlfn.CONCAT(Sheet1!AE414," ",Sheet1!AF414)</f>
        <v>Priya Mishra</v>
      </c>
    </row>
    <row r="416" spans="40:54">
      <c r="AN416" s="50" t="str">
        <f>Sheet1!B415</f>
        <v>13-08-2024</v>
      </c>
      <c r="AO416" s="50">
        <f t="shared" si="39"/>
        <v>10</v>
      </c>
      <c r="AP416" s="50">
        <f t="shared" si="40"/>
        <v>8</v>
      </c>
      <c r="AQ416" s="50">
        <f t="shared" si="41"/>
        <v>2024</v>
      </c>
      <c r="AR416" s="50" t="str">
        <f t="shared" si="42"/>
        <v>Aug-2024</v>
      </c>
      <c r="AS416" s="52">
        <f t="shared" si="43"/>
        <v>45514</v>
      </c>
      <c r="AT416" s="44">
        <f t="shared" ca="1" si="44"/>
        <v>764</v>
      </c>
      <c r="AU416" s="40" t="str">
        <f>LEFT(Sheet1!AE415,3)</f>
        <v>Ish</v>
      </c>
      <c r="AV416" s="40" t="str">
        <f>RIGHT(Sheet1!AF415,2)</f>
        <v>or</v>
      </c>
      <c r="AW416" s="40" t="str">
        <f>MID(Sheet1!AE415,2,3)</f>
        <v>shi</v>
      </c>
      <c r="AX416" s="42">
        <f>LEN(Sheet1!AE415)</f>
        <v>6</v>
      </c>
      <c r="AY416" s="40" t="str">
        <f>UPPER(Sheet1!AE415)</f>
        <v>ISHITA</v>
      </c>
      <c r="AZ416" s="40" t="str">
        <f>LOWER(Sheet1!AE415)</f>
        <v>ishita</v>
      </c>
      <c r="BA416" s="40" t="str">
        <f>PROPER(Sheet1!AE415)</f>
        <v>Ishita</v>
      </c>
      <c r="BB416" s="40" t="str">
        <f>_xlfn.CONCAT(Sheet1!AE415," ",Sheet1!AF415)</f>
        <v>Ishita Kapoor</v>
      </c>
    </row>
    <row r="417" spans="40:54">
      <c r="AN417" s="50" t="str">
        <f>Sheet1!B416</f>
        <v>13-08-2024</v>
      </c>
      <c r="AO417" s="50">
        <f t="shared" si="39"/>
        <v>11</v>
      </c>
      <c r="AP417" s="50">
        <f t="shared" si="40"/>
        <v>8</v>
      </c>
      <c r="AQ417" s="50">
        <f t="shared" si="41"/>
        <v>2024</v>
      </c>
      <c r="AR417" s="50" t="str">
        <f t="shared" si="42"/>
        <v>Aug-2024</v>
      </c>
      <c r="AS417" s="52">
        <f t="shared" si="43"/>
        <v>45515</v>
      </c>
      <c r="AT417" s="44">
        <f t="shared" ca="1" si="44"/>
        <v>763</v>
      </c>
      <c r="AU417" s="40" t="str">
        <f>LEFT(Sheet1!AE416,3)</f>
        <v>Vik</v>
      </c>
      <c r="AV417" s="40" t="str">
        <f>RIGHT(Sheet1!AF416,2)</f>
        <v>na</v>
      </c>
      <c r="AW417" s="40" t="str">
        <f>MID(Sheet1!AE416,2,3)</f>
        <v>ikr</v>
      </c>
      <c r="AX417" s="42">
        <f>LEN(Sheet1!AE416)</f>
        <v>6</v>
      </c>
      <c r="AY417" s="40" t="str">
        <f>UPPER(Sheet1!AE416)</f>
        <v>VIKRAM</v>
      </c>
      <c r="AZ417" s="40" t="str">
        <f>LOWER(Sheet1!AE416)</f>
        <v>vikram</v>
      </c>
      <c r="BA417" s="40" t="str">
        <f>PROPER(Sheet1!AE416)</f>
        <v>Vikram</v>
      </c>
      <c r="BB417" s="40" t="str">
        <f>_xlfn.CONCAT(Sheet1!AE416," ",Sheet1!AF416)</f>
        <v>Vikram Saxena</v>
      </c>
    </row>
    <row r="418" spans="40:54">
      <c r="AN418" s="50" t="str">
        <f>Sheet1!B417</f>
        <v>13-08-2025</v>
      </c>
      <c r="AO418" s="50">
        <f t="shared" si="39"/>
        <v>12</v>
      </c>
      <c r="AP418" s="50">
        <f t="shared" si="40"/>
        <v>8</v>
      </c>
      <c r="AQ418" s="50">
        <f t="shared" si="41"/>
        <v>2025</v>
      </c>
      <c r="AR418" s="50" t="str">
        <f t="shared" si="42"/>
        <v>Aug-2025</v>
      </c>
      <c r="AS418" s="52">
        <f t="shared" si="43"/>
        <v>45881</v>
      </c>
      <c r="AT418" s="44">
        <f t="shared" ca="1" si="44"/>
        <v>397</v>
      </c>
      <c r="AU418" s="40" t="str">
        <f>LEFT(Sheet1!AE417,3)</f>
        <v>Mee</v>
      </c>
      <c r="AV418" s="40" t="str">
        <f>RIGHT(Sheet1!AF417,2)</f>
        <v>na</v>
      </c>
      <c r="AW418" s="40" t="str">
        <f>MID(Sheet1!AE417,2,3)</f>
        <v>eer</v>
      </c>
      <c r="AX418" s="42">
        <f>LEN(Sheet1!AE417)</f>
        <v>5</v>
      </c>
      <c r="AY418" s="40" t="str">
        <f>UPPER(Sheet1!AE417)</f>
        <v>MEERA</v>
      </c>
      <c r="AZ418" s="40" t="str">
        <f>LOWER(Sheet1!AE417)</f>
        <v>meera</v>
      </c>
      <c r="BA418" s="40" t="str">
        <f>PROPER(Sheet1!AE417)</f>
        <v>Meera</v>
      </c>
      <c r="BB418" s="40" t="str">
        <f>_xlfn.CONCAT(Sheet1!AE417," ",Sheet1!AF417)</f>
        <v>Meera Saxena</v>
      </c>
    </row>
    <row r="419" spans="40:54">
      <c r="AN419" s="50" t="str">
        <f>Sheet1!B418</f>
        <v>13-09-2024</v>
      </c>
      <c r="AO419" s="50">
        <f t="shared" si="39"/>
        <v>12</v>
      </c>
      <c r="AP419" s="50">
        <f t="shared" si="40"/>
        <v>9</v>
      </c>
      <c r="AQ419" s="50">
        <f t="shared" si="41"/>
        <v>2024</v>
      </c>
      <c r="AR419" s="50" t="str">
        <f t="shared" si="42"/>
        <v>Sep-2024</v>
      </c>
      <c r="AS419" s="52">
        <f t="shared" si="43"/>
        <v>45547</v>
      </c>
      <c r="AT419" s="44">
        <f t="shared" ca="1" si="44"/>
        <v>731</v>
      </c>
      <c r="AU419" s="40" t="str">
        <f>LEFT(Sheet1!AE418,3)</f>
        <v>Aar</v>
      </c>
      <c r="AV419" s="40" t="str">
        <f>RIGHT(Sheet1!AF418,2)</f>
        <v>na</v>
      </c>
      <c r="AW419" s="40" t="str">
        <f>MID(Sheet1!AE418,2,3)</f>
        <v>ara</v>
      </c>
      <c r="AX419" s="42">
        <f>LEN(Sheet1!AE418)</f>
        <v>5</v>
      </c>
      <c r="AY419" s="40" t="str">
        <f>UPPER(Sheet1!AE418)</f>
        <v>AARAV</v>
      </c>
      <c r="AZ419" s="40" t="str">
        <f>LOWER(Sheet1!AE418)</f>
        <v>aarav</v>
      </c>
      <c r="BA419" s="40" t="str">
        <f>PROPER(Sheet1!AE418)</f>
        <v>Aarav</v>
      </c>
      <c r="BB419" s="40" t="str">
        <f>_xlfn.CONCAT(Sheet1!AE418," ",Sheet1!AF418)</f>
        <v>Aarav Saxena</v>
      </c>
    </row>
    <row r="420" spans="40:54">
      <c r="AN420" s="50" t="str">
        <f>Sheet1!B419</f>
        <v>13-09-2025</v>
      </c>
      <c r="AO420" s="50">
        <f t="shared" si="39"/>
        <v>12</v>
      </c>
      <c r="AP420" s="50">
        <f t="shared" si="40"/>
        <v>9</v>
      </c>
      <c r="AQ420" s="50">
        <f t="shared" si="41"/>
        <v>2025</v>
      </c>
      <c r="AR420" s="50" t="str">
        <f t="shared" si="42"/>
        <v>Sep-2025</v>
      </c>
      <c r="AS420" s="52">
        <f t="shared" si="43"/>
        <v>45912</v>
      </c>
      <c r="AT420" s="44">
        <f t="shared" ca="1" si="44"/>
        <v>366</v>
      </c>
      <c r="AU420" s="40" t="str">
        <f>LEFT(Sheet1!AE419,3)</f>
        <v>Poo</v>
      </c>
      <c r="AV420" s="40" t="str">
        <f>RIGHT(Sheet1!AF419,2)</f>
        <v>ta</v>
      </c>
      <c r="AW420" s="40" t="str">
        <f>MID(Sheet1!AE419,2,3)</f>
        <v>ooj</v>
      </c>
      <c r="AX420" s="42">
        <f>LEN(Sheet1!AE419)</f>
        <v>5</v>
      </c>
      <c r="AY420" s="40" t="str">
        <f>UPPER(Sheet1!AE419)</f>
        <v>POOJA</v>
      </c>
      <c r="AZ420" s="40" t="str">
        <f>LOWER(Sheet1!AE419)</f>
        <v>pooja</v>
      </c>
      <c r="BA420" s="40" t="str">
        <f>PROPER(Sheet1!AE419)</f>
        <v>Pooja</v>
      </c>
      <c r="BB420" s="40" t="str">
        <f>_xlfn.CONCAT(Sheet1!AE419," ",Sheet1!AF419)</f>
        <v>Pooja Gupta</v>
      </c>
    </row>
    <row r="421" spans="40:54">
      <c r="AN421" s="50" t="str">
        <f>Sheet1!B420</f>
        <v>13-10-2024</v>
      </c>
      <c r="AO421" s="50">
        <f t="shared" si="39"/>
        <v>12</v>
      </c>
      <c r="AP421" s="50">
        <f t="shared" si="40"/>
        <v>10</v>
      </c>
      <c r="AQ421" s="50">
        <f t="shared" si="41"/>
        <v>2024</v>
      </c>
      <c r="AR421" s="50" t="str">
        <f t="shared" si="42"/>
        <v>Oct-2024</v>
      </c>
      <c r="AS421" s="52">
        <f t="shared" si="43"/>
        <v>45577</v>
      </c>
      <c r="AT421" s="44">
        <f t="shared" ca="1" si="44"/>
        <v>701</v>
      </c>
      <c r="AU421" s="40" t="str">
        <f>LEFT(Sheet1!AE420,3)</f>
        <v>Riy</v>
      </c>
      <c r="AV421" s="40" t="str">
        <f>RIGHT(Sheet1!AF420,2)</f>
        <v>ra</v>
      </c>
      <c r="AW421" s="40" t="str">
        <f>MID(Sheet1!AE420,2,3)</f>
        <v>iya</v>
      </c>
      <c r="AX421" s="42">
        <f>LEN(Sheet1!AE420)</f>
        <v>4</v>
      </c>
      <c r="AY421" s="40" t="str">
        <f>UPPER(Sheet1!AE420)</f>
        <v>RIYA</v>
      </c>
      <c r="AZ421" s="40" t="str">
        <f>LOWER(Sheet1!AE420)</f>
        <v>riya</v>
      </c>
      <c r="BA421" s="40" t="str">
        <f>PROPER(Sheet1!AE420)</f>
        <v>Riya</v>
      </c>
      <c r="BB421" s="40" t="str">
        <f>_xlfn.CONCAT(Sheet1!AE420," ",Sheet1!AF420)</f>
        <v>Riya Mishra</v>
      </c>
    </row>
    <row r="422" spans="40:54">
      <c r="AN422" s="50" t="str">
        <f>Sheet1!B421</f>
        <v>13-11-2024</v>
      </c>
      <c r="AO422" s="50">
        <f t="shared" si="39"/>
        <v>1</v>
      </c>
      <c r="AP422" s="50">
        <f t="shared" si="40"/>
        <v>11</v>
      </c>
      <c r="AQ422" s="50">
        <f t="shared" si="41"/>
        <v>2024</v>
      </c>
      <c r="AR422" s="50" t="str">
        <f t="shared" si="42"/>
        <v>Nov-2024</v>
      </c>
      <c r="AS422" s="52">
        <f t="shared" si="43"/>
        <v>45597</v>
      </c>
      <c r="AT422" s="44">
        <f t="shared" ca="1" si="44"/>
        <v>681</v>
      </c>
      <c r="AU422" s="40" t="str">
        <f>LEFT(Sheet1!AE421,3)</f>
        <v>Kav</v>
      </c>
      <c r="AV422" s="40" t="str">
        <f>RIGHT(Sheet1!AF421,2)</f>
        <v>ar</v>
      </c>
      <c r="AW422" s="40" t="str">
        <f>MID(Sheet1!AE421,2,3)</f>
        <v>avy</v>
      </c>
      <c r="AX422" s="42">
        <f>LEN(Sheet1!AE421)</f>
        <v>5</v>
      </c>
      <c r="AY422" s="40" t="str">
        <f>UPPER(Sheet1!AE421)</f>
        <v>KAVYA</v>
      </c>
      <c r="AZ422" s="40" t="str">
        <f>LOWER(Sheet1!AE421)</f>
        <v>kavya</v>
      </c>
      <c r="BA422" s="40" t="str">
        <f>PROPER(Sheet1!AE421)</f>
        <v>Kavya</v>
      </c>
      <c r="BB422" s="40" t="str">
        <f>_xlfn.CONCAT(Sheet1!AE421," ",Sheet1!AF421)</f>
        <v>Kavya Kumar</v>
      </c>
    </row>
    <row r="423" spans="40:54">
      <c r="AN423" s="50" t="str">
        <f>Sheet1!B422</f>
        <v>13-11-2024</v>
      </c>
      <c r="AO423" s="50">
        <f t="shared" si="39"/>
        <v>4</v>
      </c>
      <c r="AP423" s="50">
        <f t="shared" si="40"/>
        <v>11</v>
      </c>
      <c r="AQ423" s="50">
        <f t="shared" si="41"/>
        <v>2024</v>
      </c>
      <c r="AR423" s="50" t="str">
        <f t="shared" si="42"/>
        <v>Nov-2024</v>
      </c>
      <c r="AS423" s="52">
        <f t="shared" si="43"/>
        <v>45600</v>
      </c>
      <c r="AT423" s="44">
        <f t="shared" ca="1" si="44"/>
        <v>678</v>
      </c>
      <c r="AU423" s="40" t="str">
        <f>LEFT(Sheet1!AE422,3)</f>
        <v>Vik</v>
      </c>
      <c r="AV423" s="40" t="str">
        <f>RIGHT(Sheet1!AF422,2)</f>
        <v>na</v>
      </c>
      <c r="AW423" s="40" t="str">
        <f>MID(Sheet1!AE422,2,3)</f>
        <v>ikr</v>
      </c>
      <c r="AX423" s="42">
        <f>LEN(Sheet1!AE422)</f>
        <v>6</v>
      </c>
      <c r="AY423" s="40" t="str">
        <f>UPPER(Sheet1!AE422)</f>
        <v>VIKRAM</v>
      </c>
      <c r="AZ423" s="40" t="str">
        <f>LOWER(Sheet1!AE422)</f>
        <v>vikram</v>
      </c>
      <c r="BA423" s="40" t="str">
        <f>PROPER(Sheet1!AE422)</f>
        <v>Vikram</v>
      </c>
      <c r="BB423" s="40" t="str">
        <f>_xlfn.CONCAT(Sheet1!AE422," ",Sheet1!AF422)</f>
        <v>Vikram Saxena</v>
      </c>
    </row>
    <row r="424" spans="40:54">
      <c r="AN424" s="50" t="str">
        <f>Sheet1!B423</f>
        <v>13-12-2025</v>
      </c>
      <c r="AO424" s="50">
        <f t="shared" si="39"/>
        <v>4</v>
      </c>
      <c r="AP424" s="50">
        <f t="shared" si="40"/>
        <v>12</v>
      </c>
      <c r="AQ424" s="50">
        <f t="shared" si="41"/>
        <v>2025</v>
      </c>
      <c r="AR424" s="50" t="str">
        <f t="shared" si="42"/>
        <v>Dec-2025</v>
      </c>
      <c r="AS424" s="52">
        <f t="shared" si="43"/>
        <v>45995</v>
      </c>
      <c r="AT424" s="44">
        <f t="shared" ca="1" si="44"/>
        <v>283</v>
      </c>
      <c r="AU424" s="40" t="str">
        <f>LEFT(Sheet1!AE423,3)</f>
        <v>Roh</v>
      </c>
      <c r="AV424" s="40" t="str">
        <f>RIGHT(Sheet1!AF423,2)</f>
        <v>av</v>
      </c>
      <c r="AW424" s="40" t="str">
        <f>MID(Sheet1!AE423,2,3)</f>
        <v>oha</v>
      </c>
      <c r="AX424" s="42">
        <f>LEN(Sheet1!AE423)</f>
        <v>5</v>
      </c>
      <c r="AY424" s="40" t="str">
        <f>UPPER(Sheet1!AE423)</f>
        <v>ROHAN</v>
      </c>
      <c r="AZ424" s="40" t="str">
        <f>LOWER(Sheet1!AE423)</f>
        <v>rohan</v>
      </c>
      <c r="BA424" s="40" t="str">
        <f>PROPER(Sheet1!AE423)</f>
        <v>Rohan</v>
      </c>
      <c r="BB424" s="40" t="str">
        <f>_xlfn.CONCAT(Sheet1!AE423," ",Sheet1!AF423)</f>
        <v>Rohan Yadav</v>
      </c>
    </row>
    <row r="425" spans="40:54">
      <c r="AN425" s="50" t="str">
        <f>Sheet1!B424</f>
        <v>14-01-2024</v>
      </c>
      <c r="AO425" s="50">
        <f t="shared" si="39"/>
        <v>4</v>
      </c>
      <c r="AP425" s="50">
        <f t="shared" si="40"/>
        <v>1</v>
      </c>
      <c r="AQ425" s="50">
        <f t="shared" si="41"/>
        <v>2024</v>
      </c>
      <c r="AR425" s="50" t="str">
        <f t="shared" si="42"/>
        <v>Jan-2024</v>
      </c>
      <c r="AS425" s="52">
        <f t="shared" si="43"/>
        <v>45295</v>
      </c>
      <c r="AT425" s="44">
        <f t="shared" ca="1" si="44"/>
        <v>983</v>
      </c>
      <c r="AU425" s="40" t="str">
        <f>LEFT(Sheet1!AE424,3)</f>
        <v>Sim</v>
      </c>
      <c r="AV425" s="40" t="str">
        <f>RIGHT(Sheet1!AF424,2)</f>
        <v>av</v>
      </c>
      <c r="AW425" s="40" t="str">
        <f>MID(Sheet1!AE424,2,3)</f>
        <v>imr</v>
      </c>
      <c r="AX425" s="42">
        <f>LEN(Sheet1!AE424)</f>
        <v>6</v>
      </c>
      <c r="AY425" s="40" t="str">
        <f>UPPER(Sheet1!AE424)</f>
        <v>SIMRAN</v>
      </c>
      <c r="AZ425" s="40" t="str">
        <f>LOWER(Sheet1!AE424)</f>
        <v>simran</v>
      </c>
      <c r="BA425" s="40" t="str">
        <f>PROPER(Sheet1!AE424)</f>
        <v>Simran</v>
      </c>
      <c r="BB425" s="40" t="str">
        <f>_xlfn.CONCAT(Sheet1!AE424," ",Sheet1!AF424)</f>
        <v>Simran Yadav</v>
      </c>
    </row>
    <row r="426" spans="40:54">
      <c r="AN426" s="50" t="str">
        <f>Sheet1!B425</f>
        <v>14-01-2024</v>
      </c>
      <c r="AO426" s="50">
        <f t="shared" si="39"/>
        <v>4</v>
      </c>
      <c r="AP426" s="50">
        <f t="shared" si="40"/>
        <v>1</v>
      </c>
      <c r="AQ426" s="50">
        <f t="shared" si="41"/>
        <v>2024</v>
      </c>
      <c r="AR426" s="50" t="str">
        <f t="shared" si="42"/>
        <v>Jan-2024</v>
      </c>
      <c r="AS426" s="52">
        <f t="shared" si="43"/>
        <v>45295</v>
      </c>
      <c r="AT426" s="44">
        <f t="shared" ca="1" si="44"/>
        <v>983</v>
      </c>
      <c r="AU426" s="40" t="str">
        <f>LEFT(Sheet1!AE425,3)</f>
        <v>Sne</v>
      </c>
      <c r="AV426" s="40" t="str">
        <f>RIGHT(Sheet1!AF425,2)</f>
        <v>ra</v>
      </c>
      <c r="AW426" s="40" t="str">
        <f>MID(Sheet1!AE425,2,3)</f>
        <v>neh</v>
      </c>
      <c r="AX426" s="42">
        <f>LEN(Sheet1!AE425)</f>
        <v>5</v>
      </c>
      <c r="AY426" s="40" t="str">
        <f>UPPER(Sheet1!AE425)</f>
        <v>SNEHA</v>
      </c>
      <c r="AZ426" s="40" t="str">
        <f>LOWER(Sheet1!AE425)</f>
        <v>sneha</v>
      </c>
      <c r="BA426" s="40" t="str">
        <f>PROPER(Sheet1!AE425)</f>
        <v>Sneha</v>
      </c>
      <c r="BB426" s="40" t="str">
        <f>_xlfn.CONCAT(Sheet1!AE425," ",Sheet1!AF425)</f>
        <v>Sneha Malhotra</v>
      </c>
    </row>
    <row r="427" spans="40:54">
      <c r="AN427" s="50" t="str">
        <f>Sheet1!B426</f>
        <v>14-01-2025</v>
      </c>
      <c r="AO427" s="50">
        <f t="shared" si="39"/>
        <v>5</v>
      </c>
      <c r="AP427" s="50">
        <f t="shared" si="40"/>
        <v>1</v>
      </c>
      <c r="AQ427" s="50">
        <f t="shared" si="41"/>
        <v>2025</v>
      </c>
      <c r="AR427" s="50" t="str">
        <f t="shared" si="42"/>
        <v>Jan-2025</v>
      </c>
      <c r="AS427" s="52">
        <f t="shared" si="43"/>
        <v>45662</v>
      </c>
      <c r="AT427" s="44">
        <f t="shared" ca="1" si="44"/>
        <v>616</v>
      </c>
      <c r="AU427" s="40" t="str">
        <f>LEFT(Sheet1!AE426,3)</f>
        <v>Nis</v>
      </c>
      <c r="AV427" s="40" t="str">
        <f>RIGHT(Sheet1!AF426,2)</f>
        <v>in</v>
      </c>
      <c r="AW427" s="40" t="str">
        <f>MID(Sheet1!AE426,2,3)</f>
        <v>ish</v>
      </c>
      <c r="AX427" s="42">
        <f>LEN(Sheet1!AE426)</f>
        <v>5</v>
      </c>
      <c r="AY427" s="40" t="str">
        <f>UPPER(Sheet1!AE426)</f>
        <v>NISHA</v>
      </c>
      <c r="AZ427" s="40" t="str">
        <f>LOWER(Sheet1!AE426)</f>
        <v>nisha</v>
      </c>
      <c r="BA427" s="40" t="str">
        <f>PROPER(Sheet1!AE426)</f>
        <v>Nisha</v>
      </c>
      <c r="BB427" s="40" t="str">
        <f>_xlfn.CONCAT(Sheet1!AE426," ",Sheet1!AF426)</f>
        <v>Nisha Jain</v>
      </c>
    </row>
    <row r="428" spans="40:54">
      <c r="AN428" s="50" t="str">
        <f>Sheet1!B427</f>
        <v>14-01-2025</v>
      </c>
      <c r="AO428" s="50">
        <f t="shared" si="39"/>
        <v>5</v>
      </c>
      <c r="AP428" s="50">
        <f t="shared" si="40"/>
        <v>1</v>
      </c>
      <c r="AQ428" s="50">
        <f t="shared" si="41"/>
        <v>2025</v>
      </c>
      <c r="AR428" s="50" t="str">
        <f t="shared" si="42"/>
        <v>Jan-2025</v>
      </c>
      <c r="AS428" s="52">
        <f t="shared" si="43"/>
        <v>45662</v>
      </c>
      <c r="AT428" s="44">
        <f t="shared" ca="1" si="44"/>
        <v>616</v>
      </c>
      <c r="AU428" s="40" t="str">
        <f>LEFT(Sheet1!AE427,3)</f>
        <v>Adi</v>
      </c>
      <c r="AV428" s="40" t="str">
        <f>RIGHT(Sheet1!AF427,2)</f>
        <v>al</v>
      </c>
      <c r="AW428" s="40" t="str">
        <f>MID(Sheet1!AE427,2,3)</f>
        <v>dit</v>
      </c>
      <c r="AX428" s="42">
        <f>LEN(Sheet1!AE427)</f>
        <v>6</v>
      </c>
      <c r="AY428" s="40" t="str">
        <f>UPPER(Sheet1!AE427)</f>
        <v>ADITYA</v>
      </c>
      <c r="AZ428" s="40" t="str">
        <f>LOWER(Sheet1!AE427)</f>
        <v>aditya</v>
      </c>
      <c r="BA428" s="40" t="str">
        <f>PROPER(Sheet1!AE427)</f>
        <v>Aditya</v>
      </c>
      <c r="BB428" s="40" t="str">
        <f>_xlfn.CONCAT(Sheet1!AE427," ",Sheet1!AF427)</f>
        <v>Aditya Bansal</v>
      </c>
    </row>
    <row r="429" spans="40:54">
      <c r="AN429" s="50" t="str">
        <f>Sheet1!B428</f>
        <v>14-02-2024</v>
      </c>
      <c r="AO429" s="50">
        <f t="shared" si="39"/>
        <v>6</v>
      </c>
      <c r="AP429" s="50">
        <f t="shared" si="40"/>
        <v>2</v>
      </c>
      <c r="AQ429" s="50">
        <f t="shared" si="41"/>
        <v>2024</v>
      </c>
      <c r="AR429" s="50" t="str">
        <f t="shared" si="42"/>
        <v>Feb-2024</v>
      </c>
      <c r="AS429" s="52">
        <f t="shared" si="43"/>
        <v>45328</v>
      </c>
      <c r="AT429" s="44">
        <f t="shared" ca="1" si="44"/>
        <v>950</v>
      </c>
      <c r="AU429" s="40" t="str">
        <f>LEFT(Sheet1!AE428,3)</f>
        <v>Arj</v>
      </c>
      <c r="AV429" s="40" t="str">
        <f>RIGHT(Sheet1!AF428,2)</f>
        <v>ra</v>
      </c>
      <c r="AW429" s="40" t="str">
        <f>MID(Sheet1!AE428,2,3)</f>
        <v>rju</v>
      </c>
      <c r="AX429" s="42">
        <f>LEN(Sheet1!AE428)</f>
        <v>5</v>
      </c>
      <c r="AY429" s="40" t="str">
        <f>UPPER(Sheet1!AE428)</f>
        <v>ARJUN</v>
      </c>
      <c r="AZ429" s="40" t="str">
        <f>LOWER(Sheet1!AE428)</f>
        <v>arjun</v>
      </c>
      <c r="BA429" s="40" t="str">
        <f>PROPER(Sheet1!AE428)</f>
        <v>Arjun</v>
      </c>
      <c r="BB429" s="40" t="str">
        <f>_xlfn.CONCAT(Sheet1!AE428," ",Sheet1!AF428)</f>
        <v>Arjun Malhotra</v>
      </c>
    </row>
    <row r="430" spans="40:54">
      <c r="AN430" s="50" t="str">
        <f>Sheet1!B429</f>
        <v>14-02-2025</v>
      </c>
      <c r="AO430" s="50">
        <f t="shared" si="39"/>
        <v>7</v>
      </c>
      <c r="AP430" s="50">
        <f t="shared" si="40"/>
        <v>2</v>
      </c>
      <c r="AQ430" s="50">
        <f t="shared" si="41"/>
        <v>2025</v>
      </c>
      <c r="AR430" s="50" t="str">
        <f t="shared" si="42"/>
        <v>Feb-2025</v>
      </c>
      <c r="AS430" s="52">
        <f t="shared" si="43"/>
        <v>45695</v>
      </c>
      <c r="AT430" s="44">
        <f t="shared" ca="1" si="44"/>
        <v>583</v>
      </c>
      <c r="AU430" s="40" t="str">
        <f>LEFT(Sheet1!AE429,3)</f>
        <v>Viv</v>
      </c>
      <c r="AV430" s="40" t="str">
        <f>RIGHT(Sheet1!AF429,2)</f>
        <v>al</v>
      </c>
      <c r="AW430" s="40" t="str">
        <f>MID(Sheet1!AE429,2,3)</f>
        <v>iva</v>
      </c>
      <c r="AX430" s="42">
        <f>LEN(Sheet1!AE429)</f>
        <v>6</v>
      </c>
      <c r="AY430" s="40" t="str">
        <f>UPPER(Sheet1!AE429)</f>
        <v>VIVAAN</v>
      </c>
      <c r="AZ430" s="40" t="str">
        <f>LOWER(Sheet1!AE429)</f>
        <v>vivaan</v>
      </c>
      <c r="BA430" s="40" t="str">
        <f>PROPER(Sheet1!AE429)</f>
        <v>Vivaan</v>
      </c>
      <c r="BB430" s="40" t="str">
        <f>_xlfn.CONCAT(Sheet1!AE429," ",Sheet1!AF429)</f>
        <v>Vivaan Agarwal</v>
      </c>
    </row>
    <row r="431" spans="40:54">
      <c r="AN431" s="50" t="str">
        <f>Sheet1!B430</f>
        <v>14-02-2025</v>
      </c>
      <c r="AO431" s="50">
        <f t="shared" si="39"/>
        <v>7</v>
      </c>
      <c r="AP431" s="50">
        <f t="shared" si="40"/>
        <v>2</v>
      </c>
      <c r="AQ431" s="50">
        <f t="shared" si="41"/>
        <v>2025</v>
      </c>
      <c r="AR431" s="50" t="str">
        <f t="shared" si="42"/>
        <v>Feb-2025</v>
      </c>
      <c r="AS431" s="52">
        <f t="shared" si="43"/>
        <v>45695</v>
      </c>
      <c r="AT431" s="44">
        <f t="shared" ca="1" si="44"/>
        <v>583</v>
      </c>
      <c r="AU431" s="40" t="str">
        <f>LEFT(Sheet1!AE430,3)</f>
        <v>Adi</v>
      </c>
      <c r="AV431" s="40" t="str">
        <f>RIGHT(Sheet1!AF430,2)</f>
        <v>in</v>
      </c>
      <c r="AW431" s="40" t="str">
        <f>MID(Sheet1!AE430,2,3)</f>
        <v>dit</v>
      </c>
      <c r="AX431" s="42">
        <f>LEN(Sheet1!AE430)</f>
        <v>6</v>
      </c>
      <c r="AY431" s="40" t="str">
        <f>UPPER(Sheet1!AE430)</f>
        <v>ADITYA</v>
      </c>
      <c r="AZ431" s="40" t="str">
        <f>LOWER(Sheet1!AE430)</f>
        <v>aditya</v>
      </c>
      <c r="BA431" s="40" t="str">
        <f>PROPER(Sheet1!AE430)</f>
        <v>Aditya</v>
      </c>
      <c r="BB431" s="40" t="str">
        <f>_xlfn.CONCAT(Sheet1!AE430," ",Sheet1!AF430)</f>
        <v>Aditya Jain</v>
      </c>
    </row>
    <row r="432" spans="40:54">
      <c r="AN432" s="50" t="str">
        <f>Sheet1!B431</f>
        <v>14-02-2025</v>
      </c>
      <c r="AO432" s="50">
        <f t="shared" si="39"/>
        <v>7</v>
      </c>
      <c r="AP432" s="50">
        <f t="shared" si="40"/>
        <v>2</v>
      </c>
      <c r="AQ432" s="50">
        <f t="shared" si="41"/>
        <v>2025</v>
      </c>
      <c r="AR432" s="50" t="str">
        <f t="shared" si="42"/>
        <v>Feb-2025</v>
      </c>
      <c r="AS432" s="52">
        <f t="shared" si="43"/>
        <v>45695</v>
      </c>
      <c r="AT432" s="44">
        <f t="shared" ca="1" si="44"/>
        <v>583</v>
      </c>
      <c r="AU432" s="40" t="str">
        <f>LEFT(Sheet1!AE431,3)</f>
        <v>Kav</v>
      </c>
      <c r="AV432" s="40" t="str">
        <f>RIGHT(Sheet1!AF431,2)</f>
        <v>ra</v>
      </c>
      <c r="AW432" s="40" t="str">
        <f>MID(Sheet1!AE431,2,3)</f>
        <v>avy</v>
      </c>
      <c r="AX432" s="42">
        <f>LEN(Sheet1!AE431)</f>
        <v>5</v>
      </c>
      <c r="AY432" s="40" t="str">
        <f>UPPER(Sheet1!AE431)</f>
        <v>KAVYA</v>
      </c>
      <c r="AZ432" s="40" t="str">
        <f>LOWER(Sheet1!AE431)</f>
        <v>kavya</v>
      </c>
      <c r="BA432" s="40" t="str">
        <f>PROPER(Sheet1!AE431)</f>
        <v>Kavya</v>
      </c>
      <c r="BB432" s="40" t="str">
        <f>_xlfn.CONCAT(Sheet1!AE431," ",Sheet1!AF431)</f>
        <v>Kavya Malhotra</v>
      </c>
    </row>
    <row r="433" spans="40:54">
      <c r="AN433" s="50" t="str">
        <f>Sheet1!B432</f>
        <v>14-02-2025</v>
      </c>
      <c r="AO433" s="50">
        <f t="shared" si="39"/>
        <v>8</v>
      </c>
      <c r="AP433" s="50">
        <f t="shared" si="40"/>
        <v>2</v>
      </c>
      <c r="AQ433" s="50">
        <f t="shared" si="41"/>
        <v>2025</v>
      </c>
      <c r="AR433" s="50" t="str">
        <f t="shared" si="42"/>
        <v>Feb-2025</v>
      </c>
      <c r="AS433" s="52">
        <f t="shared" si="43"/>
        <v>45696</v>
      </c>
      <c r="AT433" s="44">
        <f t="shared" ca="1" si="44"/>
        <v>582</v>
      </c>
      <c r="AU433" s="40" t="str">
        <f>LEFT(Sheet1!AE432,3)</f>
        <v>Neh</v>
      </c>
      <c r="AV433" s="40" t="str">
        <f>RIGHT(Sheet1!AF432,2)</f>
        <v>in</v>
      </c>
      <c r="AW433" s="40" t="str">
        <f>MID(Sheet1!AE432,2,3)</f>
        <v>eha</v>
      </c>
      <c r="AX433" s="42">
        <f>LEN(Sheet1!AE432)</f>
        <v>4</v>
      </c>
      <c r="AY433" s="40" t="str">
        <f>UPPER(Sheet1!AE432)</f>
        <v>NEHA</v>
      </c>
      <c r="AZ433" s="40" t="str">
        <f>LOWER(Sheet1!AE432)</f>
        <v>neha</v>
      </c>
      <c r="BA433" s="40" t="str">
        <f>PROPER(Sheet1!AE432)</f>
        <v>Neha</v>
      </c>
      <c r="BB433" s="40" t="str">
        <f>_xlfn.CONCAT(Sheet1!AE432," ",Sheet1!AF432)</f>
        <v>Neha Jain</v>
      </c>
    </row>
    <row r="434" spans="40:54">
      <c r="AN434" s="50" t="str">
        <f>Sheet1!B433</f>
        <v>14-03-2024</v>
      </c>
      <c r="AO434" s="50">
        <f t="shared" si="39"/>
        <v>8</v>
      </c>
      <c r="AP434" s="50">
        <f t="shared" si="40"/>
        <v>3</v>
      </c>
      <c r="AQ434" s="50">
        <f t="shared" si="41"/>
        <v>2024</v>
      </c>
      <c r="AR434" s="50" t="str">
        <f t="shared" si="42"/>
        <v>Mar-2024</v>
      </c>
      <c r="AS434" s="52">
        <f t="shared" si="43"/>
        <v>45359</v>
      </c>
      <c r="AT434" s="44">
        <f t="shared" ca="1" si="44"/>
        <v>919</v>
      </c>
      <c r="AU434" s="40" t="str">
        <f>LEFT(Sheet1!AE433,3)</f>
        <v>Aar</v>
      </c>
      <c r="AV434" s="40" t="str">
        <f>RIGHT(Sheet1!AF433,2)</f>
        <v>gh</v>
      </c>
      <c r="AW434" s="40" t="str">
        <f>MID(Sheet1!AE433,2,3)</f>
        <v>ara</v>
      </c>
      <c r="AX434" s="42">
        <f>LEN(Sheet1!AE433)</f>
        <v>5</v>
      </c>
      <c r="AY434" s="40" t="str">
        <f>UPPER(Sheet1!AE433)</f>
        <v>AARAV</v>
      </c>
      <c r="AZ434" s="40" t="str">
        <f>LOWER(Sheet1!AE433)</f>
        <v>aarav</v>
      </c>
      <c r="BA434" s="40" t="str">
        <f>PROPER(Sheet1!AE433)</f>
        <v>Aarav</v>
      </c>
      <c r="BB434" s="40" t="str">
        <f>_xlfn.CONCAT(Sheet1!AE433," ",Sheet1!AF433)</f>
        <v>Aarav Singh</v>
      </c>
    </row>
    <row r="435" spans="40:54">
      <c r="AN435" s="50" t="str">
        <f>Sheet1!B434</f>
        <v>14-04-2024</v>
      </c>
      <c r="AO435" s="50">
        <f t="shared" si="39"/>
        <v>9</v>
      </c>
      <c r="AP435" s="50">
        <f t="shared" si="40"/>
        <v>4</v>
      </c>
      <c r="AQ435" s="50">
        <f t="shared" si="41"/>
        <v>2024</v>
      </c>
      <c r="AR435" s="50" t="str">
        <f t="shared" si="42"/>
        <v>Apr-2024</v>
      </c>
      <c r="AS435" s="52">
        <f t="shared" si="43"/>
        <v>45391</v>
      </c>
      <c r="AT435" s="44">
        <f t="shared" ca="1" si="44"/>
        <v>887</v>
      </c>
      <c r="AU435" s="40" t="str">
        <f>LEFT(Sheet1!AE434,3)</f>
        <v>Aar</v>
      </c>
      <c r="AV435" s="40" t="str">
        <f>RIGHT(Sheet1!AF434,2)</f>
        <v>ma</v>
      </c>
      <c r="AW435" s="40" t="str">
        <f>MID(Sheet1!AE434,2,3)</f>
        <v>ara</v>
      </c>
      <c r="AX435" s="42">
        <f>LEN(Sheet1!AE434)</f>
        <v>5</v>
      </c>
      <c r="AY435" s="40" t="str">
        <f>UPPER(Sheet1!AE434)</f>
        <v>AARAV</v>
      </c>
      <c r="AZ435" s="40" t="str">
        <f>LOWER(Sheet1!AE434)</f>
        <v>aarav</v>
      </c>
      <c r="BA435" s="40" t="str">
        <f>PROPER(Sheet1!AE434)</f>
        <v>Aarav</v>
      </c>
      <c r="BB435" s="40" t="str">
        <f>_xlfn.CONCAT(Sheet1!AE434," ",Sheet1!AF434)</f>
        <v>Aarav Verma</v>
      </c>
    </row>
    <row r="436" spans="40:54">
      <c r="AN436" s="50" t="str">
        <f>Sheet1!B435</f>
        <v>14-04-2024</v>
      </c>
      <c r="AO436" s="50">
        <f t="shared" si="39"/>
        <v>9</v>
      </c>
      <c r="AP436" s="50">
        <f t="shared" si="40"/>
        <v>4</v>
      </c>
      <c r="AQ436" s="50">
        <f t="shared" si="41"/>
        <v>2024</v>
      </c>
      <c r="AR436" s="50" t="str">
        <f t="shared" si="42"/>
        <v>Apr-2024</v>
      </c>
      <c r="AS436" s="52">
        <f t="shared" si="43"/>
        <v>45391</v>
      </c>
      <c r="AT436" s="44">
        <f t="shared" ca="1" si="44"/>
        <v>887</v>
      </c>
      <c r="AU436" s="40" t="str">
        <f>LEFT(Sheet1!AE435,3)</f>
        <v>Sim</v>
      </c>
      <c r="AV436" s="40" t="str">
        <f>RIGHT(Sheet1!AF435,2)</f>
        <v>in</v>
      </c>
      <c r="AW436" s="40" t="str">
        <f>MID(Sheet1!AE435,2,3)</f>
        <v>imr</v>
      </c>
      <c r="AX436" s="42">
        <f>LEN(Sheet1!AE435)</f>
        <v>6</v>
      </c>
      <c r="AY436" s="40" t="str">
        <f>UPPER(Sheet1!AE435)</f>
        <v>SIMRAN</v>
      </c>
      <c r="AZ436" s="40" t="str">
        <f>LOWER(Sheet1!AE435)</f>
        <v>simran</v>
      </c>
      <c r="BA436" s="40" t="str">
        <f>PROPER(Sheet1!AE435)</f>
        <v>Simran</v>
      </c>
      <c r="BB436" s="40" t="str">
        <f>_xlfn.CONCAT(Sheet1!AE435," ",Sheet1!AF435)</f>
        <v>Simran Jain</v>
      </c>
    </row>
    <row r="437" spans="40:54">
      <c r="AN437" s="50" t="str">
        <f>Sheet1!B436</f>
        <v>14-04-2024</v>
      </c>
      <c r="AO437" s="50">
        <f t="shared" si="39"/>
        <v>10</v>
      </c>
      <c r="AP437" s="50">
        <f t="shared" si="40"/>
        <v>4</v>
      </c>
      <c r="AQ437" s="50">
        <f t="shared" si="41"/>
        <v>2024</v>
      </c>
      <c r="AR437" s="50" t="str">
        <f t="shared" si="42"/>
        <v>Apr-2024</v>
      </c>
      <c r="AS437" s="52">
        <f t="shared" si="43"/>
        <v>45392</v>
      </c>
      <c r="AT437" s="44">
        <f t="shared" ca="1" si="44"/>
        <v>886</v>
      </c>
      <c r="AU437" s="40" t="str">
        <f>LEFT(Sheet1!AE436,3)</f>
        <v>Riy</v>
      </c>
      <c r="AV437" s="40" t="str">
        <f>RIGHT(Sheet1!AF436,2)</f>
        <v>av</v>
      </c>
      <c r="AW437" s="40" t="str">
        <f>MID(Sheet1!AE436,2,3)</f>
        <v>iya</v>
      </c>
      <c r="AX437" s="42">
        <f>LEN(Sheet1!AE436)</f>
        <v>4</v>
      </c>
      <c r="AY437" s="40" t="str">
        <f>UPPER(Sheet1!AE436)</f>
        <v>RIYA</v>
      </c>
      <c r="AZ437" s="40" t="str">
        <f>LOWER(Sheet1!AE436)</f>
        <v>riya</v>
      </c>
      <c r="BA437" s="40" t="str">
        <f>PROPER(Sheet1!AE436)</f>
        <v>Riya</v>
      </c>
      <c r="BB437" s="40" t="str">
        <f>_xlfn.CONCAT(Sheet1!AE436," ",Sheet1!AF436)</f>
        <v>Riya Yadav</v>
      </c>
    </row>
    <row r="438" spans="40:54">
      <c r="AN438" s="50" t="str">
        <f>Sheet1!B437</f>
        <v>14-04-2024</v>
      </c>
      <c r="AO438" s="50">
        <f t="shared" si="39"/>
        <v>11</v>
      </c>
      <c r="AP438" s="50">
        <f t="shared" si="40"/>
        <v>4</v>
      </c>
      <c r="AQ438" s="50">
        <f t="shared" si="41"/>
        <v>2024</v>
      </c>
      <c r="AR438" s="50" t="str">
        <f t="shared" si="42"/>
        <v>Apr-2024</v>
      </c>
      <c r="AS438" s="52">
        <f t="shared" si="43"/>
        <v>45393</v>
      </c>
      <c r="AT438" s="44">
        <f t="shared" ca="1" si="44"/>
        <v>885</v>
      </c>
      <c r="AU438" s="40" t="str">
        <f>LEFT(Sheet1!AE437,3)</f>
        <v>Neh</v>
      </c>
      <c r="AV438" s="40" t="str">
        <f>RIGHT(Sheet1!AF437,2)</f>
        <v>ma</v>
      </c>
      <c r="AW438" s="40" t="str">
        <f>MID(Sheet1!AE437,2,3)</f>
        <v>eha</v>
      </c>
      <c r="AX438" s="42">
        <f>LEN(Sheet1!AE437)</f>
        <v>4</v>
      </c>
      <c r="AY438" s="40" t="str">
        <f>UPPER(Sheet1!AE437)</f>
        <v>NEHA</v>
      </c>
      <c r="AZ438" s="40" t="str">
        <f>LOWER(Sheet1!AE437)</f>
        <v>neha</v>
      </c>
      <c r="BA438" s="40" t="str">
        <f>PROPER(Sheet1!AE437)</f>
        <v>Neha</v>
      </c>
      <c r="BB438" s="40" t="str">
        <f>_xlfn.CONCAT(Sheet1!AE437," ",Sheet1!AF437)</f>
        <v>Neha Verma</v>
      </c>
    </row>
    <row r="439" spans="40:54">
      <c r="AN439" s="50" t="str">
        <f>Sheet1!B438</f>
        <v>14-05-2024</v>
      </c>
      <c r="AO439" s="50">
        <f t="shared" si="39"/>
        <v>2</v>
      </c>
      <c r="AP439" s="50">
        <f t="shared" si="40"/>
        <v>5</v>
      </c>
      <c r="AQ439" s="50">
        <f t="shared" si="41"/>
        <v>2024</v>
      </c>
      <c r="AR439" s="50" t="str">
        <f t="shared" si="42"/>
        <v>May-2024</v>
      </c>
      <c r="AS439" s="52">
        <f t="shared" si="43"/>
        <v>45414</v>
      </c>
      <c r="AT439" s="44">
        <f t="shared" ca="1" si="44"/>
        <v>864</v>
      </c>
      <c r="AU439" s="40" t="str">
        <f>LEFT(Sheet1!AE438,3)</f>
        <v>Arj</v>
      </c>
      <c r="AV439" s="40" t="str">
        <f>RIGHT(Sheet1!AF438,2)</f>
        <v>ta</v>
      </c>
      <c r="AW439" s="40" t="str">
        <f>MID(Sheet1!AE438,2,3)</f>
        <v>rju</v>
      </c>
      <c r="AX439" s="42">
        <f>LEN(Sheet1!AE438)</f>
        <v>5</v>
      </c>
      <c r="AY439" s="40" t="str">
        <f>UPPER(Sheet1!AE438)</f>
        <v>ARJUN</v>
      </c>
      <c r="AZ439" s="40" t="str">
        <f>LOWER(Sheet1!AE438)</f>
        <v>arjun</v>
      </c>
      <c r="BA439" s="40" t="str">
        <f>PROPER(Sheet1!AE438)</f>
        <v>Arjun</v>
      </c>
      <c r="BB439" s="40" t="str">
        <f>_xlfn.CONCAT(Sheet1!AE438," ",Sheet1!AF438)</f>
        <v>Arjun Mehta</v>
      </c>
    </row>
    <row r="440" spans="40:54">
      <c r="AN440" s="50" t="str">
        <f>Sheet1!B439</f>
        <v>14-05-2025</v>
      </c>
      <c r="AO440" s="50">
        <f t="shared" si="39"/>
        <v>3</v>
      </c>
      <c r="AP440" s="50">
        <f t="shared" si="40"/>
        <v>5</v>
      </c>
      <c r="AQ440" s="50">
        <f t="shared" si="41"/>
        <v>2025</v>
      </c>
      <c r="AR440" s="50" t="str">
        <f t="shared" si="42"/>
        <v>May-2025</v>
      </c>
      <c r="AS440" s="52">
        <f t="shared" si="43"/>
        <v>45780</v>
      </c>
      <c r="AT440" s="44">
        <f t="shared" ca="1" si="44"/>
        <v>498</v>
      </c>
      <c r="AU440" s="40" t="str">
        <f>LEFT(Sheet1!AE439,3)</f>
        <v>Kav</v>
      </c>
      <c r="AV440" s="40" t="str">
        <f>RIGHT(Sheet1!AF439,2)</f>
        <v>gh</v>
      </c>
      <c r="AW440" s="40" t="str">
        <f>MID(Sheet1!AE439,2,3)</f>
        <v>avy</v>
      </c>
      <c r="AX440" s="42">
        <f>LEN(Sheet1!AE439)</f>
        <v>5</v>
      </c>
      <c r="AY440" s="40" t="str">
        <f>UPPER(Sheet1!AE439)</f>
        <v>KAVYA</v>
      </c>
      <c r="AZ440" s="40" t="str">
        <f>LOWER(Sheet1!AE439)</f>
        <v>kavya</v>
      </c>
      <c r="BA440" s="40" t="str">
        <f>PROPER(Sheet1!AE439)</f>
        <v>Kavya</v>
      </c>
      <c r="BB440" s="40" t="str">
        <f>_xlfn.CONCAT(Sheet1!AE439," ",Sheet1!AF439)</f>
        <v>Kavya Singh</v>
      </c>
    </row>
    <row r="441" spans="40:54">
      <c r="AN441" s="50" t="str">
        <f>Sheet1!B440</f>
        <v>14-05-2025</v>
      </c>
      <c r="AO441" s="50">
        <f t="shared" si="39"/>
        <v>3</v>
      </c>
      <c r="AP441" s="50">
        <f t="shared" si="40"/>
        <v>5</v>
      </c>
      <c r="AQ441" s="50">
        <f t="shared" si="41"/>
        <v>2025</v>
      </c>
      <c r="AR441" s="50" t="str">
        <f t="shared" si="42"/>
        <v>May-2025</v>
      </c>
      <c r="AS441" s="52">
        <f t="shared" si="43"/>
        <v>45780</v>
      </c>
      <c r="AT441" s="44">
        <f t="shared" ca="1" si="44"/>
        <v>498</v>
      </c>
      <c r="AU441" s="40" t="str">
        <f>LEFT(Sheet1!AE440,3)</f>
        <v>Neh</v>
      </c>
      <c r="AV441" s="40" t="str">
        <f>RIGHT(Sheet1!AF440,2)</f>
        <v>al</v>
      </c>
      <c r="AW441" s="40" t="str">
        <f>MID(Sheet1!AE440,2,3)</f>
        <v>eha</v>
      </c>
      <c r="AX441" s="42">
        <f>LEN(Sheet1!AE440)</f>
        <v>4</v>
      </c>
      <c r="AY441" s="40" t="str">
        <f>UPPER(Sheet1!AE440)</f>
        <v>NEHA</v>
      </c>
      <c r="AZ441" s="40" t="str">
        <f>LOWER(Sheet1!AE440)</f>
        <v>neha</v>
      </c>
      <c r="BA441" s="40" t="str">
        <f>PROPER(Sheet1!AE440)</f>
        <v>Neha</v>
      </c>
      <c r="BB441" s="40" t="str">
        <f>_xlfn.CONCAT(Sheet1!AE440," ",Sheet1!AF440)</f>
        <v>Neha Bansal</v>
      </c>
    </row>
    <row r="442" spans="40:54">
      <c r="AN442" s="50" t="str">
        <f>Sheet1!B441</f>
        <v>14-05-2025</v>
      </c>
      <c r="AO442" s="50">
        <f t="shared" si="39"/>
        <v>3</v>
      </c>
      <c r="AP442" s="50">
        <f t="shared" si="40"/>
        <v>5</v>
      </c>
      <c r="AQ442" s="50">
        <f t="shared" si="41"/>
        <v>2025</v>
      </c>
      <c r="AR442" s="50" t="str">
        <f t="shared" si="42"/>
        <v>May-2025</v>
      </c>
      <c r="AS442" s="52">
        <f t="shared" si="43"/>
        <v>45780</v>
      </c>
      <c r="AT442" s="44">
        <f t="shared" ca="1" si="44"/>
        <v>498</v>
      </c>
      <c r="AU442" s="40" t="str">
        <f>LEFT(Sheet1!AE441,3)</f>
        <v>Arj</v>
      </c>
      <c r="AV442" s="40" t="str">
        <f>RIGHT(Sheet1!AF441,2)</f>
        <v>or</v>
      </c>
      <c r="AW442" s="40" t="str">
        <f>MID(Sheet1!AE441,2,3)</f>
        <v>rju</v>
      </c>
      <c r="AX442" s="42">
        <f>LEN(Sheet1!AE441)</f>
        <v>5</v>
      </c>
      <c r="AY442" s="40" t="str">
        <f>UPPER(Sheet1!AE441)</f>
        <v>ARJUN</v>
      </c>
      <c r="AZ442" s="40" t="str">
        <f>LOWER(Sheet1!AE441)</f>
        <v>arjun</v>
      </c>
      <c r="BA442" s="40" t="str">
        <f>PROPER(Sheet1!AE441)</f>
        <v>Arjun</v>
      </c>
      <c r="BB442" s="40" t="str">
        <f>_xlfn.CONCAT(Sheet1!AE441," ",Sheet1!AF441)</f>
        <v>Arjun Kapoor</v>
      </c>
    </row>
    <row r="443" spans="40:54">
      <c r="AN443" s="50" t="str">
        <f>Sheet1!B442</f>
        <v>14-06-2024</v>
      </c>
      <c r="AO443" s="50">
        <f t="shared" si="39"/>
        <v>4</v>
      </c>
      <c r="AP443" s="50">
        <f t="shared" si="40"/>
        <v>6</v>
      </c>
      <c r="AQ443" s="50">
        <f t="shared" si="41"/>
        <v>2024</v>
      </c>
      <c r="AR443" s="50" t="str">
        <f t="shared" si="42"/>
        <v>Jun-2024</v>
      </c>
      <c r="AS443" s="52">
        <f t="shared" si="43"/>
        <v>45447</v>
      </c>
      <c r="AT443" s="44">
        <f t="shared" ca="1" si="44"/>
        <v>831</v>
      </c>
      <c r="AU443" s="40" t="str">
        <f>LEFT(Sheet1!AE442,3)</f>
        <v>Pri</v>
      </c>
      <c r="AV443" s="40" t="str">
        <f>RIGHT(Sheet1!AF442,2)</f>
        <v>ra</v>
      </c>
      <c r="AW443" s="40" t="str">
        <f>MID(Sheet1!AE442,2,3)</f>
        <v>riy</v>
      </c>
      <c r="AX443" s="42">
        <f>LEN(Sheet1!AE442)</f>
        <v>5</v>
      </c>
      <c r="AY443" s="40" t="str">
        <f>UPPER(Sheet1!AE442)</f>
        <v>PRIYA</v>
      </c>
      <c r="AZ443" s="40" t="str">
        <f>LOWER(Sheet1!AE442)</f>
        <v>priya</v>
      </c>
      <c r="BA443" s="40" t="str">
        <f>PROPER(Sheet1!AE442)</f>
        <v>Priya</v>
      </c>
      <c r="BB443" s="40" t="str">
        <f>_xlfn.CONCAT(Sheet1!AE442," ",Sheet1!AF442)</f>
        <v>Priya Chopra</v>
      </c>
    </row>
    <row r="444" spans="40:54">
      <c r="AN444" s="50" t="str">
        <f>Sheet1!B443</f>
        <v>14-06-2024</v>
      </c>
      <c r="AO444" s="50">
        <f t="shared" si="39"/>
        <v>5</v>
      </c>
      <c r="AP444" s="50">
        <f t="shared" si="40"/>
        <v>6</v>
      </c>
      <c r="AQ444" s="50">
        <f t="shared" si="41"/>
        <v>2024</v>
      </c>
      <c r="AR444" s="50" t="str">
        <f t="shared" si="42"/>
        <v>Jun-2024</v>
      </c>
      <c r="AS444" s="52">
        <f t="shared" si="43"/>
        <v>45448</v>
      </c>
      <c r="AT444" s="44">
        <f t="shared" ca="1" si="44"/>
        <v>830</v>
      </c>
      <c r="AU444" s="40" t="str">
        <f>LEFT(Sheet1!AE443,3)</f>
        <v>Nis</v>
      </c>
      <c r="AV444" s="40" t="str">
        <f>RIGHT(Sheet1!AF443,2)</f>
        <v>al</v>
      </c>
      <c r="AW444" s="40" t="str">
        <f>MID(Sheet1!AE443,2,3)</f>
        <v>ish</v>
      </c>
      <c r="AX444" s="42">
        <f>LEN(Sheet1!AE443)</f>
        <v>5</v>
      </c>
      <c r="AY444" s="40" t="str">
        <f>UPPER(Sheet1!AE443)</f>
        <v>NISHA</v>
      </c>
      <c r="AZ444" s="40" t="str">
        <f>LOWER(Sheet1!AE443)</f>
        <v>nisha</v>
      </c>
      <c r="BA444" s="40" t="str">
        <f>PROPER(Sheet1!AE443)</f>
        <v>Nisha</v>
      </c>
      <c r="BB444" s="40" t="str">
        <f>_xlfn.CONCAT(Sheet1!AE443," ",Sheet1!AF443)</f>
        <v>Nisha Bansal</v>
      </c>
    </row>
    <row r="445" spans="40:54">
      <c r="AN445" s="50" t="str">
        <f>Sheet1!B444</f>
        <v>14-06-2024</v>
      </c>
      <c r="AO445" s="50">
        <f t="shared" si="39"/>
        <v>5</v>
      </c>
      <c r="AP445" s="50">
        <f t="shared" si="40"/>
        <v>6</v>
      </c>
      <c r="AQ445" s="50">
        <f t="shared" si="41"/>
        <v>2024</v>
      </c>
      <c r="AR445" s="50" t="str">
        <f t="shared" si="42"/>
        <v>Jun-2024</v>
      </c>
      <c r="AS445" s="52">
        <f t="shared" si="43"/>
        <v>45448</v>
      </c>
      <c r="AT445" s="44">
        <f t="shared" ca="1" si="44"/>
        <v>830</v>
      </c>
      <c r="AU445" s="40" t="str">
        <f>LEFT(Sheet1!AE444,3)</f>
        <v>Nis</v>
      </c>
      <c r="AV445" s="40" t="str">
        <f>RIGHT(Sheet1!AF444,2)</f>
        <v>ta</v>
      </c>
      <c r="AW445" s="40" t="str">
        <f>MID(Sheet1!AE444,2,3)</f>
        <v>ish</v>
      </c>
      <c r="AX445" s="42">
        <f>LEN(Sheet1!AE444)</f>
        <v>5</v>
      </c>
      <c r="AY445" s="40" t="str">
        <f>UPPER(Sheet1!AE444)</f>
        <v>NISHA</v>
      </c>
      <c r="AZ445" s="40" t="str">
        <f>LOWER(Sheet1!AE444)</f>
        <v>nisha</v>
      </c>
      <c r="BA445" s="40" t="str">
        <f>PROPER(Sheet1!AE444)</f>
        <v>Nisha</v>
      </c>
      <c r="BB445" s="40" t="str">
        <f>_xlfn.CONCAT(Sheet1!AE444," ",Sheet1!AF444)</f>
        <v>Nisha Gupta</v>
      </c>
    </row>
    <row r="446" spans="40:54">
      <c r="AN446" s="50" t="str">
        <f>Sheet1!B445</f>
        <v>14-06-2024</v>
      </c>
      <c r="AO446" s="50">
        <f t="shared" si="39"/>
        <v>7</v>
      </c>
      <c r="AP446" s="50">
        <f t="shared" si="40"/>
        <v>6</v>
      </c>
      <c r="AQ446" s="50">
        <f t="shared" si="41"/>
        <v>2024</v>
      </c>
      <c r="AR446" s="50" t="str">
        <f t="shared" si="42"/>
        <v>Jun-2024</v>
      </c>
      <c r="AS446" s="52">
        <f t="shared" si="43"/>
        <v>45450</v>
      </c>
      <c r="AT446" s="44">
        <f t="shared" ca="1" si="44"/>
        <v>828</v>
      </c>
      <c r="AU446" s="40" t="str">
        <f>LEFT(Sheet1!AE445,3)</f>
        <v>Sne</v>
      </c>
      <c r="AV446" s="40" t="str">
        <f>RIGHT(Sheet1!AF445,2)</f>
        <v>na</v>
      </c>
      <c r="AW446" s="40" t="str">
        <f>MID(Sheet1!AE445,2,3)</f>
        <v>neh</v>
      </c>
      <c r="AX446" s="42">
        <f>LEN(Sheet1!AE445)</f>
        <v>5</v>
      </c>
      <c r="AY446" s="40" t="str">
        <f>UPPER(Sheet1!AE445)</f>
        <v>SNEHA</v>
      </c>
      <c r="AZ446" s="40" t="str">
        <f>LOWER(Sheet1!AE445)</f>
        <v>sneha</v>
      </c>
      <c r="BA446" s="40" t="str">
        <f>PROPER(Sheet1!AE445)</f>
        <v>Sneha</v>
      </c>
      <c r="BB446" s="40" t="str">
        <f>_xlfn.CONCAT(Sheet1!AE445," ",Sheet1!AF445)</f>
        <v>Sneha Saxena</v>
      </c>
    </row>
    <row r="447" spans="40:54">
      <c r="AN447" s="50" t="str">
        <f>Sheet1!B446</f>
        <v>14-06-2025</v>
      </c>
      <c r="AO447" s="50">
        <f t="shared" si="39"/>
        <v>7</v>
      </c>
      <c r="AP447" s="50">
        <f t="shared" si="40"/>
        <v>6</v>
      </c>
      <c r="AQ447" s="50">
        <f t="shared" si="41"/>
        <v>2025</v>
      </c>
      <c r="AR447" s="50" t="str">
        <f t="shared" si="42"/>
        <v>Jun-2025</v>
      </c>
      <c r="AS447" s="52">
        <f t="shared" si="43"/>
        <v>45815</v>
      </c>
      <c r="AT447" s="44">
        <f t="shared" ca="1" si="44"/>
        <v>463</v>
      </c>
      <c r="AU447" s="40" t="str">
        <f>LEFT(Sheet1!AE446,3)</f>
        <v>Viv</v>
      </c>
      <c r="AV447" s="40" t="str">
        <f>RIGHT(Sheet1!AF446,2)</f>
        <v>or</v>
      </c>
      <c r="AW447" s="40" t="str">
        <f>MID(Sheet1!AE446,2,3)</f>
        <v>iva</v>
      </c>
      <c r="AX447" s="42">
        <f>LEN(Sheet1!AE446)</f>
        <v>6</v>
      </c>
      <c r="AY447" s="40" t="str">
        <f>UPPER(Sheet1!AE446)</f>
        <v>VIVAAN</v>
      </c>
      <c r="AZ447" s="40" t="str">
        <f>LOWER(Sheet1!AE446)</f>
        <v>vivaan</v>
      </c>
      <c r="BA447" s="40" t="str">
        <f>PROPER(Sheet1!AE446)</f>
        <v>Vivaan</v>
      </c>
      <c r="BB447" s="40" t="str">
        <f>_xlfn.CONCAT(Sheet1!AE446," ",Sheet1!AF446)</f>
        <v>Vivaan Kapoor</v>
      </c>
    </row>
    <row r="448" spans="40:54">
      <c r="AN448" s="50" t="str">
        <f>Sheet1!B447</f>
        <v>14-06-2025</v>
      </c>
      <c r="AO448" s="50">
        <f t="shared" si="39"/>
        <v>8</v>
      </c>
      <c r="AP448" s="50">
        <f t="shared" si="40"/>
        <v>6</v>
      </c>
      <c r="AQ448" s="50">
        <f t="shared" si="41"/>
        <v>2025</v>
      </c>
      <c r="AR448" s="50" t="str">
        <f t="shared" si="42"/>
        <v>Jun-2025</v>
      </c>
      <c r="AS448" s="52">
        <f t="shared" si="43"/>
        <v>45816</v>
      </c>
      <c r="AT448" s="44">
        <f t="shared" ca="1" si="44"/>
        <v>462</v>
      </c>
      <c r="AU448" s="40" t="str">
        <f>LEFT(Sheet1!AE447,3)</f>
        <v>Neh</v>
      </c>
      <c r="AV448" s="40" t="str">
        <f>RIGHT(Sheet1!AF447,2)</f>
        <v>in</v>
      </c>
      <c r="AW448" s="40" t="str">
        <f>MID(Sheet1!AE447,2,3)</f>
        <v>eha</v>
      </c>
      <c r="AX448" s="42">
        <f>LEN(Sheet1!AE447)</f>
        <v>4</v>
      </c>
      <c r="AY448" s="40" t="str">
        <f>UPPER(Sheet1!AE447)</f>
        <v>NEHA</v>
      </c>
      <c r="AZ448" s="40" t="str">
        <f>LOWER(Sheet1!AE447)</f>
        <v>neha</v>
      </c>
      <c r="BA448" s="40" t="str">
        <f>PROPER(Sheet1!AE447)</f>
        <v>Neha</v>
      </c>
      <c r="BB448" s="40" t="str">
        <f>_xlfn.CONCAT(Sheet1!AE447," ",Sheet1!AF447)</f>
        <v>Neha Jain</v>
      </c>
    </row>
    <row r="449" spans="40:54">
      <c r="AN449" s="50" t="str">
        <f>Sheet1!B448</f>
        <v>14-08-2024</v>
      </c>
      <c r="AO449" s="50">
        <f t="shared" ref="AO449:AO512" si="45">IFERROR(DAY(AN324),VALUE(LEFT(AN324,2)))</f>
        <v>8</v>
      </c>
      <c r="AP449" s="50">
        <f t="shared" si="40"/>
        <v>8</v>
      </c>
      <c r="AQ449" s="50">
        <f t="shared" si="41"/>
        <v>2024</v>
      </c>
      <c r="AR449" s="50" t="str">
        <f t="shared" si="42"/>
        <v>Aug-2024</v>
      </c>
      <c r="AS449" s="52">
        <f t="shared" si="43"/>
        <v>45512</v>
      </c>
      <c r="AT449" s="44">
        <f t="shared" ca="1" si="44"/>
        <v>766</v>
      </c>
      <c r="AU449" s="40" t="str">
        <f>LEFT(Sheet1!AE448,3)</f>
        <v>Mee</v>
      </c>
      <c r="AV449" s="40" t="str">
        <f>RIGHT(Sheet1!AF448,2)</f>
        <v>ar</v>
      </c>
      <c r="AW449" s="40" t="str">
        <f>MID(Sheet1!AE448,2,3)</f>
        <v>eer</v>
      </c>
      <c r="AX449" s="42">
        <f>LEN(Sheet1!AE448)</f>
        <v>5</v>
      </c>
      <c r="AY449" s="40" t="str">
        <f>UPPER(Sheet1!AE448)</f>
        <v>MEERA</v>
      </c>
      <c r="AZ449" s="40" t="str">
        <f>LOWER(Sheet1!AE448)</f>
        <v>meera</v>
      </c>
      <c r="BA449" s="40" t="str">
        <f>PROPER(Sheet1!AE448)</f>
        <v>Meera</v>
      </c>
      <c r="BB449" s="40" t="str">
        <f>_xlfn.CONCAT(Sheet1!AE448," ",Sheet1!AF448)</f>
        <v>Meera Kumar</v>
      </c>
    </row>
    <row r="450" spans="40:54">
      <c r="AN450" s="50" t="str">
        <f>Sheet1!B449</f>
        <v>14-09-2024</v>
      </c>
      <c r="AO450" s="50">
        <f t="shared" si="45"/>
        <v>9</v>
      </c>
      <c r="AP450" s="50">
        <f t="shared" si="40"/>
        <v>9</v>
      </c>
      <c r="AQ450" s="50">
        <f t="shared" si="41"/>
        <v>2024</v>
      </c>
      <c r="AR450" s="50" t="str">
        <f t="shared" si="42"/>
        <v>Sep-2024</v>
      </c>
      <c r="AS450" s="52">
        <f t="shared" si="43"/>
        <v>45544</v>
      </c>
      <c r="AT450" s="44">
        <f t="shared" ca="1" si="44"/>
        <v>734</v>
      </c>
      <c r="AU450" s="40" t="str">
        <f>LEFT(Sheet1!AE449,3)</f>
        <v>Kar</v>
      </c>
      <c r="AV450" s="40" t="str">
        <f>RIGHT(Sheet1!AF449,2)</f>
        <v>in</v>
      </c>
      <c r="AW450" s="40" t="str">
        <f>MID(Sheet1!AE449,2,3)</f>
        <v>ara</v>
      </c>
      <c r="AX450" s="42">
        <f>LEN(Sheet1!AE449)</f>
        <v>5</v>
      </c>
      <c r="AY450" s="40" t="str">
        <f>UPPER(Sheet1!AE449)</f>
        <v>KARAN</v>
      </c>
      <c r="AZ450" s="40" t="str">
        <f>LOWER(Sheet1!AE449)</f>
        <v>karan</v>
      </c>
      <c r="BA450" s="40" t="str">
        <f>PROPER(Sheet1!AE449)</f>
        <v>Karan</v>
      </c>
      <c r="BB450" s="40" t="str">
        <f>_xlfn.CONCAT(Sheet1!AE449," ",Sheet1!AF449)</f>
        <v>Karan Jain</v>
      </c>
    </row>
    <row r="451" spans="40:54">
      <c r="AN451" s="50" t="str">
        <f>Sheet1!B450</f>
        <v>14-10-2024</v>
      </c>
      <c r="AO451" s="50">
        <f t="shared" si="45"/>
        <v>10</v>
      </c>
      <c r="AP451" s="50">
        <f t="shared" si="40"/>
        <v>10</v>
      </c>
      <c r="AQ451" s="50">
        <f t="shared" si="41"/>
        <v>2024</v>
      </c>
      <c r="AR451" s="50" t="str">
        <f t="shared" si="42"/>
        <v>Oct-2024</v>
      </c>
      <c r="AS451" s="52">
        <f t="shared" si="43"/>
        <v>45575</v>
      </c>
      <c r="AT451" s="44">
        <f t="shared" ca="1" si="44"/>
        <v>703</v>
      </c>
      <c r="AU451" s="40" t="str">
        <f>LEFT(Sheet1!AE450,3)</f>
        <v>Pri</v>
      </c>
      <c r="AV451" s="40" t="str">
        <f>RIGHT(Sheet1!AF450,2)</f>
        <v>av</v>
      </c>
      <c r="AW451" s="40" t="str">
        <f>MID(Sheet1!AE450,2,3)</f>
        <v>riy</v>
      </c>
      <c r="AX451" s="42">
        <f>LEN(Sheet1!AE450)</f>
        <v>5</v>
      </c>
      <c r="AY451" s="40" t="str">
        <f>UPPER(Sheet1!AE450)</f>
        <v>PRIYA</v>
      </c>
      <c r="AZ451" s="40" t="str">
        <f>LOWER(Sheet1!AE450)</f>
        <v>priya</v>
      </c>
      <c r="BA451" s="40" t="str">
        <f>PROPER(Sheet1!AE450)</f>
        <v>Priya</v>
      </c>
      <c r="BB451" s="40" t="str">
        <f>_xlfn.CONCAT(Sheet1!AE450," ",Sheet1!AF450)</f>
        <v>Priya Yadav</v>
      </c>
    </row>
    <row r="452" spans="40:54">
      <c r="AN452" s="50" t="str">
        <f>Sheet1!B451</f>
        <v>14-10-2025</v>
      </c>
      <c r="AO452" s="50">
        <f t="shared" si="45"/>
        <v>10</v>
      </c>
      <c r="AP452" s="50">
        <f t="shared" ref="AP452:AP515" si="46">IFERROR(MONTH(AN452),VALUE(MID(AN452,4,2)))</f>
        <v>10</v>
      </c>
      <c r="AQ452" s="50">
        <f t="shared" ref="AQ452:AQ515" si="47">IFERROR(YEAR(AN452),VALUE(RIGHT(AN452,4)))</f>
        <v>2025</v>
      </c>
      <c r="AR452" s="50" t="str">
        <f t="shared" ref="AR452:AR515" si="48">IF(ISNUMBER(AN452),TEXT(AN452,"mmm-yyyy"),TEXT(DATE(VALUE(RIGHT(AN452,4)),VALUE(MID(AN452,4,2)),VALUE(LEFT(AN452,2))),"mmm-yyyy"))</f>
        <v>Oct-2025</v>
      </c>
      <c r="AS452" s="52">
        <f t="shared" ref="AS452:AS515" si="49">DATE(AQ452,AP452,AO452)</f>
        <v>45940</v>
      </c>
      <c r="AT452" s="44">
        <f t="shared" ref="AT452:AT515" ca="1" si="50">TODAY()-AS452</f>
        <v>338</v>
      </c>
      <c r="AU452" s="40" t="str">
        <f>LEFT(Sheet1!AE451,3)</f>
        <v>Riy</v>
      </c>
      <c r="AV452" s="40" t="str">
        <f>RIGHT(Sheet1!AF451,2)</f>
        <v>ra</v>
      </c>
      <c r="AW452" s="40" t="str">
        <f>MID(Sheet1!AE451,2,3)</f>
        <v>iya</v>
      </c>
      <c r="AX452" s="42">
        <f>LEN(Sheet1!AE451)</f>
        <v>4</v>
      </c>
      <c r="AY452" s="40" t="str">
        <f>UPPER(Sheet1!AE451)</f>
        <v>RIYA</v>
      </c>
      <c r="AZ452" s="40" t="str">
        <f>LOWER(Sheet1!AE451)</f>
        <v>riya</v>
      </c>
      <c r="BA452" s="40" t="str">
        <f>PROPER(Sheet1!AE451)</f>
        <v>Riya</v>
      </c>
      <c r="BB452" s="40" t="str">
        <f>_xlfn.CONCAT(Sheet1!AE451," ",Sheet1!AF451)</f>
        <v>Riya Malhotra</v>
      </c>
    </row>
    <row r="453" spans="40:54">
      <c r="AN453" s="50" t="str">
        <f>Sheet1!B452</f>
        <v>14-10-2025</v>
      </c>
      <c r="AO453" s="50">
        <f t="shared" si="45"/>
        <v>10</v>
      </c>
      <c r="AP453" s="50">
        <f t="shared" si="46"/>
        <v>10</v>
      </c>
      <c r="AQ453" s="50">
        <f t="shared" si="47"/>
        <v>2025</v>
      </c>
      <c r="AR453" s="50" t="str">
        <f t="shared" si="48"/>
        <v>Oct-2025</v>
      </c>
      <c r="AS453" s="52">
        <f t="shared" si="49"/>
        <v>45940</v>
      </c>
      <c r="AT453" s="44">
        <f t="shared" ca="1" si="50"/>
        <v>338</v>
      </c>
      <c r="AU453" s="40" t="str">
        <f>LEFT(Sheet1!AE452,3)</f>
        <v>Rah</v>
      </c>
      <c r="AV453" s="40" t="str">
        <f>RIGHT(Sheet1!AF452,2)</f>
        <v>ma</v>
      </c>
      <c r="AW453" s="40" t="str">
        <f>MID(Sheet1!AE452,2,3)</f>
        <v>ahu</v>
      </c>
      <c r="AX453" s="42">
        <f>LEN(Sheet1!AE452)</f>
        <v>5</v>
      </c>
      <c r="AY453" s="40" t="str">
        <f>UPPER(Sheet1!AE452)</f>
        <v>RAHUL</v>
      </c>
      <c r="AZ453" s="40" t="str">
        <f>LOWER(Sheet1!AE452)</f>
        <v>rahul</v>
      </c>
      <c r="BA453" s="40" t="str">
        <f>PROPER(Sheet1!AE452)</f>
        <v>Rahul</v>
      </c>
      <c r="BB453" s="40" t="str">
        <f>_xlfn.CONCAT(Sheet1!AE452," ",Sheet1!AF452)</f>
        <v>Rahul Sharma</v>
      </c>
    </row>
    <row r="454" spans="40:54">
      <c r="AN454" s="50" t="str">
        <f>Sheet1!B453</f>
        <v>14-11-2025</v>
      </c>
      <c r="AO454" s="50">
        <f t="shared" si="45"/>
        <v>11</v>
      </c>
      <c r="AP454" s="50">
        <f t="shared" si="46"/>
        <v>11</v>
      </c>
      <c r="AQ454" s="50">
        <f t="shared" si="47"/>
        <v>2025</v>
      </c>
      <c r="AR454" s="50" t="str">
        <f t="shared" si="48"/>
        <v>Nov-2025</v>
      </c>
      <c r="AS454" s="52">
        <f t="shared" si="49"/>
        <v>45972</v>
      </c>
      <c r="AT454" s="44">
        <f t="shared" ca="1" si="50"/>
        <v>306</v>
      </c>
      <c r="AU454" s="40" t="str">
        <f>LEFT(Sheet1!AE453,3)</f>
        <v>Viv</v>
      </c>
      <c r="AV454" s="40" t="str">
        <f>RIGHT(Sheet1!AF453,2)</f>
        <v>ma</v>
      </c>
      <c r="AW454" s="40" t="str">
        <f>MID(Sheet1!AE453,2,3)</f>
        <v>iva</v>
      </c>
      <c r="AX454" s="42">
        <f>LEN(Sheet1!AE453)</f>
        <v>6</v>
      </c>
      <c r="AY454" s="40" t="str">
        <f>UPPER(Sheet1!AE453)</f>
        <v>VIVAAN</v>
      </c>
      <c r="AZ454" s="40" t="str">
        <f>LOWER(Sheet1!AE453)</f>
        <v>vivaan</v>
      </c>
      <c r="BA454" s="40" t="str">
        <f>PROPER(Sheet1!AE453)</f>
        <v>Vivaan</v>
      </c>
      <c r="BB454" s="40" t="str">
        <f>_xlfn.CONCAT(Sheet1!AE453," ",Sheet1!AF453)</f>
        <v>Vivaan Sharma</v>
      </c>
    </row>
    <row r="455" spans="40:54">
      <c r="AN455" s="50" t="str">
        <f>Sheet1!B454</f>
        <v>14-12-2024</v>
      </c>
      <c r="AO455" s="50">
        <f t="shared" si="45"/>
        <v>11</v>
      </c>
      <c r="AP455" s="50">
        <f t="shared" si="46"/>
        <v>12</v>
      </c>
      <c r="AQ455" s="50">
        <f t="shared" si="47"/>
        <v>2024</v>
      </c>
      <c r="AR455" s="50" t="str">
        <f t="shared" si="48"/>
        <v>Dec-2024</v>
      </c>
      <c r="AS455" s="52">
        <f t="shared" si="49"/>
        <v>45637</v>
      </c>
      <c r="AT455" s="44">
        <f t="shared" ca="1" si="50"/>
        <v>641</v>
      </c>
      <c r="AU455" s="40" t="str">
        <f>LEFT(Sheet1!AE454,3)</f>
        <v>Arj</v>
      </c>
      <c r="AV455" s="40" t="str">
        <f>RIGHT(Sheet1!AF454,2)</f>
        <v>ma</v>
      </c>
      <c r="AW455" s="40" t="str">
        <f>MID(Sheet1!AE454,2,3)</f>
        <v>rju</v>
      </c>
      <c r="AX455" s="42">
        <f>LEN(Sheet1!AE454)</f>
        <v>5</v>
      </c>
      <c r="AY455" s="40" t="str">
        <f>UPPER(Sheet1!AE454)</f>
        <v>ARJUN</v>
      </c>
      <c r="AZ455" s="40" t="str">
        <f>LOWER(Sheet1!AE454)</f>
        <v>arjun</v>
      </c>
      <c r="BA455" s="40" t="str">
        <f>PROPER(Sheet1!AE454)</f>
        <v>Arjun</v>
      </c>
      <c r="BB455" s="40" t="str">
        <f>_xlfn.CONCAT(Sheet1!AE454," ",Sheet1!AF454)</f>
        <v>Arjun Verma</v>
      </c>
    </row>
    <row r="456" spans="40:54">
      <c r="AN456" s="50" t="str">
        <f>Sheet1!B455</f>
        <v>14-12-2024</v>
      </c>
      <c r="AO456" s="50">
        <f t="shared" si="45"/>
        <v>11</v>
      </c>
      <c r="AP456" s="50">
        <f t="shared" si="46"/>
        <v>12</v>
      </c>
      <c r="AQ456" s="50">
        <f t="shared" si="47"/>
        <v>2024</v>
      </c>
      <c r="AR456" s="50" t="str">
        <f t="shared" si="48"/>
        <v>Dec-2024</v>
      </c>
      <c r="AS456" s="52">
        <f t="shared" si="49"/>
        <v>45637</v>
      </c>
      <c r="AT456" s="44">
        <f t="shared" ca="1" si="50"/>
        <v>641</v>
      </c>
      <c r="AU456" s="40" t="str">
        <f>LEFT(Sheet1!AE455,3)</f>
        <v>Ish</v>
      </c>
      <c r="AV456" s="40" t="str">
        <f>RIGHT(Sheet1!AF455,2)</f>
        <v>gh</v>
      </c>
      <c r="AW456" s="40" t="str">
        <f>MID(Sheet1!AE455,2,3)</f>
        <v>shi</v>
      </c>
      <c r="AX456" s="42">
        <f>LEN(Sheet1!AE455)</f>
        <v>6</v>
      </c>
      <c r="AY456" s="40" t="str">
        <f>UPPER(Sheet1!AE455)</f>
        <v>ISHITA</v>
      </c>
      <c r="AZ456" s="40" t="str">
        <f>LOWER(Sheet1!AE455)</f>
        <v>ishita</v>
      </c>
      <c r="BA456" s="40" t="str">
        <f>PROPER(Sheet1!AE455)</f>
        <v>Ishita</v>
      </c>
      <c r="BB456" s="40" t="str">
        <f>_xlfn.CONCAT(Sheet1!AE455," ",Sheet1!AF455)</f>
        <v>Ishita Singh</v>
      </c>
    </row>
    <row r="457" spans="40:54">
      <c r="AN457" s="50" t="str">
        <f>Sheet1!B456</f>
        <v>14-12-2024</v>
      </c>
      <c r="AO457" s="50">
        <f t="shared" si="45"/>
        <v>1</v>
      </c>
      <c r="AP457" s="50">
        <f t="shared" si="46"/>
        <v>12</v>
      </c>
      <c r="AQ457" s="50">
        <f t="shared" si="47"/>
        <v>2024</v>
      </c>
      <c r="AR457" s="50" t="str">
        <f t="shared" si="48"/>
        <v>Dec-2024</v>
      </c>
      <c r="AS457" s="52">
        <f t="shared" si="49"/>
        <v>45627</v>
      </c>
      <c r="AT457" s="44">
        <f t="shared" ca="1" si="50"/>
        <v>651</v>
      </c>
      <c r="AU457" s="40" t="str">
        <f>LEFT(Sheet1!AE456,3)</f>
        <v>Poo</v>
      </c>
      <c r="AV457" s="40" t="str">
        <f>RIGHT(Sheet1!AF456,2)</f>
        <v>gh</v>
      </c>
      <c r="AW457" s="40" t="str">
        <f>MID(Sheet1!AE456,2,3)</f>
        <v>ooj</v>
      </c>
      <c r="AX457" s="42">
        <f>LEN(Sheet1!AE456)</f>
        <v>5</v>
      </c>
      <c r="AY457" s="40" t="str">
        <f>UPPER(Sheet1!AE456)</f>
        <v>POOJA</v>
      </c>
      <c r="AZ457" s="40" t="str">
        <f>LOWER(Sheet1!AE456)</f>
        <v>pooja</v>
      </c>
      <c r="BA457" s="40" t="str">
        <f>PROPER(Sheet1!AE456)</f>
        <v>Pooja</v>
      </c>
      <c r="BB457" s="40" t="str">
        <f>_xlfn.CONCAT(Sheet1!AE456," ",Sheet1!AF456)</f>
        <v>Pooja Singh</v>
      </c>
    </row>
    <row r="458" spans="40:54">
      <c r="AN458" s="50" t="str">
        <f>Sheet1!B457</f>
        <v>14-12-2025</v>
      </c>
      <c r="AO458" s="50">
        <f t="shared" si="45"/>
        <v>2</v>
      </c>
      <c r="AP458" s="50">
        <f t="shared" si="46"/>
        <v>12</v>
      </c>
      <c r="AQ458" s="50">
        <f t="shared" si="47"/>
        <v>2025</v>
      </c>
      <c r="AR458" s="50" t="str">
        <f t="shared" si="48"/>
        <v>Dec-2025</v>
      </c>
      <c r="AS458" s="52">
        <f t="shared" si="49"/>
        <v>45993</v>
      </c>
      <c r="AT458" s="44">
        <f t="shared" ca="1" si="50"/>
        <v>285</v>
      </c>
      <c r="AU458" s="40" t="str">
        <f>LEFT(Sheet1!AE457,3)</f>
        <v>Ana</v>
      </c>
      <c r="AV458" s="40" t="str">
        <f>RIGHT(Sheet1!AF457,2)</f>
        <v>ar</v>
      </c>
      <c r="AW458" s="40" t="str">
        <f>MID(Sheet1!AE457,2,3)</f>
        <v>nan</v>
      </c>
      <c r="AX458" s="42">
        <f>LEN(Sheet1!AE457)</f>
        <v>6</v>
      </c>
      <c r="AY458" s="40" t="str">
        <f>UPPER(Sheet1!AE457)</f>
        <v>ANANYA</v>
      </c>
      <c r="AZ458" s="40" t="str">
        <f>LOWER(Sheet1!AE457)</f>
        <v>ananya</v>
      </c>
      <c r="BA458" s="40" t="str">
        <f>PROPER(Sheet1!AE457)</f>
        <v>Ananya</v>
      </c>
      <c r="BB458" s="40" t="str">
        <f>_xlfn.CONCAT(Sheet1!AE457," ",Sheet1!AF457)</f>
        <v>Ananya Kumar</v>
      </c>
    </row>
    <row r="459" spans="40:54">
      <c r="AN459" s="50" t="str">
        <f>Sheet1!B458</f>
        <v>15-01-2024</v>
      </c>
      <c r="AO459" s="50">
        <f t="shared" si="45"/>
        <v>3</v>
      </c>
      <c r="AP459" s="50">
        <f t="shared" si="46"/>
        <v>1</v>
      </c>
      <c r="AQ459" s="50">
        <f t="shared" si="47"/>
        <v>2024</v>
      </c>
      <c r="AR459" s="50" t="str">
        <f t="shared" si="48"/>
        <v>Jan-2024</v>
      </c>
      <c r="AS459" s="52">
        <f t="shared" si="49"/>
        <v>45294</v>
      </c>
      <c r="AT459" s="44">
        <f t="shared" ca="1" si="50"/>
        <v>984</v>
      </c>
      <c r="AU459" s="40" t="str">
        <f>LEFT(Sheet1!AE458,3)</f>
        <v>Nis</v>
      </c>
      <c r="AV459" s="40" t="str">
        <f>RIGHT(Sheet1!AF458,2)</f>
        <v>av</v>
      </c>
      <c r="AW459" s="40" t="str">
        <f>MID(Sheet1!AE458,2,3)</f>
        <v>ish</v>
      </c>
      <c r="AX459" s="42">
        <f>LEN(Sheet1!AE458)</f>
        <v>5</v>
      </c>
      <c r="AY459" s="40" t="str">
        <f>UPPER(Sheet1!AE458)</f>
        <v>NISHA</v>
      </c>
      <c r="AZ459" s="40" t="str">
        <f>LOWER(Sheet1!AE458)</f>
        <v>nisha</v>
      </c>
      <c r="BA459" s="40" t="str">
        <f>PROPER(Sheet1!AE458)</f>
        <v>Nisha</v>
      </c>
      <c r="BB459" s="40" t="str">
        <f>_xlfn.CONCAT(Sheet1!AE458," ",Sheet1!AF458)</f>
        <v>Nisha Yadav</v>
      </c>
    </row>
    <row r="460" spans="40:54">
      <c r="AN460" s="50" t="str">
        <f>Sheet1!B459</f>
        <v>15-01-2025</v>
      </c>
      <c r="AO460" s="50">
        <f t="shared" si="45"/>
        <v>4</v>
      </c>
      <c r="AP460" s="50">
        <f t="shared" si="46"/>
        <v>1</v>
      </c>
      <c r="AQ460" s="50">
        <f t="shared" si="47"/>
        <v>2025</v>
      </c>
      <c r="AR460" s="50" t="str">
        <f t="shared" si="48"/>
        <v>Jan-2025</v>
      </c>
      <c r="AS460" s="52">
        <f t="shared" si="49"/>
        <v>45661</v>
      </c>
      <c r="AT460" s="44">
        <f t="shared" ca="1" si="50"/>
        <v>617</v>
      </c>
      <c r="AU460" s="40" t="str">
        <f>LEFT(Sheet1!AE459,3)</f>
        <v>Vik</v>
      </c>
      <c r="AV460" s="40" t="str">
        <f>RIGHT(Sheet1!AF459,2)</f>
        <v>ta</v>
      </c>
      <c r="AW460" s="40" t="str">
        <f>MID(Sheet1!AE459,2,3)</f>
        <v>ikr</v>
      </c>
      <c r="AX460" s="42">
        <f>LEN(Sheet1!AE459)</f>
        <v>6</v>
      </c>
      <c r="AY460" s="40" t="str">
        <f>UPPER(Sheet1!AE459)</f>
        <v>VIKRAM</v>
      </c>
      <c r="AZ460" s="40" t="str">
        <f>LOWER(Sheet1!AE459)</f>
        <v>vikram</v>
      </c>
      <c r="BA460" s="40" t="str">
        <f>PROPER(Sheet1!AE459)</f>
        <v>Vikram</v>
      </c>
      <c r="BB460" s="40" t="str">
        <f>_xlfn.CONCAT(Sheet1!AE459," ",Sheet1!AF459)</f>
        <v>Vikram Mehta</v>
      </c>
    </row>
    <row r="461" spans="40:54">
      <c r="AN461" s="50" t="str">
        <f>Sheet1!B460</f>
        <v>15-01-2025</v>
      </c>
      <c r="AO461" s="50">
        <f t="shared" si="45"/>
        <v>4</v>
      </c>
      <c r="AP461" s="50">
        <f t="shared" si="46"/>
        <v>1</v>
      </c>
      <c r="AQ461" s="50">
        <f t="shared" si="47"/>
        <v>2025</v>
      </c>
      <c r="AR461" s="50" t="str">
        <f t="shared" si="48"/>
        <v>Jan-2025</v>
      </c>
      <c r="AS461" s="52">
        <f t="shared" si="49"/>
        <v>45661</v>
      </c>
      <c r="AT461" s="44">
        <f t="shared" ca="1" si="50"/>
        <v>617</v>
      </c>
      <c r="AU461" s="40" t="str">
        <f>LEFT(Sheet1!AE460,3)</f>
        <v>Adi</v>
      </c>
      <c r="AV461" s="40" t="str">
        <f>RIGHT(Sheet1!AF460,2)</f>
        <v>in</v>
      </c>
      <c r="AW461" s="40" t="str">
        <f>MID(Sheet1!AE460,2,3)</f>
        <v>dit</v>
      </c>
      <c r="AX461" s="42">
        <f>LEN(Sheet1!AE460)</f>
        <v>6</v>
      </c>
      <c r="AY461" s="40" t="str">
        <f>UPPER(Sheet1!AE460)</f>
        <v>ADITYA</v>
      </c>
      <c r="AZ461" s="40" t="str">
        <f>LOWER(Sheet1!AE460)</f>
        <v>aditya</v>
      </c>
      <c r="BA461" s="40" t="str">
        <f>PROPER(Sheet1!AE460)</f>
        <v>Aditya</v>
      </c>
      <c r="BB461" s="40" t="str">
        <f>_xlfn.CONCAT(Sheet1!AE460," ",Sheet1!AF460)</f>
        <v>Aditya Jain</v>
      </c>
    </row>
    <row r="462" spans="40:54">
      <c r="AN462" s="50" t="str">
        <f>Sheet1!B461</f>
        <v>15-02-2024</v>
      </c>
      <c r="AO462" s="50">
        <f t="shared" si="45"/>
        <v>5</v>
      </c>
      <c r="AP462" s="50">
        <f t="shared" si="46"/>
        <v>2</v>
      </c>
      <c r="AQ462" s="50">
        <f t="shared" si="47"/>
        <v>2024</v>
      </c>
      <c r="AR462" s="50" t="str">
        <f t="shared" si="48"/>
        <v>Feb-2024</v>
      </c>
      <c r="AS462" s="52">
        <f t="shared" si="49"/>
        <v>45327</v>
      </c>
      <c r="AT462" s="44">
        <f t="shared" ca="1" si="50"/>
        <v>951</v>
      </c>
      <c r="AU462" s="40" t="str">
        <f>LEFT(Sheet1!AE461,3)</f>
        <v>Vik</v>
      </c>
      <c r="AV462" s="40" t="str">
        <f>RIGHT(Sheet1!AF461,2)</f>
        <v>ta</v>
      </c>
      <c r="AW462" s="40" t="str">
        <f>MID(Sheet1!AE461,2,3)</f>
        <v>ikr</v>
      </c>
      <c r="AX462" s="42">
        <f>LEN(Sheet1!AE461)</f>
        <v>6</v>
      </c>
      <c r="AY462" s="40" t="str">
        <f>UPPER(Sheet1!AE461)</f>
        <v>VIKRAM</v>
      </c>
      <c r="AZ462" s="40" t="str">
        <f>LOWER(Sheet1!AE461)</f>
        <v>vikram</v>
      </c>
      <c r="BA462" s="40" t="str">
        <f>PROPER(Sheet1!AE461)</f>
        <v>Vikram</v>
      </c>
      <c r="BB462" s="40" t="str">
        <f>_xlfn.CONCAT(Sheet1!AE461," ",Sheet1!AF461)</f>
        <v>Vikram Mehta</v>
      </c>
    </row>
    <row r="463" spans="40:54">
      <c r="AN463" s="50" t="str">
        <f>Sheet1!B462</f>
        <v>15-02-2025</v>
      </c>
      <c r="AO463" s="50">
        <f t="shared" si="45"/>
        <v>5</v>
      </c>
      <c r="AP463" s="50">
        <f t="shared" si="46"/>
        <v>2</v>
      </c>
      <c r="AQ463" s="50">
        <f t="shared" si="47"/>
        <v>2025</v>
      </c>
      <c r="AR463" s="50" t="str">
        <f t="shared" si="48"/>
        <v>Feb-2025</v>
      </c>
      <c r="AS463" s="52">
        <f t="shared" si="49"/>
        <v>45693</v>
      </c>
      <c r="AT463" s="44">
        <f t="shared" ca="1" si="50"/>
        <v>585</v>
      </c>
      <c r="AU463" s="40" t="str">
        <f>LEFT(Sheet1!AE462,3)</f>
        <v>Sim</v>
      </c>
      <c r="AV463" s="40" t="str">
        <f>RIGHT(Sheet1!AF462,2)</f>
        <v>al</v>
      </c>
      <c r="AW463" s="40" t="str">
        <f>MID(Sheet1!AE462,2,3)</f>
        <v>imr</v>
      </c>
      <c r="AX463" s="42">
        <f>LEN(Sheet1!AE462)</f>
        <v>6</v>
      </c>
      <c r="AY463" s="40" t="str">
        <f>UPPER(Sheet1!AE462)</f>
        <v>SIMRAN</v>
      </c>
      <c r="AZ463" s="40" t="str">
        <f>LOWER(Sheet1!AE462)</f>
        <v>simran</v>
      </c>
      <c r="BA463" s="40" t="str">
        <f>PROPER(Sheet1!AE462)</f>
        <v>Simran</v>
      </c>
      <c r="BB463" s="40" t="str">
        <f>_xlfn.CONCAT(Sheet1!AE462," ",Sheet1!AF462)</f>
        <v>Simran Agarwal</v>
      </c>
    </row>
    <row r="464" spans="40:54">
      <c r="AN464" s="50" t="str">
        <f>Sheet1!B463</f>
        <v>15-02-2025</v>
      </c>
      <c r="AO464" s="50">
        <f t="shared" si="45"/>
        <v>6</v>
      </c>
      <c r="AP464" s="50">
        <f t="shared" si="46"/>
        <v>2</v>
      </c>
      <c r="AQ464" s="50">
        <f t="shared" si="47"/>
        <v>2025</v>
      </c>
      <c r="AR464" s="50" t="str">
        <f t="shared" si="48"/>
        <v>Feb-2025</v>
      </c>
      <c r="AS464" s="52">
        <f t="shared" si="49"/>
        <v>45694</v>
      </c>
      <c r="AT464" s="44">
        <f t="shared" ca="1" si="50"/>
        <v>584</v>
      </c>
      <c r="AU464" s="40" t="str">
        <f>LEFT(Sheet1!AE463,3)</f>
        <v>Neh</v>
      </c>
      <c r="AV464" s="40" t="str">
        <f>RIGHT(Sheet1!AF463,2)</f>
        <v>na</v>
      </c>
      <c r="AW464" s="40" t="str">
        <f>MID(Sheet1!AE463,2,3)</f>
        <v>eha</v>
      </c>
      <c r="AX464" s="42">
        <f>LEN(Sheet1!AE463)</f>
        <v>4</v>
      </c>
      <c r="AY464" s="40" t="str">
        <f>UPPER(Sheet1!AE463)</f>
        <v>NEHA</v>
      </c>
      <c r="AZ464" s="40" t="str">
        <f>LOWER(Sheet1!AE463)</f>
        <v>neha</v>
      </c>
      <c r="BA464" s="40" t="str">
        <f>PROPER(Sheet1!AE463)</f>
        <v>Neha</v>
      </c>
      <c r="BB464" s="40" t="str">
        <f>_xlfn.CONCAT(Sheet1!AE463," ",Sheet1!AF463)</f>
        <v>Neha Saxena</v>
      </c>
    </row>
    <row r="465" spans="40:54">
      <c r="AN465" s="50" t="str">
        <f>Sheet1!B464</f>
        <v>15-03-2024</v>
      </c>
      <c r="AO465" s="50">
        <f t="shared" si="45"/>
        <v>6</v>
      </c>
      <c r="AP465" s="50">
        <f t="shared" si="46"/>
        <v>3</v>
      </c>
      <c r="AQ465" s="50">
        <f t="shared" si="47"/>
        <v>2024</v>
      </c>
      <c r="AR465" s="50" t="str">
        <f t="shared" si="48"/>
        <v>Mar-2024</v>
      </c>
      <c r="AS465" s="52">
        <f t="shared" si="49"/>
        <v>45357</v>
      </c>
      <c r="AT465" s="44">
        <f t="shared" ca="1" si="50"/>
        <v>921</v>
      </c>
      <c r="AU465" s="40" t="str">
        <f>LEFT(Sheet1!AE464,3)</f>
        <v>Nis</v>
      </c>
      <c r="AV465" s="40" t="str">
        <f>RIGHT(Sheet1!AF464,2)</f>
        <v>ra</v>
      </c>
      <c r="AW465" s="40" t="str">
        <f>MID(Sheet1!AE464,2,3)</f>
        <v>ish</v>
      </c>
      <c r="AX465" s="42">
        <f>LEN(Sheet1!AE464)</f>
        <v>5</v>
      </c>
      <c r="AY465" s="40" t="str">
        <f>UPPER(Sheet1!AE464)</f>
        <v>NISHA</v>
      </c>
      <c r="AZ465" s="40" t="str">
        <f>LOWER(Sheet1!AE464)</f>
        <v>nisha</v>
      </c>
      <c r="BA465" s="40" t="str">
        <f>PROPER(Sheet1!AE464)</f>
        <v>Nisha</v>
      </c>
      <c r="BB465" s="40" t="str">
        <f>_xlfn.CONCAT(Sheet1!AE464," ",Sheet1!AF464)</f>
        <v>Nisha Malhotra</v>
      </c>
    </row>
    <row r="466" spans="40:54">
      <c r="AN466" s="50" t="str">
        <f>Sheet1!B465</f>
        <v>15-03-2024</v>
      </c>
      <c r="AO466" s="50">
        <f t="shared" si="45"/>
        <v>10</v>
      </c>
      <c r="AP466" s="50">
        <f t="shared" si="46"/>
        <v>3</v>
      </c>
      <c r="AQ466" s="50">
        <f t="shared" si="47"/>
        <v>2024</v>
      </c>
      <c r="AR466" s="50" t="str">
        <f t="shared" si="48"/>
        <v>Mar-2024</v>
      </c>
      <c r="AS466" s="52">
        <f t="shared" si="49"/>
        <v>45361</v>
      </c>
      <c r="AT466" s="44">
        <f t="shared" ca="1" si="50"/>
        <v>917</v>
      </c>
      <c r="AU466" s="40" t="str">
        <f>LEFT(Sheet1!AE465,3)</f>
        <v>Adi</v>
      </c>
      <c r="AV466" s="40" t="str">
        <f>RIGHT(Sheet1!AF465,2)</f>
        <v>in</v>
      </c>
      <c r="AW466" s="40" t="str">
        <f>MID(Sheet1!AE465,2,3)</f>
        <v>dit</v>
      </c>
      <c r="AX466" s="42">
        <f>LEN(Sheet1!AE465)</f>
        <v>6</v>
      </c>
      <c r="AY466" s="40" t="str">
        <f>UPPER(Sheet1!AE465)</f>
        <v>ADITYA</v>
      </c>
      <c r="AZ466" s="40" t="str">
        <f>LOWER(Sheet1!AE465)</f>
        <v>aditya</v>
      </c>
      <c r="BA466" s="40" t="str">
        <f>PROPER(Sheet1!AE465)</f>
        <v>Aditya</v>
      </c>
      <c r="BB466" s="40" t="str">
        <f>_xlfn.CONCAT(Sheet1!AE465," ",Sheet1!AF465)</f>
        <v>Aditya Jain</v>
      </c>
    </row>
    <row r="467" spans="40:54">
      <c r="AN467" s="50" t="str">
        <f>Sheet1!B466</f>
        <v>15-03-2024</v>
      </c>
      <c r="AO467" s="50">
        <f t="shared" si="45"/>
        <v>11</v>
      </c>
      <c r="AP467" s="50">
        <f t="shared" si="46"/>
        <v>3</v>
      </c>
      <c r="AQ467" s="50">
        <f t="shared" si="47"/>
        <v>2024</v>
      </c>
      <c r="AR467" s="50" t="str">
        <f t="shared" si="48"/>
        <v>Mar-2024</v>
      </c>
      <c r="AS467" s="52">
        <f t="shared" si="49"/>
        <v>45362</v>
      </c>
      <c r="AT467" s="44">
        <f t="shared" ca="1" si="50"/>
        <v>916</v>
      </c>
      <c r="AU467" s="40" t="str">
        <f>LEFT(Sheet1!AE466,3)</f>
        <v>Aar</v>
      </c>
      <c r="AV467" s="40" t="str">
        <f>RIGHT(Sheet1!AF466,2)</f>
        <v>ra</v>
      </c>
      <c r="AW467" s="40" t="str">
        <f>MID(Sheet1!AE466,2,3)</f>
        <v>ara</v>
      </c>
      <c r="AX467" s="42">
        <f>LEN(Sheet1!AE466)</f>
        <v>5</v>
      </c>
      <c r="AY467" s="40" t="str">
        <f>UPPER(Sheet1!AE466)</f>
        <v>AARAV</v>
      </c>
      <c r="AZ467" s="40" t="str">
        <f>LOWER(Sheet1!AE466)</f>
        <v>aarav</v>
      </c>
      <c r="BA467" s="40" t="str">
        <f>PROPER(Sheet1!AE466)</f>
        <v>Aarav</v>
      </c>
      <c r="BB467" s="40" t="str">
        <f>_xlfn.CONCAT(Sheet1!AE466," ",Sheet1!AF466)</f>
        <v>Aarav Malhotra</v>
      </c>
    </row>
    <row r="468" spans="40:54">
      <c r="AN468" s="50" t="str">
        <f>Sheet1!B467</f>
        <v>15-03-2025</v>
      </c>
      <c r="AO468" s="50">
        <f t="shared" si="45"/>
        <v>12</v>
      </c>
      <c r="AP468" s="50">
        <f t="shared" si="46"/>
        <v>3</v>
      </c>
      <c r="AQ468" s="50">
        <f t="shared" si="47"/>
        <v>2025</v>
      </c>
      <c r="AR468" s="50" t="str">
        <f t="shared" si="48"/>
        <v>Mar-2025</v>
      </c>
      <c r="AS468" s="52">
        <f t="shared" si="49"/>
        <v>45728</v>
      </c>
      <c r="AT468" s="44">
        <f t="shared" ca="1" si="50"/>
        <v>550</v>
      </c>
      <c r="AU468" s="40" t="str">
        <f>LEFT(Sheet1!AE467,3)</f>
        <v>Rah</v>
      </c>
      <c r="AV468" s="40" t="str">
        <f>RIGHT(Sheet1!AF467,2)</f>
        <v>av</v>
      </c>
      <c r="AW468" s="40" t="str">
        <f>MID(Sheet1!AE467,2,3)</f>
        <v>ahu</v>
      </c>
      <c r="AX468" s="42">
        <f>LEN(Sheet1!AE467)</f>
        <v>5</v>
      </c>
      <c r="AY468" s="40" t="str">
        <f>UPPER(Sheet1!AE467)</f>
        <v>RAHUL</v>
      </c>
      <c r="AZ468" s="40" t="str">
        <f>LOWER(Sheet1!AE467)</f>
        <v>rahul</v>
      </c>
      <c r="BA468" s="40" t="str">
        <f>PROPER(Sheet1!AE467)</f>
        <v>Rahul</v>
      </c>
      <c r="BB468" s="40" t="str">
        <f>_xlfn.CONCAT(Sheet1!AE467," ",Sheet1!AF467)</f>
        <v>Rahul Yadav</v>
      </c>
    </row>
    <row r="469" spans="40:54">
      <c r="AN469" s="50" t="str">
        <f>Sheet1!B468</f>
        <v>15-03-2025</v>
      </c>
      <c r="AO469" s="50">
        <f t="shared" si="45"/>
        <v>1</v>
      </c>
      <c r="AP469" s="50">
        <f t="shared" si="46"/>
        <v>3</v>
      </c>
      <c r="AQ469" s="50">
        <f t="shared" si="47"/>
        <v>2025</v>
      </c>
      <c r="AR469" s="50" t="str">
        <f t="shared" si="48"/>
        <v>Mar-2025</v>
      </c>
      <c r="AS469" s="52">
        <f t="shared" si="49"/>
        <v>45717</v>
      </c>
      <c r="AT469" s="44">
        <f t="shared" ca="1" si="50"/>
        <v>561</v>
      </c>
      <c r="AU469" s="40" t="str">
        <f>LEFT(Sheet1!AE468,3)</f>
        <v>Kar</v>
      </c>
      <c r="AV469" s="40" t="str">
        <f>RIGHT(Sheet1!AF468,2)</f>
        <v>al</v>
      </c>
      <c r="AW469" s="40" t="str">
        <f>MID(Sheet1!AE468,2,3)</f>
        <v>ara</v>
      </c>
      <c r="AX469" s="42">
        <f>LEN(Sheet1!AE468)</f>
        <v>5</v>
      </c>
      <c r="AY469" s="40" t="str">
        <f>UPPER(Sheet1!AE468)</f>
        <v>KARAN</v>
      </c>
      <c r="AZ469" s="40" t="str">
        <f>LOWER(Sheet1!AE468)</f>
        <v>karan</v>
      </c>
      <c r="BA469" s="40" t="str">
        <f>PROPER(Sheet1!AE468)</f>
        <v>Karan</v>
      </c>
      <c r="BB469" s="40" t="str">
        <f>_xlfn.CONCAT(Sheet1!AE468," ",Sheet1!AF468)</f>
        <v>Karan Bansal</v>
      </c>
    </row>
    <row r="470" spans="40:54">
      <c r="AN470" s="50" t="str">
        <f>Sheet1!B469</f>
        <v>15-03-2025</v>
      </c>
      <c r="AO470" s="50">
        <f t="shared" si="45"/>
        <v>2</v>
      </c>
      <c r="AP470" s="50">
        <f t="shared" si="46"/>
        <v>3</v>
      </c>
      <c r="AQ470" s="50">
        <f t="shared" si="47"/>
        <v>2025</v>
      </c>
      <c r="AR470" s="50" t="str">
        <f t="shared" si="48"/>
        <v>Mar-2025</v>
      </c>
      <c r="AS470" s="52">
        <f t="shared" si="49"/>
        <v>45718</v>
      </c>
      <c r="AT470" s="44">
        <f t="shared" ca="1" si="50"/>
        <v>560</v>
      </c>
      <c r="AU470" s="40" t="str">
        <f>LEFT(Sheet1!AE469,3)</f>
        <v>Pri</v>
      </c>
      <c r="AV470" s="40" t="str">
        <f>RIGHT(Sheet1!AF469,2)</f>
        <v>ra</v>
      </c>
      <c r="AW470" s="40" t="str">
        <f>MID(Sheet1!AE469,2,3)</f>
        <v>riy</v>
      </c>
      <c r="AX470" s="42">
        <f>LEN(Sheet1!AE469)</f>
        <v>5</v>
      </c>
      <c r="AY470" s="40" t="str">
        <f>UPPER(Sheet1!AE469)</f>
        <v>PRIYA</v>
      </c>
      <c r="AZ470" s="40" t="str">
        <f>LOWER(Sheet1!AE469)</f>
        <v>priya</v>
      </c>
      <c r="BA470" s="40" t="str">
        <f>PROPER(Sheet1!AE469)</f>
        <v>Priya</v>
      </c>
      <c r="BB470" s="40" t="str">
        <f>_xlfn.CONCAT(Sheet1!AE469," ",Sheet1!AF469)</f>
        <v>Priya Malhotra</v>
      </c>
    </row>
    <row r="471" spans="40:54">
      <c r="AN471" s="50" t="str">
        <f>Sheet1!B470</f>
        <v>15-04-2024</v>
      </c>
      <c r="AO471" s="50">
        <f t="shared" si="45"/>
        <v>2</v>
      </c>
      <c r="AP471" s="50">
        <f t="shared" si="46"/>
        <v>4</v>
      </c>
      <c r="AQ471" s="50">
        <f t="shared" si="47"/>
        <v>2024</v>
      </c>
      <c r="AR471" s="50" t="str">
        <f t="shared" si="48"/>
        <v>Apr-2024</v>
      </c>
      <c r="AS471" s="52">
        <f t="shared" si="49"/>
        <v>45384</v>
      </c>
      <c r="AT471" s="44">
        <f t="shared" ca="1" si="50"/>
        <v>894</v>
      </c>
      <c r="AU471" s="40" t="str">
        <f>LEFT(Sheet1!AE470,3)</f>
        <v>Aar</v>
      </c>
      <c r="AV471" s="40" t="str">
        <f>RIGHT(Sheet1!AF470,2)</f>
        <v>ra</v>
      </c>
      <c r="AW471" s="40" t="str">
        <f>MID(Sheet1!AE470,2,3)</f>
        <v>ara</v>
      </c>
      <c r="AX471" s="42">
        <f>LEN(Sheet1!AE470)</f>
        <v>5</v>
      </c>
      <c r="AY471" s="40" t="str">
        <f>UPPER(Sheet1!AE470)</f>
        <v>AARAV</v>
      </c>
      <c r="AZ471" s="40" t="str">
        <f>LOWER(Sheet1!AE470)</f>
        <v>aarav</v>
      </c>
      <c r="BA471" s="40" t="str">
        <f>PROPER(Sheet1!AE470)</f>
        <v>Aarav</v>
      </c>
      <c r="BB471" s="40" t="str">
        <f>_xlfn.CONCAT(Sheet1!AE470," ",Sheet1!AF470)</f>
        <v>Aarav Chopra</v>
      </c>
    </row>
    <row r="472" spans="40:54">
      <c r="AN472" s="50" t="str">
        <f>Sheet1!B471</f>
        <v>15-04-2025</v>
      </c>
      <c r="AO472" s="50">
        <f t="shared" si="45"/>
        <v>7</v>
      </c>
      <c r="AP472" s="50">
        <f t="shared" si="46"/>
        <v>4</v>
      </c>
      <c r="AQ472" s="50">
        <f t="shared" si="47"/>
        <v>2025</v>
      </c>
      <c r="AR472" s="50" t="str">
        <f t="shared" si="48"/>
        <v>Apr-2025</v>
      </c>
      <c r="AS472" s="52">
        <f t="shared" si="49"/>
        <v>45754</v>
      </c>
      <c r="AT472" s="44">
        <f t="shared" ca="1" si="50"/>
        <v>524</v>
      </c>
      <c r="AU472" s="40" t="str">
        <f>LEFT(Sheet1!AE471,3)</f>
        <v>Aar</v>
      </c>
      <c r="AV472" s="40" t="str">
        <f>RIGHT(Sheet1!AF471,2)</f>
        <v>al</v>
      </c>
      <c r="AW472" s="40" t="str">
        <f>MID(Sheet1!AE471,2,3)</f>
        <v>ara</v>
      </c>
      <c r="AX472" s="42">
        <f>LEN(Sheet1!AE471)</f>
        <v>5</v>
      </c>
      <c r="AY472" s="40" t="str">
        <f>UPPER(Sheet1!AE471)</f>
        <v>AARAV</v>
      </c>
      <c r="AZ472" s="40" t="str">
        <f>LOWER(Sheet1!AE471)</f>
        <v>aarav</v>
      </c>
      <c r="BA472" s="40" t="str">
        <f>PROPER(Sheet1!AE471)</f>
        <v>Aarav</v>
      </c>
      <c r="BB472" s="40" t="str">
        <f>_xlfn.CONCAT(Sheet1!AE471," ",Sheet1!AF471)</f>
        <v>Aarav Bansal</v>
      </c>
    </row>
    <row r="473" spans="40:54">
      <c r="AN473" s="50" t="str">
        <f>Sheet1!B472</f>
        <v>15-05-2025</v>
      </c>
      <c r="AO473" s="50">
        <f t="shared" si="45"/>
        <v>7</v>
      </c>
      <c r="AP473" s="50">
        <f t="shared" si="46"/>
        <v>5</v>
      </c>
      <c r="AQ473" s="50">
        <f t="shared" si="47"/>
        <v>2025</v>
      </c>
      <c r="AR473" s="50" t="str">
        <f t="shared" si="48"/>
        <v>May-2025</v>
      </c>
      <c r="AS473" s="52">
        <f t="shared" si="49"/>
        <v>45784</v>
      </c>
      <c r="AT473" s="44">
        <f t="shared" ca="1" si="50"/>
        <v>494</v>
      </c>
      <c r="AU473" s="40" t="str">
        <f>LEFT(Sheet1!AE472,3)</f>
        <v>Kav</v>
      </c>
      <c r="AV473" s="40" t="str">
        <f>RIGHT(Sheet1!AF472,2)</f>
        <v>ra</v>
      </c>
      <c r="AW473" s="40" t="str">
        <f>MID(Sheet1!AE472,2,3)</f>
        <v>avy</v>
      </c>
      <c r="AX473" s="42">
        <f>LEN(Sheet1!AE472)</f>
        <v>5</v>
      </c>
      <c r="AY473" s="40" t="str">
        <f>UPPER(Sheet1!AE472)</f>
        <v>KAVYA</v>
      </c>
      <c r="AZ473" s="40" t="str">
        <f>LOWER(Sheet1!AE472)</f>
        <v>kavya</v>
      </c>
      <c r="BA473" s="40" t="str">
        <f>PROPER(Sheet1!AE472)</f>
        <v>Kavya</v>
      </c>
      <c r="BB473" s="40" t="str">
        <f>_xlfn.CONCAT(Sheet1!AE472," ",Sheet1!AF472)</f>
        <v>Kavya Malhotra</v>
      </c>
    </row>
    <row r="474" spans="40:54">
      <c r="AN474" s="50" t="str">
        <f>Sheet1!B473</f>
        <v>15-06-2024</v>
      </c>
      <c r="AO474" s="50">
        <f t="shared" si="45"/>
        <v>9</v>
      </c>
      <c r="AP474" s="50">
        <f t="shared" si="46"/>
        <v>6</v>
      </c>
      <c r="AQ474" s="50">
        <f t="shared" si="47"/>
        <v>2024</v>
      </c>
      <c r="AR474" s="50" t="str">
        <f t="shared" si="48"/>
        <v>Jun-2024</v>
      </c>
      <c r="AS474" s="52">
        <f t="shared" si="49"/>
        <v>45452</v>
      </c>
      <c r="AT474" s="44">
        <f t="shared" ca="1" si="50"/>
        <v>826</v>
      </c>
      <c r="AU474" s="40" t="str">
        <f>LEFT(Sheet1!AE473,3)</f>
        <v>Rah</v>
      </c>
      <c r="AV474" s="40" t="str">
        <f>RIGHT(Sheet1!AF473,2)</f>
        <v>al</v>
      </c>
      <c r="AW474" s="40" t="str">
        <f>MID(Sheet1!AE473,2,3)</f>
        <v>ahu</v>
      </c>
      <c r="AX474" s="42">
        <f>LEN(Sheet1!AE473)</f>
        <v>5</v>
      </c>
      <c r="AY474" s="40" t="str">
        <f>UPPER(Sheet1!AE473)</f>
        <v>RAHUL</v>
      </c>
      <c r="AZ474" s="40" t="str">
        <f>LOWER(Sheet1!AE473)</f>
        <v>rahul</v>
      </c>
      <c r="BA474" s="40" t="str">
        <f>PROPER(Sheet1!AE473)</f>
        <v>Rahul</v>
      </c>
      <c r="BB474" s="40" t="str">
        <f>_xlfn.CONCAT(Sheet1!AE473," ",Sheet1!AF473)</f>
        <v>Rahul Agarwal</v>
      </c>
    </row>
    <row r="475" spans="40:54">
      <c r="AN475" s="50" t="str">
        <f>Sheet1!B474</f>
        <v>15-06-2025</v>
      </c>
      <c r="AO475" s="50">
        <f t="shared" si="45"/>
        <v>9</v>
      </c>
      <c r="AP475" s="50">
        <f t="shared" si="46"/>
        <v>6</v>
      </c>
      <c r="AQ475" s="50">
        <f t="shared" si="47"/>
        <v>2025</v>
      </c>
      <c r="AR475" s="50" t="str">
        <f t="shared" si="48"/>
        <v>Jun-2025</v>
      </c>
      <c r="AS475" s="52">
        <f t="shared" si="49"/>
        <v>45817</v>
      </c>
      <c r="AT475" s="44">
        <f t="shared" ca="1" si="50"/>
        <v>461</v>
      </c>
      <c r="AU475" s="40" t="str">
        <f>LEFT(Sheet1!AE474,3)</f>
        <v>Kav</v>
      </c>
      <c r="AV475" s="40" t="str">
        <f>RIGHT(Sheet1!AF474,2)</f>
        <v>al</v>
      </c>
      <c r="AW475" s="40" t="str">
        <f>MID(Sheet1!AE474,2,3)</f>
        <v>avy</v>
      </c>
      <c r="AX475" s="42">
        <f>LEN(Sheet1!AE474)</f>
        <v>5</v>
      </c>
      <c r="AY475" s="40" t="str">
        <f>UPPER(Sheet1!AE474)</f>
        <v>KAVYA</v>
      </c>
      <c r="AZ475" s="40" t="str">
        <f>LOWER(Sheet1!AE474)</f>
        <v>kavya</v>
      </c>
      <c r="BA475" s="40" t="str">
        <f>PROPER(Sheet1!AE474)</f>
        <v>Kavya</v>
      </c>
      <c r="BB475" s="40" t="str">
        <f>_xlfn.CONCAT(Sheet1!AE474," ",Sheet1!AF474)</f>
        <v>Kavya Agarwal</v>
      </c>
    </row>
    <row r="476" spans="40:54">
      <c r="AN476" s="50" t="str">
        <f>Sheet1!B475</f>
        <v>15-07-2024</v>
      </c>
      <c r="AO476" s="50">
        <f t="shared" si="45"/>
        <v>9</v>
      </c>
      <c r="AP476" s="50">
        <f t="shared" si="46"/>
        <v>7</v>
      </c>
      <c r="AQ476" s="50">
        <f t="shared" si="47"/>
        <v>2024</v>
      </c>
      <c r="AR476" s="50" t="str">
        <f t="shared" si="48"/>
        <v>Jul-2024</v>
      </c>
      <c r="AS476" s="52">
        <f t="shared" si="49"/>
        <v>45482</v>
      </c>
      <c r="AT476" s="44">
        <f t="shared" ca="1" si="50"/>
        <v>796</v>
      </c>
      <c r="AU476" s="40" t="str">
        <f>LEFT(Sheet1!AE475,3)</f>
        <v>Ana</v>
      </c>
      <c r="AV476" s="40" t="str">
        <f>RIGHT(Sheet1!AF475,2)</f>
        <v>al</v>
      </c>
      <c r="AW476" s="40" t="str">
        <f>MID(Sheet1!AE475,2,3)</f>
        <v>nan</v>
      </c>
      <c r="AX476" s="42">
        <f>LEN(Sheet1!AE475)</f>
        <v>6</v>
      </c>
      <c r="AY476" s="40" t="str">
        <f>UPPER(Sheet1!AE475)</f>
        <v>ANANYA</v>
      </c>
      <c r="AZ476" s="40" t="str">
        <f>LOWER(Sheet1!AE475)</f>
        <v>ananya</v>
      </c>
      <c r="BA476" s="40" t="str">
        <f>PROPER(Sheet1!AE475)</f>
        <v>Ananya</v>
      </c>
      <c r="BB476" s="40" t="str">
        <f>_xlfn.CONCAT(Sheet1!AE475," ",Sheet1!AF475)</f>
        <v>Ananya Bansal</v>
      </c>
    </row>
    <row r="477" spans="40:54">
      <c r="AN477" s="50" t="str">
        <f>Sheet1!B476</f>
        <v>15-07-2025</v>
      </c>
      <c r="AO477" s="50">
        <f t="shared" si="45"/>
        <v>9</v>
      </c>
      <c r="AP477" s="50">
        <f t="shared" si="46"/>
        <v>7</v>
      </c>
      <c r="AQ477" s="50">
        <f t="shared" si="47"/>
        <v>2025</v>
      </c>
      <c r="AR477" s="50" t="str">
        <f t="shared" si="48"/>
        <v>Jul-2025</v>
      </c>
      <c r="AS477" s="52">
        <f t="shared" si="49"/>
        <v>45847</v>
      </c>
      <c r="AT477" s="44">
        <f t="shared" ca="1" si="50"/>
        <v>431</v>
      </c>
      <c r="AU477" s="40" t="str">
        <f>LEFT(Sheet1!AE476,3)</f>
        <v>Nis</v>
      </c>
      <c r="AV477" s="40" t="str">
        <f>RIGHT(Sheet1!AF476,2)</f>
        <v>al</v>
      </c>
      <c r="AW477" s="40" t="str">
        <f>MID(Sheet1!AE476,2,3)</f>
        <v>ish</v>
      </c>
      <c r="AX477" s="42">
        <f>LEN(Sheet1!AE476)</f>
        <v>5</v>
      </c>
      <c r="AY477" s="40" t="str">
        <f>UPPER(Sheet1!AE476)</f>
        <v>NISHA</v>
      </c>
      <c r="AZ477" s="40" t="str">
        <f>LOWER(Sheet1!AE476)</f>
        <v>nisha</v>
      </c>
      <c r="BA477" s="40" t="str">
        <f>PROPER(Sheet1!AE476)</f>
        <v>Nisha</v>
      </c>
      <c r="BB477" s="40" t="str">
        <f>_xlfn.CONCAT(Sheet1!AE476," ",Sheet1!AF476)</f>
        <v>Nisha Bansal</v>
      </c>
    </row>
    <row r="478" spans="40:54">
      <c r="AN478" s="50" t="str">
        <f>Sheet1!B477</f>
        <v>15-07-2025</v>
      </c>
      <c r="AO478" s="50">
        <f t="shared" si="45"/>
        <v>12</v>
      </c>
      <c r="AP478" s="50">
        <f t="shared" si="46"/>
        <v>7</v>
      </c>
      <c r="AQ478" s="50">
        <f t="shared" si="47"/>
        <v>2025</v>
      </c>
      <c r="AR478" s="50" t="str">
        <f t="shared" si="48"/>
        <v>Jul-2025</v>
      </c>
      <c r="AS478" s="52">
        <f t="shared" si="49"/>
        <v>45850</v>
      </c>
      <c r="AT478" s="44">
        <f t="shared" ca="1" si="50"/>
        <v>428</v>
      </c>
      <c r="AU478" s="40" t="str">
        <f>LEFT(Sheet1!AE477,3)</f>
        <v>Adi</v>
      </c>
      <c r="AV478" s="40" t="str">
        <f>RIGHT(Sheet1!AF477,2)</f>
        <v>ma</v>
      </c>
      <c r="AW478" s="40" t="str">
        <f>MID(Sheet1!AE477,2,3)</f>
        <v>dit</v>
      </c>
      <c r="AX478" s="42">
        <f>LEN(Sheet1!AE477)</f>
        <v>6</v>
      </c>
      <c r="AY478" s="40" t="str">
        <f>UPPER(Sheet1!AE477)</f>
        <v>ADITYA</v>
      </c>
      <c r="AZ478" s="40" t="str">
        <f>LOWER(Sheet1!AE477)</f>
        <v>aditya</v>
      </c>
      <c r="BA478" s="40" t="str">
        <f>PROPER(Sheet1!AE477)</f>
        <v>Aditya</v>
      </c>
      <c r="BB478" s="40" t="str">
        <f>_xlfn.CONCAT(Sheet1!AE477," ",Sheet1!AF477)</f>
        <v>Aditya Verma</v>
      </c>
    </row>
    <row r="479" spans="40:54">
      <c r="AN479" s="50" t="str">
        <f>Sheet1!B478</f>
        <v>15-08-2024</v>
      </c>
      <c r="AO479" s="50">
        <f t="shared" si="45"/>
        <v>1</v>
      </c>
      <c r="AP479" s="50">
        <f t="shared" si="46"/>
        <v>8</v>
      </c>
      <c r="AQ479" s="50">
        <f t="shared" si="47"/>
        <v>2024</v>
      </c>
      <c r="AR479" s="50" t="str">
        <f t="shared" si="48"/>
        <v>Aug-2024</v>
      </c>
      <c r="AS479" s="52">
        <f t="shared" si="49"/>
        <v>45505</v>
      </c>
      <c r="AT479" s="44">
        <f t="shared" ca="1" si="50"/>
        <v>773</v>
      </c>
      <c r="AU479" s="40" t="str">
        <f>LEFT(Sheet1!AE478,3)</f>
        <v>Adi</v>
      </c>
      <c r="AV479" s="40" t="str">
        <f>RIGHT(Sheet1!AF478,2)</f>
        <v>al</v>
      </c>
      <c r="AW479" s="40" t="str">
        <f>MID(Sheet1!AE478,2,3)</f>
        <v>dit</v>
      </c>
      <c r="AX479" s="42">
        <f>LEN(Sheet1!AE478)</f>
        <v>6</v>
      </c>
      <c r="AY479" s="40" t="str">
        <f>UPPER(Sheet1!AE478)</f>
        <v>ADITYA</v>
      </c>
      <c r="AZ479" s="40" t="str">
        <f>LOWER(Sheet1!AE478)</f>
        <v>aditya</v>
      </c>
      <c r="BA479" s="40" t="str">
        <f>PROPER(Sheet1!AE478)</f>
        <v>Aditya</v>
      </c>
      <c r="BB479" s="40" t="str">
        <f>_xlfn.CONCAT(Sheet1!AE478," ",Sheet1!AF478)</f>
        <v>Aditya Bansal</v>
      </c>
    </row>
    <row r="480" spans="40:54">
      <c r="AN480" s="50" t="str">
        <f>Sheet1!B479</f>
        <v>15-09-2024</v>
      </c>
      <c r="AO480" s="50">
        <f t="shared" si="45"/>
        <v>1</v>
      </c>
      <c r="AP480" s="50">
        <f t="shared" si="46"/>
        <v>9</v>
      </c>
      <c r="AQ480" s="50">
        <f t="shared" si="47"/>
        <v>2024</v>
      </c>
      <c r="AR480" s="50" t="str">
        <f t="shared" si="48"/>
        <v>Sep-2024</v>
      </c>
      <c r="AS480" s="52">
        <f t="shared" si="49"/>
        <v>45536</v>
      </c>
      <c r="AT480" s="44">
        <f t="shared" ca="1" si="50"/>
        <v>742</v>
      </c>
      <c r="AU480" s="40" t="str">
        <f>LEFT(Sheet1!AE479,3)</f>
        <v>Riy</v>
      </c>
      <c r="AV480" s="40" t="str">
        <f>RIGHT(Sheet1!AF479,2)</f>
        <v>al</v>
      </c>
      <c r="AW480" s="40" t="str">
        <f>MID(Sheet1!AE479,2,3)</f>
        <v>iya</v>
      </c>
      <c r="AX480" s="42">
        <f>LEN(Sheet1!AE479)</f>
        <v>4</v>
      </c>
      <c r="AY480" s="40" t="str">
        <f>UPPER(Sheet1!AE479)</f>
        <v>RIYA</v>
      </c>
      <c r="AZ480" s="40" t="str">
        <f>LOWER(Sheet1!AE479)</f>
        <v>riya</v>
      </c>
      <c r="BA480" s="40" t="str">
        <f>PROPER(Sheet1!AE479)</f>
        <v>Riya</v>
      </c>
      <c r="BB480" s="40" t="str">
        <f>_xlfn.CONCAT(Sheet1!AE479," ",Sheet1!AF479)</f>
        <v>Riya Bansal</v>
      </c>
    </row>
    <row r="481" spans="40:54">
      <c r="AN481" s="50" t="str">
        <f>Sheet1!B480</f>
        <v>15-09-2025</v>
      </c>
      <c r="AO481" s="50">
        <f t="shared" si="45"/>
        <v>2</v>
      </c>
      <c r="AP481" s="50">
        <f t="shared" si="46"/>
        <v>9</v>
      </c>
      <c r="AQ481" s="50">
        <f t="shared" si="47"/>
        <v>2025</v>
      </c>
      <c r="AR481" s="50" t="str">
        <f t="shared" si="48"/>
        <v>Sep-2025</v>
      </c>
      <c r="AS481" s="52">
        <f t="shared" si="49"/>
        <v>45902</v>
      </c>
      <c r="AT481" s="44">
        <f t="shared" ca="1" si="50"/>
        <v>376</v>
      </c>
      <c r="AU481" s="40" t="str">
        <f>LEFT(Sheet1!AE480,3)</f>
        <v>Adi</v>
      </c>
      <c r="AV481" s="40" t="str">
        <f>RIGHT(Sheet1!AF480,2)</f>
        <v>in</v>
      </c>
      <c r="AW481" s="40" t="str">
        <f>MID(Sheet1!AE480,2,3)</f>
        <v>dit</v>
      </c>
      <c r="AX481" s="42">
        <f>LEN(Sheet1!AE480)</f>
        <v>6</v>
      </c>
      <c r="AY481" s="40" t="str">
        <f>UPPER(Sheet1!AE480)</f>
        <v>ADITYA</v>
      </c>
      <c r="AZ481" s="40" t="str">
        <f>LOWER(Sheet1!AE480)</f>
        <v>aditya</v>
      </c>
      <c r="BA481" s="40" t="str">
        <f>PROPER(Sheet1!AE480)</f>
        <v>Aditya</v>
      </c>
      <c r="BB481" s="40" t="str">
        <f>_xlfn.CONCAT(Sheet1!AE480," ",Sheet1!AF480)</f>
        <v>Aditya Jain</v>
      </c>
    </row>
    <row r="482" spans="40:54">
      <c r="AN482" s="50" t="str">
        <f>Sheet1!B481</f>
        <v>15-09-2025</v>
      </c>
      <c r="AO482" s="50">
        <f t="shared" si="45"/>
        <v>2</v>
      </c>
      <c r="AP482" s="50">
        <f t="shared" si="46"/>
        <v>9</v>
      </c>
      <c r="AQ482" s="50">
        <f t="shared" si="47"/>
        <v>2025</v>
      </c>
      <c r="AR482" s="50" t="str">
        <f t="shared" si="48"/>
        <v>Sep-2025</v>
      </c>
      <c r="AS482" s="52">
        <f t="shared" si="49"/>
        <v>45902</v>
      </c>
      <c r="AT482" s="44">
        <f t="shared" ca="1" si="50"/>
        <v>376</v>
      </c>
      <c r="AU482" s="40" t="str">
        <f>LEFT(Sheet1!AE481,3)</f>
        <v>Nis</v>
      </c>
      <c r="AV482" s="40" t="str">
        <f>RIGHT(Sheet1!AF481,2)</f>
        <v>na</v>
      </c>
      <c r="AW482" s="40" t="str">
        <f>MID(Sheet1!AE481,2,3)</f>
        <v>ish</v>
      </c>
      <c r="AX482" s="42">
        <f>LEN(Sheet1!AE481)</f>
        <v>5</v>
      </c>
      <c r="AY482" s="40" t="str">
        <f>UPPER(Sheet1!AE481)</f>
        <v>NISHA</v>
      </c>
      <c r="AZ482" s="40" t="str">
        <f>LOWER(Sheet1!AE481)</f>
        <v>nisha</v>
      </c>
      <c r="BA482" s="40" t="str">
        <f>PROPER(Sheet1!AE481)</f>
        <v>Nisha</v>
      </c>
      <c r="BB482" s="40" t="str">
        <f>_xlfn.CONCAT(Sheet1!AE481," ",Sheet1!AF481)</f>
        <v>Nisha Saxena</v>
      </c>
    </row>
    <row r="483" spans="40:54">
      <c r="AN483" s="50" t="str">
        <f>Sheet1!B482</f>
        <v>15-10-2024</v>
      </c>
      <c r="AO483" s="50">
        <f t="shared" si="45"/>
        <v>3</v>
      </c>
      <c r="AP483" s="50">
        <f t="shared" si="46"/>
        <v>10</v>
      </c>
      <c r="AQ483" s="50">
        <f t="shared" si="47"/>
        <v>2024</v>
      </c>
      <c r="AR483" s="50" t="str">
        <f t="shared" si="48"/>
        <v>Oct-2024</v>
      </c>
      <c r="AS483" s="52">
        <f t="shared" si="49"/>
        <v>45568</v>
      </c>
      <c r="AT483" s="44">
        <f t="shared" ca="1" si="50"/>
        <v>710</v>
      </c>
      <c r="AU483" s="40" t="str">
        <f>LEFT(Sheet1!AE482,3)</f>
        <v>Rah</v>
      </c>
      <c r="AV483" s="40" t="str">
        <f>RIGHT(Sheet1!AF482,2)</f>
        <v>na</v>
      </c>
      <c r="AW483" s="40" t="str">
        <f>MID(Sheet1!AE482,2,3)</f>
        <v>ahu</v>
      </c>
      <c r="AX483" s="42">
        <f>LEN(Sheet1!AE482)</f>
        <v>5</v>
      </c>
      <c r="AY483" s="40" t="str">
        <f>UPPER(Sheet1!AE482)</f>
        <v>RAHUL</v>
      </c>
      <c r="AZ483" s="40" t="str">
        <f>LOWER(Sheet1!AE482)</f>
        <v>rahul</v>
      </c>
      <c r="BA483" s="40" t="str">
        <f>PROPER(Sheet1!AE482)</f>
        <v>Rahul</v>
      </c>
      <c r="BB483" s="40" t="str">
        <f>_xlfn.CONCAT(Sheet1!AE482," ",Sheet1!AF482)</f>
        <v>Rahul Saxena</v>
      </c>
    </row>
    <row r="484" spans="40:54">
      <c r="AN484" s="50" t="str">
        <f>Sheet1!B483</f>
        <v>15-10-2024</v>
      </c>
      <c r="AO484" s="50">
        <f t="shared" si="45"/>
        <v>4</v>
      </c>
      <c r="AP484" s="50">
        <f t="shared" si="46"/>
        <v>10</v>
      </c>
      <c r="AQ484" s="50">
        <f t="shared" si="47"/>
        <v>2024</v>
      </c>
      <c r="AR484" s="50" t="str">
        <f t="shared" si="48"/>
        <v>Oct-2024</v>
      </c>
      <c r="AS484" s="52">
        <f t="shared" si="49"/>
        <v>45569</v>
      </c>
      <c r="AT484" s="44">
        <f t="shared" ca="1" si="50"/>
        <v>709</v>
      </c>
      <c r="AU484" s="40" t="str">
        <f>LEFT(Sheet1!AE483,3)</f>
        <v>Aar</v>
      </c>
      <c r="AV484" s="40" t="str">
        <f>RIGHT(Sheet1!AF483,2)</f>
        <v>ra</v>
      </c>
      <c r="AW484" s="40" t="str">
        <f>MID(Sheet1!AE483,2,3)</f>
        <v>ara</v>
      </c>
      <c r="AX484" s="42">
        <f>LEN(Sheet1!AE483)</f>
        <v>5</v>
      </c>
      <c r="AY484" s="40" t="str">
        <f>UPPER(Sheet1!AE483)</f>
        <v>AARAV</v>
      </c>
      <c r="AZ484" s="40" t="str">
        <f>LOWER(Sheet1!AE483)</f>
        <v>aarav</v>
      </c>
      <c r="BA484" s="40" t="str">
        <f>PROPER(Sheet1!AE483)</f>
        <v>Aarav</v>
      </c>
      <c r="BB484" s="40" t="str">
        <f>_xlfn.CONCAT(Sheet1!AE483," ",Sheet1!AF483)</f>
        <v>Aarav Malhotra</v>
      </c>
    </row>
    <row r="485" spans="40:54">
      <c r="AN485" s="50" t="str">
        <f>Sheet1!B484</f>
        <v>15-10-2024</v>
      </c>
      <c r="AO485" s="50">
        <f t="shared" si="45"/>
        <v>5</v>
      </c>
      <c r="AP485" s="50">
        <f t="shared" si="46"/>
        <v>10</v>
      </c>
      <c r="AQ485" s="50">
        <f t="shared" si="47"/>
        <v>2024</v>
      </c>
      <c r="AR485" s="50" t="str">
        <f t="shared" si="48"/>
        <v>Oct-2024</v>
      </c>
      <c r="AS485" s="52">
        <f t="shared" si="49"/>
        <v>45570</v>
      </c>
      <c r="AT485" s="44">
        <f t="shared" ca="1" si="50"/>
        <v>708</v>
      </c>
      <c r="AU485" s="40" t="str">
        <f>LEFT(Sheet1!AE484,3)</f>
        <v>Adi</v>
      </c>
      <c r="AV485" s="40" t="str">
        <f>RIGHT(Sheet1!AF484,2)</f>
        <v>al</v>
      </c>
      <c r="AW485" s="40" t="str">
        <f>MID(Sheet1!AE484,2,3)</f>
        <v>dit</v>
      </c>
      <c r="AX485" s="42">
        <f>LEN(Sheet1!AE484)</f>
        <v>6</v>
      </c>
      <c r="AY485" s="40" t="str">
        <f>UPPER(Sheet1!AE484)</f>
        <v>ADITYA</v>
      </c>
      <c r="AZ485" s="40" t="str">
        <f>LOWER(Sheet1!AE484)</f>
        <v>aditya</v>
      </c>
      <c r="BA485" s="40" t="str">
        <f>PROPER(Sheet1!AE484)</f>
        <v>Aditya</v>
      </c>
      <c r="BB485" s="40" t="str">
        <f>_xlfn.CONCAT(Sheet1!AE484," ",Sheet1!AF484)</f>
        <v>Aditya Agarwal</v>
      </c>
    </row>
    <row r="486" spans="40:54">
      <c r="AN486" s="50" t="str">
        <f>Sheet1!B485</f>
        <v>15-11-2024</v>
      </c>
      <c r="AO486" s="50">
        <f t="shared" si="45"/>
        <v>7</v>
      </c>
      <c r="AP486" s="50">
        <f t="shared" si="46"/>
        <v>11</v>
      </c>
      <c r="AQ486" s="50">
        <f t="shared" si="47"/>
        <v>2024</v>
      </c>
      <c r="AR486" s="50" t="str">
        <f t="shared" si="48"/>
        <v>Nov-2024</v>
      </c>
      <c r="AS486" s="52">
        <f t="shared" si="49"/>
        <v>45603</v>
      </c>
      <c r="AT486" s="44">
        <f t="shared" ca="1" si="50"/>
        <v>675</v>
      </c>
      <c r="AU486" s="40" t="str">
        <f>LEFT(Sheet1!AE485,3)</f>
        <v>Neh</v>
      </c>
      <c r="AV486" s="40" t="str">
        <f>RIGHT(Sheet1!AF485,2)</f>
        <v>ma</v>
      </c>
      <c r="AW486" s="40" t="str">
        <f>MID(Sheet1!AE485,2,3)</f>
        <v>eha</v>
      </c>
      <c r="AX486" s="42">
        <f>LEN(Sheet1!AE485)</f>
        <v>4</v>
      </c>
      <c r="AY486" s="40" t="str">
        <f>UPPER(Sheet1!AE485)</f>
        <v>NEHA</v>
      </c>
      <c r="AZ486" s="40" t="str">
        <f>LOWER(Sheet1!AE485)</f>
        <v>neha</v>
      </c>
      <c r="BA486" s="40" t="str">
        <f>PROPER(Sheet1!AE485)</f>
        <v>Neha</v>
      </c>
      <c r="BB486" s="40" t="str">
        <f>_xlfn.CONCAT(Sheet1!AE485," ",Sheet1!AF485)</f>
        <v>Neha Verma</v>
      </c>
    </row>
    <row r="487" spans="40:54">
      <c r="AN487" s="50" t="str">
        <f>Sheet1!B486</f>
        <v>15-11-2025</v>
      </c>
      <c r="AO487" s="50">
        <f t="shared" si="45"/>
        <v>8</v>
      </c>
      <c r="AP487" s="50">
        <f t="shared" si="46"/>
        <v>11</v>
      </c>
      <c r="AQ487" s="50">
        <f t="shared" si="47"/>
        <v>2025</v>
      </c>
      <c r="AR487" s="50" t="str">
        <f t="shared" si="48"/>
        <v>Nov-2025</v>
      </c>
      <c r="AS487" s="52">
        <f t="shared" si="49"/>
        <v>45969</v>
      </c>
      <c r="AT487" s="44">
        <f t="shared" ca="1" si="50"/>
        <v>309</v>
      </c>
      <c r="AU487" s="40" t="str">
        <f>LEFT(Sheet1!AE486,3)</f>
        <v>Kar</v>
      </c>
      <c r="AV487" s="40" t="str">
        <f>RIGHT(Sheet1!AF486,2)</f>
        <v>ra</v>
      </c>
      <c r="AW487" s="40" t="str">
        <f>MID(Sheet1!AE486,2,3)</f>
        <v>ara</v>
      </c>
      <c r="AX487" s="42">
        <f>LEN(Sheet1!AE486)</f>
        <v>5</v>
      </c>
      <c r="AY487" s="40" t="str">
        <f>UPPER(Sheet1!AE486)</f>
        <v>KARAN</v>
      </c>
      <c r="AZ487" s="40" t="str">
        <f>LOWER(Sheet1!AE486)</f>
        <v>karan</v>
      </c>
      <c r="BA487" s="40" t="str">
        <f>PROPER(Sheet1!AE486)</f>
        <v>Karan</v>
      </c>
      <c r="BB487" s="40" t="str">
        <f>_xlfn.CONCAT(Sheet1!AE486," ",Sheet1!AF486)</f>
        <v>Karan Malhotra</v>
      </c>
    </row>
    <row r="488" spans="40:54">
      <c r="AN488" s="50" t="str">
        <f>Sheet1!B487</f>
        <v>15-11-2025</v>
      </c>
      <c r="AO488" s="50">
        <f t="shared" si="45"/>
        <v>8</v>
      </c>
      <c r="AP488" s="50">
        <f t="shared" si="46"/>
        <v>11</v>
      </c>
      <c r="AQ488" s="50">
        <f t="shared" si="47"/>
        <v>2025</v>
      </c>
      <c r="AR488" s="50" t="str">
        <f t="shared" si="48"/>
        <v>Nov-2025</v>
      </c>
      <c r="AS488" s="52">
        <f t="shared" si="49"/>
        <v>45969</v>
      </c>
      <c r="AT488" s="44">
        <f t="shared" ca="1" si="50"/>
        <v>309</v>
      </c>
      <c r="AU488" s="40" t="str">
        <f>LEFT(Sheet1!AE487,3)</f>
        <v>Mee</v>
      </c>
      <c r="AV488" s="40" t="str">
        <f>RIGHT(Sheet1!AF487,2)</f>
        <v>gh</v>
      </c>
      <c r="AW488" s="40" t="str">
        <f>MID(Sheet1!AE487,2,3)</f>
        <v>eer</v>
      </c>
      <c r="AX488" s="42">
        <f>LEN(Sheet1!AE487)</f>
        <v>5</v>
      </c>
      <c r="AY488" s="40" t="str">
        <f>UPPER(Sheet1!AE487)</f>
        <v>MEERA</v>
      </c>
      <c r="AZ488" s="40" t="str">
        <f>LOWER(Sheet1!AE487)</f>
        <v>meera</v>
      </c>
      <c r="BA488" s="40" t="str">
        <f>PROPER(Sheet1!AE487)</f>
        <v>Meera</v>
      </c>
      <c r="BB488" s="40" t="str">
        <f>_xlfn.CONCAT(Sheet1!AE487," ",Sheet1!AF487)</f>
        <v>Meera Singh</v>
      </c>
    </row>
    <row r="489" spans="40:54">
      <c r="AN489" s="50" t="str">
        <f>Sheet1!B488</f>
        <v>15-11-2025</v>
      </c>
      <c r="AO489" s="50">
        <f t="shared" si="45"/>
        <v>9</v>
      </c>
      <c r="AP489" s="50">
        <f t="shared" si="46"/>
        <v>11</v>
      </c>
      <c r="AQ489" s="50">
        <f t="shared" si="47"/>
        <v>2025</v>
      </c>
      <c r="AR489" s="50" t="str">
        <f t="shared" si="48"/>
        <v>Nov-2025</v>
      </c>
      <c r="AS489" s="52">
        <f t="shared" si="49"/>
        <v>45970</v>
      </c>
      <c r="AT489" s="44">
        <f t="shared" ca="1" si="50"/>
        <v>308</v>
      </c>
      <c r="AU489" s="40" t="str">
        <f>LEFT(Sheet1!AE488,3)</f>
        <v>Mee</v>
      </c>
      <c r="AV489" s="40" t="str">
        <f>RIGHT(Sheet1!AF488,2)</f>
        <v>na</v>
      </c>
      <c r="AW489" s="40" t="str">
        <f>MID(Sheet1!AE488,2,3)</f>
        <v>eer</v>
      </c>
      <c r="AX489" s="42">
        <f>LEN(Sheet1!AE488)</f>
        <v>5</v>
      </c>
      <c r="AY489" s="40" t="str">
        <f>UPPER(Sheet1!AE488)</f>
        <v>MEERA</v>
      </c>
      <c r="AZ489" s="40" t="str">
        <f>LOWER(Sheet1!AE488)</f>
        <v>meera</v>
      </c>
      <c r="BA489" s="40" t="str">
        <f>PROPER(Sheet1!AE488)</f>
        <v>Meera</v>
      </c>
      <c r="BB489" s="40" t="str">
        <f>_xlfn.CONCAT(Sheet1!AE488," ",Sheet1!AF488)</f>
        <v>Meera Saxena</v>
      </c>
    </row>
    <row r="490" spans="40:54">
      <c r="AN490" s="50" t="str">
        <f>Sheet1!B489</f>
        <v>15-11-2025</v>
      </c>
      <c r="AO490" s="50">
        <f t="shared" si="45"/>
        <v>10</v>
      </c>
      <c r="AP490" s="50">
        <f t="shared" si="46"/>
        <v>11</v>
      </c>
      <c r="AQ490" s="50">
        <f t="shared" si="47"/>
        <v>2025</v>
      </c>
      <c r="AR490" s="50" t="str">
        <f t="shared" si="48"/>
        <v>Nov-2025</v>
      </c>
      <c r="AS490" s="52">
        <f t="shared" si="49"/>
        <v>45971</v>
      </c>
      <c r="AT490" s="44">
        <f t="shared" ca="1" si="50"/>
        <v>307</v>
      </c>
      <c r="AU490" s="40" t="str">
        <f>LEFT(Sheet1!AE489,3)</f>
        <v>Aar</v>
      </c>
      <c r="AV490" s="40" t="str">
        <f>RIGHT(Sheet1!AF489,2)</f>
        <v>na</v>
      </c>
      <c r="AW490" s="40" t="str">
        <f>MID(Sheet1!AE489,2,3)</f>
        <v>ara</v>
      </c>
      <c r="AX490" s="42">
        <f>LEN(Sheet1!AE489)</f>
        <v>5</v>
      </c>
      <c r="AY490" s="40" t="str">
        <f>UPPER(Sheet1!AE489)</f>
        <v>AARAV</v>
      </c>
      <c r="AZ490" s="40" t="str">
        <f>LOWER(Sheet1!AE489)</f>
        <v>aarav</v>
      </c>
      <c r="BA490" s="40" t="str">
        <f>PROPER(Sheet1!AE489)</f>
        <v>Aarav</v>
      </c>
      <c r="BB490" s="40" t="str">
        <f>_xlfn.CONCAT(Sheet1!AE489," ",Sheet1!AF489)</f>
        <v>Aarav Saxena</v>
      </c>
    </row>
    <row r="491" spans="40:54">
      <c r="AN491" s="50" t="str">
        <f>Sheet1!B490</f>
        <v>15-12-2024</v>
      </c>
      <c r="AO491" s="50">
        <f t="shared" si="45"/>
        <v>10</v>
      </c>
      <c r="AP491" s="50">
        <f t="shared" si="46"/>
        <v>12</v>
      </c>
      <c r="AQ491" s="50">
        <f t="shared" si="47"/>
        <v>2024</v>
      </c>
      <c r="AR491" s="50" t="str">
        <f t="shared" si="48"/>
        <v>Dec-2024</v>
      </c>
      <c r="AS491" s="52">
        <f t="shared" si="49"/>
        <v>45636</v>
      </c>
      <c r="AT491" s="44">
        <f t="shared" ca="1" si="50"/>
        <v>642</v>
      </c>
      <c r="AU491" s="40" t="str">
        <f>LEFT(Sheet1!AE490,3)</f>
        <v>Neh</v>
      </c>
      <c r="AV491" s="40" t="str">
        <f>RIGHT(Sheet1!AF490,2)</f>
        <v>al</v>
      </c>
      <c r="AW491" s="40" t="str">
        <f>MID(Sheet1!AE490,2,3)</f>
        <v>eha</v>
      </c>
      <c r="AX491" s="42">
        <f>LEN(Sheet1!AE490)</f>
        <v>4</v>
      </c>
      <c r="AY491" s="40" t="str">
        <f>UPPER(Sheet1!AE490)</f>
        <v>NEHA</v>
      </c>
      <c r="AZ491" s="40" t="str">
        <f>LOWER(Sheet1!AE490)</f>
        <v>neha</v>
      </c>
      <c r="BA491" s="40" t="str">
        <f>PROPER(Sheet1!AE490)</f>
        <v>Neha</v>
      </c>
      <c r="BB491" s="40" t="str">
        <f>_xlfn.CONCAT(Sheet1!AE490," ",Sheet1!AF490)</f>
        <v>Neha Agarwal</v>
      </c>
    </row>
    <row r="492" spans="40:54">
      <c r="AN492" s="50" t="str">
        <f>Sheet1!B491</f>
        <v>15-12-2024</v>
      </c>
      <c r="AO492" s="50">
        <f t="shared" si="45"/>
        <v>10</v>
      </c>
      <c r="AP492" s="50">
        <f t="shared" si="46"/>
        <v>12</v>
      </c>
      <c r="AQ492" s="50">
        <f t="shared" si="47"/>
        <v>2024</v>
      </c>
      <c r="AR492" s="50" t="str">
        <f t="shared" si="48"/>
        <v>Dec-2024</v>
      </c>
      <c r="AS492" s="52">
        <f t="shared" si="49"/>
        <v>45636</v>
      </c>
      <c r="AT492" s="44">
        <f t="shared" ca="1" si="50"/>
        <v>642</v>
      </c>
      <c r="AU492" s="40" t="str">
        <f>LEFT(Sheet1!AE491,3)</f>
        <v>Arj</v>
      </c>
      <c r="AV492" s="40" t="str">
        <f>RIGHT(Sheet1!AF491,2)</f>
        <v>ra</v>
      </c>
      <c r="AW492" s="40" t="str">
        <f>MID(Sheet1!AE491,2,3)</f>
        <v>rju</v>
      </c>
      <c r="AX492" s="42">
        <f>LEN(Sheet1!AE491)</f>
        <v>5</v>
      </c>
      <c r="AY492" s="40" t="str">
        <f>UPPER(Sheet1!AE491)</f>
        <v>ARJUN</v>
      </c>
      <c r="AZ492" s="40" t="str">
        <f>LOWER(Sheet1!AE491)</f>
        <v>arjun</v>
      </c>
      <c r="BA492" s="40" t="str">
        <f>PROPER(Sheet1!AE491)</f>
        <v>Arjun</v>
      </c>
      <c r="BB492" s="40" t="str">
        <f>_xlfn.CONCAT(Sheet1!AE491," ",Sheet1!AF491)</f>
        <v>Arjun Mishra</v>
      </c>
    </row>
    <row r="493" spans="40:54">
      <c r="AN493" s="50" t="str">
        <f>Sheet1!B492</f>
        <v>15-12-2025</v>
      </c>
      <c r="AO493" s="50">
        <f t="shared" si="45"/>
        <v>11</v>
      </c>
      <c r="AP493" s="50">
        <f t="shared" si="46"/>
        <v>12</v>
      </c>
      <c r="AQ493" s="50">
        <f t="shared" si="47"/>
        <v>2025</v>
      </c>
      <c r="AR493" s="50" t="str">
        <f t="shared" si="48"/>
        <v>Dec-2025</v>
      </c>
      <c r="AS493" s="52">
        <f t="shared" si="49"/>
        <v>46002</v>
      </c>
      <c r="AT493" s="44">
        <f t="shared" ca="1" si="50"/>
        <v>276</v>
      </c>
      <c r="AU493" s="40" t="str">
        <f>LEFT(Sheet1!AE492,3)</f>
        <v>Mee</v>
      </c>
      <c r="AV493" s="40" t="str">
        <f>RIGHT(Sheet1!AF492,2)</f>
        <v>ta</v>
      </c>
      <c r="AW493" s="40" t="str">
        <f>MID(Sheet1!AE492,2,3)</f>
        <v>eer</v>
      </c>
      <c r="AX493" s="42">
        <f>LEN(Sheet1!AE492)</f>
        <v>5</v>
      </c>
      <c r="AY493" s="40" t="str">
        <f>UPPER(Sheet1!AE492)</f>
        <v>MEERA</v>
      </c>
      <c r="AZ493" s="40" t="str">
        <f>LOWER(Sheet1!AE492)</f>
        <v>meera</v>
      </c>
      <c r="BA493" s="40" t="str">
        <f>PROPER(Sheet1!AE492)</f>
        <v>Meera</v>
      </c>
      <c r="BB493" s="40" t="str">
        <f>_xlfn.CONCAT(Sheet1!AE492," ",Sheet1!AF492)</f>
        <v>Meera Gupta</v>
      </c>
    </row>
    <row r="494" spans="40:54">
      <c r="AN494" s="50" t="str">
        <f>Sheet1!B493</f>
        <v>16-01-2024</v>
      </c>
      <c r="AO494" s="50">
        <f t="shared" si="45"/>
        <v>3</v>
      </c>
      <c r="AP494" s="50">
        <f t="shared" si="46"/>
        <v>1</v>
      </c>
      <c r="AQ494" s="50">
        <f t="shared" si="47"/>
        <v>2024</v>
      </c>
      <c r="AR494" s="50" t="str">
        <f t="shared" si="48"/>
        <v>Jan-2024</v>
      </c>
      <c r="AS494" s="52">
        <f t="shared" si="49"/>
        <v>45294</v>
      </c>
      <c r="AT494" s="44">
        <f t="shared" ca="1" si="50"/>
        <v>984</v>
      </c>
      <c r="AU494" s="40" t="str">
        <f>LEFT(Sheet1!AE493,3)</f>
        <v>Kar</v>
      </c>
      <c r="AV494" s="40" t="str">
        <f>RIGHT(Sheet1!AF493,2)</f>
        <v>ar</v>
      </c>
      <c r="AW494" s="40" t="str">
        <f>MID(Sheet1!AE493,2,3)</f>
        <v>ara</v>
      </c>
      <c r="AX494" s="42">
        <f>LEN(Sheet1!AE493)</f>
        <v>5</v>
      </c>
      <c r="AY494" s="40" t="str">
        <f>UPPER(Sheet1!AE493)</f>
        <v>KARAN</v>
      </c>
      <c r="AZ494" s="40" t="str">
        <f>LOWER(Sheet1!AE493)</f>
        <v>karan</v>
      </c>
      <c r="BA494" s="40" t="str">
        <f>PROPER(Sheet1!AE493)</f>
        <v>Karan</v>
      </c>
      <c r="BB494" s="40" t="str">
        <f>_xlfn.CONCAT(Sheet1!AE493," ",Sheet1!AF493)</f>
        <v>Karan Kumar</v>
      </c>
    </row>
    <row r="495" spans="40:54">
      <c r="AN495" s="50" t="str">
        <f>Sheet1!B494</f>
        <v>16-01-2024</v>
      </c>
      <c r="AO495" s="50">
        <f t="shared" si="45"/>
        <v>3</v>
      </c>
      <c r="AP495" s="50">
        <f t="shared" si="46"/>
        <v>1</v>
      </c>
      <c r="AQ495" s="50">
        <f t="shared" si="47"/>
        <v>2024</v>
      </c>
      <c r="AR495" s="50" t="str">
        <f t="shared" si="48"/>
        <v>Jan-2024</v>
      </c>
      <c r="AS495" s="52">
        <f t="shared" si="49"/>
        <v>45294</v>
      </c>
      <c r="AT495" s="44">
        <f t="shared" ca="1" si="50"/>
        <v>984</v>
      </c>
      <c r="AU495" s="40" t="str">
        <f>LEFT(Sheet1!AE494,3)</f>
        <v>Adi</v>
      </c>
      <c r="AV495" s="40" t="str">
        <f>RIGHT(Sheet1!AF494,2)</f>
        <v>in</v>
      </c>
      <c r="AW495" s="40" t="str">
        <f>MID(Sheet1!AE494,2,3)</f>
        <v>dit</v>
      </c>
      <c r="AX495" s="42">
        <f>LEN(Sheet1!AE494)</f>
        <v>5</v>
      </c>
      <c r="AY495" s="40" t="str">
        <f>UPPER(Sheet1!AE494)</f>
        <v>ADITI</v>
      </c>
      <c r="AZ495" s="40" t="str">
        <f>LOWER(Sheet1!AE494)</f>
        <v>aditi</v>
      </c>
      <c r="BA495" s="40" t="str">
        <f>PROPER(Sheet1!AE494)</f>
        <v>Aditi</v>
      </c>
      <c r="BB495" s="40" t="str">
        <f>_xlfn.CONCAT(Sheet1!AE494," ",Sheet1!AF494)</f>
        <v>Aditi Jain</v>
      </c>
    </row>
    <row r="496" spans="40:54">
      <c r="AN496" s="50" t="str">
        <f>Sheet1!B495</f>
        <v>16-01-2024</v>
      </c>
      <c r="AO496" s="50">
        <f t="shared" si="45"/>
        <v>3</v>
      </c>
      <c r="AP496" s="50">
        <f t="shared" si="46"/>
        <v>1</v>
      </c>
      <c r="AQ496" s="50">
        <f t="shared" si="47"/>
        <v>2024</v>
      </c>
      <c r="AR496" s="50" t="str">
        <f t="shared" si="48"/>
        <v>Jan-2024</v>
      </c>
      <c r="AS496" s="52">
        <f t="shared" si="49"/>
        <v>45294</v>
      </c>
      <c r="AT496" s="44">
        <f t="shared" ca="1" si="50"/>
        <v>984</v>
      </c>
      <c r="AU496" s="40" t="str">
        <f>LEFT(Sheet1!AE495,3)</f>
        <v>Kav</v>
      </c>
      <c r="AV496" s="40" t="str">
        <f>RIGHT(Sheet1!AF495,2)</f>
        <v>av</v>
      </c>
      <c r="AW496" s="40" t="str">
        <f>MID(Sheet1!AE495,2,3)</f>
        <v>avy</v>
      </c>
      <c r="AX496" s="42">
        <f>LEN(Sheet1!AE495)</f>
        <v>5</v>
      </c>
      <c r="AY496" s="40" t="str">
        <f>UPPER(Sheet1!AE495)</f>
        <v>KAVYA</v>
      </c>
      <c r="AZ496" s="40" t="str">
        <f>LOWER(Sheet1!AE495)</f>
        <v>kavya</v>
      </c>
      <c r="BA496" s="40" t="str">
        <f>PROPER(Sheet1!AE495)</f>
        <v>Kavya</v>
      </c>
      <c r="BB496" s="40" t="str">
        <f>_xlfn.CONCAT(Sheet1!AE495," ",Sheet1!AF495)</f>
        <v>Kavya Yadav</v>
      </c>
    </row>
    <row r="497" spans="40:54">
      <c r="AN497" s="50" t="str">
        <f>Sheet1!B496</f>
        <v>16-01-2025</v>
      </c>
      <c r="AO497" s="50">
        <f t="shared" si="45"/>
        <v>3</v>
      </c>
      <c r="AP497" s="50">
        <f t="shared" si="46"/>
        <v>1</v>
      </c>
      <c r="AQ497" s="50">
        <f t="shared" si="47"/>
        <v>2025</v>
      </c>
      <c r="AR497" s="50" t="str">
        <f t="shared" si="48"/>
        <v>Jan-2025</v>
      </c>
      <c r="AS497" s="52">
        <f t="shared" si="49"/>
        <v>45660</v>
      </c>
      <c r="AT497" s="44">
        <f t="shared" ca="1" si="50"/>
        <v>618</v>
      </c>
      <c r="AU497" s="40" t="str">
        <f>LEFT(Sheet1!AE496,3)</f>
        <v>Pri</v>
      </c>
      <c r="AV497" s="40" t="str">
        <f>RIGHT(Sheet1!AF496,2)</f>
        <v>ar</v>
      </c>
      <c r="AW497" s="40" t="str">
        <f>MID(Sheet1!AE496,2,3)</f>
        <v>riy</v>
      </c>
      <c r="AX497" s="42">
        <f>LEN(Sheet1!AE496)</f>
        <v>5</v>
      </c>
      <c r="AY497" s="40" t="str">
        <f>UPPER(Sheet1!AE496)</f>
        <v>PRIYA</v>
      </c>
      <c r="AZ497" s="40" t="str">
        <f>LOWER(Sheet1!AE496)</f>
        <v>priya</v>
      </c>
      <c r="BA497" s="40" t="str">
        <f>PROPER(Sheet1!AE496)</f>
        <v>Priya</v>
      </c>
      <c r="BB497" s="40" t="str">
        <f>_xlfn.CONCAT(Sheet1!AE496," ",Sheet1!AF496)</f>
        <v>Priya Kumar</v>
      </c>
    </row>
    <row r="498" spans="40:54">
      <c r="AN498" s="50" t="str">
        <f>Sheet1!B497</f>
        <v>16-01-2025</v>
      </c>
      <c r="AO498" s="50">
        <f t="shared" si="45"/>
        <v>3</v>
      </c>
      <c r="AP498" s="50">
        <f t="shared" si="46"/>
        <v>1</v>
      </c>
      <c r="AQ498" s="50">
        <f t="shared" si="47"/>
        <v>2025</v>
      </c>
      <c r="AR498" s="50" t="str">
        <f t="shared" si="48"/>
        <v>Jan-2025</v>
      </c>
      <c r="AS498" s="52">
        <f t="shared" si="49"/>
        <v>45660</v>
      </c>
      <c r="AT498" s="44">
        <f t="shared" ca="1" si="50"/>
        <v>618</v>
      </c>
      <c r="AU498" s="40" t="str">
        <f>LEFT(Sheet1!AE497,3)</f>
        <v>Adi</v>
      </c>
      <c r="AV498" s="40" t="str">
        <f>RIGHT(Sheet1!AF497,2)</f>
        <v>ar</v>
      </c>
      <c r="AW498" s="40" t="str">
        <f>MID(Sheet1!AE497,2,3)</f>
        <v>dit</v>
      </c>
      <c r="AX498" s="42">
        <f>LEN(Sheet1!AE497)</f>
        <v>5</v>
      </c>
      <c r="AY498" s="40" t="str">
        <f>UPPER(Sheet1!AE497)</f>
        <v>ADITI</v>
      </c>
      <c r="AZ498" s="40" t="str">
        <f>LOWER(Sheet1!AE497)</f>
        <v>aditi</v>
      </c>
      <c r="BA498" s="40" t="str">
        <f>PROPER(Sheet1!AE497)</f>
        <v>Aditi</v>
      </c>
      <c r="BB498" s="40" t="str">
        <f>_xlfn.CONCAT(Sheet1!AE497," ",Sheet1!AF497)</f>
        <v>Aditi Kumar</v>
      </c>
    </row>
    <row r="499" spans="40:54">
      <c r="AN499" s="50" t="str">
        <f>Sheet1!B498</f>
        <v>16-02-2024</v>
      </c>
      <c r="AO499" s="50">
        <f t="shared" si="45"/>
        <v>4</v>
      </c>
      <c r="AP499" s="50">
        <f t="shared" si="46"/>
        <v>2</v>
      </c>
      <c r="AQ499" s="50">
        <f t="shared" si="47"/>
        <v>2024</v>
      </c>
      <c r="AR499" s="50" t="str">
        <f t="shared" si="48"/>
        <v>Feb-2024</v>
      </c>
      <c r="AS499" s="52">
        <f t="shared" si="49"/>
        <v>45326</v>
      </c>
      <c r="AT499" s="44">
        <f t="shared" ca="1" si="50"/>
        <v>952</v>
      </c>
      <c r="AU499" s="40" t="str">
        <f>LEFT(Sheet1!AE498,3)</f>
        <v>Ana</v>
      </c>
      <c r="AV499" s="40" t="str">
        <f>RIGHT(Sheet1!AF498,2)</f>
        <v>ta</v>
      </c>
      <c r="AW499" s="40" t="str">
        <f>MID(Sheet1!AE498,2,3)</f>
        <v>nan</v>
      </c>
      <c r="AX499" s="42">
        <f>LEN(Sheet1!AE498)</f>
        <v>6</v>
      </c>
      <c r="AY499" s="40" t="str">
        <f>UPPER(Sheet1!AE498)</f>
        <v>ANANYA</v>
      </c>
      <c r="AZ499" s="40" t="str">
        <f>LOWER(Sheet1!AE498)</f>
        <v>ananya</v>
      </c>
      <c r="BA499" s="40" t="str">
        <f>PROPER(Sheet1!AE498)</f>
        <v>Ananya</v>
      </c>
      <c r="BB499" s="40" t="str">
        <f>_xlfn.CONCAT(Sheet1!AE498," ",Sheet1!AF498)</f>
        <v>Ananya Gupta</v>
      </c>
    </row>
    <row r="500" spans="40:54">
      <c r="AN500" s="50" t="str">
        <f>Sheet1!B499</f>
        <v>16-02-2024</v>
      </c>
      <c r="AO500" s="50">
        <f t="shared" si="45"/>
        <v>4</v>
      </c>
      <c r="AP500" s="50">
        <f t="shared" si="46"/>
        <v>2</v>
      </c>
      <c r="AQ500" s="50">
        <f t="shared" si="47"/>
        <v>2024</v>
      </c>
      <c r="AR500" s="50" t="str">
        <f t="shared" si="48"/>
        <v>Feb-2024</v>
      </c>
      <c r="AS500" s="52">
        <f t="shared" si="49"/>
        <v>45326</v>
      </c>
      <c r="AT500" s="44">
        <f t="shared" ca="1" si="50"/>
        <v>952</v>
      </c>
      <c r="AU500" s="40" t="str">
        <f>LEFT(Sheet1!AE499,3)</f>
        <v>Poo</v>
      </c>
      <c r="AV500" s="40" t="str">
        <f>RIGHT(Sheet1!AF499,2)</f>
        <v>av</v>
      </c>
      <c r="AW500" s="40" t="str">
        <f>MID(Sheet1!AE499,2,3)</f>
        <v>ooj</v>
      </c>
      <c r="AX500" s="42">
        <f>LEN(Sheet1!AE499)</f>
        <v>5</v>
      </c>
      <c r="AY500" s="40" t="str">
        <f>UPPER(Sheet1!AE499)</f>
        <v>POOJA</v>
      </c>
      <c r="AZ500" s="40" t="str">
        <f>LOWER(Sheet1!AE499)</f>
        <v>pooja</v>
      </c>
      <c r="BA500" s="40" t="str">
        <f>PROPER(Sheet1!AE499)</f>
        <v>Pooja</v>
      </c>
      <c r="BB500" s="40" t="str">
        <f>_xlfn.CONCAT(Sheet1!AE499," ",Sheet1!AF499)</f>
        <v>Pooja Yadav</v>
      </c>
    </row>
    <row r="501" spans="40:54">
      <c r="AN501" s="50" t="str">
        <f>Sheet1!B500</f>
        <v>16-02-2025</v>
      </c>
      <c r="AO501" s="50">
        <f t="shared" si="45"/>
        <v>5</v>
      </c>
      <c r="AP501" s="50">
        <f t="shared" si="46"/>
        <v>2</v>
      </c>
      <c r="AQ501" s="50">
        <f t="shared" si="47"/>
        <v>2025</v>
      </c>
      <c r="AR501" s="50" t="str">
        <f t="shared" si="48"/>
        <v>Feb-2025</v>
      </c>
      <c r="AS501" s="52">
        <f t="shared" si="49"/>
        <v>45693</v>
      </c>
      <c r="AT501" s="44">
        <f t="shared" ca="1" si="50"/>
        <v>585</v>
      </c>
      <c r="AU501" s="40" t="str">
        <f>LEFT(Sheet1!AE500,3)</f>
        <v>Ana</v>
      </c>
      <c r="AV501" s="40" t="str">
        <f>RIGHT(Sheet1!AF500,2)</f>
        <v>al</v>
      </c>
      <c r="AW501" s="40" t="str">
        <f>MID(Sheet1!AE500,2,3)</f>
        <v>nan</v>
      </c>
      <c r="AX501" s="42">
        <f>LEN(Sheet1!AE500)</f>
        <v>6</v>
      </c>
      <c r="AY501" s="40" t="str">
        <f>UPPER(Sheet1!AE500)</f>
        <v>ANANYA</v>
      </c>
      <c r="AZ501" s="40" t="str">
        <f>LOWER(Sheet1!AE500)</f>
        <v>ananya</v>
      </c>
      <c r="BA501" s="40" t="str">
        <f>PROPER(Sheet1!AE500)</f>
        <v>Ananya</v>
      </c>
      <c r="BB501" s="40" t="str">
        <f>_xlfn.CONCAT(Sheet1!AE500," ",Sheet1!AF500)</f>
        <v>Ananya Bansal</v>
      </c>
    </row>
    <row r="502" spans="40:54">
      <c r="AN502" s="50" t="str">
        <f>Sheet1!B501</f>
        <v>16-03-2024</v>
      </c>
      <c r="AO502" s="50">
        <f t="shared" si="45"/>
        <v>6</v>
      </c>
      <c r="AP502" s="50">
        <f t="shared" si="46"/>
        <v>3</v>
      </c>
      <c r="AQ502" s="50">
        <f t="shared" si="47"/>
        <v>2024</v>
      </c>
      <c r="AR502" s="50" t="str">
        <f t="shared" si="48"/>
        <v>Mar-2024</v>
      </c>
      <c r="AS502" s="52">
        <f t="shared" si="49"/>
        <v>45357</v>
      </c>
      <c r="AT502" s="44">
        <f t="shared" ca="1" si="50"/>
        <v>921</v>
      </c>
      <c r="AU502" s="40" t="str">
        <f>LEFT(Sheet1!AE501,3)</f>
        <v>Adi</v>
      </c>
      <c r="AV502" s="40" t="str">
        <f>RIGHT(Sheet1!AF501,2)</f>
        <v>al</v>
      </c>
      <c r="AW502" s="40" t="str">
        <f>MID(Sheet1!AE501,2,3)</f>
        <v>dit</v>
      </c>
      <c r="AX502" s="42">
        <f>LEN(Sheet1!AE501)</f>
        <v>6</v>
      </c>
      <c r="AY502" s="40" t="str">
        <f>UPPER(Sheet1!AE501)</f>
        <v>ADITYA</v>
      </c>
      <c r="AZ502" s="40" t="str">
        <f>LOWER(Sheet1!AE501)</f>
        <v>aditya</v>
      </c>
      <c r="BA502" s="40" t="str">
        <f>PROPER(Sheet1!AE501)</f>
        <v>Aditya</v>
      </c>
      <c r="BB502" s="40" t="str">
        <f>_xlfn.CONCAT(Sheet1!AE501," ",Sheet1!AF501)</f>
        <v>Aditya Agarwal</v>
      </c>
    </row>
    <row r="503" spans="40:54">
      <c r="AN503" s="50" t="str">
        <f>Sheet1!B502</f>
        <v>16-03-2024</v>
      </c>
      <c r="AO503" s="50">
        <f t="shared" si="45"/>
        <v>6</v>
      </c>
      <c r="AP503" s="50">
        <f t="shared" si="46"/>
        <v>3</v>
      </c>
      <c r="AQ503" s="50">
        <f t="shared" si="47"/>
        <v>2024</v>
      </c>
      <c r="AR503" s="50" t="str">
        <f t="shared" si="48"/>
        <v>Mar-2024</v>
      </c>
      <c r="AS503" s="52">
        <f t="shared" si="49"/>
        <v>45357</v>
      </c>
      <c r="AT503" s="44">
        <f t="shared" ca="1" si="50"/>
        <v>921</v>
      </c>
      <c r="AU503" s="40" t="str">
        <f>LEFT(Sheet1!AE502,3)</f>
        <v>Riy</v>
      </c>
      <c r="AV503" s="40" t="str">
        <f>RIGHT(Sheet1!AF502,2)</f>
        <v>ra</v>
      </c>
      <c r="AW503" s="40" t="str">
        <f>MID(Sheet1!AE502,2,3)</f>
        <v>iya</v>
      </c>
      <c r="AX503" s="42">
        <f>LEN(Sheet1!AE502)</f>
        <v>4</v>
      </c>
      <c r="AY503" s="40" t="str">
        <f>UPPER(Sheet1!AE502)</f>
        <v>RIYA</v>
      </c>
      <c r="AZ503" s="40" t="str">
        <f>LOWER(Sheet1!AE502)</f>
        <v>riya</v>
      </c>
      <c r="BA503" s="40" t="str">
        <f>PROPER(Sheet1!AE502)</f>
        <v>Riya</v>
      </c>
      <c r="BB503" s="40" t="str">
        <f>_xlfn.CONCAT(Sheet1!AE502," ",Sheet1!AF502)</f>
        <v>Riya Mishra</v>
      </c>
    </row>
    <row r="504" spans="40:54">
      <c r="AN504" s="50" t="str">
        <f>Sheet1!B503</f>
        <v>16-03-2024</v>
      </c>
      <c r="AO504" s="50">
        <f t="shared" si="45"/>
        <v>8</v>
      </c>
      <c r="AP504" s="50">
        <f t="shared" si="46"/>
        <v>3</v>
      </c>
      <c r="AQ504" s="50">
        <f t="shared" si="47"/>
        <v>2024</v>
      </c>
      <c r="AR504" s="50" t="str">
        <f t="shared" si="48"/>
        <v>Mar-2024</v>
      </c>
      <c r="AS504" s="52">
        <f t="shared" si="49"/>
        <v>45359</v>
      </c>
      <c r="AT504" s="44">
        <f t="shared" ca="1" si="50"/>
        <v>919</v>
      </c>
      <c r="AU504" s="40" t="str">
        <f>LEFT(Sheet1!AE503,3)</f>
        <v>Adi</v>
      </c>
      <c r="AV504" s="40" t="str">
        <f>RIGHT(Sheet1!AF503,2)</f>
        <v>al</v>
      </c>
      <c r="AW504" s="40" t="str">
        <f>MID(Sheet1!AE503,2,3)</f>
        <v>dit</v>
      </c>
      <c r="AX504" s="42">
        <f>LEN(Sheet1!AE503)</f>
        <v>6</v>
      </c>
      <c r="AY504" s="40" t="str">
        <f>UPPER(Sheet1!AE503)</f>
        <v>ADITYA</v>
      </c>
      <c r="AZ504" s="40" t="str">
        <f>LOWER(Sheet1!AE503)</f>
        <v>aditya</v>
      </c>
      <c r="BA504" s="40" t="str">
        <f>PROPER(Sheet1!AE503)</f>
        <v>Aditya</v>
      </c>
      <c r="BB504" s="40" t="str">
        <f>_xlfn.CONCAT(Sheet1!AE503," ",Sheet1!AF503)</f>
        <v>Aditya Bansal</v>
      </c>
    </row>
    <row r="505" spans="40:54">
      <c r="AN505" s="50" t="str">
        <f>Sheet1!B504</f>
        <v>16-03-2025</v>
      </c>
      <c r="AO505" s="50">
        <f t="shared" si="45"/>
        <v>9</v>
      </c>
      <c r="AP505" s="50">
        <f t="shared" si="46"/>
        <v>3</v>
      </c>
      <c r="AQ505" s="50">
        <f t="shared" si="47"/>
        <v>2025</v>
      </c>
      <c r="AR505" s="50" t="str">
        <f t="shared" si="48"/>
        <v>Mar-2025</v>
      </c>
      <c r="AS505" s="52">
        <f t="shared" si="49"/>
        <v>45725</v>
      </c>
      <c r="AT505" s="44">
        <f t="shared" ca="1" si="50"/>
        <v>553</v>
      </c>
      <c r="AU505" s="40" t="str">
        <f>LEFT(Sheet1!AE504,3)</f>
        <v>Adi</v>
      </c>
      <c r="AV505" s="40" t="str">
        <f>RIGHT(Sheet1!AF504,2)</f>
        <v>in</v>
      </c>
      <c r="AW505" s="40" t="str">
        <f>MID(Sheet1!AE504,2,3)</f>
        <v>dit</v>
      </c>
      <c r="AX505" s="42">
        <f>LEN(Sheet1!AE504)</f>
        <v>5</v>
      </c>
      <c r="AY505" s="40" t="str">
        <f>UPPER(Sheet1!AE504)</f>
        <v>ADITI</v>
      </c>
      <c r="AZ505" s="40" t="str">
        <f>LOWER(Sheet1!AE504)</f>
        <v>aditi</v>
      </c>
      <c r="BA505" s="40" t="str">
        <f>PROPER(Sheet1!AE504)</f>
        <v>Aditi</v>
      </c>
      <c r="BB505" s="40" t="str">
        <f>_xlfn.CONCAT(Sheet1!AE504," ",Sheet1!AF504)</f>
        <v>Aditi Jain</v>
      </c>
    </row>
    <row r="506" spans="40:54">
      <c r="AN506" s="50" t="str">
        <f>Sheet1!B505</f>
        <v>16-03-2025</v>
      </c>
      <c r="AO506" s="50">
        <f t="shared" si="45"/>
        <v>11</v>
      </c>
      <c r="AP506" s="50">
        <f t="shared" si="46"/>
        <v>3</v>
      </c>
      <c r="AQ506" s="50">
        <f t="shared" si="47"/>
        <v>2025</v>
      </c>
      <c r="AR506" s="50" t="str">
        <f t="shared" si="48"/>
        <v>Mar-2025</v>
      </c>
      <c r="AS506" s="52">
        <f t="shared" si="49"/>
        <v>45727</v>
      </c>
      <c r="AT506" s="44">
        <f t="shared" ca="1" si="50"/>
        <v>551</v>
      </c>
      <c r="AU506" s="40" t="str">
        <f>LEFT(Sheet1!AE505,3)</f>
        <v>Adi</v>
      </c>
      <c r="AV506" s="40" t="str">
        <f>RIGHT(Sheet1!AF505,2)</f>
        <v>or</v>
      </c>
      <c r="AW506" s="40" t="str">
        <f>MID(Sheet1!AE505,2,3)</f>
        <v>dit</v>
      </c>
      <c r="AX506" s="42">
        <f>LEN(Sheet1!AE505)</f>
        <v>6</v>
      </c>
      <c r="AY506" s="40" t="str">
        <f>UPPER(Sheet1!AE505)</f>
        <v>ADITYA</v>
      </c>
      <c r="AZ506" s="40" t="str">
        <f>LOWER(Sheet1!AE505)</f>
        <v>aditya</v>
      </c>
      <c r="BA506" s="40" t="str">
        <f>PROPER(Sheet1!AE505)</f>
        <v>Aditya</v>
      </c>
      <c r="BB506" s="40" t="str">
        <f>_xlfn.CONCAT(Sheet1!AE505," ",Sheet1!AF505)</f>
        <v>Aditya Kapoor</v>
      </c>
    </row>
    <row r="507" spans="40:54">
      <c r="AN507" s="50" t="str">
        <f>Sheet1!B506</f>
        <v>16-03-2025</v>
      </c>
      <c r="AO507" s="50">
        <f t="shared" si="45"/>
        <v>11</v>
      </c>
      <c r="AP507" s="50">
        <f t="shared" si="46"/>
        <v>3</v>
      </c>
      <c r="AQ507" s="50">
        <f t="shared" si="47"/>
        <v>2025</v>
      </c>
      <c r="AR507" s="50" t="str">
        <f t="shared" si="48"/>
        <v>Mar-2025</v>
      </c>
      <c r="AS507" s="52">
        <f t="shared" si="49"/>
        <v>45727</v>
      </c>
      <c r="AT507" s="44">
        <f t="shared" ca="1" si="50"/>
        <v>551</v>
      </c>
      <c r="AU507" s="40" t="str">
        <f>LEFT(Sheet1!AE506,3)</f>
        <v>Ish</v>
      </c>
      <c r="AV507" s="40" t="str">
        <f>RIGHT(Sheet1!AF506,2)</f>
        <v>ar</v>
      </c>
      <c r="AW507" s="40" t="str">
        <f>MID(Sheet1!AE506,2,3)</f>
        <v>shi</v>
      </c>
      <c r="AX507" s="42">
        <f>LEN(Sheet1!AE506)</f>
        <v>6</v>
      </c>
      <c r="AY507" s="40" t="str">
        <f>UPPER(Sheet1!AE506)</f>
        <v>ISHITA</v>
      </c>
      <c r="AZ507" s="40" t="str">
        <f>LOWER(Sheet1!AE506)</f>
        <v>ishita</v>
      </c>
      <c r="BA507" s="40" t="str">
        <f>PROPER(Sheet1!AE506)</f>
        <v>Ishita</v>
      </c>
      <c r="BB507" s="40" t="str">
        <f>_xlfn.CONCAT(Sheet1!AE506," ",Sheet1!AF506)</f>
        <v>Ishita Kumar</v>
      </c>
    </row>
    <row r="508" spans="40:54">
      <c r="AN508" s="50" t="str">
        <f>Sheet1!B507</f>
        <v>16-03-2025</v>
      </c>
      <c r="AO508" s="50">
        <f t="shared" si="45"/>
        <v>12</v>
      </c>
      <c r="AP508" s="50">
        <f t="shared" si="46"/>
        <v>3</v>
      </c>
      <c r="AQ508" s="50">
        <f t="shared" si="47"/>
        <v>2025</v>
      </c>
      <c r="AR508" s="50" t="str">
        <f t="shared" si="48"/>
        <v>Mar-2025</v>
      </c>
      <c r="AS508" s="52">
        <f t="shared" si="49"/>
        <v>45728</v>
      </c>
      <c r="AT508" s="44">
        <f t="shared" ca="1" si="50"/>
        <v>550</v>
      </c>
      <c r="AU508" s="40" t="str">
        <f>LEFT(Sheet1!AE507,3)</f>
        <v>Arj</v>
      </c>
      <c r="AV508" s="40" t="str">
        <f>RIGHT(Sheet1!AF507,2)</f>
        <v>na</v>
      </c>
      <c r="AW508" s="40" t="str">
        <f>MID(Sheet1!AE507,2,3)</f>
        <v>rju</v>
      </c>
      <c r="AX508" s="42">
        <f>LEN(Sheet1!AE507)</f>
        <v>5</v>
      </c>
      <c r="AY508" s="40" t="str">
        <f>UPPER(Sheet1!AE507)</f>
        <v>ARJUN</v>
      </c>
      <c r="AZ508" s="40" t="str">
        <f>LOWER(Sheet1!AE507)</f>
        <v>arjun</v>
      </c>
      <c r="BA508" s="40" t="str">
        <f>PROPER(Sheet1!AE507)</f>
        <v>Arjun</v>
      </c>
      <c r="BB508" s="40" t="str">
        <f>_xlfn.CONCAT(Sheet1!AE507," ",Sheet1!AF507)</f>
        <v>Arjun Saxena</v>
      </c>
    </row>
    <row r="509" spans="40:54">
      <c r="AN509" s="50" t="str">
        <f>Sheet1!B508</f>
        <v>16-04-2025</v>
      </c>
      <c r="AO509" s="50">
        <f t="shared" si="45"/>
        <v>1</v>
      </c>
      <c r="AP509" s="50">
        <f t="shared" si="46"/>
        <v>4</v>
      </c>
      <c r="AQ509" s="50">
        <f t="shared" si="47"/>
        <v>2025</v>
      </c>
      <c r="AR509" s="50" t="str">
        <f t="shared" si="48"/>
        <v>Apr-2025</v>
      </c>
      <c r="AS509" s="52">
        <f t="shared" si="49"/>
        <v>45748</v>
      </c>
      <c r="AT509" s="44">
        <f t="shared" ca="1" si="50"/>
        <v>530</v>
      </c>
      <c r="AU509" s="40" t="str">
        <f>LEFT(Sheet1!AE508,3)</f>
        <v>Pri</v>
      </c>
      <c r="AV509" s="40" t="str">
        <f>RIGHT(Sheet1!AF508,2)</f>
        <v>ar</v>
      </c>
      <c r="AW509" s="40" t="str">
        <f>MID(Sheet1!AE508,2,3)</f>
        <v>riy</v>
      </c>
      <c r="AX509" s="42">
        <f>LEN(Sheet1!AE508)</f>
        <v>5</v>
      </c>
      <c r="AY509" s="40" t="str">
        <f>UPPER(Sheet1!AE508)</f>
        <v>PRIYA</v>
      </c>
      <c r="AZ509" s="40" t="str">
        <f>LOWER(Sheet1!AE508)</f>
        <v>priya</v>
      </c>
      <c r="BA509" s="40" t="str">
        <f>PROPER(Sheet1!AE508)</f>
        <v>Priya</v>
      </c>
      <c r="BB509" s="40" t="str">
        <f>_xlfn.CONCAT(Sheet1!AE508," ",Sheet1!AF508)</f>
        <v>Priya Kumar</v>
      </c>
    </row>
    <row r="510" spans="40:54">
      <c r="AN510" s="50" t="str">
        <f>Sheet1!B509</f>
        <v>16-05-2024</v>
      </c>
      <c r="AO510" s="50">
        <f t="shared" si="45"/>
        <v>3</v>
      </c>
      <c r="AP510" s="50">
        <f t="shared" si="46"/>
        <v>5</v>
      </c>
      <c r="AQ510" s="50">
        <f t="shared" si="47"/>
        <v>2024</v>
      </c>
      <c r="AR510" s="50" t="str">
        <f t="shared" si="48"/>
        <v>May-2024</v>
      </c>
      <c r="AS510" s="52">
        <f t="shared" si="49"/>
        <v>45415</v>
      </c>
      <c r="AT510" s="44">
        <f t="shared" ca="1" si="50"/>
        <v>863</v>
      </c>
      <c r="AU510" s="40" t="str">
        <f>LEFT(Sheet1!AE509,3)</f>
        <v>Kar</v>
      </c>
      <c r="AV510" s="40" t="str">
        <f>RIGHT(Sheet1!AF509,2)</f>
        <v>ra</v>
      </c>
      <c r="AW510" s="40" t="str">
        <f>MID(Sheet1!AE509,2,3)</f>
        <v>ara</v>
      </c>
      <c r="AX510" s="42">
        <f>LEN(Sheet1!AE509)</f>
        <v>5</v>
      </c>
      <c r="AY510" s="40" t="str">
        <f>UPPER(Sheet1!AE509)</f>
        <v>KARAN</v>
      </c>
      <c r="AZ510" s="40" t="str">
        <f>LOWER(Sheet1!AE509)</f>
        <v>karan</v>
      </c>
      <c r="BA510" s="40" t="str">
        <f>PROPER(Sheet1!AE509)</f>
        <v>Karan</v>
      </c>
      <c r="BB510" s="40" t="str">
        <f>_xlfn.CONCAT(Sheet1!AE509," ",Sheet1!AF509)</f>
        <v>Karan Chopra</v>
      </c>
    </row>
    <row r="511" spans="40:54">
      <c r="AN511" s="50" t="str">
        <f>Sheet1!B510</f>
        <v>16-05-2024</v>
      </c>
      <c r="AO511" s="50">
        <f t="shared" si="45"/>
        <v>4</v>
      </c>
      <c r="AP511" s="50">
        <f t="shared" si="46"/>
        <v>5</v>
      </c>
      <c r="AQ511" s="50">
        <f t="shared" si="47"/>
        <v>2024</v>
      </c>
      <c r="AR511" s="50" t="str">
        <f t="shared" si="48"/>
        <v>May-2024</v>
      </c>
      <c r="AS511" s="52">
        <f t="shared" si="49"/>
        <v>45416</v>
      </c>
      <c r="AT511" s="44">
        <f t="shared" ca="1" si="50"/>
        <v>862</v>
      </c>
      <c r="AU511" s="40" t="str">
        <f>LEFT(Sheet1!AE510,3)</f>
        <v>Ish</v>
      </c>
      <c r="AV511" s="40" t="str">
        <f>RIGHT(Sheet1!AF510,2)</f>
        <v>av</v>
      </c>
      <c r="AW511" s="40" t="str">
        <f>MID(Sheet1!AE510,2,3)</f>
        <v>shi</v>
      </c>
      <c r="AX511" s="42">
        <f>LEN(Sheet1!AE510)</f>
        <v>6</v>
      </c>
      <c r="AY511" s="40" t="str">
        <f>UPPER(Sheet1!AE510)</f>
        <v>ISHITA</v>
      </c>
      <c r="AZ511" s="40" t="str">
        <f>LOWER(Sheet1!AE510)</f>
        <v>ishita</v>
      </c>
      <c r="BA511" s="40" t="str">
        <f>PROPER(Sheet1!AE510)</f>
        <v>Ishita</v>
      </c>
      <c r="BB511" s="40" t="str">
        <f>_xlfn.CONCAT(Sheet1!AE510," ",Sheet1!AF510)</f>
        <v>Ishita Yadav</v>
      </c>
    </row>
    <row r="512" spans="40:54">
      <c r="AN512" s="50" t="str">
        <f>Sheet1!B511</f>
        <v>16-05-2025</v>
      </c>
      <c r="AO512" s="50">
        <f t="shared" si="45"/>
        <v>4</v>
      </c>
      <c r="AP512" s="50">
        <f t="shared" si="46"/>
        <v>5</v>
      </c>
      <c r="AQ512" s="50">
        <f t="shared" si="47"/>
        <v>2025</v>
      </c>
      <c r="AR512" s="50" t="str">
        <f t="shared" si="48"/>
        <v>May-2025</v>
      </c>
      <c r="AS512" s="52">
        <f t="shared" si="49"/>
        <v>45781</v>
      </c>
      <c r="AT512" s="44">
        <f t="shared" ca="1" si="50"/>
        <v>497</v>
      </c>
      <c r="AU512" s="40" t="str">
        <f>LEFT(Sheet1!AE511,3)</f>
        <v>Pri</v>
      </c>
      <c r="AV512" s="40" t="str">
        <f>RIGHT(Sheet1!AF511,2)</f>
        <v>ma</v>
      </c>
      <c r="AW512" s="40" t="str">
        <f>MID(Sheet1!AE511,2,3)</f>
        <v>riy</v>
      </c>
      <c r="AX512" s="42">
        <f>LEN(Sheet1!AE511)</f>
        <v>5</v>
      </c>
      <c r="AY512" s="40" t="str">
        <f>UPPER(Sheet1!AE511)</f>
        <v>PRIYA</v>
      </c>
      <c r="AZ512" s="40" t="str">
        <f>LOWER(Sheet1!AE511)</f>
        <v>priya</v>
      </c>
      <c r="BA512" s="40" t="str">
        <f>PROPER(Sheet1!AE511)</f>
        <v>Priya</v>
      </c>
      <c r="BB512" s="40" t="str">
        <f>_xlfn.CONCAT(Sheet1!AE511," ",Sheet1!AF511)</f>
        <v>Priya Verma</v>
      </c>
    </row>
    <row r="513" spans="40:54">
      <c r="AN513" s="50" t="str">
        <f>Sheet1!B512</f>
        <v>16-05-2025</v>
      </c>
      <c r="AO513" s="50">
        <f t="shared" ref="AO513:AO576" si="51">IFERROR(DAY(AN388),VALUE(LEFT(AN388,2)))</f>
        <v>6</v>
      </c>
      <c r="AP513" s="50">
        <f t="shared" si="46"/>
        <v>5</v>
      </c>
      <c r="AQ513" s="50">
        <f t="shared" si="47"/>
        <v>2025</v>
      </c>
      <c r="AR513" s="50" t="str">
        <f t="shared" si="48"/>
        <v>May-2025</v>
      </c>
      <c r="AS513" s="52">
        <f t="shared" si="49"/>
        <v>45783</v>
      </c>
      <c r="AT513" s="44">
        <f t="shared" ca="1" si="50"/>
        <v>495</v>
      </c>
      <c r="AU513" s="40" t="str">
        <f>LEFT(Sheet1!AE512,3)</f>
        <v>Mee</v>
      </c>
      <c r="AV513" s="40" t="str">
        <f>RIGHT(Sheet1!AF512,2)</f>
        <v>ra</v>
      </c>
      <c r="AW513" s="40" t="str">
        <f>MID(Sheet1!AE512,2,3)</f>
        <v>eer</v>
      </c>
      <c r="AX513" s="42">
        <f>LEN(Sheet1!AE512)</f>
        <v>5</v>
      </c>
      <c r="AY513" s="40" t="str">
        <f>UPPER(Sheet1!AE512)</f>
        <v>MEERA</v>
      </c>
      <c r="AZ513" s="40" t="str">
        <f>LOWER(Sheet1!AE512)</f>
        <v>meera</v>
      </c>
      <c r="BA513" s="40" t="str">
        <f>PROPER(Sheet1!AE512)</f>
        <v>Meera</v>
      </c>
      <c r="BB513" s="40" t="str">
        <f>_xlfn.CONCAT(Sheet1!AE512," ",Sheet1!AF512)</f>
        <v>Meera Malhotra</v>
      </c>
    </row>
    <row r="514" spans="40:54">
      <c r="AN514" s="50" t="str">
        <f>Sheet1!B513</f>
        <v>16-05-2025</v>
      </c>
      <c r="AO514" s="50">
        <f t="shared" si="51"/>
        <v>8</v>
      </c>
      <c r="AP514" s="50">
        <f t="shared" si="46"/>
        <v>5</v>
      </c>
      <c r="AQ514" s="50">
        <f t="shared" si="47"/>
        <v>2025</v>
      </c>
      <c r="AR514" s="50" t="str">
        <f t="shared" si="48"/>
        <v>May-2025</v>
      </c>
      <c r="AS514" s="52">
        <f t="shared" si="49"/>
        <v>45785</v>
      </c>
      <c r="AT514" s="44">
        <f t="shared" ca="1" si="50"/>
        <v>493</v>
      </c>
      <c r="AU514" s="40" t="str">
        <f>LEFT(Sheet1!AE513,3)</f>
        <v>Mee</v>
      </c>
      <c r="AV514" s="40" t="str">
        <f>RIGHT(Sheet1!AF513,2)</f>
        <v>ra</v>
      </c>
      <c r="AW514" s="40" t="str">
        <f>MID(Sheet1!AE513,2,3)</f>
        <v>eer</v>
      </c>
      <c r="AX514" s="42">
        <f>LEN(Sheet1!AE513)</f>
        <v>5</v>
      </c>
      <c r="AY514" s="40" t="str">
        <f>UPPER(Sheet1!AE513)</f>
        <v>MEERA</v>
      </c>
      <c r="AZ514" s="40" t="str">
        <f>LOWER(Sheet1!AE513)</f>
        <v>meera</v>
      </c>
      <c r="BA514" s="40" t="str">
        <f>PROPER(Sheet1!AE513)</f>
        <v>Meera</v>
      </c>
      <c r="BB514" s="40" t="str">
        <f>_xlfn.CONCAT(Sheet1!AE513," ",Sheet1!AF513)</f>
        <v>Meera Malhotra</v>
      </c>
    </row>
    <row r="515" spans="40:54">
      <c r="AN515" s="50" t="str">
        <f>Sheet1!B514</f>
        <v>16-06-2024</v>
      </c>
      <c r="AO515" s="50">
        <f t="shared" si="51"/>
        <v>9</v>
      </c>
      <c r="AP515" s="50">
        <f t="shared" si="46"/>
        <v>6</v>
      </c>
      <c r="AQ515" s="50">
        <f t="shared" si="47"/>
        <v>2024</v>
      </c>
      <c r="AR515" s="50" t="str">
        <f t="shared" si="48"/>
        <v>Jun-2024</v>
      </c>
      <c r="AS515" s="52">
        <f t="shared" si="49"/>
        <v>45452</v>
      </c>
      <c r="AT515" s="44">
        <f t="shared" ca="1" si="50"/>
        <v>826</v>
      </c>
      <c r="AU515" s="40" t="str">
        <f>LEFT(Sheet1!AE514,3)</f>
        <v>Ish</v>
      </c>
      <c r="AV515" s="40" t="str">
        <f>RIGHT(Sheet1!AF514,2)</f>
        <v>ta</v>
      </c>
      <c r="AW515" s="40" t="str">
        <f>MID(Sheet1!AE514,2,3)</f>
        <v>shi</v>
      </c>
      <c r="AX515" s="42">
        <f>LEN(Sheet1!AE514)</f>
        <v>6</v>
      </c>
      <c r="AY515" s="40" t="str">
        <f>UPPER(Sheet1!AE514)</f>
        <v>ISHITA</v>
      </c>
      <c r="AZ515" s="40" t="str">
        <f>LOWER(Sheet1!AE514)</f>
        <v>ishita</v>
      </c>
      <c r="BA515" s="40" t="str">
        <f>PROPER(Sheet1!AE514)</f>
        <v>Ishita</v>
      </c>
      <c r="BB515" s="40" t="str">
        <f>_xlfn.CONCAT(Sheet1!AE514," ",Sheet1!AF514)</f>
        <v>Ishita Gupta</v>
      </c>
    </row>
    <row r="516" spans="40:54">
      <c r="AN516" s="50" t="str">
        <f>Sheet1!B515</f>
        <v>16-06-2024</v>
      </c>
      <c r="AO516" s="50">
        <f t="shared" si="51"/>
        <v>10</v>
      </c>
      <c r="AP516" s="50">
        <f t="shared" ref="AP516:AP579" si="52">IFERROR(MONTH(AN516),VALUE(MID(AN516,4,2)))</f>
        <v>6</v>
      </c>
      <c r="AQ516" s="50">
        <f t="shared" ref="AQ516:AQ579" si="53">IFERROR(YEAR(AN516),VALUE(RIGHT(AN516,4)))</f>
        <v>2024</v>
      </c>
      <c r="AR516" s="50" t="str">
        <f t="shared" ref="AR516:AR579" si="54">IF(ISNUMBER(AN516),TEXT(AN516,"mmm-yyyy"),TEXT(DATE(VALUE(RIGHT(AN516,4)),VALUE(MID(AN516,4,2)),VALUE(LEFT(AN516,2))),"mmm-yyyy"))</f>
        <v>Jun-2024</v>
      </c>
      <c r="AS516" s="52">
        <f t="shared" ref="AS516:AS579" si="55">DATE(AQ516,AP516,AO516)</f>
        <v>45453</v>
      </c>
      <c r="AT516" s="44">
        <f t="shared" ref="AT516:AT579" ca="1" si="56">TODAY()-AS516</f>
        <v>825</v>
      </c>
      <c r="AU516" s="40" t="str">
        <f>LEFT(Sheet1!AE515,3)</f>
        <v>Neh</v>
      </c>
      <c r="AV516" s="40" t="str">
        <f>RIGHT(Sheet1!AF515,2)</f>
        <v>ma</v>
      </c>
      <c r="AW516" s="40" t="str">
        <f>MID(Sheet1!AE515,2,3)</f>
        <v>eha</v>
      </c>
      <c r="AX516" s="42">
        <f>LEN(Sheet1!AE515)</f>
        <v>4</v>
      </c>
      <c r="AY516" s="40" t="str">
        <f>UPPER(Sheet1!AE515)</f>
        <v>NEHA</v>
      </c>
      <c r="AZ516" s="40" t="str">
        <f>LOWER(Sheet1!AE515)</f>
        <v>neha</v>
      </c>
      <c r="BA516" s="40" t="str">
        <f>PROPER(Sheet1!AE515)</f>
        <v>Neha</v>
      </c>
      <c r="BB516" s="40" t="str">
        <f>_xlfn.CONCAT(Sheet1!AE515," ",Sheet1!AF515)</f>
        <v>Neha Verma</v>
      </c>
    </row>
    <row r="517" spans="40:54">
      <c r="AN517" s="50" t="str">
        <f>Sheet1!B516</f>
        <v>16-06-2024</v>
      </c>
      <c r="AO517" s="50">
        <f t="shared" si="51"/>
        <v>11</v>
      </c>
      <c r="AP517" s="50">
        <f t="shared" si="52"/>
        <v>6</v>
      </c>
      <c r="AQ517" s="50">
        <f t="shared" si="53"/>
        <v>2024</v>
      </c>
      <c r="AR517" s="50" t="str">
        <f t="shared" si="54"/>
        <v>Jun-2024</v>
      </c>
      <c r="AS517" s="52">
        <f t="shared" si="55"/>
        <v>45454</v>
      </c>
      <c r="AT517" s="44">
        <f t="shared" ca="1" si="56"/>
        <v>824</v>
      </c>
      <c r="AU517" s="40" t="str">
        <f>LEFT(Sheet1!AE516,3)</f>
        <v>Vik</v>
      </c>
      <c r="AV517" s="40" t="str">
        <f>RIGHT(Sheet1!AF516,2)</f>
        <v>ra</v>
      </c>
      <c r="AW517" s="40" t="str">
        <f>MID(Sheet1!AE516,2,3)</f>
        <v>ikr</v>
      </c>
      <c r="AX517" s="42">
        <f>LEN(Sheet1!AE516)</f>
        <v>6</v>
      </c>
      <c r="AY517" s="40" t="str">
        <f>UPPER(Sheet1!AE516)</f>
        <v>VIKRAM</v>
      </c>
      <c r="AZ517" s="40" t="str">
        <f>LOWER(Sheet1!AE516)</f>
        <v>vikram</v>
      </c>
      <c r="BA517" s="40" t="str">
        <f>PROPER(Sheet1!AE516)</f>
        <v>Vikram</v>
      </c>
      <c r="BB517" s="40" t="str">
        <f>_xlfn.CONCAT(Sheet1!AE516," ",Sheet1!AF516)</f>
        <v>Vikram Chopra</v>
      </c>
    </row>
    <row r="518" spans="40:54">
      <c r="AN518" s="50" t="str">
        <f>Sheet1!B517</f>
        <v>16-07-2024</v>
      </c>
      <c r="AO518" s="50">
        <f t="shared" si="51"/>
        <v>13</v>
      </c>
      <c r="AP518" s="50">
        <f t="shared" si="52"/>
        <v>7</v>
      </c>
      <c r="AQ518" s="50">
        <f t="shared" si="53"/>
        <v>2024</v>
      </c>
      <c r="AR518" s="50" t="str">
        <f t="shared" si="54"/>
        <v>Jul-2024</v>
      </c>
      <c r="AS518" s="52">
        <f t="shared" si="55"/>
        <v>45486</v>
      </c>
      <c r="AT518" s="44">
        <f t="shared" ca="1" si="56"/>
        <v>792</v>
      </c>
      <c r="AU518" s="40" t="str">
        <f>LEFT(Sheet1!AE517,3)</f>
        <v>Ish</v>
      </c>
      <c r="AV518" s="40" t="str">
        <f>RIGHT(Sheet1!AF517,2)</f>
        <v>ta</v>
      </c>
      <c r="AW518" s="40" t="str">
        <f>MID(Sheet1!AE517,2,3)</f>
        <v>shi</v>
      </c>
      <c r="AX518" s="42">
        <f>LEN(Sheet1!AE517)</f>
        <v>6</v>
      </c>
      <c r="AY518" s="40" t="str">
        <f>UPPER(Sheet1!AE517)</f>
        <v>ISHITA</v>
      </c>
      <c r="AZ518" s="40" t="str">
        <f>LOWER(Sheet1!AE517)</f>
        <v>ishita</v>
      </c>
      <c r="BA518" s="40" t="str">
        <f>PROPER(Sheet1!AE517)</f>
        <v>Ishita</v>
      </c>
      <c r="BB518" s="40" t="str">
        <f>_xlfn.CONCAT(Sheet1!AE517," ",Sheet1!AF517)</f>
        <v>Ishita Gupta</v>
      </c>
    </row>
    <row r="519" spans="40:54">
      <c r="AN519" s="50" t="str">
        <f>Sheet1!B518</f>
        <v>16-07-2024</v>
      </c>
      <c r="AO519" s="50">
        <f t="shared" si="51"/>
        <v>13</v>
      </c>
      <c r="AP519" s="50">
        <f t="shared" si="52"/>
        <v>7</v>
      </c>
      <c r="AQ519" s="50">
        <f t="shared" si="53"/>
        <v>2024</v>
      </c>
      <c r="AR519" s="50" t="str">
        <f t="shared" si="54"/>
        <v>Jul-2024</v>
      </c>
      <c r="AS519" s="52">
        <f t="shared" si="55"/>
        <v>45486</v>
      </c>
      <c r="AT519" s="44">
        <f t="shared" ca="1" si="56"/>
        <v>792</v>
      </c>
      <c r="AU519" s="40" t="str">
        <f>LEFT(Sheet1!AE518,3)</f>
        <v>Ish</v>
      </c>
      <c r="AV519" s="40" t="str">
        <f>RIGHT(Sheet1!AF518,2)</f>
        <v>ta</v>
      </c>
      <c r="AW519" s="40" t="str">
        <f>MID(Sheet1!AE518,2,3)</f>
        <v>shi</v>
      </c>
      <c r="AX519" s="42">
        <f>LEN(Sheet1!AE518)</f>
        <v>6</v>
      </c>
      <c r="AY519" s="40" t="str">
        <f>UPPER(Sheet1!AE518)</f>
        <v>ISHITA</v>
      </c>
      <c r="AZ519" s="40" t="str">
        <f>LOWER(Sheet1!AE518)</f>
        <v>ishita</v>
      </c>
      <c r="BA519" s="40" t="str">
        <f>PROPER(Sheet1!AE518)</f>
        <v>Ishita</v>
      </c>
      <c r="BB519" s="40" t="str">
        <f>_xlfn.CONCAT(Sheet1!AE518," ",Sheet1!AF518)</f>
        <v>Ishita Mehta</v>
      </c>
    </row>
    <row r="520" spans="40:54">
      <c r="AN520" s="50" t="str">
        <f>Sheet1!B519</f>
        <v>16-07-2025</v>
      </c>
      <c r="AO520" s="50">
        <f t="shared" si="51"/>
        <v>13</v>
      </c>
      <c r="AP520" s="50">
        <f t="shared" si="52"/>
        <v>7</v>
      </c>
      <c r="AQ520" s="50">
        <f t="shared" si="53"/>
        <v>2025</v>
      </c>
      <c r="AR520" s="50" t="str">
        <f t="shared" si="54"/>
        <v>Jul-2025</v>
      </c>
      <c r="AS520" s="52">
        <f t="shared" si="55"/>
        <v>45851</v>
      </c>
      <c r="AT520" s="44">
        <f t="shared" ca="1" si="56"/>
        <v>427</v>
      </c>
      <c r="AU520" s="40" t="str">
        <f>LEFT(Sheet1!AE519,3)</f>
        <v>Adi</v>
      </c>
      <c r="AV520" s="40" t="str">
        <f>RIGHT(Sheet1!AF519,2)</f>
        <v>ra</v>
      </c>
      <c r="AW520" s="40" t="str">
        <f>MID(Sheet1!AE519,2,3)</f>
        <v>dit</v>
      </c>
      <c r="AX520" s="42">
        <f>LEN(Sheet1!AE519)</f>
        <v>5</v>
      </c>
      <c r="AY520" s="40" t="str">
        <f>UPPER(Sheet1!AE519)</f>
        <v>ADITI</v>
      </c>
      <c r="AZ520" s="40" t="str">
        <f>LOWER(Sheet1!AE519)</f>
        <v>aditi</v>
      </c>
      <c r="BA520" s="40" t="str">
        <f>PROPER(Sheet1!AE519)</f>
        <v>Aditi</v>
      </c>
      <c r="BB520" s="40" t="str">
        <f>_xlfn.CONCAT(Sheet1!AE519," ",Sheet1!AF519)</f>
        <v>Aditi Mishra</v>
      </c>
    </row>
    <row r="521" spans="40:54">
      <c r="AN521" s="50" t="str">
        <f>Sheet1!B520</f>
        <v>16-08-2024</v>
      </c>
      <c r="AO521" s="50">
        <f t="shared" si="51"/>
        <v>13</v>
      </c>
      <c r="AP521" s="50">
        <f t="shared" si="52"/>
        <v>8</v>
      </c>
      <c r="AQ521" s="50">
        <f t="shared" si="53"/>
        <v>2024</v>
      </c>
      <c r="AR521" s="50" t="str">
        <f t="shared" si="54"/>
        <v>Aug-2024</v>
      </c>
      <c r="AS521" s="52">
        <f t="shared" si="55"/>
        <v>45517</v>
      </c>
      <c r="AT521" s="44">
        <f t="shared" ca="1" si="56"/>
        <v>761</v>
      </c>
      <c r="AU521" s="40" t="str">
        <f>LEFT(Sheet1!AE520,3)</f>
        <v>Adi</v>
      </c>
      <c r="AV521" s="40" t="str">
        <f>RIGHT(Sheet1!AF520,2)</f>
        <v>ta</v>
      </c>
      <c r="AW521" s="40" t="str">
        <f>MID(Sheet1!AE520,2,3)</f>
        <v>dit</v>
      </c>
      <c r="AX521" s="42">
        <f>LEN(Sheet1!AE520)</f>
        <v>5</v>
      </c>
      <c r="AY521" s="40" t="str">
        <f>UPPER(Sheet1!AE520)</f>
        <v>ADITI</v>
      </c>
      <c r="AZ521" s="40" t="str">
        <f>LOWER(Sheet1!AE520)</f>
        <v>aditi</v>
      </c>
      <c r="BA521" s="40" t="str">
        <f>PROPER(Sheet1!AE520)</f>
        <v>Aditi</v>
      </c>
      <c r="BB521" s="40" t="str">
        <f>_xlfn.CONCAT(Sheet1!AE520," ",Sheet1!AF520)</f>
        <v>Aditi Mehta</v>
      </c>
    </row>
    <row r="522" spans="40:54">
      <c r="AN522" s="50" t="str">
        <f>Sheet1!B521</f>
        <v>16-08-2025</v>
      </c>
      <c r="AO522" s="50">
        <f t="shared" si="51"/>
        <v>13</v>
      </c>
      <c r="AP522" s="50">
        <f t="shared" si="52"/>
        <v>8</v>
      </c>
      <c r="AQ522" s="50">
        <f t="shared" si="53"/>
        <v>2025</v>
      </c>
      <c r="AR522" s="50" t="str">
        <f t="shared" si="54"/>
        <v>Aug-2025</v>
      </c>
      <c r="AS522" s="52">
        <f t="shared" si="55"/>
        <v>45882</v>
      </c>
      <c r="AT522" s="44">
        <f t="shared" ca="1" si="56"/>
        <v>396</v>
      </c>
      <c r="AU522" s="40" t="str">
        <f>LEFT(Sheet1!AE521,3)</f>
        <v>Neh</v>
      </c>
      <c r="AV522" s="40" t="str">
        <f>RIGHT(Sheet1!AF521,2)</f>
        <v>ra</v>
      </c>
      <c r="AW522" s="40" t="str">
        <f>MID(Sheet1!AE521,2,3)</f>
        <v>eha</v>
      </c>
      <c r="AX522" s="42">
        <f>LEN(Sheet1!AE521)</f>
        <v>4</v>
      </c>
      <c r="AY522" s="40" t="str">
        <f>UPPER(Sheet1!AE521)</f>
        <v>NEHA</v>
      </c>
      <c r="AZ522" s="40" t="str">
        <f>LOWER(Sheet1!AE521)</f>
        <v>neha</v>
      </c>
      <c r="BA522" s="40" t="str">
        <f>PROPER(Sheet1!AE521)</f>
        <v>Neha</v>
      </c>
      <c r="BB522" s="40" t="str">
        <f>_xlfn.CONCAT(Sheet1!AE521," ",Sheet1!AF521)</f>
        <v>Neha Chopra</v>
      </c>
    </row>
    <row r="523" spans="40:54">
      <c r="AN523" s="50" t="str">
        <f>Sheet1!B522</f>
        <v>16-08-2025</v>
      </c>
      <c r="AO523" s="50">
        <f t="shared" si="51"/>
        <v>13</v>
      </c>
      <c r="AP523" s="50">
        <f t="shared" si="52"/>
        <v>8</v>
      </c>
      <c r="AQ523" s="50">
        <f t="shared" si="53"/>
        <v>2025</v>
      </c>
      <c r="AR523" s="50" t="str">
        <f t="shared" si="54"/>
        <v>Aug-2025</v>
      </c>
      <c r="AS523" s="52">
        <f t="shared" si="55"/>
        <v>45882</v>
      </c>
      <c r="AT523" s="44">
        <f t="shared" ca="1" si="56"/>
        <v>396</v>
      </c>
      <c r="AU523" s="40" t="str">
        <f>LEFT(Sheet1!AE522,3)</f>
        <v>Kav</v>
      </c>
      <c r="AV523" s="40" t="str">
        <f>RIGHT(Sheet1!AF522,2)</f>
        <v>ra</v>
      </c>
      <c r="AW523" s="40" t="str">
        <f>MID(Sheet1!AE522,2,3)</f>
        <v>avy</v>
      </c>
      <c r="AX523" s="42">
        <f>LEN(Sheet1!AE522)</f>
        <v>5</v>
      </c>
      <c r="AY523" s="40" t="str">
        <f>UPPER(Sheet1!AE522)</f>
        <v>KAVYA</v>
      </c>
      <c r="AZ523" s="40" t="str">
        <f>LOWER(Sheet1!AE522)</f>
        <v>kavya</v>
      </c>
      <c r="BA523" s="40" t="str">
        <f>PROPER(Sheet1!AE522)</f>
        <v>Kavya</v>
      </c>
      <c r="BB523" s="40" t="str">
        <f>_xlfn.CONCAT(Sheet1!AE522," ",Sheet1!AF522)</f>
        <v>Kavya Mishra</v>
      </c>
    </row>
    <row r="524" spans="40:54">
      <c r="AN524" s="50" t="str">
        <f>Sheet1!B523</f>
        <v>16-08-2025</v>
      </c>
      <c r="AO524" s="50">
        <f t="shared" si="51"/>
        <v>13</v>
      </c>
      <c r="AP524" s="50">
        <f t="shared" si="52"/>
        <v>8</v>
      </c>
      <c r="AQ524" s="50">
        <f t="shared" si="53"/>
        <v>2025</v>
      </c>
      <c r="AR524" s="50" t="str">
        <f t="shared" si="54"/>
        <v>Aug-2025</v>
      </c>
      <c r="AS524" s="52">
        <f t="shared" si="55"/>
        <v>45882</v>
      </c>
      <c r="AT524" s="44">
        <f t="shared" ca="1" si="56"/>
        <v>396</v>
      </c>
      <c r="AU524" s="40" t="str">
        <f>LEFT(Sheet1!AE523,3)</f>
        <v>Neh</v>
      </c>
      <c r="AV524" s="40" t="str">
        <f>RIGHT(Sheet1!AF523,2)</f>
        <v>al</v>
      </c>
      <c r="AW524" s="40" t="str">
        <f>MID(Sheet1!AE523,2,3)</f>
        <v>eha</v>
      </c>
      <c r="AX524" s="42">
        <f>LEN(Sheet1!AE523)</f>
        <v>4</v>
      </c>
      <c r="AY524" s="40" t="str">
        <f>UPPER(Sheet1!AE523)</f>
        <v>NEHA</v>
      </c>
      <c r="AZ524" s="40" t="str">
        <f>LOWER(Sheet1!AE523)</f>
        <v>neha</v>
      </c>
      <c r="BA524" s="40" t="str">
        <f>PROPER(Sheet1!AE523)</f>
        <v>Neha</v>
      </c>
      <c r="BB524" s="40" t="str">
        <f>_xlfn.CONCAT(Sheet1!AE523," ",Sheet1!AF523)</f>
        <v>Neha Agarwal</v>
      </c>
    </row>
    <row r="525" spans="40:54">
      <c r="AN525" s="50" t="str">
        <f>Sheet1!B524</f>
        <v>16-08-2025</v>
      </c>
      <c r="AO525" s="50">
        <f t="shared" si="51"/>
        <v>13</v>
      </c>
      <c r="AP525" s="50">
        <f t="shared" si="52"/>
        <v>8</v>
      </c>
      <c r="AQ525" s="50">
        <f t="shared" si="53"/>
        <v>2025</v>
      </c>
      <c r="AR525" s="50" t="str">
        <f t="shared" si="54"/>
        <v>Aug-2025</v>
      </c>
      <c r="AS525" s="52">
        <f t="shared" si="55"/>
        <v>45882</v>
      </c>
      <c r="AT525" s="44">
        <f t="shared" ca="1" si="56"/>
        <v>396</v>
      </c>
      <c r="AU525" s="40" t="str">
        <f>LEFT(Sheet1!AE524,3)</f>
        <v>Sim</v>
      </c>
      <c r="AV525" s="40" t="str">
        <f>RIGHT(Sheet1!AF524,2)</f>
        <v>ma</v>
      </c>
      <c r="AW525" s="40" t="str">
        <f>MID(Sheet1!AE524,2,3)</f>
        <v>imr</v>
      </c>
      <c r="AX525" s="42">
        <f>LEN(Sheet1!AE524)</f>
        <v>6</v>
      </c>
      <c r="AY525" s="40" t="str">
        <f>UPPER(Sheet1!AE524)</f>
        <v>SIMRAN</v>
      </c>
      <c r="AZ525" s="40" t="str">
        <f>LOWER(Sheet1!AE524)</f>
        <v>simran</v>
      </c>
      <c r="BA525" s="40" t="str">
        <f>PROPER(Sheet1!AE524)</f>
        <v>Simran</v>
      </c>
      <c r="BB525" s="40" t="str">
        <f>_xlfn.CONCAT(Sheet1!AE524," ",Sheet1!AF524)</f>
        <v>Simran Sharma</v>
      </c>
    </row>
    <row r="526" spans="40:54">
      <c r="AN526" s="50" t="str">
        <f>Sheet1!B525</f>
        <v>16-09-2024</v>
      </c>
      <c r="AO526" s="50">
        <f t="shared" si="51"/>
        <v>13</v>
      </c>
      <c r="AP526" s="50">
        <f t="shared" si="52"/>
        <v>9</v>
      </c>
      <c r="AQ526" s="50">
        <f t="shared" si="53"/>
        <v>2024</v>
      </c>
      <c r="AR526" s="50" t="str">
        <f t="shared" si="54"/>
        <v>Sep-2024</v>
      </c>
      <c r="AS526" s="52">
        <f t="shared" si="55"/>
        <v>45548</v>
      </c>
      <c r="AT526" s="44">
        <f t="shared" ca="1" si="56"/>
        <v>730</v>
      </c>
      <c r="AU526" s="40" t="str">
        <f>LEFT(Sheet1!AE525,3)</f>
        <v>Sne</v>
      </c>
      <c r="AV526" s="40" t="str">
        <f>RIGHT(Sheet1!AF525,2)</f>
        <v>ta</v>
      </c>
      <c r="AW526" s="40" t="str">
        <f>MID(Sheet1!AE525,2,3)</f>
        <v>neh</v>
      </c>
      <c r="AX526" s="42">
        <f>LEN(Sheet1!AE525)</f>
        <v>5</v>
      </c>
      <c r="AY526" s="40" t="str">
        <f>UPPER(Sheet1!AE525)</f>
        <v>SNEHA</v>
      </c>
      <c r="AZ526" s="40" t="str">
        <f>LOWER(Sheet1!AE525)</f>
        <v>sneha</v>
      </c>
      <c r="BA526" s="40" t="str">
        <f>PROPER(Sheet1!AE525)</f>
        <v>Sneha</v>
      </c>
      <c r="BB526" s="40" t="str">
        <f>_xlfn.CONCAT(Sheet1!AE525," ",Sheet1!AF525)</f>
        <v>Sneha Gupta</v>
      </c>
    </row>
    <row r="527" spans="40:54">
      <c r="AN527" s="50" t="str">
        <f>Sheet1!B526</f>
        <v>16-09-2025</v>
      </c>
      <c r="AO527" s="50">
        <f t="shared" si="51"/>
        <v>13</v>
      </c>
      <c r="AP527" s="50">
        <f t="shared" si="52"/>
        <v>9</v>
      </c>
      <c r="AQ527" s="50">
        <f t="shared" si="53"/>
        <v>2025</v>
      </c>
      <c r="AR527" s="50" t="str">
        <f t="shared" si="54"/>
        <v>Sep-2025</v>
      </c>
      <c r="AS527" s="52">
        <f t="shared" si="55"/>
        <v>45913</v>
      </c>
      <c r="AT527" s="44">
        <f t="shared" ca="1" si="56"/>
        <v>365</v>
      </c>
      <c r="AU527" s="40" t="str">
        <f>LEFT(Sheet1!AE526,3)</f>
        <v>Arj</v>
      </c>
      <c r="AV527" s="40" t="str">
        <f>RIGHT(Sheet1!AF526,2)</f>
        <v>ma</v>
      </c>
      <c r="AW527" s="40" t="str">
        <f>MID(Sheet1!AE526,2,3)</f>
        <v>rju</v>
      </c>
      <c r="AX527" s="42">
        <f>LEN(Sheet1!AE526)</f>
        <v>5</v>
      </c>
      <c r="AY527" s="40" t="str">
        <f>UPPER(Sheet1!AE526)</f>
        <v>ARJUN</v>
      </c>
      <c r="AZ527" s="40" t="str">
        <f>LOWER(Sheet1!AE526)</f>
        <v>arjun</v>
      </c>
      <c r="BA527" s="40" t="str">
        <f>PROPER(Sheet1!AE526)</f>
        <v>Arjun</v>
      </c>
      <c r="BB527" s="40" t="str">
        <f>_xlfn.CONCAT(Sheet1!AE526," ",Sheet1!AF526)</f>
        <v>Arjun Sharma</v>
      </c>
    </row>
    <row r="528" spans="40:54">
      <c r="AN528" s="50" t="str">
        <f>Sheet1!B527</f>
        <v>16-10-2024</v>
      </c>
      <c r="AO528" s="50">
        <f t="shared" si="51"/>
        <v>13</v>
      </c>
      <c r="AP528" s="50">
        <f t="shared" si="52"/>
        <v>10</v>
      </c>
      <c r="AQ528" s="50">
        <f t="shared" si="53"/>
        <v>2024</v>
      </c>
      <c r="AR528" s="50" t="str">
        <f t="shared" si="54"/>
        <v>Oct-2024</v>
      </c>
      <c r="AS528" s="52">
        <f t="shared" si="55"/>
        <v>45578</v>
      </c>
      <c r="AT528" s="44">
        <f t="shared" ca="1" si="56"/>
        <v>700</v>
      </c>
      <c r="AU528" s="40" t="str">
        <f>LEFT(Sheet1!AE527,3)</f>
        <v>Kar</v>
      </c>
      <c r="AV528" s="40" t="str">
        <f>RIGHT(Sheet1!AF527,2)</f>
        <v>ar</v>
      </c>
      <c r="AW528" s="40" t="str">
        <f>MID(Sheet1!AE527,2,3)</f>
        <v>ara</v>
      </c>
      <c r="AX528" s="42">
        <f>LEN(Sheet1!AE527)</f>
        <v>5</v>
      </c>
      <c r="AY528" s="40" t="str">
        <f>UPPER(Sheet1!AE527)</f>
        <v>KARAN</v>
      </c>
      <c r="AZ528" s="40" t="str">
        <f>LOWER(Sheet1!AE527)</f>
        <v>karan</v>
      </c>
      <c r="BA528" s="40" t="str">
        <f>PROPER(Sheet1!AE527)</f>
        <v>Karan</v>
      </c>
      <c r="BB528" s="40" t="str">
        <f>_xlfn.CONCAT(Sheet1!AE527," ",Sheet1!AF527)</f>
        <v>Karan Kumar</v>
      </c>
    </row>
    <row r="529" spans="40:54">
      <c r="AN529" s="50" t="str">
        <f>Sheet1!B528</f>
        <v>16-10-2024</v>
      </c>
      <c r="AO529" s="50">
        <f t="shared" si="51"/>
        <v>13</v>
      </c>
      <c r="AP529" s="50">
        <f t="shared" si="52"/>
        <v>10</v>
      </c>
      <c r="AQ529" s="50">
        <f t="shared" si="53"/>
        <v>2024</v>
      </c>
      <c r="AR529" s="50" t="str">
        <f t="shared" si="54"/>
        <v>Oct-2024</v>
      </c>
      <c r="AS529" s="52">
        <f t="shared" si="55"/>
        <v>45578</v>
      </c>
      <c r="AT529" s="44">
        <f t="shared" ca="1" si="56"/>
        <v>700</v>
      </c>
      <c r="AU529" s="40" t="str">
        <f>LEFT(Sheet1!AE528,3)</f>
        <v>Kav</v>
      </c>
      <c r="AV529" s="40" t="str">
        <f>RIGHT(Sheet1!AF528,2)</f>
        <v>ra</v>
      </c>
      <c r="AW529" s="40" t="str">
        <f>MID(Sheet1!AE528,2,3)</f>
        <v>avy</v>
      </c>
      <c r="AX529" s="42">
        <f>LEN(Sheet1!AE528)</f>
        <v>5</v>
      </c>
      <c r="AY529" s="40" t="str">
        <f>UPPER(Sheet1!AE528)</f>
        <v>KAVYA</v>
      </c>
      <c r="AZ529" s="40" t="str">
        <f>LOWER(Sheet1!AE528)</f>
        <v>kavya</v>
      </c>
      <c r="BA529" s="40" t="str">
        <f>PROPER(Sheet1!AE528)</f>
        <v>Kavya</v>
      </c>
      <c r="BB529" s="40" t="str">
        <f>_xlfn.CONCAT(Sheet1!AE528," ",Sheet1!AF528)</f>
        <v>Kavya Chopra</v>
      </c>
    </row>
    <row r="530" spans="40:54">
      <c r="AN530" s="50" t="str">
        <f>Sheet1!B529</f>
        <v>16-10-2024</v>
      </c>
      <c r="AO530" s="50">
        <f t="shared" si="51"/>
        <v>13</v>
      </c>
      <c r="AP530" s="50">
        <f t="shared" si="52"/>
        <v>10</v>
      </c>
      <c r="AQ530" s="50">
        <f t="shared" si="53"/>
        <v>2024</v>
      </c>
      <c r="AR530" s="50" t="str">
        <f t="shared" si="54"/>
        <v>Oct-2024</v>
      </c>
      <c r="AS530" s="52">
        <f t="shared" si="55"/>
        <v>45578</v>
      </c>
      <c r="AT530" s="44">
        <f t="shared" ca="1" si="56"/>
        <v>700</v>
      </c>
      <c r="AU530" s="40" t="str">
        <f>LEFT(Sheet1!AE529,3)</f>
        <v>Neh</v>
      </c>
      <c r="AV530" s="40" t="str">
        <f>RIGHT(Sheet1!AF529,2)</f>
        <v>ta</v>
      </c>
      <c r="AW530" s="40" t="str">
        <f>MID(Sheet1!AE529,2,3)</f>
        <v>eha</v>
      </c>
      <c r="AX530" s="42">
        <f>LEN(Sheet1!AE529)</f>
        <v>4</v>
      </c>
      <c r="AY530" s="40" t="str">
        <f>UPPER(Sheet1!AE529)</f>
        <v>NEHA</v>
      </c>
      <c r="AZ530" s="40" t="str">
        <f>LOWER(Sheet1!AE529)</f>
        <v>neha</v>
      </c>
      <c r="BA530" s="40" t="str">
        <f>PROPER(Sheet1!AE529)</f>
        <v>Neha</v>
      </c>
      <c r="BB530" s="40" t="str">
        <f>_xlfn.CONCAT(Sheet1!AE529," ",Sheet1!AF529)</f>
        <v>Neha Mehta</v>
      </c>
    </row>
    <row r="531" spans="40:54">
      <c r="AN531" s="50" t="str">
        <f>Sheet1!B530</f>
        <v>16-10-2025</v>
      </c>
      <c r="AO531" s="50">
        <f t="shared" si="51"/>
        <v>13</v>
      </c>
      <c r="AP531" s="50">
        <f t="shared" si="52"/>
        <v>10</v>
      </c>
      <c r="AQ531" s="50">
        <f t="shared" si="53"/>
        <v>2025</v>
      </c>
      <c r="AR531" s="50" t="str">
        <f t="shared" si="54"/>
        <v>Oct-2025</v>
      </c>
      <c r="AS531" s="52">
        <f t="shared" si="55"/>
        <v>45943</v>
      </c>
      <c r="AT531" s="44">
        <f t="shared" ca="1" si="56"/>
        <v>335</v>
      </c>
      <c r="AU531" s="40" t="str">
        <f>LEFT(Sheet1!AE530,3)</f>
        <v>Sim</v>
      </c>
      <c r="AV531" s="40" t="str">
        <f>RIGHT(Sheet1!AF530,2)</f>
        <v>or</v>
      </c>
      <c r="AW531" s="40" t="str">
        <f>MID(Sheet1!AE530,2,3)</f>
        <v>imr</v>
      </c>
      <c r="AX531" s="42">
        <f>LEN(Sheet1!AE530)</f>
        <v>6</v>
      </c>
      <c r="AY531" s="40" t="str">
        <f>UPPER(Sheet1!AE530)</f>
        <v>SIMRAN</v>
      </c>
      <c r="AZ531" s="40" t="str">
        <f>LOWER(Sheet1!AE530)</f>
        <v>simran</v>
      </c>
      <c r="BA531" s="40" t="str">
        <f>PROPER(Sheet1!AE530)</f>
        <v>Simran</v>
      </c>
      <c r="BB531" s="40" t="str">
        <f>_xlfn.CONCAT(Sheet1!AE530," ",Sheet1!AF530)</f>
        <v>Simran Kapoor</v>
      </c>
    </row>
    <row r="532" spans="40:54">
      <c r="AN532" s="50" t="str">
        <f>Sheet1!B531</f>
        <v>16-10-2025</v>
      </c>
      <c r="AO532" s="50">
        <f t="shared" si="51"/>
        <v>13</v>
      </c>
      <c r="AP532" s="50">
        <f t="shared" si="52"/>
        <v>10</v>
      </c>
      <c r="AQ532" s="50">
        <f t="shared" si="53"/>
        <v>2025</v>
      </c>
      <c r="AR532" s="50" t="str">
        <f t="shared" si="54"/>
        <v>Oct-2025</v>
      </c>
      <c r="AS532" s="52">
        <f t="shared" si="55"/>
        <v>45943</v>
      </c>
      <c r="AT532" s="44">
        <f t="shared" ca="1" si="56"/>
        <v>335</v>
      </c>
      <c r="AU532" s="40" t="str">
        <f>LEFT(Sheet1!AE531,3)</f>
        <v>Ish</v>
      </c>
      <c r="AV532" s="40" t="str">
        <f>RIGHT(Sheet1!AF531,2)</f>
        <v>av</v>
      </c>
      <c r="AW532" s="40" t="str">
        <f>MID(Sheet1!AE531,2,3)</f>
        <v>shi</v>
      </c>
      <c r="AX532" s="42">
        <f>LEN(Sheet1!AE531)</f>
        <v>6</v>
      </c>
      <c r="AY532" s="40" t="str">
        <f>UPPER(Sheet1!AE531)</f>
        <v>ISHITA</v>
      </c>
      <c r="AZ532" s="40" t="str">
        <f>LOWER(Sheet1!AE531)</f>
        <v>ishita</v>
      </c>
      <c r="BA532" s="40" t="str">
        <f>PROPER(Sheet1!AE531)</f>
        <v>Ishita</v>
      </c>
      <c r="BB532" s="40" t="str">
        <f>_xlfn.CONCAT(Sheet1!AE531," ",Sheet1!AF531)</f>
        <v>Ishita Yadav</v>
      </c>
    </row>
    <row r="533" spans="40:54">
      <c r="AN533" s="50" t="str">
        <f>Sheet1!B532</f>
        <v>16-11-2024</v>
      </c>
      <c r="AO533" s="50">
        <f t="shared" si="51"/>
        <v>13</v>
      </c>
      <c r="AP533" s="50">
        <f t="shared" si="52"/>
        <v>11</v>
      </c>
      <c r="AQ533" s="50">
        <f t="shared" si="53"/>
        <v>2024</v>
      </c>
      <c r="AR533" s="50" t="str">
        <f t="shared" si="54"/>
        <v>Nov-2024</v>
      </c>
      <c r="AS533" s="52">
        <f t="shared" si="55"/>
        <v>45609</v>
      </c>
      <c r="AT533" s="44">
        <f t="shared" ca="1" si="56"/>
        <v>669</v>
      </c>
      <c r="AU533" s="40" t="str">
        <f>LEFT(Sheet1!AE532,3)</f>
        <v>Riy</v>
      </c>
      <c r="AV533" s="40" t="str">
        <f>RIGHT(Sheet1!AF532,2)</f>
        <v>ra</v>
      </c>
      <c r="AW533" s="40" t="str">
        <f>MID(Sheet1!AE532,2,3)</f>
        <v>iya</v>
      </c>
      <c r="AX533" s="42">
        <f>LEN(Sheet1!AE532)</f>
        <v>4</v>
      </c>
      <c r="AY533" s="40" t="str">
        <f>UPPER(Sheet1!AE532)</f>
        <v>RIYA</v>
      </c>
      <c r="AZ533" s="40" t="str">
        <f>LOWER(Sheet1!AE532)</f>
        <v>riya</v>
      </c>
      <c r="BA533" s="40" t="str">
        <f>PROPER(Sheet1!AE532)</f>
        <v>Riya</v>
      </c>
      <c r="BB533" s="40" t="str">
        <f>_xlfn.CONCAT(Sheet1!AE532," ",Sheet1!AF532)</f>
        <v>Riya Malhotra</v>
      </c>
    </row>
    <row r="534" spans="40:54">
      <c r="AN534" s="50" t="str">
        <f>Sheet1!B533</f>
        <v>16-12-2024</v>
      </c>
      <c r="AO534" s="50">
        <f t="shared" si="51"/>
        <v>13</v>
      </c>
      <c r="AP534" s="50">
        <f t="shared" si="52"/>
        <v>12</v>
      </c>
      <c r="AQ534" s="50">
        <f t="shared" si="53"/>
        <v>2024</v>
      </c>
      <c r="AR534" s="50" t="str">
        <f t="shared" si="54"/>
        <v>Dec-2024</v>
      </c>
      <c r="AS534" s="52">
        <f t="shared" si="55"/>
        <v>45639</v>
      </c>
      <c r="AT534" s="44">
        <f t="shared" ca="1" si="56"/>
        <v>639</v>
      </c>
      <c r="AU534" s="40" t="str">
        <f>LEFT(Sheet1!AE533,3)</f>
        <v>Ana</v>
      </c>
      <c r="AV534" s="40" t="str">
        <f>RIGHT(Sheet1!AF533,2)</f>
        <v>ra</v>
      </c>
      <c r="AW534" s="40" t="str">
        <f>MID(Sheet1!AE533,2,3)</f>
        <v>nan</v>
      </c>
      <c r="AX534" s="42">
        <f>LEN(Sheet1!AE533)</f>
        <v>6</v>
      </c>
      <c r="AY534" s="40" t="str">
        <f>UPPER(Sheet1!AE533)</f>
        <v>ANANYA</v>
      </c>
      <c r="AZ534" s="40" t="str">
        <f>LOWER(Sheet1!AE533)</f>
        <v>ananya</v>
      </c>
      <c r="BA534" s="40" t="str">
        <f>PROPER(Sheet1!AE533)</f>
        <v>Ananya</v>
      </c>
      <c r="BB534" s="40" t="str">
        <f>_xlfn.CONCAT(Sheet1!AE533," ",Sheet1!AF533)</f>
        <v>Ananya Chopra</v>
      </c>
    </row>
    <row r="535" spans="40:54">
      <c r="AN535" s="50" t="str">
        <f>Sheet1!B534</f>
        <v>16-12-2024</v>
      </c>
      <c r="AO535" s="50">
        <f t="shared" si="51"/>
        <v>13</v>
      </c>
      <c r="AP535" s="50">
        <f t="shared" si="52"/>
        <v>12</v>
      </c>
      <c r="AQ535" s="50">
        <f t="shared" si="53"/>
        <v>2024</v>
      </c>
      <c r="AR535" s="50" t="str">
        <f t="shared" si="54"/>
        <v>Dec-2024</v>
      </c>
      <c r="AS535" s="52">
        <f t="shared" si="55"/>
        <v>45639</v>
      </c>
      <c r="AT535" s="44">
        <f t="shared" ca="1" si="56"/>
        <v>639</v>
      </c>
      <c r="AU535" s="40" t="str">
        <f>LEFT(Sheet1!AE534,3)</f>
        <v>Arj</v>
      </c>
      <c r="AV535" s="40" t="str">
        <f>RIGHT(Sheet1!AF534,2)</f>
        <v>ar</v>
      </c>
      <c r="AW535" s="40" t="str">
        <f>MID(Sheet1!AE534,2,3)</f>
        <v>rju</v>
      </c>
      <c r="AX535" s="42">
        <f>LEN(Sheet1!AE534)</f>
        <v>5</v>
      </c>
      <c r="AY535" s="40" t="str">
        <f>UPPER(Sheet1!AE534)</f>
        <v>ARJUN</v>
      </c>
      <c r="AZ535" s="40" t="str">
        <f>LOWER(Sheet1!AE534)</f>
        <v>arjun</v>
      </c>
      <c r="BA535" s="40" t="str">
        <f>PROPER(Sheet1!AE534)</f>
        <v>Arjun</v>
      </c>
      <c r="BB535" s="40" t="str">
        <f>_xlfn.CONCAT(Sheet1!AE534," ",Sheet1!AF534)</f>
        <v>Arjun Kumar</v>
      </c>
    </row>
    <row r="536" spans="40:54">
      <c r="AN536" s="50" t="str">
        <f>Sheet1!B535</f>
        <v>16-12-2025</v>
      </c>
      <c r="AO536" s="50">
        <f t="shared" si="51"/>
        <v>13</v>
      </c>
      <c r="AP536" s="50">
        <f t="shared" si="52"/>
        <v>12</v>
      </c>
      <c r="AQ536" s="50">
        <f t="shared" si="53"/>
        <v>2025</v>
      </c>
      <c r="AR536" s="50" t="str">
        <f t="shared" si="54"/>
        <v>Dec-2025</v>
      </c>
      <c r="AS536" s="52">
        <f t="shared" si="55"/>
        <v>46004</v>
      </c>
      <c r="AT536" s="44">
        <f t="shared" ca="1" si="56"/>
        <v>274</v>
      </c>
      <c r="AU536" s="40" t="str">
        <f>LEFT(Sheet1!AE535,3)</f>
        <v>Sim</v>
      </c>
      <c r="AV536" s="40" t="str">
        <f>RIGHT(Sheet1!AF535,2)</f>
        <v>av</v>
      </c>
      <c r="AW536" s="40" t="str">
        <f>MID(Sheet1!AE535,2,3)</f>
        <v>imr</v>
      </c>
      <c r="AX536" s="42">
        <f>LEN(Sheet1!AE535)</f>
        <v>6</v>
      </c>
      <c r="AY536" s="40" t="str">
        <f>UPPER(Sheet1!AE535)</f>
        <v>SIMRAN</v>
      </c>
      <c r="AZ536" s="40" t="str">
        <f>LOWER(Sheet1!AE535)</f>
        <v>simran</v>
      </c>
      <c r="BA536" s="40" t="str">
        <f>PROPER(Sheet1!AE535)</f>
        <v>Simran</v>
      </c>
      <c r="BB536" s="40" t="str">
        <f>_xlfn.CONCAT(Sheet1!AE535," ",Sheet1!AF535)</f>
        <v>Simran Yadav</v>
      </c>
    </row>
    <row r="537" spans="40:54">
      <c r="AN537" s="50" t="str">
        <f>Sheet1!B536</f>
        <v>16-12-2025</v>
      </c>
      <c r="AO537" s="50">
        <f t="shared" si="51"/>
        <v>13</v>
      </c>
      <c r="AP537" s="50">
        <f t="shared" si="52"/>
        <v>12</v>
      </c>
      <c r="AQ537" s="50">
        <f t="shared" si="53"/>
        <v>2025</v>
      </c>
      <c r="AR537" s="50" t="str">
        <f t="shared" si="54"/>
        <v>Dec-2025</v>
      </c>
      <c r="AS537" s="52">
        <f t="shared" si="55"/>
        <v>46004</v>
      </c>
      <c r="AT537" s="44">
        <f t="shared" ca="1" si="56"/>
        <v>274</v>
      </c>
      <c r="AU537" s="40" t="str">
        <f>LEFT(Sheet1!AE536,3)</f>
        <v>Mee</v>
      </c>
      <c r="AV537" s="40" t="str">
        <f>RIGHT(Sheet1!AF536,2)</f>
        <v>ar</v>
      </c>
      <c r="AW537" s="40" t="str">
        <f>MID(Sheet1!AE536,2,3)</f>
        <v>eer</v>
      </c>
      <c r="AX537" s="42">
        <f>LEN(Sheet1!AE536)</f>
        <v>5</v>
      </c>
      <c r="AY537" s="40" t="str">
        <f>UPPER(Sheet1!AE536)</f>
        <v>MEERA</v>
      </c>
      <c r="AZ537" s="40" t="str">
        <f>LOWER(Sheet1!AE536)</f>
        <v>meera</v>
      </c>
      <c r="BA537" s="40" t="str">
        <f>PROPER(Sheet1!AE536)</f>
        <v>Meera</v>
      </c>
      <c r="BB537" s="40" t="str">
        <f>_xlfn.CONCAT(Sheet1!AE536," ",Sheet1!AF536)</f>
        <v>Meera Kumar</v>
      </c>
    </row>
    <row r="538" spans="40:54">
      <c r="AN538" s="50" t="str">
        <f>Sheet1!B537</f>
        <v>16-12-2025</v>
      </c>
      <c r="AO538" s="50">
        <f t="shared" si="51"/>
        <v>13</v>
      </c>
      <c r="AP538" s="50">
        <f t="shared" si="52"/>
        <v>12</v>
      </c>
      <c r="AQ538" s="50">
        <f t="shared" si="53"/>
        <v>2025</v>
      </c>
      <c r="AR538" s="50" t="str">
        <f t="shared" si="54"/>
        <v>Dec-2025</v>
      </c>
      <c r="AS538" s="52">
        <f t="shared" si="55"/>
        <v>46004</v>
      </c>
      <c r="AT538" s="44">
        <f t="shared" ca="1" si="56"/>
        <v>274</v>
      </c>
      <c r="AU538" s="40" t="str">
        <f>LEFT(Sheet1!AE537,3)</f>
        <v>Nis</v>
      </c>
      <c r="AV538" s="40" t="str">
        <f>RIGHT(Sheet1!AF537,2)</f>
        <v>na</v>
      </c>
      <c r="AW538" s="40" t="str">
        <f>MID(Sheet1!AE537,2,3)</f>
        <v>ish</v>
      </c>
      <c r="AX538" s="42">
        <f>LEN(Sheet1!AE537)</f>
        <v>5</v>
      </c>
      <c r="AY538" s="40" t="str">
        <f>UPPER(Sheet1!AE537)</f>
        <v>NISHA</v>
      </c>
      <c r="AZ538" s="40" t="str">
        <f>LOWER(Sheet1!AE537)</f>
        <v>nisha</v>
      </c>
      <c r="BA538" s="40" t="str">
        <f>PROPER(Sheet1!AE537)</f>
        <v>Nisha</v>
      </c>
      <c r="BB538" s="40" t="str">
        <f>_xlfn.CONCAT(Sheet1!AE537," ",Sheet1!AF537)</f>
        <v>Nisha Saxena</v>
      </c>
    </row>
    <row r="539" spans="40:54">
      <c r="AN539" s="50" t="str">
        <f>Sheet1!B538</f>
        <v>17-01-2024</v>
      </c>
      <c r="AO539" s="50">
        <f t="shared" si="51"/>
        <v>13</v>
      </c>
      <c r="AP539" s="50">
        <f t="shared" si="52"/>
        <v>1</v>
      </c>
      <c r="AQ539" s="50">
        <f t="shared" si="53"/>
        <v>2024</v>
      </c>
      <c r="AR539" s="50" t="str">
        <f t="shared" si="54"/>
        <v>Jan-2024</v>
      </c>
      <c r="AS539" s="52">
        <f t="shared" si="55"/>
        <v>45304</v>
      </c>
      <c r="AT539" s="44">
        <f t="shared" ca="1" si="56"/>
        <v>974</v>
      </c>
      <c r="AU539" s="40" t="str">
        <f>LEFT(Sheet1!AE538,3)</f>
        <v>Ish</v>
      </c>
      <c r="AV539" s="40" t="str">
        <f>RIGHT(Sheet1!AF538,2)</f>
        <v>ar</v>
      </c>
      <c r="AW539" s="40" t="str">
        <f>MID(Sheet1!AE538,2,3)</f>
        <v>shi</v>
      </c>
      <c r="AX539" s="42">
        <f>LEN(Sheet1!AE538)</f>
        <v>6</v>
      </c>
      <c r="AY539" s="40" t="str">
        <f>UPPER(Sheet1!AE538)</f>
        <v>ISHITA</v>
      </c>
      <c r="AZ539" s="40" t="str">
        <f>LOWER(Sheet1!AE538)</f>
        <v>ishita</v>
      </c>
      <c r="BA539" s="40" t="str">
        <f>PROPER(Sheet1!AE538)</f>
        <v>Ishita</v>
      </c>
      <c r="BB539" s="40" t="str">
        <f>_xlfn.CONCAT(Sheet1!AE538," ",Sheet1!AF538)</f>
        <v>Ishita Kumar</v>
      </c>
    </row>
    <row r="540" spans="40:54">
      <c r="AN540" s="50" t="str">
        <f>Sheet1!B539</f>
        <v>17-01-2024</v>
      </c>
      <c r="AO540" s="50">
        <f t="shared" si="51"/>
        <v>13</v>
      </c>
      <c r="AP540" s="50">
        <f t="shared" si="52"/>
        <v>1</v>
      </c>
      <c r="AQ540" s="50">
        <f t="shared" si="53"/>
        <v>2024</v>
      </c>
      <c r="AR540" s="50" t="str">
        <f t="shared" si="54"/>
        <v>Jan-2024</v>
      </c>
      <c r="AS540" s="52">
        <f t="shared" si="55"/>
        <v>45304</v>
      </c>
      <c r="AT540" s="44">
        <f t="shared" ca="1" si="56"/>
        <v>974</v>
      </c>
      <c r="AU540" s="40" t="str">
        <f>LEFT(Sheet1!AE539,3)</f>
        <v>Roh</v>
      </c>
      <c r="AV540" s="40" t="str">
        <f>RIGHT(Sheet1!AF539,2)</f>
        <v>ra</v>
      </c>
      <c r="AW540" s="40" t="str">
        <f>MID(Sheet1!AE539,2,3)</f>
        <v>oha</v>
      </c>
      <c r="AX540" s="42">
        <f>LEN(Sheet1!AE539)</f>
        <v>5</v>
      </c>
      <c r="AY540" s="40" t="str">
        <f>UPPER(Sheet1!AE539)</f>
        <v>ROHAN</v>
      </c>
      <c r="AZ540" s="40" t="str">
        <f>LOWER(Sheet1!AE539)</f>
        <v>rohan</v>
      </c>
      <c r="BA540" s="40" t="str">
        <f>PROPER(Sheet1!AE539)</f>
        <v>Rohan</v>
      </c>
      <c r="BB540" s="40" t="str">
        <f>_xlfn.CONCAT(Sheet1!AE539," ",Sheet1!AF539)</f>
        <v>Rohan Mishra</v>
      </c>
    </row>
    <row r="541" spans="40:54">
      <c r="AN541" s="50" t="str">
        <f>Sheet1!B540</f>
        <v>17-01-2024</v>
      </c>
      <c r="AO541" s="50">
        <f t="shared" si="51"/>
        <v>13</v>
      </c>
      <c r="AP541" s="50">
        <f t="shared" si="52"/>
        <v>1</v>
      </c>
      <c r="AQ541" s="50">
        <f t="shared" si="53"/>
        <v>2024</v>
      </c>
      <c r="AR541" s="50" t="str">
        <f t="shared" si="54"/>
        <v>Jan-2024</v>
      </c>
      <c r="AS541" s="52">
        <f t="shared" si="55"/>
        <v>45304</v>
      </c>
      <c r="AT541" s="44">
        <f t="shared" ca="1" si="56"/>
        <v>974</v>
      </c>
      <c r="AU541" s="40" t="str">
        <f>LEFT(Sheet1!AE540,3)</f>
        <v>Neh</v>
      </c>
      <c r="AV541" s="40" t="str">
        <f>RIGHT(Sheet1!AF540,2)</f>
        <v>al</v>
      </c>
      <c r="AW541" s="40" t="str">
        <f>MID(Sheet1!AE540,2,3)</f>
        <v>eha</v>
      </c>
      <c r="AX541" s="42">
        <f>LEN(Sheet1!AE540)</f>
        <v>4</v>
      </c>
      <c r="AY541" s="40" t="str">
        <f>UPPER(Sheet1!AE540)</f>
        <v>NEHA</v>
      </c>
      <c r="AZ541" s="40" t="str">
        <f>LOWER(Sheet1!AE540)</f>
        <v>neha</v>
      </c>
      <c r="BA541" s="40" t="str">
        <f>PROPER(Sheet1!AE540)</f>
        <v>Neha</v>
      </c>
      <c r="BB541" s="40" t="str">
        <f>_xlfn.CONCAT(Sheet1!AE540," ",Sheet1!AF540)</f>
        <v>Neha Agarwal</v>
      </c>
    </row>
    <row r="542" spans="40:54">
      <c r="AN542" s="50" t="str">
        <f>Sheet1!B541</f>
        <v>17-01-2024</v>
      </c>
      <c r="AO542" s="50">
        <f t="shared" si="51"/>
        <v>13</v>
      </c>
      <c r="AP542" s="50">
        <f t="shared" si="52"/>
        <v>1</v>
      </c>
      <c r="AQ542" s="50">
        <f t="shared" si="53"/>
        <v>2024</v>
      </c>
      <c r="AR542" s="50" t="str">
        <f t="shared" si="54"/>
        <v>Jan-2024</v>
      </c>
      <c r="AS542" s="52">
        <f t="shared" si="55"/>
        <v>45304</v>
      </c>
      <c r="AT542" s="44">
        <f t="shared" ca="1" si="56"/>
        <v>974</v>
      </c>
      <c r="AU542" s="40" t="str">
        <f>LEFT(Sheet1!AE541,3)</f>
        <v>Arj</v>
      </c>
      <c r="AV542" s="40" t="str">
        <f>RIGHT(Sheet1!AF541,2)</f>
        <v>ar</v>
      </c>
      <c r="AW542" s="40" t="str">
        <f>MID(Sheet1!AE541,2,3)</f>
        <v>rju</v>
      </c>
      <c r="AX542" s="42">
        <f>LEN(Sheet1!AE541)</f>
        <v>5</v>
      </c>
      <c r="AY542" s="40" t="str">
        <f>UPPER(Sheet1!AE541)</f>
        <v>ARJUN</v>
      </c>
      <c r="AZ542" s="40" t="str">
        <f>LOWER(Sheet1!AE541)</f>
        <v>arjun</v>
      </c>
      <c r="BA542" s="40" t="str">
        <f>PROPER(Sheet1!AE541)</f>
        <v>Arjun</v>
      </c>
      <c r="BB542" s="40" t="str">
        <f>_xlfn.CONCAT(Sheet1!AE541," ",Sheet1!AF541)</f>
        <v>Arjun Kumar</v>
      </c>
    </row>
    <row r="543" spans="40:54">
      <c r="AN543" s="50" t="str">
        <f>Sheet1!B542</f>
        <v>17-01-2024</v>
      </c>
      <c r="AO543" s="50">
        <f t="shared" si="51"/>
        <v>13</v>
      </c>
      <c r="AP543" s="50">
        <f t="shared" si="52"/>
        <v>1</v>
      </c>
      <c r="AQ543" s="50">
        <f t="shared" si="53"/>
        <v>2024</v>
      </c>
      <c r="AR543" s="50" t="str">
        <f t="shared" si="54"/>
        <v>Jan-2024</v>
      </c>
      <c r="AS543" s="52">
        <f t="shared" si="55"/>
        <v>45304</v>
      </c>
      <c r="AT543" s="44">
        <f t="shared" ca="1" si="56"/>
        <v>974</v>
      </c>
      <c r="AU543" s="40" t="str">
        <f>LEFT(Sheet1!AE542,3)</f>
        <v>Poo</v>
      </c>
      <c r="AV543" s="40" t="str">
        <f>RIGHT(Sheet1!AF542,2)</f>
        <v>ma</v>
      </c>
      <c r="AW543" s="40" t="str">
        <f>MID(Sheet1!AE542,2,3)</f>
        <v>ooj</v>
      </c>
      <c r="AX543" s="42">
        <f>LEN(Sheet1!AE542)</f>
        <v>5</v>
      </c>
      <c r="AY543" s="40" t="str">
        <f>UPPER(Sheet1!AE542)</f>
        <v>POOJA</v>
      </c>
      <c r="AZ543" s="40" t="str">
        <f>LOWER(Sheet1!AE542)</f>
        <v>pooja</v>
      </c>
      <c r="BA543" s="40" t="str">
        <f>PROPER(Sheet1!AE542)</f>
        <v>Pooja</v>
      </c>
      <c r="BB543" s="40" t="str">
        <f>_xlfn.CONCAT(Sheet1!AE542," ",Sheet1!AF542)</f>
        <v>Pooja Verma</v>
      </c>
    </row>
    <row r="544" spans="40:54">
      <c r="AN544" s="50" t="str">
        <f>Sheet1!B543</f>
        <v>17-01-2025</v>
      </c>
      <c r="AO544" s="50">
        <f t="shared" si="51"/>
        <v>13</v>
      </c>
      <c r="AP544" s="50">
        <f t="shared" si="52"/>
        <v>1</v>
      </c>
      <c r="AQ544" s="50">
        <f t="shared" si="53"/>
        <v>2025</v>
      </c>
      <c r="AR544" s="50" t="str">
        <f t="shared" si="54"/>
        <v>Jan-2025</v>
      </c>
      <c r="AS544" s="52">
        <f t="shared" si="55"/>
        <v>45670</v>
      </c>
      <c r="AT544" s="44">
        <f t="shared" ca="1" si="56"/>
        <v>608</v>
      </c>
      <c r="AU544" s="40" t="str">
        <f>LEFT(Sheet1!AE543,3)</f>
        <v>Adi</v>
      </c>
      <c r="AV544" s="40" t="str">
        <f>RIGHT(Sheet1!AF543,2)</f>
        <v>ma</v>
      </c>
      <c r="AW544" s="40" t="str">
        <f>MID(Sheet1!AE543,2,3)</f>
        <v>dit</v>
      </c>
      <c r="AX544" s="42">
        <f>LEN(Sheet1!AE543)</f>
        <v>6</v>
      </c>
      <c r="AY544" s="40" t="str">
        <f>UPPER(Sheet1!AE543)</f>
        <v>ADITYA</v>
      </c>
      <c r="AZ544" s="40" t="str">
        <f>LOWER(Sheet1!AE543)</f>
        <v>aditya</v>
      </c>
      <c r="BA544" s="40" t="str">
        <f>PROPER(Sheet1!AE543)</f>
        <v>Aditya</v>
      </c>
      <c r="BB544" s="40" t="str">
        <f>_xlfn.CONCAT(Sheet1!AE543," ",Sheet1!AF543)</f>
        <v>Aditya Sharma</v>
      </c>
    </row>
    <row r="545" spans="40:54">
      <c r="AN545" s="50" t="str">
        <f>Sheet1!B544</f>
        <v>17-02-2024</v>
      </c>
      <c r="AO545" s="50">
        <f t="shared" si="51"/>
        <v>13</v>
      </c>
      <c r="AP545" s="50">
        <f t="shared" si="52"/>
        <v>2</v>
      </c>
      <c r="AQ545" s="50">
        <f t="shared" si="53"/>
        <v>2024</v>
      </c>
      <c r="AR545" s="50" t="str">
        <f t="shared" si="54"/>
        <v>Feb-2024</v>
      </c>
      <c r="AS545" s="52">
        <f t="shared" si="55"/>
        <v>45335</v>
      </c>
      <c r="AT545" s="44">
        <f t="shared" ca="1" si="56"/>
        <v>943</v>
      </c>
      <c r="AU545" s="40" t="str">
        <f>LEFT(Sheet1!AE544,3)</f>
        <v>Aar</v>
      </c>
      <c r="AV545" s="40" t="str">
        <f>RIGHT(Sheet1!AF544,2)</f>
        <v>al</v>
      </c>
      <c r="AW545" s="40" t="str">
        <f>MID(Sheet1!AE544,2,3)</f>
        <v>ara</v>
      </c>
      <c r="AX545" s="42">
        <f>LEN(Sheet1!AE544)</f>
        <v>5</v>
      </c>
      <c r="AY545" s="40" t="str">
        <f>UPPER(Sheet1!AE544)</f>
        <v>AARAV</v>
      </c>
      <c r="AZ545" s="40" t="str">
        <f>LOWER(Sheet1!AE544)</f>
        <v>aarav</v>
      </c>
      <c r="BA545" s="40" t="str">
        <f>PROPER(Sheet1!AE544)</f>
        <v>Aarav</v>
      </c>
      <c r="BB545" s="40" t="str">
        <f>_xlfn.CONCAT(Sheet1!AE544," ",Sheet1!AF544)</f>
        <v>Aarav Bansal</v>
      </c>
    </row>
    <row r="546" spans="40:54">
      <c r="AN546" s="50" t="str">
        <f>Sheet1!B545</f>
        <v>17-02-2024</v>
      </c>
      <c r="AO546" s="50">
        <f t="shared" si="51"/>
        <v>13</v>
      </c>
      <c r="AP546" s="50">
        <f t="shared" si="52"/>
        <v>2</v>
      </c>
      <c r="AQ546" s="50">
        <f t="shared" si="53"/>
        <v>2024</v>
      </c>
      <c r="AR546" s="50" t="str">
        <f t="shared" si="54"/>
        <v>Feb-2024</v>
      </c>
      <c r="AS546" s="52">
        <f t="shared" si="55"/>
        <v>45335</v>
      </c>
      <c r="AT546" s="44">
        <f t="shared" ca="1" si="56"/>
        <v>943</v>
      </c>
      <c r="AU546" s="40" t="str">
        <f>LEFT(Sheet1!AE545,3)</f>
        <v>Roh</v>
      </c>
      <c r="AV546" s="40" t="str">
        <f>RIGHT(Sheet1!AF545,2)</f>
        <v>al</v>
      </c>
      <c r="AW546" s="40" t="str">
        <f>MID(Sheet1!AE545,2,3)</f>
        <v>oha</v>
      </c>
      <c r="AX546" s="42">
        <f>LEN(Sheet1!AE545)</f>
        <v>5</v>
      </c>
      <c r="AY546" s="40" t="str">
        <f>UPPER(Sheet1!AE545)</f>
        <v>ROHAN</v>
      </c>
      <c r="AZ546" s="40" t="str">
        <f>LOWER(Sheet1!AE545)</f>
        <v>rohan</v>
      </c>
      <c r="BA546" s="40" t="str">
        <f>PROPER(Sheet1!AE545)</f>
        <v>Rohan</v>
      </c>
      <c r="BB546" s="40" t="str">
        <f>_xlfn.CONCAT(Sheet1!AE545," ",Sheet1!AF545)</f>
        <v>Rohan Bansal</v>
      </c>
    </row>
    <row r="547" spans="40:54">
      <c r="AN547" s="50" t="str">
        <f>Sheet1!B546</f>
        <v>17-02-2025</v>
      </c>
      <c r="AO547" s="50">
        <f t="shared" si="51"/>
        <v>13</v>
      </c>
      <c r="AP547" s="50">
        <f t="shared" si="52"/>
        <v>2</v>
      </c>
      <c r="AQ547" s="50">
        <f t="shared" si="53"/>
        <v>2025</v>
      </c>
      <c r="AR547" s="50" t="str">
        <f t="shared" si="54"/>
        <v>Feb-2025</v>
      </c>
      <c r="AS547" s="52">
        <f t="shared" si="55"/>
        <v>45701</v>
      </c>
      <c r="AT547" s="44">
        <f t="shared" ca="1" si="56"/>
        <v>577</v>
      </c>
      <c r="AU547" s="40" t="str">
        <f>LEFT(Sheet1!AE546,3)</f>
        <v>Neh</v>
      </c>
      <c r="AV547" s="40" t="str">
        <f>RIGHT(Sheet1!AF546,2)</f>
        <v>in</v>
      </c>
      <c r="AW547" s="40" t="str">
        <f>MID(Sheet1!AE546,2,3)</f>
        <v>eha</v>
      </c>
      <c r="AX547" s="42">
        <f>LEN(Sheet1!AE546)</f>
        <v>4</v>
      </c>
      <c r="AY547" s="40" t="str">
        <f>UPPER(Sheet1!AE546)</f>
        <v>NEHA</v>
      </c>
      <c r="AZ547" s="40" t="str">
        <f>LOWER(Sheet1!AE546)</f>
        <v>neha</v>
      </c>
      <c r="BA547" s="40" t="str">
        <f>PROPER(Sheet1!AE546)</f>
        <v>Neha</v>
      </c>
      <c r="BB547" s="40" t="str">
        <f>_xlfn.CONCAT(Sheet1!AE546," ",Sheet1!AF546)</f>
        <v>Neha Jain</v>
      </c>
    </row>
    <row r="548" spans="40:54">
      <c r="AN548" s="50" t="str">
        <f>Sheet1!B547</f>
        <v>17-03-2024</v>
      </c>
      <c r="AO548" s="50">
        <f t="shared" si="51"/>
        <v>13</v>
      </c>
      <c r="AP548" s="50">
        <f t="shared" si="52"/>
        <v>3</v>
      </c>
      <c r="AQ548" s="50">
        <f t="shared" si="53"/>
        <v>2024</v>
      </c>
      <c r="AR548" s="50" t="str">
        <f t="shared" si="54"/>
        <v>Mar-2024</v>
      </c>
      <c r="AS548" s="52">
        <f t="shared" si="55"/>
        <v>45364</v>
      </c>
      <c r="AT548" s="44">
        <f t="shared" ca="1" si="56"/>
        <v>914</v>
      </c>
      <c r="AU548" s="40" t="str">
        <f>LEFT(Sheet1!AE547,3)</f>
        <v>Roh</v>
      </c>
      <c r="AV548" s="40" t="str">
        <f>RIGHT(Sheet1!AF547,2)</f>
        <v>gh</v>
      </c>
      <c r="AW548" s="40" t="str">
        <f>MID(Sheet1!AE547,2,3)</f>
        <v>oha</v>
      </c>
      <c r="AX548" s="42">
        <f>LEN(Sheet1!AE547)</f>
        <v>5</v>
      </c>
      <c r="AY548" s="40" t="str">
        <f>UPPER(Sheet1!AE547)</f>
        <v>ROHAN</v>
      </c>
      <c r="AZ548" s="40" t="str">
        <f>LOWER(Sheet1!AE547)</f>
        <v>rohan</v>
      </c>
      <c r="BA548" s="40" t="str">
        <f>PROPER(Sheet1!AE547)</f>
        <v>Rohan</v>
      </c>
      <c r="BB548" s="40" t="str">
        <f>_xlfn.CONCAT(Sheet1!AE547," ",Sheet1!AF547)</f>
        <v>Rohan Singh</v>
      </c>
    </row>
    <row r="549" spans="40:54">
      <c r="AN549" s="50" t="str">
        <f>Sheet1!B548</f>
        <v>17-04-2025</v>
      </c>
      <c r="AO549" s="50">
        <f t="shared" si="51"/>
        <v>13</v>
      </c>
      <c r="AP549" s="50">
        <f t="shared" si="52"/>
        <v>4</v>
      </c>
      <c r="AQ549" s="50">
        <f t="shared" si="53"/>
        <v>2025</v>
      </c>
      <c r="AR549" s="50" t="str">
        <f t="shared" si="54"/>
        <v>Apr-2025</v>
      </c>
      <c r="AS549" s="52">
        <f t="shared" si="55"/>
        <v>45760</v>
      </c>
      <c r="AT549" s="44">
        <f t="shared" ca="1" si="56"/>
        <v>518</v>
      </c>
      <c r="AU549" s="40" t="str">
        <f>LEFT(Sheet1!AE548,3)</f>
        <v>Adi</v>
      </c>
      <c r="AV549" s="40" t="str">
        <f>RIGHT(Sheet1!AF548,2)</f>
        <v>ra</v>
      </c>
      <c r="AW549" s="40" t="str">
        <f>MID(Sheet1!AE548,2,3)</f>
        <v>dit</v>
      </c>
      <c r="AX549" s="42">
        <f>LEN(Sheet1!AE548)</f>
        <v>6</v>
      </c>
      <c r="AY549" s="40" t="str">
        <f>UPPER(Sheet1!AE548)</f>
        <v>ADITYA</v>
      </c>
      <c r="AZ549" s="40" t="str">
        <f>LOWER(Sheet1!AE548)</f>
        <v>aditya</v>
      </c>
      <c r="BA549" s="40" t="str">
        <f>PROPER(Sheet1!AE548)</f>
        <v>Aditya</v>
      </c>
      <c r="BB549" s="40" t="str">
        <f>_xlfn.CONCAT(Sheet1!AE548," ",Sheet1!AF548)</f>
        <v>Aditya Mishra</v>
      </c>
    </row>
    <row r="550" spans="40:54">
      <c r="AN550" s="50" t="str">
        <f>Sheet1!B549</f>
        <v>17-04-2025</v>
      </c>
      <c r="AO550" s="50">
        <f t="shared" si="51"/>
        <v>14</v>
      </c>
      <c r="AP550" s="50">
        <f t="shared" si="52"/>
        <v>4</v>
      </c>
      <c r="AQ550" s="50">
        <f t="shared" si="53"/>
        <v>2025</v>
      </c>
      <c r="AR550" s="50" t="str">
        <f t="shared" si="54"/>
        <v>Apr-2025</v>
      </c>
      <c r="AS550" s="52">
        <f t="shared" si="55"/>
        <v>45761</v>
      </c>
      <c r="AT550" s="44">
        <f t="shared" ca="1" si="56"/>
        <v>517</v>
      </c>
      <c r="AU550" s="40" t="str">
        <f>LEFT(Sheet1!AE549,3)</f>
        <v>Vik</v>
      </c>
      <c r="AV550" s="40" t="str">
        <f>RIGHT(Sheet1!AF549,2)</f>
        <v>or</v>
      </c>
      <c r="AW550" s="40" t="str">
        <f>MID(Sheet1!AE549,2,3)</f>
        <v>ikr</v>
      </c>
      <c r="AX550" s="42">
        <f>LEN(Sheet1!AE549)</f>
        <v>6</v>
      </c>
      <c r="AY550" s="40" t="str">
        <f>UPPER(Sheet1!AE549)</f>
        <v>VIKRAM</v>
      </c>
      <c r="AZ550" s="40" t="str">
        <f>LOWER(Sheet1!AE549)</f>
        <v>vikram</v>
      </c>
      <c r="BA550" s="40" t="str">
        <f>PROPER(Sheet1!AE549)</f>
        <v>Vikram</v>
      </c>
      <c r="BB550" s="40" t="str">
        <f>_xlfn.CONCAT(Sheet1!AE549," ",Sheet1!AF549)</f>
        <v>Vikram Kapoor</v>
      </c>
    </row>
    <row r="551" spans="40:54">
      <c r="AN551" s="50" t="str">
        <f>Sheet1!B550</f>
        <v>17-04-2025</v>
      </c>
      <c r="AO551" s="50">
        <f t="shared" si="51"/>
        <v>14</v>
      </c>
      <c r="AP551" s="50">
        <f t="shared" si="52"/>
        <v>4</v>
      </c>
      <c r="AQ551" s="50">
        <f t="shared" si="53"/>
        <v>2025</v>
      </c>
      <c r="AR551" s="50" t="str">
        <f t="shared" si="54"/>
        <v>Apr-2025</v>
      </c>
      <c r="AS551" s="52">
        <f t="shared" si="55"/>
        <v>45761</v>
      </c>
      <c r="AT551" s="44">
        <f t="shared" ca="1" si="56"/>
        <v>517</v>
      </c>
      <c r="AU551" s="40" t="str">
        <f>LEFT(Sheet1!AE550,3)</f>
        <v>Neh</v>
      </c>
      <c r="AV551" s="40" t="str">
        <f>RIGHT(Sheet1!AF550,2)</f>
        <v>ra</v>
      </c>
      <c r="AW551" s="40" t="str">
        <f>MID(Sheet1!AE550,2,3)</f>
        <v>eha</v>
      </c>
      <c r="AX551" s="42">
        <f>LEN(Sheet1!AE550)</f>
        <v>4</v>
      </c>
      <c r="AY551" s="40" t="str">
        <f>UPPER(Sheet1!AE550)</f>
        <v>NEHA</v>
      </c>
      <c r="AZ551" s="40" t="str">
        <f>LOWER(Sheet1!AE550)</f>
        <v>neha</v>
      </c>
      <c r="BA551" s="40" t="str">
        <f>PROPER(Sheet1!AE550)</f>
        <v>Neha</v>
      </c>
      <c r="BB551" s="40" t="str">
        <f>_xlfn.CONCAT(Sheet1!AE550," ",Sheet1!AF550)</f>
        <v>Neha Mishra</v>
      </c>
    </row>
    <row r="552" spans="40:54">
      <c r="AN552" s="50" t="str">
        <f>Sheet1!B551</f>
        <v>17-05-2024</v>
      </c>
      <c r="AO552" s="50">
        <f t="shared" si="51"/>
        <v>14</v>
      </c>
      <c r="AP552" s="50">
        <f t="shared" si="52"/>
        <v>5</v>
      </c>
      <c r="AQ552" s="50">
        <f t="shared" si="53"/>
        <v>2024</v>
      </c>
      <c r="AR552" s="50" t="str">
        <f t="shared" si="54"/>
        <v>May-2024</v>
      </c>
      <c r="AS552" s="52">
        <f t="shared" si="55"/>
        <v>45426</v>
      </c>
      <c r="AT552" s="44">
        <f t="shared" ca="1" si="56"/>
        <v>852</v>
      </c>
      <c r="AU552" s="40" t="str">
        <f>LEFT(Sheet1!AE551,3)</f>
        <v>Nis</v>
      </c>
      <c r="AV552" s="40" t="str">
        <f>RIGHT(Sheet1!AF551,2)</f>
        <v>ra</v>
      </c>
      <c r="AW552" s="40" t="str">
        <f>MID(Sheet1!AE551,2,3)</f>
        <v>ish</v>
      </c>
      <c r="AX552" s="42">
        <f>LEN(Sheet1!AE551)</f>
        <v>5</v>
      </c>
      <c r="AY552" s="40" t="str">
        <f>UPPER(Sheet1!AE551)</f>
        <v>NISHA</v>
      </c>
      <c r="AZ552" s="40" t="str">
        <f>LOWER(Sheet1!AE551)</f>
        <v>nisha</v>
      </c>
      <c r="BA552" s="40" t="str">
        <f>PROPER(Sheet1!AE551)</f>
        <v>Nisha</v>
      </c>
      <c r="BB552" s="40" t="str">
        <f>_xlfn.CONCAT(Sheet1!AE551," ",Sheet1!AF551)</f>
        <v>Nisha Mishra</v>
      </c>
    </row>
    <row r="553" spans="40:54">
      <c r="AN553" s="50" t="str">
        <f>Sheet1!B552</f>
        <v>17-05-2025</v>
      </c>
      <c r="AO553" s="50">
        <f t="shared" si="51"/>
        <v>14</v>
      </c>
      <c r="AP553" s="50">
        <f t="shared" si="52"/>
        <v>5</v>
      </c>
      <c r="AQ553" s="50">
        <f t="shared" si="53"/>
        <v>2025</v>
      </c>
      <c r="AR553" s="50" t="str">
        <f t="shared" si="54"/>
        <v>May-2025</v>
      </c>
      <c r="AS553" s="52">
        <f t="shared" si="55"/>
        <v>45791</v>
      </c>
      <c r="AT553" s="44">
        <f t="shared" ca="1" si="56"/>
        <v>487</v>
      </c>
      <c r="AU553" s="40" t="str">
        <f>LEFT(Sheet1!AE552,3)</f>
        <v>Kav</v>
      </c>
      <c r="AV553" s="40" t="str">
        <f>RIGHT(Sheet1!AF552,2)</f>
        <v>or</v>
      </c>
      <c r="AW553" s="40" t="str">
        <f>MID(Sheet1!AE552,2,3)</f>
        <v>avy</v>
      </c>
      <c r="AX553" s="42">
        <f>LEN(Sheet1!AE552)</f>
        <v>5</v>
      </c>
      <c r="AY553" s="40" t="str">
        <f>UPPER(Sheet1!AE552)</f>
        <v>KAVYA</v>
      </c>
      <c r="AZ553" s="40" t="str">
        <f>LOWER(Sheet1!AE552)</f>
        <v>kavya</v>
      </c>
      <c r="BA553" s="40" t="str">
        <f>PROPER(Sheet1!AE552)</f>
        <v>Kavya</v>
      </c>
      <c r="BB553" s="40" t="str">
        <f>_xlfn.CONCAT(Sheet1!AE552," ",Sheet1!AF552)</f>
        <v>Kavya Kapoor</v>
      </c>
    </row>
    <row r="554" spans="40:54">
      <c r="AN554" s="50" t="str">
        <f>Sheet1!B553</f>
        <v>17-06-2024</v>
      </c>
      <c r="AO554" s="50">
        <f t="shared" si="51"/>
        <v>14</v>
      </c>
      <c r="AP554" s="50">
        <f t="shared" si="52"/>
        <v>6</v>
      </c>
      <c r="AQ554" s="50">
        <f t="shared" si="53"/>
        <v>2024</v>
      </c>
      <c r="AR554" s="50" t="str">
        <f t="shared" si="54"/>
        <v>Jun-2024</v>
      </c>
      <c r="AS554" s="52">
        <f t="shared" si="55"/>
        <v>45457</v>
      </c>
      <c r="AT554" s="44">
        <f t="shared" ca="1" si="56"/>
        <v>821</v>
      </c>
      <c r="AU554" s="40" t="str">
        <f>LEFT(Sheet1!AE553,3)</f>
        <v>Riy</v>
      </c>
      <c r="AV554" s="40" t="str">
        <f>RIGHT(Sheet1!AF553,2)</f>
        <v>ar</v>
      </c>
      <c r="AW554" s="40" t="str">
        <f>MID(Sheet1!AE553,2,3)</f>
        <v>iya</v>
      </c>
      <c r="AX554" s="42">
        <f>LEN(Sheet1!AE553)</f>
        <v>4</v>
      </c>
      <c r="AY554" s="40" t="str">
        <f>UPPER(Sheet1!AE553)</f>
        <v>RIYA</v>
      </c>
      <c r="AZ554" s="40" t="str">
        <f>LOWER(Sheet1!AE553)</f>
        <v>riya</v>
      </c>
      <c r="BA554" s="40" t="str">
        <f>PROPER(Sheet1!AE553)</f>
        <v>Riya</v>
      </c>
      <c r="BB554" s="40" t="str">
        <f>_xlfn.CONCAT(Sheet1!AE553," ",Sheet1!AF553)</f>
        <v>Riya Kumar</v>
      </c>
    </row>
    <row r="555" spans="40:54">
      <c r="AN555" s="50" t="str">
        <f>Sheet1!B554</f>
        <v>17-06-2024</v>
      </c>
      <c r="AO555" s="50">
        <f t="shared" si="51"/>
        <v>14</v>
      </c>
      <c r="AP555" s="50">
        <f t="shared" si="52"/>
        <v>6</v>
      </c>
      <c r="AQ555" s="50">
        <f t="shared" si="53"/>
        <v>2024</v>
      </c>
      <c r="AR555" s="50" t="str">
        <f t="shared" si="54"/>
        <v>Jun-2024</v>
      </c>
      <c r="AS555" s="52">
        <f t="shared" si="55"/>
        <v>45457</v>
      </c>
      <c r="AT555" s="44">
        <f t="shared" ca="1" si="56"/>
        <v>821</v>
      </c>
      <c r="AU555" s="40" t="str">
        <f>LEFT(Sheet1!AE554,3)</f>
        <v>Mee</v>
      </c>
      <c r="AV555" s="40" t="str">
        <f>RIGHT(Sheet1!AF554,2)</f>
        <v>ta</v>
      </c>
      <c r="AW555" s="40" t="str">
        <f>MID(Sheet1!AE554,2,3)</f>
        <v>eer</v>
      </c>
      <c r="AX555" s="42">
        <f>LEN(Sheet1!AE554)</f>
        <v>5</v>
      </c>
      <c r="AY555" s="40" t="str">
        <f>UPPER(Sheet1!AE554)</f>
        <v>MEERA</v>
      </c>
      <c r="AZ555" s="40" t="str">
        <f>LOWER(Sheet1!AE554)</f>
        <v>meera</v>
      </c>
      <c r="BA555" s="40" t="str">
        <f>PROPER(Sheet1!AE554)</f>
        <v>Meera</v>
      </c>
      <c r="BB555" s="40" t="str">
        <f>_xlfn.CONCAT(Sheet1!AE554," ",Sheet1!AF554)</f>
        <v>Meera Mehta</v>
      </c>
    </row>
    <row r="556" spans="40:54">
      <c r="AN556" s="50" t="str">
        <f>Sheet1!B555</f>
        <v>17-06-2025</v>
      </c>
      <c r="AO556" s="50">
        <f t="shared" si="51"/>
        <v>14</v>
      </c>
      <c r="AP556" s="50">
        <f t="shared" si="52"/>
        <v>6</v>
      </c>
      <c r="AQ556" s="50">
        <f t="shared" si="53"/>
        <v>2025</v>
      </c>
      <c r="AR556" s="50" t="str">
        <f t="shared" si="54"/>
        <v>Jun-2025</v>
      </c>
      <c r="AS556" s="52">
        <f t="shared" si="55"/>
        <v>45822</v>
      </c>
      <c r="AT556" s="44">
        <f t="shared" ca="1" si="56"/>
        <v>456</v>
      </c>
      <c r="AU556" s="40" t="str">
        <f>LEFT(Sheet1!AE555,3)</f>
        <v>Aar</v>
      </c>
      <c r="AV556" s="40" t="str">
        <f>RIGHT(Sheet1!AF555,2)</f>
        <v>av</v>
      </c>
      <c r="AW556" s="40" t="str">
        <f>MID(Sheet1!AE555,2,3)</f>
        <v>ara</v>
      </c>
      <c r="AX556" s="42">
        <f>LEN(Sheet1!AE555)</f>
        <v>5</v>
      </c>
      <c r="AY556" s="40" t="str">
        <f>UPPER(Sheet1!AE555)</f>
        <v>AARAV</v>
      </c>
      <c r="AZ556" s="40" t="str">
        <f>LOWER(Sheet1!AE555)</f>
        <v>aarav</v>
      </c>
      <c r="BA556" s="40" t="str">
        <f>PROPER(Sheet1!AE555)</f>
        <v>Aarav</v>
      </c>
      <c r="BB556" s="40" t="str">
        <f>_xlfn.CONCAT(Sheet1!AE555," ",Sheet1!AF555)</f>
        <v>Aarav Yadav</v>
      </c>
    </row>
    <row r="557" spans="40:54">
      <c r="AN557" s="50" t="str">
        <f>Sheet1!B556</f>
        <v>17-07-2024</v>
      </c>
      <c r="AO557" s="50">
        <f t="shared" si="51"/>
        <v>14</v>
      </c>
      <c r="AP557" s="50">
        <f t="shared" si="52"/>
        <v>7</v>
      </c>
      <c r="AQ557" s="50">
        <f t="shared" si="53"/>
        <v>2024</v>
      </c>
      <c r="AR557" s="50" t="str">
        <f t="shared" si="54"/>
        <v>Jul-2024</v>
      </c>
      <c r="AS557" s="52">
        <f t="shared" si="55"/>
        <v>45487</v>
      </c>
      <c r="AT557" s="44">
        <f t="shared" ca="1" si="56"/>
        <v>791</v>
      </c>
      <c r="AU557" s="40" t="str">
        <f>LEFT(Sheet1!AE556,3)</f>
        <v>Nis</v>
      </c>
      <c r="AV557" s="40" t="str">
        <f>RIGHT(Sheet1!AF556,2)</f>
        <v>ta</v>
      </c>
      <c r="AW557" s="40" t="str">
        <f>MID(Sheet1!AE556,2,3)</f>
        <v>ish</v>
      </c>
      <c r="AX557" s="42">
        <f>LEN(Sheet1!AE556)</f>
        <v>5</v>
      </c>
      <c r="AY557" s="40" t="str">
        <f>UPPER(Sheet1!AE556)</f>
        <v>NISHA</v>
      </c>
      <c r="AZ557" s="40" t="str">
        <f>LOWER(Sheet1!AE556)</f>
        <v>nisha</v>
      </c>
      <c r="BA557" s="40" t="str">
        <f>PROPER(Sheet1!AE556)</f>
        <v>Nisha</v>
      </c>
      <c r="BB557" s="40" t="str">
        <f>_xlfn.CONCAT(Sheet1!AE556," ",Sheet1!AF556)</f>
        <v>Nisha Gupta</v>
      </c>
    </row>
    <row r="558" spans="40:54">
      <c r="AN558" s="50" t="str">
        <f>Sheet1!B557</f>
        <v>17-07-2025</v>
      </c>
      <c r="AO558" s="50">
        <f t="shared" si="51"/>
        <v>14</v>
      </c>
      <c r="AP558" s="50">
        <f t="shared" si="52"/>
        <v>7</v>
      </c>
      <c r="AQ558" s="50">
        <f t="shared" si="53"/>
        <v>2025</v>
      </c>
      <c r="AR558" s="50" t="str">
        <f t="shared" si="54"/>
        <v>Jul-2025</v>
      </c>
      <c r="AS558" s="52">
        <f t="shared" si="55"/>
        <v>45852</v>
      </c>
      <c r="AT558" s="44">
        <f t="shared" ca="1" si="56"/>
        <v>426</v>
      </c>
      <c r="AU558" s="40" t="str">
        <f>LEFT(Sheet1!AE557,3)</f>
        <v>Pri</v>
      </c>
      <c r="AV558" s="40" t="str">
        <f>RIGHT(Sheet1!AF557,2)</f>
        <v>ar</v>
      </c>
      <c r="AW558" s="40" t="str">
        <f>MID(Sheet1!AE557,2,3)</f>
        <v>riy</v>
      </c>
      <c r="AX558" s="42">
        <f>LEN(Sheet1!AE557)</f>
        <v>5</v>
      </c>
      <c r="AY558" s="40" t="str">
        <f>UPPER(Sheet1!AE557)</f>
        <v>PRIYA</v>
      </c>
      <c r="AZ558" s="40" t="str">
        <f>LOWER(Sheet1!AE557)</f>
        <v>priya</v>
      </c>
      <c r="BA558" s="40" t="str">
        <f>PROPER(Sheet1!AE557)</f>
        <v>Priya</v>
      </c>
      <c r="BB558" s="40" t="str">
        <f>_xlfn.CONCAT(Sheet1!AE557," ",Sheet1!AF557)</f>
        <v>Priya Kumar</v>
      </c>
    </row>
    <row r="559" spans="40:54">
      <c r="AN559" s="50" t="str">
        <f>Sheet1!B558</f>
        <v>17-07-2025</v>
      </c>
      <c r="AO559" s="50">
        <f t="shared" si="51"/>
        <v>14</v>
      </c>
      <c r="AP559" s="50">
        <f t="shared" si="52"/>
        <v>7</v>
      </c>
      <c r="AQ559" s="50">
        <f t="shared" si="53"/>
        <v>2025</v>
      </c>
      <c r="AR559" s="50" t="str">
        <f t="shared" si="54"/>
        <v>Jul-2025</v>
      </c>
      <c r="AS559" s="52">
        <f t="shared" si="55"/>
        <v>45852</v>
      </c>
      <c r="AT559" s="44">
        <f t="shared" ca="1" si="56"/>
        <v>426</v>
      </c>
      <c r="AU559" s="40" t="str">
        <f>LEFT(Sheet1!AE558,3)</f>
        <v>Roh</v>
      </c>
      <c r="AV559" s="40" t="str">
        <f>RIGHT(Sheet1!AF558,2)</f>
        <v>ma</v>
      </c>
      <c r="AW559" s="40" t="str">
        <f>MID(Sheet1!AE558,2,3)</f>
        <v>oha</v>
      </c>
      <c r="AX559" s="42">
        <f>LEN(Sheet1!AE558)</f>
        <v>5</v>
      </c>
      <c r="AY559" s="40" t="str">
        <f>UPPER(Sheet1!AE558)</f>
        <v>ROHAN</v>
      </c>
      <c r="AZ559" s="40" t="str">
        <f>LOWER(Sheet1!AE558)</f>
        <v>rohan</v>
      </c>
      <c r="BA559" s="40" t="str">
        <f>PROPER(Sheet1!AE558)</f>
        <v>Rohan</v>
      </c>
      <c r="BB559" s="40" t="str">
        <f>_xlfn.CONCAT(Sheet1!AE558," ",Sheet1!AF558)</f>
        <v>Rohan Verma</v>
      </c>
    </row>
    <row r="560" spans="40:54">
      <c r="AN560" s="50" t="str">
        <f>Sheet1!B559</f>
        <v>17-07-2025</v>
      </c>
      <c r="AO560" s="50">
        <f t="shared" si="51"/>
        <v>14</v>
      </c>
      <c r="AP560" s="50">
        <f t="shared" si="52"/>
        <v>7</v>
      </c>
      <c r="AQ560" s="50">
        <f t="shared" si="53"/>
        <v>2025</v>
      </c>
      <c r="AR560" s="50" t="str">
        <f t="shared" si="54"/>
        <v>Jul-2025</v>
      </c>
      <c r="AS560" s="52">
        <f t="shared" si="55"/>
        <v>45852</v>
      </c>
      <c r="AT560" s="44">
        <f t="shared" ca="1" si="56"/>
        <v>426</v>
      </c>
      <c r="AU560" s="40" t="str">
        <f>LEFT(Sheet1!AE559,3)</f>
        <v>Adi</v>
      </c>
      <c r="AV560" s="40" t="str">
        <f>RIGHT(Sheet1!AF559,2)</f>
        <v>al</v>
      </c>
      <c r="AW560" s="40" t="str">
        <f>MID(Sheet1!AE559,2,3)</f>
        <v>dit</v>
      </c>
      <c r="AX560" s="42">
        <f>LEN(Sheet1!AE559)</f>
        <v>5</v>
      </c>
      <c r="AY560" s="40" t="str">
        <f>UPPER(Sheet1!AE559)</f>
        <v>ADITI</v>
      </c>
      <c r="AZ560" s="40" t="str">
        <f>LOWER(Sheet1!AE559)</f>
        <v>aditi</v>
      </c>
      <c r="BA560" s="40" t="str">
        <f>PROPER(Sheet1!AE559)</f>
        <v>Aditi</v>
      </c>
      <c r="BB560" s="40" t="str">
        <f>_xlfn.CONCAT(Sheet1!AE559," ",Sheet1!AF559)</f>
        <v>Aditi Bansal</v>
      </c>
    </row>
    <row r="561" spans="40:54">
      <c r="AN561" s="50" t="str">
        <f>Sheet1!B560</f>
        <v>17-07-2025</v>
      </c>
      <c r="AO561" s="50">
        <f t="shared" si="51"/>
        <v>14</v>
      </c>
      <c r="AP561" s="50">
        <f t="shared" si="52"/>
        <v>7</v>
      </c>
      <c r="AQ561" s="50">
        <f t="shared" si="53"/>
        <v>2025</v>
      </c>
      <c r="AR561" s="50" t="str">
        <f t="shared" si="54"/>
        <v>Jul-2025</v>
      </c>
      <c r="AS561" s="52">
        <f t="shared" si="55"/>
        <v>45852</v>
      </c>
      <c r="AT561" s="44">
        <f t="shared" ca="1" si="56"/>
        <v>426</v>
      </c>
      <c r="AU561" s="40" t="str">
        <f>LEFT(Sheet1!AE560,3)</f>
        <v>Poo</v>
      </c>
      <c r="AV561" s="40" t="str">
        <f>RIGHT(Sheet1!AF560,2)</f>
        <v>ma</v>
      </c>
      <c r="AW561" s="40" t="str">
        <f>MID(Sheet1!AE560,2,3)</f>
        <v>ooj</v>
      </c>
      <c r="AX561" s="42">
        <f>LEN(Sheet1!AE560)</f>
        <v>5</v>
      </c>
      <c r="AY561" s="40" t="str">
        <f>UPPER(Sheet1!AE560)</f>
        <v>POOJA</v>
      </c>
      <c r="AZ561" s="40" t="str">
        <f>LOWER(Sheet1!AE560)</f>
        <v>pooja</v>
      </c>
      <c r="BA561" s="40" t="str">
        <f>PROPER(Sheet1!AE560)</f>
        <v>Pooja</v>
      </c>
      <c r="BB561" s="40" t="str">
        <f>_xlfn.CONCAT(Sheet1!AE560," ",Sheet1!AF560)</f>
        <v>Pooja Sharma</v>
      </c>
    </row>
    <row r="562" spans="40:54">
      <c r="AN562" s="50" t="str">
        <f>Sheet1!B561</f>
        <v>17-08-2024</v>
      </c>
      <c r="AO562" s="50">
        <f t="shared" si="51"/>
        <v>14</v>
      </c>
      <c r="AP562" s="50">
        <f t="shared" si="52"/>
        <v>8</v>
      </c>
      <c r="AQ562" s="50">
        <f t="shared" si="53"/>
        <v>2024</v>
      </c>
      <c r="AR562" s="50" t="str">
        <f t="shared" si="54"/>
        <v>Aug-2024</v>
      </c>
      <c r="AS562" s="52">
        <f t="shared" si="55"/>
        <v>45518</v>
      </c>
      <c r="AT562" s="44">
        <f t="shared" ca="1" si="56"/>
        <v>760</v>
      </c>
      <c r="AU562" s="40" t="str">
        <f>LEFT(Sheet1!AE561,3)</f>
        <v>Arj</v>
      </c>
      <c r="AV562" s="40" t="str">
        <f>RIGHT(Sheet1!AF561,2)</f>
        <v>ta</v>
      </c>
      <c r="AW562" s="40" t="str">
        <f>MID(Sheet1!AE561,2,3)</f>
        <v>rju</v>
      </c>
      <c r="AX562" s="42">
        <f>LEN(Sheet1!AE561)</f>
        <v>5</v>
      </c>
      <c r="AY562" s="40" t="str">
        <f>UPPER(Sheet1!AE561)</f>
        <v>ARJUN</v>
      </c>
      <c r="AZ562" s="40" t="str">
        <f>LOWER(Sheet1!AE561)</f>
        <v>arjun</v>
      </c>
      <c r="BA562" s="40" t="str">
        <f>PROPER(Sheet1!AE561)</f>
        <v>Arjun</v>
      </c>
      <c r="BB562" s="40" t="str">
        <f>_xlfn.CONCAT(Sheet1!AE561," ",Sheet1!AF561)</f>
        <v>Arjun Mehta</v>
      </c>
    </row>
    <row r="563" spans="40:54">
      <c r="AN563" s="50" t="str">
        <f>Sheet1!B562</f>
        <v>17-08-2025</v>
      </c>
      <c r="AO563" s="50">
        <f t="shared" si="51"/>
        <v>14</v>
      </c>
      <c r="AP563" s="50">
        <f t="shared" si="52"/>
        <v>8</v>
      </c>
      <c r="AQ563" s="50">
        <f t="shared" si="53"/>
        <v>2025</v>
      </c>
      <c r="AR563" s="50" t="str">
        <f t="shared" si="54"/>
        <v>Aug-2025</v>
      </c>
      <c r="AS563" s="52">
        <f t="shared" si="55"/>
        <v>45883</v>
      </c>
      <c r="AT563" s="44">
        <f t="shared" ca="1" si="56"/>
        <v>395</v>
      </c>
      <c r="AU563" s="40" t="str">
        <f>LEFT(Sheet1!AE562,3)</f>
        <v>Adi</v>
      </c>
      <c r="AV563" s="40" t="str">
        <f>RIGHT(Sheet1!AF562,2)</f>
        <v>ma</v>
      </c>
      <c r="AW563" s="40" t="str">
        <f>MID(Sheet1!AE562,2,3)</f>
        <v>dit</v>
      </c>
      <c r="AX563" s="42">
        <f>LEN(Sheet1!AE562)</f>
        <v>6</v>
      </c>
      <c r="AY563" s="40" t="str">
        <f>UPPER(Sheet1!AE562)</f>
        <v>ADITYA</v>
      </c>
      <c r="AZ563" s="40" t="str">
        <f>LOWER(Sheet1!AE562)</f>
        <v>aditya</v>
      </c>
      <c r="BA563" s="40" t="str">
        <f>PROPER(Sheet1!AE562)</f>
        <v>Aditya</v>
      </c>
      <c r="BB563" s="40" t="str">
        <f>_xlfn.CONCAT(Sheet1!AE562," ",Sheet1!AF562)</f>
        <v>Aditya Sharma</v>
      </c>
    </row>
    <row r="564" spans="40:54">
      <c r="AN564" s="50" t="str">
        <f>Sheet1!B563</f>
        <v>17-08-2025</v>
      </c>
      <c r="AO564" s="50">
        <f t="shared" si="51"/>
        <v>14</v>
      </c>
      <c r="AP564" s="50">
        <f t="shared" si="52"/>
        <v>8</v>
      </c>
      <c r="AQ564" s="50">
        <f t="shared" si="53"/>
        <v>2025</v>
      </c>
      <c r="AR564" s="50" t="str">
        <f t="shared" si="54"/>
        <v>Aug-2025</v>
      </c>
      <c r="AS564" s="52">
        <f t="shared" si="55"/>
        <v>45883</v>
      </c>
      <c r="AT564" s="44">
        <f t="shared" ca="1" si="56"/>
        <v>395</v>
      </c>
      <c r="AU564" s="40" t="str">
        <f>LEFT(Sheet1!AE563,3)</f>
        <v>Sne</v>
      </c>
      <c r="AV564" s="40" t="str">
        <f>RIGHT(Sheet1!AF563,2)</f>
        <v>ra</v>
      </c>
      <c r="AW564" s="40" t="str">
        <f>MID(Sheet1!AE563,2,3)</f>
        <v>neh</v>
      </c>
      <c r="AX564" s="42">
        <f>LEN(Sheet1!AE563)</f>
        <v>5</v>
      </c>
      <c r="AY564" s="40" t="str">
        <f>UPPER(Sheet1!AE563)</f>
        <v>SNEHA</v>
      </c>
      <c r="AZ564" s="40" t="str">
        <f>LOWER(Sheet1!AE563)</f>
        <v>sneha</v>
      </c>
      <c r="BA564" s="40" t="str">
        <f>PROPER(Sheet1!AE563)</f>
        <v>Sneha</v>
      </c>
      <c r="BB564" s="40" t="str">
        <f>_xlfn.CONCAT(Sheet1!AE563," ",Sheet1!AF563)</f>
        <v>Sneha Mishra</v>
      </c>
    </row>
    <row r="565" spans="40:54">
      <c r="AN565" s="50" t="str">
        <f>Sheet1!B564</f>
        <v>17-09-2024</v>
      </c>
      <c r="AO565" s="50">
        <f t="shared" si="51"/>
        <v>14</v>
      </c>
      <c r="AP565" s="50">
        <f t="shared" si="52"/>
        <v>9</v>
      </c>
      <c r="AQ565" s="50">
        <f t="shared" si="53"/>
        <v>2024</v>
      </c>
      <c r="AR565" s="50" t="str">
        <f t="shared" si="54"/>
        <v>Sep-2024</v>
      </c>
      <c r="AS565" s="52">
        <f t="shared" si="55"/>
        <v>45549</v>
      </c>
      <c r="AT565" s="44">
        <f t="shared" ca="1" si="56"/>
        <v>729</v>
      </c>
      <c r="AU565" s="40" t="str">
        <f>LEFT(Sheet1!AE564,3)</f>
        <v>Rah</v>
      </c>
      <c r="AV565" s="40" t="str">
        <f>RIGHT(Sheet1!AF564,2)</f>
        <v>ra</v>
      </c>
      <c r="AW565" s="40" t="str">
        <f>MID(Sheet1!AE564,2,3)</f>
        <v>ahu</v>
      </c>
      <c r="AX565" s="42">
        <f>LEN(Sheet1!AE564)</f>
        <v>5</v>
      </c>
      <c r="AY565" s="40" t="str">
        <f>UPPER(Sheet1!AE564)</f>
        <v>RAHUL</v>
      </c>
      <c r="AZ565" s="40" t="str">
        <f>LOWER(Sheet1!AE564)</f>
        <v>rahul</v>
      </c>
      <c r="BA565" s="40" t="str">
        <f>PROPER(Sheet1!AE564)</f>
        <v>Rahul</v>
      </c>
      <c r="BB565" s="40" t="str">
        <f>_xlfn.CONCAT(Sheet1!AE564," ",Sheet1!AF564)</f>
        <v>Rahul Malhotra</v>
      </c>
    </row>
    <row r="566" spans="40:54">
      <c r="AN566" s="50" t="str">
        <f>Sheet1!B565</f>
        <v>17-09-2024</v>
      </c>
      <c r="AO566" s="50">
        <f t="shared" si="51"/>
        <v>14</v>
      </c>
      <c r="AP566" s="50">
        <f t="shared" si="52"/>
        <v>9</v>
      </c>
      <c r="AQ566" s="50">
        <f t="shared" si="53"/>
        <v>2024</v>
      </c>
      <c r="AR566" s="50" t="str">
        <f t="shared" si="54"/>
        <v>Sep-2024</v>
      </c>
      <c r="AS566" s="52">
        <f t="shared" si="55"/>
        <v>45549</v>
      </c>
      <c r="AT566" s="44">
        <f t="shared" ca="1" si="56"/>
        <v>729</v>
      </c>
      <c r="AU566" s="40" t="str">
        <f>LEFT(Sheet1!AE565,3)</f>
        <v>Pri</v>
      </c>
      <c r="AV566" s="40" t="str">
        <f>RIGHT(Sheet1!AF565,2)</f>
        <v>al</v>
      </c>
      <c r="AW566" s="40" t="str">
        <f>MID(Sheet1!AE565,2,3)</f>
        <v>riy</v>
      </c>
      <c r="AX566" s="42">
        <f>LEN(Sheet1!AE565)</f>
        <v>5</v>
      </c>
      <c r="AY566" s="40" t="str">
        <f>UPPER(Sheet1!AE565)</f>
        <v>PRIYA</v>
      </c>
      <c r="AZ566" s="40" t="str">
        <f>LOWER(Sheet1!AE565)</f>
        <v>priya</v>
      </c>
      <c r="BA566" s="40" t="str">
        <f>PROPER(Sheet1!AE565)</f>
        <v>Priya</v>
      </c>
      <c r="BB566" s="40" t="str">
        <f>_xlfn.CONCAT(Sheet1!AE565," ",Sheet1!AF565)</f>
        <v>Priya Bansal</v>
      </c>
    </row>
    <row r="567" spans="40:54">
      <c r="AN567" s="50" t="str">
        <f>Sheet1!B566</f>
        <v>17-09-2024</v>
      </c>
      <c r="AO567" s="50">
        <f t="shared" si="51"/>
        <v>14</v>
      </c>
      <c r="AP567" s="50">
        <f t="shared" si="52"/>
        <v>9</v>
      </c>
      <c r="AQ567" s="50">
        <f t="shared" si="53"/>
        <v>2024</v>
      </c>
      <c r="AR567" s="50" t="str">
        <f t="shared" si="54"/>
        <v>Sep-2024</v>
      </c>
      <c r="AS567" s="52">
        <f t="shared" si="55"/>
        <v>45549</v>
      </c>
      <c r="AT567" s="44">
        <f t="shared" ca="1" si="56"/>
        <v>729</v>
      </c>
      <c r="AU567" s="40" t="str">
        <f>LEFT(Sheet1!AE566,3)</f>
        <v>Adi</v>
      </c>
      <c r="AV567" s="40" t="str">
        <f>RIGHT(Sheet1!AF566,2)</f>
        <v>ta</v>
      </c>
      <c r="AW567" s="40" t="str">
        <f>MID(Sheet1!AE566,2,3)</f>
        <v>dit</v>
      </c>
      <c r="AX567" s="42">
        <f>LEN(Sheet1!AE566)</f>
        <v>5</v>
      </c>
      <c r="AY567" s="40" t="str">
        <f>UPPER(Sheet1!AE566)</f>
        <v>ADITI</v>
      </c>
      <c r="AZ567" s="40" t="str">
        <f>LOWER(Sheet1!AE566)</f>
        <v>aditi</v>
      </c>
      <c r="BA567" s="40" t="str">
        <f>PROPER(Sheet1!AE566)</f>
        <v>Aditi</v>
      </c>
      <c r="BB567" s="40" t="str">
        <f>_xlfn.CONCAT(Sheet1!AE566," ",Sheet1!AF566)</f>
        <v>Aditi Mehta</v>
      </c>
    </row>
    <row r="568" spans="40:54">
      <c r="AN568" s="50" t="str">
        <f>Sheet1!B567</f>
        <v>17-09-2024</v>
      </c>
      <c r="AO568" s="50">
        <f t="shared" si="51"/>
        <v>14</v>
      </c>
      <c r="AP568" s="50">
        <f t="shared" si="52"/>
        <v>9</v>
      </c>
      <c r="AQ568" s="50">
        <f t="shared" si="53"/>
        <v>2024</v>
      </c>
      <c r="AR568" s="50" t="str">
        <f t="shared" si="54"/>
        <v>Sep-2024</v>
      </c>
      <c r="AS568" s="52">
        <f t="shared" si="55"/>
        <v>45549</v>
      </c>
      <c r="AT568" s="44">
        <f t="shared" ca="1" si="56"/>
        <v>729</v>
      </c>
      <c r="AU568" s="40" t="str">
        <f>LEFT(Sheet1!AE567,3)</f>
        <v>Neh</v>
      </c>
      <c r="AV568" s="40" t="str">
        <f>RIGHT(Sheet1!AF567,2)</f>
        <v>al</v>
      </c>
      <c r="AW568" s="40" t="str">
        <f>MID(Sheet1!AE567,2,3)</f>
        <v>eha</v>
      </c>
      <c r="AX568" s="42">
        <f>LEN(Sheet1!AE567)</f>
        <v>4</v>
      </c>
      <c r="AY568" s="40" t="str">
        <f>UPPER(Sheet1!AE567)</f>
        <v>NEHA</v>
      </c>
      <c r="AZ568" s="40" t="str">
        <f>LOWER(Sheet1!AE567)</f>
        <v>neha</v>
      </c>
      <c r="BA568" s="40" t="str">
        <f>PROPER(Sheet1!AE567)</f>
        <v>Neha</v>
      </c>
      <c r="BB568" s="40" t="str">
        <f>_xlfn.CONCAT(Sheet1!AE567," ",Sheet1!AF567)</f>
        <v>Neha Agarwal</v>
      </c>
    </row>
    <row r="569" spans="40:54">
      <c r="AN569" s="50" t="str">
        <f>Sheet1!B568</f>
        <v>17-09-2025</v>
      </c>
      <c r="AO569" s="50">
        <f t="shared" si="51"/>
        <v>14</v>
      </c>
      <c r="AP569" s="50">
        <f t="shared" si="52"/>
        <v>9</v>
      </c>
      <c r="AQ569" s="50">
        <f t="shared" si="53"/>
        <v>2025</v>
      </c>
      <c r="AR569" s="50" t="str">
        <f t="shared" si="54"/>
        <v>Sep-2025</v>
      </c>
      <c r="AS569" s="52">
        <f t="shared" si="55"/>
        <v>45914</v>
      </c>
      <c r="AT569" s="44">
        <f t="shared" ca="1" si="56"/>
        <v>364</v>
      </c>
      <c r="AU569" s="40" t="str">
        <f>LEFT(Sheet1!AE568,3)</f>
        <v>Aar</v>
      </c>
      <c r="AV569" s="40" t="str">
        <f>RIGHT(Sheet1!AF568,2)</f>
        <v>al</v>
      </c>
      <c r="AW569" s="40" t="str">
        <f>MID(Sheet1!AE568,2,3)</f>
        <v>ara</v>
      </c>
      <c r="AX569" s="42">
        <f>LEN(Sheet1!AE568)</f>
        <v>5</v>
      </c>
      <c r="AY569" s="40" t="str">
        <f>UPPER(Sheet1!AE568)</f>
        <v>AARAV</v>
      </c>
      <c r="AZ569" s="40" t="str">
        <f>LOWER(Sheet1!AE568)</f>
        <v>aarav</v>
      </c>
      <c r="BA569" s="40" t="str">
        <f>PROPER(Sheet1!AE568)</f>
        <v>Aarav</v>
      </c>
      <c r="BB569" s="40" t="str">
        <f>_xlfn.CONCAT(Sheet1!AE568," ",Sheet1!AF568)</f>
        <v>Aarav Agarwal</v>
      </c>
    </row>
    <row r="570" spans="40:54">
      <c r="AN570" s="50" t="str">
        <f>Sheet1!B569</f>
        <v>17-10-2024</v>
      </c>
      <c r="AO570" s="50">
        <f t="shared" si="51"/>
        <v>14</v>
      </c>
      <c r="AP570" s="50">
        <f t="shared" si="52"/>
        <v>10</v>
      </c>
      <c r="AQ570" s="50">
        <f t="shared" si="53"/>
        <v>2024</v>
      </c>
      <c r="AR570" s="50" t="str">
        <f t="shared" si="54"/>
        <v>Oct-2024</v>
      </c>
      <c r="AS570" s="52">
        <f t="shared" si="55"/>
        <v>45579</v>
      </c>
      <c r="AT570" s="44">
        <f t="shared" ca="1" si="56"/>
        <v>699</v>
      </c>
      <c r="AU570" s="40" t="str">
        <f>LEFT(Sheet1!AE569,3)</f>
        <v>Mee</v>
      </c>
      <c r="AV570" s="40" t="str">
        <f>RIGHT(Sheet1!AF569,2)</f>
        <v>in</v>
      </c>
      <c r="AW570" s="40" t="str">
        <f>MID(Sheet1!AE569,2,3)</f>
        <v>eer</v>
      </c>
      <c r="AX570" s="42">
        <f>LEN(Sheet1!AE569)</f>
        <v>5</v>
      </c>
      <c r="AY570" s="40" t="str">
        <f>UPPER(Sheet1!AE569)</f>
        <v>MEERA</v>
      </c>
      <c r="AZ570" s="40" t="str">
        <f>LOWER(Sheet1!AE569)</f>
        <v>meera</v>
      </c>
      <c r="BA570" s="40" t="str">
        <f>PROPER(Sheet1!AE569)</f>
        <v>Meera</v>
      </c>
      <c r="BB570" s="40" t="str">
        <f>_xlfn.CONCAT(Sheet1!AE569," ",Sheet1!AF569)</f>
        <v>Meera Jain</v>
      </c>
    </row>
    <row r="571" spans="40:54">
      <c r="AN571" s="50" t="str">
        <f>Sheet1!B570</f>
        <v>17-10-2024</v>
      </c>
      <c r="AO571" s="50">
        <f t="shared" si="51"/>
        <v>14</v>
      </c>
      <c r="AP571" s="50">
        <f t="shared" si="52"/>
        <v>10</v>
      </c>
      <c r="AQ571" s="50">
        <f t="shared" si="53"/>
        <v>2024</v>
      </c>
      <c r="AR571" s="50" t="str">
        <f t="shared" si="54"/>
        <v>Oct-2024</v>
      </c>
      <c r="AS571" s="52">
        <f t="shared" si="55"/>
        <v>45579</v>
      </c>
      <c r="AT571" s="44">
        <f t="shared" ca="1" si="56"/>
        <v>699</v>
      </c>
      <c r="AU571" s="40" t="str">
        <f>LEFT(Sheet1!AE570,3)</f>
        <v>Kav</v>
      </c>
      <c r="AV571" s="40" t="str">
        <f>RIGHT(Sheet1!AF570,2)</f>
        <v>al</v>
      </c>
      <c r="AW571" s="40" t="str">
        <f>MID(Sheet1!AE570,2,3)</f>
        <v>avy</v>
      </c>
      <c r="AX571" s="42">
        <f>LEN(Sheet1!AE570)</f>
        <v>5</v>
      </c>
      <c r="AY571" s="40" t="str">
        <f>UPPER(Sheet1!AE570)</f>
        <v>KAVYA</v>
      </c>
      <c r="AZ571" s="40" t="str">
        <f>LOWER(Sheet1!AE570)</f>
        <v>kavya</v>
      </c>
      <c r="BA571" s="40" t="str">
        <f>PROPER(Sheet1!AE570)</f>
        <v>Kavya</v>
      </c>
      <c r="BB571" s="40" t="str">
        <f>_xlfn.CONCAT(Sheet1!AE570," ",Sheet1!AF570)</f>
        <v>Kavya Agarwal</v>
      </c>
    </row>
    <row r="572" spans="40:54">
      <c r="AN572" s="50" t="str">
        <f>Sheet1!B571</f>
        <v>17-10-2025</v>
      </c>
      <c r="AO572" s="50">
        <f t="shared" si="51"/>
        <v>14</v>
      </c>
      <c r="AP572" s="50">
        <f t="shared" si="52"/>
        <v>10</v>
      </c>
      <c r="AQ572" s="50">
        <f t="shared" si="53"/>
        <v>2025</v>
      </c>
      <c r="AR572" s="50" t="str">
        <f t="shared" si="54"/>
        <v>Oct-2025</v>
      </c>
      <c r="AS572" s="52">
        <f t="shared" si="55"/>
        <v>45944</v>
      </c>
      <c r="AT572" s="44">
        <f t="shared" ca="1" si="56"/>
        <v>334</v>
      </c>
      <c r="AU572" s="40" t="str">
        <f>LEFT(Sheet1!AE571,3)</f>
        <v>Nis</v>
      </c>
      <c r="AV572" s="40" t="str">
        <f>RIGHT(Sheet1!AF571,2)</f>
        <v>gh</v>
      </c>
      <c r="AW572" s="40" t="str">
        <f>MID(Sheet1!AE571,2,3)</f>
        <v>ish</v>
      </c>
      <c r="AX572" s="42">
        <f>LEN(Sheet1!AE571)</f>
        <v>5</v>
      </c>
      <c r="AY572" s="40" t="str">
        <f>UPPER(Sheet1!AE571)</f>
        <v>NISHA</v>
      </c>
      <c r="AZ572" s="40" t="str">
        <f>LOWER(Sheet1!AE571)</f>
        <v>nisha</v>
      </c>
      <c r="BA572" s="40" t="str">
        <f>PROPER(Sheet1!AE571)</f>
        <v>Nisha</v>
      </c>
      <c r="BB572" s="40" t="str">
        <f>_xlfn.CONCAT(Sheet1!AE571," ",Sheet1!AF571)</f>
        <v>Nisha Singh</v>
      </c>
    </row>
    <row r="573" spans="40:54">
      <c r="AN573" s="50" t="str">
        <f>Sheet1!B572</f>
        <v>17-10-2025</v>
      </c>
      <c r="AO573" s="50">
        <f t="shared" si="51"/>
        <v>14</v>
      </c>
      <c r="AP573" s="50">
        <f t="shared" si="52"/>
        <v>10</v>
      </c>
      <c r="AQ573" s="50">
        <f t="shared" si="53"/>
        <v>2025</v>
      </c>
      <c r="AR573" s="50" t="str">
        <f t="shared" si="54"/>
        <v>Oct-2025</v>
      </c>
      <c r="AS573" s="52">
        <f t="shared" si="55"/>
        <v>45944</v>
      </c>
      <c r="AT573" s="44">
        <f t="shared" ca="1" si="56"/>
        <v>334</v>
      </c>
      <c r="AU573" s="40" t="str">
        <f>LEFT(Sheet1!AE572,3)</f>
        <v>Pri</v>
      </c>
      <c r="AV573" s="40" t="str">
        <f>RIGHT(Sheet1!AF572,2)</f>
        <v>ra</v>
      </c>
      <c r="AW573" s="40" t="str">
        <f>MID(Sheet1!AE572,2,3)</f>
        <v>riy</v>
      </c>
      <c r="AX573" s="42">
        <f>LEN(Sheet1!AE572)</f>
        <v>5</v>
      </c>
      <c r="AY573" s="40" t="str">
        <f>UPPER(Sheet1!AE572)</f>
        <v>PRIYA</v>
      </c>
      <c r="AZ573" s="40" t="str">
        <f>LOWER(Sheet1!AE572)</f>
        <v>priya</v>
      </c>
      <c r="BA573" s="40" t="str">
        <f>PROPER(Sheet1!AE572)</f>
        <v>Priya</v>
      </c>
      <c r="BB573" s="40" t="str">
        <f>_xlfn.CONCAT(Sheet1!AE572," ",Sheet1!AF572)</f>
        <v>Priya Chopra</v>
      </c>
    </row>
    <row r="574" spans="40:54">
      <c r="AN574" s="50" t="str">
        <f>Sheet1!B573</f>
        <v>17-11-2024</v>
      </c>
      <c r="AO574" s="50">
        <f t="shared" si="51"/>
        <v>14</v>
      </c>
      <c r="AP574" s="50">
        <f t="shared" si="52"/>
        <v>11</v>
      </c>
      <c r="AQ574" s="50">
        <f t="shared" si="53"/>
        <v>2024</v>
      </c>
      <c r="AR574" s="50" t="str">
        <f t="shared" si="54"/>
        <v>Nov-2024</v>
      </c>
      <c r="AS574" s="52">
        <f t="shared" si="55"/>
        <v>45610</v>
      </c>
      <c r="AT574" s="44">
        <f t="shared" ca="1" si="56"/>
        <v>668</v>
      </c>
      <c r="AU574" s="40" t="str">
        <f>LEFT(Sheet1!AE573,3)</f>
        <v>Mee</v>
      </c>
      <c r="AV574" s="40" t="str">
        <f>RIGHT(Sheet1!AF573,2)</f>
        <v>av</v>
      </c>
      <c r="AW574" s="40" t="str">
        <f>MID(Sheet1!AE573,2,3)</f>
        <v>eer</v>
      </c>
      <c r="AX574" s="42">
        <f>LEN(Sheet1!AE573)</f>
        <v>5</v>
      </c>
      <c r="AY574" s="40" t="str">
        <f>UPPER(Sheet1!AE573)</f>
        <v>MEERA</v>
      </c>
      <c r="AZ574" s="40" t="str">
        <f>LOWER(Sheet1!AE573)</f>
        <v>meera</v>
      </c>
      <c r="BA574" s="40" t="str">
        <f>PROPER(Sheet1!AE573)</f>
        <v>Meera</v>
      </c>
      <c r="BB574" s="40" t="str">
        <f>_xlfn.CONCAT(Sheet1!AE573," ",Sheet1!AF573)</f>
        <v>Meera Yadav</v>
      </c>
    </row>
    <row r="575" spans="40:54">
      <c r="AN575" s="50" t="str">
        <f>Sheet1!B574</f>
        <v>17-11-2024</v>
      </c>
      <c r="AO575" s="50">
        <f t="shared" si="51"/>
        <v>14</v>
      </c>
      <c r="AP575" s="50">
        <f t="shared" si="52"/>
        <v>11</v>
      </c>
      <c r="AQ575" s="50">
        <f t="shared" si="53"/>
        <v>2024</v>
      </c>
      <c r="AR575" s="50" t="str">
        <f t="shared" si="54"/>
        <v>Nov-2024</v>
      </c>
      <c r="AS575" s="52">
        <f t="shared" si="55"/>
        <v>45610</v>
      </c>
      <c r="AT575" s="44">
        <f t="shared" ca="1" si="56"/>
        <v>668</v>
      </c>
      <c r="AU575" s="40" t="str">
        <f>LEFT(Sheet1!AE574,3)</f>
        <v>Sim</v>
      </c>
      <c r="AV575" s="40" t="str">
        <f>RIGHT(Sheet1!AF574,2)</f>
        <v>av</v>
      </c>
      <c r="AW575" s="40" t="str">
        <f>MID(Sheet1!AE574,2,3)</f>
        <v>imr</v>
      </c>
      <c r="AX575" s="42">
        <f>LEN(Sheet1!AE574)</f>
        <v>6</v>
      </c>
      <c r="AY575" s="40" t="str">
        <f>UPPER(Sheet1!AE574)</f>
        <v>SIMRAN</v>
      </c>
      <c r="AZ575" s="40" t="str">
        <f>LOWER(Sheet1!AE574)</f>
        <v>simran</v>
      </c>
      <c r="BA575" s="40" t="str">
        <f>PROPER(Sheet1!AE574)</f>
        <v>Simran</v>
      </c>
      <c r="BB575" s="40" t="str">
        <f>_xlfn.CONCAT(Sheet1!AE574," ",Sheet1!AF574)</f>
        <v>Simran Yadav</v>
      </c>
    </row>
    <row r="576" spans="40:54">
      <c r="AN576" s="50" t="str">
        <f>Sheet1!B575</f>
        <v>17-11-2024</v>
      </c>
      <c r="AO576" s="50">
        <f t="shared" si="51"/>
        <v>14</v>
      </c>
      <c r="AP576" s="50">
        <f t="shared" si="52"/>
        <v>11</v>
      </c>
      <c r="AQ576" s="50">
        <f t="shared" si="53"/>
        <v>2024</v>
      </c>
      <c r="AR576" s="50" t="str">
        <f t="shared" si="54"/>
        <v>Nov-2024</v>
      </c>
      <c r="AS576" s="52">
        <f t="shared" si="55"/>
        <v>45610</v>
      </c>
      <c r="AT576" s="44">
        <f t="shared" ca="1" si="56"/>
        <v>668</v>
      </c>
      <c r="AU576" s="40" t="str">
        <f>LEFT(Sheet1!AE575,3)</f>
        <v>Kar</v>
      </c>
      <c r="AV576" s="40" t="str">
        <f>RIGHT(Sheet1!AF575,2)</f>
        <v>ra</v>
      </c>
      <c r="AW576" s="40" t="str">
        <f>MID(Sheet1!AE575,2,3)</f>
        <v>ara</v>
      </c>
      <c r="AX576" s="42">
        <f>LEN(Sheet1!AE575)</f>
        <v>5</v>
      </c>
      <c r="AY576" s="40" t="str">
        <f>UPPER(Sheet1!AE575)</f>
        <v>KARAN</v>
      </c>
      <c r="AZ576" s="40" t="str">
        <f>LOWER(Sheet1!AE575)</f>
        <v>karan</v>
      </c>
      <c r="BA576" s="40" t="str">
        <f>PROPER(Sheet1!AE575)</f>
        <v>Karan</v>
      </c>
      <c r="BB576" s="40" t="str">
        <f>_xlfn.CONCAT(Sheet1!AE575," ",Sheet1!AF575)</f>
        <v>Karan Chopra</v>
      </c>
    </row>
    <row r="577" spans="40:54">
      <c r="AN577" s="50" t="str">
        <f>Sheet1!B576</f>
        <v>17-11-2025</v>
      </c>
      <c r="AO577" s="50">
        <f t="shared" ref="AO577:AO640" si="57">IFERROR(DAY(AN452),VALUE(LEFT(AN452,2)))</f>
        <v>14</v>
      </c>
      <c r="AP577" s="50">
        <f t="shared" si="52"/>
        <v>11</v>
      </c>
      <c r="AQ577" s="50">
        <f t="shared" si="53"/>
        <v>2025</v>
      </c>
      <c r="AR577" s="50" t="str">
        <f t="shared" si="54"/>
        <v>Nov-2025</v>
      </c>
      <c r="AS577" s="52">
        <f t="shared" si="55"/>
        <v>45975</v>
      </c>
      <c r="AT577" s="44">
        <f t="shared" ca="1" si="56"/>
        <v>303</v>
      </c>
      <c r="AU577" s="40" t="str">
        <f>LEFT(Sheet1!AE576,3)</f>
        <v>Nis</v>
      </c>
      <c r="AV577" s="40" t="str">
        <f>RIGHT(Sheet1!AF576,2)</f>
        <v>in</v>
      </c>
      <c r="AW577" s="40" t="str">
        <f>MID(Sheet1!AE576,2,3)</f>
        <v>ish</v>
      </c>
      <c r="AX577" s="42">
        <f>LEN(Sheet1!AE576)</f>
        <v>5</v>
      </c>
      <c r="AY577" s="40" t="str">
        <f>UPPER(Sheet1!AE576)</f>
        <v>NISHA</v>
      </c>
      <c r="AZ577" s="40" t="str">
        <f>LOWER(Sheet1!AE576)</f>
        <v>nisha</v>
      </c>
      <c r="BA577" s="40" t="str">
        <f>PROPER(Sheet1!AE576)</f>
        <v>Nisha</v>
      </c>
      <c r="BB577" s="40" t="str">
        <f>_xlfn.CONCAT(Sheet1!AE576," ",Sheet1!AF576)</f>
        <v>Nisha Jain</v>
      </c>
    </row>
    <row r="578" spans="40:54">
      <c r="AN578" s="50" t="str">
        <f>Sheet1!B577</f>
        <v>17-12-2024</v>
      </c>
      <c r="AO578" s="50">
        <f t="shared" si="57"/>
        <v>14</v>
      </c>
      <c r="AP578" s="50">
        <f t="shared" si="52"/>
        <v>12</v>
      </c>
      <c r="AQ578" s="50">
        <f t="shared" si="53"/>
        <v>2024</v>
      </c>
      <c r="AR578" s="50" t="str">
        <f t="shared" si="54"/>
        <v>Dec-2024</v>
      </c>
      <c r="AS578" s="52">
        <f t="shared" si="55"/>
        <v>45640</v>
      </c>
      <c r="AT578" s="44">
        <f t="shared" ca="1" si="56"/>
        <v>638</v>
      </c>
      <c r="AU578" s="40" t="str">
        <f>LEFT(Sheet1!AE577,3)</f>
        <v>Viv</v>
      </c>
      <c r="AV578" s="40" t="str">
        <f>RIGHT(Sheet1!AF577,2)</f>
        <v>ma</v>
      </c>
      <c r="AW578" s="40" t="str">
        <f>MID(Sheet1!AE577,2,3)</f>
        <v>iva</v>
      </c>
      <c r="AX578" s="42">
        <f>LEN(Sheet1!AE577)</f>
        <v>6</v>
      </c>
      <c r="AY578" s="40" t="str">
        <f>UPPER(Sheet1!AE577)</f>
        <v>VIVAAN</v>
      </c>
      <c r="AZ578" s="40" t="str">
        <f>LOWER(Sheet1!AE577)</f>
        <v>vivaan</v>
      </c>
      <c r="BA578" s="40" t="str">
        <f>PROPER(Sheet1!AE577)</f>
        <v>Vivaan</v>
      </c>
      <c r="BB578" s="40" t="str">
        <f>_xlfn.CONCAT(Sheet1!AE577," ",Sheet1!AF577)</f>
        <v>Vivaan Verma</v>
      </c>
    </row>
    <row r="579" spans="40:54">
      <c r="AN579" s="50" t="str">
        <f>Sheet1!B578</f>
        <v>17-12-2024</v>
      </c>
      <c r="AO579" s="50">
        <f t="shared" si="57"/>
        <v>14</v>
      </c>
      <c r="AP579" s="50">
        <f t="shared" si="52"/>
        <v>12</v>
      </c>
      <c r="AQ579" s="50">
        <f t="shared" si="53"/>
        <v>2024</v>
      </c>
      <c r="AR579" s="50" t="str">
        <f t="shared" si="54"/>
        <v>Dec-2024</v>
      </c>
      <c r="AS579" s="52">
        <f t="shared" si="55"/>
        <v>45640</v>
      </c>
      <c r="AT579" s="44">
        <f t="shared" ca="1" si="56"/>
        <v>638</v>
      </c>
      <c r="AU579" s="40" t="str">
        <f>LEFT(Sheet1!AE578,3)</f>
        <v>Aar</v>
      </c>
      <c r="AV579" s="40" t="str">
        <f>RIGHT(Sheet1!AF578,2)</f>
        <v>ma</v>
      </c>
      <c r="AW579" s="40" t="str">
        <f>MID(Sheet1!AE578,2,3)</f>
        <v>ara</v>
      </c>
      <c r="AX579" s="42">
        <f>LEN(Sheet1!AE578)</f>
        <v>5</v>
      </c>
      <c r="AY579" s="40" t="str">
        <f>UPPER(Sheet1!AE578)</f>
        <v>AARAV</v>
      </c>
      <c r="AZ579" s="40" t="str">
        <f>LOWER(Sheet1!AE578)</f>
        <v>aarav</v>
      </c>
      <c r="BA579" s="40" t="str">
        <f>PROPER(Sheet1!AE578)</f>
        <v>Aarav</v>
      </c>
      <c r="BB579" s="40" t="str">
        <f>_xlfn.CONCAT(Sheet1!AE578," ",Sheet1!AF578)</f>
        <v>Aarav Verma</v>
      </c>
    </row>
    <row r="580" spans="40:54">
      <c r="AN580" s="50" t="str">
        <f>Sheet1!B579</f>
        <v>17-12-2024</v>
      </c>
      <c r="AO580" s="50">
        <f t="shared" si="57"/>
        <v>14</v>
      </c>
      <c r="AP580" s="50">
        <f t="shared" ref="AP580:AP643" si="58">IFERROR(MONTH(AN580),VALUE(MID(AN580,4,2)))</f>
        <v>12</v>
      </c>
      <c r="AQ580" s="50">
        <f t="shared" ref="AQ580:AQ643" si="59">IFERROR(YEAR(AN580),VALUE(RIGHT(AN580,4)))</f>
        <v>2024</v>
      </c>
      <c r="AR580" s="50" t="str">
        <f t="shared" ref="AR580:AR643" si="60">IF(ISNUMBER(AN580),TEXT(AN580,"mmm-yyyy"),TEXT(DATE(VALUE(RIGHT(AN580,4)),VALUE(MID(AN580,4,2)),VALUE(LEFT(AN580,2))),"mmm-yyyy"))</f>
        <v>Dec-2024</v>
      </c>
      <c r="AS580" s="52">
        <f t="shared" ref="AS580:AS643" si="61">DATE(AQ580,AP580,AO580)</f>
        <v>45640</v>
      </c>
      <c r="AT580" s="44">
        <f t="shared" ref="AT580:AT643" ca="1" si="62">TODAY()-AS580</f>
        <v>638</v>
      </c>
      <c r="AU580" s="40" t="str">
        <f>LEFT(Sheet1!AE579,3)</f>
        <v>Ish</v>
      </c>
      <c r="AV580" s="40" t="str">
        <f>RIGHT(Sheet1!AF579,2)</f>
        <v>al</v>
      </c>
      <c r="AW580" s="40" t="str">
        <f>MID(Sheet1!AE579,2,3)</f>
        <v>shi</v>
      </c>
      <c r="AX580" s="42">
        <f>LEN(Sheet1!AE579)</f>
        <v>6</v>
      </c>
      <c r="AY580" s="40" t="str">
        <f>UPPER(Sheet1!AE579)</f>
        <v>ISHITA</v>
      </c>
      <c r="AZ580" s="40" t="str">
        <f>LOWER(Sheet1!AE579)</f>
        <v>ishita</v>
      </c>
      <c r="BA580" s="40" t="str">
        <f>PROPER(Sheet1!AE579)</f>
        <v>Ishita</v>
      </c>
      <c r="BB580" s="40" t="str">
        <f>_xlfn.CONCAT(Sheet1!AE579," ",Sheet1!AF579)</f>
        <v>Ishita Bansal</v>
      </c>
    </row>
    <row r="581" spans="40:54">
      <c r="AN581" s="50" t="str">
        <f>Sheet1!B580</f>
        <v>17-12-2025</v>
      </c>
      <c r="AO581" s="50">
        <f t="shared" si="57"/>
        <v>14</v>
      </c>
      <c r="AP581" s="50">
        <f t="shared" si="58"/>
        <v>12</v>
      </c>
      <c r="AQ581" s="50">
        <f t="shared" si="59"/>
        <v>2025</v>
      </c>
      <c r="AR581" s="50" t="str">
        <f t="shared" si="60"/>
        <v>Dec-2025</v>
      </c>
      <c r="AS581" s="52">
        <f t="shared" si="61"/>
        <v>46005</v>
      </c>
      <c r="AT581" s="44">
        <f t="shared" ca="1" si="62"/>
        <v>273</v>
      </c>
      <c r="AU581" s="40" t="str">
        <f>LEFT(Sheet1!AE580,3)</f>
        <v>Arj</v>
      </c>
      <c r="AV581" s="40" t="str">
        <f>RIGHT(Sheet1!AF580,2)</f>
        <v>al</v>
      </c>
      <c r="AW581" s="40" t="str">
        <f>MID(Sheet1!AE580,2,3)</f>
        <v>rju</v>
      </c>
      <c r="AX581" s="42">
        <f>LEN(Sheet1!AE580)</f>
        <v>5</v>
      </c>
      <c r="AY581" s="40" t="str">
        <f>UPPER(Sheet1!AE580)</f>
        <v>ARJUN</v>
      </c>
      <c r="AZ581" s="40" t="str">
        <f>LOWER(Sheet1!AE580)</f>
        <v>arjun</v>
      </c>
      <c r="BA581" s="40" t="str">
        <f>PROPER(Sheet1!AE580)</f>
        <v>Arjun</v>
      </c>
      <c r="BB581" s="40" t="str">
        <f>_xlfn.CONCAT(Sheet1!AE580," ",Sheet1!AF580)</f>
        <v>Arjun Agarwal</v>
      </c>
    </row>
    <row r="582" spans="40:54">
      <c r="AN582" s="50" t="str">
        <f>Sheet1!B581</f>
        <v>18-01-2024</v>
      </c>
      <c r="AO582" s="50">
        <f t="shared" si="57"/>
        <v>14</v>
      </c>
      <c r="AP582" s="50">
        <f t="shared" si="58"/>
        <v>1</v>
      </c>
      <c r="AQ582" s="50">
        <f t="shared" si="59"/>
        <v>2024</v>
      </c>
      <c r="AR582" s="50" t="str">
        <f t="shared" si="60"/>
        <v>Jan-2024</v>
      </c>
      <c r="AS582" s="52">
        <f t="shared" si="61"/>
        <v>45305</v>
      </c>
      <c r="AT582" s="44">
        <f t="shared" ca="1" si="62"/>
        <v>973</v>
      </c>
      <c r="AU582" s="40" t="str">
        <f>LEFT(Sheet1!AE581,3)</f>
        <v>Nis</v>
      </c>
      <c r="AV582" s="40" t="str">
        <f>RIGHT(Sheet1!AF581,2)</f>
        <v>ar</v>
      </c>
      <c r="AW582" s="40" t="str">
        <f>MID(Sheet1!AE581,2,3)</f>
        <v>ish</v>
      </c>
      <c r="AX582" s="42">
        <f>LEN(Sheet1!AE581)</f>
        <v>5</v>
      </c>
      <c r="AY582" s="40" t="str">
        <f>UPPER(Sheet1!AE581)</f>
        <v>NISHA</v>
      </c>
      <c r="AZ582" s="40" t="str">
        <f>LOWER(Sheet1!AE581)</f>
        <v>nisha</v>
      </c>
      <c r="BA582" s="40" t="str">
        <f>PROPER(Sheet1!AE581)</f>
        <v>Nisha</v>
      </c>
      <c r="BB582" s="40" t="str">
        <f>_xlfn.CONCAT(Sheet1!AE581," ",Sheet1!AF581)</f>
        <v>Nisha Kumar</v>
      </c>
    </row>
    <row r="583" spans="40:54">
      <c r="AN583" s="50" t="str">
        <f>Sheet1!B582</f>
        <v>18-01-2025</v>
      </c>
      <c r="AO583" s="50">
        <f t="shared" si="57"/>
        <v>14</v>
      </c>
      <c r="AP583" s="50">
        <f t="shared" si="58"/>
        <v>1</v>
      </c>
      <c r="AQ583" s="50">
        <f t="shared" si="59"/>
        <v>2025</v>
      </c>
      <c r="AR583" s="50" t="str">
        <f t="shared" si="60"/>
        <v>Jan-2025</v>
      </c>
      <c r="AS583" s="52">
        <f t="shared" si="61"/>
        <v>45671</v>
      </c>
      <c r="AT583" s="44">
        <f t="shared" ca="1" si="62"/>
        <v>607</v>
      </c>
      <c r="AU583" s="40" t="str">
        <f>LEFT(Sheet1!AE582,3)</f>
        <v>Mee</v>
      </c>
      <c r="AV583" s="40" t="str">
        <f>RIGHT(Sheet1!AF582,2)</f>
        <v>ta</v>
      </c>
      <c r="AW583" s="40" t="str">
        <f>MID(Sheet1!AE582,2,3)</f>
        <v>eer</v>
      </c>
      <c r="AX583" s="42">
        <f>LEN(Sheet1!AE582)</f>
        <v>5</v>
      </c>
      <c r="AY583" s="40" t="str">
        <f>UPPER(Sheet1!AE582)</f>
        <v>MEERA</v>
      </c>
      <c r="AZ583" s="40" t="str">
        <f>LOWER(Sheet1!AE582)</f>
        <v>meera</v>
      </c>
      <c r="BA583" s="40" t="str">
        <f>PROPER(Sheet1!AE582)</f>
        <v>Meera</v>
      </c>
      <c r="BB583" s="40" t="str">
        <f>_xlfn.CONCAT(Sheet1!AE582," ",Sheet1!AF582)</f>
        <v>Meera Gupta</v>
      </c>
    </row>
    <row r="584" spans="40:54">
      <c r="AN584" s="50" t="str">
        <f>Sheet1!B583</f>
        <v>18-02-2025</v>
      </c>
      <c r="AO584" s="50">
        <f t="shared" si="57"/>
        <v>15</v>
      </c>
      <c r="AP584" s="50">
        <f t="shared" si="58"/>
        <v>2</v>
      </c>
      <c r="AQ584" s="50">
        <f t="shared" si="59"/>
        <v>2025</v>
      </c>
      <c r="AR584" s="50" t="str">
        <f t="shared" si="60"/>
        <v>Feb-2025</v>
      </c>
      <c r="AS584" s="52">
        <f t="shared" si="61"/>
        <v>45703</v>
      </c>
      <c r="AT584" s="44">
        <f t="shared" ca="1" si="62"/>
        <v>575</v>
      </c>
      <c r="AU584" s="40" t="str">
        <f>LEFT(Sheet1!AE583,3)</f>
        <v>Ana</v>
      </c>
      <c r="AV584" s="40" t="str">
        <f>RIGHT(Sheet1!AF583,2)</f>
        <v>gh</v>
      </c>
      <c r="AW584" s="40" t="str">
        <f>MID(Sheet1!AE583,2,3)</f>
        <v>nan</v>
      </c>
      <c r="AX584" s="42">
        <f>LEN(Sheet1!AE583)</f>
        <v>6</v>
      </c>
      <c r="AY584" s="40" t="str">
        <f>UPPER(Sheet1!AE583)</f>
        <v>ANANYA</v>
      </c>
      <c r="AZ584" s="40" t="str">
        <f>LOWER(Sheet1!AE583)</f>
        <v>ananya</v>
      </c>
      <c r="BA584" s="40" t="str">
        <f>PROPER(Sheet1!AE583)</f>
        <v>Ananya</v>
      </c>
      <c r="BB584" s="40" t="str">
        <f>_xlfn.CONCAT(Sheet1!AE583," ",Sheet1!AF583)</f>
        <v>Ananya Singh</v>
      </c>
    </row>
    <row r="585" spans="40:54">
      <c r="AN585" s="50" t="str">
        <f>Sheet1!B584</f>
        <v>18-03-2024</v>
      </c>
      <c r="AO585" s="50">
        <f t="shared" si="57"/>
        <v>15</v>
      </c>
      <c r="AP585" s="50">
        <f t="shared" si="58"/>
        <v>3</v>
      </c>
      <c r="AQ585" s="50">
        <f t="shared" si="59"/>
        <v>2024</v>
      </c>
      <c r="AR585" s="50" t="str">
        <f t="shared" si="60"/>
        <v>Mar-2024</v>
      </c>
      <c r="AS585" s="52">
        <f t="shared" si="61"/>
        <v>45366</v>
      </c>
      <c r="AT585" s="44">
        <f t="shared" ca="1" si="62"/>
        <v>912</v>
      </c>
      <c r="AU585" s="40" t="str">
        <f>LEFT(Sheet1!AE584,3)</f>
        <v>Nis</v>
      </c>
      <c r="AV585" s="40" t="str">
        <f>RIGHT(Sheet1!AF584,2)</f>
        <v>or</v>
      </c>
      <c r="AW585" s="40" t="str">
        <f>MID(Sheet1!AE584,2,3)</f>
        <v>ish</v>
      </c>
      <c r="AX585" s="42">
        <f>LEN(Sheet1!AE584)</f>
        <v>5</v>
      </c>
      <c r="AY585" s="40" t="str">
        <f>UPPER(Sheet1!AE584)</f>
        <v>NISHA</v>
      </c>
      <c r="AZ585" s="40" t="str">
        <f>LOWER(Sheet1!AE584)</f>
        <v>nisha</v>
      </c>
      <c r="BA585" s="40" t="str">
        <f>PROPER(Sheet1!AE584)</f>
        <v>Nisha</v>
      </c>
      <c r="BB585" s="40" t="str">
        <f>_xlfn.CONCAT(Sheet1!AE584," ",Sheet1!AF584)</f>
        <v>Nisha Kapoor</v>
      </c>
    </row>
    <row r="586" spans="40:54">
      <c r="AN586" s="50" t="str">
        <f>Sheet1!B585</f>
        <v>18-03-2024</v>
      </c>
      <c r="AO586" s="50">
        <f t="shared" si="57"/>
        <v>15</v>
      </c>
      <c r="AP586" s="50">
        <f t="shared" si="58"/>
        <v>3</v>
      </c>
      <c r="AQ586" s="50">
        <f t="shared" si="59"/>
        <v>2024</v>
      </c>
      <c r="AR586" s="50" t="str">
        <f t="shared" si="60"/>
        <v>Mar-2024</v>
      </c>
      <c r="AS586" s="52">
        <f t="shared" si="61"/>
        <v>45366</v>
      </c>
      <c r="AT586" s="44">
        <f t="shared" ca="1" si="62"/>
        <v>912</v>
      </c>
      <c r="AU586" s="40" t="str">
        <f>LEFT(Sheet1!AE585,3)</f>
        <v>Poo</v>
      </c>
      <c r="AV586" s="40" t="str">
        <f>RIGHT(Sheet1!AF585,2)</f>
        <v>ra</v>
      </c>
      <c r="AW586" s="40" t="str">
        <f>MID(Sheet1!AE585,2,3)</f>
        <v>ooj</v>
      </c>
      <c r="AX586" s="42">
        <f>LEN(Sheet1!AE585)</f>
        <v>5</v>
      </c>
      <c r="AY586" s="40" t="str">
        <f>UPPER(Sheet1!AE585)</f>
        <v>POOJA</v>
      </c>
      <c r="AZ586" s="40" t="str">
        <f>LOWER(Sheet1!AE585)</f>
        <v>pooja</v>
      </c>
      <c r="BA586" s="40" t="str">
        <f>PROPER(Sheet1!AE585)</f>
        <v>Pooja</v>
      </c>
      <c r="BB586" s="40" t="str">
        <f>_xlfn.CONCAT(Sheet1!AE585," ",Sheet1!AF585)</f>
        <v>Pooja Chopra</v>
      </c>
    </row>
    <row r="587" spans="40:54">
      <c r="AN587" s="50" t="str">
        <f>Sheet1!B586</f>
        <v>18-03-2025</v>
      </c>
      <c r="AO587" s="50">
        <f t="shared" si="57"/>
        <v>15</v>
      </c>
      <c r="AP587" s="50">
        <f t="shared" si="58"/>
        <v>3</v>
      </c>
      <c r="AQ587" s="50">
        <f t="shared" si="59"/>
        <v>2025</v>
      </c>
      <c r="AR587" s="50" t="str">
        <f t="shared" si="60"/>
        <v>Mar-2025</v>
      </c>
      <c r="AS587" s="52">
        <f t="shared" si="61"/>
        <v>45731</v>
      </c>
      <c r="AT587" s="44">
        <f t="shared" ca="1" si="62"/>
        <v>547</v>
      </c>
      <c r="AU587" s="40" t="str">
        <f>LEFT(Sheet1!AE586,3)</f>
        <v>Ana</v>
      </c>
      <c r="AV587" s="40" t="str">
        <f>RIGHT(Sheet1!AF586,2)</f>
        <v>gh</v>
      </c>
      <c r="AW587" s="40" t="str">
        <f>MID(Sheet1!AE586,2,3)</f>
        <v>nan</v>
      </c>
      <c r="AX587" s="42">
        <f>LEN(Sheet1!AE586)</f>
        <v>6</v>
      </c>
      <c r="AY587" s="40" t="str">
        <f>UPPER(Sheet1!AE586)</f>
        <v>ANANYA</v>
      </c>
      <c r="AZ587" s="40" t="str">
        <f>LOWER(Sheet1!AE586)</f>
        <v>ananya</v>
      </c>
      <c r="BA587" s="40" t="str">
        <f>PROPER(Sheet1!AE586)</f>
        <v>Ananya</v>
      </c>
      <c r="BB587" s="40" t="str">
        <f>_xlfn.CONCAT(Sheet1!AE586," ",Sheet1!AF586)</f>
        <v>Ananya Singh</v>
      </c>
    </row>
    <row r="588" spans="40:54">
      <c r="AN588" s="50" t="str">
        <f>Sheet1!B587</f>
        <v>18-03-2025</v>
      </c>
      <c r="AO588" s="50">
        <f t="shared" si="57"/>
        <v>15</v>
      </c>
      <c r="AP588" s="50">
        <f t="shared" si="58"/>
        <v>3</v>
      </c>
      <c r="AQ588" s="50">
        <f t="shared" si="59"/>
        <v>2025</v>
      </c>
      <c r="AR588" s="50" t="str">
        <f t="shared" si="60"/>
        <v>Mar-2025</v>
      </c>
      <c r="AS588" s="52">
        <f t="shared" si="61"/>
        <v>45731</v>
      </c>
      <c r="AT588" s="44">
        <f t="shared" ca="1" si="62"/>
        <v>547</v>
      </c>
      <c r="AU588" s="40" t="str">
        <f>LEFT(Sheet1!AE587,3)</f>
        <v>Nis</v>
      </c>
      <c r="AV588" s="40" t="str">
        <f>RIGHT(Sheet1!AF587,2)</f>
        <v>ma</v>
      </c>
      <c r="AW588" s="40" t="str">
        <f>MID(Sheet1!AE587,2,3)</f>
        <v>ish</v>
      </c>
      <c r="AX588" s="42">
        <f>LEN(Sheet1!AE587)</f>
        <v>5</v>
      </c>
      <c r="AY588" s="40" t="str">
        <f>UPPER(Sheet1!AE587)</f>
        <v>NISHA</v>
      </c>
      <c r="AZ588" s="40" t="str">
        <f>LOWER(Sheet1!AE587)</f>
        <v>nisha</v>
      </c>
      <c r="BA588" s="40" t="str">
        <f>PROPER(Sheet1!AE587)</f>
        <v>Nisha</v>
      </c>
      <c r="BB588" s="40" t="str">
        <f>_xlfn.CONCAT(Sheet1!AE587," ",Sheet1!AF587)</f>
        <v>Nisha Verma</v>
      </c>
    </row>
    <row r="589" spans="40:54">
      <c r="AN589" s="50" t="str">
        <f>Sheet1!B588</f>
        <v>18-03-2025</v>
      </c>
      <c r="AO589" s="50">
        <f t="shared" si="57"/>
        <v>15</v>
      </c>
      <c r="AP589" s="50">
        <f t="shared" si="58"/>
        <v>3</v>
      </c>
      <c r="AQ589" s="50">
        <f t="shared" si="59"/>
        <v>2025</v>
      </c>
      <c r="AR589" s="50" t="str">
        <f t="shared" si="60"/>
        <v>Mar-2025</v>
      </c>
      <c r="AS589" s="52">
        <f t="shared" si="61"/>
        <v>45731</v>
      </c>
      <c r="AT589" s="44">
        <f t="shared" ca="1" si="62"/>
        <v>547</v>
      </c>
      <c r="AU589" s="40" t="str">
        <f>LEFT(Sheet1!AE588,3)</f>
        <v>Nis</v>
      </c>
      <c r="AV589" s="40" t="str">
        <f>RIGHT(Sheet1!AF588,2)</f>
        <v>na</v>
      </c>
      <c r="AW589" s="40" t="str">
        <f>MID(Sheet1!AE588,2,3)</f>
        <v>ish</v>
      </c>
      <c r="AX589" s="42">
        <f>LEN(Sheet1!AE588)</f>
        <v>5</v>
      </c>
      <c r="AY589" s="40" t="str">
        <f>UPPER(Sheet1!AE588)</f>
        <v>NISHA</v>
      </c>
      <c r="AZ589" s="40" t="str">
        <f>LOWER(Sheet1!AE588)</f>
        <v>nisha</v>
      </c>
      <c r="BA589" s="40" t="str">
        <f>PROPER(Sheet1!AE588)</f>
        <v>Nisha</v>
      </c>
      <c r="BB589" s="40" t="str">
        <f>_xlfn.CONCAT(Sheet1!AE588," ",Sheet1!AF588)</f>
        <v>Nisha Saxena</v>
      </c>
    </row>
    <row r="590" spans="40:54">
      <c r="AN590" s="50" t="str">
        <f>Sheet1!B589</f>
        <v>18-04-2024</v>
      </c>
      <c r="AO590" s="50">
        <f t="shared" si="57"/>
        <v>15</v>
      </c>
      <c r="AP590" s="50">
        <f t="shared" si="58"/>
        <v>4</v>
      </c>
      <c r="AQ590" s="50">
        <f t="shared" si="59"/>
        <v>2024</v>
      </c>
      <c r="AR590" s="50" t="str">
        <f t="shared" si="60"/>
        <v>Apr-2024</v>
      </c>
      <c r="AS590" s="52">
        <f t="shared" si="61"/>
        <v>45397</v>
      </c>
      <c r="AT590" s="44">
        <f t="shared" ca="1" si="62"/>
        <v>881</v>
      </c>
      <c r="AU590" s="40" t="str">
        <f>LEFT(Sheet1!AE589,3)</f>
        <v>Arj</v>
      </c>
      <c r="AV590" s="40" t="str">
        <f>RIGHT(Sheet1!AF589,2)</f>
        <v>or</v>
      </c>
      <c r="AW590" s="40" t="str">
        <f>MID(Sheet1!AE589,2,3)</f>
        <v>rju</v>
      </c>
      <c r="AX590" s="42">
        <f>LEN(Sheet1!AE589)</f>
        <v>5</v>
      </c>
      <c r="AY590" s="40" t="str">
        <f>UPPER(Sheet1!AE589)</f>
        <v>ARJUN</v>
      </c>
      <c r="AZ590" s="40" t="str">
        <f>LOWER(Sheet1!AE589)</f>
        <v>arjun</v>
      </c>
      <c r="BA590" s="40" t="str">
        <f>PROPER(Sheet1!AE589)</f>
        <v>Arjun</v>
      </c>
      <c r="BB590" s="40" t="str">
        <f>_xlfn.CONCAT(Sheet1!AE589," ",Sheet1!AF589)</f>
        <v>Arjun Kapoor</v>
      </c>
    </row>
    <row r="591" spans="40:54">
      <c r="AN591" s="50" t="str">
        <f>Sheet1!B590</f>
        <v>18-04-2024</v>
      </c>
      <c r="AO591" s="50">
        <f t="shared" si="57"/>
        <v>15</v>
      </c>
      <c r="AP591" s="50">
        <f t="shared" si="58"/>
        <v>4</v>
      </c>
      <c r="AQ591" s="50">
        <f t="shared" si="59"/>
        <v>2024</v>
      </c>
      <c r="AR591" s="50" t="str">
        <f t="shared" si="60"/>
        <v>Apr-2024</v>
      </c>
      <c r="AS591" s="52">
        <f t="shared" si="61"/>
        <v>45397</v>
      </c>
      <c r="AT591" s="44">
        <f t="shared" ca="1" si="62"/>
        <v>881</v>
      </c>
      <c r="AU591" s="40" t="str">
        <f>LEFT(Sheet1!AE590,3)</f>
        <v>Poo</v>
      </c>
      <c r="AV591" s="40" t="str">
        <f>RIGHT(Sheet1!AF590,2)</f>
        <v>al</v>
      </c>
      <c r="AW591" s="40" t="str">
        <f>MID(Sheet1!AE590,2,3)</f>
        <v>ooj</v>
      </c>
      <c r="AX591" s="42">
        <f>LEN(Sheet1!AE590)</f>
        <v>5</v>
      </c>
      <c r="AY591" s="40" t="str">
        <f>UPPER(Sheet1!AE590)</f>
        <v>POOJA</v>
      </c>
      <c r="AZ591" s="40" t="str">
        <f>LOWER(Sheet1!AE590)</f>
        <v>pooja</v>
      </c>
      <c r="BA591" s="40" t="str">
        <f>PROPER(Sheet1!AE590)</f>
        <v>Pooja</v>
      </c>
      <c r="BB591" s="40" t="str">
        <f>_xlfn.CONCAT(Sheet1!AE590," ",Sheet1!AF590)</f>
        <v>Pooja Agarwal</v>
      </c>
    </row>
    <row r="592" spans="40:54">
      <c r="AN592" s="50" t="str">
        <f>Sheet1!B591</f>
        <v>18-04-2025</v>
      </c>
      <c r="AO592" s="50">
        <f t="shared" si="57"/>
        <v>15</v>
      </c>
      <c r="AP592" s="50">
        <f t="shared" si="58"/>
        <v>4</v>
      </c>
      <c r="AQ592" s="50">
        <f t="shared" si="59"/>
        <v>2025</v>
      </c>
      <c r="AR592" s="50" t="str">
        <f t="shared" si="60"/>
        <v>Apr-2025</v>
      </c>
      <c r="AS592" s="52">
        <f t="shared" si="61"/>
        <v>45762</v>
      </c>
      <c r="AT592" s="44">
        <f t="shared" ca="1" si="62"/>
        <v>516</v>
      </c>
      <c r="AU592" s="40" t="str">
        <f>LEFT(Sheet1!AE591,3)</f>
        <v>Poo</v>
      </c>
      <c r="AV592" s="40" t="str">
        <f>RIGHT(Sheet1!AF591,2)</f>
        <v>ta</v>
      </c>
      <c r="AW592" s="40" t="str">
        <f>MID(Sheet1!AE591,2,3)</f>
        <v>ooj</v>
      </c>
      <c r="AX592" s="42">
        <f>LEN(Sheet1!AE591)</f>
        <v>5</v>
      </c>
      <c r="AY592" s="40" t="str">
        <f>UPPER(Sheet1!AE591)</f>
        <v>POOJA</v>
      </c>
      <c r="AZ592" s="40" t="str">
        <f>LOWER(Sheet1!AE591)</f>
        <v>pooja</v>
      </c>
      <c r="BA592" s="40" t="str">
        <f>PROPER(Sheet1!AE591)</f>
        <v>Pooja</v>
      </c>
      <c r="BB592" s="40" t="str">
        <f>_xlfn.CONCAT(Sheet1!AE591," ",Sheet1!AF591)</f>
        <v>Pooja Gupta</v>
      </c>
    </row>
    <row r="593" spans="40:54">
      <c r="AN593" s="50" t="str">
        <f>Sheet1!B592</f>
        <v>18-05-2025</v>
      </c>
      <c r="AO593" s="50">
        <f t="shared" si="57"/>
        <v>15</v>
      </c>
      <c r="AP593" s="50">
        <f t="shared" si="58"/>
        <v>5</v>
      </c>
      <c r="AQ593" s="50">
        <f t="shared" si="59"/>
        <v>2025</v>
      </c>
      <c r="AR593" s="50" t="str">
        <f t="shared" si="60"/>
        <v>May-2025</v>
      </c>
      <c r="AS593" s="52">
        <f t="shared" si="61"/>
        <v>45792</v>
      </c>
      <c r="AT593" s="44">
        <f t="shared" ca="1" si="62"/>
        <v>486</v>
      </c>
      <c r="AU593" s="40" t="str">
        <f>LEFT(Sheet1!AE592,3)</f>
        <v>Viv</v>
      </c>
      <c r="AV593" s="40" t="str">
        <f>RIGHT(Sheet1!AF592,2)</f>
        <v>or</v>
      </c>
      <c r="AW593" s="40" t="str">
        <f>MID(Sheet1!AE592,2,3)</f>
        <v>iva</v>
      </c>
      <c r="AX593" s="42">
        <f>LEN(Sheet1!AE592)</f>
        <v>6</v>
      </c>
      <c r="AY593" s="40" t="str">
        <f>UPPER(Sheet1!AE592)</f>
        <v>VIVAAN</v>
      </c>
      <c r="AZ593" s="40" t="str">
        <f>LOWER(Sheet1!AE592)</f>
        <v>vivaan</v>
      </c>
      <c r="BA593" s="40" t="str">
        <f>PROPER(Sheet1!AE592)</f>
        <v>Vivaan</v>
      </c>
      <c r="BB593" s="40" t="str">
        <f>_xlfn.CONCAT(Sheet1!AE592," ",Sheet1!AF592)</f>
        <v>Vivaan Kapoor</v>
      </c>
    </row>
    <row r="594" spans="40:54">
      <c r="AN594" s="50" t="str">
        <f>Sheet1!B593</f>
        <v>18-07-2024</v>
      </c>
      <c r="AO594" s="50">
        <f t="shared" si="57"/>
        <v>15</v>
      </c>
      <c r="AP594" s="50">
        <f t="shared" si="58"/>
        <v>7</v>
      </c>
      <c r="AQ594" s="50">
        <f t="shared" si="59"/>
        <v>2024</v>
      </c>
      <c r="AR594" s="50" t="str">
        <f t="shared" si="60"/>
        <v>Jul-2024</v>
      </c>
      <c r="AS594" s="52">
        <f t="shared" si="61"/>
        <v>45488</v>
      </c>
      <c r="AT594" s="44">
        <f t="shared" ca="1" si="62"/>
        <v>790</v>
      </c>
      <c r="AU594" s="40" t="str">
        <f>LEFT(Sheet1!AE593,3)</f>
        <v>Sne</v>
      </c>
      <c r="AV594" s="40" t="str">
        <f>RIGHT(Sheet1!AF593,2)</f>
        <v>na</v>
      </c>
      <c r="AW594" s="40" t="str">
        <f>MID(Sheet1!AE593,2,3)</f>
        <v>neh</v>
      </c>
      <c r="AX594" s="42">
        <f>LEN(Sheet1!AE593)</f>
        <v>5</v>
      </c>
      <c r="AY594" s="40" t="str">
        <f>UPPER(Sheet1!AE593)</f>
        <v>SNEHA</v>
      </c>
      <c r="AZ594" s="40" t="str">
        <f>LOWER(Sheet1!AE593)</f>
        <v>sneha</v>
      </c>
      <c r="BA594" s="40" t="str">
        <f>PROPER(Sheet1!AE593)</f>
        <v>Sneha</v>
      </c>
      <c r="BB594" s="40" t="str">
        <f>_xlfn.CONCAT(Sheet1!AE593," ",Sheet1!AF593)</f>
        <v>Sneha Saxena</v>
      </c>
    </row>
    <row r="595" spans="40:54">
      <c r="AN595" s="50" t="str">
        <f>Sheet1!B594</f>
        <v>18-08-2025</v>
      </c>
      <c r="AO595" s="50">
        <f t="shared" si="57"/>
        <v>15</v>
      </c>
      <c r="AP595" s="50">
        <f t="shared" si="58"/>
        <v>8</v>
      </c>
      <c r="AQ595" s="50">
        <f t="shared" si="59"/>
        <v>2025</v>
      </c>
      <c r="AR595" s="50" t="str">
        <f t="shared" si="60"/>
        <v>Aug-2025</v>
      </c>
      <c r="AS595" s="52">
        <f t="shared" si="61"/>
        <v>45884</v>
      </c>
      <c r="AT595" s="44">
        <f t="shared" ca="1" si="62"/>
        <v>394</v>
      </c>
      <c r="AU595" s="40" t="str">
        <f>LEFT(Sheet1!AE594,3)</f>
        <v>Sne</v>
      </c>
      <c r="AV595" s="40" t="str">
        <f>RIGHT(Sheet1!AF594,2)</f>
        <v>ra</v>
      </c>
      <c r="AW595" s="40" t="str">
        <f>MID(Sheet1!AE594,2,3)</f>
        <v>neh</v>
      </c>
      <c r="AX595" s="42">
        <f>LEN(Sheet1!AE594)</f>
        <v>5</v>
      </c>
      <c r="AY595" s="40" t="str">
        <f>UPPER(Sheet1!AE594)</f>
        <v>SNEHA</v>
      </c>
      <c r="AZ595" s="40" t="str">
        <f>LOWER(Sheet1!AE594)</f>
        <v>sneha</v>
      </c>
      <c r="BA595" s="40" t="str">
        <f>PROPER(Sheet1!AE594)</f>
        <v>Sneha</v>
      </c>
      <c r="BB595" s="40" t="str">
        <f>_xlfn.CONCAT(Sheet1!AE594," ",Sheet1!AF594)</f>
        <v>Sneha Chopra</v>
      </c>
    </row>
    <row r="596" spans="40:54">
      <c r="AN596" s="50" t="str">
        <f>Sheet1!B595</f>
        <v>18-08-2025</v>
      </c>
      <c r="AO596" s="50">
        <f t="shared" si="57"/>
        <v>15</v>
      </c>
      <c r="AP596" s="50">
        <f t="shared" si="58"/>
        <v>8</v>
      </c>
      <c r="AQ596" s="50">
        <f t="shared" si="59"/>
        <v>2025</v>
      </c>
      <c r="AR596" s="50" t="str">
        <f t="shared" si="60"/>
        <v>Aug-2025</v>
      </c>
      <c r="AS596" s="52">
        <f t="shared" si="61"/>
        <v>45884</v>
      </c>
      <c r="AT596" s="44">
        <f t="shared" ca="1" si="62"/>
        <v>394</v>
      </c>
      <c r="AU596" s="40" t="str">
        <f>LEFT(Sheet1!AE595,3)</f>
        <v>Sne</v>
      </c>
      <c r="AV596" s="40" t="str">
        <f>RIGHT(Sheet1!AF595,2)</f>
        <v>ta</v>
      </c>
      <c r="AW596" s="40" t="str">
        <f>MID(Sheet1!AE595,2,3)</f>
        <v>neh</v>
      </c>
      <c r="AX596" s="42">
        <f>LEN(Sheet1!AE595)</f>
        <v>5</v>
      </c>
      <c r="AY596" s="40" t="str">
        <f>UPPER(Sheet1!AE595)</f>
        <v>SNEHA</v>
      </c>
      <c r="AZ596" s="40" t="str">
        <f>LOWER(Sheet1!AE595)</f>
        <v>sneha</v>
      </c>
      <c r="BA596" s="40" t="str">
        <f>PROPER(Sheet1!AE595)</f>
        <v>Sneha</v>
      </c>
      <c r="BB596" s="40" t="str">
        <f>_xlfn.CONCAT(Sheet1!AE595," ",Sheet1!AF595)</f>
        <v>Sneha Gupta</v>
      </c>
    </row>
    <row r="597" spans="40:54">
      <c r="AN597" s="50" t="str">
        <f>Sheet1!B596</f>
        <v>18-08-2025</v>
      </c>
      <c r="AO597" s="50">
        <f t="shared" si="57"/>
        <v>15</v>
      </c>
      <c r="AP597" s="50">
        <f t="shared" si="58"/>
        <v>8</v>
      </c>
      <c r="AQ597" s="50">
        <f t="shared" si="59"/>
        <v>2025</v>
      </c>
      <c r="AR597" s="50" t="str">
        <f t="shared" si="60"/>
        <v>Aug-2025</v>
      </c>
      <c r="AS597" s="52">
        <f t="shared" si="61"/>
        <v>45884</v>
      </c>
      <c r="AT597" s="44">
        <f t="shared" ca="1" si="62"/>
        <v>394</v>
      </c>
      <c r="AU597" s="40" t="str">
        <f>LEFT(Sheet1!AE596,3)</f>
        <v>Vik</v>
      </c>
      <c r="AV597" s="40" t="str">
        <f>RIGHT(Sheet1!AF596,2)</f>
        <v>al</v>
      </c>
      <c r="AW597" s="40" t="str">
        <f>MID(Sheet1!AE596,2,3)</f>
        <v>ikr</v>
      </c>
      <c r="AX597" s="42">
        <f>LEN(Sheet1!AE596)</f>
        <v>6</v>
      </c>
      <c r="AY597" s="40" t="str">
        <f>UPPER(Sheet1!AE596)</f>
        <v>VIKRAM</v>
      </c>
      <c r="AZ597" s="40" t="str">
        <f>LOWER(Sheet1!AE596)</f>
        <v>vikram</v>
      </c>
      <c r="BA597" s="40" t="str">
        <f>PROPER(Sheet1!AE596)</f>
        <v>Vikram</v>
      </c>
      <c r="BB597" s="40" t="str">
        <f>_xlfn.CONCAT(Sheet1!AE596," ",Sheet1!AF596)</f>
        <v>Vikram Agarwal</v>
      </c>
    </row>
    <row r="598" spans="40:54">
      <c r="AN598" s="50" t="str">
        <f>Sheet1!B597</f>
        <v>18-09-2024</v>
      </c>
      <c r="AO598" s="50">
        <f t="shared" si="57"/>
        <v>15</v>
      </c>
      <c r="AP598" s="50">
        <f t="shared" si="58"/>
        <v>9</v>
      </c>
      <c r="AQ598" s="50">
        <f t="shared" si="59"/>
        <v>2024</v>
      </c>
      <c r="AR598" s="50" t="str">
        <f t="shared" si="60"/>
        <v>Sep-2024</v>
      </c>
      <c r="AS598" s="52">
        <f t="shared" si="61"/>
        <v>45550</v>
      </c>
      <c r="AT598" s="44">
        <f t="shared" ca="1" si="62"/>
        <v>728</v>
      </c>
      <c r="AU598" s="40" t="str">
        <f>LEFT(Sheet1!AE597,3)</f>
        <v>Pri</v>
      </c>
      <c r="AV598" s="40" t="str">
        <f>RIGHT(Sheet1!AF597,2)</f>
        <v>gh</v>
      </c>
      <c r="AW598" s="40" t="str">
        <f>MID(Sheet1!AE597,2,3)</f>
        <v>riy</v>
      </c>
      <c r="AX598" s="42">
        <f>LEN(Sheet1!AE597)</f>
        <v>5</v>
      </c>
      <c r="AY598" s="40" t="str">
        <f>UPPER(Sheet1!AE597)</f>
        <v>PRIYA</v>
      </c>
      <c r="AZ598" s="40" t="str">
        <f>LOWER(Sheet1!AE597)</f>
        <v>priya</v>
      </c>
      <c r="BA598" s="40" t="str">
        <f>PROPER(Sheet1!AE597)</f>
        <v>Priya</v>
      </c>
      <c r="BB598" s="40" t="str">
        <f>_xlfn.CONCAT(Sheet1!AE597," ",Sheet1!AF597)</f>
        <v>Priya Singh</v>
      </c>
    </row>
    <row r="599" spans="40:54">
      <c r="AN599" s="50" t="str">
        <f>Sheet1!B598</f>
        <v>18-09-2024</v>
      </c>
      <c r="AO599" s="50">
        <f t="shared" si="57"/>
        <v>15</v>
      </c>
      <c r="AP599" s="50">
        <f t="shared" si="58"/>
        <v>9</v>
      </c>
      <c r="AQ599" s="50">
        <f t="shared" si="59"/>
        <v>2024</v>
      </c>
      <c r="AR599" s="50" t="str">
        <f t="shared" si="60"/>
        <v>Sep-2024</v>
      </c>
      <c r="AS599" s="52">
        <f t="shared" si="61"/>
        <v>45550</v>
      </c>
      <c r="AT599" s="44">
        <f t="shared" ca="1" si="62"/>
        <v>728</v>
      </c>
      <c r="AU599" s="40" t="str">
        <f>LEFT(Sheet1!AE598,3)</f>
        <v>Kar</v>
      </c>
      <c r="AV599" s="40" t="str">
        <f>RIGHT(Sheet1!AF598,2)</f>
        <v>ma</v>
      </c>
      <c r="AW599" s="40" t="str">
        <f>MID(Sheet1!AE598,2,3)</f>
        <v>ara</v>
      </c>
      <c r="AX599" s="42">
        <f>LEN(Sheet1!AE598)</f>
        <v>5</v>
      </c>
      <c r="AY599" s="40" t="str">
        <f>UPPER(Sheet1!AE598)</f>
        <v>KARAN</v>
      </c>
      <c r="AZ599" s="40" t="str">
        <f>LOWER(Sheet1!AE598)</f>
        <v>karan</v>
      </c>
      <c r="BA599" s="40" t="str">
        <f>PROPER(Sheet1!AE598)</f>
        <v>Karan</v>
      </c>
      <c r="BB599" s="40" t="str">
        <f>_xlfn.CONCAT(Sheet1!AE598," ",Sheet1!AF598)</f>
        <v>Karan Sharma</v>
      </c>
    </row>
    <row r="600" spans="40:54">
      <c r="AN600" s="50" t="str">
        <f>Sheet1!B599</f>
        <v>18-09-2024</v>
      </c>
      <c r="AO600" s="50">
        <f t="shared" si="57"/>
        <v>15</v>
      </c>
      <c r="AP600" s="50">
        <f t="shared" si="58"/>
        <v>9</v>
      </c>
      <c r="AQ600" s="50">
        <f t="shared" si="59"/>
        <v>2024</v>
      </c>
      <c r="AR600" s="50" t="str">
        <f t="shared" si="60"/>
        <v>Sep-2024</v>
      </c>
      <c r="AS600" s="52">
        <f t="shared" si="61"/>
        <v>45550</v>
      </c>
      <c r="AT600" s="44">
        <f t="shared" ca="1" si="62"/>
        <v>728</v>
      </c>
      <c r="AU600" s="40" t="str">
        <f>LEFT(Sheet1!AE599,3)</f>
        <v>Aar</v>
      </c>
      <c r="AV600" s="40" t="str">
        <f>RIGHT(Sheet1!AF599,2)</f>
        <v>ta</v>
      </c>
      <c r="AW600" s="40" t="str">
        <f>MID(Sheet1!AE599,2,3)</f>
        <v>ara</v>
      </c>
      <c r="AX600" s="42">
        <f>LEN(Sheet1!AE599)</f>
        <v>5</v>
      </c>
      <c r="AY600" s="40" t="str">
        <f>UPPER(Sheet1!AE599)</f>
        <v>AARAV</v>
      </c>
      <c r="AZ600" s="40" t="str">
        <f>LOWER(Sheet1!AE599)</f>
        <v>aarav</v>
      </c>
      <c r="BA600" s="40" t="str">
        <f>PROPER(Sheet1!AE599)</f>
        <v>Aarav</v>
      </c>
      <c r="BB600" s="40" t="str">
        <f>_xlfn.CONCAT(Sheet1!AE599," ",Sheet1!AF599)</f>
        <v>Aarav Mehta</v>
      </c>
    </row>
    <row r="601" spans="40:54">
      <c r="AN601" s="50" t="str">
        <f>Sheet1!B600</f>
        <v>18-09-2024</v>
      </c>
      <c r="AO601" s="50">
        <f t="shared" si="57"/>
        <v>15</v>
      </c>
      <c r="AP601" s="50">
        <f t="shared" si="58"/>
        <v>9</v>
      </c>
      <c r="AQ601" s="50">
        <f t="shared" si="59"/>
        <v>2024</v>
      </c>
      <c r="AR601" s="50" t="str">
        <f t="shared" si="60"/>
        <v>Sep-2024</v>
      </c>
      <c r="AS601" s="52">
        <f t="shared" si="61"/>
        <v>45550</v>
      </c>
      <c r="AT601" s="44">
        <f t="shared" ca="1" si="62"/>
        <v>728</v>
      </c>
      <c r="AU601" s="40" t="str">
        <f>LEFT(Sheet1!AE600,3)</f>
        <v>Vik</v>
      </c>
      <c r="AV601" s="40" t="str">
        <f>RIGHT(Sheet1!AF600,2)</f>
        <v>in</v>
      </c>
      <c r="AW601" s="40" t="str">
        <f>MID(Sheet1!AE600,2,3)</f>
        <v>ikr</v>
      </c>
      <c r="AX601" s="42">
        <f>LEN(Sheet1!AE600)</f>
        <v>6</v>
      </c>
      <c r="AY601" s="40" t="str">
        <f>UPPER(Sheet1!AE600)</f>
        <v>VIKRAM</v>
      </c>
      <c r="AZ601" s="40" t="str">
        <f>LOWER(Sheet1!AE600)</f>
        <v>vikram</v>
      </c>
      <c r="BA601" s="40" t="str">
        <f>PROPER(Sheet1!AE600)</f>
        <v>Vikram</v>
      </c>
      <c r="BB601" s="40" t="str">
        <f>_xlfn.CONCAT(Sheet1!AE600," ",Sheet1!AF600)</f>
        <v>Vikram Jain</v>
      </c>
    </row>
    <row r="602" spans="40:54">
      <c r="AN602" s="50" t="str">
        <f>Sheet1!B601</f>
        <v>18-09-2025</v>
      </c>
      <c r="AO602" s="50">
        <f t="shared" si="57"/>
        <v>15</v>
      </c>
      <c r="AP602" s="50">
        <f t="shared" si="58"/>
        <v>9</v>
      </c>
      <c r="AQ602" s="50">
        <f t="shared" si="59"/>
        <v>2025</v>
      </c>
      <c r="AR602" s="50" t="str">
        <f t="shared" si="60"/>
        <v>Sep-2025</v>
      </c>
      <c r="AS602" s="52">
        <f t="shared" si="61"/>
        <v>45915</v>
      </c>
      <c r="AT602" s="44">
        <f t="shared" ca="1" si="62"/>
        <v>363</v>
      </c>
      <c r="AU602" s="40" t="str">
        <f>LEFT(Sheet1!AE601,3)</f>
        <v>Roh</v>
      </c>
      <c r="AV602" s="40" t="str">
        <f>RIGHT(Sheet1!AF601,2)</f>
        <v>in</v>
      </c>
      <c r="AW602" s="40" t="str">
        <f>MID(Sheet1!AE601,2,3)</f>
        <v>oha</v>
      </c>
      <c r="AX602" s="42">
        <f>LEN(Sheet1!AE601)</f>
        <v>5</v>
      </c>
      <c r="AY602" s="40" t="str">
        <f>UPPER(Sheet1!AE601)</f>
        <v>ROHAN</v>
      </c>
      <c r="AZ602" s="40" t="str">
        <f>LOWER(Sheet1!AE601)</f>
        <v>rohan</v>
      </c>
      <c r="BA602" s="40" t="str">
        <f>PROPER(Sheet1!AE601)</f>
        <v>Rohan</v>
      </c>
      <c r="BB602" s="40" t="str">
        <f>_xlfn.CONCAT(Sheet1!AE601," ",Sheet1!AF601)</f>
        <v>Rohan Jain</v>
      </c>
    </row>
    <row r="603" spans="40:54">
      <c r="AN603" s="50" t="str">
        <f>Sheet1!B602</f>
        <v>18-10-2025</v>
      </c>
      <c r="AO603" s="50">
        <f t="shared" si="57"/>
        <v>15</v>
      </c>
      <c r="AP603" s="50">
        <f t="shared" si="58"/>
        <v>10</v>
      </c>
      <c r="AQ603" s="50">
        <f t="shared" si="59"/>
        <v>2025</v>
      </c>
      <c r="AR603" s="50" t="str">
        <f t="shared" si="60"/>
        <v>Oct-2025</v>
      </c>
      <c r="AS603" s="52">
        <f t="shared" si="61"/>
        <v>45945</v>
      </c>
      <c r="AT603" s="44">
        <f t="shared" ca="1" si="62"/>
        <v>333</v>
      </c>
      <c r="AU603" s="40" t="str">
        <f>LEFT(Sheet1!AE602,3)</f>
        <v>Roh</v>
      </c>
      <c r="AV603" s="40" t="str">
        <f>RIGHT(Sheet1!AF602,2)</f>
        <v>av</v>
      </c>
      <c r="AW603" s="40" t="str">
        <f>MID(Sheet1!AE602,2,3)</f>
        <v>oha</v>
      </c>
      <c r="AX603" s="42">
        <f>LEN(Sheet1!AE602)</f>
        <v>5</v>
      </c>
      <c r="AY603" s="40" t="str">
        <f>UPPER(Sheet1!AE602)</f>
        <v>ROHAN</v>
      </c>
      <c r="AZ603" s="40" t="str">
        <f>LOWER(Sheet1!AE602)</f>
        <v>rohan</v>
      </c>
      <c r="BA603" s="40" t="str">
        <f>PROPER(Sheet1!AE602)</f>
        <v>Rohan</v>
      </c>
      <c r="BB603" s="40" t="str">
        <f>_xlfn.CONCAT(Sheet1!AE602," ",Sheet1!AF602)</f>
        <v>Rohan Yadav</v>
      </c>
    </row>
    <row r="604" spans="40:54">
      <c r="AN604" s="50" t="str">
        <f>Sheet1!B603</f>
        <v>18-11-2024</v>
      </c>
      <c r="AO604" s="50">
        <f t="shared" si="57"/>
        <v>15</v>
      </c>
      <c r="AP604" s="50">
        <f t="shared" si="58"/>
        <v>11</v>
      </c>
      <c r="AQ604" s="50">
        <f t="shared" si="59"/>
        <v>2024</v>
      </c>
      <c r="AR604" s="50" t="str">
        <f t="shared" si="60"/>
        <v>Nov-2024</v>
      </c>
      <c r="AS604" s="52">
        <f t="shared" si="61"/>
        <v>45611</v>
      </c>
      <c r="AT604" s="44">
        <f t="shared" ca="1" si="62"/>
        <v>667</v>
      </c>
      <c r="AU604" s="40" t="str">
        <f>LEFT(Sheet1!AE603,3)</f>
        <v>Mee</v>
      </c>
      <c r="AV604" s="40" t="str">
        <f>RIGHT(Sheet1!AF603,2)</f>
        <v>ra</v>
      </c>
      <c r="AW604" s="40" t="str">
        <f>MID(Sheet1!AE603,2,3)</f>
        <v>eer</v>
      </c>
      <c r="AX604" s="42">
        <f>LEN(Sheet1!AE603)</f>
        <v>5</v>
      </c>
      <c r="AY604" s="40" t="str">
        <f>UPPER(Sheet1!AE603)</f>
        <v>MEERA</v>
      </c>
      <c r="AZ604" s="40" t="str">
        <f>LOWER(Sheet1!AE603)</f>
        <v>meera</v>
      </c>
      <c r="BA604" s="40" t="str">
        <f>PROPER(Sheet1!AE603)</f>
        <v>Meera</v>
      </c>
      <c r="BB604" s="40" t="str">
        <f>_xlfn.CONCAT(Sheet1!AE603," ",Sheet1!AF603)</f>
        <v>Meera Chopra</v>
      </c>
    </row>
    <row r="605" spans="40:54">
      <c r="AN605" s="50" t="str">
        <f>Sheet1!B604</f>
        <v>18-11-2024</v>
      </c>
      <c r="AO605" s="50">
        <f t="shared" si="57"/>
        <v>15</v>
      </c>
      <c r="AP605" s="50">
        <f t="shared" si="58"/>
        <v>11</v>
      </c>
      <c r="AQ605" s="50">
        <f t="shared" si="59"/>
        <v>2024</v>
      </c>
      <c r="AR605" s="50" t="str">
        <f t="shared" si="60"/>
        <v>Nov-2024</v>
      </c>
      <c r="AS605" s="52">
        <f t="shared" si="61"/>
        <v>45611</v>
      </c>
      <c r="AT605" s="44">
        <f t="shared" ca="1" si="62"/>
        <v>667</v>
      </c>
      <c r="AU605" s="40" t="str">
        <f>LEFT(Sheet1!AE604,3)</f>
        <v>Adi</v>
      </c>
      <c r="AV605" s="40" t="str">
        <f>RIGHT(Sheet1!AF604,2)</f>
        <v>ra</v>
      </c>
      <c r="AW605" s="40" t="str">
        <f>MID(Sheet1!AE604,2,3)</f>
        <v>dit</v>
      </c>
      <c r="AX605" s="42">
        <f>LEN(Sheet1!AE604)</f>
        <v>6</v>
      </c>
      <c r="AY605" s="40" t="str">
        <f>UPPER(Sheet1!AE604)</f>
        <v>ADITYA</v>
      </c>
      <c r="AZ605" s="40" t="str">
        <f>LOWER(Sheet1!AE604)</f>
        <v>aditya</v>
      </c>
      <c r="BA605" s="40" t="str">
        <f>PROPER(Sheet1!AE604)</f>
        <v>Aditya</v>
      </c>
      <c r="BB605" s="40" t="str">
        <f>_xlfn.CONCAT(Sheet1!AE604," ",Sheet1!AF604)</f>
        <v>Aditya Mishra</v>
      </c>
    </row>
    <row r="606" spans="40:54">
      <c r="AN606" s="50" t="str">
        <f>Sheet1!B605</f>
        <v>18-12-2024</v>
      </c>
      <c r="AO606" s="50">
        <f t="shared" si="57"/>
        <v>15</v>
      </c>
      <c r="AP606" s="50">
        <f t="shared" si="58"/>
        <v>12</v>
      </c>
      <c r="AQ606" s="50">
        <f t="shared" si="59"/>
        <v>2024</v>
      </c>
      <c r="AR606" s="50" t="str">
        <f t="shared" si="60"/>
        <v>Dec-2024</v>
      </c>
      <c r="AS606" s="52">
        <f t="shared" si="61"/>
        <v>45641</v>
      </c>
      <c r="AT606" s="44">
        <f t="shared" ca="1" si="62"/>
        <v>637</v>
      </c>
      <c r="AU606" s="40" t="str">
        <f>LEFT(Sheet1!AE605,3)</f>
        <v>Ish</v>
      </c>
      <c r="AV606" s="40" t="str">
        <f>RIGHT(Sheet1!AF605,2)</f>
        <v>ta</v>
      </c>
      <c r="AW606" s="40" t="str">
        <f>MID(Sheet1!AE605,2,3)</f>
        <v>shi</v>
      </c>
      <c r="AX606" s="42">
        <f>LEN(Sheet1!AE605)</f>
        <v>6</v>
      </c>
      <c r="AY606" s="40" t="str">
        <f>UPPER(Sheet1!AE605)</f>
        <v>ISHITA</v>
      </c>
      <c r="AZ606" s="40" t="str">
        <f>LOWER(Sheet1!AE605)</f>
        <v>ishita</v>
      </c>
      <c r="BA606" s="40" t="str">
        <f>PROPER(Sheet1!AE605)</f>
        <v>Ishita</v>
      </c>
      <c r="BB606" s="40" t="str">
        <f>_xlfn.CONCAT(Sheet1!AE605," ",Sheet1!AF605)</f>
        <v>Ishita Gupta</v>
      </c>
    </row>
    <row r="607" spans="40:54">
      <c r="AN607" s="50" t="str">
        <f>Sheet1!B606</f>
        <v>18-12-2024</v>
      </c>
      <c r="AO607" s="50">
        <f t="shared" si="57"/>
        <v>15</v>
      </c>
      <c r="AP607" s="50">
        <f t="shared" si="58"/>
        <v>12</v>
      </c>
      <c r="AQ607" s="50">
        <f t="shared" si="59"/>
        <v>2024</v>
      </c>
      <c r="AR607" s="50" t="str">
        <f t="shared" si="60"/>
        <v>Dec-2024</v>
      </c>
      <c r="AS607" s="52">
        <f t="shared" si="61"/>
        <v>45641</v>
      </c>
      <c r="AT607" s="44">
        <f t="shared" ca="1" si="62"/>
        <v>637</v>
      </c>
      <c r="AU607" s="40" t="str">
        <f>LEFT(Sheet1!AE606,3)</f>
        <v>Kar</v>
      </c>
      <c r="AV607" s="40" t="str">
        <f>RIGHT(Sheet1!AF606,2)</f>
        <v>ma</v>
      </c>
      <c r="AW607" s="40" t="str">
        <f>MID(Sheet1!AE606,2,3)</f>
        <v>ara</v>
      </c>
      <c r="AX607" s="42">
        <f>LEN(Sheet1!AE606)</f>
        <v>5</v>
      </c>
      <c r="AY607" s="40" t="str">
        <f>UPPER(Sheet1!AE606)</f>
        <v>KARAN</v>
      </c>
      <c r="AZ607" s="40" t="str">
        <f>LOWER(Sheet1!AE606)</f>
        <v>karan</v>
      </c>
      <c r="BA607" s="40" t="str">
        <f>PROPER(Sheet1!AE606)</f>
        <v>Karan</v>
      </c>
      <c r="BB607" s="40" t="str">
        <f>_xlfn.CONCAT(Sheet1!AE606," ",Sheet1!AF606)</f>
        <v>Karan Sharma</v>
      </c>
    </row>
    <row r="608" spans="40:54">
      <c r="AN608" s="50" t="str">
        <f>Sheet1!B607</f>
        <v>18-12-2024</v>
      </c>
      <c r="AO608" s="50">
        <f t="shared" si="57"/>
        <v>15</v>
      </c>
      <c r="AP608" s="50">
        <f t="shared" si="58"/>
        <v>12</v>
      </c>
      <c r="AQ608" s="50">
        <f t="shared" si="59"/>
        <v>2024</v>
      </c>
      <c r="AR608" s="50" t="str">
        <f t="shared" si="60"/>
        <v>Dec-2024</v>
      </c>
      <c r="AS608" s="52">
        <f t="shared" si="61"/>
        <v>45641</v>
      </c>
      <c r="AT608" s="44">
        <f t="shared" ca="1" si="62"/>
        <v>637</v>
      </c>
      <c r="AU608" s="40" t="str">
        <f>LEFT(Sheet1!AE607,3)</f>
        <v>Sne</v>
      </c>
      <c r="AV608" s="40" t="str">
        <f>RIGHT(Sheet1!AF607,2)</f>
        <v>al</v>
      </c>
      <c r="AW608" s="40" t="str">
        <f>MID(Sheet1!AE607,2,3)</f>
        <v>neh</v>
      </c>
      <c r="AX608" s="42">
        <f>LEN(Sheet1!AE607)</f>
        <v>5</v>
      </c>
      <c r="AY608" s="40" t="str">
        <f>UPPER(Sheet1!AE607)</f>
        <v>SNEHA</v>
      </c>
      <c r="AZ608" s="40" t="str">
        <f>LOWER(Sheet1!AE607)</f>
        <v>sneha</v>
      </c>
      <c r="BA608" s="40" t="str">
        <f>PROPER(Sheet1!AE607)</f>
        <v>Sneha</v>
      </c>
      <c r="BB608" s="40" t="str">
        <f>_xlfn.CONCAT(Sheet1!AE607," ",Sheet1!AF607)</f>
        <v>Sneha Bansal</v>
      </c>
    </row>
    <row r="609" spans="40:54">
      <c r="AN609" s="50" t="str">
        <f>Sheet1!B608</f>
        <v>18-12-2025</v>
      </c>
      <c r="AO609" s="50">
        <f t="shared" si="57"/>
        <v>15</v>
      </c>
      <c r="AP609" s="50">
        <f t="shared" si="58"/>
        <v>12</v>
      </c>
      <c r="AQ609" s="50">
        <f t="shared" si="59"/>
        <v>2025</v>
      </c>
      <c r="AR609" s="50" t="str">
        <f t="shared" si="60"/>
        <v>Dec-2025</v>
      </c>
      <c r="AS609" s="52">
        <f t="shared" si="61"/>
        <v>46006</v>
      </c>
      <c r="AT609" s="44">
        <f t="shared" ca="1" si="62"/>
        <v>272</v>
      </c>
      <c r="AU609" s="40" t="str">
        <f>LEFT(Sheet1!AE608,3)</f>
        <v>Pri</v>
      </c>
      <c r="AV609" s="40" t="str">
        <f>RIGHT(Sheet1!AF608,2)</f>
        <v>ma</v>
      </c>
      <c r="AW609" s="40" t="str">
        <f>MID(Sheet1!AE608,2,3)</f>
        <v>riy</v>
      </c>
      <c r="AX609" s="42">
        <f>LEN(Sheet1!AE608)</f>
        <v>5</v>
      </c>
      <c r="AY609" s="40" t="str">
        <f>UPPER(Sheet1!AE608)</f>
        <v>PRIYA</v>
      </c>
      <c r="AZ609" s="40" t="str">
        <f>LOWER(Sheet1!AE608)</f>
        <v>priya</v>
      </c>
      <c r="BA609" s="40" t="str">
        <f>PROPER(Sheet1!AE608)</f>
        <v>Priya</v>
      </c>
      <c r="BB609" s="40" t="str">
        <f>_xlfn.CONCAT(Sheet1!AE608," ",Sheet1!AF608)</f>
        <v>Priya Sharma</v>
      </c>
    </row>
    <row r="610" spans="40:54">
      <c r="AN610" s="50" t="str">
        <f>Sheet1!B609</f>
        <v>19-01-2024</v>
      </c>
      <c r="AO610" s="50">
        <f t="shared" si="57"/>
        <v>15</v>
      </c>
      <c r="AP610" s="50">
        <f t="shared" si="58"/>
        <v>1</v>
      </c>
      <c r="AQ610" s="50">
        <f t="shared" si="59"/>
        <v>2024</v>
      </c>
      <c r="AR610" s="50" t="str">
        <f t="shared" si="60"/>
        <v>Jan-2024</v>
      </c>
      <c r="AS610" s="52">
        <f t="shared" si="61"/>
        <v>45306</v>
      </c>
      <c r="AT610" s="44">
        <f t="shared" ca="1" si="62"/>
        <v>972</v>
      </c>
      <c r="AU610" s="40" t="str">
        <f>LEFT(Sheet1!AE609,3)</f>
        <v>Vik</v>
      </c>
      <c r="AV610" s="40" t="str">
        <f>RIGHT(Sheet1!AF609,2)</f>
        <v>or</v>
      </c>
      <c r="AW610" s="40" t="str">
        <f>MID(Sheet1!AE609,2,3)</f>
        <v>ikr</v>
      </c>
      <c r="AX610" s="42">
        <f>LEN(Sheet1!AE609)</f>
        <v>6</v>
      </c>
      <c r="AY610" s="40" t="str">
        <f>UPPER(Sheet1!AE609)</f>
        <v>VIKRAM</v>
      </c>
      <c r="AZ610" s="40" t="str">
        <f>LOWER(Sheet1!AE609)</f>
        <v>vikram</v>
      </c>
      <c r="BA610" s="40" t="str">
        <f>PROPER(Sheet1!AE609)</f>
        <v>Vikram</v>
      </c>
      <c r="BB610" s="40" t="str">
        <f>_xlfn.CONCAT(Sheet1!AE609," ",Sheet1!AF609)</f>
        <v>Vikram Kapoor</v>
      </c>
    </row>
    <row r="611" spans="40:54">
      <c r="AN611" s="50" t="str">
        <f>Sheet1!B610</f>
        <v>19-01-2025</v>
      </c>
      <c r="AO611" s="50">
        <f t="shared" si="57"/>
        <v>15</v>
      </c>
      <c r="AP611" s="50">
        <f t="shared" si="58"/>
        <v>1</v>
      </c>
      <c r="AQ611" s="50">
        <f t="shared" si="59"/>
        <v>2025</v>
      </c>
      <c r="AR611" s="50" t="str">
        <f t="shared" si="60"/>
        <v>Jan-2025</v>
      </c>
      <c r="AS611" s="52">
        <f t="shared" si="61"/>
        <v>45672</v>
      </c>
      <c r="AT611" s="44">
        <f t="shared" ca="1" si="62"/>
        <v>606</v>
      </c>
      <c r="AU611" s="40" t="str">
        <f>LEFT(Sheet1!AE610,3)</f>
        <v>Riy</v>
      </c>
      <c r="AV611" s="40" t="str">
        <f>RIGHT(Sheet1!AF610,2)</f>
        <v>av</v>
      </c>
      <c r="AW611" s="40" t="str">
        <f>MID(Sheet1!AE610,2,3)</f>
        <v>iya</v>
      </c>
      <c r="AX611" s="42">
        <f>LEN(Sheet1!AE610)</f>
        <v>4</v>
      </c>
      <c r="AY611" s="40" t="str">
        <f>UPPER(Sheet1!AE610)</f>
        <v>RIYA</v>
      </c>
      <c r="AZ611" s="40" t="str">
        <f>LOWER(Sheet1!AE610)</f>
        <v>riya</v>
      </c>
      <c r="BA611" s="40" t="str">
        <f>PROPER(Sheet1!AE610)</f>
        <v>Riya</v>
      </c>
      <c r="BB611" s="40" t="str">
        <f>_xlfn.CONCAT(Sheet1!AE610," ",Sheet1!AF610)</f>
        <v>Riya Yadav</v>
      </c>
    </row>
    <row r="612" spans="40:54">
      <c r="AN612" s="50" t="str">
        <f>Sheet1!B611</f>
        <v>19-01-2025</v>
      </c>
      <c r="AO612" s="50">
        <f t="shared" si="57"/>
        <v>15</v>
      </c>
      <c r="AP612" s="50">
        <f t="shared" si="58"/>
        <v>1</v>
      </c>
      <c r="AQ612" s="50">
        <f t="shared" si="59"/>
        <v>2025</v>
      </c>
      <c r="AR612" s="50" t="str">
        <f t="shared" si="60"/>
        <v>Jan-2025</v>
      </c>
      <c r="AS612" s="52">
        <f t="shared" si="61"/>
        <v>45672</v>
      </c>
      <c r="AT612" s="44">
        <f t="shared" ca="1" si="62"/>
        <v>606</v>
      </c>
      <c r="AU612" s="40" t="str">
        <f>LEFT(Sheet1!AE611,3)</f>
        <v>Ana</v>
      </c>
      <c r="AV612" s="40" t="str">
        <f>RIGHT(Sheet1!AF611,2)</f>
        <v>or</v>
      </c>
      <c r="AW612" s="40" t="str">
        <f>MID(Sheet1!AE611,2,3)</f>
        <v>nan</v>
      </c>
      <c r="AX612" s="42">
        <f>LEN(Sheet1!AE611)</f>
        <v>6</v>
      </c>
      <c r="AY612" s="40" t="str">
        <f>UPPER(Sheet1!AE611)</f>
        <v>ANANYA</v>
      </c>
      <c r="AZ612" s="40" t="str">
        <f>LOWER(Sheet1!AE611)</f>
        <v>ananya</v>
      </c>
      <c r="BA612" s="40" t="str">
        <f>PROPER(Sheet1!AE611)</f>
        <v>Ananya</v>
      </c>
      <c r="BB612" s="40" t="str">
        <f>_xlfn.CONCAT(Sheet1!AE611," ",Sheet1!AF611)</f>
        <v>Ananya Kapoor</v>
      </c>
    </row>
    <row r="613" spans="40:54">
      <c r="AN613" s="50" t="str">
        <f>Sheet1!B612</f>
        <v>19-03-2024</v>
      </c>
      <c r="AO613" s="50">
        <f t="shared" si="57"/>
        <v>15</v>
      </c>
      <c r="AP613" s="50">
        <f t="shared" si="58"/>
        <v>3</v>
      </c>
      <c r="AQ613" s="50">
        <f t="shared" si="59"/>
        <v>2024</v>
      </c>
      <c r="AR613" s="50" t="str">
        <f t="shared" si="60"/>
        <v>Mar-2024</v>
      </c>
      <c r="AS613" s="52">
        <f t="shared" si="61"/>
        <v>45366</v>
      </c>
      <c r="AT613" s="44">
        <f t="shared" ca="1" si="62"/>
        <v>912</v>
      </c>
      <c r="AU613" s="40" t="str">
        <f>LEFT(Sheet1!AE612,3)</f>
        <v>Ish</v>
      </c>
      <c r="AV613" s="40" t="str">
        <f>RIGHT(Sheet1!AF612,2)</f>
        <v>ra</v>
      </c>
      <c r="AW613" s="40" t="str">
        <f>MID(Sheet1!AE612,2,3)</f>
        <v>shi</v>
      </c>
      <c r="AX613" s="42">
        <f>LEN(Sheet1!AE612)</f>
        <v>6</v>
      </c>
      <c r="AY613" s="40" t="str">
        <f>UPPER(Sheet1!AE612)</f>
        <v>ISHITA</v>
      </c>
      <c r="AZ613" s="40" t="str">
        <f>LOWER(Sheet1!AE612)</f>
        <v>ishita</v>
      </c>
      <c r="BA613" s="40" t="str">
        <f>PROPER(Sheet1!AE612)</f>
        <v>Ishita</v>
      </c>
      <c r="BB613" s="40" t="str">
        <f>_xlfn.CONCAT(Sheet1!AE612," ",Sheet1!AF612)</f>
        <v>Ishita Malhotra</v>
      </c>
    </row>
    <row r="614" spans="40:54">
      <c r="AN614" s="50" t="str">
        <f>Sheet1!B613</f>
        <v>19-03-2024</v>
      </c>
      <c r="AO614" s="50">
        <f t="shared" si="57"/>
        <v>15</v>
      </c>
      <c r="AP614" s="50">
        <f t="shared" si="58"/>
        <v>3</v>
      </c>
      <c r="AQ614" s="50">
        <f t="shared" si="59"/>
        <v>2024</v>
      </c>
      <c r="AR614" s="50" t="str">
        <f t="shared" si="60"/>
        <v>Mar-2024</v>
      </c>
      <c r="AS614" s="52">
        <f t="shared" si="61"/>
        <v>45366</v>
      </c>
      <c r="AT614" s="44">
        <f t="shared" ca="1" si="62"/>
        <v>912</v>
      </c>
      <c r="AU614" s="40" t="str">
        <f>LEFT(Sheet1!AE613,3)</f>
        <v>Adi</v>
      </c>
      <c r="AV614" s="40" t="str">
        <f>RIGHT(Sheet1!AF613,2)</f>
        <v>al</v>
      </c>
      <c r="AW614" s="40" t="str">
        <f>MID(Sheet1!AE613,2,3)</f>
        <v>dit</v>
      </c>
      <c r="AX614" s="42">
        <f>LEN(Sheet1!AE613)</f>
        <v>5</v>
      </c>
      <c r="AY614" s="40" t="str">
        <f>UPPER(Sheet1!AE613)</f>
        <v>ADITI</v>
      </c>
      <c r="AZ614" s="40" t="str">
        <f>LOWER(Sheet1!AE613)</f>
        <v>aditi</v>
      </c>
      <c r="BA614" s="40" t="str">
        <f>PROPER(Sheet1!AE613)</f>
        <v>Aditi</v>
      </c>
      <c r="BB614" s="40" t="str">
        <f>_xlfn.CONCAT(Sheet1!AE613," ",Sheet1!AF613)</f>
        <v>Aditi Bansal</v>
      </c>
    </row>
    <row r="615" spans="40:54">
      <c r="AN615" s="50" t="str">
        <f>Sheet1!B614</f>
        <v>19-03-2024</v>
      </c>
      <c r="AO615" s="50">
        <f t="shared" si="57"/>
        <v>15</v>
      </c>
      <c r="AP615" s="50">
        <f t="shared" si="58"/>
        <v>3</v>
      </c>
      <c r="AQ615" s="50">
        <f t="shared" si="59"/>
        <v>2024</v>
      </c>
      <c r="AR615" s="50" t="str">
        <f t="shared" si="60"/>
        <v>Mar-2024</v>
      </c>
      <c r="AS615" s="52">
        <f t="shared" si="61"/>
        <v>45366</v>
      </c>
      <c r="AT615" s="44">
        <f t="shared" ca="1" si="62"/>
        <v>912</v>
      </c>
      <c r="AU615" s="40" t="str">
        <f>LEFT(Sheet1!AE614,3)</f>
        <v>Poo</v>
      </c>
      <c r="AV615" s="40" t="str">
        <f>RIGHT(Sheet1!AF614,2)</f>
        <v>al</v>
      </c>
      <c r="AW615" s="40" t="str">
        <f>MID(Sheet1!AE614,2,3)</f>
        <v>ooj</v>
      </c>
      <c r="AX615" s="42">
        <f>LEN(Sheet1!AE614)</f>
        <v>5</v>
      </c>
      <c r="AY615" s="40" t="str">
        <f>UPPER(Sheet1!AE614)</f>
        <v>POOJA</v>
      </c>
      <c r="AZ615" s="40" t="str">
        <f>LOWER(Sheet1!AE614)</f>
        <v>pooja</v>
      </c>
      <c r="BA615" s="40" t="str">
        <f>PROPER(Sheet1!AE614)</f>
        <v>Pooja</v>
      </c>
      <c r="BB615" s="40" t="str">
        <f>_xlfn.CONCAT(Sheet1!AE614," ",Sheet1!AF614)</f>
        <v>Pooja Agarwal</v>
      </c>
    </row>
    <row r="616" spans="40:54">
      <c r="AN616" s="50" t="str">
        <f>Sheet1!B615</f>
        <v>19-03-2024</v>
      </c>
      <c r="AO616" s="50">
        <f t="shared" si="57"/>
        <v>15</v>
      </c>
      <c r="AP616" s="50">
        <f t="shared" si="58"/>
        <v>3</v>
      </c>
      <c r="AQ616" s="50">
        <f t="shared" si="59"/>
        <v>2024</v>
      </c>
      <c r="AR616" s="50" t="str">
        <f t="shared" si="60"/>
        <v>Mar-2024</v>
      </c>
      <c r="AS616" s="52">
        <f t="shared" si="61"/>
        <v>45366</v>
      </c>
      <c r="AT616" s="44">
        <f t="shared" ca="1" si="62"/>
        <v>912</v>
      </c>
      <c r="AU616" s="40" t="str">
        <f>LEFT(Sheet1!AE615,3)</f>
        <v>Vik</v>
      </c>
      <c r="AV616" s="40" t="str">
        <f>RIGHT(Sheet1!AF615,2)</f>
        <v>ma</v>
      </c>
      <c r="AW616" s="40" t="str">
        <f>MID(Sheet1!AE615,2,3)</f>
        <v>ikr</v>
      </c>
      <c r="AX616" s="42">
        <f>LEN(Sheet1!AE615)</f>
        <v>6</v>
      </c>
      <c r="AY616" s="40" t="str">
        <f>UPPER(Sheet1!AE615)</f>
        <v>VIKRAM</v>
      </c>
      <c r="AZ616" s="40" t="str">
        <f>LOWER(Sheet1!AE615)</f>
        <v>vikram</v>
      </c>
      <c r="BA616" s="40" t="str">
        <f>PROPER(Sheet1!AE615)</f>
        <v>Vikram</v>
      </c>
      <c r="BB616" s="40" t="str">
        <f>_xlfn.CONCAT(Sheet1!AE615," ",Sheet1!AF615)</f>
        <v>Vikram Verma</v>
      </c>
    </row>
    <row r="617" spans="40:54">
      <c r="AN617" s="50" t="str">
        <f>Sheet1!B616</f>
        <v>19-03-2025</v>
      </c>
      <c r="AO617" s="50">
        <f t="shared" si="57"/>
        <v>15</v>
      </c>
      <c r="AP617" s="50">
        <f t="shared" si="58"/>
        <v>3</v>
      </c>
      <c r="AQ617" s="50">
        <f t="shared" si="59"/>
        <v>2025</v>
      </c>
      <c r="AR617" s="50" t="str">
        <f t="shared" si="60"/>
        <v>Mar-2025</v>
      </c>
      <c r="AS617" s="52">
        <f t="shared" si="61"/>
        <v>45731</v>
      </c>
      <c r="AT617" s="44">
        <f t="shared" ca="1" si="62"/>
        <v>547</v>
      </c>
      <c r="AU617" s="40" t="str">
        <f>LEFT(Sheet1!AE616,3)</f>
        <v>Pri</v>
      </c>
      <c r="AV617" s="40" t="str">
        <f>RIGHT(Sheet1!AF616,2)</f>
        <v>ma</v>
      </c>
      <c r="AW617" s="40" t="str">
        <f>MID(Sheet1!AE616,2,3)</f>
        <v>riy</v>
      </c>
      <c r="AX617" s="42">
        <f>LEN(Sheet1!AE616)</f>
        <v>5</v>
      </c>
      <c r="AY617" s="40" t="str">
        <f>UPPER(Sheet1!AE616)</f>
        <v>PRIYA</v>
      </c>
      <c r="AZ617" s="40" t="str">
        <f>LOWER(Sheet1!AE616)</f>
        <v>priya</v>
      </c>
      <c r="BA617" s="40" t="str">
        <f>PROPER(Sheet1!AE616)</f>
        <v>Priya</v>
      </c>
      <c r="BB617" s="40" t="str">
        <f>_xlfn.CONCAT(Sheet1!AE616," ",Sheet1!AF616)</f>
        <v>Priya Verma</v>
      </c>
    </row>
    <row r="618" spans="40:54">
      <c r="AN618" s="50" t="str">
        <f>Sheet1!B617</f>
        <v>19-04-2024</v>
      </c>
      <c r="AO618" s="50">
        <f t="shared" si="57"/>
        <v>15</v>
      </c>
      <c r="AP618" s="50">
        <f t="shared" si="58"/>
        <v>4</v>
      </c>
      <c r="AQ618" s="50">
        <f t="shared" si="59"/>
        <v>2024</v>
      </c>
      <c r="AR618" s="50" t="str">
        <f t="shared" si="60"/>
        <v>Apr-2024</v>
      </c>
      <c r="AS618" s="52">
        <f t="shared" si="61"/>
        <v>45397</v>
      </c>
      <c r="AT618" s="44">
        <f t="shared" ca="1" si="62"/>
        <v>881</v>
      </c>
      <c r="AU618" s="40" t="str">
        <f>LEFT(Sheet1!AE617,3)</f>
        <v>Sim</v>
      </c>
      <c r="AV618" s="40" t="str">
        <f>RIGHT(Sheet1!AF617,2)</f>
        <v>ar</v>
      </c>
      <c r="AW618" s="40" t="str">
        <f>MID(Sheet1!AE617,2,3)</f>
        <v>imr</v>
      </c>
      <c r="AX618" s="42">
        <f>LEN(Sheet1!AE617)</f>
        <v>6</v>
      </c>
      <c r="AY618" s="40" t="str">
        <f>UPPER(Sheet1!AE617)</f>
        <v>SIMRAN</v>
      </c>
      <c r="AZ618" s="40" t="str">
        <f>LOWER(Sheet1!AE617)</f>
        <v>simran</v>
      </c>
      <c r="BA618" s="40" t="str">
        <f>PROPER(Sheet1!AE617)</f>
        <v>Simran</v>
      </c>
      <c r="BB618" s="40" t="str">
        <f>_xlfn.CONCAT(Sheet1!AE617," ",Sheet1!AF617)</f>
        <v>Simran Kumar</v>
      </c>
    </row>
    <row r="619" spans="40:54">
      <c r="AN619" s="50" t="str">
        <f>Sheet1!B618</f>
        <v>19-04-2024</v>
      </c>
      <c r="AO619" s="50">
        <f t="shared" si="57"/>
        <v>16</v>
      </c>
      <c r="AP619" s="50">
        <f t="shared" si="58"/>
        <v>4</v>
      </c>
      <c r="AQ619" s="50">
        <f t="shared" si="59"/>
        <v>2024</v>
      </c>
      <c r="AR619" s="50" t="str">
        <f t="shared" si="60"/>
        <v>Apr-2024</v>
      </c>
      <c r="AS619" s="52">
        <f t="shared" si="61"/>
        <v>45398</v>
      </c>
      <c r="AT619" s="44">
        <f t="shared" ca="1" si="62"/>
        <v>880</v>
      </c>
      <c r="AU619" s="40" t="str">
        <f>LEFT(Sheet1!AE618,3)</f>
        <v>Ish</v>
      </c>
      <c r="AV619" s="40" t="str">
        <f>RIGHT(Sheet1!AF618,2)</f>
        <v>ar</v>
      </c>
      <c r="AW619" s="40" t="str">
        <f>MID(Sheet1!AE618,2,3)</f>
        <v>shi</v>
      </c>
      <c r="AX619" s="42">
        <f>LEN(Sheet1!AE618)</f>
        <v>6</v>
      </c>
      <c r="AY619" s="40" t="str">
        <f>UPPER(Sheet1!AE618)</f>
        <v>ISHITA</v>
      </c>
      <c r="AZ619" s="40" t="str">
        <f>LOWER(Sheet1!AE618)</f>
        <v>ishita</v>
      </c>
      <c r="BA619" s="40" t="str">
        <f>PROPER(Sheet1!AE618)</f>
        <v>Ishita</v>
      </c>
      <c r="BB619" s="40" t="str">
        <f>_xlfn.CONCAT(Sheet1!AE618," ",Sheet1!AF618)</f>
        <v>Ishita Kumar</v>
      </c>
    </row>
    <row r="620" spans="40:54">
      <c r="AN620" s="50" t="str">
        <f>Sheet1!B619</f>
        <v>19-04-2025</v>
      </c>
      <c r="AO620" s="50">
        <f t="shared" si="57"/>
        <v>16</v>
      </c>
      <c r="AP620" s="50">
        <f t="shared" si="58"/>
        <v>4</v>
      </c>
      <c r="AQ620" s="50">
        <f t="shared" si="59"/>
        <v>2025</v>
      </c>
      <c r="AR620" s="50" t="str">
        <f t="shared" si="60"/>
        <v>Apr-2025</v>
      </c>
      <c r="AS620" s="52">
        <f t="shared" si="61"/>
        <v>45763</v>
      </c>
      <c r="AT620" s="44">
        <f t="shared" ca="1" si="62"/>
        <v>515</v>
      </c>
      <c r="AU620" s="40" t="str">
        <f>LEFT(Sheet1!AE619,3)</f>
        <v>Rah</v>
      </c>
      <c r="AV620" s="40" t="str">
        <f>RIGHT(Sheet1!AF619,2)</f>
        <v>or</v>
      </c>
      <c r="AW620" s="40" t="str">
        <f>MID(Sheet1!AE619,2,3)</f>
        <v>ahu</v>
      </c>
      <c r="AX620" s="42">
        <f>LEN(Sheet1!AE619)</f>
        <v>5</v>
      </c>
      <c r="AY620" s="40" t="str">
        <f>UPPER(Sheet1!AE619)</f>
        <v>RAHUL</v>
      </c>
      <c r="AZ620" s="40" t="str">
        <f>LOWER(Sheet1!AE619)</f>
        <v>rahul</v>
      </c>
      <c r="BA620" s="40" t="str">
        <f>PROPER(Sheet1!AE619)</f>
        <v>Rahul</v>
      </c>
      <c r="BB620" s="40" t="str">
        <f>_xlfn.CONCAT(Sheet1!AE619," ",Sheet1!AF619)</f>
        <v>Rahul Kapoor</v>
      </c>
    </row>
    <row r="621" spans="40:54">
      <c r="AN621" s="50" t="str">
        <f>Sheet1!B620</f>
        <v>19-04-2025</v>
      </c>
      <c r="AO621" s="50">
        <f t="shared" si="57"/>
        <v>16</v>
      </c>
      <c r="AP621" s="50">
        <f t="shared" si="58"/>
        <v>4</v>
      </c>
      <c r="AQ621" s="50">
        <f t="shared" si="59"/>
        <v>2025</v>
      </c>
      <c r="AR621" s="50" t="str">
        <f t="shared" si="60"/>
        <v>Apr-2025</v>
      </c>
      <c r="AS621" s="52">
        <f t="shared" si="61"/>
        <v>45763</v>
      </c>
      <c r="AT621" s="44">
        <f t="shared" ca="1" si="62"/>
        <v>515</v>
      </c>
      <c r="AU621" s="40" t="str">
        <f>LEFT(Sheet1!AE620,3)</f>
        <v>Viv</v>
      </c>
      <c r="AV621" s="40" t="str">
        <f>RIGHT(Sheet1!AF620,2)</f>
        <v>ar</v>
      </c>
      <c r="AW621" s="40" t="str">
        <f>MID(Sheet1!AE620,2,3)</f>
        <v>iva</v>
      </c>
      <c r="AX621" s="42">
        <f>LEN(Sheet1!AE620)</f>
        <v>6</v>
      </c>
      <c r="AY621" s="40" t="str">
        <f>UPPER(Sheet1!AE620)</f>
        <v>VIVAAN</v>
      </c>
      <c r="AZ621" s="40" t="str">
        <f>LOWER(Sheet1!AE620)</f>
        <v>vivaan</v>
      </c>
      <c r="BA621" s="40" t="str">
        <f>PROPER(Sheet1!AE620)</f>
        <v>Vivaan</v>
      </c>
      <c r="BB621" s="40" t="str">
        <f>_xlfn.CONCAT(Sheet1!AE620," ",Sheet1!AF620)</f>
        <v>Vivaan Kumar</v>
      </c>
    </row>
    <row r="622" spans="40:54">
      <c r="AN622" s="50" t="str">
        <f>Sheet1!B621</f>
        <v>19-05-2024</v>
      </c>
      <c r="AO622" s="50">
        <f t="shared" si="57"/>
        <v>16</v>
      </c>
      <c r="AP622" s="50">
        <f t="shared" si="58"/>
        <v>5</v>
      </c>
      <c r="AQ622" s="50">
        <f t="shared" si="59"/>
        <v>2024</v>
      </c>
      <c r="AR622" s="50" t="str">
        <f t="shared" si="60"/>
        <v>May-2024</v>
      </c>
      <c r="AS622" s="52">
        <f t="shared" si="61"/>
        <v>45428</v>
      </c>
      <c r="AT622" s="44">
        <f t="shared" ca="1" si="62"/>
        <v>850</v>
      </c>
      <c r="AU622" s="40" t="str">
        <f>LEFT(Sheet1!AE621,3)</f>
        <v>Neh</v>
      </c>
      <c r="AV622" s="40" t="str">
        <f>RIGHT(Sheet1!AF621,2)</f>
        <v>ma</v>
      </c>
      <c r="AW622" s="40" t="str">
        <f>MID(Sheet1!AE621,2,3)</f>
        <v>eha</v>
      </c>
      <c r="AX622" s="42">
        <f>LEN(Sheet1!AE621)</f>
        <v>4</v>
      </c>
      <c r="AY622" s="40" t="str">
        <f>UPPER(Sheet1!AE621)</f>
        <v>NEHA</v>
      </c>
      <c r="AZ622" s="40" t="str">
        <f>LOWER(Sheet1!AE621)</f>
        <v>neha</v>
      </c>
      <c r="BA622" s="40" t="str">
        <f>PROPER(Sheet1!AE621)</f>
        <v>Neha</v>
      </c>
      <c r="BB622" s="40" t="str">
        <f>_xlfn.CONCAT(Sheet1!AE621," ",Sheet1!AF621)</f>
        <v>Neha Verma</v>
      </c>
    </row>
    <row r="623" spans="40:54">
      <c r="AN623" s="50" t="str">
        <f>Sheet1!B622</f>
        <v>19-06-2024</v>
      </c>
      <c r="AO623" s="50">
        <f t="shared" si="57"/>
        <v>16</v>
      </c>
      <c r="AP623" s="50">
        <f t="shared" si="58"/>
        <v>6</v>
      </c>
      <c r="AQ623" s="50">
        <f t="shared" si="59"/>
        <v>2024</v>
      </c>
      <c r="AR623" s="50" t="str">
        <f t="shared" si="60"/>
        <v>Jun-2024</v>
      </c>
      <c r="AS623" s="52">
        <f t="shared" si="61"/>
        <v>45459</v>
      </c>
      <c r="AT623" s="44">
        <f t="shared" ca="1" si="62"/>
        <v>819</v>
      </c>
      <c r="AU623" s="40" t="str">
        <f>LEFT(Sheet1!AE622,3)</f>
        <v>Poo</v>
      </c>
      <c r="AV623" s="40" t="str">
        <f>RIGHT(Sheet1!AF622,2)</f>
        <v>al</v>
      </c>
      <c r="AW623" s="40" t="str">
        <f>MID(Sheet1!AE622,2,3)</f>
        <v>ooj</v>
      </c>
      <c r="AX623" s="42">
        <f>LEN(Sheet1!AE622)</f>
        <v>5</v>
      </c>
      <c r="AY623" s="40" t="str">
        <f>UPPER(Sheet1!AE622)</f>
        <v>POOJA</v>
      </c>
      <c r="AZ623" s="40" t="str">
        <f>LOWER(Sheet1!AE622)</f>
        <v>pooja</v>
      </c>
      <c r="BA623" s="40" t="str">
        <f>PROPER(Sheet1!AE622)</f>
        <v>Pooja</v>
      </c>
      <c r="BB623" s="40" t="str">
        <f>_xlfn.CONCAT(Sheet1!AE622," ",Sheet1!AF622)</f>
        <v>Pooja Agarwal</v>
      </c>
    </row>
    <row r="624" spans="40:54">
      <c r="AN624" s="50" t="str">
        <f>Sheet1!B623</f>
        <v>19-06-2025</v>
      </c>
      <c r="AO624" s="50">
        <f t="shared" si="57"/>
        <v>16</v>
      </c>
      <c r="AP624" s="50">
        <f t="shared" si="58"/>
        <v>6</v>
      </c>
      <c r="AQ624" s="50">
        <f t="shared" si="59"/>
        <v>2025</v>
      </c>
      <c r="AR624" s="50" t="str">
        <f t="shared" si="60"/>
        <v>Jun-2025</v>
      </c>
      <c r="AS624" s="52">
        <f t="shared" si="61"/>
        <v>45824</v>
      </c>
      <c r="AT624" s="44">
        <f t="shared" ca="1" si="62"/>
        <v>454</v>
      </c>
      <c r="AU624" s="40" t="str">
        <f>LEFT(Sheet1!AE623,3)</f>
        <v>Arj</v>
      </c>
      <c r="AV624" s="40" t="str">
        <f>RIGHT(Sheet1!AF623,2)</f>
        <v>gh</v>
      </c>
      <c r="AW624" s="40" t="str">
        <f>MID(Sheet1!AE623,2,3)</f>
        <v>rju</v>
      </c>
      <c r="AX624" s="42">
        <f>LEN(Sheet1!AE623)</f>
        <v>5</v>
      </c>
      <c r="AY624" s="40" t="str">
        <f>UPPER(Sheet1!AE623)</f>
        <v>ARJUN</v>
      </c>
      <c r="AZ624" s="40" t="str">
        <f>LOWER(Sheet1!AE623)</f>
        <v>arjun</v>
      </c>
      <c r="BA624" s="40" t="str">
        <f>PROPER(Sheet1!AE623)</f>
        <v>Arjun</v>
      </c>
      <c r="BB624" s="40" t="str">
        <f>_xlfn.CONCAT(Sheet1!AE623," ",Sheet1!AF623)</f>
        <v>Arjun Singh</v>
      </c>
    </row>
    <row r="625" spans="40:54">
      <c r="AN625" s="50" t="str">
        <f>Sheet1!B624</f>
        <v>19-07-2024</v>
      </c>
      <c r="AO625" s="50">
        <f t="shared" si="57"/>
        <v>16</v>
      </c>
      <c r="AP625" s="50">
        <f t="shared" si="58"/>
        <v>7</v>
      </c>
      <c r="AQ625" s="50">
        <f t="shared" si="59"/>
        <v>2024</v>
      </c>
      <c r="AR625" s="50" t="str">
        <f t="shared" si="60"/>
        <v>Jul-2024</v>
      </c>
      <c r="AS625" s="52">
        <f t="shared" si="61"/>
        <v>45489</v>
      </c>
      <c r="AT625" s="44">
        <f t="shared" ca="1" si="62"/>
        <v>789</v>
      </c>
      <c r="AU625" s="40" t="str">
        <f>LEFT(Sheet1!AE624,3)</f>
        <v>Vik</v>
      </c>
      <c r="AV625" s="40" t="str">
        <f>RIGHT(Sheet1!AF624,2)</f>
        <v>ra</v>
      </c>
      <c r="AW625" s="40" t="str">
        <f>MID(Sheet1!AE624,2,3)</f>
        <v>ikr</v>
      </c>
      <c r="AX625" s="42">
        <f>LEN(Sheet1!AE624)</f>
        <v>6</v>
      </c>
      <c r="AY625" s="40" t="str">
        <f>UPPER(Sheet1!AE624)</f>
        <v>VIKRAM</v>
      </c>
      <c r="AZ625" s="40" t="str">
        <f>LOWER(Sheet1!AE624)</f>
        <v>vikram</v>
      </c>
      <c r="BA625" s="40" t="str">
        <f>PROPER(Sheet1!AE624)</f>
        <v>Vikram</v>
      </c>
      <c r="BB625" s="40" t="str">
        <f>_xlfn.CONCAT(Sheet1!AE624," ",Sheet1!AF624)</f>
        <v>Vikram Mishra</v>
      </c>
    </row>
    <row r="626" spans="40:54">
      <c r="AN626" s="50" t="str">
        <f>Sheet1!B625</f>
        <v>19-08-2024</v>
      </c>
      <c r="AO626" s="50">
        <f t="shared" si="57"/>
        <v>16</v>
      </c>
      <c r="AP626" s="50">
        <f t="shared" si="58"/>
        <v>8</v>
      </c>
      <c r="AQ626" s="50">
        <f t="shared" si="59"/>
        <v>2024</v>
      </c>
      <c r="AR626" s="50" t="str">
        <f t="shared" si="60"/>
        <v>Aug-2024</v>
      </c>
      <c r="AS626" s="52">
        <f t="shared" si="61"/>
        <v>45520</v>
      </c>
      <c r="AT626" s="44">
        <f t="shared" ca="1" si="62"/>
        <v>758</v>
      </c>
      <c r="AU626" s="40" t="str">
        <f>LEFT(Sheet1!AE625,3)</f>
        <v>Kav</v>
      </c>
      <c r="AV626" s="40" t="str">
        <f>RIGHT(Sheet1!AF625,2)</f>
        <v>ra</v>
      </c>
      <c r="AW626" s="40" t="str">
        <f>MID(Sheet1!AE625,2,3)</f>
        <v>avy</v>
      </c>
      <c r="AX626" s="42">
        <f>LEN(Sheet1!AE625)</f>
        <v>5</v>
      </c>
      <c r="AY626" s="40" t="str">
        <f>UPPER(Sheet1!AE625)</f>
        <v>KAVYA</v>
      </c>
      <c r="AZ626" s="40" t="str">
        <f>LOWER(Sheet1!AE625)</f>
        <v>kavya</v>
      </c>
      <c r="BA626" s="40" t="str">
        <f>PROPER(Sheet1!AE625)</f>
        <v>Kavya</v>
      </c>
      <c r="BB626" s="40" t="str">
        <f>_xlfn.CONCAT(Sheet1!AE625," ",Sheet1!AF625)</f>
        <v>Kavya Chopra</v>
      </c>
    </row>
    <row r="627" spans="40:54">
      <c r="AN627" s="50" t="str">
        <f>Sheet1!B626</f>
        <v>19-08-2024</v>
      </c>
      <c r="AO627" s="50">
        <f t="shared" si="57"/>
        <v>16</v>
      </c>
      <c r="AP627" s="50">
        <f t="shared" si="58"/>
        <v>8</v>
      </c>
      <c r="AQ627" s="50">
        <f t="shared" si="59"/>
        <v>2024</v>
      </c>
      <c r="AR627" s="50" t="str">
        <f t="shared" si="60"/>
        <v>Aug-2024</v>
      </c>
      <c r="AS627" s="52">
        <f t="shared" si="61"/>
        <v>45520</v>
      </c>
      <c r="AT627" s="44">
        <f t="shared" ca="1" si="62"/>
        <v>758</v>
      </c>
      <c r="AU627" s="40" t="str">
        <f>LEFT(Sheet1!AE626,3)</f>
        <v>Arj</v>
      </c>
      <c r="AV627" s="40" t="str">
        <f>RIGHT(Sheet1!AF626,2)</f>
        <v>al</v>
      </c>
      <c r="AW627" s="40" t="str">
        <f>MID(Sheet1!AE626,2,3)</f>
        <v>rju</v>
      </c>
      <c r="AX627" s="42">
        <f>LEN(Sheet1!AE626)</f>
        <v>5</v>
      </c>
      <c r="AY627" s="40" t="str">
        <f>UPPER(Sheet1!AE626)</f>
        <v>ARJUN</v>
      </c>
      <c r="AZ627" s="40" t="str">
        <f>LOWER(Sheet1!AE626)</f>
        <v>arjun</v>
      </c>
      <c r="BA627" s="40" t="str">
        <f>PROPER(Sheet1!AE626)</f>
        <v>Arjun</v>
      </c>
      <c r="BB627" s="40" t="str">
        <f>_xlfn.CONCAT(Sheet1!AE626," ",Sheet1!AF626)</f>
        <v>Arjun Bansal</v>
      </c>
    </row>
    <row r="628" spans="40:54">
      <c r="AN628" s="50" t="str">
        <f>Sheet1!B627</f>
        <v>19-08-2024</v>
      </c>
      <c r="AO628" s="50">
        <f t="shared" si="57"/>
        <v>16</v>
      </c>
      <c r="AP628" s="50">
        <f t="shared" si="58"/>
        <v>8</v>
      </c>
      <c r="AQ628" s="50">
        <f t="shared" si="59"/>
        <v>2024</v>
      </c>
      <c r="AR628" s="50" t="str">
        <f t="shared" si="60"/>
        <v>Aug-2024</v>
      </c>
      <c r="AS628" s="52">
        <f t="shared" si="61"/>
        <v>45520</v>
      </c>
      <c r="AT628" s="44">
        <f t="shared" ca="1" si="62"/>
        <v>758</v>
      </c>
      <c r="AU628" s="40" t="str">
        <f>LEFT(Sheet1!AE627,3)</f>
        <v>Rah</v>
      </c>
      <c r="AV628" s="40" t="str">
        <f>RIGHT(Sheet1!AF627,2)</f>
        <v>ra</v>
      </c>
      <c r="AW628" s="40" t="str">
        <f>MID(Sheet1!AE627,2,3)</f>
        <v>ahu</v>
      </c>
      <c r="AX628" s="42">
        <f>LEN(Sheet1!AE627)</f>
        <v>5</v>
      </c>
      <c r="AY628" s="40" t="str">
        <f>UPPER(Sheet1!AE627)</f>
        <v>RAHUL</v>
      </c>
      <c r="AZ628" s="40" t="str">
        <f>LOWER(Sheet1!AE627)</f>
        <v>rahul</v>
      </c>
      <c r="BA628" s="40" t="str">
        <f>PROPER(Sheet1!AE627)</f>
        <v>Rahul</v>
      </c>
      <c r="BB628" s="40" t="str">
        <f>_xlfn.CONCAT(Sheet1!AE627," ",Sheet1!AF627)</f>
        <v>Rahul Chopra</v>
      </c>
    </row>
    <row r="629" spans="40:54">
      <c r="AN629" s="50" t="str">
        <f>Sheet1!B628</f>
        <v>19-08-2024</v>
      </c>
      <c r="AO629" s="50">
        <f t="shared" si="57"/>
        <v>16</v>
      </c>
      <c r="AP629" s="50">
        <f t="shared" si="58"/>
        <v>8</v>
      </c>
      <c r="AQ629" s="50">
        <f t="shared" si="59"/>
        <v>2024</v>
      </c>
      <c r="AR629" s="50" t="str">
        <f t="shared" si="60"/>
        <v>Aug-2024</v>
      </c>
      <c r="AS629" s="52">
        <f t="shared" si="61"/>
        <v>45520</v>
      </c>
      <c r="AT629" s="44">
        <f t="shared" ca="1" si="62"/>
        <v>758</v>
      </c>
      <c r="AU629" s="40" t="str">
        <f>LEFT(Sheet1!AE628,3)</f>
        <v>Pri</v>
      </c>
      <c r="AV629" s="40" t="str">
        <f>RIGHT(Sheet1!AF628,2)</f>
        <v>ra</v>
      </c>
      <c r="AW629" s="40" t="str">
        <f>MID(Sheet1!AE628,2,3)</f>
        <v>riy</v>
      </c>
      <c r="AX629" s="42">
        <f>LEN(Sheet1!AE628)</f>
        <v>5</v>
      </c>
      <c r="AY629" s="40" t="str">
        <f>UPPER(Sheet1!AE628)</f>
        <v>PRIYA</v>
      </c>
      <c r="AZ629" s="40" t="str">
        <f>LOWER(Sheet1!AE628)</f>
        <v>priya</v>
      </c>
      <c r="BA629" s="40" t="str">
        <f>PROPER(Sheet1!AE628)</f>
        <v>Priya</v>
      </c>
      <c r="BB629" s="40" t="str">
        <f>_xlfn.CONCAT(Sheet1!AE628," ",Sheet1!AF628)</f>
        <v>Priya Chopra</v>
      </c>
    </row>
    <row r="630" spans="40:54">
      <c r="AN630" s="50" t="str">
        <f>Sheet1!B629</f>
        <v>19-08-2025</v>
      </c>
      <c r="AO630" s="50">
        <f t="shared" si="57"/>
        <v>16</v>
      </c>
      <c r="AP630" s="50">
        <f t="shared" si="58"/>
        <v>8</v>
      </c>
      <c r="AQ630" s="50">
        <f t="shared" si="59"/>
        <v>2025</v>
      </c>
      <c r="AR630" s="50" t="str">
        <f t="shared" si="60"/>
        <v>Aug-2025</v>
      </c>
      <c r="AS630" s="52">
        <f t="shared" si="61"/>
        <v>45885</v>
      </c>
      <c r="AT630" s="44">
        <f t="shared" ca="1" si="62"/>
        <v>393</v>
      </c>
      <c r="AU630" s="40" t="str">
        <f>LEFT(Sheet1!AE629,3)</f>
        <v>Vik</v>
      </c>
      <c r="AV630" s="40" t="str">
        <f>RIGHT(Sheet1!AF629,2)</f>
        <v>al</v>
      </c>
      <c r="AW630" s="40" t="str">
        <f>MID(Sheet1!AE629,2,3)</f>
        <v>ikr</v>
      </c>
      <c r="AX630" s="42">
        <f>LEN(Sheet1!AE629)</f>
        <v>6</v>
      </c>
      <c r="AY630" s="40" t="str">
        <f>UPPER(Sheet1!AE629)</f>
        <v>VIKRAM</v>
      </c>
      <c r="AZ630" s="40" t="str">
        <f>LOWER(Sheet1!AE629)</f>
        <v>vikram</v>
      </c>
      <c r="BA630" s="40" t="str">
        <f>PROPER(Sheet1!AE629)</f>
        <v>Vikram</v>
      </c>
      <c r="BB630" s="40" t="str">
        <f>_xlfn.CONCAT(Sheet1!AE629," ",Sheet1!AF629)</f>
        <v>Vikram Bansal</v>
      </c>
    </row>
    <row r="631" spans="40:54">
      <c r="AN631" s="50" t="str">
        <f>Sheet1!B630</f>
        <v>19-08-2025</v>
      </c>
      <c r="AO631" s="50">
        <f t="shared" si="57"/>
        <v>16</v>
      </c>
      <c r="AP631" s="50">
        <f t="shared" si="58"/>
        <v>8</v>
      </c>
      <c r="AQ631" s="50">
        <f t="shared" si="59"/>
        <v>2025</v>
      </c>
      <c r="AR631" s="50" t="str">
        <f t="shared" si="60"/>
        <v>Aug-2025</v>
      </c>
      <c r="AS631" s="52">
        <f t="shared" si="61"/>
        <v>45885</v>
      </c>
      <c r="AT631" s="44">
        <f t="shared" ca="1" si="62"/>
        <v>393</v>
      </c>
      <c r="AU631" s="40" t="str">
        <f>LEFT(Sheet1!AE630,3)</f>
        <v>Roh</v>
      </c>
      <c r="AV631" s="40" t="str">
        <f>RIGHT(Sheet1!AF630,2)</f>
        <v>ra</v>
      </c>
      <c r="AW631" s="40" t="str">
        <f>MID(Sheet1!AE630,2,3)</f>
        <v>oha</v>
      </c>
      <c r="AX631" s="42">
        <f>LEN(Sheet1!AE630)</f>
        <v>5</v>
      </c>
      <c r="AY631" s="40" t="str">
        <f>UPPER(Sheet1!AE630)</f>
        <v>ROHAN</v>
      </c>
      <c r="AZ631" s="40" t="str">
        <f>LOWER(Sheet1!AE630)</f>
        <v>rohan</v>
      </c>
      <c r="BA631" s="40" t="str">
        <f>PROPER(Sheet1!AE630)</f>
        <v>Rohan</v>
      </c>
      <c r="BB631" s="40" t="str">
        <f>_xlfn.CONCAT(Sheet1!AE630," ",Sheet1!AF630)</f>
        <v>Rohan Chopra</v>
      </c>
    </row>
    <row r="632" spans="40:54">
      <c r="AN632" s="50" t="str">
        <f>Sheet1!B631</f>
        <v>19-09-2024</v>
      </c>
      <c r="AO632" s="50">
        <f t="shared" si="57"/>
        <v>16</v>
      </c>
      <c r="AP632" s="50">
        <f t="shared" si="58"/>
        <v>9</v>
      </c>
      <c r="AQ632" s="50">
        <f t="shared" si="59"/>
        <v>2024</v>
      </c>
      <c r="AR632" s="50" t="str">
        <f t="shared" si="60"/>
        <v>Sep-2024</v>
      </c>
      <c r="AS632" s="52">
        <f t="shared" si="61"/>
        <v>45551</v>
      </c>
      <c r="AT632" s="44">
        <f t="shared" ca="1" si="62"/>
        <v>727</v>
      </c>
      <c r="AU632" s="40" t="str">
        <f>LEFT(Sheet1!AE631,3)</f>
        <v>Adi</v>
      </c>
      <c r="AV632" s="40" t="str">
        <f>RIGHT(Sheet1!AF631,2)</f>
        <v>av</v>
      </c>
      <c r="AW632" s="40" t="str">
        <f>MID(Sheet1!AE631,2,3)</f>
        <v>dit</v>
      </c>
      <c r="AX632" s="42">
        <f>LEN(Sheet1!AE631)</f>
        <v>5</v>
      </c>
      <c r="AY632" s="40" t="str">
        <f>UPPER(Sheet1!AE631)</f>
        <v>ADITI</v>
      </c>
      <c r="AZ632" s="40" t="str">
        <f>LOWER(Sheet1!AE631)</f>
        <v>aditi</v>
      </c>
      <c r="BA632" s="40" t="str">
        <f>PROPER(Sheet1!AE631)</f>
        <v>Aditi</v>
      </c>
      <c r="BB632" s="40" t="str">
        <f>_xlfn.CONCAT(Sheet1!AE631," ",Sheet1!AF631)</f>
        <v>Aditi Yadav</v>
      </c>
    </row>
    <row r="633" spans="40:54">
      <c r="AN633" s="50" t="str">
        <f>Sheet1!B632</f>
        <v>19-09-2025</v>
      </c>
      <c r="AO633" s="50">
        <f t="shared" si="57"/>
        <v>16</v>
      </c>
      <c r="AP633" s="50">
        <f t="shared" si="58"/>
        <v>9</v>
      </c>
      <c r="AQ633" s="50">
        <f t="shared" si="59"/>
        <v>2025</v>
      </c>
      <c r="AR633" s="50" t="str">
        <f t="shared" si="60"/>
        <v>Sep-2025</v>
      </c>
      <c r="AS633" s="52">
        <f t="shared" si="61"/>
        <v>45916</v>
      </c>
      <c r="AT633" s="44">
        <f t="shared" ca="1" si="62"/>
        <v>362</v>
      </c>
      <c r="AU633" s="40" t="str">
        <f>LEFT(Sheet1!AE632,3)</f>
        <v>Ana</v>
      </c>
      <c r="AV633" s="40" t="str">
        <f>RIGHT(Sheet1!AF632,2)</f>
        <v>ta</v>
      </c>
      <c r="AW633" s="40" t="str">
        <f>MID(Sheet1!AE632,2,3)</f>
        <v>nan</v>
      </c>
      <c r="AX633" s="42">
        <f>LEN(Sheet1!AE632)</f>
        <v>6</v>
      </c>
      <c r="AY633" s="40" t="str">
        <f>UPPER(Sheet1!AE632)</f>
        <v>ANANYA</v>
      </c>
      <c r="AZ633" s="40" t="str">
        <f>LOWER(Sheet1!AE632)</f>
        <v>ananya</v>
      </c>
      <c r="BA633" s="40" t="str">
        <f>PROPER(Sheet1!AE632)</f>
        <v>Ananya</v>
      </c>
      <c r="BB633" s="40" t="str">
        <f>_xlfn.CONCAT(Sheet1!AE632," ",Sheet1!AF632)</f>
        <v>Ananya Mehta</v>
      </c>
    </row>
    <row r="634" spans="40:54">
      <c r="AN634" s="50" t="str">
        <f>Sheet1!B633</f>
        <v>19-11-2024</v>
      </c>
      <c r="AO634" s="50">
        <f t="shared" si="57"/>
        <v>16</v>
      </c>
      <c r="AP634" s="50">
        <f t="shared" si="58"/>
        <v>11</v>
      </c>
      <c r="AQ634" s="50">
        <f t="shared" si="59"/>
        <v>2024</v>
      </c>
      <c r="AR634" s="50" t="str">
        <f t="shared" si="60"/>
        <v>Nov-2024</v>
      </c>
      <c r="AS634" s="52">
        <f t="shared" si="61"/>
        <v>45612</v>
      </c>
      <c r="AT634" s="44">
        <f t="shared" ca="1" si="62"/>
        <v>666</v>
      </c>
      <c r="AU634" s="40" t="str">
        <f>LEFT(Sheet1!AE633,3)</f>
        <v>Kar</v>
      </c>
      <c r="AV634" s="40" t="str">
        <f>RIGHT(Sheet1!AF633,2)</f>
        <v>in</v>
      </c>
      <c r="AW634" s="40" t="str">
        <f>MID(Sheet1!AE633,2,3)</f>
        <v>ara</v>
      </c>
      <c r="AX634" s="42">
        <f>LEN(Sheet1!AE633)</f>
        <v>5</v>
      </c>
      <c r="AY634" s="40" t="str">
        <f>UPPER(Sheet1!AE633)</f>
        <v>KARAN</v>
      </c>
      <c r="AZ634" s="40" t="str">
        <f>LOWER(Sheet1!AE633)</f>
        <v>karan</v>
      </c>
      <c r="BA634" s="40" t="str">
        <f>PROPER(Sheet1!AE633)</f>
        <v>Karan</v>
      </c>
      <c r="BB634" s="40" t="str">
        <f>_xlfn.CONCAT(Sheet1!AE633," ",Sheet1!AF633)</f>
        <v>Karan Jain</v>
      </c>
    </row>
    <row r="635" spans="40:54">
      <c r="AN635" s="50" t="str">
        <f>Sheet1!B634</f>
        <v>19-11-2025</v>
      </c>
      <c r="AO635" s="50">
        <f t="shared" si="57"/>
        <v>16</v>
      </c>
      <c r="AP635" s="50">
        <f t="shared" si="58"/>
        <v>11</v>
      </c>
      <c r="AQ635" s="50">
        <f t="shared" si="59"/>
        <v>2025</v>
      </c>
      <c r="AR635" s="50" t="str">
        <f t="shared" si="60"/>
        <v>Nov-2025</v>
      </c>
      <c r="AS635" s="52">
        <f t="shared" si="61"/>
        <v>45977</v>
      </c>
      <c r="AT635" s="44">
        <f t="shared" ca="1" si="62"/>
        <v>301</v>
      </c>
      <c r="AU635" s="40" t="str">
        <f>LEFT(Sheet1!AE634,3)</f>
        <v>Sim</v>
      </c>
      <c r="AV635" s="40" t="str">
        <f>RIGHT(Sheet1!AF634,2)</f>
        <v>in</v>
      </c>
      <c r="AW635" s="40" t="str">
        <f>MID(Sheet1!AE634,2,3)</f>
        <v>imr</v>
      </c>
      <c r="AX635" s="42">
        <f>LEN(Sheet1!AE634)</f>
        <v>6</v>
      </c>
      <c r="AY635" s="40" t="str">
        <f>UPPER(Sheet1!AE634)</f>
        <v>SIMRAN</v>
      </c>
      <c r="AZ635" s="40" t="str">
        <f>LOWER(Sheet1!AE634)</f>
        <v>simran</v>
      </c>
      <c r="BA635" s="40" t="str">
        <f>PROPER(Sheet1!AE634)</f>
        <v>Simran</v>
      </c>
      <c r="BB635" s="40" t="str">
        <f>_xlfn.CONCAT(Sheet1!AE634," ",Sheet1!AF634)</f>
        <v>Simran Jain</v>
      </c>
    </row>
    <row r="636" spans="40:54">
      <c r="AN636" s="50" t="str">
        <f>Sheet1!B635</f>
        <v>19-12-2024</v>
      </c>
      <c r="AO636" s="50">
        <f t="shared" si="57"/>
        <v>16</v>
      </c>
      <c r="AP636" s="50">
        <f t="shared" si="58"/>
        <v>12</v>
      </c>
      <c r="AQ636" s="50">
        <f t="shared" si="59"/>
        <v>2024</v>
      </c>
      <c r="AR636" s="50" t="str">
        <f t="shared" si="60"/>
        <v>Dec-2024</v>
      </c>
      <c r="AS636" s="52">
        <f t="shared" si="61"/>
        <v>45642</v>
      </c>
      <c r="AT636" s="44">
        <f t="shared" ca="1" si="62"/>
        <v>636</v>
      </c>
      <c r="AU636" s="40" t="str">
        <f>LEFT(Sheet1!AE635,3)</f>
        <v>Adi</v>
      </c>
      <c r="AV636" s="40" t="str">
        <f>RIGHT(Sheet1!AF635,2)</f>
        <v>ma</v>
      </c>
      <c r="AW636" s="40" t="str">
        <f>MID(Sheet1!AE635,2,3)</f>
        <v>dit</v>
      </c>
      <c r="AX636" s="42">
        <f>LEN(Sheet1!AE635)</f>
        <v>6</v>
      </c>
      <c r="AY636" s="40" t="str">
        <f>UPPER(Sheet1!AE635)</f>
        <v>ADITYA</v>
      </c>
      <c r="AZ636" s="40" t="str">
        <f>LOWER(Sheet1!AE635)</f>
        <v>aditya</v>
      </c>
      <c r="BA636" s="40" t="str">
        <f>PROPER(Sheet1!AE635)</f>
        <v>Aditya</v>
      </c>
      <c r="BB636" s="40" t="str">
        <f>_xlfn.CONCAT(Sheet1!AE635," ",Sheet1!AF635)</f>
        <v>Aditya Verma</v>
      </c>
    </row>
    <row r="637" spans="40:54">
      <c r="AN637" s="50" t="str">
        <f>Sheet1!B636</f>
        <v>19-12-2024</v>
      </c>
      <c r="AO637" s="50">
        <f t="shared" si="57"/>
        <v>16</v>
      </c>
      <c r="AP637" s="50">
        <f t="shared" si="58"/>
        <v>12</v>
      </c>
      <c r="AQ637" s="50">
        <f t="shared" si="59"/>
        <v>2024</v>
      </c>
      <c r="AR637" s="50" t="str">
        <f t="shared" si="60"/>
        <v>Dec-2024</v>
      </c>
      <c r="AS637" s="52">
        <f t="shared" si="61"/>
        <v>45642</v>
      </c>
      <c r="AT637" s="44">
        <f t="shared" ca="1" si="62"/>
        <v>636</v>
      </c>
      <c r="AU637" s="40" t="str">
        <f>LEFT(Sheet1!AE636,3)</f>
        <v>Viv</v>
      </c>
      <c r="AV637" s="40" t="str">
        <f>RIGHT(Sheet1!AF636,2)</f>
        <v>ta</v>
      </c>
      <c r="AW637" s="40" t="str">
        <f>MID(Sheet1!AE636,2,3)</f>
        <v>iva</v>
      </c>
      <c r="AX637" s="42">
        <f>LEN(Sheet1!AE636)</f>
        <v>6</v>
      </c>
      <c r="AY637" s="40" t="str">
        <f>UPPER(Sheet1!AE636)</f>
        <v>VIVAAN</v>
      </c>
      <c r="AZ637" s="40" t="str">
        <f>LOWER(Sheet1!AE636)</f>
        <v>vivaan</v>
      </c>
      <c r="BA637" s="40" t="str">
        <f>PROPER(Sheet1!AE636)</f>
        <v>Vivaan</v>
      </c>
      <c r="BB637" s="40" t="str">
        <f>_xlfn.CONCAT(Sheet1!AE636," ",Sheet1!AF636)</f>
        <v>Vivaan Gupta</v>
      </c>
    </row>
    <row r="638" spans="40:54">
      <c r="AN638" s="50" t="str">
        <f>Sheet1!B637</f>
        <v>19-12-2024</v>
      </c>
      <c r="AO638" s="50">
        <f t="shared" si="57"/>
        <v>16</v>
      </c>
      <c r="AP638" s="50">
        <f t="shared" si="58"/>
        <v>12</v>
      </c>
      <c r="AQ638" s="50">
        <f t="shared" si="59"/>
        <v>2024</v>
      </c>
      <c r="AR638" s="50" t="str">
        <f t="shared" si="60"/>
        <v>Dec-2024</v>
      </c>
      <c r="AS638" s="52">
        <f t="shared" si="61"/>
        <v>45642</v>
      </c>
      <c r="AT638" s="44">
        <f t="shared" ca="1" si="62"/>
        <v>636</v>
      </c>
      <c r="AU638" s="40" t="str">
        <f>LEFT(Sheet1!AE637,3)</f>
        <v>Sim</v>
      </c>
      <c r="AV638" s="40" t="str">
        <f>RIGHT(Sheet1!AF637,2)</f>
        <v>ra</v>
      </c>
      <c r="AW638" s="40" t="str">
        <f>MID(Sheet1!AE637,2,3)</f>
        <v>imr</v>
      </c>
      <c r="AX638" s="42">
        <f>LEN(Sheet1!AE637)</f>
        <v>6</v>
      </c>
      <c r="AY638" s="40" t="str">
        <f>UPPER(Sheet1!AE637)</f>
        <v>SIMRAN</v>
      </c>
      <c r="AZ638" s="40" t="str">
        <f>LOWER(Sheet1!AE637)</f>
        <v>simran</v>
      </c>
      <c r="BA638" s="40" t="str">
        <f>PROPER(Sheet1!AE637)</f>
        <v>Simran</v>
      </c>
      <c r="BB638" s="40" t="str">
        <f>_xlfn.CONCAT(Sheet1!AE637," ",Sheet1!AF637)</f>
        <v>Simran Malhotra</v>
      </c>
    </row>
    <row r="639" spans="40:54">
      <c r="AN639" s="50" t="str">
        <f>Sheet1!B638</f>
        <v>19-12-2024</v>
      </c>
      <c r="AO639" s="50">
        <f t="shared" si="57"/>
        <v>16</v>
      </c>
      <c r="AP639" s="50">
        <f t="shared" si="58"/>
        <v>12</v>
      </c>
      <c r="AQ639" s="50">
        <f t="shared" si="59"/>
        <v>2024</v>
      </c>
      <c r="AR639" s="50" t="str">
        <f t="shared" si="60"/>
        <v>Dec-2024</v>
      </c>
      <c r="AS639" s="52">
        <f t="shared" si="61"/>
        <v>45642</v>
      </c>
      <c r="AT639" s="44">
        <f t="shared" ca="1" si="62"/>
        <v>636</v>
      </c>
      <c r="AU639" s="40" t="str">
        <f>LEFT(Sheet1!AE638,3)</f>
        <v>Poo</v>
      </c>
      <c r="AV639" s="40" t="str">
        <f>RIGHT(Sheet1!AF638,2)</f>
        <v>ta</v>
      </c>
      <c r="AW639" s="40" t="str">
        <f>MID(Sheet1!AE638,2,3)</f>
        <v>ooj</v>
      </c>
      <c r="AX639" s="42">
        <f>LEN(Sheet1!AE638)</f>
        <v>5</v>
      </c>
      <c r="AY639" s="40" t="str">
        <f>UPPER(Sheet1!AE638)</f>
        <v>POOJA</v>
      </c>
      <c r="AZ639" s="40" t="str">
        <f>LOWER(Sheet1!AE638)</f>
        <v>pooja</v>
      </c>
      <c r="BA639" s="40" t="str">
        <f>PROPER(Sheet1!AE638)</f>
        <v>Pooja</v>
      </c>
      <c r="BB639" s="40" t="str">
        <f>_xlfn.CONCAT(Sheet1!AE638," ",Sheet1!AF638)</f>
        <v>Pooja Gupta</v>
      </c>
    </row>
    <row r="640" spans="40:54">
      <c r="AN640" s="50" t="str">
        <f>Sheet1!B639</f>
        <v>20-01-2024</v>
      </c>
      <c r="AO640" s="50">
        <f t="shared" si="57"/>
        <v>16</v>
      </c>
      <c r="AP640" s="50">
        <f t="shared" si="58"/>
        <v>1</v>
      </c>
      <c r="AQ640" s="50">
        <f t="shared" si="59"/>
        <v>2024</v>
      </c>
      <c r="AR640" s="50" t="str">
        <f t="shared" si="60"/>
        <v>Jan-2024</v>
      </c>
      <c r="AS640" s="52">
        <f t="shared" si="61"/>
        <v>45307</v>
      </c>
      <c r="AT640" s="44">
        <f t="shared" ca="1" si="62"/>
        <v>971</v>
      </c>
      <c r="AU640" s="40" t="str">
        <f>LEFT(Sheet1!AE639,3)</f>
        <v>Kar</v>
      </c>
      <c r="AV640" s="40" t="str">
        <f>RIGHT(Sheet1!AF639,2)</f>
        <v>ma</v>
      </c>
      <c r="AW640" s="40" t="str">
        <f>MID(Sheet1!AE639,2,3)</f>
        <v>ara</v>
      </c>
      <c r="AX640" s="42">
        <f>LEN(Sheet1!AE639)</f>
        <v>5</v>
      </c>
      <c r="AY640" s="40" t="str">
        <f>UPPER(Sheet1!AE639)</f>
        <v>KARAN</v>
      </c>
      <c r="AZ640" s="40" t="str">
        <f>LOWER(Sheet1!AE639)</f>
        <v>karan</v>
      </c>
      <c r="BA640" s="40" t="str">
        <f>PROPER(Sheet1!AE639)</f>
        <v>Karan</v>
      </c>
      <c r="BB640" s="40" t="str">
        <f>_xlfn.CONCAT(Sheet1!AE639," ",Sheet1!AF639)</f>
        <v>Karan Verma</v>
      </c>
    </row>
    <row r="641" spans="40:54">
      <c r="AN641" s="50" t="str">
        <f>Sheet1!B640</f>
        <v>20-01-2025</v>
      </c>
      <c r="AO641" s="50">
        <f t="shared" ref="AO641:AO704" si="63">IFERROR(DAY(AN516),VALUE(LEFT(AN516,2)))</f>
        <v>16</v>
      </c>
      <c r="AP641" s="50">
        <f t="shared" si="58"/>
        <v>1</v>
      </c>
      <c r="AQ641" s="50">
        <f t="shared" si="59"/>
        <v>2025</v>
      </c>
      <c r="AR641" s="50" t="str">
        <f t="shared" si="60"/>
        <v>Jan-2025</v>
      </c>
      <c r="AS641" s="52">
        <f t="shared" si="61"/>
        <v>45673</v>
      </c>
      <c r="AT641" s="44">
        <f t="shared" ca="1" si="62"/>
        <v>605</v>
      </c>
      <c r="AU641" s="40" t="str">
        <f>LEFT(Sheet1!AE640,3)</f>
        <v>Adi</v>
      </c>
      <c r="AV641" s="40" t="str">
        <f>RIGHT(Sheet1!AF640,2)</f>
        <v>ra</v>
      </c>
      <c r="AW641" s="40" t="str">
        <f>MID(Sheet1!AE640,2,3)</f>
        <v>dit</v>
      </c>
      <c r="AX641" s="42">
        <f>LEN(Sheet1!AE640)</f>
        <v>6</v>
      </c>
      <c r="AY641" s="40" t="str">
        <f>UPPER(Sheet1!AE640)</f>
        <v>ADITYA</v>
      </c>
      <c r="AZ641" s="40" t="str">
        <f>LOWER(Sheet1!AE640)</f>
        <v>aditya</v>
      </c>
      <c r="BA641" s="40" t="str">
        <f>PROPER(Sheet1!AE640)</f>
        <v>Aditya</v>
      </c>
      <c r="BB641" s="40" t="str">
        <f>_xlfn.CONCAT(Sheet1!AE640," ",Sheet1!AF640)</f>
        <v>Aditya Mishra</v>
      </c>
    </row>
    <row r="642" spans="40:54">
      <c r="AN642" s="50" t="str">
        <f>Sheet1!B641</f>
        <v>20-01-2025</v>
      </c>
      <c r="AO642" s="50">
        <f t="shared" si="63"/>
        <v>16</v>
      </c>
      <c r="AP642" s="50">
        <f t="shared" si="58"/>
        <v>1</v>
      </c>
      <c r="AQ642" s="50">
        <f t="shared" si="59"/>
        <v>2025</v>
      </c>
      <c r="AR642" s="50" t="str">
        <f t="shared" si="60"/>
        <v>Jan-2025</v>
      </c>
      <c r="AS642" s="52">
        <f t="shared" si="61"/>
        <v>45673</v>
      </c>
      <c r="AT642" s="44">
        <f t="shared" ca="1" si="62"/>
        <v>605</v>
      </c>
      <c r="AU642" s="40" t="str">
        <f>LEFT(Sheet1!AE641,3)</f>
        <v>Rah</v>
      </c>
      <c r="AV642" s="40" t="str">
        <f>RIGHT(Sheet1!AF641,2)</f>
        <v>al</v>
      </c>
      <c r="AW642" s="40" t="str">
        <f>MID(Sheet1!AE641,2,3)</f>
        <v>ahu</v>
      </c>
      <c r="AX642" s="42">
        <f>LEN(Sheet1!AE641)</f>
        <v>5</v>
      </c>
      <c r="AY642" s="40" t="str">
        <f>UPPER(Sheet1!AE641)</f>
        <v>RAHUL</v>
      </c>
      <c r="AZ642" s="40" t="str">
        <f>LOWER(Sheet1!AE641)</f>
        <v>rahul</v>
      </c>
      <c r="BA642" s="40" t="str">
        <f>PROPER(Sheet1!AE641)</f>
        <v>Rahul</v>
      </c>
      <c r="BB642" s="40" t="str">
        <f>_xlfn.CONCAT(Sheet1!AE641," ",Sheet1!AF641)</f>
        <v>Rahul Bansal</v>
      </c>
    </row>
    <row r="643" spans="40:54">
      <c r="AN643" s="50" t="str">
        <f>Sheet1!B642</f>
        <v>20-02-2025</v>
      </c>
      <c r="AO643" s="50">
        <f t="shared" si="63"/>
        <v>16</v>
      </c>
      <c r="AP643" s="50">
        <f t="shared" si="58"/>
        <v>2</v>
      </c>
      <c r="AQ643" s="50">
        <f t="shared" si="59"/>
        <v>2025</v>
      </c>
      <c r="AR643" s="50" t="str">
        <f t="shared" si="60"/>
        <v>Feb-2025</v>
      </c>
      <c r="AS643" s="52">
        <f t="shared" si="61"/>
        <v>45704</v>
      </c>
      <c r="AT643" s="44">
        <f t="shared" ca="1" si="62"/>
        <v>574</v>
      </c>
      <c r="AU643" s="40" t="str">
        <f>LEFT(Sheet1!AE642,3)</f>
        <v>Mee</v>
      </c>
      <c r="AV643" s="40" t="str">
        <f>RIGHT(Sheet1!AF642,2)</f>
        <v>al</v>
      </c>
      <c r="AW643" s="40" t="str">
        <f>MID(Sheet1!AE642,2,3)</f>
        <v>eer</v>
      </c>
      <c r="AX643" s="42">
        <f>LEN(Sheet1!AE642)</f>
        <v>5</v>
      </c>
      <c r="AY643" s="40" t="str">
        <f>UPPER(Sheet1!AE642)</f>
        <v>MEERA</v>
      </c>
      <c r="AZ643" s="40" t="str">
        <f>LOWER(Sheet1!AE642)</f>
        <v>meera</v>
      </c>
      <c r="BA643" s="40" t="str">
        <f>PROPER(Sheet1!AE642)</f>
        <v>Meera</v>
      </c>
      <c r="BB643" s="40" t="str">
        <f>_xlfn.CONCAT(Sheet1!AE642," ",Sheet1!AF642)</f>
        <v>Meera Agarwal</v>
      </c>
    </row>
    <row r="644" spans="40:54">
      <c r="AN644" s="50" t="str">
        <f>Sheet1!B643</f>
        <v>20-02-2025</v>
      </c>
      <c r="AO644" s="50">
        <f t="shared" si="63"/>
        <v>16</v>
      </c>
      <c r="AP644" s="50">
        <f t="shared" ref="AP644:AP707" si="64">IFERROR(MONTH(AN644),VALUE(MID(AN644,4,2)))</f>
        <v>2</v>
      </c>
      <c r="AQ644" s="50">
        <f t="shared" ref="AQ644:AQ707" si="65">IFERROR(YEAR(AN644),VALUE(RIGHT(AN644,4)))</f>
        <v>2025</v>
      </c>
      <c r="AR644" s="50" t="str">
        <f t="shared" ref="AR644:AR707" si="66">IF(ISNUMBER(AN644),TEXT(AN644,"mmm-yyyy"),TEXT(DATE(VALUE(RIGHT(AN644,4)),VALUE(MID(AN644,4,2)),VALUE(LEFT(AN644,2))),"mmm-yyyy"))</f>
        <v>Feb-2025</v>
      </c>
      <c r="AS644" s="52">
        <f t="shared" ref="AS644:AS707" si="67">DATE(AQ644,AP644,AO644)</f>
        <v>45704</v>
      </c>
      <c r="AT644" s="44">
        <f t="shared" ref="AT644:AT707" ca="1" si="68">TODAY()-AS644</f>
        <v>574</v>
      </c>
      <c r="AU644" s="40" t="str">
        <f>LEFT(Sheet1!AE643,3)</f>
        <v>Mee</v>
      </c>
      <c r="AV644" s="40" t="str">
        <f>RIGHT(Sheet1!AF643,2)</f>
        <v>gh</v>
      </c>
      <c r="AW644" s="40" t="str">
        <f>MID(Sheet1!AE643,2,3)</f>
        <v>eer</v>
      </c>
      <c r="AX644" s="42">
        <f>LEN(Sheet1!AE643)</f>
        <v>5</v>
      </c>
      <c r="AY644" s="40" t="str">
        <f>UPPER(Sheet1!AE643)</f>
        <v>MEERA</v>
      </c>
      <c r="AZ644" s="40" t="str">
        <f>LOWER(Sheet1!AE643)</f>
        <v>meera</v>
      </c>
      <c r="BA644" s="40" t="str">
        <f>PROPER(Sheet1!AE643)</f>
        <v>Meera</v>
      </c>
      <c r="BB644" s="40" t="str">
        <f>_xlfn.CONCAT(Sheet1!AE643," ",Sheet1!AF643)</f>
        <v>Meera Singh</v>
      </c>
    </row>
    <row r="645" spans="40:54">
      <c r="AN645" s="50" t="str">
        <f>Sheet1!B644</f>
        <v>20-02-2025</v>
      </c>
      <c r="AO645" s="50">
        <f t="shared" si="63"/>
        <v>16</v>
      </c>
      <c r="AP645" s="50">
        <f t="shared" si="64"/>
        <v>2</v>
      </c>
      <c r="AQ645" s="50">
        <f t="shared" si="65"/>
        <v>2025</v>
      </c>
      <c r="AR645" s="50" t="str">
        <f t="shared" si="66"/>
        <v>Feb-2025</v>
      </c>
      <c r="AS645" s="52">
        <f t="shared" si="67"/>
        <v>45704</v>
      </c>
      <c r="AT645" s="44">
        <f t="shared" ca="1" si="68"/>
        <v>574</v>
      </c>
      <c r="AU645" s="40" t="str">
        <f>LEFT(Sheet1!AE644,3)</f>
        <v>Mee</v>
      </c>
      <c r="AV645" s="40" t="str">
        <f>RIGHT(Sheet1!AF644,2)</f>
        <v>ra</v>
      </c>
      <c r="AW645" s="40" t="str">
        <f>MID(Sheet1!AE644,2,3)</f>
        <v>eer</v>
      </c>
      <c r="AX645" s="42">
        <f>LEN(Sheet1!AE644)</f>
        <v>5</v>
      </c>
      <c r="AY645" s="40" t="str">
        <f>UPPER(Sheet1!AE644)</f>
        <v>MEERA</v>
      </c>
      <c r="AZ645" s="40" t="str">
        <f>LOWER(Sheet1!AE644)</f>
        <v>meera</v>
      </c>
      <c r="BA645" s="40" t="str">
        <f>PROPER(Sheet1!AE644)</f>
        <v>Meera</v>
      </c>
      <c r="BB645" s="40" t="str">
        <f>_xlfn.CONCAT(Sheet1!AE644," ",Sheet1!AF644)</f>
        <v>Meera Malhotra</v>
      </c>
    </row>
    <row r="646" spans="40:54">
      <c r="AN646" s="50" t="str">
        <f>Sheet1!B645</f>
        <v>20-03-2024</v>
      </c>
      <c r="AO646" s="50">
        <f t="shared" si="63"/>
        <v>16</v>
      </c>
      <c r="AP646" s="50">
        <f t="shared" si="64"/>
        <v>3</v>
      </c>
      <c r="AQ646" s="50">
        <f t="shared" si="65"/>
        <v>2024</v>
      </c>
      <c r="AR646" s="50" t="str">
        <f t="shared" si="66"/>
        <v>Mar-2024</v>
      </c>
      <c r="AS646" s="52">
        <f t="shared" si="67"/>
        <v>45367</v>
      </c>
      <c r="AT646" s="44">
        <f t="shared" ca="1" si="68"/>
        <v>911</v>
      </c>
      <c r="AU646" s="40" t="str">
        <f>LEFT(Sheet1!AE645,3)</f>
        <v>Mee</v>
      </c>
      <c r="AV646" s="40" t="str">
        <f>RIGHT(Sheet1!AF645,2)</f>
        <v>ma</v>
      </c>
      <c r="AW646" s="40" t="str">
        <f>MID(Sheet1!AE645,2,3)</f>
        <v>eer</v>
      </c>
      <c r="AX646" s="42">
        <f>LEN(Sheet1!AE645)</f>
        <v>5</v>
      </c>
      <c r="AY646" s="40" t="str">
        <f>UPPER(Sheet1!AE645)</f>
        <v>MEERA</v>
      </c>
      <c r="AZ646" s="40" t="str">
        <f>LOWER(Sheet1!AE645)</f>
        <v>meera</v>
      </c>
      <c r="BA646" s="40" t="str">
        <f>PROPER(Sheet1!AE645)</f>
        <v>Meera</v>
      </c>
      <c r="BB646" s="40" t="str">
        <f>_xlfn.CONCAT(Sheet1!AE645," ",Sheet1!AF645)</f>
        <v>Meera Sharma</v>
      </c>
    </row>
    <row r="647" spans="40:54">
      <c r="AN647" s="50" t="str">
        <f>Sheet1!B646</f>
        <v>20-03-2024</v>
      </c>
      <c r="AO647" s="50">
        <f t="shared" si="63"/>
        <v>16</v>
      </c>
      <c r="AP647" s="50">
        <f t="shared" si="64"/>
        <v>3</v>
      </c>
      <c r="AQ647" s="50">
        <f t="shared" si="65"/>
        <v>2024</v>
      </c>
      <c r="AR647" s="50" t="str">
        <f t="shared" si="66"/>
        <v>Mar-2024</v>
      </c>
      <c r="AS647" s="52">
        <f t="shared" si="67"/>
        <v>45367</v>
      </c>
      <c r="AT647" s="44">
        <f t="shared" ca="1" si="68"/>
        <v>911</v>
      </c>
      <c r="AU647" s="40" t="str">
        <f>LEFT(Sheet1!AE646,3)</f>
        <v>Neh</v>
      </c>
      <c r="AV647" s="40" t="str">
        <f>RIGHT(Sheet1!AF646,2)</f>
        <v>ma</v>
      </c>
      <c r="AW647" s="40" t="str">
        <f>MID(Sheet1!AE646,2,3)</f>
        <v>eha</v>
      </c>
      <c r="AX647" s="42">
        <f>LEN(Sheet1!AE646)</f>
        <v>4</v>
      </c>
      <c r="AY647" s="40" t="str">
        <f>UPPER(Sheet1!AE646)</f>
        <v>NEHA</v>
      </c>
      <c r="AZ647" s="40" t="str">
        <f>LOWER(Sheet1!AE646)</f>
        <v>neha</v>
      </c>
      <c r="BA647" s="40" t="str">
        <f>PROPER(Sheet1!AE646)</f>
        <v>Neha</v>
      </c>
      <c r="BB647" s="40" t="str">
        <f>_xlfn.CONCAT(Sheet1!AE646," ",Sheet1!AF646)</f>
        <v>Neha Sharma</v>
      </c>
    </row>
    <row r="648" spans="40:54">
      <c r="AN648" s="50" t="str">
        <f>Sheet1!B647</f>
        <v>20-03-2025</v>
      </c>
      <c r="AO648" s="50">
        <f t="shared" si="63"/>
        <v>16</v>
      </c>
      <c r="AP648" s="50">
        <f t="shared" si="64"/>
        <v>3</v>
      </c>
      <c r="AQ648" s="50">
        <f t="shared" si="65"/>
        <v>2025</v>
      </c>
      <c r="AR648" s="50" t="str">
        <f t="shared" si="66"/>
        <v>Mar-2025</v>
      </c>
      <c r="AS648" s="52">
        <f t="shared" si="67"/>
        <v>45732</v>
      </c>
      <c r="AT648" s="44">
        <f t="shared" ca="1" si="68"/>
        <v>546</v>
      </c>
      <c r="AU648" s="40" t="str">
        <f>LEFT(Sheet1!AE647,3)</f>
        <v>Rah</v>
      </c>
      <c r="AV648" s="40" t="str">
        <f>RIGHT(Sheet1!AF647,2)</f>
        <v>ta</v>
      </c>
      <c r="AW648" s="40" t="str">
        <f>MID(Sheet1!AE647,2,3)</f>
        <v>ahu</v>
      </c>
      <c r="AX648" s="42">
        <f>LEN(Sheet1!AE647)</f>
        <v>5</v>
      </c>
      <c r="AY648" s="40" t="str">
        <f>UPPER(Sheet1!AE647)</f>
        <v>RAHUL</v>
      </c>
      <c r="AZ648" s="40" t="str">
        <f>LOWER(Sheet1!AE647)</f>
        <v>rahul</v>
      </c>
      <c r="BA648" s="40" t="str">
        <f>PROPER(Sheet1!AE647)</f>
        <v>Rahul</v>
      </c>
      <c r="BB648" s="40" t="str">
        <f>_xlfn.CONCAT(Sheet1!AE647," ",Sheet1!AF647)</f>
        <v>Rahul Mehta</v>
      </c>
    </row>
    <row r="649" spans="40:54">
      <c r="AN649" s="50" t="str">
        <f>Sheet1!B648</f>
        <v>20-03-2025</v>
      </c>
      <c r="AO649" s="50">
        <f t="shared" si="63"/>
        <v>16</v>
      </c>
      <c r="AP649" s="50">
        <f t="shared" si="64"/>
        <v>3</v>
      </c>
      <c r="AQ649" s="50">
        <f t="shared" si="65"/>
        <v>2025</v>
      </c>
      <c r="AR649" s="50" t="str">
        <f t="shared" si="66"/>
        <v>Mar-2025</v>
      </c>
      <c r="AS649" s="52">
        <f t="shared" si="67"/>
        <v>45732</v>
      </c>
      <c r="AT649" s="44">
        <f t="shared" ca="1" si="68"/>
        <v>546</v>
      </c>
      <c r="AU649" s="40" t="str">
        <f>LEFT(Sheet1!AE648,3)</f>
        <v>Rah</v>
      </c>
      <c r="AV649" s="40" t="str">
        <f>RIGHT(Sheet1!AF648,2)</f>
        <v>gh</v>
      </c>
      <c r="AW649" s="40" t="str">
        <f>MID(Sheet1!AE648,2,3)</f>
        <v>ahu</v>
      </c>
      <c r="AX649" s="42">
        <f>LEN(Sheet1!AE648)</f>
        <v>5</v>
      </c>
      <c r="AY649" s="40" t="str">
        <f>UPPER(Sheet1!AE648)</f>
        <v>RAHUL</v>
      </c>
      <c r="AZ649" s="40" t="str">
        <f>LOWER(Sheet1!AE648)</f>
        <v>rahul</v>
      </c>
      <c r="BA649" s="40" t="str">
        <f>PROPER(Sheet1!AE648)</f>
        <v>Rahul</v>
      </c>
      <c r="BB649" s="40" t="str">
        <f>_xlfn.CONCAT(Sheet1!AE648," ",Sheet1!AF648)</f>
        <v>Rahul Singh</v>
      </c>
    </row>
    <row r="650" spans="40:54">
      <c r="AN650" s="50" t="str">
        <f>Sheet1!B649</f>
        <v>20-03-2025</v>
      </c>
      <c r="AO650" s="50">
        <f t="shared" si="63"/>
        <v>16</v>
      </c>
      <c r="AP650" s="50">
        <f t="shared" si="64"/>
        <v>3</v>
      </c>
      <c r="AQ650" s="50">
        <f t="shared" si="65"/>
        <v>2025</v>
      </c>
      <c r="AR650" s="50" t="str">
        <f t="shared" si="66"/>
        <v>Mar-2025</v>
      </c>
      <c r="AS650" s="52">
        <f t="shared" si="67"/>
        <v>45732</v>
      </c>
      <c r="AT650" s="44">
        <f t="shared" ca="1" si="68"/>
        <v>546</v>
      </c>
      <c r="AU650" s="40" t="str">
        <f>LEFT(Sheet1!AE649,3)</f>
        <v>Kar</v>
      </c>
      <c r="AV650" s="40" t="str">
        <f>RIGHT(Sheet1!AF649,2)</f>
        <v>ma</v>
      </c>
      <c r="AW650" s="40" t="str">
        <f>MID(Sheet1!AE649,2,3)</f>
        <v>ara</v>
      </c>
      <c r="AX650" s="42">
        <f>LEN(Sheet1!AE649)</f>
        <v>5</v>
      </c>
      <c r="AY650" s="40" t="str">
        <f>UPPER(Sheet1!AE649)</f>
        <v>KARAN</v>
      </c>
      <c r="AZ650" s="40" t="str">
        <f>LOWER(Sheet1!AE649)</f>
        <v>karan</v>
      </c>
      <c r="BA650" s="40" t="str">
        <f>PROPER(Sheet1!AE649)</f>
        <v>Karan</v>
      </c>
      <c r="BB650" s="40" t="str">
        <f>_xlfn.CONCAT(Sheet1!AE649," ",Sheet1!AF649)</f>
        <v>Karan Sharma</v>
      </c>
    </row>
    <row r="651" spans="40:54">
      <c r="AN651" s="50" t="str">
        <f>Sheet1!B650</f>
        <v>20-03-2025</v>
      </c>
      <c r="AO651" s="50">
        <f t="shared" si="63"/>
        <v>16</v>
      </c>
      <c r="AP651" s="50">
        <f t="shared" si="64"/>
        <v>3</v>
      </c>
      <c r="AQ651" s="50">
        <f t="shared" si="65"/>
        <v>2025</v>
      </c>
      <c r="AR651" s="50" t="str">
        <f t="shared" si="66"/>
        <v>Mar-2025</v>
      </c>
      <c r="AS651" s="52">
        <f t="shared" si="67"/>
        <v>45732</v>
      </c>
      <c r="AT651" s="44">
        <f t="shared" ca="1" si="68"/>
        <v>546</v>
      </c>
      <c r="AU651" s="40" t="str">
        <f>LEFT(Sheet1!AE650,3)</f>
        <v>Adi</v>
      </c>
      <c r="AV651" s="40" t="str">
        <f>RIGHT(Sheet1!AF650,2)</f>
        <v>al</v>
      </c>
      <c r="AW651" s="40" t="str">
        <f>MID(Sheet1!AE650,2,3)</f>
        <v>dit</v>
      </c>
      <c r="AX651" s="42">
        <f>LEN(Sheet1!AE650)</f>
        <v>5</v>
      </c>
      <c r="AY651" s="40" t="str">
        <f>UPPER(Sheet1!AE650)</f>
        <v>ADITI</v>
      </c>
      <c r="AZ651" s="40" t="str">
        <f>LOWER(Sheet1!AE650)</f>
        <v>aditi</v>
      </c>
      <c r="BA651" s="40" t="str">
        <f>PROPER(Sheet1!AE650)</f>
        <v>Aditi</v>
      </c>
      <c r="BB651" s="40" t="str">
        <f>_xlfn.CONCAT(Sheet1!AE650," ",Sheet1!AF650)</f>
        <v>Aditi Bansal</v>
      </c>
    </row>
    <row r="652" spans="40:54">
      <c r="AN652" s="50" t="str">
        <f>Sheet1!B651</f>
        <v>20-04-2024</v>
      </c>
      <c r="AO652" s="50">
        <f t="shared" si="63"/>
        <v>16</v>
      </c>
      <c r="AP652" s="50">
        <f t="shared" si="64"/>
        <v>4</v>
      </c>
      <c r="AQ652" s="50">
        <f t="shared" si="65"/>
        <v>2024</v>
      </c>
      <c r="AR652" s="50" t="str">
        <f t="shared" si="66"/>
        <v>Apr-2024</v>
      </c>
      <c r="AS652" s="52">
        <f t="shared" si="67"/>
        <v>45398</v>
      </c>
      <c r="AT652" s="44">
        <f t="shared" ca="1" si="68"/>
        <v>880</v>
      </c>
      <c r="AU652" s="40" t="str">
        <f>LEFT(Sheet1!AE651,3)</f>
        <v>Nis</v>
      </c>
      <c r="AV652" s="40" t="str">
        <f>RIGHT(Sheet1!AF651,2)</f>
        <v>ra</v>
      </c>
      <c r="AW652" s="40" t="str">
        <f>MID(Sheet1!AE651,2,3)</f>
        <v>ish</v>
      </c>
      <c r="AX652" s="42">
        <f>LEN(Sheet1!AE651)</f>
        <v>5</v>
      </c>
      <c r="AY652" s="40" t="str">
        <f>UPPER(Sheet1!AE651)</f>
        <v>NISHA</v>
      </c>
      <c r="AZ652" s="40" t="str">
        <f>LOWER(Sheet1!AE651)</f>
        <v>nisha</v>
      </c>
      <c r="BA652" s="40" t="str">
        <f>PROPER(Sheet1!AE651)</f>
        <v>Nisha</v>
      </c>
      <c r="BB652" s="40" t="str">
        <f>_xlfn.CONCAT(Sheet1!AE651," ",Sheet1!AF651)</f>
        <v>Nisha Chopra</v>
      </c>
    </row>
    <row r="653" spans="40:54">
      <c r="AN653" s="50" t="str">
        <f>Sheet1!B652</f>
        <v>20-04-2024</v>
      </c>
      <c r="AO653" s="50">
        <f t="shared" si="63"/>
        <v>16</v>
      </c>
      <c r="AP653" s="50">
        <f t="shared" si="64"/>
        <v>4</v>
      </c>
      <c r="AQ653" s="50">
        <f t="shared" si="65"/>
        <v>2024</v>
      </c>
      <c r="AR653" s="50" t="str">
        <f t="shared" si="66"/>
        <v>Apr-2024</v>
      </c>
      <c r="AS653" s="52">
        <f t="shared" si="67"/>
        <v>45398</v>
      </c>
      <c r="AT653" s="44">
        <f t="shared" ca="1" si="68"/>
        <v>880</v>
      </c>
      <c r="AU653" s="40" t="str">
        <f>LEFT(Sheet1!AE652,3)</f>
        <v>Nis</v>
      </c>
      <c r="AV653" s="40" t="str">
        <f>RIGHT(Sheet1!AF652,2)</f>
        <v>al</v>
      </c>
      <c r="AW653" s="40" t="str">
        <f>MID(Sheet1!AE652,2,3)</f>
        <v>ish</v>
      </c>
      <c r="AX653" s="42">
        <f>LEN(Sheet1!AE652)</f>
        <v>5</v>
      </c>
      <c r="AY653" s="40" t="str">
        <f>UPPER(Sheet1!AE652)</f>
        <v>NISHA</v>
      </c>
      <c r="AZ653" s="40" t="str">
        <f>LOWER(Sheet1!AE652)</f>
        <v>nisha</v>
      </c>
      <c r="BA653" s="40" t="str">
        <f>PROPER(Sheet1!AE652)</f>
        <v>Nisha</v>
      </c>
      <c r="BB653" s="40" t="str">
        <f>_xlfn.CONCAT(Sheet1!AE652," ",Sheet1!AF652)</f>
        <v>Nisha Agarwal</v>
      </c>
    </row>
    <row r="654" spans="40:54">
      <c r="AN654" s="50" t="str">
        <f>Sheet1!B653</f>
        <v>20-04-2025</v>
      </c>
      <c r="AO654" s="50">
        <f t="shared" si="63"/>
        <v>16</v>
      </c>
      <c r="AP654" s="50">
        <f t="shared" si="64"/>
        <v>4</v>
      </c>
      <c r="AQ654" s="50">
        <f t="shared" si="65"/>
        <v>2025</v>
      </c>
      <c r="AR654" s="50" t="str">
        <f t="shared" si="66"/>
        <v>Apr-2025</v>
      </c>
      <c r="AS654" s="52">
        <f t="shared" si="67"/>
        <v>45763</v>
      </c>
      <c r="AT654" s="44">
        <f t="shared" ca="1" si="68"/>
        <v>515</v>
      </c>
      <c r="AU654" s="40" t="str">
        <f>LEFT(Sheet1!AE653,3)</f>
        <v>Adi</v>
      </c>
      <c r="AV654" s="40" t="str">
        <f>RIGHT(Sheet1!AF653,2)</f>
        <v>al</v>
      </c>
      <c r="AW654" s="40" t="str">
        <f>MID(Sheet1!AE653,2,3)</f>
        <v>dit</v>
      </c>
      <c r="AX654" s="42">
        <f>LEN(Sheet1!AE653)</f>
        <v>5</v>
      </c>
      <c r="AY654" s="40" t="str">
        <f>UPPER(Sheet1!AE653)</f>
        <v>ADITI</v>
      </c>
      <c r="AZ654" s="40" t="str">
        <f>LOWER(Sheet1!AE653)</f>
        <v>aditi</v>
      </c>
      <c r="BA654" s="40" t="str">
        <f>PROPER(Sheet1!AE653)</f>
        <v>Aditi</v>
      </c>
      <c r="BB654" s="40" t="str">
        <f>_xlfn.CONCAT(Sheet1!AE653," ",Sheet1!AF653)</f>
        <v>Aditi Agarwal</v>
      </c>
    </row>
    <row r="655" spans="40:54">
      <c r="AN655" s="50" t="str">
        <f>Sheet1!B654</f>
        <v>20-04-2025</v>
      </c>
      <c r="AO655" s="50">
        <f t="shared" si="63"/>
        <v>16</v>
      </c>
      <c r="AP655" s="50">
        <f t="shared" si="64"/>
        <v>4</v>
      </c>
      <c r="AQ655" s="50">
        <f t="shared" si="65"/>
        <v>2025</v>
      </c>
      <c r="AR655" s="50" t="str">
        <f t="shared" si="66"/>
        <v>Apr-2025</v>
      </c>
      <c r="AS655" s="52">
        <f t="shared" si="67"/>
        <v>45763</v>
      </c>
      <c r="AT655" s="44">
        <f t="shared" ca="1" si="68"/>
        <v>515</v>
      </c>
      <c r="AU655" s="40" t="str">
        <f>LEFT(Sheet1!AE654,3)</f>
        <v>Kav</v>
      </c>
      <c r="AV655" s="40" t="str">
        <f>RIGHT(Sheet1!AF654,2)</f>
        <v>av</v>
      </c>
      <c r="AW655" s="40" t="str">
        <f>MID(Sheet1!AE654,2,3)</f>
        <v>avy</v>
      </c>
      <c r="AX655" s="42">
        <f>LEN(Sheet1!AE654)</f>
        <v>5</v>
      </c>
      <c r="AY655" s="40" t="str">
        <f>UPPER(Sheet1!AE654)</f>
        <v>KAVYA</v>
      </c>
      <c r="AZ655" s="40" t="str">
        <f>LOWER(Sheet1!AE654)</f>
        <v>kavya</v>
      </c>
      <c r="BA655" s="40" t="str">
        <f>PROPER(Sheet1!AE654)</f>
        <v>Kavya</v>
      </c>
      <c r="BB655" s="40" t="str">
        <f>_xlfn.CONCAT(Sheet1!AE654," ",Sheet1!AF654)</f>
        <v>Kavya Yadav</v>
      </c>
    </row>
    <row r="656" spans="40:54">
      <c r="AN656" s="50" t="str">
        <f>Sheet1!B655</f>
        <v>20-04-2025</v>
      </c>
      <c r="AO656" s="50">
        <f t="shared" si="63"/>
        <v>16</v>
      </c>
      <c r="AP656" s="50">
        <f t="shared" si="64"/>
        <v>4</v>
      </c>
      <c r="AQ656" s="50">
        <f t="shared" si="65"/>
        <v>2025</v>
      </c>
      <c r="AR656" s="50" t="str">
        <f t="shared" si="66"/>
        <v>Apr-2025</v>
      </c>
      <c r="AS656" s="52">
        <f t="shared" si="67"/>
        <v>45763</v>
      </c>
      <c r="AT656" s="44">
        <f t="shared" ca="1" si="68"/>
        <v>515</v>
      </c>
      <c r="AU656" s="40" t="str">
        <f>LEFT(Sheet1!AE655,3)</f>
        <v>Adi</v>
      </c>
      <c r="AV656" s="40" t="str">
        <f>RIGHT(Sheet1!AF655,2)</f>
        <v>ra</v>
      </c>
      <c r="AW656" s="40" t="str">
        <f>MID(Sheet1!AE655,2,3)</f>
        <v>dit</v>
      </c>
      <c r="AX656" s="42">
        <f>LEN(Sheet1!AE655)</f>
        <v>5</v>
      </c>
      <c r="AY656" s="40" t="str">
        <f>UPPER(Sheet1!AE655)</f>
        <v>ADITI</v>
      </c>
      <c r="AZ656" s="40" t="str">
        <f>LOWER(Sheet1!AE655)</f>
        <v>aditi</v>
      </c>
      <c r="BA656" s="40" t="str">
        <f>PROPER(Sheet1!AE655)</f>
        <v>Aditi</v>
      </c>
      <c r="BB656" s="40" t="str">
        <f>_xlfn.CONCAT(Sheet1!AE655," ",Sheet1!AF655)</f>
        <v>Aditi Mishra</v>
      </c>
    </row>
    <row r="657" spans="40:54">
      <c r="AN657" s="50" t="str">
        <f>Sheet1!B656</f>
        <v>20-05-2024</v>
      </c>
      <c r="AO657" s="50">
        <f t="shared" si="63"/>
        <v>16</v>
      </c>
      <c r="AP657" s="50">
        <f t="shared" si="64"/>
        <v>5</v>
      </c>
      <c r="AQ657" s="50">
        <f t="shared" si="65"/>
        <v>2024</v>
      </c>
      <c r="AR657" s="50" t="str">
        <f t="shared" si="66"/>
        <v>May-2024</v>
      </c>
      <c r="AS657" s="52">
        <f t="shared" si="67"/>
        <v>45428</v>
      </c>
      <c r="AT657" s="44">
        <f t="shared" ca="1" si="68"/>
        <v>850</v>
      </c>
      <c r="AU657" s="40" t="str">
        <f>LEFT(Sheet1!AE656,3)</f>
        <v>Adi</v>
      </c>
      <c r="AV657" s="40" t="str">
        <f>RIGHT(Sheet1!AF656,2)</f>
        <v>ra</v>
      </c>
      <c r="AW657" s="40" t="str">
        <f>MID(Sheet1!AE656,2,3)</f>
        <v>dit</v>
      </c>
      <c r="AX657" s="42">
        <f>LEN(Sheet1!AE656)</f>
        <v>5</v>
      </c>
      <c r="AY657" s="40" t="str">
        <f>UPPER(Sheet1!AE656)</f>
        <v>ADITI</v>
      </c>
      <c r="AZ657" s="40" t="str">
        <f>LOWER(Sheet1!AE656)</f>
        <v>aditi</v>
      </c>
      <c r="BA657" s="40" t="str">
        <f>PROPER(Sheet1!AE656)</f>
        <v>Aditi</v>
      </c>
      <c r="BB657" s="40" t="str">
        <f>_xlfn.CONCAT(Sheet1!AE656," ",Sheet1!AF656)</f>
        <v>Aditi Chopra</v>
      </c>
    </row>
    <row r="658" spans="40:54">
      <c r="AN658" s="50" t="str">
        <f>Sheet1!B657</f>
        <v>20-06-2024</v>
      </c>
      <c r="AO658" s="50">
        <f t="shared" si="63"/>
        <v>16</v>
      </c>
      <c r="AP658" s="50">
        <f t="shared" si="64"/>
        <v>6</v>
      </c>
      <c r="AQ658" s="50">
        <f t="shared" si="65"/>
        <v>2024</v>
      </c>
      <c r="AR658" s="50" t="str">
        <f t="shared" si="66"/>
        <v>Jun-2024</v>
      </c>
      <c r="AS658" s="52">
        <f t="shared" si="67"/>
        <v>45459</v>
      </c>
      <c r="AT658" s="44">
        <f t="shared" ca="1" si="68"/>
        <v>819</v>
      </c>
      <c r="AU658" s="40" t="str">
        <f>LEFT(Sheet1!AE657,3)</f>
        <v>Adi</v>
      </c>
      <c r="AV658" s="40" t="str">
        <f>RIGHT(Sheet1!AF657,2)</f>
        <v>in</v>
      </c>
      <c r="AW658" s="40" t="str">
        <f>MID(Sheet1!AE657,2,3)</f>
        <v>dit</v>
      </c>
      <c r="AX658" s="42">
        <f>LEN(Sheet1!AE657)</f>
        <v>6</v>
      </c>
      <c r="AY658" s="40" t="str">
        <f>UPPER(Sheet1!AE657)</f>
        <v>ADITYA</v>
      </c>
      <c r="AZ658" s="40" t="str">
        <f>LOWER(Sheet1!AE657)</f>
        <v>aditya</v>
      </c>
      <c r="BA658" s="40" t="str">
        <f>PROPER(Sheet1!AE657)</f>
        <v>Aditya</v>
      </c>
      <c r="BB658" s="40" t="str">
        <f>_xlfn.CONCAT(Sheet1!AE657," ",Sheet1!AF657)</f>
        <v>Aditya Jain</v>
      </c>
    </row>
    <row r="659" spans="40:54">
      <c r="AN659" s="50" t="str">
        <f>Sheet1!B658</f>
        <v>20-06-2024</v>
      </c>
      <c r="AO659" s="50">
        <f t="shared" si="63"/>
        <v>16</v>
      </c>
      <c r="AP659" s="50">
        <f t="shared" si="64"/>
        <v>6</v>
      </c>
      <c r="AQ659" s="50">
        <f t="shared" si="65"/>
        <v>2024</v>
      </c>
      <c r="AR659" s="50" t="str">
        <f t="shared" si="66"/>
        <v>Jun-2024</v>
      </c>
      <c r="AS659" s="52">
        <f t="shared" si="67"/>
        <v>45459</v>
      </c>
      <c r="AT659" s="44">
        <f t="shared" ca="1" si="68"/>
        <v>819</v>
      </c>
      <c r="AU659" s="40" t="str">
        <f>LEFT(Sheet1!AE658,3)</f>
        <v>Ana</v>
      </c>
      <c r="AV659" s="40" t="str">
        <f>RIGHT(Sheet1!AF658,2)</f>
        <v>ra</v>
      </c>
      <c r="AW659" s="40" t="str">
        <f>MID(Sheet1!AE658,2,3)</f>
        <v>nan</v>
      </c>
      <c r="AX659" s="42">
        <f>LEN(Sheet1!AE658)</f>
        <v>6</v>
      </c>
      <c r="AY659" s="40" t="str">
        <f>UPPER(Sheet1!AE658)</f>
        <v>ANANYA</v>
      </c>
      <c r="AZ659" s="40" t="str">
        <f>LOWER(Sheet1!AE658)</f>
        <v>ananya</v>
      </c>
      <c r="BA659" s="40" t="str">
        <f>PROPER(Sheet1!AE658)</f>
        <v>Ananya</v>
      </c>
      <c r="BB659" s="40" t="str">
        <f>_xlfn.CONCAT(Sheet1!AE658," ",Sheet1!AF658)</f>
        <v>Ananya Mishra</v>
      </c>
    </row>
    <row r="660" spans="40:54">
      <c r="AN660" s="50" t="str">
        <f>Sheet1!B659</f>
        <v>20-07-2024</v>
      </c>
      <c r="AO660" s="50">
        <f t="shared" si="63"/>
        <v>16</v>
      </c>
      <c r="AP660" s="50">
        <f t="shared" si="64"/>
        <v>7</v>
      </c>
      <c r="AQ660" s="50">
        <f t="shared" si="65"/>
        <v>2024</v>
      </c>
      <c r="AR660" s="50" t="str">
        <f t="shared" si="66"/>
        <v>Jul-2024</v>
      </c>
      <c r="AS660" s="52">
        <f t="shared" si="67"/>
        <v>45489</v>
      </c>
      <c r="AT660" s="44">
        <f t="shared" ca="1" si="68"/>
        <v>789</v>
      </c>
      <c r="AU660" s="40" t="str">
        <f>LEFT(Sheet1!AE659,3)</f>
        <v>Nis</v>
      </c>
      <c r="AV660" s="40" t="str">
        <f>RIGHT(Sheet1!AF659,2)</f>
        <v>ma</v>
      </c>
      <c r="AW660" s="40" t="str">
        <f>MID(Sheet1!AE659,2,3)</f>
        <v>ish</v>
      </c>
      <c r="AX660" s="42">
        <f>LEN(Sheet1!AE659)</f>
        <v>5</v>
      </c>
      <c r="AY660" s="40" t="str">
        <f>UPPER(Sheet1!AE659)</f>
        <v>NISHA</v>
      </c>
      <c r="AZ660" s="40" t="str">
        <f>LOWER(Sheet1!AE659)</f>
        <v>nisha</v>
      </c>
      <c r="BA660" s="40" t="str">
        <f>PROPER(Sheet1!AE659)</f>
        <v>Nisha</v>
      </c>
      <c r="BB660" s="40" t="str">
        <f>_xlfn.CONCAT(Sheet1!AE659," ",Sheet1!AF659)</f>
        <v>Nisha Sharma</v>
      </c>
    </row>
    <row r="661" spans="40:54">
      <c r="AN661" s="50" t="str">
        <f>Sheet1!B660</f>
        <v>20-07-2024</v>
      </c>
      <c r="AO661" s="50">
        <f t="shared" si="63"/>
        <v>16</v>
      </c>
      <c r="AP661" s="50">
        <f t="shared" si="64"/>
        <v>7</v>
      </c>
      <c r="AQ661" s="50">
        <f t="shared" si="65"/>
        <v>2024</v>
      </c>
      <c r="AR661" s="50" t="str">
        <f t="shared" si="66"/>
        <v>Jul-2024</v>
      </c>
      <c r="AS661" s="52">
        <f t="shared" si="67"/>
        <v>45489</v>
      </c>
      <c r="AT661" s="44">
        <f t="shared" ca="1" si="68"/>
        <v>789</v>
      </c>
      <c r="AU661" s="40" t="str">
        <f>LEFT(Sheet1!AE660,3)</f>
        <v>Roh</v>
      </c>
      <c r="AV661" s="40" t="str">
        <f>RIGHT(Sheet1!AF660,2)</f>
        <v>na</v>
      </c>
      <c r="AW661" s="40" t="str">
        <f>MID(Sheet1!AE660,2,3)</f>
        <v>oha</v>
      </c>
      <c r="AX661" s="42">
        <f>LEN(Sheet1!AE660)</f>
        <v>5</v>
      </c>
      <c r="AY661" s="40" t="str">
        <f>UPPER(Sheet1!AE660)</f>
        <v>ROHAN</v>
      </c>
      <c r="AZ661" s="40" t="str">
        <f>LOWER(Sheet1!AE660)</f>
        <v>rohan</v>
      </c>
      <c r="BA661" s="40" t="str">
        <f>PROPER(Sheet1!AE660)</f>
        <v>Rohan</v>
      </c>
      <c r="BB661" s="40" t="str">
        <f>_xlfn.CONCAT(Sheet1!AE660," ",Sheet1!AF660)</f>
        <v>Rohan Saxena</v>
      </c>
    </row>
    <row r="662" spans="40:54">
      <c r="AN662" s="50" t="str">
        <f>Sheet1!B661</f>
        <v>20-07-2025</v>
      </c>
      <c r="AO662" s="50">
        <f t="shared" si="63"/>
        <v>16</v>
      </c>
      <c r="AP662" s="50">
        <f t="shared" si="64"/>
        <v>7</v>
      </c>
      <c r="AQ662" s="50">
        <f t="shared" si="65"/>
        <v>2025</v>
      </c>
      <c r="AR662" s="50" t="str">
        <f t="shared" si="66"/>
        <v>Jul-2025</v>
      </c>
      <c r="AS662" s="52">
        <f t="shared" si="67"/>
        <v>45854</v>
      </c>
      <c r="AT662" s="44">
        <f t="shared" ca="1" si="68"/>
        <v>424</v>
      </c>
      <c r="AU662" s="40" t="str">
        <f>LEFT(Sheet1!AE661,3)</f>
        <v>Roh</v>
      </c>
      <c r="AV662" s="40" t="str">
        <f>RIGHT(Sheet1!AF661,2)</f>
        <v>ma</v>
      </c>
      <c r="AW662" s="40" t="str">
        <f>MID(Sheet1!AE661,2,3)</f>
        <v>oha</v>
      </c>
      <c r="AX662" s="42">
        <f>LEN(Sheet1!AE661)</f>
        <v>5</v>
      </c>
      <c r="AY662" s="40" t="str">
        <f>UPPER(Sheet1!AE661)</f>
        <v>ROHAN</v>
      </c>
      <c r="AZ662" s="40" t="str">
        <f>LOWER(Sheet1!AE661)</f>
        <v>rohan</v>
      </c>
      <c r="BA662" s="40" t="str">
        <f>PROPER(Sheet1!AE661)</f>
        <v>Rohan</v>
      </c>
      <c r="BB662" s="40" t="str">
        <f>_xlfn.CONCAT(Sheet1!AE661," ",Sheet1!AF661)</f>
        <v>Rohan Verma</v>
      </c>
    </row>
    <row r="663" spans="40:54">
      <c r="AN663" s="50" t="str">
        <f>Sheet1!B662</f>
        <v>20-07-2025</v>
      </c>
      <c r="AO663" s="50">
        <f t="shared" si="63"/>
        <v>16</v>
      </c>
      <c r="AP663" s="50">
        <f t="shared" si="64"/>
        <v>7</v>
      </c>
      <c r="AQ663" s="50">
        <f t="shared" si="65"/>
        <v>2025</v>
      </c>
      <c r="AR663" s="50" t="str">
        <f t="shared" si="66"/>
        <v>Jul-2025</v>
      </c>
      <c r="AS663" s="52">
        <f t="shared" si="67"/>
        <v>45854</v>
      </c>
      <c r="AT663" s="44">
        <f t="shared" ca="1" si="68"/>
        <v>424</v>
      </c>
      <c r="AU663" s="40" t="str">
        <f>LEFT(Sheet1!AE662,3)</f>
        <v>Riy</v>
      </c>
      <c r="AV663" s="40" t="str">
        <f>RIGHT(Sheet1!AF662,2)</f>
        <v>ta</v>
      </c>
      <c r="AW663" s="40" t="str">
        <f>MID(Sheet1!AE662,2,3)</f>
        <v>iya</v>
      </c>
      <c r="AX663" s="42">
        <f>LEN(Sheet1!AE662)</f>
        <v>4</v>
      </c>
      <c r="AY663" s="40" t="str">
        <f>UPPER(Sheet1!AE662)</f>
        <v>RIYA</v>
      </c>
      <c r="AZ663" s="40" t="str">
        <f>LOWER(Sheet1!AE662)</f>
        <v>riya</v>
      </c>
      <c r="BA663" s="40" t="str">
        <f>PROPER(Sheet1!AE662)</f>
        <v>Riya</v>
      </c>
      <c r="BB663" s="40" t="str">
        <f>_xlfn.CONCAT(Sheet1!AE662," ",Sheet1!AF662)</f>
        <v>Riya Mehta</v>
      </c>
    </row>
    <row r="664" spans="40:54">
      <c r="AN664" s="50" t="str">
        <f>Sheet1!B663</f>
        <v>20-07-2025</v>
      </c>
      <c r="AO664" s="50">
        <f t="shared" si="63"/>
        <v>17</v>
      </c>
      <c r="AP664" s="50">
        <f t="shared" si="64"/>
        <v>7</v>
      </c>
      <c r="AQ664" s="50">
        <f t="shared" si="65"/>
        <v>2025</v>
      </c>
      <c r="AR664" s="50" t="str">
        <f t="shared" si="66"/>
        <v>Jul-2025</v>
      </c>
      <c r="AS664" s="52">
        <f t="shared" si="67"/>
        <v>45855</v>
      </c>
      <c r="AT664" s="44">
        <f t="shared" ca="1" si="68"/>
        <v>423</v>
      </c>
      <c r="AU664" s="40" t="str">
        <f>LEFT(Sheet1!AE663,3)</f>
        <v>Vik</v>
      </c>
      <c r="AV664" s="40" t="str">
        <f>RIGHT(Sheet1!AF663,2)</f>
        <v>al</v>
      </c>
      <c r="AW664" s="40" t="str">
        <f>MID(Sheet1!AE663,2,3)</f>
        <v>ikr</v>
      </c>
      <c r="AX664" s="42">
        <f>LEN(Sheet1!AE663)</f>
        <v>6</v>
      </c>
      <c r="AY664" s="40" t="str">
        <f>UPPER(Sheet1!AE663)</f>
        <v>VIKRAM</v>
      </c>
      <c r="AZ664" s="40" t="str">
        <f>LOWER(Sheet1!AE663)</f>
        <v>vikram</v>
      </c>
      <c r="BA664" s="40" t="str">
        <f>PROPER(Sheet1!AE663)</f>
        <v>Vikram</v>
      </c>
      <c r="BB664" s="40" t="str">
        <f>_xlfn.CONCAT(Sheet1!AE663," ",Sheet1!AF663)</f>
        <v>Vikram Agarwal</v>
      </c>
    </row>
    <row r="665" spans="40:54">
      <c r="AN665" s="50" t="str">
        <f>Sheet1!B664</f>
        <v>20-08-2024</v>
      </c>
      <c r="AO665" s="50">
        <f t="shared" si="63"/>
        <v>17</v>
      </c>
      <c r="AP665" s="50">
        <f t="shared" si="64"/>
        <v>8</v>
      </c>
      <c r="AQ665" s="50">
        <f t="shared" si="65"/>
        <v>2024</v>
      </c>
      <c r="AR665" s="50" t="str">
        <f t="shared" si="66"/>
        <v>Aug-2024</v>
      </c>
      <c r="AS665" s="52">
        <f t="shared" si="67"/>
        <v>45521</v>
      </c>
      <c r="AT665" s="44">
        <f t="shared" ca="1" si="68"/>
        <v>757</v>
      </c>
      <c r="AU665" s="40" t="str">
        <f>LEFT(Sheet1!AE664,3)</f>
        <v>Poo</v>
      </c>
      <c r="AV665" s="40" t="str">
        <f>RIGHT(Sheet1!AF664,2)</f>
        <v>ma</v>
      </c>
      <c r="AW665" s="40" t="str">
        <f>MID(Sheet1!AE664,2,3)</f>
        <v>ooj</v>
      </c>
      <c r="AX665" s="42">
        <f>LEN(Sheet1!AE664)</f>
        <v>5</v>
      </c>
      <c r="AY665" s="40" t="str">
        <f>UPPER(Sheet1!AE664)</f>
        <v>POOJA</v>
      </c>
      <c r="AZ665" s="40" t="str">
        <f>LOWER(Sheet1!AE664)</f>
        <v>pooja</v>
      </c>
      <c r="BA665" s="40" t="str">
        <f>PROPER(Sheet1!AE664)</f>
        <v>Pooja</v>
      </c>
      <c r="BB665" s="40" t="str">
        <f>_xlfn.CONCAT(Sheet1!AE664," ",Sheet1!AF664)</f>
        <v>Pooja Sharma</v>
      </c>
    </row>
    <row r="666" spans="40:54">
      <c r="AN666" s="50" t="str">
        <f>Sheet1!B665</f>
        <v>20-09-2025</v>
      </c>
      <c r="AO666" s="50">
        <f t="shared" si="63"/>
        <v>17</v>
      </c>
      <c r="AP666" s="50">
        <f t="shared" si="64"/>
        <v>9</v>
      </c>
      <c r="AQ666" s="50">
        <f t="shared" si="65"/>
        <v>2025</v>
      </c>
      <c r="AR666" s="50" t="str">
        <f t="shared" si="66"/>
        <v>Sep-2025</v>
      </c>
      <c r="AS666" s="52">
        <f t="shared" si="67"/>
        <v>45917</v>
      </c>
      <c r="AT666" s="44">
        <f t="shared" ca="1" si="68"/>
        <v>361</v>
      </c>
      <c r="AU666" s="40" t="str">
        <f>LEFT(Sheet1!AE665,3)</f>
        <v>Aar</v>
      </c>
      <c r="AV666" s="40" t="str">
        <f>RIGHT(Sheet1!AF665,2)</f>
        <v>al</v>
      </c>
      <c r="AW666" s="40" t="str">
        <f>MID(Sheet1!AE665,2,3)</f>
        <v>ara</v>
      </c>
      <c r="AX666" s="42">
        <f>LEN(Sheet1!AE665)</f>
        <v>5</v>
      </c>
      <c r="AY666" s="40" t="str">
        <f>UPPER(Sheet1!AE665)</f>
        <v>AARAV</v>
      </c>
      <c r="AZ666" s="40" t="str">
        <f>LOWER(Sheet1!AE665)</f>
        <v>aarav</v>
      </c>
      <c r="BA666" s="40" t="str">
        <f>PROPER(Sheet1!AE665)</f>
        <v>Aarav</v>
      </c>
      <c r="BB666" s="40" t="str">
        <f>_xlfn.CONCAT(Sheet1!AE665," ",Sheet1!AF665)</f>
        <v>Aarav Agarwal</v>
      </c>
    </row>
    <row r="667" spans="40:54">
      <c r="AN667" s="50" t="str">
        <f>Sheet1!B666</f>
        <v>20-09-2025</v>
      </c>
      <c r="AO667" s="50">
        <f t="shared" si="63"/>
        <v>17</v>
      </c>
      <c r="AP667" s="50">
        <f t="shared" si="64"/>
        <v>9</v>
      </c>
      <c r="AQ667" s="50">
        <f t="shared" si="65"/>
        <v>2025</v>
      </c>
      <c r="AR667" s="50" t="str">
        <f t="shared" si="66"/>
        <v>Sep-2025</v>
      </c>
      <c r="AS667" s="52">
        <f t="shared" si="67"/>
        <v>45917</v>
      </c>
      <c r="AT667" s="44">
        <f t="shared" ca="1" si="68"/>
        <v>361</v>
      </c>
      <c r="AU667" s="40" t="str">
        <f>LEFT(Sheet1!AE666,3)</f>
        <v>Sne</v>
      </c>
      <c r="AV667" s="40" t="str">
        <f>RIGHT(Sheet1!AF666,2)</f>
        <v>ma</v>
      </c>
      <c r="AW667" s="40" t="str">
        <f>MID(Sheet1!AE666,2,3)</f>
        <v>neh</v>
      </c>
      <c r="AX667" s="42">
        <f>LEN(Sheet1!AE666)</f>
        <v>5</v>
      </c>
      <c r="AY667" s="40" t="str">
        <f>UPPER(Sheet1!AE666)</f>
        <v>SNEHA</v>
      </c>
      <c r="AZ667" s="40" t="str">
        <f>LOWER(Sheet1!AE666)</f>
        <v>sneha</v>
      </c>
      <c r="BA667" s="40" t="str">
        <f>PROPER(Sheet1!AE666)</f>
        <v>Sneha</v>
      </c>
      <c r="BB667" s="40" t="str">
        <f>_xlfn.CONCAT(Sheet1!AE666," ",Sheet1!AF666)</f>
        <v>Sneha Sharma</v>
      </c>
    </row>
    <row r="668" spans="40:54">
      <c r="AN668" s="50" t="str">
        <f>Sheet1!B667</f>
        <v>20-09-2025</v>
      </c>
      <c r="AO668" s="50">
        <f t="shared" si="63"/>
        <v>17</v>
      </c>
      <c r="AP668" s="50">
        <f t="shared" si="64"/>
        <v>9</v>
      </c>
      <c r="AQ668" s="50">
        <f t="shared" si="65"/>
        <v>2025</v>
      </c>
      <c r="AR668" s="50" t="str">
        <f t="shared" si="66"/>
        <v>Sep-2025</v>
      </c>
      <c r="AS668" s="52">
        <f t="shared" si="67"/>
        <v>45917</v>
      </c>
      <c r="AT668" s="44">
        <f t="shared" ca="1" si="68"/>
        <v>361</v>
      </c>
      <c r="AU668" s="40" t="str">
        <f>LEFT(Sheet1!AE667,3)</f>
        <v>Sim</v>
      </c>
      <c r="AV668" s="40" t="str">
        <f>RIGHT(Sheet1!AF667,2)</f>
        <v>al</v>
      </c>
      <c r="AW668" s="40" t="str">
        <f>MID(Sheet1!AE667,2,3)</f>
        <v>imr</v>
      </c>
      <c r="AX668" s="42">
        <f>LEN(Sheet1!AE667)</f>
        <v>6</v>
      </c>
      <c r="AY668" s="40" t="str">
        <f>UPPER(Sheet1!AE667)</f>
        <v>SIMRAN</v>
      </c>
      <c r="AZ668" s="40" t="str">
        <f>LOWER(Sheet1!AE667)</f>
        <v>simran</v>
      </c>
      <c r="BA668" s="40" t="str">
        <f>PROPER(Sheet1!AE667)</f>
        <v>Simran</v>
      </c>
      <c r="BB668" s="40" t="str">
        <f>_xlfn.CONCAT(Sheet1!AE667," ",Sheet1!AF667)</f>
        <v>Simran Agarwal</v>
      </c>
    </row>
    <row r="669" spans="40:54">
      <c r="AN669" s="50" t="str">
        <f>Sheet1!B668</f>
        <v>20-09-2025</v>
      </c>
      <c r="AO669" s="50">
        <f t="shared" si="63"/>
        <v>17</v>
      </c>
      <c r="AP669" s="50">
        <f t="shared" si="64"/>
        <v>9</v>
      </c>
      <c r="AQ669" s="50">
        <f t="shared" si="65"/>
        <v>2025</v>
      </c>
      <c r="AR669" s="50" t="str">
        <f t="shared" si="66"/>
        <v>Sep-2025</v>
      </c>
      <c r="AS669" s="52">
        <f t="shared" si="67"/>
        <v>45917</v>
      </c>
      <c r="AT669" s="44">
        <f t="shared" ca="1" si="68"/>
        <v>361</v>
      </c>
      <c r="AU669" s="40" t="str">
        <f>LEFT(Sheet1!AE668,3)</f>
        <v>Viv</v>
      </c>
      <c r="AV669" s="40" t="str">
        <f>RIGHT(Sheet1!AF668,2)</f>
        <v>or</v>
      </c>
      <c r="AW669" s="40" t="str">
        <f>MID(Sheet1!AE668,2,3)</f>
        <v>iva</v>
      </c>
      <c r="AX669" s="42">
        <f>LEN(Sheet1!AE668)</f>
        <v>6</v>
      </c>
      <c r="AY669" s="40" t="str">
        <f>UPPER(Sheet1!AE668)</f>
        <v>VIVAAN</v>
      </c>
      <c r="AZ669" s="40" t="str">
        <f>LOWER(Sheet1!AE668)</f>
        <v>vivaan</v>
      </c>
      <c r="BA669" s="40" t="str">
        <f>PROPER(Sheet1!AE668)</f>
        <v>Vivaan</v>
      </c>
      <c r="BB669" s="40" t="str">
        <f>_xlfn.CONCAT(Sheet1!AE668," ",Sheet1!AF668)</f>
        <v>Vivaan Kapoor</v>
      </c>
    </row>
    <row r="670" spans="40:54">
      <c r="AN670" s="50" t="str">
        <f>Sheet1!B669</f>
        <v>20-10-2024</v>
      </c>
      <c r="AO670" s="50">
        <f t="shared" si="63"/>
        <v>17</v>
      </c>
      <c r="AP670" s="50">
        <f t="shared" si="64"/>
        <v>10</v>
      </c>
      <c r="AQ670" s="50">
        <f t="shared" si="65"/>
        <v>2024</v>
      </c>
      <c r="AR670" s="50" t="str">
        <f t="shared" si="66"/>
        <v>Oct-2024</v>
      </c>
      <c r="AS670" s="52">
        <f t="shared" si="67"/>
        <v>45582</v>
      </c>
      <c r="AT670" s="44">
        <f t="shared" ca="1" si="68"/>
        <v>696</v>
      </c>
      <c r="AU670" s="40" t="str">
        <f>LEFT(Sheet1!AE669,3)</f>
        <v>Neh</v>
      </c>
      <c r="AV670" s="40" t="str">
        <f>RIGHT(Sheet1!AF669,2)</f>
        <v>ta</v>
      </c>
      <c r="AW670" s="40" t="str">
        <f>MID(Sheet1!AE669,2,3)</f>
        <v>eha</v>
      </c>
      <c r="AX670" s="42">
        <f>LEN(Sheet1!AE669)</f>
        <v>4</v>
      </c>
      <c r="AY670" s="40" t="str">
        <f>UPPER(Sheet1!AE669)</f>
        <v>NEHA</v>
      </c>
      <c r="AZ670" s="40" t="str">
        <f>LOWER(Sheet1!AE669)</f>
        <v>neha</v>
      </c>
      <c r="BA670" s="40" t="str">
        <f>PROPER(Sheet1!AE669)</f>
        <v>Neha</v>
      </c>
      <c r="BB670" s="40" t="str">
        <f>_xlfn.CONCAT(Sheet1!AE669," ",Sheet1!AF669)</f>
        <v>Neha Mehta</v>
      </c>
    </row>
    <row r="671" spans="40:54">
      <c r="AN671" s="50" t="str">
        <f>Sheet1!B670</f>
        <v>20-10-2025</v>
      </c>
      <c r="AO671" s="50">
        <f t="shared" si="63"/>
        <v>17</v>
      </c>
      <c r="AP671" s="50">
        <f t="shared" si="64"/>
        <v>10</v>
      </c>
      <c r="AQ671" s="50">
        <f t="shared" si="65"/>
        <v>2025</v>
      </c>
      <c r="AR671" s="50" t="str">
        <f t="shared" si="66"/>
        <v>Oct-2025</v>
      </c>
      <c r="AS671" s="52">
        <f t="shared" si="67"/>
        <v>45947</v>
      </c>
      <c r="AT671" s="44">
        <f t="shared" ca="1" si="68"/>
        <v>331</v>
      </c>
      <c r="AU671" s="40" t="str">
        <f>LEFT(Sheet1!AE670,3)</f>
        <v>Neh</v>
      </c>
      <c r="AV671" s="40" t="str">
        <f>RIGHT(Sheet1!AF670,2)</f>
        <v>na</v>
      </c>
      <c r="AW671" s="40" t="str">
        <f>MID(Sheet1!AE670,2,3)</f>
        <v>eha</v>
      </c>
      <c r="AX671" s="42">
        <f>LEN(Sheet1!AE670)</f>
        <v>4</v>
      </c>
      <c r="AY671" s="40" t="str">
        <f>UPPER(Sheet1!AE670)</f>
        <v>NEHA</v>
      </c>
      <c r="AZ671" s="40" t="str">
        <f>LOWER(Sheet1!AE670)</f>
        <v>neha</v>
      </c>
      <c r="BA671" s="40" t="str">
        <f>PROPER(Sheet1!AE670)</f>
        <v>Neha</v>
      </c>
      <c r="BB671" s="40" t="str">
        <f>_xlfn.CONCAT(Sheet1!AE670," ",Sheet1!AF670)</f>
        <v>Neha Saxena</v>
      </c>
    </row>
    <row r="672" spans="40:54">
      <c r="AN672" s="50" t="str">
        <f>Sheet1!B671</f>
        <v>20-12-2024</v>
      </c>
      <c r="AO672" s="50">
        <f t="shared" si="63"/>
        <v>17</v>
      </c>
      <c r="AP672" s="50">
        <f t="shared" si="64"/>
        <v>12</v>
      </c>
      <c r="AQ672" s="50">
        <f t="shared" si="65"/>
        <v>2024</v>
      </c>
      <c r="AR672" s="50" t="str">
        <f t="shared" si="66"/>
        <v>Dec-2024</v>
      </c>
      <c r="AS672" s="52">
        <f t="shared" si="67"/>
        <v>45643</v>
      </c>
      <c r="AT672" s="44">
        <f t="shared" ca="1" si="68"/>
        <v>635</v>
      </c>
      <c r="AU672" s="40" t="str">
        <f>LEFT(Sheet1!AE671,3)</f>
        <v>Rah</v>
      </c>
      <c r="AV672" s="40" t="str">
        <f>RIGHT(Sheet1!AF671,2)</f>
        <v>ra</v>
      </c>
      <c r="AW672" s="40" t="str">
        <f>MID(Sheet1!AE671,2,3)</f>
        <v>ahu</v>
      </c>
      <c r="AX672" s="42">
        <f>LEN(Sheet1!AE671)</f>
        <v>5</v>
      </c>
      <c r="AY672" s="40" t="str">
        <f>UPPER(Sheet1!AE671)</f>
        <v>RAHUL</v>
      </c>
      <c r="AZ672" s="40" t="str">
        <f>LOWER(Sheet1!AE671)</f>
        <v>rahul</v>
      </c>
      <c r="BA672" s="40" t="str">
        <f>PROPER(Sheet1!AE671)</f>
        <v>Rahul</v>
      </c>
      <c r="BB672" s="40" t="str">
        <f>_xlfn.CONCAT(Sheet1!AE671," ",Sheet1!AF671)</f>
        <v>Rahul Chopra</v>
      </c>
    </row>
    <row r="673" spans="40:54">
      <c r="AN673" s="50" t="str">
        <f>Sheet1!B672</f>
        <v>20-12-2024</v>
      </c>
      <c r="AO673" s="50">
        <f t="shared" si="63"/>
        <v>17</v>
      </c>
      <c r="AP673" s="50">
        <f t="shared" si="64"/>
        <v>12</v>
      </c>
      <c r="AQ673" s="50">
        <f t="shared" si="65"/>
        <v>2024</v>
      </c>
      <c r="AR673" s="50" t="str">
        <f t="shared" si="66"/>
        <v>Dec-2024</v>
      </c>
      <c r="AS673" s="52">
        <f t="shared" si="67"/>
        <v>45643</v>
      </c>
      <c r="AT673" s="44">
        <f t="shared" ca="1" si="68"/>
        <v>635</v>
      </c>
      <c r="AU673" s="40" t="str">
        <f>LEFT(Sheet1!AE672,3)</f>
        <v>Kav</v>
      </c>
      <c r="AV673" s="40" t="str">
        <f>RIGHT(Sheet1!AF672,2)</f>
        <v>al</v>
      </c>
      <c r="AW673" s="40" t="str">
        <f>MID(Sheet1!AE672,2,3)</f>
        <v>avy</v>
      </c>
      <c r="AX673" s="42">
        <f>LEN(Sheet1!AE672)</f>
        <v>5</v>
      </c>
      <c r="AY673" s="40" t="str">
        <f>UPPER(Sheet1!AE672)</f>
        <v>KAVYA</v>
      </c>
      <c r="AZ673" s="40" t="str">
        <f>LOWER(Sheet1!AE672)</f>
        <v>kavya</v>
      </c>
      <c r="BA673" s="40" t="str">
        <f>PROPER(Sheet1!AE672)</f>
        <v>Kavya</v>
      </c>
      <c r="BB673" s="40" t="str">
        <f>_xlfn.CONCAT(Sheet1!AE672," ",Sheet1!AF672)</f>
        <v>Kavya Bansal</v>
      </c>
    </row>
    <row r="674" spans="40:54">
      <c r="AN674" s="50" t="str">
        <f>Sheet1!B673</f>
        <v>21-01-2025</v>
      </c>
      <c r="AO674" s="50">
        <f t="shared" si="63"/>
        <v>17</v>
      </c>
      <c r="AP674" s="50">
        <f t="shared" si="64"/>
        <v>1</v>
      </c>
      <c r="AQ674" s="50">
        <f t="shared" si="65"/>
        <v>2025</v>
      </c>
      <c r="AR674" s="50" t="str">
        <f t="shared" si="66"/>
        <v>Jan-2025</v>
      </c>
      <c r="AS674" s="52">
        <f t="shared" si="67"/>
        <v>45674</v>
      </c>
      <c r="AT674" s="44">
        <f t="shared" ca="1" si="68"/>
        <v>604</v>
      </c>
      <c r="AU674" s="40" t="str">
        <f>LEFT(Sheet1!AE673,3)</f>
        <v>Nis</v>
      </c>
      <c r="AV674" s="40" t="str">
        <f>RIGHT(Sheet1!AF673,2)</f>
        <v>gh</v>
      </c>
      <c r="AW674" s="40" t="str">
        <f>MID(Sheet1!AE673,2,3)</f>
        <v>ish</v>
      </c>
      <c r="AX674" s="42">
        <f>LEN(Sheet1!AE673)</f>
        <v>5</v>
      </c>
      <c r="AY674" s="40" t="str">
        <f>UPPER(Sheet1!AE673)</f>
        <v>NISHA</v>
      </c>
      <c r="AZ674" s="40" t="str">
        <f>LOWER(Sheet1!AE673)</f>
        <v>nisha</v>
      </c>
      <c r="BA674" s="40" t="str">
        <f>PROPER(Sheet1!AE673)</f>
        <v>Nisha</v>
      </c>
      <c r="BB674" s="40" t="str">
        <f>_xlfn.CONCAT(Sheet1!AE673," ",Sheet1!AF673)</f>
        <v>Nisha Singh</v>
      </c>
    </row>
    <row r="675" spans="40:54">
      <c r="AN675" s="50" t="str">
        <f>Sheet1!B674</f>
        <v>21-02-2024</v>
      </c>
      <c r="AO675" s="50">
        <f t="shared" si="63"/>
        <v>17</v>
      </c>
      <c r="AP675" s="50">
        <f t="shared" si="64"/>
        <v>2</v>
      </c>
      <c r="AQ675" s="50">
        <f t="shared" si="65"/>
        <v>2024</v>
      </c>
      <c r="AR675" s="50" t="str">
        <f t="shared" si="66"/>
        <v>Feb-2024</v>
      </c>
      <c r="AS675" s="52">
        <f t="shared" si="67"/>
        <v>45339</v>
      </c>
      <c r="AT675" s="44">
        <f t="shared" ca="1" si="68"/>
        <v>939</v>
      </c>
      <c r="AU675" s="40" t="str">
        <f>LEFT(Sheet1!AE674,3)</f>
        <v>Mee</v>
      </c>
      <c r="AV675" s="40" t="str">
        <f>RIGHT(Sheet1!AF674,2)</f>
        <v>ta</v>
      </c>
      <c r="AW675" s="40" t="str">
        <f>MID(Sheet1!AE674,2,3)</f>
        <v>eer</v>
      </c>
      <c r="AX675" s="42">
        <f>LEN(Sheet1!AE674)</f>
        <v>5</v>
      </c>
      <c r="AY675" s="40" t="str">
        <f>UPPER(Sheet1!AE674)</f>
        <v>MEERA</v>
      </c>
      <c r="AZ675" s="40" t="str">
        <f>LOWER(Sheet1!AE674)</f>
        <v>meera</v>
      </c>
      <c r="BA675" s="40" t="str">
        <f>PROPER(Sheet1!AE674)</f>
        <v>Meera</v>
      </c>
      <c r="BB675" s="40" t="str">
        <f>_xlfn.CONCAT(Sheet1!AE674," ",Sheet1!AF674)</f>
        <v>Meera Mehta</v>
      </c>
    </row>
    <row r="676" spans="40:54">
      <c r="AN676" s="50" t="str">
        <f>Sheet1!B675</f>
        <v>21-02-2025</v>
      </c>
      <c r="AO676" s="50">
        <f t="shared" si="63"/>
        <v>17</v>
      </c>
      <c r="AP676" s="50">
        <f t="shared" si="64"/>
        <v>2</v>
      </c>
      <c r="AQ676" s="50">
        <f t="shared" si="65"/>
        <v>2025</v>
      </c>
      <c r="AR676" s="50" t="str">
        <f t="shared" si="66"/>
        <v>Feb-2025</v>
      </c>
      <c r="AS676" s="52">
        <f t="shared" si="67"/>
        <v>45705</v>
      </c>
      <c r="AT676" s="44">
        <f t="shared" ca="1" si="68"/>
        <v>573</v>
      </c>
      <c r="AU676" s="40" t="str">
        <f>LEFT(Sheet1!AE675,3)</f>
        <v>Mee</v>
      </c>
      <c r="AV676" s="40" t="str">
        <f>RIGHT(Sheet1!AF675,2)</f>
        <v>ta</v>
      </c>
      <c r="AW676" s="40" t="str">
        <f>MID(Sheet1!AE675,2,3)</f>
        <v>eer</v>
      </c>
      <c r="AX676" s="42">
        <f>LEN(Sheet1!AE675)</f>
        <v>5</v>
      </c>
      <c r="AY676" s="40" t="str">
        <f>UPPER(Sheet1!AE675)</f>
        <v>MEERA</v>
      </c>
      <c r="AZ676" s="40" t="str">
        <f>LOWER(Sheet1!AE675)</f>
        <v>meera</v>
      </c>
      <c r="BA676" s="40" t="str">
        <f>PROPER(Sheet1!AE675)</f>
        <v>Meera</v>
      </c>
      <c r="BB676" s="40" t="str">
        <f>_xlfn.CONCAT(Sheet1!AE675," ",Sheet1!AF675)</f>
        <v>Meera Gupta</v>
      </c>
    </row>
    <row r="677" spans="40:54">
      <c r="AN677" s="50" t="str">
        <f>Sheet1!B676</f>
        <v>21-03-2024</v>
      </c>
      <c r="AO677" s="50">
        <f t="shared" si="63"/>
        <v>17</v>
      </c>
      <c r="AP677" s="50">
        <f t="shared" si="64"/>
        <v>3</v>
      </c>
      <c r="AQ677" s="50">
        <f t="shared" si="65"/>
        <v>2024</v>
      </c>
      <c r="AR677" s="50" t="str">
        <f t="shared" si="66"/>
        <v>Mar-2024</v>
      </c>
      <c r="AS677" s="52">
        <f t="shared" si="67"/>
        <v>45368</v>
      </c>
      <c r="AT677" s="44">
        <f t="shared" ca="1" si="68"/>
        <v>910</v>
      </c>
      <c r="AU677" s="40" t="str">
        <f>LEFT(Sheet1!AE676,3)</f>
        <v>Viv</v>
      </c>
      <c r="AV677" s="40" t="str">
        <f>RIGHT(Sheet1!AF676,2)</f>
        <v>ra</v>
      </c>
      <c r="AW677" s="40" t="str">
        <f>MID(Sheet1!AE676,2,3)</f>
        <v>iva</v>
      </c>
      <c r="AX677" s="42">
        <f>LEN(Sheet1!AE676)</f>
        <v>6</v>
      </c>
      <c r="AY677" s="40" t="str">
        <f>UPPER(Sheet1!AE676)</f>
        <v>VIVAAN</v>
      </c>
      <c r="AZ677" s="40" t="str">
        <f>LOWER(Sheet1!AE676)</f>
        <v>vivaan</v>
      </c>
      <c r="BA677" s="40" t="str">
        <f>PROPER(Sheet1!AE676)</f>
        <v>Vivaan</v>
      </c>
      <c r="BB677" s="40" t="str">
        <f>_xlfn.CONCAT(Sheet1!AE676," ",Sheet1!AF676)</f>
        <v>Vivaan Chopra</v>
      </c>
    </row>
    <row r="678" spans="40:54">
      <c r="AN678" s="50" t="str">
        <f>Sheet1!B677</f>
        <v>21-03-2024</v>
      </c>
      <c r="AO678" s="50">
        <f t="shared" si="63"/>
        <v>17</v>
      </c>
      <c r="AP678" s="50">
        <f t="shared" si="64"/>
        <v>3</v>
      </c>
      <c r="AQ678" s="50">
        <f t="shared" si="65"/>
        <v>2024</v>
      </c>
      <c r="AR678" s="50" t="str">
        <f t="shared" si="66"/>
        <v>Mar-2024</v>
      </c>
      <c r="AS678" s="52">
        <f t="shared" si="67"/>
        <v>45368</v>
      </c>
      <c r="AT678" s="44">
        <f t="shared" ca="1" si="68"/>
        <v>910</v>
      </c>
      <c r="AU678" s="40" t="str">
        <f>LEFT(Sheet1!AE677,3)</f>
        <v>Kar</v>
      </c>
      <c r="AV678" s="40" t="str">
        <f>RIGHT(Sheet1!AF677,2)</f>
        <v>av</v>
      </c>
      <c r="AW678" s="40" t="str">
        <f>MID(Sheet1!AE677,2,3)</f>
        <v>ara</v>
      </c>
      <c r="AX678" s="42">
        <f>LEN(Sheet1!AE677)</f>
        <v>5</v>
      </c>
      <c r="AY678" s="40" t="str">
        <f>UPPER(Sheet1!AE677)</f>
        <v>KARAN</v>
      </c>
      <c r="AZ678" s="40" t="str">
        <f>LOWER(Sheet1!AE677)</f>
        <v>karan</v>
      </c>
      <c r="BA678" s="40" t="str">
        <f>PROPER(Sheet1!AE677)</f>
        <v>Karan</v>
      </c>
      <c r="BB678" s="40" t="str">
        <f>_xlfn.CONCAT(Sheet1!AE677," ",Sheet1!AF677)</f>
        <v>Karan Yadav</v>
      </c>
    </row>
    <row r="679" spans="40:54">
      <c r="AN679" s="50" t="str">
        <f>Sheet1!B678</f>
        <v>21-03-2025</v>
      </c>
      <c r="AO679" s="50">
        <f t="shared" si="63"/>
        <v>17</v>
      </c>
      <c r="AP679" s="50">
        <f t="shared" si="64"/>
        <v>3</v>
      </c>
      <c r="AQ679" s="50">
        <f t="shared" si="65"/>
        <v>2025</v>
      </c>
      <c r="AR679" s="50" t="str">
        <f t="shared" si="66"/>
        <v>Mar-2025</v>
      </c>
      <c r="AS679" s="52">
        <f t="shared" si="67"/>
        <v>45733</v>
      </c>
      <c r="AT679" s="44">
        <f t="shared" ca="1" si="68"/>
        <v>545</v>
      </c>
      <c r="AU679" s="40" t="str">
        <f>LEFT(Sheet1!AE678,3)</f>
        <v>Sne</v>
      </c>
      <c r="AV679" s="40" t="str">
        <f>RIGHT(Sheet1!AF678,2)</f>
        <v>ra</v>
      </c>
      <c r="AW679" s="40" t="str">
        <f>MID(Sheet1!AE678,2,3)</f>
        <v>neh</v>
      </c>
      <c r="AX679" s="42">
        <f>LEN(Sheet1!AE678)</f>
        <v>5</v>
      </c>
      <c r="AY679" s="40" t="str">
        <f>UPPER(Sheet1!AE678)</f>
        <v>SNEHA</v>
      </c>
      <c r="AZ679" s="40" t="str">
        <f>LOWER(Sheet1!AE678)</f>
        <v>sneha</v>
      </c>
      <c r="BA679" s="40" t="str">
        <f>PROPER(Sheet1!AE678)</f>
        <v>Sneha</v>
      </c>
      <c r="BB679" s="40" t="str">
        <f>_xlfn.CONCAT(Sheet1!AE678," ",Sheet1!AF678)</f>
        <v>Sneha Malhotra</v>
      </c>
    </row>
    <row r="680" spans="40:54">
      <c r="AN680" s="50" t="str">
        <f>Sheet1!B679</f>
        <v>21-04-2024</v>
      </c>
      <c r="AO680" s="50">
        <f t="shared" si="63"/>
        <v>17</v>
      </c>
      <c r="AP680" s="50">
        <f t="shared" si="64"/>
        <v>4</v>
      </c>
      <c r="AQ680" s="50">
        <f t="shared" si="65"/>
        <v>2024</v>
      </c>
      <c r="AR680" s="50" t="str">
        <f t="shared" si="66"/>
        <v>Apr-2024</v>
      </c>
      <c r="AS680" s="52">
        <f t="shared" si="67"/>
        <v>45399</v>
      </c>
      <c r="AT680" s="44">
        <f t="shared" ca="1" si="68"/>
        <v>879</v>
      </c>
      <c r="AU680" s="40" t="str">
        <f>LEFT(Sheet1!AE679,3)</f>
        <v>Ish</v>
      </c>
      <c r="AV680" s="40" t="str">
        <f>RIGHT(Sheet1!AF679,2)</f>
        <v>al</v>
      </c>
      <c r="AW680" s="40" t="str">
        <f>MID(Sheet1!AE679,2,3)</f>
        <v>shi</v>
      </c>
      <c r="AX680" s="42">
        <f>LEN(Sheet1!AE679)</f>
        <v>6</v>
      </c>
      <c r="AY680" s="40" t="str">
        <f>UPPER(Sheet1!AE679)</f>
        <v>ISHITA</v>
      </c>
      <c r="AZ680" s="40" t="str">
        <f>LOWER(Sheet1!AE679)</f>
        <v>ishita</v>
      </c>
      <c r="BA680" s="40" t="str">
        <f>PROPER(Sheet1!AE679)</f>
        <v>Ishita</v>
      </c>
      <c r="BB680" s="40" t="str">
        <f>_xlfn.CONCAT(Sheet1!AE679," ",Sheet1!AF679)</f>
        <v>Ishita Bansal</v>
      </c>
    </row>
    <row r="681" spans="40:54">
      <c r="AN681" s="50" t="str">
        <f>Sheet1!B680</f>
        <v>21-04-2025</v>
      </c>
      <c r="AO681" s="50">
        <f t="shared" si="63"/>
        <v>17</v>
      </c>
      <c r="AP681" s="50">
        <f t="shared" si="64"/>
        <v>4</v>
      </c>
      <c r="AQ681" s="50">
        <f t="shared" si="65"/>
        <v>2025</v>
      </c>
      <c r="AR681" s="50" t="str">
        <f t="shared" si="66"/>
        <v>Apr-2025</v>
      </c>
      <c r="AS681" s="52">
        <f t="shared" si="67"/>
        <v>45764</v>
      </c>
      <c r="AT681" s="44">
        <f t="shared" ca="1" si="68"/>
        <v>514</v>
      </c>
      <c r="AU681" s="40" t="str">
        <f>LEFT(Sheet1!AE680,3)</f>
        <v>Arj</v>
      </c>
      <c r="AV681" s="40" t="str">
        <f>RIGHT(Sheet1!AF680,2)</f>
        <v>ra</v>
      </c>
      <c r="AW681" s="40" t="str">
        <f>MID(Sheet1!AE680,2,3)</f>
        <v>rju</v>
      </c>
      <c r="AX681" s="42">
        <f>LEN(Sheet1!AE680)</f>
        <v>5</v>
      </c>
      <c r="AY681" s="40" t="str">
        <f>UPPER(Sheet1!AE680)</f>
        <v>ARJUN</v>
      </c>
      <c r="AZ681" s="40" t="str">
        <f>LOWER(Sheet1!AE680)</f>
        <v>arjun</v>
      </c>
      <c r="BA681" s="40" t="str">
        <f>PROPER(Sheet1!AE680)</f>
        <v>Arjun</v>
      </c>
      <c r="BB681" s="40" t="str">
        <f>_xlfn.CONCAT(Sheet1!AE680," ",Sheet1!AF680)</f>
        <v>Arjun Malhotra</v>
      </c>
    </row>
    <row r="682" spans="40:54">
      <c r="AN682" s="50" t="str">
        <f>Sheet1!B681</f>
        <v>21-06-2024</v>
      </c>
      <c r="AO682" s="50">
        <f t="shared" si="63"/>
        <v>17</v>
      </c>
      <c r="AP682" s="50">
        <f t="shared" si="64"/>
        <v>6</v>
      </c>
      <c r="AQ682" s="50">
        <f t="shared" si="65"/>
        <v>2024</v>
      </c>
      <c r="AR682" s="50" t="str">
        <f t="shared" si="66"/>
        <v>Jun-2024</v>
      </c>
      <c r="AS682" s="52">
        <f t="shared" si="67"/>
        <v>45460</v>
      </c>
      <c r="AT682" s="44">
        <f t="shared" ca="1" si="68"/>
        <v>818</v>
      </c>
      <c r="AU682" s="40" t="str">
        <f>LEFT(Sheet1!AE681,3)</f>
        <v>Kav</v>
      </c>
      <c r="AV682" s="40" t="str">
        <f>RIGHT(Sheet1!AF681,2)</f>
        <v>ma</v>
      </c>
      <c r="AW682" s="40" t="str">
        <f>MID(Sheet1!AE681,2,3)</f>
        <v>avy</v>
      </c>
      <c r="AX682" s="42">
        <f>LEN(Sheet1!AE681)</f>
        <v>5</v>
      </c>
      <c r="AY682" s="40" t="str">
        <f>UPPER(Sheet1!AE681)</f>
        <v>KAVYA</v>
      </c>
      <c r="AZ682" s="40" t="str">
        <f>LOWER(Sheet1!AE681)</f>
        <v>kavya</v>
      </c>
      <c r="BA682" s="40" t="str">
        <f>PROPER(Sheet1!AE681)</f>
        <v>Kavya</v>
      </c>
      <c r="BB682" s="40" t="str">
        <f>_xlfn.CONCAT(Sheet1!AE681," ",Sheet1!AF681)</f>
        <v>Kavya Sharma</v>
      </c>
    </row>
    <row r="683" spans="40:54">
      <c r="AN683" s="50" t="str">
        <f>Sheet1!B682</f>
        <v>21-06-2025</v>
      </c>
      <c r="AO683" s="50">
        <f t="shared" si="63"/>
        <v>17</v>
      </c>
      <c r="AP683" s="50">
        <f t="shared" si="64"/>
        <v>6</v>
      </c>
      <c r="AQ683" s="50">
        <f t="shared" si="65"/>
        <v>2025</v>
      </c>
      <c r="AR683" s="50" t="str">
        <f t="shared" si="66"/>
        <v>Jun-2025</v>
      </c>
      <c r="AS683" s="52">
        <f t="shared" si="67"/>
        <v>45825</v>
      </c>
      <c r="AT683" s="44">
        <f t="shared" ca="1" si="68"/>
        <v>453</v>
      </c>
      <c r="AU683" s="40" t="str">
        <f>LEFT(Sheet1!AE682,3)</f>
        <v>Kav</v>
      </c>
      <c r="AV683" s="40" t="str">
        <f>RIGHT(Sheet1!AF682,2)</f>
        <v>ta</v>
      </c>
      <c r="AW683" s="40" t="str">
        <f>MID(Sheet1!AE682,2,3)</f>
        <v>avy</v>
      </c>
      <c r="AX683" s="42">
        <f>LEN(Sheet1!AE682)</f>
        <v>5</v>
      </c>
      <c r="AY683" s="40" t="str">
        <f>UPPER(Sheet1!AE682)</f>
        <v>KAVYA</v>
      </c>
      <c r="AZ683" s="40" t="str">
        <f>LOWER(Sheet1!AE682)</f>
        <v>kavya</v>
      </c>
      <c r="BA683" s="40" t="str">
        <f>PROPER(Sheet1!AE682)</f>
        <v>Kavya</v>
      </c>
      <c r="BB683" s="40" t="str">
        <f>_xlfn.CONCAT(Sheet1!AE682," ",Sheet1!AF682)</f>
        <v>Kavya Gupta</v>
      </c>
    </row>
    <row r="684" spans="40:54">
      <c r="AN684" s="50" t="str">
        <f>Sheet1!B683</f>
        <v>21-07-2024</v>
      </c>
      <c r="AO684" s="50">
        <f t="shared" si="63"/>
        <v>17</v>
      </c>
      <c r="AP684" s="50">
        <f t="shared" si="64"/>
        <v>7</v>
      </c>
      <c r="AQ684" s="50">
        <f t="shared" si="65"/>
        <v>2024</v>
      </c>
      <c r="AR684" s="50" t="str">
        <f t="shared" si="66"/>
        <v>Jul-2024</v>
      </c>
      <c r="AS684" s="52">
        <f t="shared" si="67"/>
        <v>45490</v>
      </c>
      <c r="AT684" s="44">
        <f t="shared" ca="1" si="68"/>
        <v>788</v>
      </c>
      <c r="AU684" s="40" t="str">
        <f>LEFT(Sheet1!AE683,3)</f>
        <v>Riy</v>
      </c>
      <c r="AV684" s="40" t="str">
        <f>RIGHT(Sheet1!AF683,2)</f>
        <v>al</v>
      </c>
      <c r="AW684" s="40" t="str">
        <f>MID(Sheet1!AE683,2,3)</f>
        <v>iya</v>
      </c>
      <c r="AX684" s="42">
        <f>LEN(Sheet1!AE683)</f>
        <v>4</v>
      </c>
      <c r="AY684" s="40" t="str">
        <f>UPPER(Sheet1!AE683)</f>
        <v>RIYA</v>
      </c>
      <c r="AZ684" s="40" t="str">
        <f>LOWER(Sheet1!AE683)</f>
        <v>riya</v>
      </c>
      <c r="BA684" s="40" t="str">
        <f>PROPER(Sheet1!AE683)</f>
        <v>Riya</v>
      </c>
      <c r="BB684" s="40" t="str">
        <f>_xlfn.CONCAT(Sheet1!AE683," ",Sheet1!AF683)</f>
        <v>Riya Bansal</v>
      </c>
    </row>
    <row r="685" spans="40:54">
      <c r="AN685" s="50" t="str">
        <f>Sheet1!B684</f>
        <v>21-07-2024</v>
      </c>
      <c r="AO685" s="50">
        <f t="shared" si="63"/>
        <v>17</v>
      </c>
      <c r="AP685" s="50">
        <f t="shared" si="64"/>
        <v>7</v>
      </c>
      <c r="AQ685" s="50">
        <f t="shared" si="65"/>
        <v>2024</v>
      </c>
      <c r="AR685" s="50" t="str">
        <f t="shared" si="66"/>
        <v>Jul-2024</v>
      </c>
      <c r="AS685" s="52">
        <f t="shared" si="67"/>
        <v>45490</v>
      </c>
      <c r="AT685" s="44">
        <f t="shared" ca="1" si="68"/>
        <v>788</v>
      </c>
      <c r="AU685" s="40" t="str">
        <f>LEFT(Sheet1!AE684,3)</f>
        <v>Roh</v>
      </c>
      <c r="AV685" s="40" t="str">
        <f>RIGHT(Sheet1!AF684,2)</f>
        <v>al</v>
      </c>
      <c r="AW685" s="40" t="str">
        <f>MID(Sheet1!AE684,2,3)</f>
        <v>oha</v>
      </c>
      <c r="AX685" s="42">
        <f>LEN(Sheet1!AE684)</f>
        <v>5</v>
      </c>
      <c r="AY685" s="40" t="str">
        <f>UPPER(Sheet1!AE684)</f>
        <v>ROHAN</v>
      </c>
      <c r="AZ685" s="40" t="str">
        <f>LOWER(Sheet1!AE684)</f>
        <v>rohan</v>
      </c>
      <c r="BA685" s="40" t="str">
        <f>PROPER(Sheet1!AE684)</f>
        <v>Rohan</v>
      </c>
      <c r="BB685" s="40" t="str">
        <f>_xlfn.CONCAT(Sheet1!AE684," ",Sheet1!AF684)</f>
        <v>Rohan Agarwal</v>
      </c>
    </row>
    <row r="686" spans="40:54">
      <c r="AN686" s="50" t="str">
        <f>Sheet1!B685</f>
        <v>21-07-2025</v>
      </c>
      <c r="AO686" s="50">
        <f t="shared" si="63"/>
        <v>17</v>
      </c>
      <c r="AP686" s="50">
        <f t="shared" si="64"/>
        <v>7</v>
      </c>
      <c r="AQ686" s="50">
        <f t="shared" si="65"/>
        <v>2025</v>
      </c>
      <c r="AR686" s="50" t="str">
        <f t="shared" si="66"/>
        <v>Jul-2025</v>
      </c>
      <c r="AS686" s="52">
        <f t="shared" si="67"/>
        <v>45855</v>
      </c>
      <c r="AT686" s="44">
        <f t="shared" ca="1" si="68"/>
        <v>423</v>
      </c>
      <c r="AU686" s="40" t="str">
        <f>LEFT(Sheet1!AE685,3)</f>
        <v>Roh</v>
      </c>
      <c r="AV686" s="40" t="str">
        <f>RIGHT(Sheet1!AF685,2)</f>
        <v>ar</v>
      </c>
      <c r="AW686" s="40" t="str">
        <f>MID(Sheet1!AE685,2,3)</f>
        <v>oha</v>
      </c>
      <c r="AX686" s="42">
        <f>LEN(Sheet1!AE685)</f>
        <v>5</v>
      </c>
      <c r="AY686" s="40" t="str">
        <f>UPPER(Sheet1!AE685)</f>
        <v>ROHAN</v>
      </c>
      <c r="AZ686" s="40" t="str">
        <f>LOWER(Sheet1!AE685)</f>
        <v>rohan</v>
      </c>
      <c r="BA686" s="40" t="str">
        <f>PROPER(Sheet1!AE685)</f>
        <v>Rohan</v>
      </c>
      <c r="BB686" s="40" t="str">
        <f>_xlfn.CONCAT(Sheet1!AE685," ",Sheet1!AF685)</f>
        <v>Rohan Kumar</v>
      </c>
    </row>
    <row r="687" spans="40:54">
      <c r="AN687" s="50" t="str">
        <f>Sheet1!B686</f>
        <v>21-07-2025</v>
      </c>
      <c r="AO687" s="50">
        <f t="shared" si="63"/>
        <v>17</v>
      </c>
      <c r="AP687" s="50">
        <f t="shared" si="64"/>
        <v>7</v>
      </c>
      <c r="AQ687" s="50">
        <f t="shared" si="65"/>
        <v>2025</v>
      </c>
      <c r="AR687" s="50" t="str">
        <f t="shared" si="66"/>
        <v>Jul-2025</v>
      </c>
      <c r="AS687" s="52">
        <f t="shared" si="67"/>
        <v>45855</v>
      </c>
      <c r="AT687" s="44">
        <f t="shared" ca="1" si="68"/>
        <v>423</v>
      </c>
      <c r="AU687" s="40" t="str">
        <f>LEFT(Sheet1!AE686,3)</f>
        <v>Mee</v>
      </c>
      <c r="AV687" s="40" t="str">
        <f>RIGHT(Sheet1!AF686,2)</f>
        <v>na</v>
      </c>
      <c r="AW687" s="40" t="str">
        <f>MID(Sheet1!AE686,2,3)</f>
        <v>eer</v>
      </c>
      <c r="AX687" s="42">
        <f>LEN(Sheet1!AE686)</f>
        <v>5</v>
      </c>
      <c r="AY687" s="40" t="str">
        <f>UPPER(Sheet1!AE686)</f>
        <v>MEERA</v>
      </c>
      <c r="AZ687" s="40" t="str">
        <f>LOWER(Sheet1!AE686)</f>
        <v>meera</v>
      </c>
      <c r="BA687" s="40" t="str">
        <f>PROPER(Sheet1!AE686)</f>
        <v>Meera</v>
      </c>
      <c r="BB687" s="40" t="str">
        <f>_xlfn.CONCAT(Sheet1!AE686," ",Sheet1!AF686)</f>
        <v>Meera Saxena</v>
      </c>
    </row>
    <row r="688" spans="40:54">
      <c r="AN688" s="50" t="str">
        <f>Sheet1!B687</f>
        <v>21-08-2025</v>
      </c>
      <c r="AO688" s="50">
        <f t="shared" si="63"/>
        <v>17</v>
      </c>
      <c r="AP688" s="50">
        <f t="shared" si="64"/>
        <v>8</v>
      </c>
      <c r="AQ688" s="50">
        <f t="shared" si="65"/>
        <v>2025</v>
      </c>
      <c r="AR688" s="50" t="str">
        <f t="shared" si="66"/>
        <v>Aug-2025</v>
      </c>
      <c r="AS688" s="52">
        <f t="shared" si="67"/>
        <v>45886</v>
      </c>
      <c r="AT688" s="44">
        <f t="shared" ca="1" si="68"/>
        <v>392</v>
      </c>
      <c r="AU688" s="40" t="str">
        <f>LEFT(Sheet1!AE687,3)</f>
        <v>Pri</v>
      </c>
      <c r="AV688" s="40" t="str">
        <f>RIGHT(Sheet1!AF687,2)</f>
        <v>al</v>
      </c>
      <c r="AW688" s="40" t="str">
        <f>MID(Sheet1!AE687,2,3)</f>
        <v>riy</v>
      </c>
      <c r="AX688" s="42">
        <f>LEN(Sheet1!AE687)</f>
        <v>5</v>
      </c>
      <c r="AY688" s="40" t="str">
        <f>UPPER(Sheet1!AE687)</f>
        <v>PRIYA</v>
      </c>
      <c r="AZ688" s="40" t="str">
        <f>LOWER(Sheet1!AE687)</f>
        <v>priya</v>
      </c>
      <c r="BA688" s="40" t="str">
        <f>PROPER(Sheet1!AE687)</f>
        <v>Priya</v>
      </c>
      <c r="BB688" s="40" t="str">
        <f>_xlfn.CONCAT(Sheet1!AE687," ",Sheet1!AF687)</f>
        <v>Priya Bansal</v>
      </c>
    </row>
    <row r="689" spans="40:54">
      <c r="AN689" s="50" t="str">
        <f>Sheet1!B688</f>
        <v>21-09-2024</v>
      </c>
      <c r="AO689" s="50">
        <f t="shared" si="63"/>
        <v>17</v>
      </c>
      <c r="AP689" s="50">
        <f t="shared" si="64"/>
        <v>9</v>
      </c>
      <c r="AQ689" s="50">
        <f t="shared" si="65"/>
        <v>2024</v>
      </c>
      <c r="AR689" s="50" t="str">
        <f t="shared" si="66"/>
        <v>Sep-2024</v>
      </c>
      <c r="AS689" s="52">
        <f t="shared" si="67"/>
        <v>45552</v>
      </c>
      <c r="AT689" s="44">
        <f t="shared" ca="1" si="68"/>
        <v>726</v>
      </c>
      <c r="AU689" s="40" t="str">
        <f>LEFT(Sheet1!AE688,3)</f>
        <v>Kar</v>
      </c>
      <c r="AV689" s="40" t="str">
        <f>RIGHT(Sheet1!AF688,2)</f>
        <v>ra</v>
      </c>
      <c r="AW689" s="40" t="str">
        <f>MID(Sheet1!AE688,2,3)</f>
        <v>ara</v>
      </c>
      <c r="AX689" s="42">
        <f>LEN(Sheet1!AE688)</f>
        <v>5</v>
      </c>
      <c r="AY689" s="40" t="str">
        <f>UPPER(Sheet1!AE688)</f>
        <v>KARAN</v>
      </c>
      <c r="AZ689" s="40" t="str">
        <f>LOWER(Sheet1!AE688)</f>
        <v>karan</v>
      </c>
      <c r="BA689" s="40" t="str">
        <f>PROPER(Sheet1!AE688)</f>
        <v>Karan</v>
      </c>
      <c r="BB689" s="40" t="str">
        <f>_xlfn.CONCAT(Sheet1!AE688," ",Sheet1!AF688)</f>
        <v>Karan Chopra</v>
      </c>
    </row>
    <row r="690" spans="40:54">
      <c r="AN690" s="50" t="str">
        <f>Sheet1!B689</f>
        <v>21-09-2024</v>
      </c>
      <c r="AO690" s="50">
        <f t="shared" si="63"/>
        <v>17</v>
      </c>
      <c r="AP690" s="50">
        <f t="shared" si="64"/>
        <v>9</v>
      </c>
      <c r="AQ690" s="50">
        <f t="shared" si="65"/>
        <v>2024</v>
      </c>
      <c r="AR690" s="50" t="str">
        <f t="shared" si="66"/>
        <v>Sep-2024</v>
      </c>
      <c r="AS690" s="52">
        <f t="shared" si="67"/>
        <v>45552</v>
      </c>
      <c r="AT690" s="44">
        <f t="shared" ca="1" si="68"/>
        <v>726</v>
      </c>
      <c r="AU690" s="40" t="str">
        <f>LEFT(Sheet1!AE689,3)</f>
        <v>Mee</v>
      </c>
      <c r="AV690" s="40" t="str">
        <f>RIGHT(Sheet1!AF689,2)</f>
        <v>in</v>
      </c>
      <c r="AW690" s="40" t="str">
        <f>MID(Sheet1!AE689,2,3)</f>
        <v>eer</v>
      </c>
      <c r="AX690" s="42">
        <f>LEN(Sheet1!AE689)</f>
        <v>5</v>
      </c>
      <c r="AY690" s="40" t="str">
        <f>UPPER(Sheet1!AE689)</f>
        <v>MEERA</v>
      </c>
      <c r="AZ690" s="40" t="str">
        <f>LOWER(Sheet1!AE689)</f>
        <v>meera</v>
      </c>
      <c r="BA690" s="40" t="str">
        <f>PROPER(Sheet1!AE689)</f>
        <v>Meera</v>
      </c>
      <c r="BB690" s="40" t="str">
        <f>_xlfn.CONCAT(Sheet1!AE689," ",Sheet1!AF689)</f>
        <v>Meera Jain</v>
      </c>
    </row>
    <row r="691" spans="40:54">
      <c r="AN691" s="50" t="str">
        <f>Sheet1!B690</f>
        <v>21-10-2024</v>
      </c>
      <c r="AO691" s="50">
        <f t="shared" si="63"/>
        <v>17</v>
      </c>
      <c r="AP691" s="50">
        <f t="shared" si="64"/>
        <v>10</v>
      </c>
      <c r="AQ691" s="50">
        <f t="shared" si="65"/>
        <v>2024</v>
      </c>
      <c r="AR691" s="50" t="str">
        <f t="shared" si="66"/>
        <v>Oct-2024</v>
      </c>
      <c r="AS691" s="52">
        <f t="shared" si="67"/>
        <v>45582</v>
      </c>
      <c r="AT691" s="44">
        <f t="shared" ca="1" si="68"/>
        <v>696</v>
      </c>
      <c r="AU691" s="40" t="str">
        <f>LEFT(Sheet1!AE690,3)</f>
        <v>Pri</v>
      </c>
      <c r="AV691" s="40" t="str">
        <f>RIGHT(Sheet1!AF690,2)</f>
        <v>ra</v>
      </c>
      <c r="AW691" s="40" t="str">
        <f>MID(Sheet1!AE690,2,3)</f>
        <v>riy</v>
      </c>
      <c r="AX691" s="42">
        <f>LEN(Sheet1!AE690)</f>
        <v>5</v>
      </c>
      <c r="AY691" s="40" t="str">
        <f>UPPER(Sheet1!AE690)</f>
        <v>PRIYA</v>
      </c>
      <c r="AZ691" s="40" t="str">
        <f>LOWER(Sheet1!AE690)</f>
        <v>priya</v>
      </c>
      <c r="BA691" s="40" t="str">
        <f>PROPER(Sheet1!AE690)</f>
        <v>Priya</v>
      </c>
      <c r="BB691" s="40" t="str">
        <f>_xlfn.CONCAT(Sheet1!AE690," ",Sheet1!AF690)</f>
        <v>Priya Malhotra</v>
      </c>
    </row>
    <row r="692" spans="40:54">
      <c r="AN692" s="50" t="str">
        <f>Sheet1!B691</f>
        <v>21-10-2024</v>
      </c>
      <c r="AO692" s="50">
        <f t="shared" si="63"/>
        <v>17</v>
      </c>
      <c r="AP692" s="50">
        <f t="shared" si="64"/>
        <v>10</v>
      </c>
      <c r="AQ692" s="50">
        <f t="shared" si="65"/>
        <v>2024</v>
      </c>
      <c r="AR692" s="50" t="str">
        <f t="shared" si="66"/>
        <v>Oct-2024</v>
      </c>
      <c r="AS692" s="52">
        <f t="shared" si="67"/>
        <v>45582</v>
      </c>
      <c r="AT692" s="44">
        <f t="shared" ca="1" si="68"/>
        <v>696</v>
      </c>
      <c r="AU692" s="40" t="str">
        <f>LEFT(Sheet1!AE691,3)</f>
        <v>Kav</v>
      </c>
      <c r="AV692" s="40" t="str">
        <f>RIGHT(Sheet1!AF691,2)</f>
        <v>av</v>
      </c>
      <c r="AW692" s="40" t="str">
        <f>MID(Sheet1!AE691,2,3)</f>
        <v>avy</v>
      </c>
      <c r="AX692" s="42">
        <f>LEN(Sheet1!AE691)</f>
        <v>5</v>
      </c>
      <c r="AY692" s="40" t="str">
        <f>UPPER(Sheet1!AE691)</f>
        <v>KAVYA</v>
      </c>
      <c r="AZ692" s="40" t="str">
        <f>LOWER(Sheet1!AE691)</f>
        <v>kavya</v>
      </c>
      <c r="BA692" s="40" t="str">
        <f>PROPER(Sheet1!AE691)</f>
        <v>Kavya</v>
      </c>
      <c r="BB692" s="40" t="str">
        <f>_xlfn.CONCAT(Sheet1!AE691," ",Sheet1!AF691)</f>
        <v>Kavya Yadav</v>
      </c>
    </row>
    <row r="693" spans="40:54">
      <c r="AN693" s="50" t="str">
        <f>Sheet1!B692</f>
        <v>21-10-2024</v>
      </c>
      <c r="AO693" s="50">
        <f t="shared" si="63"/>
        <v>17</v>
      </c>
      <c r="AP693" s="50">
        <f t="shared" si="64"/>
        <v>10</v>
      </c>
      <c r="AQ693" s="50">
        <f t="shared" si="65"/>
        <v>2024</v>
      </c>
      <c r="AR693" s="50" t="str">
        <f t="shared" si="66"/>
        <v>Oct-2024</v>
      </c>
      <c r="AS693" s="52">
        <f t="shared" si="67"/>
        <v>45582</v>
      </c>
      <c r="AT693" s="44">
        <f t="shared" ca="1" si="68"/>
        <v>696</v>
      </c>
      <c r="AU693" s="40" t="str">
        <f>LEFT(Sheet1!AE692,3)</f>
        <v>Adi</v>
      </c>
      <c r="AV693" s="40" t="str">
        <f>RIGHT(Sheet1!AF692,2)</f>
        <v>al</v>
      </c>
      <c r="AW693" s="40" t="str">
        <f>MID(Sheet1!AE692,2,3)</f>
        <v>dit</v>
      </c>
      <c r="AX693" s="42">
        <f>LEN(Sheet1!AE692)</f>
        <v>5</v>
      </c>
      <c r="AY693" s="40" t="str">
        <f>UPPER(Sheet1!AE692)</f>
        <v>ADITI</v>
      </c>
      <c r="AZ693" s="40" t="str">
        <f>LOWER(Sheet1!AE692)</f>
        <v>aditi</v>
      </c>
      <c r="BA693" s="40" t="str">
        <f>PROPER(Sheet1!AE692)</f>
        <v>Aditi</v>
      </c>
      <c r="BB693" s="40" t="str">
        <f>_xlfn.CONCAT(Sheet1!AE692," ",Sheet1!AF692)</f>
        <v>Aditi Agarwal</v>
      </c>
    </row>
    <row r="694" spans="40:54">
      <c r="AN694" s="50" t="str">
        <f>Sheet1!B693</f>
        <v>21-10-2025</v>
      </c>
      <c r="AO694" s="50">
        <f t="shared" si="63"/>
        <v>17</v>
      </c>
      <c r="AP694" s="50">
        <f t="shared" si="64"/>
        <v>10</v>
      </c>
      <c r="AQ694" s="50">
        <f t="shared" si="65"/>
        <v>2025</v>
      </c>
      <c r="AR694" s="50" t="str">
        <f t="shared" si="66"/>
        <v>Oct-2025</v>
      </c>
      <c r="AS694" s="52">
        <f t="shared" si="67"/>
        <v>45947</v>
      </c>
      <c r="AT694" s="44">
        <f t="shared" ca="1" si="68"/>
        <v>331</v>
      </c>
      <c r="AU694" s="40" t="str">
        <f>LEFT(Sheet1!AE693,3)</f>
        <v>Mee</v>
      </c>
      <c r="AV694" s="40" t="str">
        <f>RIGHT(Sheet1!AF693,2)</f>
        <v>na</v>
      </c>
      <c r="AW694" s="40" t="str">
        <f>MID(Sheet1!AE693,2,3)</f>
        <v>eer</v>
      </c>
      <c r="AX694" s="42">
        <f>LEN(Sheet1!AE693)</f>
        <v>5</v>
      </c>
      <c r="AY694" s="40" t="str">
        <f>UPPER(Sheet1!AE693)</f>
        <v>MEERA</v>
      </c>
      <c r="AZ694" s="40" t="str">
        <f>LOWER(Sheet1!AE693)</f>
        <v>meera</v>
      </c>
      <c r="BA694" s="40" t="str">
        <f>PROPER(Sheet1!AE693)</f>
        <v>Meera</v>
      </c>
      <c r="BB694" s="40" t="str">
        <f>_xlfn.CONCAT(Sheet1!AE693," ",Sheet1!AF693)</f>
        <v>Meera Saxena</v>
      </c>
    </row>
    <row r="695" spans="40:54">
      <c r="AN695" s="50" t="str">
        <f>Sheet1!B694</f>
        <v>21-10-2025</v>
      </c>
      <c r="AO695" s="50">
        <f t="shared" si="63"/>
        <v>17</v>
      </c>
      <c r="AP695" s="50">
        <f t="shared" si="64"/>
        <v>10</v>
      </c>
      <c r="AQ695" s="50">
        <f t="shared" si="65"/>
        <v>2025</v>
      </c>
      <c r="AR695" s="50" t="str">
        <f t="shared" si="66"/>
        <v>Oct-2025</v>
      </c>
      <c r="AS695" s="52">
        <f t="shared" si="67"/>
        <v>45947</v>
      </c>
      <c r="AT695" s="44">
        <f t="shared" ca="1" si="68"/>
        <v>331</v>
      </c>
      <c r="AU695" s="40" t="str">
        <f>LEFT(Sheet1!AE694,3)</f>
        <v>Ana</v>
      </c>
      <c r="AV695" s="40" t="str">
        <f>RIGHT(Sheet1!AF694,2)</f>
        <v>ta</v>
      </c>
      <c r="AW695" s="40" t="str">
        <f>MID(Sheet1!AE694,2,3)</f>
        <v>nan</v>
      </c>
      <c r="AX695" s="42">
        <f>LEN(Sheet1!AE694)</f>
        <v>6</v>
      </c>
      <c r="AY695" s="40" t="str">
        <f>UPPER(Sheet1!AE694)</f>
        <v>ANANYA</v>
      </c>
      <c r="AZ695" s="40" t="str">
        <f>LOWER(Sheet1!AE694)</f>
        <v>ananya</v>
      </c>
      <c r="BA695" s="40" t="str">
        <f>PROPER(Sheet1!AE694)</f>
        <v>Ananya</v>
      </c>
      <c r="BB695" s="40" t="str">
        <f>_xlfn.CONCAT(Sheet1!AE694," ",Sheet1!AF694)</f>
        <v>Ananya Gupta</v>
      </c>
    </row>
    <row r="696" spans="40:54">
      <c r="AN696" s="50" t="str">
        <f>Sheet1!B695</f>
        <v>21-10-2025</v>
      </c>
      <c r="AO696" s="50">
        <f t="shared" si="63"/>
        <v>17</v>
      </c>
      <c r="AP696" s="50">
        <f t="shared" si="64"/>
        <v>10</v>
      </c>
      <c r="AQ696" s="50">
        <f t="shared" si="65"/>
        <v>2025</v>
      </c>
      <c r="AR696" s="50" t="str">
        <f t="shared" si="66"/>
        <v>Oct-2025</v>
      </c>
      <c r="AS696" s="52">
        <f t="shared" si="67"/>
        <v>45947</v>
      </c>
      <c r="AT696" s="44">
        <f t="shared" ca="1" si="68"/>
        <v>331</v>
      </c>
      <c r="AU696" s="40" t="str">
        <f>LEFT(Sheet1!AE695,3)</f>
        <v>Roh</v>
      </c>
      <c r="AV696" s="40" t="str">
        <f>RIGHT(Sheet1!AF695,2)</f>
        <v>ra</v>
      </c>
      <c r="AW696" s="40" t="str">
        <f>MID(Sheet1!AE695,2,3)</f>
        <v>oha</v>
      </c>
      <c r="AX696" s="42">
        <f>LEN(Sheet1!AE695)</f>
        <v>5</v>
      </c>
      <c r="AY696" s="40" t="str">
        <f>UPPER(Sheet1!AE695)</f>
        <v>ROHAN</v>
      </c>
      <c r="AZ696" s="40" t="str">
        <f>LOWER(Sheet1!AE695)</f>
        <v>rohan</v>
      </c>
      <c r="BA696" s="40" t="str">
        <f>PROPER(Sheet1!AE695)</f>
        <v>Rohan</v>
      </c>
      <c r="BB696" s="40" t="str">
        <f>_xlfn.CONCAT(Sheet1!AE695," ",Sheet1!AF695)</f>
        <v>Rohan Chopra</v>
      </c>
    </row>
    <row r="697" spans="40:54">
      <c r="AN697" s="50" t="str">
        <f>Sheet1!B696</f>
        <v>21-11-2024</v>
      </c>
      <c r="AO697" s="50">
        <f t="shared" si="63"/>
        <v>17</v>
      </c>
      <c r="AP697" s="50">
        <f t="shared" si="64"/>
        <v>11</v>
      </c>
      <c r="AQ697" s="50">
        <f t="shared" si="65"/>
        <v>2024</v>
      </c>
      <c r="AR697" s="50" t="str">
        <f t="shared" si="66"/>
        <v>Nov-2024</v>
      </c>
      <c r="AS697" s="52">
        <f t="shared" si="67"/>
        <v>45613</v>
      </c>
      <c r="AT697" s="44">
        <f t="shared" ca="1" si="68"/>
        <v>665</v>
      </c>
      <c r="AU697" s="40" t="str">
        <f>LEFT(Sheet1!AE696,3)</f>
        <v>Kav</v>
      </c>
      <c r="AV697" s="40" t="str">
        <f>RIGHT(Sheet1!AF696,2)</f>
        <v>ma</v>
      </c>
      <c r="AW697" s="40" t="str">
        <f>MID(Sheet1!AE696,2,3)</f>
        <v>avy</v>
      </c>
      <c r="AX697" s="42">
        <f>LEN(Sheet1!AE696)</f>
        <v>5</v>
      </c>
      <c r="AY697" s="40" t="str">
        <f>UPPER(Sheet1!AE696)</f>
        <v>KAVYA</v>
      </c>
      <c r="AZ697" s="40" t="str">
        <f>LOWER(Sheet1!AE696)</f>
        <v>kavya</v>
      </c>
      <c r="BA697" s="40" t="str">
        <f>PROPER(Sheet1!AE696)</f>
        <v>Kavya</v>
      </c>
      <c r="BB697" s="40" t="str">
        <f>_xlfn.CONCAT(Sheet1!AE696," ",Sheet1!AF696)</f>
        <v>Kavya Sharma</v>
      </c>
    </row>
    <row r="698" spans="40:54">
      <c r="AN698" s="50" t="str">
        <f>Sheet1!B697</f>
        <v>21-11-2024</v>
      </c>
      <c r="AO698" s="50">
        <f t="shared" si="63"/>
        <v>17</v>
      </c>
      <c r="AP698" s="50">
        <f t="shared" si="64"/>
        <v>11</v>
      </c>
      <c r="AQ698" s="50">
        <f t="shared" si="65"/>
        <v>2024</v>
      </c>
      <c r="AR698" s="50" t="str">
        <f t="shared" si="66"/>
        <v>Nov-2024</v>
      </c>
      <c r="AS698" s="52">
        <f t="shared" si="67"/>
        <v>45613</v>
      </c>
      <c r="AT698" s="44">
        <f t="shared" ca="1" si="68"/>
        <v>665</v>
      </c>
      <c r="AU698" s="40" t="str">
        <f>LEFT(Sheet1!AE697,3)</f>
        <v>Pri</v>
      </c>
      <c r="AV698" s="40" t="str">
        <f>RIGHT(Sheet1!AF697,2)</f>
        <v>ta</v>
      </c>
      <c r="AW698" s="40" t="str">
        <f>MID(Sheet1!AE697,2,3)</f>
        <v>riy</v>
      </c>
      <c r="AX698" s="42">
        <f>LEN(Sheet1!AE697)</f>
        <v>5</v>
      </c>
      <c r="AY698" s="40" t="str">
        <f>UPPER(Sheet1!AE697)</f>
        <v>PRIYA</v>
      </c>
      <c r="AZ698" s="40" t="str">
        <f>LOWER(Sheet1!AE697)</f>
        <v>priya</v>
      </c>
      <c r="BA698" s="40" t="str">
        <f>PROPER(Sheet1!AE697)</f>
        <v>Priya</v>
      </c>
      <c r="BB698" s="40" t="str">
        <f>_xlfn.CONCAT(Sheet1!AE697," ",Sheet1!AF697)</f>
        <v>Priya Mehta</v>
      </c>
    </row>
    <row r="699" spans="40:54">
      <c r="AN699" s="50" t="str">
        <f>Sheet1!B698</f>
        <v>21-11-2025</v>
      </c>
      <c r="AO699" s="50">
        <f t="shared" si="63"/>
        <v>17</v>
      </c>
      <c r="AP699" s="50">
        <f t="shared" si="64"/>
        <v>11</v>
      </c>
      <c r="AQ699" s="50">
        <f t="shared" si="65"/>
        <v>2025</v>
      </c>
      <c r="AR699" s="50" t="str">
        <f t="shared" si="66"/>
        <v>Nov-2025</v>
      </c>
      <c r="AS699" s="52">
        <f t="shared" si="67"/>
        <v>45978</v>
      </c>
      <c r="AT699" s="44">
        <f t="shared" ca="1" si="68"/>
        <v>300</v>
      </c>
      <c r="AU699" s="40" t="str">
        <f>LEFT(Sheet1!AE698,3)</f>
        <v>Sim</v>
      </c>
      <c r="AV699" s="40" t="str">
        <f>RIGHT(Sheet1!AF698,2)</f>
        <v>ra</v>
      </c>
      <c r="AW699" s="40" t="str">
        <f>MID(Sheet1!AE698,2,3)</f>
        <v>imr</v>
      </c>
      <c r="AX699" s="42">
        <f>LEN(Sheet1!AE698)</f>
        <v>6</v>
      </c>
      <c r="AY699" s="40" t="str">
        <f>UPPER(Sheet1!AE698)</f>
        <v>SIMRAN</v>
      </c>
      <c r="AZ699" s="40" t="str">
        <f>LOWER(Sheet1!AE698)</f>
        <v>simran</v>
      </c>
      <c r="BA699" s="40" t="str">
        <f>PROPER(Sheet1!AE698)</f>
        <v>Simran</v>
      </c>
      <c r="BB699" s="40" t="str">
        <f>_xlfn.CONCAT(Sheet1!AE698," ",Sheet1!AF698)</f>
        <v>Simran Mishra</v>
      </c>
    </row>
    <row r="700" spans="40:54">
      <c r="AN700" s="50" t="str">
        <f>Sheet1!B699</f>
        <v>21-12-2025</v>
      </c>
      <c r="AO700" s="50">
        <f t="shared" si="63"/>
        <v>17</v>
      </c>
      <c r="AP700" s="50">
        <f t="shared" si="64"/>
        <v>12</v>
      </c>
      <c r="AQ700" s="50">
        <f t="shared" si="65"/>
        <v>2025</v>
      </c>
      <c r="AR700" s="50" t="str">
        <f t="shared" si="66"/>
        <v>Dec-2025</v>
      </c>
      <c r="AS700" s="52">
        <f t="shared" si="67"/>
        <v>46008</v>
      </c>
      <c r="AT700" s="44">
        <f t="shared" ca="1" si="68"/>
        <v>270</v>
      </c>
      <c r="AU700" s="40" t="str">
        <f>LEFT(Sheet1!AE699,3)</f>
        <v>Sne</v>
      </c>
      <c r="AV700" s="40" t="str">
        <f>RIGHT(Sheet1!AF699,2)</f>
        <v>ma</v>
      </c>
      <c r="AW700" s="40" t="str">
        <f>MID(Sheet1!AE699,2,3)</f>
        <v>neh</v>
      </c>
      <c r="AX700" s="42">
        <f>LEN(Sheet1!AE699)</f>
        <v>5</v>
      </c>
      <c r="AY700" s="40" t="str">
        <f>UPPER(Sheet1!AE699)</f>
        <v>SNEHA</v>
      </c>
      <c r="AZ700" s="40" t="str">
        <f>LOWER(Sheet1!AE699)</f>
        <v>sneha</v>
      </c>
      <c r="BA700" s="40" t="str">
        <f>PROPER(Sheet1!AE699)</f>
        <v>Sneha</v>
      </c>
      <c r="BB700" s="40" t="str">
        <f>_xlfn.CONCAT(Sheet1!AE699," ",Sheet1!AF699)</f>
        <v>Sneha Verma</v>
      </c>
    </row>
    <row r="701" spans="40:54">
      <c r="AN701" s="50" t="str">
        <f>Sheet1!B700</f>
        <v>22-02-2024</v>
      </c>
      <c r="AO701" s="50">
        <f t="shared" si="63"/>
        <v>17</v>
      </c>
      <c r="AP701" s="50">
        <f t="shared" si="64"/>
        <v>2</v>
      </c>
      <c r="AQ701" s="50">
        <f t="shared" si="65"/>
        <v>2024</v>
      </c>
      <c r="AR701" s="50" t="str">
        <f t="shared" si="66"/>
        <v>Feb-2024</v>
      </c>
      <c r="AS701" s="52">
        <f t="shared" si="67"/>
        <v>45339</v>
      </c>
      <c r="AT701" s="44">
        <f t="shared" ca="1" si="68"/>
        <v>939</v>
      </c>
      <c r="AU701" s="40" t="str">
        <f>LEFT(Sheet1!AE700,3)</f>
        <v>Adi</v>
      </c>
      <c r="AV701" s="40" t="str">
        <f>RIGHT(Sheet1!AF700,2)</f>
        <v>ta</v>
      </c>
      <c r="AW701" s="40" t="str">
        <f>MID(Sheet1!AE700,2,3)</f>
        <v>dit</v>
      </c>
      <c r="AX701" s="42">
        <f>LEN(Sheet1!AE700)</f>
        <v>6</v>
      </c>
      <c r="AY701" s="40" t="str">
        <f>UPPER(Sheet1!AE700)</f>
        <v>ADITYA</v>
      </c>
      <c r="AZ701" s="40" t="str">
        <f>LOWER(Sheet1!AE700)</f>
        <v>aditya</v>
      </c>
      <c r="BA701" s="40" t="str">
        <f>PROPER(Sheet1!AE700)</f>
        <v>Aditya</v>
      </c>
      <c r="BB701" s="40" t="str">
        <f>_xlfn.CONCAT(Sheet1!AE700," ",Sheet1!AF700)</f>
        <v>Aditya Gupta</v>
      </c>
    </row>
    <row r="702" spans="40:54">
      <c r="AN702" s="50" t="str">
        <f>Sheet1!B701</f>
        <v>22-02-2024</v>
      </c>
      <c r="AO702" s="50">
        <f t="shared" si="63"/>
        <v>17</v>
      </c>
      <c r="AP702" s="50">
        <f t="shared" si="64"/>
        <v>2</v>
      </c>
      <c r="AQ702" s="50">
        <f t="shared" si="65"/>
        <v>2024</v>
      </c>
      <c r="AR702" s="50" t="str">
        <f t="shared" si="66"/>
        <v>Feb-2024</v>
      </c>
      <c r="AS702" s="52">
        <f t="shared" si="67"/>
        <v>45339</v>
      </c>
      <c r="AT702" s="44">
        <f t="shared" ca="1" si="68"/>
        <v>939</v>
      </c>
      <c r="AU702" s="40" t="str">
        <f>LEFT(Sheet1!AE701,3)</f>
        <v>Vik</v>
      </c>
      <c r="AV702" s="40" t="str">
        <f>RIGHT(Sheet1!AF701,2)</f>
        <v>gh</v>
      </c>
      <c r="AW702" s="40" t="str">
        <f>MID(Sheet1!AE701,2,3)</f>
        <v>ikr</v>
      </c>
      <c r="AX702" s="42">
        <f>LEN(Sheet1!AE701)</f>
        <v>6</v>
      </c>
      <c r="AY702" s="40" t="str">
        <f>UPPER(Sheet1!AE701)</f>
        <v>VIKRAM</v>
      </c>
      <c r="AZ702" s="40" t="str">
        <f>LOWER(Sheet1!AE701)</f>
        <v>vikram</v>
      </c>
      <c r="BA702" s="40" t="str">
        <f>PROPER(Sheet1!AE701)</f>
        <v>Vikram</v>
      </c>
      <c r="BB702" s="40" t="str">
        <f>_xlfn.CONCAT(Sheet1!AE701," ",Sheet1!AF701)</f>
        <v>Vikram Singh</v>
      </c>
    </row>
    <row r="703" spans="40:54">
      <c r="AN703" s="50" t="str">
        <f>Sheet1!B702</f>
        <v>22-03-2024</v>
      </c>
      <c r="AO703" s="50">
        <f t="shared" si="63"/>
        <v>17</v>
      </c>
      <c r="AP703" s="50">
        <f t="shared" si="64"/>
        <v>3</v>
      </c>
      <c r="AQ703" s="50">
        <f t="shared" si="65"/>
        <v>2024</v>
      </c>
      <c r="AR703" s="50" t="str">
        <f t="shared" si="66"/>
        <v>Mar-2024</v>
      </c>
      <c r="AS703" s="52">
        <f t="shared" si="67"/>
        <v>45368</v>
      </c>
      <c r="AT703" s="44">
        <f t="shared" ca="1" si="68"/>
        <v>910</v>
      </c>
      <c r="AU703" s="40" t="str">
        <f>LEFT(Sheet1!AE702,3)</f>
        <v>Kar</v>
      </c>
      <c r="AV703" s="40" t="str">
        <f>RIGHT(Sheet1!AF702,2)</f>
        <v>av</v>
      </c>
      <c r="AW703" s="40" t="str">
        <f>MID(Sheet1!AE702,2,3)</f>
        <v>ara</v>
      </c>
      <c r="AX703" s="42">
        <f>LEN(Sheet1!AE702)</f>
        <v>5</v>
      </c>
      <c r="AY703" s="40" t="str">
        <f>UPPER(Sheet1!AE702)</f>
        <v>KARAN</v>
      </c>
      <c r="AZ703" s="40" t="str">
        <f>LOWER(Sheet1!AE702)</f>
        <v>karan</v>
      </c>
      <c r="BA703" s="40" t="str">
        <f>PROPER(Sheet1!AE702)</f>
        <v>Karan</v>
      </c>
      <c r="BB703" s="40" t="str">
        <f>_xlfn.CONCAT(Sheet1!AE702," ",Sheet1!AF702)</f>
        <v>Karan Yadav</v>
      </c>
    </row>
    <row r="704" spans="40:54">
      <c r="AN704" s="50" t="str">
        <f>Sheet1!B703</f>
        <v>22-04-2025</v>
      </c>
      <c r="AO704" s="50">
        <f t="shared" si="63"/>
        <v>17</v>
      </c>
      <c r="AP704" s="50">
        <f t="shared" si="64"/>
        <v>4</v>
      </c>
      <c r="AQ704" s="50">
        <f t="shared" si="65"/>
        <v>2025</v>
      </c>
      <c r="AR704" s="50" t="str">
        <f t="shared" si="66"/>
        <v>Apr-2025</v>
      </c>
      <c r="AS704" s="52">
        <f t="shared" si="67"/>
        <v>45764</v>
      </c>
      <c r="AT704" s="44">
        <f t="shared" ca="1" si="68"/>
        <v>514</v>
      </c>
      <c r="AU704" s="40" t="str">
        <f>LEFT(Sheet1!AE703,3)</f>
        <v>Rah</v>
      </c>
      <c r="AV704" s="40" t="str">
        <f>RIGHT(Sheet1!AF703,2)</f>
        <v>ta</v>
      </c>
      <c r="AW704" s="40" t="str">
        <f>MID(Sheet1!AE703,2,3)</f>
        <v>ahu</v>
      </c>
      <c r="AX704" s="42">
        <f>LEN(Sheet1!AE703)</f>
        <v>5</v>
      </c>
      <c r="AY704" s="40" t="str">
        <f>UPPER(Sheet1!AE703)</f>
        <v>RAHUL</v>
      </c>
      <c r="AZ704" s="40" t="str">
        <f>LOWER(Sheet1!AE703)</f>
        <v>rahul</v>
      </c>
      <c r="BA704" s="40" t="str">
        <f>PROPER(Sheet1!AE703)</f>
        <v>Rahul</v>
      </c>
      <c r="BB704" s="40" t="str">
        <f>_xlfn.CONCAT(Sheet1!AE703," ",Sheet1!AF703)</f>
        <v>Rahul Mehta</v>
      </c>
    </row>
    <row r="705" spans="40:54">
      <c r="AN705" s="50" t="str">
        <f>Sheet1!B704</f>
        <v>22-05-2024</v>
      </c>
      <c r="AO705" s="50">
        <f t="shared" ref="AO705:AO768" si="69">IFERROR(DAY(AN580),VALUE(LEFT(AN580,2)))</f>
        <v>17</v>
      </c>
      <c r="AP705" s="50">
        <f t="shared" si="64"/>
        <v>5</v>
      </c>
      <c r="AQ705" s="50">
        <f t="shared" si="65"/>
        <v>2024</v>
      </c>
      <c r="AR705" s="50" t="str">
        <f t="shared" si="66"/>
        <v>May-2024</v>
      </c>
      <c r="AS705" s="52">
        <f t="shared" si="67"/>
        <v>45429</v>
      </c>
      <c r="AT705" s="44">
        <f t="shared" ca="1" si="68"/>
        <v>849</v>
      </c>
      <c r="AU705" s="40" t="str">
        <f>LEFT(Sheet1!AE704,3)</f>
        <v>Roh</v>
      </c>
      <c r="AV705" s="40" t="str">
        <f>RIGHT(Sheet1!AF704,2)</f>
        <v>ra</v>
      </c>
      <c r="AW705" s="40" t="str">
        <f>MID(Sheet1!AE704,2,3)</f>
        <v>oha</v>
      </c>
      <c r="AX705" s="42">
        <f>LEN(Sheet1!AE704)</f>
        <v>5</v>
      </c>
      <c r="AY705" s="40" t="str">
        <f>UPPER(Sheet1!AE704)</f>
        <v>ROHAN</v>
      </c>
      <c r="AZ705" s="40" t="str">
        <f>LOWER(Sheet1!AE704)</f>
        <v>rohan</v>
      </c>
      <c r="BA705" s="40" t="str">
        <f>PROPER(Sheet1!AE704)</f>
        <v>Rohan</v>
      </c>
      <c r="BB705" s="40" t="str">
        <f>_xlfn.CONCAT(Sheet1!AE704," ",Sheet1!AF704)</f>
        <v>Rohan Malhotra</v>
      </c>
    </row>
    <row r="706" spans="40:54">
      <c r="AN706" s="50" t="str">
        <f>Sheet1!B705</f>
        <v>22-05-2024</v>
      </c>
      <c r="AO706" s="50">
        <f t="shared" si="69"/>
        <v>17</v>
      </c>
      <c r="AP706" s="50">
        <f t="shared" si="64"/>
        <v>5</v>
      </c>
      <c r="AQ706" s="50">
        <f t="shared" si="65"/>
        <v>2024</v>
      </c>
      <c r="AR706" s="50" t="str">
        <f t="shared" si="66"/>
        <v>May-2024</v>
      </c>
      <c r="AS706" s="52">
        <f t="shared" si="67"/>
        <v>45429</v>
      </c>
      <c r="AT706" s="44">
        <f t="shared" ca="1" si="68"/>
        <v>849</v>
      </c>
      <c r="AU706" s="40" t="str">
        <f>LEFT(Sheet1!AE705,3)</f>
        <v>Vik</v>
      </c>
      <c r="AV706" s="40" t="str">
        <f>RIGHT(Sheet1!AF705,2)</f>
        <v>ta</v>
      </c>
      <c r="AW706" s="40" t="str">
        <f>MID(Sheet1!AE705,2,3)</f>
        <v>ikr</v>
      </c>
      <c r="AX706" s="42">
        <f>LEN(Sheet1!AE705)</f>
        <v>6</v>
      </c>
      <c r="AY706" s="40" t="str">
        <f>UPPER(Sheet1!AE705)</f>
        <v>VIKRAM</v>
      </c>
      <c r="AZ706" s="40" t="str">
        <f>LOWER(Sheet1!AE705)</f>
        <v>vikram</v>
      </c>
      <c r="BA706" s="40" t="str">
        <f>PROPER(Sheet1!AE705)</f>
        <v>Vikram</v>
      </c>
      <c r="BB706" s="40" t="str">
        <f>_xlfn.CONCAT(Sheet1!AE705," ",Sheet1!AF705)</f>
        <v>Vikram Gupta</v>
      </c>
    </row>
    <row r="707" spans="40:54">
      <c r="AN707" s="50" t="str">
        <f>Sheet1!B706</f>
        <v>22-05-2024</v>
      </c>
      <c r="AO707" s="50">
        <f t="shared" si="69"/>
        <v>18</v>
      </c>
      <c r="AP707" s="50">
        <f t="shared" si="64"/>
        <v>5</v>
      </c>
      <c r="AQ707" s="50">
        <f t="shared" si="65"/>
        <v>2024</v>
      </c>
      <c r="AR707" s="50" t="str">
        <f t="shared" si="66"/>
        <v>May-2024</v>
      </c>
      <c r="AS707" s="52">
        <f t="shared" si="67"/>
        <v>45430</v>
      </c>
      <c r="AT707" s="44">
        <f t="shared" ca="1" si="68"/>
        <v>848</v>
      </c>
      <c r="AU707" s="40" t="str">
        <f>LEFT(Sheet1!AE706,3)</f>
        <v>Kav</v>
      </c>
      <c r="AV707" s="40" t="str">
        <f>RIGHT(Sheet1!AF706,2)</f>
        <v>in</v>
      </c>
      <c r="AW707" s="40" t="str">
        <f>MID(Sheet1!AE706,2,3)</f>
        <v>avy</v>
      </c>
      <c r="AX707" s="42">
        <f>LEN(Sheet1!AE706)</f>
        <v>5</v>
      </c>
      <c r="AY707" s="40" t="str">
        <f>UPPER(Sheet1!AE706)</f>
        <v>KAVYA</v>
      </c>
      <c r="AZ707" s="40" t="str">
        <f>LOWER(Sheet1!AE706)</f>
        <v>kavya</v>
      </c>
      <c r="BA707" s="40" t="str">
        <f>PROPER(Sheet1!AE706)</f>
        <v>Kavya</v>
      </c>
      <c r="BB707" s="40" t="str">
        <f>_xlfn.CONCAT(Sheet1!AE706," ",Sheet1!AF706)</f>
        <v>Kavya Jain</v>
      </c>
    </row>
    <row r="708" spans="40:54">
      <c r="AN708" s="50" t="str">
        <f>Sheet1!B707</f>
        <v>22-06-2024</v>
      </c>
      <c r="AO708" s="50">
        <f t="shared" si="69"/>
        <v>18</v>
      </c>
      <c r="AP708" s="50">
        <f t="shared" ref="AP708:AP771" si="70">IFERROR(MONTH(AN708),VALUE(MID(AN708,4,2)))</f>
        <v>6</v>
      </c>
      <c r="AQ708" s="50">
        <f t="shared" ref="AQ708:AQ771" si="71">IFERROR(YEAR(AN708),VALUE(RIGHT(AN708,4)))</f>
        <v>2024</v>
      </c>
      <c r="AR708" s="50" t="str">
        <f t="shared" ref="AR708:AR771" si="72">IF(ISNUMBER(AN708),TEXT(AN708,"mmm-yyyy"),TEXT(DATE(VALUE(RIGHT(AN708,4)),VALUE(MID(AN708,4,2)),VALUE(LEFT(AN708,2))),"mmm-yyyy"))</f>
        <v>Jun-2024</v>
      </c>
      <c r="AS708" s="52">
        <f t="shared" ref="AS708:AS771" si="73">DATE(AQ708,AP708,AO708)</f>
        <v>45461</v>
      </c>
      <c r="AT708" s="44">
        <f t="shared" ref="AT708:AT771" ca="1" si="74">TODAY()-AS708</f>
        <v>817</v>
      </c>
      <c r="AU708" s="40" t="str">
        <f>LEFT(Sheet1!AE707,3)</f>
        <v>Kar</v>
      </c>
      <c r="AV708" s="40" t="str">
        <f>RIGHT(Sheet1!AF707,2)</f>
        <v>ma</v>
      </c>
      <c r="AW708" s="40" t="str">
        <f>MID(Sheet1!AE707,2,3)</f>
        <v>ara</v>
      </c>
      <c r="AX708" s="42">
        <f>LEN(Sheet1!AE707)</f>
        <v>5</v>
      </c>
      <c r="AY708" s="40" t="str">
        <f>UPPER(Sheet1!AE707)</f>
        <v>KARAN</v>
      </c>
      <c r="AZ708" s="40" t="str">
        <f>LOWER(Sheet1!AE707)</f>
        <v>karan</v>
      </c>
      <c r="BA708" s="40" t="str">
        <f>PROPER(Sheet1!AE707)</f>
        <v>Karan</v>
      </c>
      <c r="BB708" s="40" t="str">
        <f>_xlfn.CONCAT(Sheet1!AE707," ",Sheet1!AF707)</f>
        <v>Karan Verma</v>
      </c>
    </row>
    <row r="709" spans="40:54">
      <c r="AN709" s="50" t="str">
        <f>Sheet1!B708</f>
        <v>22-06-2024</v>
      </c>
      <c r="AO709" s="50">
        <f t="shared" si="69"/>
        <v>18</v>
      </c>
      <c r="AP709" s="50">
        <f t="shared" si="70"/>
        <v>6</v>
      </c>
      <c r="AQ709" s="50">
        <f t="shared" si="71"/>
        <v>2024</v>
      </c>
      <c r="AR709" s="50" t="str">
        <f t="shared" si="72"/>
        <v>Jun-2024</v>
      </c>
      <c r="AS709" s="52">
        <f t="shared" si="73"/>
        <v>45461</v>
      </c>
      <c r="AT709" s="44">
        <f t="shared" ca="1" si="74"/>
        <v>817</v>
      </c>
      <c r="AU709" s="40" t="str">
        <f>LEFT(Sheet1!AE708,3)</f>
        <v>Mee</v>
      </c>
      <c r="AV709" s="40" t="str">
        <f>RIGHT(Sheet1!AF708,2)</f>
        <v>na</v>
      </c>
      <c r="AW709" s="40" t="str">
        <f>MID(Sheet1!AE708,2,3)</f>
        <v>eer</v>
      </c>
      <c r="AX709" s="42">
        <f>LEN(Sheet1!AE708)</f>
        <v>5</v>
      </c>
      <c r="AY709" s="40" t="str">
        <f>UPPER(Sheet1!AE708)</f>
        <v>MEERA</v>
      </c>
      <c r="AZ709" s="40" t="str">
        <f>LOWER(Sheet1!AE708)</f>
        <v>meera</v>
      </c>
      <c r="BA709" s="40" t="str">
        <f>PROPER(Sheet1!AE708)</f>
        <v>Meera</v>
      </c>
      <c r="BB709" s="40" t="str">
        <f>_xlfn.CONCAT(Sheet1!AE708," ",Sheet1!AF708)</f>
        <v>Meera Saxena</v>
      </c>
    </row>
    <row r="710" spans="40:54">
      <c r="AN710" s="50" t="str">
        <f>Sheet1!B709</f>
        <v>22-07-2024</v>
      </c>
      <c r="AO710" s="50">
        <f t="shared" si="69"/>
        <v>18</v>
      </c>
      <c r="AP710" s="50">
        <f t="shared" si="70"/>
        <v>7</v>
      </c>
      <c r="AQ710" s="50">
        <f t="shared" si="71"/>
        <v>2024</v>
      </c>
      <c r="AR710" s="50" t="str">
        <f t="shared" si="72"/>
        <v>Jul-2024</v>
      </c>
      <c r="AS710" s="52">
        <f t="shared" si="73"/>
        <v>45491</v>
      </c>
      <c r="AT710" s="44">
        <f t="shared" ca="1" si="74"/>
        <v>787</v>
      </c>
      <c r="AU710" s="40" t="str">
        <f>LEFT(Sheet1!AE709,3)</f>
        <v>Arj</v>
      </c>
      <c r="AV710" s="40" t="str">
        <f>RIGHT(Sheet1!AF709,2)</f>
        <v>gh</v>
      </c>
      <c r="AW710" s="40" t="str">
        <f>MID(Sheet1!AE709,2,3)</f>
        <v>rju</v>
      </c>
      <c r="AX710" s="42">
        <f>LEN(Sheet1!AE709)</f>
        <v>5</v>
      </c>
      <c r="AY710" s="40" t="str">
        <f>UPPER(Sheet1!AE709)</f>
        <v>ARJUN</v>
      </c>
      <c r="AZ710" s="40" t="str">
        <f>LOWER(Sheet1!AE709)</f>
        <v>arjun</v>
      </c>
      <c r="BA710" s="40" t="str">
        <f>PROPER(Sheet1!AE709)</f>
        <v>Arjun</v>
      </c>
      <c r="BB710" s="40" t="str">
        <f>_xlfn.CONCAT(Sheet1!AE709," ",Sheet1!AF709)</f>
        <v>Arjun Singh</v>
      </c>
    </row>
    <row r="711" spans="40:54">
      <c r="AN711" s="50" t="str">
        <f>Sheet1!B710</f>
        <v>22-07-2024</v>
      </c>
      <c r="AO711" s="50">
        <f t="shared" si="69"/>
        <v>18</v>
      </c>
      <c r="AP711" s="50">
        <f t="shared" si="70"/>
        <v>7</v>
      </c>
      <c r="AQ711" s="50">
        <f t="shared" si="71"/>
        <v>2024</v>
      </c>
      <c r="AR711" s="50" t="str">
        <f t="shared" si="72"/>
        <v>Jul-2024</v>
      </c>
      <c r="AS711" s="52">
        <f t="shared" si="73"/>
        <v>45491</v>
      </c>
      <c r="AT711" s="44">
        <f t="shared" ca="1" si="74"/>
        <v>787</v>
      </c>
      <c r="AU711" s="40" t="str">
        <f>LEFT(Sheet1!AE710,3)</f>
        <v>Sim</v>
      </c>
      <c r="AV711" s="40" t="str">
        <f>RIGHT(Sheet1!AF710,2)</f>
        <v>ta</v>
      </c>
      <c r="AW711" s="40" t="str">
        <f>MID(Sheet1!AE710,2,3)</f>
        <v>imr</v>
      </c>
      <c r="AX711" s="42">
        <f>LEN(Sheet1!AE710)</f>
        <v>6</v>
      </c>
      <c r="AY711" s="40" t="str">
        <f>UPPER(Sheet1!AE710)</f>
        <v>SIMRAN</v>
      </c>
      <c r="AZ711" s="40" t="str">
        <f>LOWER(Sheet1!AE710)</f>
        <v>simran</v>
      </c>
      <c r="BA711" s="40" t="str">
        <f>PROPER(Sheet1!AE710)</f>
        <v>Simran</v>
      </c>
      <c r="BB711" s="40" t="str">
        <f>_xlfn.CONCAT(Sheet1!AE710," ",Sheet1!AF710)</f>
        <v>Simran Gupta</v>
      </c>
    </row>
    <row r="712" spans="40:54">
      <c r="AN712" s="50" t="str">
        <f>Sheet1!B711</f>
        <v>22-07-2024</v>
      </c>
      <c r="AO712" s="50">
        <f t="shared" si="69"/>
        <v>18</v>
      </c>
      <c r="AP712" s="50">
        <f t="shared" si="70"/>
        <v>7</v>
      </c>
      <c r="AQ712" s="50">
        <f t="shared" si="71"/>
        <v>2024</v>
      </c>
      <c r="AR712" s="50" t="str">
        <f t="shared" si="72"/>
        <v>Jul-2024</v>
      </c>
      <c r="AS712" s="52">
        <f t="shared" si="73"/>
        <v>45491</v>
      </c>
      <c r="AT712" s="44">
        <f t="shared" ca="1" si="74"/>
        <v>787</v>
      </c>
      <c r="AU712" s="40" t="str">
        <f>LEFT(Sheet1!AE711,3)</f>
        <v>Nis</v>
      </c>
      <c r="AV712" s="40" t="str">
        <f>RIGHT(Sheet1!AF711,2)</f>
        <v>in</v>
      </c>
      <c r="AW712" s="40" t="str">
        <f>MID(Sheet1!AE711,2,3)</f>
        <v>ish</v>
      </c>
      <c r="AX712" s="42">
        <f>LEN(Sheet1!AE711)</f>
        <v>5</v>
      </c>
      <c r="AY712" s="40" t="str">
        <f>UPPER(Sheet1!AE711)</f>
        <v>NISHA</v>
      </c>
      <c r="AZ712" s="40" t="str">
        <f>LOWER(Sheet1!AE711)</f>
        <v>nisha</v>
      </c>
      <c r="BA712" s="40" t="str">
        <f>PROPER(Sheet1!AE711)</f>
        <v>Nisha</v>
      </c>
      <c r="BB712" s="40" t="str">
        <f>_xlfn.CONCAT(Sheet1!AE711," ",Sheet1!AF711)</f>
        <v>Nisha Jain</v>
      </c>
    </row>
    <row r="713" spans="40:54">
      <c r="AN713" s="50" t="str">
        <f>Sheet1!B712</f>
        <v>22-07-2025</v>
      </c>
      <c r="AO713" s="50">
        <f t="shared" si="69"/>
        <v>18</v>
      </c>
      <c r="AP713" s="50">
        <f t="shared" si="70"/>
        <v>7</v>
      </c>
      <c r="AQ713" s="50">
        <f t="shared" si="71"/>
        <v>2025</v>
      </c>
      <c r="AR713" s="50" t="str">
        <f t="shared" si="72"/>
        <v>Jul-2025</v>
      </c>
      <c r="AS713" s="52">
        <f t="shared" si="73"/>
        <v>45856</v>
      </c>
      <c r="AT713" s="44">
        <f t="shared" ca="1" si="74"/>
        <v>422</v>
      </c>
      <c r="AU713" s="40" t="str">
        <f>LEFT(Sheet1!AE712,3)</f>
        <v>Poo</v>
      </c>
      <c r="AV713" s="40" t="str">
        <f>RIGHT(Sheet1!AF712,2)</f>
        <v>na</v>
      </c>
      <c r="AW713" s="40" t="str">
        <f>MID(Sheet1!AE712,2,3)</f>
        <v>ooj</v>
      </c>
      <c r="AX713" s="42">
        <f>LEN(Sheet1!AE712)</f>
        <v>5</v>
      </c>
      <c r="AY713" s="40" t="str">
        <f>UPPER(Sheet1!AE712)</f>
        <v>POOJA</v>
      </c>
      <c r="AZ713" s="40" t="str">
        <f>LOWER(Sheet1!AE712)</f>
        <v>pooja</v>
      </c>
      <c r="BA713" s="40" t="str">
        <f>PROPER(Sheet1!AE712)</f>
        <v>Pooja</v>
      </c>
      <c r="BB713" s="40" t="str">
        <f>_xlfn.CONCAT(Sheet1!AE712," ",Sheet1!AF712)</f>
        <v>Pooja Saxena</v>
      </c>
    </row>
    <row r="714" spans="40:54">
      <c r="AN714" s="50" t="str">
        <f>Sheet1!B713</f>
        <v>22-08-2024</v>
      </c>
      <c r="AO714" s="50">
        <f t="shared" si="69"/>
        <v>18</v>
      </c>
      <c r="AP714" s="50">
        <f t="shared" si="70"/>
        <v>8</v>
      </c>
      <c r="AQ714" s="50">
        <f t="shared" si="71"/>
        <v>2024</v>
      </c>
      <c r="AR714" s="50" t="str">
        <f t="shared" si="72"/>
        <v>Aug-2024</v>
      </c>
      <c r="AS714" s="52">
        <f t="shared" si="73"/>
        <v>45522</v>
      </c>
      <c r="AT714" s="44">
        <f t="shared" ca="1" si="74"/>
        <v>756</v>
      </c>
      <c r="AU714" s="40" t="str">
        <f>LEFT(Sheet1!AE713,3)</f>
        <v>Kav</v>
      </c>
      <c r="AV714" s="40" t="str">
        <f>RIGHT(Sheet1!AF713,2)</f>
        <v>ta</v>
      </c>
      <c r="AW714" s="40" t="str">
        <f>MID(Sheet1!AE713,2,3)</f>
        <v>avy</v>
      </c>
      <c r="AX714" s="42">
        <f>LEN(Sheet1!AE713)</f>
        <v>5</v>
      </c>
      <c r="AY714" s="40" t="str">
        <f>UPPER(Sheet1!AE713)</f>
        <v>KAVYA</v>
      </c>
      <c r="AZ714" s="40" t="str">
        <f>LOWER(Sheet1!AE713)</f>
        <v>kavya</v>
      </c>
      <c r="BA714" s="40" t="str">
        <f>PROPER(Sheet1!AE713)</f>
        <v>Kavya</v>
      </c>
      <c r="BB714" s="40" t="str">
        <f>_xlfn.CONCAT(Sheet1!AE713," ",Sheet1!AF713)</f>
        <v>Kavya Gupta</v>
      </c>
    </row>
    <row r="715" spans="40:54">
      <c r="AN715" s="50" t="str">
        <f>Sheet1!B714</f>
        <v>22-08-2024</v>
      </c>
      <c r="AO715" s="50">
        <f t="shared" si="69"/>
        <v>18</v>
      </c>
      <c r="AP715" s="50">
        <f t="shared" si="70"/>
        <v>8</v>
      </c>
      <c r="AQ715" s="50">
        <f t="shared" si="71"/>
        <v>2024</v>
      </c>
      <c r="AR715" s="50" t="str">
        <f t="shared" si="72"/>
        <v>Aug-2024</v>
      </c>
      <c r="AS715" s="52">
        <f t="shared" si="73"/>
        <v>45522</v>
      </c>
      <c r="AT715" s="44">
        <f t="shared" ca="1" si="74"/>
        <v>756</v>
      </c>
      <c r="AU715" s="40" t="str">
        <f>LEFT(Sheet1!AE714,3)</f>
        <v>Kav</v>
      </c>
      <c r="AV715" s="40" t="str">
        <f>RIGHT(Sheet1!AF714,2)</f>
        <v>al</v>
      </c>
      <c r="AW715" s="40" t="str">
        <f>MID(Sheet1!AE714,2,3)</f>
        <v>avy</v>
      </c>
      <c r="AX715" s="42">
        <f>LEN(Sheet1!AE714)</f>
        <v>5</v>
      </c>
      <c r="AY715" s="40" t="str">
        <f>UPPER(Sheet1!AE714)</f>
        <v>KAVYA</v>
      </c>
      <c r="AZ715" s="40" t="str">
        <f>LOWER(Sheet1!AE714)</f>
        <v>kavya</v>
      </c>
      <c r="BA715" s="40" t="str">
        <f>PROPER(Sheet1!AE714)</f>
        <v>Kavya</v>
      </c>
      <c r="BB715" s="40" t="str">
        <f>_xlfn.CONCAT(Sheet1!AE714," ",Sheet1!AF714)</f>
        <v>Kavya Agarwal</v>
      </c>
    </row>
    <row r="716" spans="40:54">
      <c r="AN716" s="50" t="str">
        <f>Sheet1!B715</f>
        <v>22-08-2024</v>
      </c>
      <c r="AO716" s="50">
        <f t="shared" si="69"/>
        <v>18</v>
      </c>
      <c r="AP716" s="50">
        <f t="shared" si="70"/>
        <v>8</v>
      </c>
      <c r="AQ716" s="50">
        <f t="shared" si="71"/>
        <v>2024</v>
      </c>
      <c r="AR716" s="50" t="str">
        <f t="shared" si="72"/>
        <v>Aug-2024</v>
      </c>
      <c r="AS716" s="52">
        <f t="shared" si="73"/>
        <v>45522</v>
      </c>
      <c r="AT716" s="44">
        <f t="shared" ca="1" si="74"/>
        <v>756</v>
      </c>
      <c r="AU716" s="40" t="str">
        <f>LEFT(Sheet1!AE715,3)</f>
        <v>Ish</v>
      </c>
      <c r="AV716" s="40" t="str">
        <f>RIGHT(Sheet1!AF715,2)</f>
        <v>ta</v>
      </c>
      <c r="AW716" s="40" t="str">
        <f>MID(Sheet1!AE715,2,3)</f>
        <v>shi</v>
      </c>
      <c r="AX716" s="42">
        <f>LEN(Sheet1!AE715)</f>
        <v>6</v>
      </c>
      <c r="AY716" s="40" t="str">
        <f>UPPER(Sheet1!AE715)</f>
        <v>ISHITA</v>
      </c>
      <c r="AZ716" s="40" t="str">
        <f>LOWER(Sheet1!AE715)</f>
        <v>ishita</v>
      </c>
      <c r="BA716" s="40" t="str">
        <f>PROPER(Sheet1!AE715)</f>
        <v>Ishita</v>
      </c>
      <c r="BB716" s="40" t="str">
        <f>_xlfn.CONCAT(Sheet1!AE715," ",Sheet1!AF715)</f>
        <v>Ishita Gupta</v>
      </c>
    </row>
    <row r="717" spans="40:54">
      <c r="AN717" s="50" t="str">
        <f>Sheet1!B716</f>
        <v>22-08-2025</v>
      </c>
      <c r="AO717" s="50">
        <f t="shared" si="69"/>
        <v>18</v>
      </c>
      <c r="AP717" s="50">
        <f t="shared" si="70"/>
        <v>8</v>
      </c>
      <c r="AQ717" s="50">
        <f t="shared" si="71"/>
        <v>2025</v>
      </c>
      <c r="AR717" s="50" t="str">
        <f t="shared" si="72"/>
        <v>Aug-2025</v>
      </c>
      <c r="AS717" s="52">
        <f t="shared" si="73"/>
        <v>45887</v>
      </c>
      <c r="AT717" s="44">
        <f t="shared" ca="1" si="74"/>
        <v>391</v>
      </c>
      <c r="AU717" s="40" t="str">
        <f>LEFT(Sheet1!AE716,3)</f>
        <v>Mee</v>
      </c>
      <c r="AV717" s="40" t="str">
        <f>RIGHT(Sheet1!AF716,2)</f>
        <v>ma</v>
      </c>
      <c r="AW717" s="40" t="str">
        <f>MID(Sheet1!AE716,2,3)</f>
        <v>eer</v>
      </c>
      <c r="AX717" s="42">
        <f>LEN(Sheet1!AE716)</f>
        <v>5</v>
      </c>
      <c r="AY717" s="40" t="str">
        <f>UPPER(Sheet1!AE716)</f>
        <v>MEERA</v>
      </c>
      <c r="AZ717" s="40" t="str">
        <f>LOWER(Sheet1!AE716)</f>
        <v>meera</v>
      </c>
      <c r="BA717" s="40" t="str">
        <f>PROPER(Sheet1!AE716)</f>
        <v>Meera</v>
      </c>
      <c r="BB717" s="40" t="str">
        <f>_xlfn.CONCAT(Sheet1!AE716," ",Sheet1!AF716)</f>
        <v>Meera Sharma</v>
      </c>
    </row>
    <row r="718" spans="40:54">
      <c r="AN718" s="50" t="str">
        <f>Sheet1!B717</f>
        <v>22-09-2024</v>
      </c>
      <c r="AO718" s="50">
        <f t="shared" si="69"/>
        <v>18</v>
      </c>
      <c r="AP718" s="50">
        <f t="shared" si="70"/>
        <v>9</v>
      </c>
      <c r="AQ718" s="50">
        <f t="shared" si="71"/>
        <v>2024</v>
      </c>
      <c r="AR718" s="50" t="str">
        <f t="shared" si="72"/>
        <v>Sep-2024</v>
      </c>
      <c r="AS718" s="52">
        <f t="shared" si="73"/>
        <v>45553</v>
      </c>
      <c r="AT718" s="44">
        <f t="shared" ca="1" si="74"/>
        <v>725</v>
      </c>
      <c r="AU718" s="40" t="str">
        <f>LEFT(Sheet1!AE717,3)</f>
        <v>Roh</v>
      </c>
      <c r="AV718" s="40" t="str">
        <f>RIGHT(Sheet1!AF717,2)</f>
        <v>ta</v>
      </c>
      <c r="AW718" s="40" t="str">
        <f>MID(Sheet1!AE717,2,3)</f>
        <v>oha</v>
      </c>
      <c r="AX718" s="42">
        <f>LEN(Sheet1!AE717)</f>
        <v>5</v>
      </c>
      <c r="AY718" s="40" t="str">
        <f>UPPER(Sheet1!AE717)</f>
        <v>ROHAN</v>
      </c>
      <c r="AZ718" s="40" t="str">
        <f>LOWER(Sheet1!AE717)</f>
        <v>rohan</v>
      </c>
      <c r="BA718" s="40" t="str">
        <f>PROPER(Sheet1!AE717)</f>
        <v>Rohan</v>
      </c>
      <c r="BB718" s="40" t="str">
        <f>_xlfn.CONCAT(Sheet1!AE717," ",Sheet1!AF717)</f>
        <v>Rohan Gupta</v>
      </c>
    </row>
    <row r="719" spans="40:54">
      <c r="AN719" s="50" t="str">
        <f>Sheet1!B718</f>
        <v>22-09-2025</v>
      </c>
      <c r="AO719" s="50">
        <f t="shared" si="69"/>
        <v>18</v>
      </c>
      <c r="AP719" s="50">
        <f t="shared" si="70"/>
        <v>9</v>
      </c>
      <c r="AQ719" s="50">
        <f t="shared" si="71"/>
        <v>2025</v>
      </c>
      <c r="AR719" s="50" t="str">
        <f t="shared" si="72"/>
        <v>Sep-2025</v>
      </c>
      <c r="AS719" s="52">
        <f t="shared" si="73"/>
        <v>45918</v>
      </c>
      <c r="AT719" s="44">
        <f t="shared" ca="1" si="74"/>
        <v>360</v>
      </c>
      <c r="AU719" s="40" t="str">
        <f>LEFT(Sheet1!AE718,3)</f>
        <v>Roh</v>
      </c>
      <c r="AV719" s="40" t="str">
        <f>RIGHT(Sheet1!AF718,2)</f>
        <v>av</v>
      </c>
      <c r="AW719" s="40" t="str">
        <f>MID(Sheet1!AE718,2,3)</f>
        <v>oha</v>
      </c>
      <c r="AX719" s="42">
        <f>LEN(Sheet1!AE718)</f>
        <v>5</v>
      </c>
      <c r="AY719" s="40" t="str">
        <f>UPPER(Sheet1!AE718)</f>
        <v>ROHAN</v>
      </c>
      <c r="AZ719" s="40" t="str">
        <f>LOWER(Sheet1!AE718)</f>
        <v>rohan</v>
      </c>
      <c r="BA719" s="40" t="str">
        <f>PROPER(Sheet1!AE718)</f>
        <v>Rohan</v>
      </c>
      <c r="BB719" s="40" t="str">
        <f>_xlfn.CONCAT(Sheet1!AE718," ",Sheet1!AF718)</f>
        <v>Rohan Yadav</v>
      </c>
    </row>
    <row r="720" spans="40:54">
      <c r="AN720" s="50" t="str">
        <f>Sheet1!B719</f>
        <v>22-09-2025</v>
      </c>
      <c r="AO720" s="50">
        <f t="shared" si="69"/>
        <v>18</v>
      </c>
      <c r="AP720" s="50">
        <f t="shared" si="70"/>
        <v>9</v>
      </c>
      <c r="AQ720" s="50">
        <f t="shared" si="71"/>
        <v>2025</v>
      </c>
      <c r="AR720" s="50" t="str">
        <f t="shared" si="72"/>
        <v>Sep-2025</v>
      </c>
      <c r="AS720" s="52">
        <f t="shared" si="73"/>
        <v>45918</v>
      </c>
      <c r="AT720" s="44">
        <f t="shared" ca="1" si="74"/>
        <v>360</v>
      </c>
      <c r="AU720" s="40" t="str">
        <f>LEFT(Sheet1!AE719,3)</f>
        <v>Roh</v>
      </c>
      <c r="AV720" s="40" t="str">
        <f>RIGHT(Sheet1!AF719,2)</f>
        <v>ma</v>
      </c>
      <c r="AW720" s="40" t="str">
        <f>MID(Sheet1!AE719,2,3)</f>
        <v>oha</v>
      </c>
      <c r="AX720" s="42">
        <f>LEN(Sheet1!AE719)</f>
        <v>5</v>
      </c>
      <c r="AY720" s="40" t="str">
        <f>UPPER(Sheet1!AE719)</f>
        <v>ROHAN</v>
      </c>
      <c r="AZ720" s="40" t="str">
        <f>LOWER(Sheet1!AE719)</f>
        <v>rohan</v>
      </c>
      <c r="BA720" s="40" t="str">
        <f>PROPER(Sheet1!AE719)</f>
        <v>Rohan</v>
      </c>
      <c r="BB720" s="40" t="str">
        <f>_xlfn.CONCAT(Sheet1!AE719," ",Sheet1!AF719)</f>
        <v>Rohan Verma</v>
      </c>
    </row>
    <row r="721" spans="40:54">
      <c r="AN721" s="50" t="str">
        <f>Sheet1!B720</f>
        <v>22-10-2024</v>
      </c>
      <c r="AO721" s="50">
        <f t="shared" si="69"/>
        <v>18</v>
      </c>
      <c r="AP721" s="50">
        <f t="shared" si="70"/>
        <v>10</v>
      </c>
      <c r="AQ721" s="50">
        <f t="shared" si="71"/>
        <v>2024</v>
      </c>
      <c r="AR721" s="50" t="str">
        <f t="shared" si="72"/>
        <v>Oct-2024</v>
      </c>
      <c r="AS721" s="52">
        <f t="shared" si="73"/>
        <v>45583</v>
      </c>
      <c r="AT721" s="44">
        <f t="shared" ca="1" si="74"/>
        <v>695</v>
      </c>
      <c r="AU721" s="40" t="str">
        <f>LEFT(Sheet1!AE720,3)</f>
        <v>Kar</v>
      </c>
      <c r="AV721" s="40" t="str">
        <f>RIGHT(Sheet1!AF720,2)</f>
        <v>ra</v>
      </c>
      <c r="AW721" s="40" t="str">
        <f>MID(Sheet1!AE720,2,3)</f>
        <v>ara</v>
      </c>
      <c r="AX721" s="42">
        <f>LEN(Sheet1!AE720)</f>
        <v>5</v>
      </c>
      <c r="AY721" s="40" t="str">
        <f>UPPER(Sheet1!AE720)</f>
        <v>KARAN</v>
      </c>
      <c r="AZ721" s="40" t="str">
        <f>LOWER(Sheet1!AE720)</f>
        <v>karan</v>
      </c>
      <c r="BA721" s="40" t="str">
        <f>PROPER(Sheet1!AE720)</f>
        <v>Karan</v>
      </c>
      <c r="BB721" s="40" t="str">
        <f>_xlfn.CONCAT(Sheet1!AE720," ",Sheet1!AF720)</f>
        <v>Karan Mishra</v>
      </c>
    </row>
    <row r="722" spans="40:54">
      <c r="AN722" s="50" t="str">
        <f>Sheet1!B721</f>
        <v>22-10-2025</v>
      </c>
      <c r="AO722" s="50">
        <f t="shared" si="69"/>
        <v>18</v>
      </c>
      <c r="AP722" s="50">
        <f t="shared" si="70"/>
        <v>10</v>
      </c>
      <c r="AQ722" s="50">
        <f t="shared" si="71"/>
        <v>2025</v>
      </c>
      <c r="AR722" s="50" t="str">
        <f t="shared" si="72"/>
        <v>Oct-2025</v>
      </c>
      <c r="AS722" s="52">
        <f t="shared" si="73"/>
        <v>45948</v>
      </c>
      <c r="AT722" s="44">
        <f t="shared" ca="1" si="74"/>
        <v>330</v>
      </c>
      <c r="AU722" s="40" t="str">
        <f>LEFT(Sheet1!AE721,3)</f>
        <v>Poo</v>
      </c>
      <c r="AV722" s="40" t="str">
        <f>RIGHT(Sheet1!AF721,2)</f>
        <v>in</v>
      </c>
      <c r="AW722" s="40" t="str">
        <f>MID(Sheet1!AE721,2,3)</f>
        <v>ooj</v>
      </c>
      <c r="AX722" s="42">
        <f>LEN(Sheet1!AE721)</f>
        <v>5</v>
      </c>
      <c r="AY722" s="40" t="str">
        <f>UPPER(Sheet1!AE721)</f>
        <v>POOJA</v>
      </c>
      <c r="AZ722" s="40" t="str">
        <f>LOWER(Sheet1!AE721)</f>
        <v>pooja</v>
      </c>
      <c r="BA722" s="40" t="str">
        <f>PROPER(Sheet1!AE721)</f>
        <v>Pooja</v>
      </c>
      <c r="BB722" s="40" t="str">
        <f>_xlfn.CONCAT(Sheet1!AE721," ",Sheet1!AF721)</f>
        <v>Pooja Jain</v>
      </c>
    </row>
    <row r="723" spans="40:54">
      <c r="AN723" s="50" t="str">
        <f>Sheet1!B722</f>
        <v>22-11-2025</v>
      </c>
      <c r="AO723" s="50">
        <f t="shared" si="69"/>
        <v>18</v>
      </c>
      <c r="AP723" s="50">
        <f t="shared" si="70"/>
        <v>11</v>
      </c>
      <c r="AQ723" s="50">
        <f t="shared" si="71"/>
        <v>2025</v>
      </c>
      <c r="AR723" s="50" t="str">
        <f t="shared" si="72"/>
        <v>Nov-2025</v>
      </c>
      <c r="AS723" s="52">
        <f t="shared" si="73"/>
        <v>45979</v>
      </c>
      <c r="AT723" s="44">
        <f t="shared" ca="1" si="74"/>
        <v>299</v>
      </c>
      <c r="AU723" s="40" t="str">
        <f>LEFT(Sheet1!AE722,3)</f>
        <v>Neh</v>
      </c>
      <c r="AV723" s="40" t="str">
        <f>RIGHT(Sheet1!AF722,2)</f>
        <v>na</v>
      </c>
      <c r="AW723" s="40" t="str">
        <f>MID(Sheet1!AE722,2,3)</f>
        <v>eha</v>
      </c>
      <c r="AX723" s="42">
        <f>LEN(Sheet1!AE722)</f>
        <v>4</v>
      </c>
      <c r="AY723" s="40" t="str">
        <f>UPPER(Sheet1!AE722)</f>
        <v>NEHA</v>
      </c>
      <c r="AZ723" s="40" t="str">
        <f>LOWER(Sheet1!AE722)</f>
        <v>neha</v>
      </c>
      <c r="BA723" s="40" t="str">
        <f>PROPER(Sheet1!AE722)</f>
        <v>Neha</v>
      </c>
      <c r="BB723" s="40" t="str">
        <f>_xlfn.CONCAT(Sheet1!AE722," ",Sheet1!AF722)</f>
        <v>Neha Saxena</v>
      </c>
    </row>
    <row r="724" spans="40:54">
      <c r="AN724" s="50" t="str">
        <f>Sheet1!B723</f>
        <v>22-12-2025</v>
      </c>
      <c r="AO724" s="50">
        <f t="shared" si="69"/>
        <v>18</v>
      </c>
      <c r="AP724" s="50">
        <f t="shared" si="70"/>
        <v>12</v>
      </c>
      <c r="AQ724" s="50">
        <f t="shared" si="71"/>
        <v>2025</v>
      </c>
      <c r="AR724" s="50" t="str">
        <f t="shared" si="72"/>
        <v>Dec-2025</v>
      </c>
      <c r="AS724" s="52">
        <f t="shared" si="73"/>
        <v>46009</v>
      </c>
      <c r="AT724" s="44">
        <f t="shared" ca="1" si="74"/>
        <v>269</v>
      </c>
      <c r="AU724" s="40" t="str">
        <f>LEFT(Sheet1!AE723,3)</f>
        <v>Adi</v>
      </c>
      <c r="AV724" s="40" t="str">
        <f>RIGHT(Sheet1!AF723,2)</f>
        <v>na</v>
      </c>
      <c r="AW724" s="40" t="str">
        <f>MID(Sheet1!AE723,2,3)</f>
        <v>dit</v>
      </c>
      <c r="AX724" s="42">
        <f>LEN(Sheet1!AE723)</f>
        <v>5</v>
      </c>
      <c r="AY724" s="40" t="str">
        <f>UPPER(Sheet1!AE723)</f>
        <v>ADITI</v>
      </c>
      <c r="AZ724" s="40" t="str">
        <f>LOWER(Sheet1!AE723)</f>
        <v>aditi</v>
      </c>
      <c r="BA724" s="40" t="str">
        <f>PROPER(Sheet1!AE723)</f>
        <v>Aditi</v>
      </c>
      <c r="BB724" s="40" t="str">
        <f>_xlfn.CONCAT(Sheet1!AE723," ",Sheet1!AF723)</f>
        <v>Aditi Saxena</v>
      </c>
    </row>
    <row r="725" spans="40:54">
      <c r="AN725" s="50" t="str">
        <f>Sheet1!B724</f>
        <v>22-12-2025</v>
      </c>
      <c r="AO725" s="50">
        <f t="shared" si="69"/>
        <v>18</v>
      </c>
      <c r="AP725" s="50">
        <f t="shared" si="70"/>
        <v>12</v>
      </c>
      <c r="AQ725" s="50">
        <f t="shared" si="71"/>
        <v>2025</v>
      </c>
      <c r="AR725" s="50" t="str">
        <f t="shared" si="72"/>
        <v>Dec-2025</v>
      </c>
      <c r="AS725" s="52">
        <f t="shared" si="73"/>
        <v>46009</v>
      </c>
      <c r="AT725" s="44">
        <f t="shared" ca="1" si="74"/>
        <v>269</v>
      </c>
      <c r="AU725" s="40" t="str">
        <f>LEFT(Sheet1!AE724,3)</f>
        <v>Riy</v>
      </c>
      <c r="AV725" s="40" t="str">
        <f>RIGHT(Sheet1!AF724,2)</f>
        <v>al</v>
      </c>
      <c r="AW725" s="40" t="str">
        <f>MID(Sheet1!AE724,2,3)</f>
        <v>iya</v>
      </c>
      <c r="AX725" s="42">
        <f>LEN(Sheet1!AE724)</f>
        <v>4</v>
      </c>
      <c r="AY725" s="40" t="str">
        <f>UPPER(Sheet1!AE724)</f>
        <v>RIYA</v>
      </c>
      <c r="AZ725" s="40" t="str">
        <f>LOWER(Sheet1!AE724)</f>
        <v>riya</v>
      </c>
      <c r="BA725" s="40" t="str">
        <f>PROPER(Sheet1!AE724)</f>
        <v>Riya</v>
      </c>
      <c r="BB725" s="40" t="str">
        <f>_xlfn.CONCAT(Sheet1!AE724," ",Sheet1!AF724)</f>
        <v>Riya Bansal</v>
      </c>
    </row>
    <row r="726" spans="40:54">
      <c r="AN726" s="50" t="str">
        <f>Sheet1!B725</f>
        <v>22-12-2025</v>
      </c>
      <c r="AO726" s="50">
        <f t="shared" si="69"/>
        <v>18</v>
      </c>
      <c r="AP726" s="50">
        <f t="shared" si="70"/>
        <v>12</v>
      </c>
      <c r="AQ726" s="50">
        <f t="shared" si="71"/>
        <v>2025</v>
      </c>
      <c r="AR726" s="50" t="str">
        <f t="shared" si="72"/>
        <v>Dec-2025</v>
      </c>
      <c r="AS726" s="52">
        <f t="shared" si="73"/>
        <v>46009</v>
      </c>
      <c r="AT726" s="44">
        <f t="shared" ca="1" si="74"/>
        <v>269</v>
      </c>
      <c r="AU726" s="40" t="str">
        <f>LEFT(Sheet1!AE725,3)</f>
        <v>Sim</v>
      </c>
      <c r="AV726" s="40" t="str">
        <f>RIGHT(Sheet1!AF725,2)</f>
        <v>ta</v>
      </c>
      <c r="AW726" s="40" t="str">
        <f>MID(Sheet1!AE725,2,3)</f>
        <v>imr</v>
      </c>
      <c r="AX726" s="42">
        <f>LEN(Sheet1!AE725)</f>
        <v>6</v>
      </c>
      <c r="AY726" s="40" t="str">
        <f>UPPER(Sheet1!AE725)</f>
        <v>SIMRAN</v>
      </c>
      <c r="AZ726" s="40" t="str">
        <f>LOWER(Sheet1!AE725)</f>
        <v>simran</v>
      </c>
      <c r="BA726" s="40" t="str">
        <f>PROPER(Sheet1!AE725)</f>
        <v>Simran</v>
      </c>
      <c r="BB726" s="40" t="str">
        <f>_xlfn.CONCAT(Sheet1!AE725," ",Sheet1!AF725)</f>
        <v>Simran Mehta</v>
      </c>
    </row>
    <row r="727" spans="40:54">
      <c r="AN727" s="50" t="str">
        <f>Sheet1!B726</f>
        <v>23-01-2024</v>
      </c>
      <c r="AO727" s="50">
        <f t="shared" si="69"/>
        <v>18</v>
      </c>
      <c r="AP727" s="50">
        <f t="shared" si="70"/>
        <v>1</v>
      </c>
      <c r="AQ727" s="50">
        <f t="shared" si="71"/>
        <v>2024</v>
      </c>
      <c r="AR727" s="50" t="str">
        <f t="shared" si="72"/>
        <v>Jan-2024</v>
      </c>
      <c r="AS727" s="52">
        <f t="shared" si="73"/>
        <v>45309</v>
      </c>
      <c r="AT727" s="44">
        <f t="shared" ca="1" si="74"/>
        <v>969</v>
      </c>
      <c r="AU727" s="40" t="str">
        <f>LEFT(Sheet1!AE726,3)</f>
        <v>Sim</v>
      </c>
      <c r="AV727" s="40" t="str">
        <f>RIGHT(Sheet1!AF726,2)</f>
        <v>av</v>
      </c>
      <c r="AW727" s="40" t="str">
        <f>MID(Sheet1!AE726,2,3)</f>
        <v>imr</v>
      </c>
      <c r="AX727" s="42">
        <f>LEN(Sheet1!AE726)</f>
        <v>6</v>
      </c>
      <c r="AY727" s="40" t="str">
        <f>UPPER(Sheet1!AE726)</f>
        <v>SIMRAN</v>
      </c>
      <c r="AZ727" s="40" t="str">
        <f>LOWER(Sheet1!AE726)</f>
        <v>simran</v>
      </c>
      <c r="BA727" s="40" t="str">
        <f>PROPER(Sheet1!AE726)</f>
        <v>Simran</v>
      </c>
      <c r="BB727" s="40" t="str">
        <f>_xlfn.CONCAT(Sheet1!AE726," ",Sheet1!AF726)</f>
        <v>Simran Yadav</v>
      </c>
    </row>
    <row r="728" spans="40:54">
      <c r="AN728" s="50" t="str">
        <f>Sheet1!B727</f>
        <v>23-01-2025</v>
      </c>
      <c r="AO728" s="50">
        <f t="shared" si="69"/>
        <v>18</v>
      </c>
      <c r="AP728" s="50">
        <f t="shared" si="70"/>
        <v>1</v>
      </c>
      <c r="AQ728" s="50">
        <f t="shared" si="71"/>
        <v>2025</v>
      </c>
      <c r="AR728" s="50" t="str">
        <f t="shared" si="72"/>
        <v>Jan-2025</v>
      </c>
      <c r="AS728" s="52">
        <f t="shared" si="73"/>
        <v>45675</v>
      </c>
      <c r="AT728" s="44">
        <f t="shared" ca="1" si="74"/>
        <v>603</v>
      </c>
      <c r="AU728" s="40" t="str">
        <f>LEFT(Sheet1!AE727,3)</f>
        <v>Pri</v>
      </c>
      <c r="AV728" s="40" t="str">
        <f>RIGHT(Sheet1!AF727,2)</f>
        <v>ma</v>
      </c>
      <c r="AW728" s="40" t="str">
        <f>MID(Sheet1!AE727,2,3)</f>
        <v>riy</v>
      </c>
      <c r="AX728" s="42">
        <f>LEN(Sheet1!AE727)</f>
        <v>5</v>
      </c>
      <c r="AY728" s="40" t="str">
        <f>UPPER(Sheet1!AE727)</f>
        <v>PRIYA</v>
      </c>
      <c r="AZ728" s="40" t="str">
        <f>LOWER(Sheet1!AE727)</f>
        <v>priya</v>
      </c>
      <c r="BA728" s="40" t="str">
        <f>PROPER(Sheet1!AE727)</f>
        <v>Priya</v>
      </c>
      <c r="BB728" s="40" t="str">
        <f>_xlfn.CONCAT(Sheet1!AE727," ",Sheet1!AF727)</f>
        <v>Priya Sharma</v>
      </c>
    </row>
    <row r="729" spans="40:54">
      <c r="AN729" s="50" t="str">
        <f>Sheet1!B728</f>
        <v>23-01-2025</v>
      </c>
      <c r="AO729" s="50">
        <f t="shared" si="69"/>
        <v>18</v>
      </c>
      <c r="AP729" s="50">
        <f t="shared" si="70"/>
        <v>1</v>
      </c>
      <c r="AQ729" s="50">
        <f t="shared" si="71"/>
        <v>2025</v>
      </c>
      <c r="AR729" s="50" t="str">
        <f t="shared" si="72"/>
        <v>Jan-2025</v>
      </c>
      <c r="AS729" s="52">
        <f t="shared" si="73"/>
        <v>45675</v>
      </c>
      <c r="AT729" s="44">
        <f t="shared" ca="1" si="74"/>
        <v>603</v>
      </c>
      <c r="AU729" s="40" t="str">
        <f>LEFT(Sheet1!AE728,3)</f>
        <v>Adi</v>
      </c>
      <c r="AV729" s="40" t="str">
        <f>RIGHT(Sheet1!AF728,2)</f>
        <v>or</v>
      </c>
      <c r="AW729" s="40" t="str">
        <f>MID(Sheet1!AE728,2,3)</f>
        <v>dit</v>
      </c>
      <c r="AX729" s="42">
        <f>LEN(Sheet1!AE728)</f>
        <v>6</v>
      </c>
      <c r="AY729" s="40" t="str">
        <f>UPPER(Sheet1!AE728)</f>
        <v>ADITYA</v>
      </c>
      <c r="AZ729" s="40" t="str">
        <f>LOWER(Sheet1!AE728)</f>
        <v>aditya</v>
      </c>
      <c r="BA729" s="40" t="str">
        <f>PROPER(Sheet1!AE728)</f>
        <v>Aditya</v>
      </c>
      <c r="BB729" s="40" t="str">
        <f>_xlfn.CONCAT(Sheet1!AE728," ",Sheet1!AF728)</f>
        <v>Aditya Kapoor</v>
      </c>
    </row>
    <row r="730" spans="40:54">
      <c r="AN730" s="50" t="str">
        <f>Sheet1!B729</f>
        <v>23-02-2024</v>
      </c>
      <c r="AO730" s="50">
        <f t="shared" si="69"/>
        <v>18</v>
      </c>
      <c r="AP730" s="50">
        <f t="shared" si="70"/>
        <v>2</v>
      </c>
      <c r="AQ730" s="50">
        <f t="shared" si="71"/>
        <v>2024</v>
      </c>
      <c r="AR730" s="50" t="str">
        <f t="shared" si="72"/>
        <v>Feb-2024</v>
      </c>
      <c r="AS730" s="52">
        <f t="shared" si="73"/>
        <v>45340</v>
      </c>
      <c r="AT730" s="44">
        <f t="shared" ca="1" si="74"/>
        <v>938</v>
      </c>
      <c r="AU730" s="40" t="str">
        <f>LEFT(Sheet1!AE729,3)</f>
        <v>Poo</v>
      </c>
      <c r="AV730" s="40" t="str">
        <f>RIGHT(Sheet1!AF729,2)</f>
        <v>ar</v>
      </c>
      <c r="AW730" s="40" t="str">
        <f>MID(Sheet1!AE729,2,3)</f>
        <v>ooj</v>
      </c>
      <c r="AX730" s="42">
        <f>LEN(Sheet1!AE729)</f>
        <v>5</v>
      </c>
      <c r="AY730" s="40" t="str">
        <f>UPPER(Sheet1!AE729)</f>
        <v>POOJA</v>
      </c>
      <c r="AZ730" s="40" t="str">
        <f>LOWER(Sheet1!AE729)</f>
        <v>pooja</v>
      </c>
      <c r="BA730" s="40" t="str">
        <f>PROPER(Sheet1!AE729)</f>
        <v>Pooja</v>
      </c>
      <c r="BB730" s="40" t="str">
        <f>_xlfn.CONCAT(Sheet1!AE729," ",Sheet1!AF729)</f>
        <v>Pooja Kumar</v>
      </c>
    </row>
    <row r="731" spans="40:54">
      <c r="AN731" s="50" t="str">
        <f>Sheet1!B730</f>
        <v>23-02-2024</v>
      </c>
      <c r="AO731" s="50">
        <f t="shared" si="69"/>
        <v>18</v>
      </c>
      <c r="AP731" s="50">
        <f t="shared" si="70"/>
        <v>2</v>
      </c>
      <c r="AQ731" s="50">
        <f t="shared" si="71"/>
        <v>2024</v>
      </c>
      <c r="AR731" s="50" t="str">
        <f t="shared" si="72"/>
        <v>Feb-2024</v>
      </c>
      <c r="AS731" s="52">
        <f t="shared" si="73"/>
        <v>45340</v>
      </c>
      <c r="AT731" s="44">
        <f t="shared" ca="1" si="74"/>
        <v>938</v>
      </c>
      <c r="AU731" s="40" t="str">
        <f>LEFT(Sheet1!AE730,3)</f>
        <v>Vik</v>
      </c>
      <c r="AV731" s="40" t="str">
        <f>RIGHT(Sheet1!AF730,2)</f>
        <v>ra</v>
      </c>
      <c r="AW731" s="40" t="str">
        <f>MID(Sheet1!AE730,2,3)</f>
        <v>ikr</v>
      </c>
      <c r="AX731" s="42">
        <f>LEN(Sheet1!AE730)</f>
        <v>6</v>
      </c>
      <c r="AY731" s="40" t="str">
        <f>UPPER(Sheet1!AE730)</f>
        <v>VIKRAM</v>
      </c>
      <c r="AZ731" s="40" t="str">
        <f>LOWER(Sheet1!AE730)</f>
        <v>vikram</v>
      </c>
      <c r="BA731" s="40" t="str">
        <f>PROPER(Sheet1!AE730)</f>
        <v>Vikram</v>
      </c>
      <c r="BB731" s="40" t="str">
        <f>_xlfn.CONCAT(Sheet1!AE730," ",Sheet1!AF730)</f>
        <v>Vikram Malhotra</v>
      </c>
    </row>
    <row r="732" spans="40:54">
      <c r="AN732" s="50" t="str">
        <f>Sheet1!B731</f>
        <v>23-02-2025</v>
      </c>
      <c r="AO732" s="50">
        <f t="shared" si="69"/>
        <v>18</v>
      </c>
      <c r="AP732" s="50">
        <f t="shared" si="70"/>
        <v>2</v>
      </c>
      <c r="AQ732" s="50">
        <f t="shared" si="71"/>
        <v>2025</v>
      </c>
      <c r="AR732" s="50" t="str">
        <f t="shared" si="72"/>
        <v>Feb-2025</v>
      </c>
      <c r="AS732" s="52">
        <f t="shared" si="73"/>
        <v>45706</v>
      </c>
      <c r="AT732" s="44">
        <f t="shared" ca="1" si="74"/>
        <v>572</v>
      </c>
      <c r="AU732" s="40" t="str">
        <f>LEFT(Sheet1!AE731,3)</f>
        <v>Neh</v>
      </c>
      <c r="AV732" s="40" t="str">
        <f>RIGHT(Sheet1!AF731,2)</f>
        <v>al</v>
      </c>
      <c r="AW732" s="40" t="str">
        <f>MID(Sheet1!AE731,2,3)</f>
        <v>eha</v>
      </c>
      <c r="AX732" s="42">
        <f>LEN(Sheet1!AE731)</f>
        <v>4</v>
      </c>
      <c r="AY732" s="40" t="str">
        <f>UPPER(Sheet1!AE731)</f>
        <v>NEHA</v>
      </c>
      <c r="AZ732" s="40" t="str">
        <f>LOWER(Sheet1!AE731)</f>
        <v>neha</v>
      </c>
      <c r="BA732" s="40" t="str">
        <f>PROPER(Sheet1!AE731)</f>
        <v>Neha</v>
      </c>
      <c r="BB732" s="40" t="str">
        <f>_xlfn.CONCAT(Sheet1!AE731," ",Sheet1!AF731)</f>
        <v>Neha Bansal</v>
      </c>
    </row>
    <row r="733" spans="40:54">
      <c r="AN733" s="50" t="str">
        <f>Sheet1!B732</f>
        <v>23-02-2025</v>
      </c>
      <c r="AO733" s="50">
        <f t="shared" si="69"/>
        <v>18</v>
      </c>
      <c r="AP733" s="50">
        <f t="shared" si="70"/>
        <v>2</v>
      </c>
      <c r="AQ733" s="50">
        <f t="shared" si="71"/>
        <v>2025</v>
      </c>
      <c r="AR733" s="50" t="str">
        <f t="shared" si="72"/>
        <v>Feb-2025</v>
      </c>
      <c r="AS733" s="52">
        <f t="shared" si="73"/>
        <v>45706</v>
      </c>
      <c r="AT733" s="44">
        <f t="shared" ca="1" si="74"/>
        <v>572</v>
      </c>
      <c r="AU733" s="40" t="str">
        <f>LEFT(Sheet1!AE732,3)</f>
        <v>Vik</v>
      </c>
      <c r="AV733" s="40" t="str">
        <f>RIGHT(Sheet1!AF732,2)</f>
        <v>na</v>
      </c>
      <c r="AW733" s="40" t="str">
        <f>MID(Sheet1!AE732,2,3)</f>
        <v>ikr</v>
      </c>
      <c r="AX733" s="42">
        <f>LEN(Sheet1!AE732)</f>
        <v>6</v>
      </c>
      <c r="AY733" s="40" t="str">
        <f>UPPER(Sheet1!AE732)</f>
        <v>VIKRAM</v>
      </c>
      <c r="AZ733" s="40" t="str">
        <f>LOWER(Sheet1!AE732)</f>
        <v>vikram</v>
      </c>
      <c r="BA733" s="40" t="str">
        <f>PROPER(Sheet1!AE732)</f>
        <v>Vikram</v>
      </c>
      <c r="BB733" s="40" t="str">
        <f>_xlfn.CONCAT(Sheet1!AE732," ",Sheet1!AF732)</f>
        <v>Vikram Saxena</v>
      </c>
    </row>
    <row r="734" spans="40:54">
      <c r="AN734" s="50" t="str">
        <f>Sheet1!B733</f>
        <v>23-03-2024</v>
      </c>
      <c r="AO734" s="50">
        <f t="shared" si="69"/>
        <v>18</v>
      </c>
      <c r="AP734" s="50">
        <f t="shared" si="70"/>
        <v>3</v>
      </c>
      <c r="AQ734" s="50">
        <f t="shared" si="71"/>
        <v>2024</v>
      </c>
      <c r="AR734" s="50" t="str">
        <f t="shared" si="72"/>
        <v>Mar-2024</v>
      </c>
      <c r="AS734" s="52">
        <f t="shared" si="73"/>
        <v>45369</v>
      </c>
      <c r="AT734" s="44">
        <f t="shared" ca="1" si="74"/>
        <v>909</v>
      </c>
      <c r="AU734" s="40" t="str">
        <f>LEFT(Sheet1!AE733,3)</f>
        <v>Nis</v>
      </c>
      <c r="AV734" s="40" t="str">
        <f>RIGHT(Sheet1!AF733,2)</f>
        <v>na</v>
      </c>
      <c r="AW734" s="40" t="str">
        <f>MID(Sheet1!AE733,2,3)</f>
        <v>ish</v>
      </c>
      <c r="AX734" s="42">
        <f>LEN(Sheet1!AE733)</f>
        <v>5</v>
      </c>
      <c r="AY734" s="40" t="str">
        <f>UPPER(Sheet1!AE733)</f>
        <v>NISHA</v>
      </c>
      <c r="AZ734" s="40" t="str">
        <f>LOWER(Sheet1!AE733)</f>
        <v>nisha</v>
      </c>
      <c r="BA734" s="40" t="str">
        <f>PROPER(Sheet1!AE733)</f>
        <v>Nisha</v>
      </c>
      <c r="BB734" s="40" t="str">
        <f>_xlfn.CONCAT(Sheet1!AE733," ",Sheet1!AF733)</f>
        <v>Nisha Saxena</v>
      </c>
    </row>
    <row r="735" spans="40:54">
      <c r="AN735" s="50" t="str">
        <f>Sheet1!B734</f>
        <v>23-03-2024</v>
      </c>
      <c r="AO735" s="50">
        <f t="shared" si="69"/>
        <v>19</v>
      </c>
      <c r="AP735" s="50">
        <f t="shared" si="70"/>
        <v>3</v>
      </c>
      <c r="AQ735" s="50">
        <f t="shared" si="71"/>
        <v>2024</v>
      </c>
      <c r="AR735" s="50" t="str">
        <f t="shared" si="72"/>
        <v>Mar-2024</v>
      </c>
      <c r="AS735" s="52">
        <f t="shared" si="73"/>
        <v>45370</v>
      </c>
      <c r="AT735" s="44">
        <f t="shared" ca="1" si="74"/>
        <v>908</v>
      </c>
      <c r="AU735" s="40" t="str">
        <f>LEFT(Sheet1!AE734,3)</f>
        <v>Arj</v>
      </c>
      <c r="AV735" s="40" t="str">
        <f>RIGHT(Sheet1!AF734,2)</f>
        <v>ta</v>
      </c>
      <c r="AW735" s="40" t="str">
        <f>MID(Sheet1!AE734,2,3)</f>
        <v>rju</v>
      </c>
      <c r="AX735" s="42">
        <f>LEN(Sheet1!AE734)</f>
        <v>5</v>
      </c>
      <c r="AY735" s="40" t="str">
        <f>UPPER(Sheet1!AE734)</f>
        <v>ARJUN</v>
      </c>
      <c r="AZ735" s="40" t="str">
        <f>LOWER(Sheet1!AE734)</f>
        <v>arjun</v>
      </c>
      <c r="BA735" s="40" t="str">
        <f>PROPER(Sheet1!AE734)</f>
        <v>Arjun</v>
      </c>
      <c r="BB735" s="40" t="str">
        <f>_xlfn.CONCAT(Sheet1!AE734," ",Sheet1!AF734)</f>
        <v>Arjun Gupta</v>
      </c>
    </row>
    <row r="736" spans="40:54">
      <c r="AN736" s="50" t="str">
        <f>Sheet1!B735</f>
        <v>23-03-2024</v>
      </c>
      <c r="AO736" s="50">
        <f t="shared" si="69"/>
        <v>19</v>
      </c>
      <c r="AP736" s="50">
        <f t="shared" si="70"/>
        <v>3</v>
      </c>
      <c r="AQ736" s="50">
        <f t="shared" si="71"/>
        <v>2024</v>
      </c>
      <c r="AR736" s="50" t="str">
        <f t="shared" si="72"/>
        <v>Mar-2024</v>
      </c>
      <c r="AS736" s="52">
        <f t="shared" si="73"/>
        <v>45370</v>
      </c>
      <c r="AT736" s="44">
        <f t="shared" ca="1" si="74"/>
        <v>908</v>
      </c>
      <c r="AU736" s="40" t="str">
        <f>LEFT(Sheet1!AE735,3)</f>
        <v>Neh</v>
      </c>
      <c r="AV736" s="40" t="str">
        <f>RIGHT(Sheet1!AF735,2)</f>
        <v>al</v>
      </c>
      <c r="AW736" s="40" t="str">
        <f>MID(Sheet1!AE735,2,3)</f>
        <v>eha</v>
      </c>
      <c r="AX736" s="42">
        <f>LEN(Sheet1!AE735)</f>
        <v>4</v>
      </c>
      <c r="AY736" s="40" t="str">
        <f>UPPER(Sheet1!AE735)</f>
        <v>NEHA</v>
      </c>
      <c r="AZ736" s="40" t="str">
        <f>LOWER(Sheet1!AE735)</f>
        <v>neha</v>
      </c>
      <c r="BA736" s="40" t="str">
        <f>PROPER(Sheet1!AE735)</f>
        <v>Neha</v>
      </c>
      <c r="BB736" s="40" t="str">
        <f>_xlfn.CONCAT(Sheet1!AE735," ",Sheet1!AF735)</f>
        <v>Neha Bansal</v>
      </c>
    </row>
    <row r="737" spans="40:54">
      <c r="AN737" s="50" t="str">
        <f>Sheet1!B736</f>
        <v>23-03-2024</v>
      </c>
      <c r="AO737" s="50">
        <f t="shared" si="69"/>
        <v>19</v>
      </c>
      <c r="AP737" s="50">
        <f t="shared" si="70"/>
        <v>3</v>
      </c>
      <c r="AQ737" s="50">
        <f t="shared" si="71"/>
        <v>2024</v>
      </c>
      <c r="AR737" s="50" t="str">
        <f t="shared" si="72"/>
        <v>Mar-2024</v>
      </c>
      <c r="AS737" s="52">
        <f t="shared" si="73"/>
        <v>45370</v>
      </c>
      <c r="AT737" s="44">
        <f t="shared" ca="1" si="74"/>
        <v>908</v>
      </c>
      <c r="AU737" s="40" t="str">
        <f>LEFT(Sheet1!AE736,3)</f>
        <v>Neh</v>
      </c>
      <c r="AV737" s="40" t="str">
        <f>RIGHT(Sheet1!AF736,2)</f>
        <v>ma</v>
      </c>
      <c r="AW737" s="40" t="str">
        <f>MID(Sheet1!AE736,2,3)</f>
        <v>eha</v>
      </c>
      <c r="AX737" s="42">
        <f>LEN(Sheet1!AE736)</f>
        <v>4</v>
      </c>
      <c r="AY737" s="40" t="str">
        <f>UPPER(Sheet1!AE736)</f>
        <v>NEHA</v>
      </c>
      <c r="AZ737" s="40" t="str">
        <f>LOWER(Sheet1!AE736)</f>
        <v>neha</v>
      </c>
      <c r="BA737" s="40" t="str">
        <f>PROPER(Sheet1!AE736)</f>
        <v>Neha</v>
      </c>
      <c r="BB737" s="40" t="str">
        <f>_xlfn.CONCAT(Sheet1!AE736," ",Sheet1!AF736)</f>
        <v>Neha Sharma</v>
      </c>
    </row>
    <row r="738" spans="40:54">
      <c r="AN738" s="50" t="str">
        <f>Sheet1!B737</f>
        <v>23-03-2025</v>
      </c>
      <c r="AO738" s="50">
        <f t="shared" si="69"/>
        <v>19</v>
      </c>
      <c r="AP738" s="50">
        <f t="shared" si="70"/>
        <v>3</v>
      </c>
      <c r="AQ738" s="50">
        <f t="shared" si="71"/>
        <v>2025</v>
      </c>
      <c r="AR738" s="50" t="str">
        <f t="shared" si="72"/>
        <v>Mar-2025</v>
      </c>
      <c r="AS738" s="52">
        <f t="shared" si="73"/>
        <v>45735</v>
      </c>
      <c r="AT738" s="44">
        <f t="shared" ca="1" si="74"/>
        <v>543</v>
      </c>
      <c r="AU738" s="40" t="str">
        <f>LEFT(Sheet1!AE737,3)</f>
        <v>Adi</v>
      </c>
      <c r="AV738" s="40" t="str">
        <f>RIGHT(Sheet1!AF737,2)</f>
        <v>ra</v>
      </c>
      <c r="AW738" s="40" t="str">
        <f>MID(Sheet1!AE737,2,3)</f>
        <v>dit</v>
      </c>
      <c r="AX738" s="42">
        <f>LEN(Sheet1!AE737)</f>
        <v>5</v>
      </c>
      <c r="AY738" s="40" t="str">
        <f>UPPER(Sheet1!AE737)</f>
        <v>ADITI</v>
      </c>
      <c r="AZ738" s="40" t="str">
        <f>LOWER(Sheet1!AE737)</f>
        <v>aditi</v>
      </c>
      <c r="BA738" s="40" t="str">
        <f>PROPER(Sheet1!AE737)</f>
        <v>Aditi</v>
      </c>
      <c r="BB738" s="40" t="str">
        <f>_xlfn.CONCAT(Sheet1!AE737," ",Sheet1!AF737)</f>
        <v>Aditi Malhotra</v>
      </c>
    </row>
    <row r="739" spans="40:54">
      <c r="AN739" s="50" t="str">
        <f>Sheet1!B738</f>
        <v>23-04-2024</v>
      </c>
      <c r="AO739" s="50">
        <f t="shared" si="69"/>
        <v>19</v>
      </c>
      <c r="AP739" s="50">
        <f t="shared" si="70"/>
        <v>4</v>
      </c>
      <c r="AQ739" s="50">
        <f t="shared" si="71"/>
        <v>2024</v>
      </c>
      <c r="AR739" s="50" t="str">
        <f t="shared" si="72"/>
        <v>Apr-2024</v>
      </c>
      <c r="AS739" s="52">
        <f t="shared" si="73"/>
        <v>45401</v>
      </c>
      <c r="AT739" s="44">
        <f t="shared" ca="1" si="74"/>
        <v>877</v>
      </c>
      <c r="AU739" s="40" t="str">
        <f>LEFT(Sheet1!AE738,3)</f>
        <v>Adi</v>
      </c>
      <c r="AV739" s="40" t="str">
        <f>RIGHT(Sheet1!AF738,2)</f>
        <v>ra</v>
      </c>
      <c r="AW739" s="40" t="str">
        <f>MID(Sheet1!AE738,2,3)</f>
        <v>dit</v>
      </c>
      <c r="AX739" s="42">
        <f>LEN(Sheet1!AE738)</f>
        <v>6</v>
      </c>
      <c r="AY739" s="40" t="str">
        <f>UPPER(Sheet1!AE738)</f>
        <v>ADITYA</v>
      </c>
      <c r="AZ739" s="40" t="str">
        <f>LOWER(Sheet1!AE738)</f>
        <v>aditya</v>
      </c>
      <c r="BA739" s="40" t="str">
        <f>PROPER(Sheet1!AE738)</f>
        <v>Aditya</v>
      </c>
      <c r="BB739" s="40" t="str">
        <f>_xlfn.CONCAT(Sheet1!AE738," ",Sheet1!AF738)</f>
        <v>Aditya Mishra</v>
      </c>
    </row>
    <row r="740" spans="40:54">
      <c r="AN740" s="50" t="str">
        <f>Sheet1!B739</f>
        <v>23-04-2024</v>
      </c>
      <c r="AO740" s="50">
        <f t="shared" si="69"/>
        <v>19</v>
      </c>
      <c r="AP740" s="50">
        <f t="shared" si="70"/>
        <v>4</v>
      </c>
      <c r="AQ740" s="50">
        <f t="shared" si="71"/>
        <v>2024</v>
      </c>
      <c r="AR740" s="50" t="str">
        <f t="shared" si="72"/>
        <v>Apr-2024</v>
      </c>
      <c r="AS740" s="52">
        <f t="shared" si="73"/>
        <v>45401</v>
      </c>
      <c r="AT740" s="44">
        <f t="shared" ca="1" si="74"/>
        <v>877</v>
      </c>
      <c r="AU740" s="40" t="str">
        <f>LEFT(Sheet1!AE739,3)</f>
        <v>Riy</v>
      </c>
      <c r="AV740" s="40" t="str">
        <f>RIGHT(Sheet1!AF739,2)</f>
        <v>ta</v>
      </c>
      <c r="AW740" s="40" t="str">
        <f>MID(Sheet1!AE739,2,3)</f>
        <v>iya</v>
      </c>
      <c r="AX740" s="42">
        <f>LEN(Sheet1!AE739)</f>
        <v>4</v>
      </c>
      <c r="AY740" s="40" t="str">
        <f>UPPER(Sheet1!AE739)</f>
        <v>RIYA</v>
      </c>
      <c r="AZ740" s="40" t="str">
        <f>LOWER(Sheet1!AE739)</f>
        <v>riya</v>
      </c>
      <c r="BA740" s="40" t="str">
        <f>PROPER(Sheet1!AE739)</f>
        <v>Riya</v>
      </c>
      <c r="BB740" s="40" t="str">
        <f>_xlfn.CONCAT(Sheet1!AE739," ",Sheet1!AF739)</f>
        <v>Riya Gupta</v>
      </c>
    </row>
    <row r="741" spans="40:54">
      <c r="AN741" s="50" t="str">
        <f>Sheet1!B740</f>
        <v>23-04-2025</v>
      </c>
      <c r="AO741" s="50">
        <f t="shared" si="69"/>
        <v>19</v>
      </c>
      <c r="AP741" s="50">
        <f t="shared" si="70"/>
        <v>4</v>
      </c>
      <c r="AQ741" s="50">
        <f t="shared" si="71"/>
        <v>2025</v>
      </c>
      <c r="AR741" s="50" t="str">
        <f t="shared" si="72"/>
        <v>Apr-2025</v>
      </c>
      <c r="AS741" s="52">
        <f t="shared" si="73"/>
        <v>45766</v>
      </c>
      <c r="AT741" s="44">
        <f t="shared" ca="1" si="74"/>
        <v>512</v>
      </c>
      <c r="AU741" s="40" t="str">
        <f>LEFT(Sheet1!AE740,3)</f>
        <v>Arj</v>
      </c>
      <c r="AV741" s="40" t="str">
        <f>RIGHT(Sheet1!AF740,2)</f>
        <v>ra</v>
      </c>
      <c r="AW741" s="40" t="str">
        <f>MID(Sheet1!AE740,2,3)</f>
        <v>rju</v>
      </c>
      <c r="AX741" s="42">
        <f>LEN(Sheet1!AE740)</f>
        <v>5</v>
      </c>
      <c r="AY741" s="40" t="str">
        <f>UPPER(Sheet1!AE740)</f>
        <v>ARJUN</v>
      </c>
      <c r="AZ741" s="40" t="str">
        <f>LOWER(Sheet1!AE740)</f>
        <v>arjun</v>
      </c>
      <c r="BA741" s="40" t="str">
        <f>PROPER(Sheet1!AE740)</f>
        <v>Arjun</v>
      </c>
      <c r="BB741" s="40" t="str">
        <f>_xlfn.CONCAT(Sheet1!AE740," ",Sheet1!AF740)</f>
        <v>Arjun Mishra</v>
      </c>
    </row>
    <row r="742" spans="40:54">
      <c r="AN742" s="50" t="str">
        <f>Sheet1!B741</f>
        <v>23-05-2024</v>
      </c>
      <c r="AO742" s="50">
        <f t="shared" si="69"/>
        <v>19</v>
      </c>
      <c r="AP742" s="50">
        <f t="shared" si="70"/>
        <v>5</v>
      </c>
      <c r="AQ742" s="50">
        <f t="shared" si="71"/>
        <v>2024</v>
      </c>
      <c r="AR742" s="50" t="str">
        <f t="shared" si="72"/>
        <v>May-2024</v>
      </c>
      <c r="AS742" s="52">
        <f t="shared" si="73"/>
        <v>45431</v>
      </c>
      <c r="AT742" s="44">
        <f t="shared" ca="1" si="74"/>
        <v>847</v>
      </c>
      <c r="AU742" s="40" t="str">
        <f>LEFT(Sheet1!AE741,3)</f>
        <v>Sne</v>
      </c>
      <c r="AV742" s="40" t="str">
        <f>RIGHT(Sheet1!AF741,2)</f>
        <v>al</v>
      </c>
      <c r="AW742" s="40" t="str">
        <f>MID(Sheet1!AE741,2,3)</f>
        <v>neh</v>
      </c>
      <c r="AX742" s="42">
        <f>LEN(Sheet1!AE741)</f>
        <v>5</v>
      </c>
      <c r="AY742" s="40" t="str">
        <f>UPPER(Sheet1!AE741)</f>
        <v>SNEHA</v>
      </c>
      <c r="AZ742" s="40" t="str">
        <f>LOWER(Sheet1!AE741)</f>
        <v>sneha</v>
      </c>
      <c r="BA742" s="40" t="str">
        <f>PROPER(Sheet1!AE741)</f>
        <v>Sneha</v>
      </c>
      <c r="BB742" s="40" t="str">
        <f>_xlfn.CONCAT(Sheet1!AE741," ",Sheet1!AF741)</f>
        <v>Sneha Bansal</v>
      </c>
    </row>
    <row r="743" spans="40:54">
      <c r="AN743" s="50" t="str">
        <f>Sheet1!B742</f>
        <v>23-06-2024</v>
      </c>
      <c r="AO743" s="50">
        <f t="shared" si="69"/>
        <v>19</v>
      </c>
      <c r="AP743" s="50">
        <f t="shared" si="70"/>
        <v>6</v>
      </c>
      <c r="AQ743" s="50">
        <f t="shared" si="71"/>
        <v>2024</v>
      </c>
      <c r="AR743" s="50" t="str">
        <f t="shared" si="72"/>
        <v>Jun-2024</v>
      </c>
      <c r="AS743" s="52">
        <f t="shared" si="73"/>
        <v>45462</v>
      </c>
      <c r="AT743" s="44">
        <f t="shared" ca="1" si="74"/>
        <v>816</v>
      </c>
      <c r="AU743" s="40" t="str">
        <f>LEFT(Sheet1!AE742,3)</f>
        <v>Arj</v>
      </c>
      <c r="AV743" s="40" t="str">
        <f>RIGHT(Sheet1!AF742,2)</f>
        <v>ra</v>
      </c>
      <c r="AW743" s="40" t="str">
        <f>MID(Sheet1!AE742,2,3)</f>
        <v>rju</v>
      </c>
      <c r="AX743" s="42">
        <f>LEN(Sheet1!AE742)</f>
        <v>5</v>
      </c>
      <c r="AY743" s="40" t="str">
        <f>UPPER(Sheet1!AE742)</f>
        <v>ARJUN</v>
      </c>
      <c r="AZ743" s="40" t="str">
        <f>LOWER(Sheet1!AE742)</f>
        <v>arjun</v>
      </c>
      <c r="BA743" s="40" t="str">
        <f>PROPER(Sheet1!AE742)</f>
        <v>Arjun</v>
      </c>
      <c r="BB743" s="40" t="str">
        <f>_xlfn.CONCAT(Sheet1!AE742," ",Sheet1!AF742)</f>
        <v>Arjun Malhotra</v>
      </c>
    </row>
    <row r="744" spans="40:54">
      <c r="AN744" s="50" t="str">
        <f>Sheet1!B743</f>
        <v>23-06-2025</v>
      </c>
      <c r="AO744" s="50">
        <f t="shared" si="69"/>
        <v>19</v>
      </c>
      <c r="AP744" s="50">
        <f t="shared" si="70"/>
        <v>6</v>
      </c>
      <c r="AQ744" s="50">
        <f t="shared" si="71"/>
        <v>2025</v>
      </c>
      <c r="AR744" s="50" t="str">
        <f t="shared" si="72"/>
        <v>Jun-2025</v>
      </c>
      <c r="AS744" s="52">
        <f t="shared" si="73"/>
        <v>45827</v>
      </c>
      <c r="AT744" s="44">
        <f t="shared" ca="1" si="74"/>
        <v>451</v>
      </c>
      <c r="AU744" s="40" t="str">
        <f>LEFT(Sheet1!AE743,3)</f>
        <v>Adi</v>
      </c>
      <c r="AV744" s="40" t="str">
        <f>RIGHT(Sheet1!AF743,2)</f>
        <v>na</v>
      </c>
      <c r="AW744" s="40" t="str">
        <f>MID(Sheet1!AE743,2,3)</f>
        <v>dit</v>
      </c>
      <c r="AX744" s="42">
        <f>LEN(Sheet1!AE743)</f>
        <v>6</v>
      </c>
      <c r="AY744" s="40" t="str">
        <f>UPPER(Sheet1!AE743)</f>
        <v>ADITYA</v>
      </c>
      <c r="AZ744" s="40" t="str">
        <f>LOWER(Sheet1!AE743)</f>
        <v>aditya</v>
      </c>
      <c r="BA744" s="40" t="str">
        <f>PROPER(Sheet1!AE743)</f>
        <v>Aditya</v>
      </c>
      <c r="BB744" s="40" t="str">
        <f>_xlfn.CONCAT(Sheet1!AE743," ",Sheet1!AF743)</f>
        <v>Aditya Saxena</v>
      </c>
    </row>
    <row r="745" spans="40:54">
      <c r="AN745" s="50" t="str">
        <f>Sheet1!B744</f>
        <v>23-06-2025</v>
      </c>
      <c r="AO745" s="50">
        <f t="shared" si="69"/>
        <v>19</v>
      </c>
      <c r="AP745" s="50">
        <f t="shared" si="70"/>
        <v>6</v>
      </c>
      <c r="AQ745" s="50">
        <f t="shared" si="71"/>
        <v>2025</v>
      </c>
      <c r="AR745" s="50" t="str">
        <f t="shared" si="72"/>
        <v>Jun-2025</v>
      </c>
      <c r="AS745" s="52">
        <f t="shared" si="73"/>
        <v>45827</v>
      </c>
      <c r="AT745" s="44">
        <f t="shared" ca="1" si="74"/>
        <v>451</v>
      </c>
      <c r="AU745" s="40" t="str">
        <f>LEFT(Sheet1!AE744,3)</f>
        <v>Sne</v>
      </c>
      <c r="AV745" s="40" t="str">
        <f>RIGHT(Sheet1!AF744,2)</f>
        <v>ma</v>
      </c>
      <c r="AW745" s="40" t="str">
        <f>MID(Sheet1!AE744,2,3)</f>
        <v>neh</v>
      </c>
      <c r="AX745" s="42">
        <f>LEN(Sheet1!AE744)</f>
        <v>5</v>
      </c>
      <c r="AY745" s="40" t="str">
        <f>UPPER(Sheet1!AE744)</f>
        <v>SNEHA</v>
      </c>
      <c r="AZ745" s="40" t="str">
        <f>LOWER(Sheet1!AE744)</f>
        <v>sneha</v>
      </c>
      <c r="BA745" s="40" t="str">
        <f>PROPER(Sheet1!AE744)</f>
        <v>Sneha</v>
      </c>
      <c r="BB745" s="40" t="str">
        <f>_xlfn.CONCAT(Sheet1!AE744," ",Sheet1!AF744)</f>
        <v>Sneha Sharma</v>
      </c>
    </row>
    <row r="746" spans="40:54">
      <c r="AN746" s="50" t="str">
        <f>Sheet1!B745</f>
        <v>23-07-2024</v>
      </c>
      <c r="AO746" s="50">
        <f t="shared" si="69"/>
        <v>19</v>
      </c>
      <c r="AP746" s="50">
        <f t="shared" si="70"/>
        <v>7</v>
      </c>
      <c r="AQ746" s="50">
        <f t="shared" si="71"/>
        <v>2024</v>
      </c>
      <c r="AR746" s="50" t="str">
        <f t="shared" si="72"/>
        <v>Jul-2024</v>
      </c>
      <c r="AS746" s="52">
        <f t="shared" si="73"/>
        <v>45492</v>
      </c>
      <c r="AT746" s="44">
        <f t="shared" ca="1" si="74"/>
        <v>786</v>
      </c>
      <c r="AU746" s="40" t="str">
        <f>LEFT(Sheet1!AE745,3)</f>
        <v>Kav</v>
      </c>
      <c r="AV746" s="40" t="str">
        <f>RIGHT(Sheet1!AF745,2)</f>
        <v>ra</v>
      </c>
      <c r="AW746" s="40" t="str">
        <f>MID(Sheet1!AE745,2,3)</f>
        <v>avy</v>
      </c>
      <c r="AX746" s="42">
        <f>LEN(Sheet1!AE745)</f>
        <v>5</v>
      </c>
      <c r="AY746" s="40" t="str">
        <f>UPPER(Sheet1!AE745)</f>
        <v>KAVYA</v>
      </c>
      <c r="AZ746" s="40" t="str">
        <f>LOWER(Sheet1!AE745)</f>
        <v>kavya</v>
      </c>
      <c r="BA746" s="40" t="str">
        <f>PROPER(Sheet1!AE745)</f>
        <v>Kavya</v>
      </c>
      <c r="BB746" s="40" t="str">
        <f>_xlfn.CONCAT(Sheet1!AE745," ",Sheet1!AF745)</f>
        <v>Kavya Chopra</v>
      </c>
    </row>
    <row r="747" spans="40:54">
      <c r="AN747" s="50" t="str">
        <f>Sheet1!B746</f>
        <v>23-07-2024</v>
      </c>
      <c r="AO747" s="50">
        <f t="shared" si="69"/>
        <v>19</v>
      </c>
      <c r="AP747" s="50">
        <f t="shared" si="70"/>
        <v>7</v>
      </c>
      <c r="AQ747" s="50">
        <f t="shared" si="71"/>
        <v>2024</v>
      </c>
      <c r="AR747" s="50" t="str">
        <f t="shared" si="72"/>
        <v>Jul-2024</v>
      </c>
      <c r="AS747" s="52">
        <f t="shared" si="73"/>
        <v>45492</v>
      </c>
      <c r="AT747" s="44">
        <f t="shared" ca="1" si="74"/>
        <v>786</v>
      </c>
      <c r="AU747" s="40" t="str">
        <f>LEFT(Sheet1!AE746,3)</f>
        <v>Nis</v>
      </c>
      <c r="AV747" s="40" t="str">
        <f>RIGHT(Sheet1!AF746,2)</f>
        <v>or</v>
      </c>
      <c r="AW747" s="40" t="str">
        <f>MID(Sheet1!AE746,2,3)</f>
        <v>ish</v>
      </c>
      <c r="AX747" s="42">
        <f>LEN(Sheet1!AE746)</f>
        <v>5</v>
      </c>
      <c r="AY747" s="40" t="str">
        <f>UPPER(Sheet1!AE746)</f>
        <v>NISHA</v>
      </c>
      <c r="AZ747" s="40" t="str">
        <f>LOWER(Sheet1!AE746)</f>
        <v>nisha</v>
      </c>
      <c r="BA747" s="40" t="str">
        <f>PROPER(Sheet1!AE746)</f>
        <v>Nisha</v>
      </c>
      <c r="BB747" s="40" t="str">
        <f>_xlfn.CONCAT(Sheet1!AE746," ",Sheet1!AF746)</f>
        <v>Nisha Kapoor</v>
      </c>
    </row>
    <row r="748" spans="40:54">
      <c r="AN748" s="50" t="str">
        <f>Sheet1!B747</f>
        <v>23-07-2025</v>
      </c>
      <c r="AO748" s="50">
        <f t="shared" si="69"/>
        <v>19</v>
      </c>
      <c r="AP748" s="50">
        <f t="shared" si="70"/>
        <v>7</v>
      </c>
      <c r="AQ748" s="50">
        <f t="shared" si="71"/>
        <v>2025</v>
      </c>
      <c r="AR748" s="50" t="str">
        <f t="shared" si="72"/>
        <v>Jul-2025</v>
      </c>
      <c r="AS748" s="52">
        <f t="shared" si="73"/>
        <v>45857</v>
      </c>
      <c r="AT748" s="44">
        <f t="shared" ca="1" si="74"/>
        <v>421</v>
      </c>
      <c r="AU748" s="40" t="str">
        <f>LEFT(Sheet1!AE747,3)</f>
        <v>Mee</v>
      </c>
      <c r="AV748" s="40" t="str">
        <f>RIGHT(Sheet1!AF747,2)</f>
        <v>ra</v>
      </c>
      <c r="AW748" s="40" t="str">
        <f>MID(Sheet1!AE747,2,3)</f>
        <v>eer</v>
      </c>
      <c r="AX748" s="42">
        <f>LEN(Sheet1!AE747)</f>
        <v>5</v>
      </c>
      <c r="AY748" s="40" t="str">
        <f>UPPER(Sheet1!AE747)</f>
        <v>MEERA</v>
      </c>
      <c r="AZ748" s="40" t="str">
        <f>LOWER(Sheet1!AE747)</f>
        <v>meera</v>
      </c>
      <c r="BA748" s="40" t="str">
        <f>PROPER(Sheet1!AE747)</f>
        <v>Meera</v>
      </c>
      <c r="BB748" s="40" t="str">
        <f>_xlfn.CONCAT(Sheet1!AE747," ",Sheet1!AF747)</f>
        <v>Meera Malhotra</v>
      </c>
    </row>
    <row r="749" spans="40:54">
      <c r="AN749" s="50" t="str">
        <f>Sheet1!B748</f>
        <v>23-07-2025</v>
      </c>
      <c r="AO749" s="50">
        <f t="shared" si="69"/>
        <v>19</v>
      </c>
      <c r="AP749" s="50">
        <f t="shared" si="70"/>
        <v>7</v>
      </c>
      <c r="AQ749" s="50">
        <f t="shared" si="71"/>
        <v>2025</v>
      </c>
      <c r="AR749" s="50" t="str">
        <f t="shared" si="72"/>
        <v>Jul-2025</v>
      </c>
      <c r="AS749" s="52">
        <f t="shared" si="73"/>
        <v>45857</v>
      </c>
      <c r="AT749" s="44">
        <f t="shared" ca="1" si="74"/>
        <v>421</v>
      </c>
      <c r="AU749" s="40" t="str">
        <f>LEFT(Sheet1!AE748,3)</f>
        <v>Roh</v>
      </c>
      <c r="AV749" s="40" t="str">
        <f>RIGHT(Sheet1!AF748,2)</f>
        <v>ta</v>
      </c>
      <c r="AW749" s="40" t="str">
        <f>MID(Sheet1!AE748,2,3)</f>
        <v>oha</v>
      </c>
      <c r="AX749" s="42">
        <f>LEN(Sheet1!AE748)</f>
        <v>5</v>
      </c>
      <c r="AY749" s="40" t="str">
        <f>UPPER(Sheet1!AE748)</f>
        <v>ROHAN</v>
      </c>
      <c r="AZ749" s="40" t="str">
        <f>LOWER(Sheet1!AE748)</f>
        <v>rohan</v>
      </c>
      <c r="BA749" s="40" t="str">
        <f>PROPER(Sheet1!AE748)</f>
        <v>Rohan</v>
      </c>
      <c r="BB749" s="40" t="str">
        <f>_xlfn.CONCAT(Sheet1!AE748," ",Sheet1!AF748)</f>
        <v>Rohan Mehta</v>
      </c>
    </row>
    <row r="750" spans="40:54">
      <c r="AN750" s="50" t="str">
        <f>Sheet1!B749</f>
        <v>23-08-2024</v>
      </c>
      <c r="AO750" s="50">
        <f t="shared" si="69"/>
        <v>19</v>
      </c>
      <c r="AP750" s="50">
        <f t="shared" si="70"/>
        <v>8</v>
      </c>
      <c r="AQ750" s="50">
        <f t="shared" si="71"/>
        <v>2024</v>
      </c>
      <c r="AR750" s="50" t="str">
        <f t="shared" si="72"/>
        <v>Aug-2024</v>
      </c>
      <c r="AS750" s="52">
        <f t="shared" si="73"/>
        <v>45523</v>
      </c>
      <c r="AT750" s="44">
        <f t="shared" ca="1" si="74"/>
        <v>755</v>
      </c>
      <c r="AU750" s="40" t="str">
        <f>LEFT(Sheet1!AE749,3)</f>
        <v>Roh</v>
      </c>
      <c r="AV750" s="40" t="str">
        <f>RIGHT(Sheet1!AF749,2)</f>
        <v>ta</v>
      </c>
      <c r="AW750" s="40" t="str">
        <f>MID(Sheet1!AE749,2,3)</f>
        <v>oha</v>
      </c>
      <c r="AX750" s="42">
        <f>LEN(Sheet1!AE749)</f>
        <v>5</v>
      </c>
      <c r="AY750" s="40" t="str">
        <f>UPPER(Sheet1!AE749)</f>
        <v>ROHAN</v>
      </c>
      <c r="AZ750" s="40" t="str">
        <f>LOWER(Sheet1!AE749)</f>
        <v>rohan</v>
      </c>
      <c r="BA750" s="40" t="str">
        <f>PROPER(Sheet1!AE749)</f>
        <v>Rohan</v>
      </c>
      <c r="BB750" s="40" t="str">
        <f>_xlfn.CONCAT(Sheet1!AE749," ",Sheet1!AF749)</f>
        <v>Rohan Gupta</v>
      </c>
    </row>
    <row r="751" spans="40:54">
      <c r="AN751" s="50" t="str">
        <f>Sheet1!B750</f>
        <v>23-08-2024</v>
      </c>
      <c r="AO751" s="50">
        <f t="shared" si="69"/>
        <v>19</v>
      </c>
      <c r="AP751" s="50">
        <f t="shared" si="70"/>
        <v>8</v>
      </c>
      <c r="AQ751" s="50">
        <f t="shared" si="71"/>
        <v>2024</v>
      </c>
      <c r="AR751" s="50" t="str">
        <f t="shared" si="72"/>
        <v>Aug-2024</v>
      </c>
      <c r="AS751" s="52">
        <f t="shared" si="73"/>
        <v>45523</v>
      </c>
      <c r="AT751" s="44">
        <f t="shared" ca="1" si="74"/>
        <v>755</v>
      </c>
      <c r="AU751" s="40" t="str">
        <f>LEFT(Sheet1!AE750,3)</f>
        <v>Rah</v>
      </c>
      <c r="AV751" s="40" t="str">
        <f>RIGHT(Sheet1!AF750,2)</f>
        <v>al</v>
      </c>
      <c r="AW751" s="40" t="str">
        <f>MID(Sheet1!AE750,2,3)</f>
        <v>ahu</v>
      </c>
      <c r="AX751" s="42">
        <f>LEN(Sheet1!AE750)</f>
        <v>5</v>
      </c>
      <c r="AY751" s="40" t="str">
        <f>UPPER(Sheet1!AE750)</f>
        <v>RAHUL</v>
      </c>
      <c r="AZ751" s="40" t="str">
        <f>LOWER(Sheet1!AE750)</f>
        <v>rahul</v>
      </c>
      <c r="BA751" s="40" t="str">
        <f>PROPER(Sheet1!AE750)</f>
        <v>Rahul</v>
      </c>
      <c r="BB751" s="40" t="str">
        <f>_xlfn.CONCAT(Sheet1!AE750," ",Sheet1!AF750)</f>
        <v>Rahul Bansal</v>
      </c>
    </row>
    <row r="752" spans="40:54">
      <c r="AN752" s="50" t="str">
        <f>Sheet1!B751</f>
        <v>23-08-2025</v>
      </c>
      <c r="AO752" s="50">
        <f t="shared" si="69"/>
        <v>19</v>
      </c>
      <c r="AP752" s="50">
        <f t="shared" si="70"/>
        <v>8</v>
      </c>
      <c r="AQ752" s="50">
        <f t="shared" si="71"/>
        <v>2025</v>
      </c>
      <c r="AR752" s="50" t="str">
        <f t="shared" si="72"/>
        <v>Aug-2025</v>
      </c>
      <c r="AS752" s="52">
        <f t="shared" si="73"/>
        <v>45888</v>
      </c>
      <c r="AT752" s="44">
        <f t="shared" ca="1" si="74"/>
        <v>390</v>
      </c>
      <c r="AU752" s="40" t="str">
        <f>LEFT(Sheet1!AE751,3)</f>
        <v>Ish</v>
      </c>
      <c r="AV752" s="40" t="str">
        <f>RIGHT(Sheet1!AF751,2)</f>
        <v>in</v>
      </c>
      <c r="AW752" s="40" t="str">
        <f>MID(Sheet1!AE751,2,3)</f>
        <v>shi</v>
      </c>
      <c r="AX752" s="42">
        <f>LEN(Sheet1!AE751)</f>
        <v>6</v>
      </c>
      <c r="AY752" s="40" t="str">
        <f>UPPER(Sheet1!AE751)</f>
        <v>ISHITA</v>
      </c>
      <c r="AZ752" s="40" t="str">
        <f>LOWER(Sheet1!AE751)</f>
        <v>ishita</v>
      </c>
      <c r="BA752" s="40" t="str">
        <f>PROPER(Sheet1!AE751)</f>
        <v>Ishita</v>
      </c>
      <c r="BB752" s="40" t="str">
        <f>_xlfn.CONCAT(Sheet1!AE751," ",Sheet1!AF751)</f>
        <v>Ishita Jain</v>
      </c>
    </row>
    <row r="753" spans="40:54">
      <c r="AN753" s="50" t="str">
        <f>Sheet1!B752</f>
        <v>23-09-2024</v>
      </c>
      <c r="AO753" s="50">
        <f t="shared" si="69"/>
        <v>19</v>
      </c>
      <c r="AP753" s="50">
        <f t="shared" si="70"/>
        <v>9</v>
      </c>
      <c r="AQ753" s="50">
        <f t="shared" si="71"/>
        <v>2024</v>
      </c>
      <c r="AR753" s="50" t="str">
        <f t="shared" si="72"/>
        <v>Sep-2024</v>
      </c>
      <c r="AS753" s="52">
        <f t="shared" si="73"/>
        <v>45554</v>
      </c>
      <c r="AT753" s="44">
        <f t="shared" ca="1" si="74"/>
        <v>724</v>
      </c>
      <c r="AU753" s="40" t="str">
        <f>LEFT(Sheet1!AE752,3)</f>
        <v>Rah</v>
      </c>
      <c r="AV753" s="40" t="str">
        <f>RIGHT(Sheet1!AF752,2)</f>
        <v>ta</v>
      </c>
      <c r="AW753" s="40" t="str">
        <f>MID(Sheet1!AE752,2,3)</f>
        <v>ahu</v>
      </c>
      <c r="AX753" s="42">
        <f>LEN(Sheet1!AE752)</f>
        <v>5</v>
      </c>
      <c r="AY753" s="40" t="str">
        <f>UPPER(Sheet1!AE752)</f>
        <v>RAHUL</v>
      </c>
      <c r="AZ753" s="40" t="str">
        <f>LOWER(Sheet1!AE752)</f>
        <v>rahul</v>
      </c>
      <c r="BA753" s="40" t="str">
        <f>PROPER(Sheet1!AE752)</f>
        <v>Rahul</v>
      </c>
      <c r="BB753" s="40" t="str">
        <f>_xlfn.CONCAT(Sheet1!AE752," ",Sheet1!AF752)</f>
        <v>Rahul Mehta</v>
      </c>
    </row>
    <row r="754" spans="40:54">
      <c r="AN754" s="50" t="str">
        <f>Sheet1!B753</f>
        <v>23-09-2025</v>
      </c>
      <c r="AO754" s="50">
        <f t="shared" si="69"/>
        <v>19</v>
      </c>
      <c r="AP754" s="50">
        <f t="shared" si="70"/>
        <v>9</v>
      </c>
      <c r="AQ754" s="50">
        <f t="shared" si="71"/>
        <v>2025</v>
      </c>
      <c r="AR754" s="50" t="str">
        <f t="shared" si="72"/>
        <v>Sep-2025</v>
      </c>
      <c r="AS754" s="52">
        <f t="shared" si="73"/>
        <v>45919</v>
      </c>
      <c r="AT754" s="44">
        <f t="shared" ca="1" si="74"/>
        <v>359</v>
      </c>
      <c r="AU754" s="40" t="str">
        <f>LEFT(Sheet1!AE753,3)</f>
        <v>Nis</v>
      </c>
      <c r="AV754" s="40" t="str">
        <f>RIGHT(Sheet1!AF753,2)</f>
        <v>ta</v>
      </c>
      <c r="AW754" s="40" t="str">
        <f>MID(Sheet1!AE753,2,3)</f>
        <v>ish</v>
      </c>
      <c r="AX754" s="42">
        <f>LEN(Sheet1!AE753)</f>
        <v>5</v>
      </c>
      <c r="AY754" s="40" t="str">
        <f>UPPER(Sheet1!AE753)</f>
        <v>NISHA</v>
      </c>
      <c r="AZ754" s="40" t="str">
        <f>LOWER(Sheet1!AE753)</f>
        <v>nisha</v>
      </c>
      <c r="BA754" s="40" t="str">
        <f>PROPER(Sheet1!AE753)</f>
        <v>Nisha</v>
      </c>
      <c r="BB754" s="40" t="str">
        <f>_xlfn.CONCAT(Sheet1!AE753," ",Sheet1!AF753)</f>
        <v>Nisha Mehta</v>
      </c>
    </row>
    <row r="755" spans="40:54">
      <c r="AN755" s="50" t="str">
        <f>Sheet1!B754</f>
        <v>23-10-2024</v>
      </c>
      <c r="AO755" s="50">
        <f t="shared" si="69"/>
        <v>19</v>
      </c>
      <c r="AP755" s="50">
        <f t="shared" si="70"/>
        <v>10</v>
      </c>
      <c r="AQ755" s="50">
        <f t="shared" si="71"/>
        <v>2024</v>
      </c>
      <c r="AR755" s="50" t="str">
        <f t="shared" si="72"/>
        <v>Oct-2024</v>
      </c>
      <c r="AS755" s="52">
        <f t="shared" si="73"/>
        <v>45584</v>
      </c>
      <c r="AT755" s="44">
        <f t="shared" ca="1" si="74"/>
        <v>694</v>
      </c>
      <c r="AU755" s="40" t="str">
        <f>LEFT(Sheet1!AE754,3)</f>
        <v>Pri</v>
      </c>
      <c r="AV755" s="40" t="str">
        <f>RIGHT(Sheet1!AF754,2)</f>
        <v>ra</v>
      </c>
      <c r="AW755" s="40" t="str">
        <f>MID(Sheet1!AE754,2,3)</f>
        <v>riy</v>
      </c>
      <c r="AX755" s="42">
        <f>LEN(Sheet1!AE754)</f>
        <v>5</v>
      </c>
      <c r="AY755" s="40" t="str">
        <f>UPPER(Sheet1!AE754)</f>
        <v>PRIYA</v>
      </c>
      <c r="AZ755" s="40" t="str">
        <f>LOWER(Sheet1!AE754)</f>
        <v>priya</v>
      </c>
      <c r="BA755" s="40" t="str">
        <f>PROPER(Sheet1!AE754)</f>
        <v>Priya</v>
      </c>
      <c r="BB755" s="40" t="str">
        <f>_xlfn.CONCAT(Sheet1!AE754," ",Sheet1!AF754)</f>
        <v>Priya Malhotra</v>
      </c>
    </row>
    <row r="756" spans="40:54">
      <c r="AN756" s="50" t="str">
        <f>Sheet1!B755</f>
        <v>23-10-2024</v>
      </c>
      <c r="AO756" s="50">
        <f t="shared" si="69"/>
        <v>19</v>
      </c>
      <c r="AP756" s="50">
        <f t="shared" si="70"/>
        <v>10</v>
      </c>
      <c r="AQ756" s="50">
        <f t="shared" si="71"/>
        <v>2024</v>
      </c>
      <c r="AR756" s="50" t="str">
        <f t="shared" si="72"/>
        <v>Oct-2024</v>
      </c>
      <c r="AS756" s="52">
        <f t="shared" si="73"/>
        <v>45584</v>
      </c>
      <c r="AT756" s="44">
        <f t="shared" ca="1" si="74"/>
        <v>694</v>
      </c>
      <c r="AU756" s="40" t="str">
        <f>LEFT(Sheet1!AE755,3)</f>
        <v>Ana</v>
      </c>
      <c r="AV756" s="40" t="str">
        <f>RIGHT(Sheet1!AF755,2)</f>
        <v>ta</v>
      </c>
      <c r="AW756" s="40" t="str">
        <f>MID(Sheet1!AE755,2,3)</f>
        <v>nan</v>
      </c>
      <c r="AX756" s="42">
        <f>LEN(Sheet1!AE755)</f>
        <v>6</v>
      </c>
      <c r="AY756" s="40" t="str">
        <f>UPPER(Sheet1!AE755)</f>
        <v>ANANYA</v>
      </c>
      <c r="AZ756" s="40" t="str">
        <f>LOWER(Sheet1!AE755)</f>
        <v>ananya</v>
      </c>
      <c r="BA756" s="40" t="str">
        <f>PROPER(Sheet1!AE755)</f>
        <v>Ananya</v>
      </c>
      <c r="BB756" s="40" t="str">
        <f>_xlfn.CONCAT(Sheet1!AE755," ",Sheet1!AF755)</f>
        <v>Ananya Mehta</v>
      </c>
    </row>
    <row r="757" spans="40:54">
      <c r="AN757" s="50" t="str">
        <f>Sheet1!B756</f>
        <v>23-10-2025</v>
      </c>
      <c r="AO757" s="50">
        <f t="shared" si="69"/>
        <v>19</v>
      </c>
      <c r="AP757" s="50">
        <f t="shared" si="70"/>
        <v>10</v>
      </c>
      <c r="AQ757" s="50">
        <f t="shared" si="71"/>
        <v>2025</v>
      </c>
      <c r="AR757" s="50" t="str">
        <f t="shared" si="72"/>
        <v>Oct-2025</v>
      </c>
      <c r="AS757" s="52">
        <f t="shared" si="73"/>
        <v>45949</v>
      </c>
      <c r="AT757" s="44">
        <f t="shared" ca="1" si="74"/>
        <v>329</v>
      </c>
      <c r="AU757" s="40" t="str">
        <f>LEFT(Sheet1!AE756,3)</f>
        <v>Viv</v>
      </c>
      <c r="AV757" s="40" t="str">
        <f>RIGHT(Sheet1!AF756,2)</f>
        <v>ra</v>
      </c>
      <c r="AW757" s="40" t="str">
        <f>MID(Sheet1!AE756,2,3)</f>
        <v>iva</v>
      </c>
      <c r="AX757" s="42">
        <f>LEN(Sheet1!AE756)</f>
        <v>6</v>
      </c>
      <c r="AY757" s="40" t="str">
        <f>UPPER(Sheet1!AE756)</f>
        <v>VIVAAN</v>
      </c>
      <c r="AZ757" s="40" t="str">
        <f>LOWER(Sheet1!AE756)</f>
        <v>vivaan</v>
      </c>
      <c r="BA757" s="40" t="str">
        <f>PROPER(Sheet1!AE756)</f>
        <v>Vivaan</v>
      </c>
      <c r="BB757" s="40" t="str">
        <f>_xlfn.CONCAT(Sheet1!AE756," ",Sheet1!AF756)</f>
        <v>Vivaan Mishra</v>
      </c>
    </row>
    <row r="758" spans="40:54">
      <c r="AN758" s="50" t="str">
        <f>Sheet1!B757</f>
        <v>23-11-2024</v>
      </c>
      <c r="AO758" s="50">
        <f t="shared" si="69"/>
        <v>19</v>
      </c>
      <c r="AP758" s="50">
        <f t="shared" si="70"/>
        <v>11</v>
      </c>
      <c r="AQ758" s="50">
        <f t="shared" si="71"/>
        <v>2024</v>
      </c>
      <c r="AR758" s="50" t="str">
        <f t="shared" si="72"/>
        <v>Nov-2024</v>
      </c>
      <c r="AS758" s="52">
        <f t="shared" si="73"/>
        <v>45615</v>
      </c>
      <c r="AT758" s="44">
        <f t="shared" ca="1" si="74"/>
        <v>663</v>
      </c>
      <c r="AU758" s="40" t="str">
        <f>LEFT(Sheet1!AE757,3)</f>
        <v>Aar</v>
      </c>
      <c r="AV758" s="40" t="str">
        <f>RIGHT(Sheet1!AF757,2)</f>
        <v>gh</v>
      </c>
      <c r="AW758" s="40" t="str">
        <f>MID(Sheet1!AE757,2,3)</f>
        <v>ara</v>
      </c>
      <c r="AX758" s="42">
        <f>LEN(Sheet1!AE757)</f>
        <v>5</v>
      </c>
      <c r="AY758" s="40" t="str">
        <f>UPPER(Sheet1!AE757)</f>
        <v>AARAV</v>
      </c>
      <c r="AZ758" s="40" t="str">
        <f>LOWER(Sheet1!AE757)</f>
        <v>aarav</v>
      </c>
      <c r="BA758" s="40" t="str">
        <f>PROPER(Sheet1!AE757)</f>
        <v>Aarav</v>
      </c>
      <c r="BB758" s="40" t="str">
        <f>_xlfn.CONCAT(Sheet1!AE757," ",Sheet1!AF757)</f>
        <v>Aarav Singh</v>
      </c>
    </row>
    <row r="759" spans="40:54">
      <c r="AN759" s="50" t="str">
        <f>Sheet1!B758</f>
        <v>23-11-2025</v>
      </c>
      <c r="AO759" s="50">
        <f t="shared" si="69"/>
        <v>19</v>
      </c>
      <c r="AP759" s="50">
        <f t="shared" si="70"/>
        <v>11</v>
      </c>
      <c r="AQ759" s="50">
        <f t="shared" si="71"/>
        <v>2025</v>
      </c>
      <c r="AR759" s="50" t="str">
        <f t="shared" si="72"/>
        <v>Nov-2025</v>
      </c>
      <c r="AS759" s="52">
        <f t="shared" si="73"/>
        <v>45980</v>
      </c>
      <c r="AT759" s="44">
        <f t="shared" ca="1" si="74"/>
        <v>298</v>
      </c>
      <c r="AU759" s="40" t="str">
        <f>LEFT(Sheet1!AE758,3)</f>
        <v>Vik</v>
      </c>
      <c r="AV759" s="40" t="str">
        <f>RIGHT(Sheet1!AF758,2)</f>
        <v>or</v>
      </c>
      <c r="AW759" s="40" t="str">
        <f>MID(Sheet1!AE758,2,3)</f>
        <v>ikr</v>
      </c>
      <c r="AX759" s="42">
        <f>LEN(Sheet1!AE758)</f>
        <v>6</v>
      </c>
      <c r="AY759" s="40" t="str">
        <f>UPPER(Sheet1!AE758)</f>
        <v>VIKRAM</v>
      </c>
      <c r="AZ759" s="40" t="str">
        <f>LOWER(Sheet1!AE758)</f>
        <v>vikram</v>
      </c>
      <c r="BA759" s="40" t="str">
        <f>PROPER(Sheet1!AE758)</f>
        <v>Vikram</v>
      </c>
      <c r="BB759" s="40" t="str">
        <f>_xlfn.CONCAT(Sheet1!AE758," ",Sheet1!AF758)</f>
        <v>Vikram Kapoor</v>
      </c>
    </row>
    <row r="760" spans="40:54">
      <c r="AN760" s="50" t="str">
        <f>Sheet1!B759</f>
        <v>23-12-2024</v>
      </c>
      <c r="AO760" s="50">
        <f t="shared" si="69"/>
        <v>19</v>
      </c>
      <c r="AP760" s="50">
        <f t="shared" si="70"/>
        <v>12</v>
      </c>
      <c r="AQ760" s="50">
        <f t="shared" si="71"/>
        <v>2024</v>
      </c>
      <c r="AR760" s="50" t="str">
        <f t="shared" si="72"/>
        <v>Dec-2024</v>
      </c>
      <c r="AS760" s="52">
        <f t="shared" si="73"/>
        <v>45645</v>
      </c>
      <c r="AT760" s="44">
        <f t="shared" ca="1" si="74"/>
        <v>633</v>
      </c>
      <c r="AU760" s="40" t="str">
        <f>LEFT(Sheet1!AE759,3)</f>
        <v>Sne</v>
      </c>
      <c r="AV760" s="40" t="str">
        <f>RIGHT(Sheet1!AF759,2)</f>
        <v>gh</v>
      </c>
      <c r="AW760" s="40" t="str">
        <f>MID(Sheet1!AE759,2,3)</f>
        <v>neh</v>
      </c>
      <c r="AX760" s="42">
        <f>LEN(Sheet1!AE759)</f>
        <v>5</v>
      </c>
      <c r="AY760" s="40" t="str">
        <f>UPPER(Sheet1!AE759)</f>
        <v>SNEHA</v>
      </c>
      <c r="AZ760" s="40" t="str">
        <f>LOWER(Sheet1!AE759)</f>
        <v>sneha</v>
      </c>
      <c r="BA760" s="40" t="str">
        <f>PROPER(Sheet1!AE759)</f>
        <v>Sneha</v>
      </c>
      <c r="BB760" s="40" t="str">
        <f>_xlfn.CONCAT(Sheet1!AE759," ",Sheet1!AF759)</f>
        <v>Sneha Singh</v>
      </c>
    </row>
    <row r="761" spans="40:54">
      <c r="AN761" s="50" t="str">
        <f>Sheet1!B760</f>
        <v>23-12-2025</v>
      </c>
      <c r="AO761" s="50">
        <f t="shared" si="69"/>
        <v>19</v>
      </c>
      <c r="AP761" s="50">
        <f t="shared" si="70"/>
        <v>12</v>
      </c>
      <c r="AQ761" s="50">
        <f t="shared" si="71"/>
        <v>2025</v>
      </c>
      <c r="AR761" s="50" t="str">
        <f t="shared" si="72"/>
        <v>Dec-2025</v>
      </c>
      <c r="AS761" s="52">
        <f t="shared" si="73"/>
        <v>46010</v>
      </c>
      <c r="AT761" s="44">
        <f t="shared" ca="1" si="74"/>
        <v>268</v>
      </c>
      <c r="AU761" s="40" t="str">
        <f>LEFT(Sheet1!AE760,3)</f>
        <v>Aar</v>
      </c>
      <c r="AV761" s="40" t="str">
        <f>RIGHT(Sheet1!AF760,2)</f>
        <v>ar</v>
      </c>
      <c r="AW761" s="40" t="str">
        <f>MID(Sheet1!AE760,2,3)</f>
        <v>ara</v>
      </c>
      <c r="AX761" s="42">
        <f>LEN(Sheet1!AE760)</f>
        <v>5</v>
      </c>
      <c r="AY761" s="40" t="str">
        <f>UPPER(Sheet1!AE760)</f>
        <v>AARAV</v>
      </c>
      <c r="AZ761" s="40" t="str">
        <f>LOWER(Sheet1!AE760)</f>
        <v>aarav</v>
      </c>
      <c r="BA761" s="40" t="str">
        <f>PROPER(Sheet1!AE760)</f>
        <v>Aarav</v>
      </c>
      <c r="BB761" s="40" t="str">
        <f>_xlfn.CONCAT(Sheet1!AE760," ",Sheet1!AF760)</f>
        <v>Aarav Kumar</v>
      </c>
    </row>
    <row r="762" spans="40:54">
      <c r="AN762" s="50" t="str">
        <f>Sheet1!B761</f>
        <v>24-01-2025</v>
      </c>
      <c r="AO762" s="50">
        <f t="shared" si="69"/>
        <v>19</v>
      </c>
      <c r="AP762" s="50">
        <f t="shared" si="70"/>
        <v>1</v>
      </c>
      <c r="AQ762" s="50">
        <f t="shared" si="71"/>
        <v>2025</v>
      </c>
      <c r="AR762" s="50" t="str">
        <f t="shared" si="72"/>
        <v>Jan-2025</v>
      </c>
      <c r="AS762" s="52">
        <f t="shared" si="73"/>
        <v>45676</v>
      </c>
      <c r="AT762" s="44">
        <f t="shared" ca="1" si="74"/>
        <v>602</v>
      </c>
      <c r="AU762" s="40" t="str">
        <f>LEFT(Sheet1!AE761,3)</f>
        <v>Ana</v>
      </c>
      <c r="AV762" s="40" t="str">
        <f>RIGHT(Sheet1!AF761,2)</f>
        <v>in</v>
      </c>
      <c r="AW762" s="40" t="str">
        <f>MID(Sheet1!AE761,2,3)</f>
        <v>nan</v>
      </c>
      <c r="AX762" s="42">
        <f>LEN(Sheet1!AE761)</f>
        <v>6</v>
      </c>
      <c r="AY762" s="40" t="str">
        <f>UPPER(Sheet1!AE761)</f>
        <v>ANANYA</v>
      </c>
      <c r="AZ762" s="40" t="str">
        <f>LOWER(Sheet1!AE761)</f>
        <v>ananya</v>
      </c>
      <c r="BA762" s="40" t="str">
        <f>PROPER(Sheet1!AE761)</f>
        <v>Ananya</v>
      </c>
      <c r="BB762" s="40" t="str">
        <f>_xlfn.CONCAT(Sheet1!AE761," ",Sheet1!AF761)</f>
        <v>Ananya Jain</v>
      </c>
    </row>
    <row r="763" spans="40:54">
      <c r="AN763" s="50" t="str">
        <f>Sheet1!B762</f>
        <v>24-01-2025</v>
      </c>
      <c r="AO763" s="50">
        <f t="shared" si="69"/>
        <v>19</v>
      </c>
      <c r="AP763" s="50">
        <f t="shared" si="70"/>
        <v>1</v>
      </c>
      <c r="AQ763" s="50">
        <f t="shared" si="71"/>
        <v>2025</v>
      </c>
      <c r="AR763" s="50" t="str">
        <f t="shared" si="72"/>
        <v>Jan-2025</v>
      </c>
      <c r="AS763" s="52">
        <f t="shared" si="73"/>
        <v>45676</v>
      </c>
      <c r="AT763" s="44">
        <f t="shared" ca="1" si="74"/>
        <v>602</v>
      </c>
      <c r="AU763" s="40" t="str">
        <f>LEFT(Sheet1!AE762,3)</f>
        <v>Adi</v>
      </c>
      <c r="AV763" s="40" t="str">
        <f>RIGHT(Sheet1!AF762,2)</f>
        <v>al</v>
      </c>
      <c r="AW763" s="40" t="str">
        <f>MID(Sheet1!AE762,2,3)</f>
        <v>dit</v>
      </c>
      <c r="AX763" s="42">
        <f>LEN(Sheet1!AE762)</f>
        <v>5</v>
      </c>
      <c r="AY763" s="40" t="str">
        <f>UPPER(Sheet1!AE762)</f>
        <v>ADITI</v>
      </c>
      <c r="AZ763" s="40" t="str">
        <f>LOWER(Sheet1!AE762)</f>
        <v>aditi</v>
      </c>
      <c r="BA763" s="40" t="str">
        <f>PROPER(Sheet1!AE762)</f>
        <v>Aditi</v>
      </c>
      <c r="BB763" s="40" t="str">
        <f>_xlfn.CONCAT(Sheet1!AE762," ",Sheet1!AF762)</f>
        <v>Aditi Bansal</v>
      </c>
    </row>
    <row r="764" spans="40:54">
      <c r="AN764" s="50" t="str">
        <f>Sheet1!B763</f>
        <v>24-02-2024</v>
      </c>
      <c r="AO764" s="50">
        <f t="shared" si="69"/>
        <v>19</v>
      </c>
      <c r="AP764" s="50">
        <f t="shared" si="70"/>
        <v>2</v>
      </c>
      <c r="AQ764" s="50">
        <f t="shared" si="71"/>
        <v>2024</v>
      </c>
      <c r="AR764" s="50" t="str">
        <f t="shared" si="72"/>
        <v>Feb-2024</v>
      </c>
      <c r="AS764" s="52">
        <f t="shared" si="73"/>
        <v>45341</v>
      </c>
      <c r="AT764" s="44">
        <f t="shared" ca="1" si="74"/>
        <v>937</v>
      </c>
      <c r="AU764" s="40" t="str">
        <f>LEFT(Sheet1!AE763,3)</f>
        <v>Viv</v>
      </c>
      <c r="AV764" s="40" t="str">
        <f>RIGHT(Sheet1!AF763,2)</f>
        <v>ra</v>
      </c>
      <c r="AW764" s="40" t="str">
        <f>MID(Sheet1!AE763,2,3)</f>
        <v>iva</v>
      </c>
      <c r="AX764" s="42">
        <f>LEN(Sheet1!AE763)</f>
        <v>6</v>
      </c>
      <c r="AY764" s="40" t="str">
        <f>UPPER(Sheet1!AE763)</f>
        <v>VIVAAN</v>
      </c>
      <c r="AZ764" s="40" t="str">
        <f>LOWER(Sheet1!AE763)</f>
        <v>vivaan</v>
      </c>
      <c r="BA764" s="40" t="str">
        <f>PROPER(Sheet1!AE763)</f>
        <v>Vivaan</v>
      </c>
      <c r="BB764" s="40" t="str">
        <f>_xlfn.CONCAT(Sheet1!AE763," ",Sheet1!AF763)</f>
        <v>Vivaan Malhotra</v>
      </c>
    </row>
    <row r="765" spans="40:54">
      <c r="AN765" s="50" t="str">
        <f>Sheet1!B764</f>
        <v>24-02-2024</v>
      </c>
      <c r="AO765" s="50">
        <f t="shared" si="69"/>
        <v>20</v>
      </c>
      <c r="AP765" s="50">
        <f t="shared" si="70"/>
        <v>2</v>
      </c>
      <c r="AQ765" s="50">
        <f t="shared" si="71"/>
        <v>2024</v>
      </c>
      <c r="AR765" s="50" t="str">
        <f t="shared" si="72"/>
        <v>Feb-2024</v>
      </c>
      <c r="AS765" s="52">
        <f t="shared" si="73"/>
        <v>45342</v>
      </c>
      <c r="AT765" s="44">
        <f t="shared" ca="1" si="74"/>
        <v>936</v>
      </c>
      <c r="AU765" s="40" t="str">
        <f>LEFT(Sheet1!AE764,3)</f>
        <v>Sne</v>
      </c>
      <c r="AV765" s="40" t="str">
        <f>RIGHT(Sheet1!AF764,2)</f>
        <v>ma</v>
      </c>
      <c r="AW765" s="40" t="str">
        <f>MID(Sheet1!AE764,2,3)</f>
        <v>neh</v>
      </c>
      <c r="AX765" s="42">
        <f>LEN(Sheet1!AE764)</f>
        <v>5</v>
      </c>
      <c r="AY765" s="40" t="str">
        <f>UPPER(Sheet1!AE764)</f>
        <v>SNEHA</v>
      </c>
      <c r="AZ765" s="40" t="str">
        <f>LOWER(Sheet1!AE764)</f>
        <v>sneha</v>
      </c>
      <c r="BA765" s="40" t="str">
        <f>PROPER(Sheet1!AE764)</f>
        <v>Sneha</v>
      </c>
      <c r="BB765" s="40" t="str">
        <f>_xlfn.CONCAT(Sheet1!AE764," ",Sheet1!AF764)</f>
        <v>Sneha Verma</v>
      </c>
    </row>
    <row r="766" spans="40:54">
      <c r="AN766" s="50" t="str">
        <f>Sheet1!B765</f>
        <v>24-02-2024</v>
      </c>
      <c r="AO766" s="50">
        <f t="shared" si="69"/>
        <v>20</v>
      </c>
      <c r="AP766" s="50">
        <f t="shared" si="70"/>
        <v>2</v>
      </c>
      <c r="AQ766" s="50">
        <f t="shared" si="71"/>
        <v>2024</v>
      </c>
      <c r="AR766" s="50" t="str">
        <f t="shared" si="72"/>
        <v>Feb-2024</v>
      </c>
      <c r="AS766" s="52">
        <f t="shared" si="73"/>
        <v>45342</v>
      </c>
      <c r="AT766" s="44">
        <f t="shared" ca="1" si="74"/>
        <v>936</v>
      </c>
      <c r="AU766" s="40" t="str">
        <f>LEFT(Sheet1!AE765,3)</f>
        <v>Sim</v>
      </c>
      <c r="AV766" s="40" t="str">
        <f>RIGHT(Sheet1!AF765,2)</f>
        <v>ra</v>
      </c>
      <c r="AW766" s="40" t="str">
        <f>MID(Sheet1!AE765,2,3)</f>
        <v>imr</v>
      </c>
      <c r="AX766" s="42">
        <f>LEN(Sheet1!AE765)</f>
        <v>6</v>
      </c>
      <c r="AY766" s="40" t="str">
        <f>UPPER(Sheet1!AE765)</f>
        <v>SIMRAN</v>
      </c>
      <c r="AZ766" s="40" t="str">
        <f>LOWER(Sheet1!AE765)</f>
        <v>simran</v>
      </c>
      <c r="BA766" s="40" t="str">
        <f>PROPER(Sheet1!AE765)</f>
        <v>Simran</v>
      </c>
      <c r="BB766" s="40" t="str">
        <f>_xlfn.CONCAT(Sheet1!AE765," ",Sheet1!AF765)</f>
        <v>Simran Chopra</v>
      </c>
    </row>
    <row r="767" spans="40:54">
      <c r="AN767" s="50" t="str">
        <f>Sheet1!B766</f>
        <v>24-02-2025</v>
      </c>
      <c r="AO767" s="50">
        <f t="shared" si="69"/>
        <v>20</v>
      </c>
      <c r="AP767" s="50">
        <f t="shared" si="70"/>
        <v>2</v>
      </c>
      <c r="AQ767" s="50">
        <f t="shared" si="71"/>
        <v>2025</v>
      </c>
      <c r="AR767" s="50" t="str">
        <f t="shared" si="72"/>
        <v>Feb-2025</v>
      </c>
      <c r="AS767" s="52">
        <f t="shared" si="73"/>
        <v>45708</v>
      </c>
      <c r="AT767" s="44">
        <f t="shared" ca="1" si="74"/>
        <v>570</v>
      </c>
      <c r="AU767" s="40" t="str">
        <f>LEFT(Sheet1!AE766,3)</f>
        <v>Poo</v>
      </c>
      <c r="AV767" s="40" t="str">
        <f>RIGHT(Sheet1!AF766,2)</f>
        <v>ra</v>
      </c>
      <c r="AW767" s="40" t="str">
        <f>MID(Sheet1!AE766,2,3)</f>
        <v>ooj</v>
      </c>
      <c r="AX767" s="42">
        <f>LEN(Sheet1!AE766)</f>
        <v>5</v>
      </c>
      <c r="AY767" s="40" t="str">
        <f>UPPER(Sheet1!AE766)</f>
        <v>POOJA</v>
      </c>
      <c r="AZ767" s="40" t="str">
        <f>LOWER(Sheet1!AE766)</f>
        <v>pooja</v>
      </c>
      <c r="BA767" s="40" t="str">
        <f>PROPER(Sheet1!AE766)</f>
        <v>Pooja</v>
      </c>
      <c r="BB767" s="40" t="str">
        <f>_xlfn.CONCAT(Sheet1!AE766," ",Sheet1!AF766)</f>
        <v>Pooja Mishra</v>
      </c>
    </row>
    <row r="768" spans="40:54">
      <c r="AN768" s="50" t="str">
        <f>Sheet1!B767</f>
        <v>24-03-2025</v>
      </c>
      <c r="AO768" s="50">
        <f t="shared" si="69"/>
        <v>20</v>
      </c>
      <c r="AP768" s="50">
        <f t="shared" si="70"/>
        <v>3</v>
      </c>
      <c r="AQ768" s="50">
        <f t="shared" si="71"/>
        <v>2025</v>
      </c>
      <c r="AR768" s="50" t="str">
        <f t="shared" si="72"/>
        <v>Mar-2025</v>
      </c>
      <c r="AS768" s="52">
        <f t="shared" si="73"/>
        <v>45736</v>
      </c>
      <c r="AT768" s="44">
        <f t="shared" ca="1" si="74"/>
        <v>542</v>
      </c>
      <c r="AU768" s="40" t="str">
        <f>LEFT(Sheet1!AE767,3)</f>
        <v>Sim</v>
      </c>
      <c r="AV768" s="40" t="str">
        <f>RIGHT(Sheet1!AF767,2)</f>
        <v>al</v>
      </c>
      <c r="AW768" s="40" t="str">
        <f>MID(Sheet1!AE767,2,3)</f>
        <v>imr</v>
      </c>
      <c r="AX768" s="42">
        <f>LEN(Sheet1!AE767)</f>
        <v>6</v>
      </c>
      <c r="AY768" s="40" t="str">
        <f>UPPER(Sheet1!AE767)</f>
        <v>SIMRAN</v>
      </c>
      <c r="AZ768" s="40" t="str">
        <f>LOWER(Sheet1!AE767)</f>
        <v>simran</v>
      </c>
      <c r="BA768" s="40" t="str">
        <f>PROPER(Sheet1!AE767)</f>
        <v>Simran</v>
      </c>
      <c r="BB768" s="40" t="str">
        <f>_xlfn.CONCAT(Sheet1!AE767," ",Sheet1!AF767)</f>
        <v>Simran Agarwal</v>
      </c>
    </row>
    <row r="769" spans="40:54">
      <c r="AN769" s="50" t="str">
        <f>Sheet1!B768</f>
        <v>24-03-2025</v>
      </c>
      <c r="AO769" s="50">
        <f t="shared" ref="AO769:AO832" si="75">IFERROR(DAY(AN644),VALUE(LEFT(AN644,2)))</f>
        <v>20</v>
      </c>
      <c r="AP769" s="50">
        <f t="shared" si="70"/>
        <v>3</v>
      </c>
      <c r="AQ769" s="50">
        <f t="shared" si="71"/>
        <v>2025</v>
      </c>
      <c r="AR769" s="50" t="str">
        <f t="shared" si="72"/>
        <v>Mar-2025</v>
      </c>
      <c r="AS769" s="52">
        <f t="shared" si="73"/>
        <v>45736</v>
      </c>
      <c r="AT769" s="44">
        <f t="shared" ca="1" si="74"/>
        <v>542</v>
      </c>
      <c r="AU769" s="40" t="str">
        <f>LEFT(Sheet1!AE768,3)</f>
        <v>Ish</v>
      </c>
      <c r="AV769" s="40" t="str">
        <f>RIGHT(Sheet1!AF768,2)</f>
        <v>ra</v>
      </c>
      <c r="AW769" s="40" t="str">
        <f>MID(Sheet1!AE768,2,3)</f>
        <v>shi</v>
      </c>
      <c r="AX769" s="42">
        <f>LEN(Sheet1!AE768)</f>
        <v>6</v>
      </c>
      <c r="AY769" s="40" t="str">
        <f>UPPER(Sheet1!AE768)</f>
        <v>ISHITA</v>
      </c>
      <c r="AZ769" s="40" t="str">
        <f>LOWER(Sheet1!AE768)</f>
        <v>ishita</v>
      </c>
      <c r="BA769" s="40" t="str">
        <f>PROPER(Sheet1!AE768)</f>
        <v>Ishita</v>
      </c>
      <c r="BB769" s="40" t="str">
        <f>_xlfn.CONCAT(Sheet1!AE768," ",Sheet1!AF768)</f>
        <v>Ishita Chopra</v>
      </c>
    </row>
    <row r="770" spans="40:54">
      <c r="AN770" s="50" t="str">
        <f>Sheet1!B769</f>
        <v>24-04-2024</v>
      </c>
      <c r="AO770" s="50">
        <f t="shared" si="75"/>
        <v>20</v>
      </c>
      <c r="AP770" s="50">
        <f t="shared" si="70"/>
        <v>4</v>
      </c>
      <c r="AQ770" s="50">
        <f t="shared" si="71"/>
        <v>2024</v>
      </c>
      <c r="AR770" s="50" t="str">
        <f t="shared" si="72"/>
        <v>Apr-2024</v>
      </c>
      <c r="AS770" s="52">
        <f t="shared" si="73"/>
        <v>45402</v>
      </c>
      <c r="AT770" s="44">
        <f t="shared" ca="1" si="74"/>
        <v>876</v>
      </c>
      <c r="AU770" s="40" t="str">
        <f>LEFT(Sheet1!AE769,3)</f>
        <v>Nis</v>
      </c>
      <c r="AV770" s="40" t="str">
        <f>RIGHT(Sheet1!AF769,2)</f>
        <v>al</v>
      </c>
      <c r="AW770" s="40" t="str">
        <f>MID(Sheet1!AE769,2,3)</f>
        <v>ish</v>
      </c>
      <c r="AX770" s="42">
        <f>LEN(Sheet1!AE769)</f>
        <v>5</v>
      </c>
      <c r="AY770" s="40" t="str">
        <f>UPPER(Sheet1!AE769)</f>
        <v>NISHA</v>
      </c>
      <c r="AZ770" s="40" t="str">
        <f>LOWER(Sheet1!AE769)</f>
        <v>nisha</v>
      </c>
      <c r="BA770" s="40" t="str">
        <f>PROPER(Sheet1!AE769)</f>
        <v>Nisha</v>
      </c>
      <c r="BB770" s="40" t="str">
        <f>_xlfn.CONCAT(Sheet1!AE769," ",Sheet1!AF769)</f>
        <v>Nisha Agarwal</v>
      </c>
    </row>
    <row r="771" spans="40:54">
      <c r="AN771" s="50" t="str">
        <f>Sheet1!B770</f>
        <v>24-04-2024</v>
      </c>
      <c r="AO771" s="50">
        <f t="shared" si="75"/>
        <v>20</v>
      </c>
      <c r="AP771" s="50">
        <f t="shared" si="70"/>
        <v>4</v>
      </c>
      <c r="AQ771" s="50">
        <f t="shared" si="71"/>
        <v>2024</v>
      </c>
      <c r="AR771" s="50" t="str">
        <f t="shared" si="72"/>
        <v>Apr-2024</v>
      </c>
      <c r="AS771" s="52">
        <f t="shared" si="73"/>
        <v>45402</v>
      </c>
      <c r="AT771" s="44">
        <f t="shared" ca="1" si="74"/>
        <v>876</v>
      </c>
      <c r="AU771" s="40" t="str">
        <f>LEFT(Sheet1!AE770,3)</f>
        <v>Neh</v>
      </c>
      <c r="AV771" s="40" t="str">
        <f>RIGHT(Sheet1!AF770,2)</f>
        <v>in</v>
      </c>
      <c r="AW771" s="40" t="str">
        <f>MID(Sheet1!AE770,2,3)</f>
        <v>eha</v>
      </c>
      <c r="AX771" s="42">
        <f>LEN(Sheet1!AE770)</f>
        <v>4</v>
      </c>
      <c r="AY771" s="40" t="str">
        <f>UPPER(Sheet1!AE770)</f>
        <v>NEHA</v>
      </c>
      <c r="AZ771" s="40" t="str">
        <f>LOWER(Sheet1!AE770)</f>
        <v>neha</v>
      </c>
      <c r="BA771" s="40" t="str">
        <f>PROPER(Sheet1!AE770)</f>
        <v>Neha</v>
      </c>
      <c r="BB771" s="40" t="str">
        <f>_xlfn.CONCAT(Sheet1!AE770," ",Sheet1!AF770)</f>
        <v>Neha Jain</v>
      </c>
    </row>
    <row r="772" spans="40:54">
      <c r="AN772" s="50" t="str">
        <f>Sheet1!B771</f>
        <v>24-04-2025</v>
      </c>
      <c r="AO772" s="50">
        <f t="shared" si="75"/>
        <v>20</v>
      </c>
      <c r="AP772" s="50">
        <f t="shared" ref="AP772:AP835" si="76">IFERROR(MONTH(AN772),VALUE(MID(AN772,4,2)))</f>
        <v>4</v>
      </c>
      <c r="AQ772" s="50">
        <f t="shared" ref="AQ772:AQ835" si="77">IFERROR(YEAR(AN772),VALUE(RIGHT(AN772,4)))</f>
        <v>2025</v>
      </c>
      <c r="AR772" s="50" t="str">
        <f t="shared" ref="AR772:AR835" si="78">IF(ISNUMBER(AN772),TEXT(AN772,"mmm-yyyy"),TEXT(DATE(VALUE(RIGHT(AN772,4)),VALUE(MID(AN772,4,2)),VALUE(LEFT(AN772,2))),"mmm-yyyy"))</f>
        <v>Apr-2025</v>
      </c>
      <c r="AS772" s="52">
        <f t="shared" ref="AS772:AS835" si="79">DATE(AQ772,AP772,AO772)</f>
        <v>45767</v>
      </c>
      <c r="AT772" s="44">
        <f t="shared" ref="AT772:AT835" ca="1" si="80">TODAY()-AS772</f>
        <v>511</v>
      </c>
      <c r="AU772" s="40" t="str">
        <f>LEFT(Sheet1!AE771,3)</f>
        <v>Ana</v>
      </c>
      <c r="AV772" s="40" t="str">
        <f>RIGHT(Sheet1!AF771,2)</f>
        <v>ar</v>
      </c>
      <c r="AW772" s="40" t="str">
        <f>MID(Sheet1!AE771,2,3)</f>
        <v>nan</v>
      </c>
      <c r="AX772" s="42">
        <f>LEN(Sheet1!AE771)</f>
        <v>6</v>
      </c>
      <c r="AY772" s="40" t="str">
        <f>UPPER(Sheet1!AE771)</f>
        <v>ANANYA</v>
      </c>
      <c r="AZ772" s="40" t="str">
        <f>LOWER(Sheet1!AE771)</f>
        <v>ananya</v>
      </c>
      <c r="BA772" s="40" t="str">
        <f>PROPER(Sheet1!AE771)</f>
        <v>Ananya</v>
      </c>
      <c r="BB772" s="40" t="str">
        <f>_xlfn.CONCAT(Sheet1!AE771," ",Sheet1!AF771)</f>
        <v>Ananya Kumar</v>
      </c>
    </row>
    <row r="773" spans="40:54">
      <c r="AN773" s="50" t="str">
        <f>Sheet1!B772</f>
        <v>24-05-2024</v>
      </c>
      <c r="AO773" s="50">
        <f t="shared" si="75"/>
        <v>20</v>
      </c>
      <c r="AP773" s="50">
        <f t="shared" si="76"/>
        <v>5</v>
      </c>
      <c r="AQ773" s="50">
        <f t="shared" si="77"/>
        <v>2024</v>
      </c>
      <c r="AR773" s="50" t="str">
        <f t="shared" si="78"/>
        <v>May-2024</v>
      </c>
      <c r="AS773" s="52">
        <f t="shared" si="79"/>
        <v>45432</v>
      </c>
      <c r="AT773" s="44">
        <f t="shared" ca="1" si="80"/>
        <v>846</v>
      </c>
      <c r="AU773" s="40" t="str">
        <f>LEFT(Sheet1!AE772,3)</f>
        <v>Sne</v>
      </c>
      <c r="AV773" s="40" t="str">
        <f>RIGHT(Sheet1!AF772,2)</f>
        <v>or</v>
      </c>
      <c r="AW773" s="40" t="str">
        <f>MID(Sheet1!AE772,2,3)</f>
        <v>neh</v>
      </c>
      <c r="AX773" s="42">
        <f>LEN(Sheet1!AE772)</f>
        <v>5</v>
      </c>
      <c r="AY773" s="40" t="str">
        <f>UPPER(Sheet1!AE772)</f>
        <v>SNEHA</v>
      </c>
      <c r="AZ773" s="40" t="str">
        <f>LOWER(Sheet1!AE772)</f>
        <v>sneha</v>
      </c>
      <c r="BA773" s="40" t="str">
        <f>PROPER(Sheet1!AE772)</f>
        <v>Sneha</v>
      </c>
      <c r="BB773" s="40" t="str">
        <f>_xlfn.CONCAT(Sheet1!AE772," ",Sheet1!AF772)</f>
        <v>Sneha Kapoor</v>
      </c>
    </row>
    <row r="774" spans="40:54">
      <c r="AN774" s="50" t="str">
        <f>Sheet1!B773</f>
        <v>24-05-2025</v>
      </c>
      <c r="AO774" s="50">
        <f t="shared" si="75"/>
        <v>20</v>
      </c>
      <c r="AP774" s="50">
        <f t="shared" si="76"/>
        <v>5</v>
      </c>
      <c r="AQ774" s="50">
        <f t="shared" si="77"/>
        <v>2025</v>
      </c>
      <c r="AR774" s="50" t="str">
        <f t="shared" si="78"/>
        <v>May-2025</v>
      </c>
      <c r="AS774" s="52">
        <f t="shared" si="79"/>
        <v>45797</v>
      </c>
      <c r="AT774" s="44">
        <f t="shared" ca="1" si="80"/>
        <v>481</v>
      </c>
      <c r="AU774" s="40" t="str">
        <f>LEFT(Sheet1!AE773,3)</f>
        <v>Neh</v>
      </c>
      <c r="AV774" s="40" t="str">
        <f>RIGHT(Sheet1!AF773,2)</f>
        <v>ra</v>
      </c>
      <c r="AW774" s="40" t="str">
        <f>MID(Sheet1!AE773,2,3)</f>
        <v>eha</v>
      </c>
      <c r="AX774" s="42">
        <f>LEN(Sheet1!AE773)</f>
        <v>4</v>
      </c>
      <c r="AY774" s="40" t="str">
        <f>UPPER(Sheet1!AE773)</f>
        <v>NEHA</v>
      </c>
      <c r="AZ774" s="40" t="str">
        <f>LOWER(Sheet1!AE773)</f>
        <v>neha</v>
      </c>
      <c r="BA774" s="40" t="str">
        <f>PROPER(Sheet1!AE773)</f>
        <v>Neha</v>
      </c>
      <c r="BB774" s="40" t="str">
        <f>_xlfn.CONCAT(Sheet1!AE773," ",Sheet1!AF773)</f>
        <v>Neha Malhotra</v>
      </c>
    </row>
    <row r="775" spans="40:54">
      <c r="AN775" s="50" t="str">
        <f>Sheet1!B774</f>
        <v>24-06-2025</v>
      </c>
      <c r="AO775" s="50">
        <f t="shared" si="75"/>
        <v>20</v>
      </c>
      <c r="AP775" s="50">
        <f t="shared" si="76"/>
        <v>6</v>
      </c>
      <c r="AQ775" s="50">
        <f t="shared" si="77"/>
        <v>2025</v>
      </c>
      <c r="AR775" s="50" t="str">
        <f t="shared" si="78"/>
        <v>Jun-2025</v>
      </c>
      <c r="AS775" s="52">
        <f t="shared" si="79"/>
        <v>45828</v>
      </c>
      <c r="AT775" s="44">
        <f t="shared" ca="1" si="80"/>
        <v>450</v>
      </c>
      <c r="AU775" s="40" t="str">
        <f>LEFT(Sheet1!AE774,3)</f>
        <v>Nis</v>
      </c>
      <c r="AV775" s="40" t="str">
        <f>RIGHT(Sheet1!AF774,2)</f>
        <v>ma</v>
      </c>
      <c r="AW775" s="40" t="str">
        <f>MID(Sheet1!AE774,2,3)</f>
        <v>ish</v>
      </c>
      <c r="AX775" s="42">
        <f>LEN(Sheet1!AE774)</f>
        <v>5</v>
      </c>
      <c r="AY775" s="40" t="str">
        <f>UPPER(Sheet1!AE774)</f>
        <v>NISHA</v>
      </c>
      <c r="AZ775" s="40" t="str">
        <f>LOWER(Sheet1!AE774)</f>
        <v>nisha</v>
      </c>
      <c r="BA775" s="40" t="str">
        <f>PROPER(Sheet1!AE774)</f>
        <v>Nisha</v>
      </c>
      <c r="BB775" s="40" t="str">
        <f>_xlfn.CONCAT(Sheet1!AE774," ",Sheet1!AF774)</f>
        <v>Nisha Verma</v>
      </c>
    </row>
    <row r="776" spans="40:54">
      <c r="AN776" s="50" t="str">
        <f>Sheet1!B775</f>
        <v>24-07-2024</v>
      </c>
      <c r="AO776" s="50">
        <f t="shared" si="75"/>
        <v>20</v>
      </c>
      <c r="AP776" s="50">
        <f t="shared" si="76"/>
        <v>7</v>
      </c>
      <c r="AQ776" s="50">
        <f t="shared" si="77"/>
        <v>2024</v>
      </c>
      <c r="AR776" s="50" t="str">
        <f t="shared" si="78"/>
        <v>Jul-2024</v>
      </c>
      <c r="AS776" s="52">
        <f t="shared" si="79"/>
        <v>45493</v>
      </c>
      <c r="AT776" s="44">
        <f t="shared" ca="1" si="80"/>
        <v>785</v>
      </c>
      <c r="AU776" s="40" t="str">
        <f>LEFT(Sheet1!AE775,3)</f>
        <v>Sne</v>
      </c>
      <c r="AV776" s="40" t="str">
        <f>RIGHT(Sheet1!AF775,2)</f>
        <v>or</v>
      </c>
      <c r="AW776" s="40" t="str">
        <f>MID(Sheet1!AE775,2,3)</f>
        <v>neh</v>
      </c>
      <c r="AX776" s="42">
        <f>LEN(Sheet1!AE775)</f>
        <v>5</v>
      </c>
      <c r="AY776" s="40" t="str">
        <f>UPPER(Sheet1!AE775)</f>
        <v>SNEHA</v>
      </c>
      <c r="AZ776" s="40" t="str">
        <f>LOWER(Sheet1!AE775)</f>
        <v>sneha</v>
      </c>
      <c r="BA776" s="40" t="str">
        <f>PROPER(Sheet1!AE775)</f>
        <v>Sneha</v>
      </c>
      <c r="BB776" s="40" t="str">
        <f>_xlfn.CONCAT(Sheet1!AE775," ",Sheet1!AF775)</f>
        <v>Sneha Kapoor</v>
      </c>
    </row>
    <row r="777" spans="40:54">
      <c r="AN777" s="50" t="str">
        <f>Sheet1!B776</f>
        <v>24-08-2024</v>
      </c>
      <c r="AO777" s="50">
        <f t="shared" si="75"/>
        <v>20</v>
      </c>
      <c r="AP777" s="50">
        <f t="shared" si="76"/>
        <v>8</v>
      </c>
      <c r="AQ777" s="50">
        <f t="shared" si="77"/>
        <v>2024</v>
      </c>
      <c r="AR777" s="50" t="str">
        <f t="shared" si="78"/>
        <v>Aug-2024</v>
      </c>
      <c r="AS777" s="52">
        <f t="shared" si="79"/>
        <v>45524</v>
      </c>
      <c r="AT777" s="44">
        <f t="shared" ca="1" si="80"/>
        <v>754</v>
      </c>
      <c r="AU777" s="40" t="str">
        <f>LEFT(Sheet1!AE776,3)</f>
        <v>Vik</v>
      </c>
      <c r="AV777" s="40" t="str">
        <f>RIGHT(Sheet1!AF776,2)</f>
        <v>al</v>
      </c>
      <c r="AW777" s="40" t="str">
        <f>MID(Sheet1!AE776,2,3)</f>
        <v>ikr</v>
      </c>
      <c r="AX777" s="42">
        <f>LEN(Sheet1!AE776)</f>
        <v>6</v>
      </c>
      <c r="AY777" s="40" t="str">
        <f>UPPER(Sheet1!AE776)</f>
        <v>VIKRAM</v>
      </c>
      <c r="AZ777" s="40" t="str">
        <f>LOWER(Sheet1!AE776)</f>
        <v>vikram</v>
      </c>
      <c r="BA777" s="40" t="str">
        <f>PROPER(Sheet1!AE776)</f>
        <v>Vikram</v>
      </c>
      <c r="BB777" s="40" t="str">
        <f>_xlfn.CONCAT(Sheet1!AE776," ",Sheet1!AF776)</f>
        <v>Vikram Bansal</v>
      </c>
    </row>
    <row r="778" spans="40:54">
      <c r="AN778" s="50" t="str">
        <f>Sheet1!B777</f>
        <v>24-08-2024</v>
      </c>
      <c r="AO778" s="50">
        <f t="shared" si="75"/>
        <v>20</v>
      </c>
      <c r="AP778" s="50">
        <f t="shared" si="76"/>
        <v>8</v>
      </c>
      <c r="AQ778" s="50">
        <f t="shared" si="77"/>
        <v>2024</v>
      </c>
      <c r="AR778" s="50" t="str">
        <f t="shared" si="78"/>
        <v>Aug-2024</v>
      </c>
      <c r="AS778" s="52">
        <f t="shared" si="79"/>
        <v>45524</v>
      </c>
      <c r="AT778" s="44">
        <f t="shared" ca="1" si="80"/>
        <v>754</v>
      </c>
      <c r="AU778" s="40" t="str">
        <f>LEFT(Sheet1!AE777,3)</f>
        <v>Sim</v>
      </c>
      <c r="AV778" s="40" t="str">
        <f>RIGHT(Sheet1!AF777,2)</f>
        <v>al</v>
      </c>
      <c r="AW778" s="40" t="str">
        <f>MID(Sheet1!AE777,2,3)</f>
        <v>imr</v>
      </c>
      <c r="AX778" s="42">
        <f>LEN(Sheet1!AE777)</f>
        <v>6</v>
      </c>
      <c r="AY778" s="40" t="str">
        <f>UPPER(Sheet1!AE777)</f>
        <v>SIMRAN</v>
      </c>
      <c r="AZ778" s="40" t="str">
        <f>LOWER(Sheet1!AE777)</f>
        <v>simran</v>
      </c>
      <c r="BA778" s="40" t="str">
        <f>PROPER(Sheet1!AE777)</f>
        <v>Simran</v>
      </c>
      <c r="BB778" s="40" t="str">
        <f>_xlfn.CONCAT(Sheet1!AE777," ",Sheet1!AF777)</f>
        <v>Simran Bansal</v>
      </c>
    </row>
    <row r="779" spans="40:54">
      <c r="AN779" s="50" t="str">
        <f>Sheet1!B778</f>
        <v>24-08-2025</v>
      </c>
      <c r="AO779" s="50">
        <f t="shared" si="75"/>
        <v>20</v>
      </c>
      <c r="AP779" s="50">
        <f t="shared" si="76"/>
        <v>8</v>
      </c>
      <c r="AQ779" s="50">
        <f t="shared" si="77"/>
        <v>2025</v>
      </c>
      <c r="AR779" s="50" t="str">
        <f t="shared" si="78"/>
        <v>Aug-2025</v>
      </c>
      <c r="AS779" s="52">
        <f t="shared" si="79"/>
        <v>45889</v>
      </c>
      <c r="AT779" s="44">
        <f t="shared" ca="1" si="80"/>
        <v>389</v>
      </c>
      <c r="AU779" s="40" t="str">
        <f>LEFT(Sheet1!AE778,3)</f>
        <v>Pri</v>
      </c>
      <c r="AV779" s="40" t="str">
        <f>RIGHT(Sheet1!AF778,2)</f>
        <v>na</v>
      </c>
      <c r="AW779" s="40" t="str">
        <f>MID(Sheet1!AE778,2,3)</f>
        <v>riy</v>
      </c>
      <c r="AX779" s="42">
        <f>LEN(Sheet1!AE778)</f>
        <v>5</v>
      </c>
      <c r="AY779" s="40" t="str">
        <f>UPPER(Sheet1!AE778)</f>
        <v>PRIYA</v>
      </c>
      <c r="AZ779" s="40" t="str">
        <f>LOWER(Sheet1!AE778)</f>
        <v>priya</v>
      </c>
      <c r="BA779" s="40" t="str">
        <f>PROPER(Sheet1!AE778)</f>
        <v>Priya</v>
      </c>
      <c r="BB779" s="40" t="str">
        <f>_xlfn.CONCAT(Sheet1!AE778," ",Sheet1!AF778)</f>
        <v>Priya Saxena</v>
      </c>
    </row>
    <row r="780" spans="40:54">
      <c r="AN780" s="50" t="str">
        <f>Sheet1!B779</f>
        <v>24-08-2025</v>
      </c>
      <c r="AO780" s="50">
        <f t="shared" si="75"/>
        <v>20</v>
      </c>
      <c r="AP780" s="50">
        <f t="shared" si="76"/>
        <v>8</v>
      </c>
      <c r="AQ780" s="50">
        <f t="shared" si="77"/>
        <v>2025</v>
      </c>
      <c r="AR780" s="50" t="str">
        <f t="shared" si="78"/>
        <v>Aug-2025</v>
      </c>
      <c r="AS780" s="52">
        <f t="shared" si="79"/>
        <v>45889</v>
      </c>
      <c r="AT780" s="44">
        <f t="shared" ca="1" si="80"/>
        <v>389</v>
      </c>
      <c r="AU780" s="40" t="str">
        <f>LEFT(Sheet1!AE779,3)</f>
        <v>Riy</v>
      </c>
      <c r="AV780" s="40" t="str">
        <f>RIGHT(Sheet1!AF779,2)</f>
        <v>na</v>
      </c>
      <c r="AW780" s="40" t="str">
        <f>MID(Sheet1!AE779,2,3)</f>
        <v>iya</v>
      </c>
      <c r="AX780" s="42">
        <f>LEN(Sheet1!AE779)</f>
        <v>4</v>
      </c>
      <c r="AY780" s="40" t="str">
        <f>UPPER(Sheet1!AE779)</f>
        <v>RIYA</v>
      </c>
      <c r="AZ780" s="40" t="str">
        <f>LOWER(Sheet1!AE779)</f>
        <v>riya</v>
      </c>
      <c r="BA780" s="40" t="str">
        <f>PROPER(Sheet1!AE779)</f>
        <v>Riya</v>
      </c>
      <c r="BB780" s="40" t="str">
        <f>_xlfn.CONCAT(Sheet1!AE779," ",Sheet1!AF779)</f>
        <v>Riya Saxena</v>
      </c>
    </row>
    <row r="781" spans="40:54">
      <c r="AN781" s="50" t="str">
        <f>Sheet1!B780</f>
        <v>24-09-2024</v>
      </c>
      <c r="AO781" s="50">
        <f t="shared" si="75"/>
        <v>20</v>
      </c>
      <c r="AP781" s="50">
        <f t="shared" si="76"/>
        <v>9</v>
      </c>
      <c r="AQ781" s="50">
        <f t="shared" si="77"/>
        <v>2024</v>
      </c>
      <c r="AR781" s="50" t="str">
        <f t="shared" si="78"/>
        <v>Sep-2024</v>
      </c>
      <c r="AS781" s="52">
        <f t="shared" si="79"/>
        <v>45555</v>
      </c>
      <c r="AT781" s="44">
        <f t="shared" ca="1" si="80"/>
        <v>723</v>
      </c>
      <c r="AU781" s="40" t="str">
        <f>LEFT(Sheet1!AE780,3)</f>
        <v>Roh</v>
      </c>
      <c r="AV781" s="40" t="str">
        <f>RIGHT(Sheet1!AF780,2)</f>
        <v>ra</v>
      </c>
      <c r="AW781" s="40" t="str">
        <f>MID(Sheet1!AE780,2,3)</f>
        <v>oha</v>
      </c>
      <c r="AX781" s="42">
        <f>LEN(Sheet1!AE780)</f>
        <v>5</v>
      </c>
      <c r="AY781" s="40" t="str">
        <f>UPPER(Sheet1!AE780)</f>
        <v>ROHAN</v>
      </c>
      <c r="AZ781" s="40" t="str">
        <f>LOWER(Sheet1!AE780)</f>
        <v>rohan</v>
      </c>
      <c r="BA781" s="40" t="str">
        <f>PROPER(Sheet1!AE780)</f>
        <v>Rohan</v>
      </c>
      <c r="BB781" s="40" t="str">
        <f>_xlfn.CONCAT(Sheet1!AE780," ",Sheet1!AF780)</f>
        <v>Rohan Mishra</v>
      </c>
    </row>
    <row r="782" spans="40:54">
      <c r="AN782" s="50" t="str">
        <f>Sheet1!B781</f>
        <v>24-09-2024</v>
      </c>
      <c r="AO782" s="50">
        <f t="shared" si="75"/>
        <v>20</v>
      </c>
      <c r="AP782" s="50">
        <f t="shared" si="76"/>
        <v>9</v>
      </c>
      <c r="AQ782" s="50">
        <f t="shared" si="77"/>
        <v>2024</v>
      </c>
      <c r="AR782" s="50" t="str">
        <f t="shared" si="78"/>
        <v>Sep-2024</v>
      </c>
      <c r="AS782" s="52">
        <f t="shared" si="79"/>
        <v>45555</v>
      </c>
      <c r="AT782" s="44">
        <f t="shared" ca="1" si="80"/>
        <v>723</v>
      </c>
      <c r="AU782" s="40" t="str">
        <f>LEFT(Sheet1!AE781,3)</f>
        <v>Viv</v>
      </c>
      <c r="AV782" s="40" t="str">
        <f>RIGHT(Sheet1!AF781,2)</f>
        <v>al</v>
      </c>
      <c r="AW782" s="40" t="str">
        <f>MID(Sheet1!AE781,2,3)</f>
        <v>iva</v>
      </c>
      <c r="AX782" s="42">
        <f>LEN(Sheet1!AE781)</f>
        <v>6</v>
      </c>
      <c r="AY782" s="40" t="str">
        <f>UPPER(Sheet1!AE781)</f>
        <v>VIVAAN</v>
      </c>
      <c r="AZ782" s="40" t="str">
        <f>LOWER(Sheet1!AE781)</f>
        <v>vivaan</v>
      </c>
      <c r="BA782" s="40" t="str">
        <f>PROPER(Sheet1!AE781)</f>
        <v>Vivaan</v>
      </c>
      <c r="BB782" s="40" t="str">
        <f>_xlfn.CONCAT(Sheet1!AE781," ",Sheet1!AF781)</f>
        <v>Vivaan Agarwal</v>
      </c>
    </row>
    <row r="783" spans="40:54">
      <c r="AN783" s="50" t="str">
        <f>Sheet1!B782</f>
        <v>24-09-2024</v>
      </c>
      <c r="AO783" s="50">
        <f t="shared" si="75"/>
        <v>20</v>
      </c>
      <c r="AP783" s="50">
        <f t="shared" si="76"/>
        <v>9</v>
      </c>
      <c r="AQ783" s="50">
        <f t="shared" si="77"/>
        <v>2024</v>
      </c>
      <c r="AR783" s="50" t="str">
        <f t="shared" si="78"/>
        <v>Sep-2024</v>
      </c>
      <c r="AS783" s="52">
        <f t="shared" si="79"/>
        <v>45555</v>
      </c>
      <c r="AT783" s="44">
        <f t="shared" ca="1" si="80"/>
        <v>723</v>
      </c>
      <c r="AU783" s="40" t="str">
        <f>LEFT(Sheet1!AE782,3)</f>
        <v>Kav</v>
      </c>
      <c r="AV783" s="40" t="str">
        <f>RIGHT(Sheet1!AF782,2)</f>
        <v>na</v>
      </c>
      <c r="AW783" s="40" t="str">
        <f>MID(Sheet1!AE782,2,3)</f>
        <v>avy</v>
      </c>
      <c r="AX783" s="42">
        <f>LEN(Sheet1!AE782)</f>
        <v>5</v>
      </c>
      <c r="AY783" s="40" t="str">
        <f>UPPER(Sheet1!AE782)</f>
        <v>KAVYA</v>
      </c>
      <c r="AZ783" s="40" t="str">
        <f>LOWER(Sheet1!AE782)</f>
        <v>kavya</v>
      </c>
      <c r="BA783" s="40" t="str">
        <f>PROPER(Sheet1!AE782)</f>
        <v>Kavya</v>
      </c>
      <c r="BB783" s="40" t="str">
        <f>_xlfn.CONCAT(Sheet1!AE782," ",Sheet1!AF782)</f>
        <v>Kavya Saxena</v>
      </c>
    </row>
    <row r="784" spans="40:54">
      <c r="AN784" s="50" t="str">
        <f>Sheet1!B783</f>
        <v>24-10-2025</v>
      </c>
      <c r="AO784" s="50">
        <f t="shared" si="75"/>
        <v>20</v>
      </c>
      <c r="AP784" s="50">
        <f t="shared" si="76"/>
        <v>10</v>
      </c>
      <c r="AQ784" s="50">
        <f t="shared" si="77"/>
        <v>2025</v>
      </c>
      <c r="AR784" s="50" t="str">
        <f t="shared" si="78"/>
        <v>Oct-2025</v>
      </c>
      <c r="AS784" s="52">
        <f t="shared" si="79"/>
        <v>45950</v>
      </c>
      <c r="AT784" s="44">
        <f t="shared" ca="1" si="80"/>
        <v>328</v>
      </c>
      <c r="AU784" s="40" t="str">
        <f>LEFT(Sheet1!AE783,3)</f>
        <v>Kav</v>
      </c>
      <c r="AV784" s="40" t="str">
        <f>RIGHT(Sheet1!AF783,2)</f>
        <v>ma</v>
      </c>
      <c r="AW784" s="40" t="str">
        <f>MID(Sheet1!AE783,2,3)</f>
        <v>avy</v>
      </c>
      <c r="AX784" s="42">
        <f>LEN(Sheet1!AE783)</f>
        <v>5</v>
      </c>
      <c r="AY784" s="40" t="str">
        <f>UPPER(Sheet1!AE783)</f>
        <v>KAVYA</v>
      </c>
      <c r="AZ784" s="40" t="str">
        <f>LOWER(Sheet1!AE783)</f>
        <v>kavya</v>
      </c>
      <c r="BA784" s="40" t="str">
        <f>PROPER(Sheet1!AE783)</f>
        <v>Kavya</v>
      </c>
      <c r="BB784" s="40" t="str">
        <f>_xlfn.CONCAT(Sheet1!AE783," ",Sheet1!AF783)</f>
        <v>Kavya Sharma</v>
      </c>
    </row>
    <row r="785" spans="40:54">
      <c r="AN785" s="50" t="str">
        <f>Sheet1!B784</f>
        <v>24-10-2025</v>
      </c>
      <c r="AO785" s="50">
        <f t="shared" si="75"/>
        <v>20</v>
      </c>
      <c r="AP785" s="50">
        <f t="shared" si="76"/>
        <v>10</v>
      </c>
      <c r="AQ785" s="50">
        <f t="shared" si="77"/>
        <v>2025</v>
      </c>
      <c r="AR785" s="50" t="str">
        <f t="shared" si="78"/>
        <v>Oct-2025</v>
      </c>
      <c r="AS785" s="52">
        <f t="shared" si="79"/>
        <v>45950</v>
      </c>
      <c r="AT785" s="44">
        <f t="shared" ca="1" si="80"/>
        <v>328</v>
      </c>
      <c r="AU785" s="40" t="str">
        <f>LEFT(Sheet1!AE784,3)</f>
        <v>Kar</v>
      </c>
      <c r="AV785" s="40" t="str">
        <f>RIGHT(Sheet1!AF784,2)</f>
        <v>al</v>
      </c>
      <c r="AW785" s="40" t="str">
        <f>MID(Sheet1!AE784,2,3)</f>
        <v>ara</v>
      </c>
      <c r="AX785" s="42">
        <f>LEN(Sheet1!AE784)</f>
        <v>5</v>
      </c>
      <c r="AY785" s="40" t="str">
        <f>UPPER(Sheet1!AE784)</f>
        <v>KARAN</v>
      </c>
      <c r="AZ785" s="40" t="str">
        <f>LOWER(Sheet1!AE784)</f>
        <v>karan</v>
      </c>
      <c r="BA785" s="40" t="str">
        <f>PROPER(Sheet1!AE784)</f>
        <v>Karan</v>
      </c>
      <c r="BB785" s="40" t="str">
        <f>_xlfn.CONCAT(Sheet1!AE784," ",Sheet1!AF784)</f>
        <v>Karan Bansal</v>
      </c>
    </row>
    <row r="786" spans="40:54">
      <c r="AN786" s="50" t="str">
        <f>Sheet1!B785</f>
        <v>24-10-2025</v>
      </c>
      <c r="AO786" s="50">
        <f t="shared" si="75"/>
        <v>20</v>
      </c>
      <c r="AP786" s="50">
        <f t="shared" si="76"/>
        <v>10</v>
      </c>
      <c r="AQ786" s="50">
        <f t="shared" si="77"/>
        <v>2025</v>
      </c>
      <c r="AR786" s="50" t="str">
        <f t="shared" si="78"/>
        <v>Oct-2025</v>
      </c>
      <c r="AS786" s="52">
        <f t="shared" si="79"/>
        <v>45950</v>
      </c>
      <c r="AT786" s="44">
        <f t="shared" ca="1" si="80"/>
        <v>328</v>
      </c>
      <c r="AU786" s="40" t="str">
        <f>LEFT(Sheet1!AE785,3)</f>
        <v>Ana</v>
      </c>
      <c r="AV786" s="40" t="str">
        <f>RIGHT(Sheet1!AF785,2)</f>
        <v>ta</v>
      </c>
      <c r="AW786" s="40" t="str">
        <f>MID(Sheet1!AE785,2,3)</f>
        <v>nan</v>
      </c>
      <c r="AX786" s="42">
        <f>LEN(Sheet1!AE785)</f>
        <v>6</v>
      </c>
      <c r="AY786" s="40" t="str">
        <f>UPPER(Sheet1!AE785)</f>
        <v>ANANYA</v>
      </c>
      <c r="AZ786" s="40" t="str">
        <f>LOWER(Sheet1!AE785)</f>
        <v>ananya</v>
      </c>
      <c r="BA786" s="40" t="str">
        <f>PROPER(Sheet1!AE785)</f>
        <v>Ananya</v>
      </c>
      <c r="BB786" s="40" t="str">
        <f>_xlfn.CONCAT(Sheet1!AE785," ",Sheet1!AF785)</f>
        <v>Ananya Gupta</v>
      </c>
    </row>
    <row r="787" spans="40:54">
      <c r="AN787" s="50" t="str">
        <f>Sheet1!B786</f>
        <v>24-10-2025</v>
      </c>
      <c r="AO787" s="50">
        <f t="shared" si="75"/>
        <v>20</v>
      </c>
      <c r="AP787" s="50">
        <f t="shared" si="76"/>
        <v>10</v>
      </c>
      <c r="AQ787" s="50">
        <f t="shared" si="77"/>
        <v>2025</v>
      </c>
      <c r="AR787" s="50" t="str">
        <f t="shared" si="78"/>
        <v>Oct-2025</v>
      </c>
      <c r="AS787" s="52">
        <f t="shared" si="79"/>
        <v>45950</v>
      </c>
      <c r="AT787" s="44">
        <f t="shared" ca="1" si="80"/>
        <v>328</v>
      </c>
      <c r="AU787" s="40" t="str">
        <f>LEFT(Sheet1!AE786,3)</f>
        <v>Sim</v>
      </c>
      <c r="AV787" s="40" t="str">
        <f>RIGHT(Sheet1!AF786,2)</f>
        <v>or</v>
      </c>
      <c r="AW787" s="40" t="str">
        <f>MID(Sheet1!AE786,2,3)</f>
        <v>imr</v>
      </c>
      <c r="AX787" s="42">
        <f>LEN(Sheet1!AE786)</f>
        <v>6</v>
      </c>
      <c r="AY787" s="40" t="str">
        <f>UPPER(Sheet1!AE786)</f>
        <v>SIMRAN</v>
      </c>
      <c r="AZ787" s="40" t="str">
        <f>LOWER(Sheet1!AE786)</f>
        <v>simran</v>
      </c>
      <c r="BA787" s="40" t="str">
        <f>PROPER(Sheet1!AE786)</f>
        <v>Simran</v>
      </c>
      <c r="BB787" s="40" t="str">
        <f>_xlfn.CONCAT(Sheet1!AE786," ",Sheet1!AF786)</f>
        <v>Simran Kapoor</v>
      </c>
    </row>
    <row r="788" spans="40:54">
      <c r="AN788" s="50" t="str">
        <f>Sheet1!B787</f>
        <v>24-11-2024</v>
      </c>
      <c r="AO788" s="50">
        <f t="shared" si="75"/>
        <v>20</v>
      </c>
      <c r="AP788" s="50">
        <f t="shared" si="76"/>
        <v>11</v>
      </c>
      <c r="AQ788" s="50">
        <f t="shared" si="77"/>
        <v>2024</v>
      </c>
      <c r="AR788" s="50" t="str">
        <f t="shared" si="78"/>
        <v>Nov-2024</v>
      </c>
      <c r="AS788" s="52">
        <f t="shared" si="79"/>
        <v>45616</v>
      </c>
      <c r="AT788" s="44">
        <f t="shared" ca="1" si="80"/>
        <v>662</v>
      </c>
      <c r="AU788" s="40" t="str">
        <f>LEFT(Sheet1!AE787,3)</f>
        <v>Sne</v>
      </c>
      <c r="AV788" s="40" t="str">
        <f>RIGHT(Sheet1!AF787,2)</f>
        <v>in</v>
      </c>
      <c r="AW788" s="40" t="str">
        <f>MID(Sheet1!AE787,2,3)</f>
        <v>neh</v>
      </c>
      <c r="AX788" s="42">
        <f>LEN(Sheet1!AE787)</f>
        <v>5</v>
      </c>
      <c r="AY788" s="40" t="str">
        <f>UPPER(Sheet1!AE787)</f>
        <v>SNEHA</v>
      </c>
      <c r="AZ788" s="40" t="str">
        <f>LOWER(Sheet1!AE787)</f>
        <v>sneha</v>
      </c>
      <c r="BA788" s="40" t="str">
        <f>PROPER(Sheet1!AE787)</f>
        <v>Sneha</v>
      </c>
      <c r="BB788" s="40" t="str">
        <f>_xlfn.CONCAT(Sheet1!AE787," ",Sheet1!AF787)</f>
        <v>Sneha Jain</v>
      </c>
    </row>
    <row r="789" spans="40:54">
      <c r="AN789" s="50" t="str">
        <f>Sheet1!B788</f>
        <v>24-11-2025</v>
      </c>
      <c r="AO789" s="50">
        <f t="shared" si="75"/>
        <v>20</v>
      </c>
      <c r="AP789" s="50">
        <f t="shared" si="76"/>
        <v>11</v>
      </c>
      <c r="AQ789" s="50">
        <f t="shared" si="77"/>
        <v>2025</v>
      </c>
      <c r="AR789" s="50" t="str">
        <f t="shared" si="78"/>
        <v>Nov-2025</v>
      </c>
      <c r="AS789" s="52">
        <f t="shared" si="79"/>
        <v>45981</v>
      </c>
      <c r="AT789" s="44">
        <f t="shared" ca="1" si="80"/>
        <v>297</v>
      </c>
      <c r="AU789" s="40" t="str">
        <f>LEFT(Sheet1!AE788,3)</f>
        <v>Arj</v>
      </c>
      <c r="AV789" s="40" t="str">
        <f>RIGHT(Sheet1!AF788,2)</f>
        <v>ta</v>
      </c>
      <c r="AW789" s="40" t="str">
        <f>MID(Sheet1!AE788,2,3)</f>
        <v>rju</v>
      </c>
      <c r="AX789" s="42">
        <f>LEN(Sheet1!AE788)</f>
        <v>5</v>
      </c>
      <c r="AY789" s="40" t="str">
        <f>UPPER(Sheet1!AE788)</f>
        <v>ARJUN</v>
      </c>
      <c r="AZ789" s="40" t="str">
        <f>LOWER(Sheet1!AE788)</f>
        <v>arjun</v>
      </c>
      <c r="BA789" s="40" t="str">
        <f>PROPER(Sheet1!AE788)</f>
        <v>Arjun</v>
      </c>
      <c r="BB789" s="40" t="str">
        <f>_xlfn.CONCAT(Sheet1!AE788," ",Sheet1!AF788)</f>
        <v>Arjun Mehta</v>
      </c>
    </row>
    <row r="790" spans="40:54">
      <c r="AN790" s="50" t="str">
        <f>Sheet1!B789</f>
        <v>24-12-2024</v>
      </c>
      <c r="AO790" s="50">
        <f t="shared" si="75"/>
        <v>20</v>
      </c>
      <c r="AP790" s="50">
        <f t="shared" si="76"/>
        <v>12</v>
      </c>
      <c r="AQ790" s="50">
        <f t="shared" si="77"/>
        <v>2024</v>
      </c>
      <c r="AR790" s="50" t="str">
        <f t="shared" si="78"/>
        <v>Dec-2024</v>
      </c>
      <c r="AS790" s="52">
        <f t="shared" si="79"/>
        <v>45646</v>
      </c>
      <c r="AT790" s="44">
        <f t="shared" ca="1" si="80"/>
        <v>632</v>
      </c>
      <c r="AU790" s="40" t="str">
        <f>LEFT(Sheet1!AE789,3)</f>
        <v>Nis</v>
      </c>
      <c r="AV790" s="40" t="str">
        <f>RIGHT(Sheet1!AF789,2)</f>
        <v>gh</v>
      </c>
      <c r="AW790" s="40" t="str">
        <f>MID(Sheet1!AE789,2,3)</f>
        <v>ish</v>
      </c>
      <c r="AX790" s="42">
        <f>LEN(Sheet1!AE789)</f>
        <v>5</v>
      </c>
      <c r="AY790" s="40" t="str">
        <f>UPPER(Sheet1!AE789)</f>
        <v>NISHA</v>
      </c>
      <c r="AZ790" s="40" t="str">
        <f>LOWER(Sheet1!AE789)</f>
        <v>nisha</v>
      </c>
      <c r="BA790" s="40" t="str">
        <f>PROPER(Sheet1!AE789)</f>
        <v>Nisha</v>
      </c>
      <c r="BB790" s="40" t="str">
        <f>_xlfn.CONCAT(Sheet1!AE789," ",Sheet1!AF789)</f>
        <v>Nisha Singh</v>
      </c>
    </row>
    <row r="791" spans="40:54">
      <c r="AN791" s="50" t="str">
        <f>Sheet1!B790</f>
        <v>24-12-2024</v>
      </c>
      <c r="AO791" s="50">
        <f t="shared" si="75"/>
        <v>20</v>
      </c>
      <c r="AP791" s="50">
        <f t="shared" si="76"/>
        <v>12</v>
      </c>
      <c r="AQ791" s="50">
        <f t="shared" si="77"/>
        <v>2024</v>
      </c>
      <c r="AR791" s="50" t="str">
        <f t="shared" si="78"/>
        <v>Dec-2024</v>
      </c>
      <c r="AS791" s="52">
        <f t="shared" si="79"/>
        <v>45646</v>
      </c>
      <c r="AT791" s="44">
        <f t="shared" ca="1" si="80"/>
        <v>632</v>
      </c>
      <c r="AU791" s="40" t="str">
        <f>LEFT(Sheet1!AE790,3)</f>
        <v>Poo</v>
      </c>
      <c r="AV791" s="40" t="str">
        <f>RIGHT(Sheet1!AF790,2)</f>
        <v>ra</v>
      </c>
      <c r="AW791" s="40" t="str">
        <f>MID(Sheet1!AE790,2,3)</f>
        <v>ooj</v>
      </c>
      <c r="AX791" s="42">
        <f>LEN(Sheet1!AE790)</f>
        <v>5</v>
      </c>
      <c r="AY791" s="40" t="str">
        <f>UPPER(Sheet1!AE790)</f>
        <v>POOJA</v>
      </c>
      <c r="AZ791" s="40" t="str">
        <f>LOWER(Sheet1!AE790)</f>
        <v>pooja</v>
      </c>
      <c r="BA791" s="40" t="str">
        <f>PROPER(Sheet1!AE790)</f>
        <v>Pooja</v>
      </c>
      <c r="BB791" s="40" t="str">
        <f>_xlfn.CONCAT(Sheet1!AE790," ",Sheet1!AF790)</f>
        <v>Pooja Malhotra</v>
      </c>
    </row>
    <row r="792" spans="40:54">
      <c r="AN792" s="50" t="str">
        <f>Sheet1!B791</f>
        <v>24-12-2024</v>
      </c>
      <c r="AO792" s="50">
        <f t="shared" si="75"/>
        <v>20</v>
      </c>
      <c r="AP792" s="50">
        <f t="shared" si="76"/>
        <v>12</v>
      </c>
      <c r="AQ792" s="50">
        <f t="shared" si="77"/>
        <v>2024</v>
      </c>
      <c r="AR792" s="50" t="str">
        <f t="shared" si="78"/>
        <v>Dec-2024</v>
      </c>
      <c r="AS792" s="52">
        <f t="shared" si="79"/>
        <v>45646</v>
      </c>
      <c r="AT792" s="44">
        <f t="shared" ca="1" si="80"/>
        <v>632</v>
      </c>
      <c r="AU792" s="40" t="str">
        <f>LEFT(Sheet1!AE791,3)</f>
        <v>Adi</v>
      </c>
      <c r="AV792" s="40" t="str">
        <f>RIGHT(Sheet1!AF791,2)</f>
        <v>al</v>
      </c>
      <c r="AW792" s="40" t="str">
        <f>MID(Sheet1!AE791,2,3)</f>
        <v>dit</v>
      </c>
      <c r="AX792" s="42">
        <f>LEN(Sheet1!AE791)</f>
        <v>6</v>
      </c>
      <c r="AY792" s="40" t="str">
        <f>UPPER(Sheet1!AE791)</f>
        <v>ADITYA</v>
      </c>
      <c r="AZ792" s="40" t="str">
        <f>LOWER(Sheet1!AE791)</f>
        <v>aditya</v>
      </c>
      <c r="BA792" s="40" t="str">
        <f>PROPER(Sheet1!AE791)</f>
        <v>Aditya</v>
      </c>
      <c r="BB792" s="40" t="str">
        <f>_xlfn.CONCAT(Sheet1!AE791," ",Sheet1!AF791)</f>
        <v>Aditya Bansal</v>
      </c>
    </row>
    <row r="793" spans="40:54">
      <c r="AN793" s="50" t="str">
        <f>Sheet1!B792</f>
        <v>24-12-2025</v>
      </c>
      <c r="AO793" s="50">
        <f t="shared" si="75"/>
        <v>20</v>
      </c>
      <c r="AP793" s="50">
        <f t="shared" si="76"/>
        <v>12</v>
      </c>
      <c r="AQ793" s="50">
        <f t="shared" si="77"/>
        <v>2025</v>
      </c>
      <c r="AR793" s="50" t="str">
        <f t="shared" si="78"/>
        <v>Dec-2025</v>
      </c>
      <c r="AS793" s="52">
        <f t="shared" si="79"/>
        <v>46011</v>
      </c>
      <c r="AT793" s="44">
        <f t="shared" ca="1" si="80"/>
        <v>267</v>
      </c>
      <c r="AU793" s="40" t="str">
        <f>LEFT(Sheet1!AE792,3)</f>
        <v>Sim</v>
      </c>
      <c r="AV793" s="40" t="str">
        <f>RIGHT(Sheet1!AF792,2)</f>
        <v>al</v>
      </c>
      <c r="AW793" s="40" t="str">
        <f>MID(Sheet1!AE792,2,3)</f>
        <v>imr</v>
      </c>
      <c r="AX793" s="42">
        <f>LEN(Sheet1!AE792)</f>
        <v>6</v>
      </c>
      <c r="AY793" s="40" t="str">
        <f>UPPER(Sheet1!AE792)</f>
        <v>SIMRAN</v>
      </c>
      <c r="AZ793" s="40" t="str">
        <f>LOWER(Sheet1!AE792)</f>
        <v>simran</v>
      </c>
      <c r="BA793" s="40" t="str">
        <f>PROPER(Sheet1!AE792)</f>
        <v>Simran</v>
      </c>
      <c r="BB793" s="40" t="str">
        <f>_xlfn.CONCAT(Sheet1!AE792," ",Sheet1!AF792)</f>
        <v>Simran Bansal</v>
      </c>
    </row>
    <row r="794" spans="40:54">
      <c r="AN794" s="50" t="str">
        <f>Sheet1!B793</f>
        <v>25-01-2024</v>
      </c>
      <c r="AO794" s="50">
        <f t="shared" si="75"/>
        <v>20</v>
      </c>
      <c r="AP794" s="50">
        <f t="shared" si="76"/>
        <v>1</v>
      </c>
      <c r="AQ794" s="50">
        <f t="shared" si="77"/>
        <v>2024</v>
      </c>
      <c r="AR794" s="50" t="str">
        <f t="shared" si="78"/>
        <v>Jan-2024</v>
      </c>
      <c r="AS794" s="52">
        <f t="shared" si="79"/>
        <v>45311</v>
      </c>
      <c r="AT794" s="44">
        <f t="shared" ca="1" si="80"/>
        <v>967</v>
      </c>
      <c r="AU794" s="40" t="str">
        <f>LEFT(Sheet1!AE793,3)</f>
        <v>Vik</v>
      </c>
      <c r="AV794" s="40" t="str">
        <f>RIGHT(Sheet1!AF793,2)</f>
        <v>av</v>
      </c>
      <c r="AW794" s="40" t="str">
        <f>MID(Sheet1!AE793,2,3)</f>
        <v>ikr</v>
      </c>
      <c r="AX794" s="42">
        <f>LEN(Sheet1!AE793)</f>
        <v>6</v>
      </c>
      <c r="AY794" s="40" t="str">
        <f>UPPER(Sheet1!AE793)</f>
        <v>VIKRAM</v>
      </c>
      <c r="AZ794" s="40" t="str">
        <f>LOWER(Sheet1!AE793)</f>
        <v>vikram</v>
      </c>
      <c r="BA794" s="40" t="str">
        <f>PROPER(Sheet1!AE793)</f>
        <v>Vikram</v>
      </c>
      <c r="BB794" s="40" t="str">
        <f>_xlfn.CONCAT(Sheet1!AE793," ",Sheet1!AF793)</f>
        <v>Vikram Yadav</v>
      </c>
    </row>
    <row r="795" spans="40:54">
      <c r="AN795" s="50" t="str">
        <f>Sheet1!B794</f>
        <v>25-02-2024</v>
      </c>
      <c r="AO795" s="50">
        <f t="shared" si="75"/>
        <v>20</v>
      </c>
      <c r="AP795" s="50">
        <f t="shared" si="76"/>
        <v>2</v>
      </c>
      <c r="AQ795" s="50">
        <f t="shared" si="77"/>
        <v>2024</v>
      </c>
      <c r="AR795" s="50" t="str">
        <f t="shared" si="78"/>
        <v>Feb-2024</v>
      </c>
      <c r="AS795" s="52">
        <f t="shared" si="79"/>
        <v>45342</v>
      </c>
      <c r="AT795" s="44">
        <f t="shared" ca="1" si="80"/>
        <v>936</v>
      </c>
      <c r="AU795" s="40" t="str">
        <f>LEFT(Sheet1!AE794,3)</f>
        <v>Viv</v>
      </c>
      <c r="AV795" s="40" t="str">
        <f>RIGHT(Sheet1!AF794,2)</f>
        <v>or</v>
      </c>
      <c r="AW795" s="40" t="str">
        <f>MID(Sheet1!AE794,2,3)</f>
        <v>iva</v>
      </c>
      <c r="AX795" s="42">
        <f>LEN(Sheet1!AE794)</f>
        <v>6</v>
      </c>
      <c r="AY795" s="40" t="str">
        <f>UPPER(Sheet1!AE794)</f>
        <v>VIVAAN</v>
      </c>
      <c r="AZ795" s="40" t="str">
        <f>LOWER(Sheet1!AE794)</f>
        <v>vivaan</v>
      </c>
      <c r="BA795" s="40" t="str">
        <f>PROPER(Sheet1!AE794)</f>
        <v>Vivaan</v>
      </c>
      <c r="BB795" s="40" t="str">
        <f>_xlfn.CONCAT(Sheet1!AE794," ",Sheet1!AF794)</f>
        <v>Vivaan Kapoor</v>
      </c>
    </row>
    <row r="796" spans="40:54">
      <c r="AN796" s="50" t="str">
        <f>Sheet1!B795</f>
        <v>25-02-2024</v>
      </c>
      <c r="AO796" s="50">
        <f t="shared" si="75"/>
        <v>20</v>
      </c>
      <c r="AP796" s="50">
        <f t="shared" si="76"/>
        <v>2</v>
      </c>
      <c r="AQ796" s="50">
        <f t="shared" si="77"/>
        <v>2024</v>
      </c>
      <c r="AR796" s="50" t="str">
        <f t="shared" si="78"/>
        <v>Feb-2024</v>
      </c>
      <c r="AS796" s="52">
        <f t="shared" si="79"/>
        <v>45342</v>
      </c>
      <c r="AT796" s="44">
        <f t="shared" ca="1" si="80"/>
        <v>936</v>
      </c>
      <c r="AU796" s="40" t="str">
        <f>LEFT(Sheet1!AE795,3)</f>
        <v>Mee</v>
      </c>
      <c r="AV796" s="40" t="str">
        <f>RIGHT(Sheet1!AF795,2)</f>
        <v>in</v>
      </c>
      <c r="AW796" s="40" t="str">
        <f>MID(Sheet1!AE795,2,3)</f>
        <v>eer</v>
      </c>
      <c r="AX796" s="42">
        <f>LEN(Sheet1!AE795)</f>
        <v>5</v>
      </c>
      <c r="AY796" s="40" t="str">
        <f>UPPER(Sheet1!AE795)</f>
        <v>MEERA</v>
      </c>
      <c r="AZ796" s="40" t="str">
        <f>LOWER(Sheet1!AE795)</f>
        <v>meera</v>
      </c>
      <c r="BA796" s="40" t="str">
        <f>PROPER(Sheet1!AE795)</f>
        <v>Meera</v>
      </c>
      <c r="BB796" s="40" t="str">
        <f>_xlfn.CONCAT(Sheet1!AE795," ",Sheet1!AF795)</f>
        <v>Meera Jain</v>
      </c>
    </row>
    <row r="797" spans="40:54">
      <c r="AN797" s="50" t="str">
        <f>Sheet1!B796</f>
        <v>25-02-2024</v>
      </c>
      <c r="AO797" s="50">
        <f t="shared" si="75"/>
        <v>20</v>
      </c>
      <c r="AP797" s="50">
        <f t="shared" si="76"/>
        <v>2</v>
      </c>
      <c r="AQ797" s="50">
        <f t="shared" si="77"/>
        <v>2024</v>
      </c>
      <c r="AR797" s="50" t="str">
        <f t="shared" si="78"/>
        <v>Feb-2024</v>
      </c>
      <c r="AS797" s="52">
        <f t="shared" si="79"/>
        <v>45342</v>
      </c>
      <c r="AT797" s="44">
        <f t="shared" ca="1" si="80"/>
        <v>936</v>
      </c>
      <c r="AU797" s="40" t="str">
        <f>LEFT(Sheet1!AE796,3)</f>
        <v>Kar</v>
      </c>
      <c r="AV797" s="40" t="str">
        <f>RIGHT(Sheet1!AF796,2)</f>
        <v>gh</v>
      </c>
      <c r="AW797" s="40" t="str">
        <f>MID(Sheet1!AE796,2,3)</f>
        <v>ara</v>
      </c>
      <c r="AX797" s="42">
        <f>LEN(Sheet1!AE796)</f>
        <v>5</v>
      </c>
      <c r="AY797" s="40" t="str">
        <f>UPPER(Sheet1!AE796)</f>
        <v>KARAN</v>
      </c>
      <c r="AZ797" s="40" t="str">
        <f>LOWER(Sheet1!AE796)</f>
        <v>karan</v>
      </c>
      <c r="BA797" s="40" t="str">
        <f>PROPER(Sheet1!AE796)</f>
        <v>Karan</v>
      </c>
      <c r="BB797" s="40" t="str">
        <f>_xlfn.CONCAT(Sheet1!AE796," ",Sheet1!AF796)</f>
        <v>Karan Singh</v>
      </c>
    </row>
    <row r="798" spans="40:54">
      <c r="AN798" s="50" t="str">
        <f>Sheet1!B797</f>
        <v>25-02-2024</v>
      </c>
      <c r="AO798" s="50">
        <f t="shared" si="75"/>
        <v>20</v>
      </c>
      <c r="AP798" s="50">
        <f t="shared" si="76"/>
        <v>2</v>
      </c>
      <c r="AQ798" s="50">
        <f t="shared" si="77"/>
        <v>2024</v>
      </c>
      <c r="AR798" s="50" t="str">
        <f t="shared" si="78"/>
        <v>Feb-2024</v>
      </c>
      <c r="AS798" s="52">
        <f t="shared" si="79"/>
        <v>45342</v>
      </c>
      <c r="AT798" s="44">
        <f t="shared" ca="1" si="80"/>
        <v>936</v>
      </c>
      <c r="AU798" s="40" t="str">
        <f>LEFT(Sheet1!AE797,3)</f>
        <v>Kav</v>
      </c>
      <c r="AV798" s="40" t="str">
        <f>RIGHT(Sheet1!AF797,2)</f>
        <v>ar</v>
      </c>
      <c r="AW798" s="40" t="str">
        <f>MID(Sheet1!AE797,2,3)</f>
        <v>avy</v>
      </c>
      <c r="AX798" s="42">
        <f>LEN(Sheet1!AE797)</f>
        <v>5</v>
      </c>
      <c r="AY798" s="40" t="str">
        <f>UPPER(Sheet1!AE797)</f>
        <v>KAVYA</v>
      </c>
      <c r="AZ798" s="40" t="str">
        <f>LOWER(Sheet1!AE797)</f>
        <v>kavya</v>
      </c>
      <c r="BA798" s="40" t="str">
        <f>PROPER(Sheet1!AE797)</f>
        <v>Kavya</v>
      </c>
      <c r="BB798" s="40" t="str">
        <f>_xlfn.CONCAT(Sheet1!AE797," ",Sheet1!AF797)</f>
        <v>Kavya Kumar</v>
      </c>
    </row>
    <row r="799" spans="40:54">
      <c r="AN799" s="50" t="str">
        <f>Sheet1!B798</f>
        <v>25-02-2024</v>
      </c>
      <c r="AO799" s="50">
        <f t="shared" si="75"/>
        <v>21</v>
      </c>
      <c r="AP799" s="50">
        <f t="shared" si="76"/>
        <v>2</v>
      </c>
      <c r="AQ799" s="50">
        <f t="shared" si="77"/>
        <v>2024</v>
      </c>
      <c r="AR799" s="50" t="str">
        <f t="shared" si="78"/>
        <v>Feb-2024</v>
      </c>
      <c r="AS799" s="52">
        <f t="shared" si="79"/>
        <v>45343</v>
      </c>
      <c r="AT799" s="44">
        <f t="shared" ca="1" si="80"/>
        <v>935</v>
      </c>
      <c r="AU799" s="40" t="str">
        <f>LEFT(Sheet1!AE798,3)</f>
        <v>Ana</v>
      </c>
      <c r="AV799" s="40" t="str">
        <f>RIGHT(Sheet1!AF798,2)</f>
        <v>al</v>
      </c>
      <c r="AW799" s="40" t="str">
        <f>MID(Sheet1!AE798,2,3)</f>
        <v>nan</v>
      </c>
      <c r="AX799" s="42">
        <f>LEN(Sheet1!AE798)</f>
        <v>6</v>
      </c>
      <c r="AY799" s="40" t="str">
        <f>UPPER(Sheet1!AE798)</f>
        <v>ANANYA</v>
      </c>
      <c r="AZ799" s="40" t="str">
        <f>LOWER(Sheet1!AE798)</f>
        <v>ananya</v>
      </c>
      <c r="BA799" s="40" t="str">
        <f>PROPER(Sheet1!AE798)</f>
        <v>Ananya</v>
      </c>
      <c r="BB799" s="40" t="str">
        <f>_xlfn.CONCAT(Sheet1!AE798," ",Sheet1!AF798)</f>
        <v>Ananya Agarwal</v>
      </c>
    </row>
    <row r="800" spans="40:54">
      <c r="AN800" s="50" t="str">
        <f>Sheet1!B799</f>
        <v>25-03-2024</v>
      </c>
      <c r="AO800" s="50">
        <f t="shared" si="75"/>
        <v>21</v>
      </c>
      <c r="AP800" s="50">
        <f t="shared" si="76"/>
        <v>3</v>
      </c>
      <c r="AQ800" s="50">
        <f t="shared" si="77"/>
        <v>2024</v>
      </c>
      <c r="AR800" s="50" t="str">
        <f t="shared" si="78"/>
        <v>Mar-2024</v>
      </c>
      <c r="AS800" s="52">
        <f t="shared" si="79"/>
        <v>45372</v>
      </c>
      <c r="AT800" s="44">
        <f t="shared" ca="1" si="80"/>
        <v>906</v>
      </c>
      <c r="AU800" s="40" t="str">
        <f>LEFT(Sheet1!AE799,3)</f>
        <v>Arj</v>
      </c>
      <c r="AV800" s="40" t="str">
        <f>RIGHT(Sheet1!AF799,2)</f>
        <v>ta</v>
      </c>
      <c r="AW800" s="40" t="str">
        <f>MID(Sheet1!AE799,2,3)</f>
        <v>rju</v>
      </c>
      <c r="AX800" s="42">
        <f>LEN(Sheet1!AE799)</f>
        <v>5</v>
      </c>
      <c r="AY800" s="40" t="str">
        <f>UPPER(Sheet1!AE799)</f>
        <v>ARJUN</v>
      </c>
      <c r="AZ800" s="40" t="str">
        <f>LOWER(Sheet1!AE799)</f>
        <v>arjun</v>
      </c>
      <c r="BA800" s="40" t="str">
        <f>PROPER(Sheet1!AE799)</f>
        <v>Arjun</v>
      </c>
      <c r="BB800" s="40" t="str">
        <f>_xlfn.CONCAT(Sheet1!AE799," ",Sheet1!AF799)</f>
        <v>Arjun Gupta</v>
      </c>
    </row>
    <row r="801" spans="40:54">
      <c r="AN801" s="50" t="str">
        <f>Sheet1!B800</f>
        <v>25-03-2025</v>
      </c>
      <c r="AO801" s="50">
        <f t="shared" si="75"/>
        <v>21</v>
      </c>
      <c r="AP801" s="50">
        <f t="shared" si="76"/>
        <v>3</v>
      </c>
      <c r="AQ801" s="50">
        <f t="shared" si="77"/>
        <v>2025</v>
      </c>
      <c r="AR801" s="50" t="str">
        <f t="shared" si="78"/>
        <v>Mar-2025</v>
      </c>
      <c r="AS801" s="52">
        <f t="shared" si="79"/>
        <v>45737</v>
      </c>
      <c r="AT801" s="44">
        <f t="shared" ca="1" si="80"/>
        <v>541</v>
      </c>
      <c r="AU801" s="40" t="str">
        <f>LEFT(Sheet1!AE800,3)</f>
        <v>Rah</v>
      </c>
      <c r="AV801" s="40" t="str">
        <f>RIGHT(Sheet1!AF800,2)</f>
        <v>ta</v>
      </c>
      <c r="AW801" s="40" t="str">
        <f>MID(Sheet1!AE800,2,3)</f>
        <v>ahu</v>
      </c>
      <c r="AX801" s="42">
        <f>LEN(Sheet1!AE800)</f>
        <v>5</v>
      </c>
      <c r="AY801" s="40" t="str">
        <f>UPPER(Sheet1!AE800)</f>
        <v>RAHUL</v>
      </c>
      <c r="AZ801" s="40" t="str">
        <f>LOWER(Sheet1!AE800)</f>
        <v>rahul</v>
      </c>
      <c r="BA801" s="40" t="str">
        <f>PROPER(Sheet1!AE800)</f>
        <v>Rahul</v>
      </c>
      <c r="BB801" s="40" t="str">
        <f>_xlfn.CONCAT(Sheet1!AE800," ",Sheet1!AF800)</f>
        <v>Rahul Mehta</v>
      </c>
    </row>
    <row r="802" spans="40:54">
      <c r="AN802" s="50" t="str">
        <f>Sheet1!B801</f>
        <v>25-04-2024</v>
      </c>
      <c r="AO802" s="50">
        <f t="shared" si="75"/>
        <v>21</v>
      </c>
      <c r="AP802" s="50">
        <f t="shared" si="76"/>
        <v>4</v>
      </c>
      <c r="AQ802" s="50">
        <f t="shared" si="77"/>
        <v>2024</v>
      </c>
      <c r="AR802" s="50" t="str">
        <f t="shared" si="78"/>
        <v>Apr-2024</v>
      </c>
      <c r="AS802" s="52">
        <f t="shared" si="79"/>
        <v>45403</v>
      </c>
      <c r="AT802" s="44">
        <f t="shared" ca="1" si="80"/>
        <v>875</v>
      </c>
      <c r="AU802" s="40" t="str">
        <f>LEFT(Sheet1!AE801,3)</f>
        <v>Roh</v>
      </c>
      <c r="AV802" s="40" t="str">
        <f>RIGHT(Sheet1!AF801,2)</f>
        <v>ta</v>
      </c>
      <c r="AW802" s="40" t="str">
        <f>MID(Sheet1!AE801,2,3)</f>
        <v>oha</v>
      </c>
      <c r="AX802" s="42">
        <f>LEN(Sheet1!AE801)</f>
        <v>5</v>
      </c>
      <c r="AY802" s="40" t="str">
        <f>UPPER(Sheet1!AE801)</f>
        <v>ROHAN</v>
      </c>
      <c r="AZ802" s="40" t="str">
        <f>LOWER(Sheet1!AE801)</f>
        <v>rohan</v>
      </c>
      <c r="BA802" s="40" t="str">
        <f>PROPER(Sheet1!AE801)</f>
        <v>Rohan</v>
      </c>
      <c r="BB802" s="40" t="str">
        <f>_xlfn.CONCAT(Sheet1!AE801," ",Sheet1!AF801)</f>
        <v>Rohan Mehta</v>
      </c>
    </row>
    <row r="803" spans="40:54">
      <c r="AN803" s="50" t="str">
        <f>Sheet1!B802</f>
        <v>25-04-2025</v>
      </c>
      <c r="AO803" s="50">
        <f t="shared" si="75"/>
        <v>21</v>
      </c>
      <c r="AP803" s="50">
        <f t="shared" si="76"/>
        <v>4</v>
      </c>
      <c r="AQ803" s="50">
        <f t="shared" si="77"/>
        <v>2025</v>
      </c>
      <c r="AR803" s="50" t="str">
        <f t="shared" si="78"/>
        <v>Apr-2025</v>
      </c>
      <c r="AS803" s="52">
        <f t="shared" si="79"/>
        <v>45768</v>
      </c>
      <c r="AT803" s="44">
        <f t="shared" ca="1" si="80"/>
        <v>510</v>
      </c>
      <c r="AU803" s="40" t="str">
        <f>LEFT(Sheet1!AE802,3)</f>
        <v>Riy</v>
      </c>
      <c r="AV803" s="40" t="str">
        <f>RIGHT(Sheet1!AF802,2)</f>
        <v>av</v>
      </c>
      <c r="AW803" s="40" t="str">
        <f>MID(Sheet1!AE802,2,3)</f>
        <v>iya</v>
      </c>
      <c r="AX803" s="42">
        <f>LEN(Sheet1!AE802)</f>
        <v>4</v>
      </c>
      <c r="AY803" s="40" t="str">
        <f>UPPER(Sheet1!AE802)</f>
        <v>RIYA</v>
      </c>
      <c r="AZ803" s="40" t="str">
        <f>LOWER(Sheet1!AE802)</f>
        <v>riya</v>
      </c>
      <c r="BA803" s="40" t="str">
        <f>PROPER(Sheet1!AE802)</f>
        <v>Riya</v>
      </c>
      <c r="BB803" s="40" t="str">
        <f>_xlfn.CONCAT(Sheet1!AE802," ",Sheet1!AF802)</f>
        <v>Riya Yadav</v>
      </c>
    </row>
    <row r="804" spans="40:54">
      <c r="AN804" s="50" t="str">
        <f>Sheet1!B803</f>
        <v>25-05-2024</v>
      </c>
      <c r="AO804" s="50">
        <f t="shared" si="75"/>
        <v>21</v>
      </c>
      <c r="AP804" s="50">
        <f t="shared" si="76"/>
        <v>5</v>
      </c>
      <c r="AQ804" s="50">
        <f t="shared" si="77"/>
        <v>2024</v>
      </c>
      <c r="AR804" s="50" t="str">
        <f t="shared" si="78"/>
        <v>May-2024</v>
      </c>
      <c r="AS804" s="52">
        <f t="shared" si="79"/>
        <v>45433</v>
      </c>
      <c r="AT804" s="44">
        <f t="shared" ca="1" si="80"/>
        <v>845</v>
      </c>
      <c r="AU804" s="40" t="str">
        <f>LEFT(Sheet1!AE803,3)</f>
        <v>Kav</v>
      </c>
      <c r="AV804" s="40" t="str">
        <f>RIGHT(Sheet1!AF803,2)</f>
        <v>ra</v>
      </c>
      <c r="AW804" s="40" t="str">
        <f>MID(Sheet1!AE803,2,3)</f>
        <v>avy</v>
      </c>
      <c r="AX804" s="42">
        <f>LEN(Sheet1!AE803)</f>
        <v>5</v>
      </c>
      <c r="AY804" s="40" t="str">
        <f>UPPER(Sheet1!AE803)</f>
        <v>KAVYA</v>
      </c>
      <c r="AZ804" s="40" t="str">
        <f>LOWER(Sheet1!AE803)</f>
        <v>kavya</v>
      </c>
      <c r="BA804" s="40" t="str">
        <f>PROPER(Sheet1!AE803)</f>
        <v>Kavya</v>
      </c>
      <c r="BB804" s="40" t="str">
        <f>_xlfn.CONCAT(Sheet1!AE803," ",Sheet1!AF803)</f>
        <v>Kavya Chopra</v>
      </c>
    </row>
    <row r="805" spans="40:54">
      <c r="AN805" s="50" t="str">
        <f>Sheet1!B804</f>
        <v>25-05-2024</v>
      </c>
      <c r="AO805" s="50">
        <f t="shared" si="75"/>
        <v>21</v>
      </c>
      <c r="AP805" s="50">
        <f t="shared" si="76"/>
        <v>5</v>
      </c>
      <c r="AQ805" s="50">
        <f t="shared" si="77"/>
        <v>2024</v>
      </c>
      <c r="AR805" s="50" t="str">
        <f t="shared" si="78"/>
        <v>May-2024</v>
      </c>
      <c r="AS805" s="52">
        <f t="shared" si="79"/>
        <v>45433</v>
      </c>
      <c r="AT805" s="44">
        <f t="shared" ca="1" si="80"/>
        <v>845</v>
      </c>
      <c r="AU805" s="40" t="str">
        <f>LEFT(Sheet1!AE804,3)</f>
        <v>Adi</v>
      </c>
      <c r="AV805" s="40" t="str">
        <f>RIGHT(Sheet1!AF804,2)</f>
        <v>ra</v>
      </c>
      <c r="AW805" s="40" t="str">
        <f>MID(Sheet1!AE804,2,3)</f>
        <v>dit</v>
      </c>
      <c r="AX805" s="42">
        <f>LEN(Sheet1!AE804)</f>
        <v>6</v>
      </c>
      <c r="AY805" s="40" t="str">
        <f>UPPER(Sheet1!AE804)</f>
        <v>ADITYA</v>
      </c>
      <c r="AZ805" s="40" t="str">
        <f>LOWER(Sheet1!AE804)</f>
        <v>aditya</v>
      </c>
      <c r="BA805" s="40" t="str">
        <f>PROPER(Sheet1!AE804)</f>
        <v>Aditya</v>
      </c>
      <c r="BB805" s="40" t="str">
        <f>_xlfn.CONCAT(Sheet1!AE804," ",Sheet1!AF804)</f>
        <v>Aditya Malhotra</v>
      </c>
    </row>
    <row r="806" spans="40:54">
      <c r="AN806" s="50" t="str">
        <f>Sheet1!B805</f>
        <v>25-06-2025</v>
      </c>
      <c r="AO806" s="50">
        <f t="shared" si="75"/>
        <v>21</v>
      </c>
      <c r="AP806" s="50">
        <f t="shared" si="76"/>
        <v>6</v>
      </c>
      <c r="AQ806" s="50">
        <f t="shared" si="77"/>
        <v>2025</v>
      </c>
      <c r="AR806" s="50" t="str">
        <f t="shared" si="78"/>
        <v>Jun-2025</v>
      </c>
      <c r="AS806" s="52">
        <f t="shared" si="79"/>
        <v>45829</v>
      </c>
      <c r="AT806" s="44">
        <f t="shared" ca="1" si="80"/>
        <v>449</v>
      </c>
      <c r="AU806" s="40" t="str">
        <f>LEFT(Sheet1!AE805,3)</f>
        <v>Kar</v>
      </c>
      <c r="AV806" s="40" t="str">
        <f>RIGHT(Sheet1!AF805,2)</f>
        <v>or</v>
      </c>
      <c r="AW806" s="40" t="str">
        <f>MID(Sheet1!AE805,2,3)</f>
        <v>ara</v>
      </c>
      <c r="AX806" s="42">
        <f>LEN(Sheet1!AE805)</f>
        <v>5</v>
      </c>
      <c r="AY806" s="40" t="str">
        <f>UPPER(Sheet1!AE805)</f>
        <v>KARAN</v>
      </c>
      <c r="AZ806" s="40" t="str">
        <f>LOWER(Sheet1!AE805)</f>
        <v>karan</v>
      </c>
      <c r="BA806" s="40" t="str">
        <f>PROPER(Sheet1!AE805)</f>
        <v>Karan</v>
      </c>
      <c r="BB806" s="40" t="str">
        <f>_xlfn.CONCAT(Sheet1!AE805," ",Sheet1!AF805)</f>
        <v>Karan Kapoor</v>
      </c>
    </row>
    <row r="807" spans="40:54">
      <c r="AN807" s="50" t="str">
        <f>Sheet1!B806</f>
        <v>25-06-2025</v>
      </c>
      <c r="AO807" s="50">
        <f t="shared" si="75"/>
        <v>21</v>
      </c>
      <c r="AP807" s="50">
        <f t="shared" si="76"/>
        <v>6</v>
      </c>
      <c r="AQ807" s="50">
        <f t="shared" si="77"/>
        <v>2025</v>
      </c>
      <c r="AR807" s="50" t="str">
        <f t="shared" si="78"/>
        <v>Jun-2025</v>
      </c>
      <c r="AS807" s="52">
        <f t="shared" si="79"/>
        <v>45829</v>
      </c>
      <c r="AT807" s="44">
        <f t="shared" ca="1" si="80"/>
        <v>449</v>
      </c>
      <c r="AU807" s="40" t="str">
        <f>LEFT(Sheet1!AE806,3)</f>
        <v>Adi</v>
      </c>
      <c r="AV807" s="40" t="str">
        <f>RIGHT(Sheet1!AF806,2)</f>
        <v>ra</v>
      </c>
      <c r="AW807" s="40" t="str">
        <f>MID(Sheet1!AE806,2,3)</f>
        <v>dit</v>
      </c>
      <c r="AX807" s="42">
        <f>LEN(Sheet1!AE806)</f>
        <v>6</v>
      </c>
      <c r="AY807" s="40" t="str">
        <f>UPPER(Sheet1!AE806)</f>
        <v>ADITYA</v>
      </c>
      <c r="AZ807" s="40" t="str">
        <f>LOWER(Sheet1!AE806)</f>
        <v>aditya</v>
      </c>
      <c r="BA807" s="40" t="str">
        <f>PROPER(Sheet1!AE806)</f>
        <v>Aditya</v>
      </c>
      <c r="BB807" s="40" t="str">
        <f>_xlfn.CONCAT(Sheet1!AE806," ",Sheet1!AF806)</f>
        <v>Aditya Malhotra</v>
      </c>
    </row>
    <row r="808" spans="40:54">
      <c r="AN808" s="50" t="str">
        <f>Sheet1!B807</f>
        <v>25-07-2024</v>
      </c>
      <c r="AO808" s="50">
        <f t="shared" si="75"/>
        <v>21</v>
      </c>
      <c r="AP808" s="50">
        <f t="shared" si="76"/>
        <v>7</v>
      </c>
      <c r="AQ808" s="50">
        <f t="shared" si="77"/>
        <v>2024</v>
      </c>
      <c r="AR808" s="50" t="str">
        <f t="shared" si="78"/>
        <v>Jul-2024</v>
      </c>
      <c r="AS808" s="52">
        <f t="shared" si="79"/>
        <v>45494</v>
      </c>
      <c r="AT808" s="44">
        <f t="shared" ca="1" si="80"/>
        <v>784</v>
      </c>
      <c r="AU808" s="40" t="str">
        <f>LEFT(Sheet1!AE807,3)</f>
        <v>Nis</v>
      </c>
      <c r="AV808" s="40" t="str">
        <f>RIGHT(Sheet1!AF807,2)</f>
        <v>ma</v>
      </c>
      <c r="AW808" s="40" t="str">
        <f>MID(Sheet1!AE807,2,3)</f>
        <v>ish</v>
      </c>
      <c r="AX808" s="42">
        <f>LEN(Sheet1!AE807)</f>
        <v>5</v>
      </c>
      <c r="AY808" s="40" t="str">
        <f>UPPER(Sheet1!AE807)</f>
        <v>NISHA</v>
      </c>
      <c r="AZ808" s="40" t="str">
        <f>LOWER(Sheet1!AE807)</f>
        <v>nisha</v>
      </c>
      <c r="BA808" s="40" t="str">
        <f>PROPER(Sheet1!AE807)</f>
        <v>Nisha</v>
      </c>
      <c r="BB808" s="40" t="str">
        <f>_xlfn.CONCAT(Sheet1!AE807," ",Sheet1!AF807)</f>
        <v>Nisha Sharma</v>
      </c>
    </row>
    <row r="809" spans="40:54">
      <c r="AN809" s="50" t="str">
        <f>Sheet1!B808</f>
        <v>25-07-2025</v>
      </c>
      <c r="AO809" s="50">
        <f t="shared" si="75"/>
        <v>21</v>
      </c>
      <c r="AP809" s="50">
        <f t="shared" si="76"/>
        <v>7</v>
      </c>
      <c r="AQ809" s="50">
        <f t="shared" si="77"/>
        <v>2025</v>
      </c>
      <c r="AR809" s="50" t="str">
        <f t="shared" si="78"/>
        <v>Jul-2025</v>
      </c>
      <c r="AS809" s="52">
        <f t="shared" si="79"/>
        <v>45859</v>
      </c>
      <c r="AT809" s="44">
        <f t="shared" ca="1" si="80"/>
        <v>419</v>
      </c>
      <c r="AU809" s="40" t="str">
        <f>LEFT(Sheet1!AE808,3)</f>
        <v>Vik</v>
      </c>
      <c r="AV809" s="40" t="str">
        <f>RIGHT(Sheet1!AF808,2)</f>
        <v>al</v>
      </c>
      <c r="AW809" s="40" t="str">
        <f>MID(Sheet1!AE808,2,3)</f>
        <v>ikr</v>
      </c>
      <c r="AX809" s="42">
        <f>LEN(Sheet1!AE808)</f>
        <v>6</v>
      </c>
      <c r="AY809" s="40" t="str">
        <f>UPPER(Sheet1!AE808)</f>
        <v>VIKRAM</v>
      </c>
      <c r="AZ809" s="40" t="str">
        <f>LOWER(Sheet1!AE808)</f>
        <v>vikram</v>
      </c>
      <c r="BA809" s="40" t="str">
        <f>PROPER(Sheet1!AE808)</f>
        <v>Vikram</v>
      </c>
      <c r="BB809" s="40" t="str">
        <f>_xlfn.CONCAT(Sheet1!AE808," ",Sheet1!AF808)</f>
        <v>Vikram Agarwal</v>
      </c>
    </row>
    <row r="810" spans="40:54">
      <c r="AN810" s="50" t="str">
        <f>Sheet1!B809</f>
        <v>25-08-2025</v>
      </c>
      <c r="AO810" s="50">
        <f t="shared" si="75"/>
        <v>21</v>
      </c>
      <c r="AP810" s="50">
        <f t="shared" si="76"/>
        <v>8</v>
      </c>
      <c r="AQ810" s="50">
        <f t="shared" si="77"/>
        <v>2025</v>
      </c>
      <c r="AR810" s="50" t="str">
        <f t="shared" si="78"/>
        <v>Aug-2025</v>
      </c>
      <c r="AS810" s="52">
        <f t="shared" si="79"/>
        <v>45890</v>
      </c>
      <c r="AT810" s="44">
        <f t="shared" ca="1" si="80"/>
        <v>388</v>
      </c>
      <c r="AU810" s="40" t="str">
        <f>LEFT(Sheet1!AE809,3)</f>
        <v>Pri</v>
      </c>
      <c r="AV810" s="40" t="str">
        <f>RIGHT(Sheet1!AF809,2)</f>
        <v>or</v>
      </c>
      <c r="AW810" s="40" t="str">
        <f>MID(Sheet1!AE809,2,3)</f>
        <v>riy</v>
      </c>
      <c r="AX810" s="42">
        <f>LEN(Sheet1!AE809)</f>
        <v>5</v>
      </c>
      <c r="AY810" s="40" t="str">
        <f>UPPER(Sheet1!AE809)</f>
        <v>PRIYA</v>
      </c>
      <c r="AZ810" s="40" t="str">
        <f>LOWER(Sheet1!AE809)</f>
        <v>priya</v>
      </c>
      <c r="BA810" s="40" t="str">
        <f>PROPER(Sheet1!AE809)</f>
        <v>Priya</v>
      </c>
      <c r="BB810" s="40" t="str">
        <f>_xlfn.CONCAT(Sheet1!AE809," ",Sheet1!AF809)</f>
        <v>Priya Kapoor</v>
      </c>
    </row>
    <row r="811" spans="40:54">
      <c r="AN811" s="50" t="str">
        <f>Sheet1!B810</f>
        <v>25-08-2025</v>
      </c>
      <c r="AO811" s="50">
        <f t="shared" si="75"/>
        <v>21</v>
      </c>
      <c r="AP811" s="50">
        <f t="shared" si="76"/>
        <v>8</v>
      </c>
      <c r="AQ811" s="50">
        <f t="shared" si="77"/>
        <v>2025</v>
      </c>
      <c r="AR811" s="50" t="str">
        <f t="shared" si="78"/>
        <v>Aug-2025</v>
      </c>
      <c r="AS811" s="52">
        <f t="shared" si="79"/>
        <v>45890</v>
      </c>
      <c r="AT811" s="44">
        <f t="shared" ca="1" si="80"/>
        <v>388</v>
      </c>
      <c r="AU811" s="40" t="str">
        <f>LEFT(Sheet1!AE810,3)</f>
        <v>Aar</v>
      </c>
      <c r="AV811" s="40" t="str">
        <f>RIGHT(Sheet1!AF810,2)</f>
        <v>ra</v>
      </c>
      <c r="AW811" s="40" t="str">
        <f>MID(Sheet1!AE810,2,3)</f>
        <v>ara</v>
      </c>
      <c r="AX811" s="42">
        <f>LEN(Sheet1!AE810)</f>
        <v>5</v>
      </c>
      <c r="AY811" s="40" t="str">
        <f>UPPER(Sheet1!AE810)</f>
        <v>AARAV</v>
      </c>
      <c r="AZ811" s="40" t="str">
        <f>LOWER(Sheet1!AE810)</f>
        <v>aarav</v>
      </c>
      <c r="BA811" s="40" t="str">
        <f>PROPER(Sheet1!AE810)</f>
        <v>Aarav</v>
      </c>
      <c r="BB811" s="40" t="str">
        <f>_xlfn.CONCAT(Sheet1!AE810," ",Sheet1!AF810)</f>
        <v>Aarav Malhotra</v>
      </c>
    </row>
    <row r="812" spans="40:54">
      <c r="AN812" s="50" t="str">
        <f>Sheet1!B811</f>
        <v>25-09-2025</v>
      </c>
      <c r="AO812" s="50">
        <f t="shared" si="75"/>
        <v>21</v>
      </c>
      <c r="AP812" s="50">
        <f t="shared" si="76"/>
        <v>9</v>
      </c>
      <c r="AQ812" s="50">
        <f t="shared" si="77"/>
        <v>2025</v>
      </c>
      <c r="AR812" s="50" t="str">
        <f t="shared" si="78"/>
        <v>Sep-2025</v>
      </c>
      <c r="AS812" s="52">
        <f t="shared" si="79"/>
        <v>45921</v>
      </c>
      <c r="AT812" s="44">
        <f t="shared" ca="1" si="80"/>
        <v>357</v>
      </c>
      <c r="AU812" s="40" t="str">
        <f>LEFT(Sheet1!AE811,3)</f>
        <v>Poo</v>
      </c>
      <c r="AV812" s="40" t="str">
        <f>RIGHT(Sheet1!AF811,2)</f>
        <v>ra</v>
      </c>
      <c r="AW812" s="40" t="str">
        <f>MID(Sheet1!AE811,2,3)</f>
        <v>ooj</v>
      </c>
      <c r="AX812" s="42">
        <f>LEN(Sheet1!AE811)</f>
        <v>5</v>
      </c>
      <c r="AY812" s="40" t="str">
        <f>UPPER(Sheet1!AE811)</f>
        <v>POOJA</v>
      </c>
      <c r="AZ812" s="40" t="str">
        <f>LOWER(Sheet1!AE811)</f>
        <v>pooja</v>
      </c>
      <c r="BA812" s="40" t="str">
        <f>PROPER(Sheet1!AE811)</f>
        <v>Pooja</v>
      </c>
      <c r="BB812" s="40" t="str">
        <f>_xlfn.CONCAT(Sheet1!AE811," ",Sheet1!AF811)</f>
        <v>Pooja Chopra</v>
      </c>
    </row>
    <row r="813" spans="40:54">
      <c r="AN813" s="50" t="str">
        <f>Sheet1!B812</f>
        <v>25-09-2025</v>
      </c>
      <c r="AO813" s="50">
        <f t="shared" si="75"/>
        <v>21</v>
      </c>
      <c r="AP813" s="50">
        <f t="shared" si="76"/>
        <v>9</v>
      </c>
      <c r="AQ813" s="50">
        <f t="shared" si="77"/>
        <v>2025</v>
      </c>
      <c r="AR813" s="50" t="str">
        <f t="shared" si="78"/>
        <v>Sep-2025</v>
      </c>
      <c r="AS813" s="52">
        <f t="shared" si="79"/>
        <v>45921</v>
      </c>
      <c r="AT813" s="44">
        <f t="shared" ca="1" si="80"/>
        <v>357</v>
      </c>
      <c r="AU813" s="40" t="str">
        <f>LEFT(Sheet1!AE812,3)</f>
        <v>Pri</v>
      </c>
      <c r="AV813" s="40" t="str">
        <f>RIGHT(Sheet1!AF812,2)</f>
        <v>ta</v>
      </c>
      <c r="AW813" s="40" t="str">
        <f>MID(Sheet1!AE812,2,3)</f>
        <v>riy</v>
      </c>
      <c r="AX813" s="42">
        <f>LEN(Sheet1!AE812)</f>
        <v>5</v>
      </c>
      <c r="AY813" s="40" t="str">
        <f>UPPER(Sheet1!AE812)</f>
        <v>PRIYA</v>
      </c>
      <c r="AZ813" s="40" t="str">
        <f>LOWER(Sheet1!AE812)</f>
        <v>priya</v>
      </c>
      <c r="BA813" s="40" t="str">
        <f>PROPER(Sheet1!AE812)</f>
        <v>Priya</v>
      </c>
      <c r="BB813" s="40" t="str">
        <f>_xlfn.CONCAT(Sheet1!AE812," ",Sheet1!AF812)</f>
        <v>Priya Mehta</v>
      </c>
    </row>
    <row r="814" spans="40:54">
      <c r="AN814" s="50" t="str">
        <f>Sheet1!B813</f>
        <v>25-10-2025</v>
      </c>
      <c r="AO814" s="50">
        <f t="shared" si="75"/>
        <v>21</v>
      </c>
      <c r="AP814" s="50">
        <f t="shared" si="76"/>
        <v>10</v>
      </c>
      <c r="AQ814" s="50">
        <f t="shared" si="77"/>
        <v>2025</v>
      </c>
      <c r="AR814" s="50" t="str">
        <f t="shared" si="78"/>
        <v>Oct-2025</v>
      </c>
      <c r="AS814" s="52">
        <f t="shared" si="79"/>
        <v>45951</v>
      </c>
      <c r="AT814" s="44">
        <f t="shared" ca="1" si="80"/>
        <v>327</v>
      </c>
      <c r="AU814" s="40" t="str">
        <f>LEFT(Sheet1!AE813,3)</f>
        <v>Ish</v>
      </c>
      <c r="AV814" s="40" t="str">
        <f>RIGHT(Sheet1!AF813,2)</f>
        <v>ta</v>
      </c>
      <c r="AW814" s="40" t="str">
        <f>MID(Sheet1!AE813,2,3)</f>
        <v>shi</v>
      </c>
      <c r="AX814" s="42">
        <f>LEN(Sheet1!AE813)</f>
        <v>6</v>
      </c>
      <c r="AY814" s="40" t="str">
        <f>UPPER(Sheet1!AE813)</f>
        <v>ISHITA</v>
      </c>
      <c r="AZ814" s="40" t="str">
        <f>LOWER(Sheet1!AE813)</f>
        <v>ishita</v>
      </c>
      <c r="BA814" s="40" t="str">
        <f>PROPER(Sheet1!AE813)</f>
        <v>Ishita</v>
      </c>
      <c r="BB814" s="40" t="str">
        <f>_xlfn.CONCAT(Sheet1!AE813," ",Sheet1!AF813)</f>
        <v>Ishita Gupta</v>
      </c>
    </row>
    <row r="815" spans="40:54">
      <c r="AN815" s="50" t="str">
        <f>Sheet1!B814</f>
        <v>25-11-2025</v>
      </c>
      <c r="AO815" s="50">
        <f t="shared" si="75"/>
        <v>21</v>
      </c>
      <c r="AP815" s="50">
        <f t="shared" si="76"/>
        <v>11</v>
      </c>
      <c r="AQ815" s="50">
        <f t="shared" si="77"/>
        <v>2025</v>
      </c>
      <c r="AR815" s="50" t="str">
        <f t="shared" si="78"/>
        <v>Nov-2025</v>
      </c>
      <c r="AS815" s="52">
        <f t="shared" si="79"/>
        <v>45982</v>
      </c>
      <c r="AT815" s="44">
        <f t="shared" ca="1" si="80"/>
        <v>296</v>
      </c>
      <c r="AU815" s="40" t="str">
        <f>LEFT(Sheet1!AE814,3)</f>
        <v>Sne</v>
      </c>
      <c r="AV815" s="40" t="str">
        <f>RIGHT(Sheet1!AF814,2)</f>
        <v>in</v>
      </c>
      <c r="AW815" s="40" t="str">
        <f>MID(Sheet1!AE814,2,3)</f>
        <v>neh</v>
      </c>
      <c r="AX815" s="42">
        <f>LEN(Sheet1!AE814)</f>
        <v>5</v>
      </c>
      <c r="AY815" s="40" t="str">
        <f>UPPER(Sheet1!AE814)</f>
        <v>SNEHA</v>
      </c>
      <c r="AZ815" s="40" t="str">
        <f>LOWER(Sheet1!AE814)</f>
        <v>sneha</v>
      </c>
      <c r="BA815" s="40" t="str">
        <f>PROPER(Sheet1!AE814)</f>
        <v>Sneha</v>
      </c>
      <c r="BB815" s="40" t="str">
        <f>_xlfn.CONCAT(Sheet1!AE814," ",Sheet1!AF814)</f>
        <v>Sneha Jain</v>
      </c>
    </row>
    <row r="816" spans="40:54">
      <c r="AN816" s="50" t="str">
        <f>Sheet1!B815</f>
        <v>25-11-2025</v>
      </c>
      <c r="AO816" s="50">
        <f t="shared" si="75"/>
        <v>21</v>
      </c>
      <c r="AP816" s="50">
        <f t="shared" si="76"/>
        <v>11</v>
      </c>
      <c r="AQ816" s="50">
        <f t="shared" si="77"/>
        <v>2025</v>
      </c>
      <c r="AR816" s="50" t="str">
        <f t="shared" si="78"/>
        <v>Nov-2025</v>
      </c>
      <c r="AS816" s="52">
        <f t="shared" si="79"/>
        <v>45982</v>
      </c>
      <c r="AT816" s="44">
        <f t="shared" ca="1" si="80"/>
        <v>296</v>
      </c>
      <c r="AU816" s="40" t="str">
        <f>LEFT(Sheet1!AE815,3)</f>
        <v>Roh</v>
      </c>
      <c r="AV816" s="40" t="str">
        <f>RIGHT(Sheet1!AF815,2)</f>
        <v>ta</v>
      </c>
      <c r="AW816" s="40" t="str">
        <f>MID(Sheet1!AE815,2,3)</f>
        <v>oha</v>
      </c>
      <c r="AX816" s="42">
        <f>LEN(Sheet1!AE815)</f>
        <v>5</v>
      </c>
      <c r="AY816" s="40" t="str">
        <f>UPPER(Sheet1!AE815)</f>
        <v>ROHAN</v>
      </c>
      <c r="AZ816" s="40" t="str">
        <f>LOWER(Sheet1!AE815)</f>
        <v>rohan</v>
      </c>
      <c r="BA816" s="40" t="str">
        <f>PROPER(Sheet1!AE815)</f>
        <v>Rohan</v>
      </c>
      <c r="BB816" s="40" t="str">
        <f>_xlfn.CONCAT(Sheet1!AE815," ",Sheet1!AF815)</f>
        <v>Rohan Mehta</v>
      </c>
    </row>
    <row r="817" spans="40:54">
      <c r="AN817" s="50" t="str">
        <f>Sheet1!B816</f>
        <v>25-11-2025</v>
      </c>
      <c r="AO817" s="50">
        <f t="shared" si="75"/>
        <v>21</v>
      </c>
      <c r="AP817" s="50">
        <f t="shared" si="76"/>
        <v>11</v>
      </c>
      <c r="AQ817" s="50">
        <f t="shared" si="77"/>
        <v>2025</v>
      </c>
      <c r="AR817" s="50" t="str">
        <f t="shared" si="78"/>
        <v>Nov-2025</v>
      </c>
      <c r="AS817" s="52">
        <f t="shared" si="79"/>
        <v>45982</v>
      </c>
      <c r="AT817" s="44">
        <f t="shared" ca="1" si="80"/>
        <v>296</v>
      </c>
      <c r="AU817" s="40" t="str">
        <f>LEFT(Sheet1!AE816,3)</f>
        <v>Vik</v>
      </c>
      <c r="AV817" s="40" t="str">
        <f>RIGHT(Sheet1!AF816,2)</f>
        <v>in</v>
      </c>
      <c r="AW817" s="40" t="str">
        <f>MID(Sheet1!AE816,2,3)</f>
        <v>ikr</v>
      </c>
      <c r="AX817" s="42">
        <f>LEN(Sheet1!AE816)</f>
        <v>6</v>
      </c>
      <c r="AY817" s="40" t="str">
        <f>UPPER(Sheet1!AE816)</f>
        <v>VIKRAM</v>
      </c>
      <c r="AZ817" s="40" t="str">
        <f>LOWER(Sheet1!AE816)</f>
        <v>vikram</v>
      </c>
      <c r="BA817" s="40" t="str">
        <f>PROPER(Sheet1!AE816)</f>
        <v>Vikram</v>
      </c>
      <c r="BB817" s="40" t="str">
        <f>_xlfn.CONCAT(Sheet1!AE816," ",Sheet1!AF816)</f>
        <v>Vikram Jain</v>
      </c>
    </row>
    <row r="818" spans="40:54">
      <c r="AN818" s="50" t="str">
        <f>Sheet1!B817</f>
        <v>25-12-2024</v>
      </c>
      <c r="AO818" s="50">
        <f t="shared" si="75"/>
        <v>21</v>
      </c>
      <c r="AP818" s="50">
        <f t="shared" si="76"/>
        <v>12</v>
      </c>
      <c r="AQ818" s="50">
        <f t="shared" si="77"/>
        <v>2024</v>
      </c>
      <c r="AR818" s="50" t="str">
        <f t="shared" si="78"/>
        <v>Dec-2024</v>
      </c>
      <c r="AS818" s="52">
        <f t="shared" si="79"/>
        <v>45647</v>
      </c>
      <c r="AT818" s="44">
        <f t="shared" ca="1" si="80"/>
        <v>631</v>
      </c>
      <c r="AU818" s="40" t="str">
        <f>LEFT(Sheet1!AE817,3)</f>
        <v>Aar</v>
      </c>
      <c r="AV818" s="40" t="str">
        <f>RIGHT(Sheet1!AF817,2)</f>
        <v>al</v>
      </c>
      <c r="AW818" s="40" t="str">
        <f>MID(Sheet1!AE817,2,3)</f>
        <v>ara</v>
      </c>
      <c r="AX818" s="42">
        <f>LEN(Sheet1!AE817)</f>
        <v>5</v>
      </c>
      <c r="AY818" s="40" t="str">
        <f>UPPER(Sheet1!AE817)</f>
        <v>AARAV</v>
      </c>
      <c r="AZ818" s="40" t="str">
        <f>LOWER(Sheet1!AE817)</f>
        <v>aarav</v>
      </c>
      <c r="BA818" s="40" t="str">
        <f>PROPER(Sheet1!AE817)</f>
        <v>Aarav</v>
      </c>
      <c r="BB818" s="40" t="str">
        <f>_xlfn.CONCAT(Sheet1!AE817," ",Sheet1!AF817)</f>
        <v>Aarav Bansal</v>
      </c>
    </row>
    <row r="819" spans="40:54">
      <c r="AN819" s="50" t="str">
        <f>Sheet1!B818</f>
        <v>25-12-2025</v>
      </c>
      <c r="AO819" s="50">
        <f t="shared" si="75"/>
        <v>21</v>
      </c>
      <c r="AP819" s="50">
        <f t="shared" si="76"/>
        <v>12</v>
      </c>
      <c r="AQ819" s="50">
        <f t="shared" si="77"/>
        <v>2025</v>
      </c>
      <c r="AR819" s="50" t="str">
        <f t="shared" si="78"/>
        <v>Dec-2025</v>
      </c>
      <c r="AS819" s="52">
        <f t="shared" si="79"/>
        <v>46012</v>
      </c>
      <c r="AT819" s="44">
        <f t="shared" ca="1" si="80"/>
        <v>266</v>
      </c>
      <c r="AU819" s="40" t="str">
        <f>LEFT(Sheet1!AE818,3)</f>
        <v>Neh</v>
      </c>
      <c r="AV819" s="40" t="str">
        <f>RIGHT(Sheet1!AF818,2)</f>
        <v>ma</v>
      </c>
      <c r="AW819" s="40" t="str">
        <f>MID(Sheet1!AE818,2,3)</f>
        <v>eha</v>
      </c>
      <c r="AX819" s="42">
        <f>LEN(Sheet1!AE818)</f>
        <v>4</v>
      </c>
      <c r="AY819" s="40" t="str">
        <f>UPPER(Sheet1!AE818)</f>
        <v>NEHA</v>
      </c>
      <c r="AZ819" s="40" t="str">
        <f>LOWER(Sheet1!AE818)</f>
        <v>neha</v>
      </c>
      <c r="BA819" s="40" t="str">
        <f>PROPER(Sheet1!AE818)</f>
        <v>Neha</v>
      </c>
      <c r="BB819" s="40" t="str">
        <f>_xlfn.CONCAT(Sheet1!AE818," ",Sheet1!AF818)</f>
        <v>Neha Verma</v>
      </c>
    </row>
    <row r="820" spans="40:54">
      <c r="AN820" s="50" t="str">
        <f>Sheet1!B819</f>
        <v>25-12-2025</v>
      </c>
      <c r="AO820" s="50">
        <f t="shared" si="75"/>
        <v>21</v>
      </c>
      <c r="AP820" s="50">
        <f t="shared" si="76"/>
        <v>12</v>
      </c>
      <c r="AQ820" s="50">
        <f t="shared" si="77"/>
        <v>2025</v>
      </c>
      <c r="AR820" s="50" t="str">
        <f t="shared" si="78"/>
        <v>Dec-2025</v>
      </c>
      <c r="AS820" s="52">
        <f t="shared" si="79"/>
        <v>46012</v>
      </c>
      <c r="AT820" s="44">
        <f t="shared" ca="1" si="80"/>
        <v>266</v>
      </c>
      <c r="AU820" s="40" t="str">
        <f>LEFT(Sheet1!AE819,3)</f>
        <v>Ana</v>
      </c>
      <c r="AV820" s="40" t="str">
        <f>RIGHT(Sheet1!AF819,2)</f>
        <v>al</v>
      </c>
      <c r="AW820" s="40" t="str">
        <f>MID(Sheet1!AE819,2,3)</f>
        <v>nan</v>
      </c>
      <c r="AX820" s="42">
        <f>LEN(Sheet1!AE819)</f>
        <v>6</v>
      </c>
      <c r="AY820" s="40" t="str">
        <f>UPPER(Sheet1!AE819)</f>
        <v>ANANYA</v>
      </c>
      <c r="AZ820" s="40" t="str">
        <f>LOWER(Sheet1!AE819)</f>
        <v>ananya</v>
      </c>
      <c r="BA820" s="40" t="str">
        <f>PROPER(Sheet1!AE819)</f>
        <v>Ananya</v>
      </c>
      <c r="BB820" s="40" t="str">
        <f>_xlfn.CONCAT(Sheet1!AE819," ",Sheet1!AF819)</f>
        <v>Ananya Bansal</v>
      </c>
    </row>
    <row r="821" spans="40:54">
      <c r="AN821" s="50" t="str">
        <f>Sheet1!B820</f>
        <v>25-12-2025</v>
      </c>
      <c r="AO821" s="50">
        <f t="shared" si="75"/>
        <v>21</v>
      </c>
      <c r="AP821" s="50">
        <f t="shared" si="76"/>
        <v>12</v>
      </c>
      <c r="AQ821" s="50">
        <f t="shared" si="77"/>
        <v>2025</v>
      </c>
      <c r="AR821" s="50" t="str">
        <f t="shared" si="78"/>
        <v>Dec-2025</v>
      </c>
      <c r="AS821" s="52">
        <f t="shared" si="79"/>
        <v>46012</v>
      </c>
      <c r="AT821" s="44">
        <f t="shared" ca="1" si="80"/>
        <v>266</v>
      </c>
      <c r="AU821" s="40" t="str">
        <f>LEFT(Sheet1!AE820,3)</f>
        <v>Sne</v>
      </c>
      <c r="AV821" s="40" t="str">
        <f>RIGHT(Sheet1!AF820,2)</f>
        <v>al</v>
      </c>
      <c r="AW821" s="40" t="str">
        <f>MID(Sheet1!AE820,2,3)</f>
        <v>neh</v>
      </c>
      <c r="AX821" s="42">
        <f>LEN(Sheet1!AE820)</f>
        <v>5</v>
      </c>
      <c r="AY821" s="40" t="str">
        <f>UPPER(Sheet1!AE820)</f>
        <v>SNEHA</v>
      </c>
      <c r="AZ821" s="40" t="str">
        <f>LOWER(Sheet1!AE820)</f>
        <v>sneha</v>
      </c>
      <c r="BA821" s="40" t="str">
        <f>PROPER(Sheet1!AE820)</f>
        <v>Sneha</v>
      </c>
      <c r="BB821" s="40" t="str">
        <f>_xlfn.CONCAT(Sheet1!AE820," ",Sheet1!AF820)</f>
        <v>Sneha Agarwal</v>
      </c>
    </row>
    <row r="822" spans="40:54">
      <c r="AN822" s="50" t="str">
        <f>Sheet1!B821</f>
        <v>26-01-2024</v>
      </c>
      <c r="AO822" s="50">
        <f t="shared" si="75"/>
        <v>21</v>
      </c>
      <c r="AP822" s="50">
        <f t="shared" si="76"/>
        <v>1</v>
      </c>
      <c r="AQ822" s="50">
        <f t="shared" si="77"/>
        <v>2024</v>
      </c>
      <c r="AR822" s="50" t="str">
        <f t="shared" si="78"/>
        <v>Jan-2024</v>
      </c>
      <c r="AS822" s="52">
        <f t="shared" si="79"/>
        <v>45312</v>
      </c>
      <c r="AT822" s="44">
        <f t="shared" ca="1" si="80"/>
        <v>966</v>
      </c>
      <c r="AU822" s="40" t="str">
        <f>LEFT(Sheet1!AE821,3)</f>
        <v>Pri</v>
      </c>
      <c r="AV822" s="40" t="str">
        <f>RIGHT(Sheet1!AF821,2)</f>
        <v>or</v>
      </c>
      <c r="AW822" s="40" t="str">
        <f>MID(Sheet1!AE821,2,3)</f>
        <v>riy</v>
      </c>
      <c r="AX822" s="42">
        <f>LEN(Sheet1!AE821)</f>
        <v>5</v>
      </c>
      <c r="AY822" s="40" t="str">
        <f>UPPER(Sheet1!AE821)</f>
        <v>PRIYA</v>
      </c>
      <c r="AZ822" s="40" t="str">
        <f>LOWER(Sheet1!AE821)</f>
        <v>priya</v>
      </c>
      <c r="BA822" s="40" t="str">
        <f>PROPER(Sheet1!AE821)</f>
        <v>Priya</v>
      </c>
      <c r="BB822" s="40" t="str">
        <f>_xlfn.CONCAT(Sheet1!AE821," ",Sheet1!AF821)</f>
        <v>Priya Kapoor</v>
      </c>
    </row>
    <row r="823" spans="40:54">
      <c r="AN823" s="50" t="str">
        <f>Sheet1!B822</f>
        <v>26-01-2025</v>
      </c>
      <c r="AO823" s="50">
        <f t="shared" si="75"/>
        <v>21</v>
      </c>
      <c r="AP823" s="50">
        <f t="shared" si="76"/>
        <v>1</v>
      </c>
      <c r="AQ823" s="50">
        <f t="shared" si="77"/>
        <v>2025</v>
      </c>
      <c r="AR823" s="50" t="str">
        <f t="shared" si="78"/>
        <v>Jan-2025</v>
      </c>
      <c r="AS823" s="52">
        <f t="shared" si="79"/>
        <v>45678</v>
      </c>
      <c r="AT823" s="44">
        <f t="shared" ca="1" si="80"/>
        <v>600</v>
      </c>
      <c r="AU823" s="40" t="str">
        <f>LEFT(Sheet1!AE822,3)</f>
        <v>Vik</v>
      </c>
      <c r="AV823" s="40" t="str">
        <f>RIGHT(Sheet1!AF822,2)</f>
        <v>ma</v>
      </c>
      <c r="AW823" s="40" t="str">
        <f>MID(Sheet1!AE822,2,3)</f>
        <v>ikr</v>
      </c>
      <c r="AX823" s="42">
        <f>LEN(Sheet1!AE822)</f>
        <v>6</v>
      </c>
      <c r="AY823" s="40" t="str">
        <f>UPPER(Sheet1!AE822)</f>
        <v>VIKRAM</v>
      </c>
      <c r="AZ823" s="40" t="str">
        <f>LOWER(Sheet1!AE822)</f>
        <v>vikram</v>
      </c>
      <c r="BA823" s="40" t="str">
        <f>PROPER(Sheet1!AE822)</f>
        <v>Vikram</v>
      </c>
      <c r="BB823" s="40" t="str">
        <f>_xlfn.CONCAT(Sheet1!AE822," ",Sheet1!AF822)</f>
        <v>Vikram Sharma</v>
      </c>
    </row>
    <row r="824" spans="40:54">
      <c r="AN824" s="50" t="str">
        <f>Sheet1!B823</f>
        <v>26-01-2025</v>
      </c>
      <c r="AO824" s="50">
        <f t="shared" si="75"/>
        <v>21</v>
      </c>
      <c r="AP824" s="50">
        <f t="shared" si="76"/>
        <v>1</v>
      </c>
      <c r="AQ824" s="50">
        <f t="shared" si="77"/>
        <v>2025</v>
      </c>
      <c r="AR824" s="50" t="str">
        <f t="shared" si="78"/>
        <v>Jan-2025</v>
      </c>
      <c r="AS824" s="52">
        <f t="shared" si="79"/>
        <v>45678</v>
      </c>
      <c r="AT824" s="44">
        <f t="shared" ca="1" si="80"/>
        <v>600</v>
      </c>
      <c r="AU824" s="40" t="str">
        <f>LEFT(Sheet1!AE823,3)</f>
        <v>Viv</v>
      </c>
      <c r="AV824" s="40" t="str">
        <f>RIGHT(Sheet1!AF823,2)</f>
        <v>ra</v>
      </c>
      <c r="AW824" s="40" t="str">
        <f>MID(Sheet1!AE823,2,3)</f>
        <v>iva</v>
      </c>
      <c r="AX824" s="42">
        <f>LEN(Sheet1!AE823)</f>
        <v>6</v>
      </c>
      <c r="AY824" s="40" t="str">
        <f>UPPER(Sheet1!AE823)</f>
        <v>VIVAAN</v>
      </c>
      <c r="AZ824" s="40" t="str">
        <f>LOWER(Sheet1!AE823)</f>
        <v>vivaan</v>
      </c>
      <c r="BA824" s="40" t="str">
        <f>PROPER(Sheet1!AE823)</f>
        <v>Vivaan</v>
      </c>
      <c r="BB824" s="40" t="str">
        <f>_xlfn.CONCAT(Sheet1!AE823," ",Sheet1!AF823)</f>
        <v>Vivaan Malhotra</v>
      </c>
    </row>
    <row r="825" spans="40:54">
      <c r="AN825" s="50" t="str">
        <f>Sheet1!B824</f>
        <v>26-02-2025</v>
      </c>
      <c r="AO825" s="50">
        <f t="shared" si="75"/>
        <v>21</v>
      </c>
      <c r="AP825" s="50">
        <f t="shared" si="76"/>
        <v>2</v>
      </c>
      <c r="AQ825" s="50">
        <f t="shared" si="77"/>
        <v>2025</v>
      </c>
      <c r="AR825" s="50" t="str">
        <f t="shared" si="78"/>
        <v>Feb-2025</v>
      </c>
      <c r="AS825" s="52">
        <f t="shared" si="79"/>
        <v>45709</v>
      </c>
      <c r="AT825" s="44">
        <f t="shared" ca="1" si="80"/>
        <v>569</v>
      </c>
      <c r="AU825" s="40" t="str">
        <f>LEFT(Sheet1!AE824,3)</f>
        <v>Kav</v>
      </c>
      <c r="AV825" s="40" t="str">
        <f>RIGHT(Sheet1!AF824,2)</f>
        <v>al</v>
      </c>
      <c r="AW825" s="40" t="str">
        <f>MID(Sheet1!AE824,2,3)</f>
        <v>avy</v>
      </c>
      <c r="AX825" s="42">
        <f>LEN(Sheet1!AE824)</f>
        <v>5</v>
      </c>
      <c r="AY825" s="40" t="str">
        <f>UPPER(Sheet1!AE824)</f>
        <v>KAVYA</v>
      </c>
      <c r="AZ825" s="40" t="str">
        <f>LOWER(Sheet1!AE824)</f>
        <v>kavya</v>
      </c>
      <c r="BA825" s="40" t="str">
        <f>PROPER(Sheet1!AE824)</f>
        <v>Kavya</v>
      </c>
      <c r="BB825" s="40" t="str">
        <f>_xlfn.CONCAT(Sheet1!AE824," ",Sheet1!AF824)</f>
        <v>Kavya Bansal</v>
      </c>
    </row>
    <row r="826" spans="40:54">
      <c r="AN826" s="50" t="str">
        <f>Sheet1!B825</f>
        <v>26-02-2025</v>
      </c>
      <c r="AO826" s="50">
        <f t="shared" si="75"/>
        <v>22</v>
      </c>
      <c r="AP826" s="50">
        <f t="shared" si="76"/>
        <v>2</v>
      </c>
      <c r="AQ826" s="50">
        <f t="shared" si="77"/>
        <v>2025</v>
      </c>
      <c r="AR826" s="50" t="str">
        <f t="shared" si="78"/>
        <v>Feb-2025</v>
      </c>
      <c r="AS826" s="52">
        <f t="shared" si="79"/>
        <v>45710</v>
      </c>
      <c r="AT826" s="44">
        <f t="shared" ca="1" si="80"/>
        <v>568</v>
      </c>
      <c r="AU826" s="40" t="str">
        <f>LEFT(Sheet1!AE825,3)</f>
        <v>Sim</v>
      </c>
      <c r="AV826" s="40" t="str">
        <f>RIGHT(Sheet1!AF825,2)</f>
        <v>gh</v>
      </c>
      <c r="AW826" s="40" t="str">
        <f>MID(Sheet1!AE825,2,3)</f>
        <v>imr</v>
      </c>
      <c r="AX826" s="42">
        <f>LEN(Sheet1!AE825)</f>
        <v>6</v>
      </c>
      <c r="AY826" s="40" t="str">
        <f>UPPER(Sheet1!AE825)</f>
        <v>SIMRAN</v>
      </c>
      <c r="AZ826" s="40" t="str">
        <f>LOWER(Sheet1!AE825)</f>
        <v>simran</v>
      </c>
      <c r="BA826" s="40" t="str">
        <f>PROPER(Sheet1!AE825)</f>
        <v>Simran</v>
      </c>
      <c r="BB826" s="40" t="str">
        <f>_xlfn.CONCAT(Sheet1!AE825," ",Sheet1!AF825)</f>
        <v>Simran Singh</v>
      </c>
    </row>
    <row r="827" spans="40:54">
      <c r="AN827" s="50" t="str">
        <f>Sheet1!B826</f>
        <v>26-03-2024</v>
      </c>
      <c r="AO827" s="50">
        <f t="shared" si="75"/>
        <v>22</v>
      </c>
      <c r="AP827" s="50">
        <f t="shared" si="76"/>
        <v>3</v>
      </c>
      <c r="AQ827" s="50">
        <f t="shared" si="77"/>
        <v>2024</v>
      </c>
      <c r="AR827" s="50" t="str">
        <f t="shared" si="78"/>
        <v>Mar-2024</v>
      </c>
      <c r="AS827" s="52">
        <f t="shared" si="79"/>
        <v>45373</v>
      </c>
      <c r="AT827" s="44">
        <f t="shared" ca="1" si="80"/>
        <v>905</v>
      </c>
      <c r="AU827" s="40" t="str">
        <f>LEFT(Sheet1!AE826,3)</f>
        <v>Riy</v>
      </c>
      <c r="AV827" s="40" t="str">
        <f>RIGHT(Sheet1!AF826,2)</f>
        <v>ta</v>
      </c>
      <c r="AW827" s="40" t="str">
        <f>MID(Sheet1!AE826,2,3)</f>
        <v>iya</v>
      </c>
      <c r="AX827" s="42">
        <f>LEN(Sheet1!AE826)</f>
        <v>4</v>
      </c>
      <c r="AY827" s="40" t="str">
        <f>UPPER(Sheet1!AE826)</f>
        <v>RIYA</v>
      </c>
      <c r="AZ827" s="40" t="str">
        <f>LOWER(Sheet1!AE826)</f>
        <v>riya</v>
      </c>
      <c r="BA827" s="40" t="str">
        <f>PROPER(Sheet1!AE826)</f>
        <v>Riya</v>
      </c>
      <c r="BB827" s="40" t="str">
        <f>_xlfn.CONCAT(Sheet1!AE826," ",Sheet1!AF826)</f>
        <v>Riya Mehta</v>
      </c>
    </row>
    <row r="828" spans="40:54">
      <c r="AN828" s="50" t="str">
        <f>Sheet1!B827</f>
        <v>26-04-2024</v>
      </c>
      <c r="AO828" s="50">
        <f t="shared" si="75"/>
        <v>22</v>
      </c>
      <c r="AP828" s="50">
        <f t="shared" si="76"/>
        <v>4</v>
      </c>
      <c r="AQ828" s="50">
        <f t="shared" si="77"/>
        <v>2024</v>
      </c>
      <c r="AR828" s="50" t="str">
        <f t="shared" si="78"/>
        <v>Apr-2024</v>
      </c>
      <c r="AS828" s="52">
        <f t="shared" si="79"/>
        <v>45404</v>
      </c>
      <c r="AT828" s="44">
        <f t="shared" ca="1" si="80"/>
        <v>874</v>
      </c>
      <c r="AU828" s="40" t="str">
        <f>LEFT(Sheet1!AE827,3)</f>
        <v>Mee</v>
      </c>
      <c r="AV828" s="40" t="str">
        <f>RIGHT(Sheet1!AF827,2)</f>
        <v>al</v>
      </c>
      <c r="AW828" s="40" t="str">
        <f>MID(Sheet1!AE827,2,3)</f>
        <v>eer</v>
      </c>
      <c r="AX828" s="42">
        <f>LEN(Sheet1!AE827)</f>
        <v>5</v>
      </c>
      <c r="AY828" s="40" t="str">
        <f>UPPER(Sheet1!AE827)</f>
        <v>MEERA</v>
      </c>
      <c r="AZ828" s="40" t="str">
        <f>LOWER(Sheet1!AE827)</f>
        <v>meera</v>
      </c>
      <c r="BA828" s="40" t="str">
        <f>PROPER(Sheet1!AE827)</f>
        <v>Meera</v>
      </c>
      <c r="BB828" s="40" t="str">
        <f>_xlfn.CONCAT(Sheet1!AE827," ",Sheet1!AF827)</f>
        <v>Meera Bansal</v>
      </c>
    </row>
    <row r="829" spans="40:54">
      <c r="AN829" s="50" t="str">
        <f>Sheet1!B828</f>
        <v>26-04-2024</v>
      </c>
      <c r="AO829" s="50">
        <f t="shared" si="75"/>
        <v>22</v>
      </c>
      <c r="AP829" s="50">
        <f t="shared" si="76"/>
        <v>4</v>
      </c>
      <c r="AQ829" s="50">
        <f t="shared" si="77"/>
        <v>2024</v>
      </c>
      <c r="AR829" s="50" t="str">
        <f t="shared" si="78"/>
        <v>Apr-2024</v>
      </c>
      <c r="AS829" s="52">
        <f t="shared" si="79"/>
        <v>45404</v>
      </c>
      <c r="AT829" s="44">
        <f t="shared" ca="1" si="80"/>
        <v>874</v>
      </c>
      <c r="AU829" s="40" t="str">
        <f>LEFT(Sheet1!AE828,3)</f>
        <v>Ana</v>
      </c>
      <c r="AV829" s="40" t="str">
        <f>RIGHT(Sheet1!AF828,2)</f>
        <v>al</v>
      </c>
      <c r="AW829" s="40" t="str">
        <f>MID(Sheet1!AE828,2,3)</f>
        <v>nan</v>
      </c>
      <c r="AX829" s="42">
        <f>LEN(Sheet1!AE828)</f>
        <v>6</v>
      </c>
      <c r="AY829" s="40" t="str">
        <f>UPPER(Sheet1!AE828)</f>
        <v>ANANYA</v>
      </c>
      <c r="AZ829" s="40" t="str">
        <f>LOWER(Sheet1!AE828)</f>
        <v>ananya</v>
      </c>
      <c r="BA829" s="40" t="str">
        <f>PROPER(Sheet1!AE828)</f>
        <v>Ananya</v>
      </c>
      <c r="BB829" s="40" t="str">
        <f>_xlfn.CONCAT(Sheet1!AE828," ",Sheet1!AF828)</f>
        <v>Ananya Bansal</v>
      </c>
    </row>
    <row r="830" spans="40:54">
      <c r="AN830" s="50" t="str">
        <f>Sheet1!B829</f>
        <v>26-04-2024</v>
      </c>
      <c r="AO830" s="50">
        <f t="shared" si="75"/>
        <v>22</v>
      </c>
      <c r="AP830" s="50">
        <f t="shared" si="76"/>
        <v>4</v>
      </c>
      <c r="AQ830" s="50">
        <f t="shared" si="77"/>
        <v>2024</v>
      </c>
      <c r="AR830" s="50" t="str">
        <f t="shared" si="78"/>
        <v>Apr-2024</v>
      </c>
      <c r="AS830" s="52">
        <f t="shared" si="79"/>
        <v>45404</v>
      </c>
      <c r="AT830" s="44">
        <f t="shared" ca="1" si="80"/>
        <v>874</v>
      </c>
      <c r="AU830" s="40" t="str">
        <f>LEFT(Sheet1!AE829,3)</f>
        <v>Ana</v>
      </c>
      <c r="AV830" s="40" t="str">
        <f>RIGHT(Sheet1!AF829,2)</f>
        <v>ta</v>
      </c>
      <c r="AW830" s="40" t="str">
        <f>MID(Sheet1!AE829,2,3)</f>
        <v>nan</v>
      </c>
      <c r="AX830" s="42">
        <f>LEN(Sheet1!AE829)</f>
        <v>6</v>
      </c>
      <c r="AY830" s="40" t="str">
        <f>UPPER(Sheet1!AE829)</f>
        <v>ANANYA</v>
      </c>
      <c r="AZ830" s="40" t="str">
        <f>LOWER(Sheet1!AE829)</f>
        <v>ananya</v>
      </c>
      <c r="BA830" s="40" t="str">
        <f>PROPER(Sheet1!AE829)</f>
        <v>Ananya</v>
      </c>
      <c r="BB830" s="40" t="str">
        <f>_xlfn.CONCAT(Sheet1!AE829," ",Sheet1!AF829)</f>
        <v>Ananya Gupta</v>
      </c>
    </row>
    <row r="831" spans="40:54">
      <c r="AN831" s="50" t="str">
        <f>Sheet1!B830</f>
        <v>26-04-2025</v>
      </c>
      <c r="AO831" s="50">
        <f t="shared" si="75"/>
        <v>22</v>
      </c>
      <c r="AP831" s="50">
        <f t="shared" si="76"/>
        <v>4</v>
      </c>
      <c r="AQ831" s="50">
        <f t="shared" si="77"/>
        <v>2025</v>
      </c>
      <c r="AR831" s="50" t="str">
        <f t="shared" si="78"/>
        <v>Apr-2025</v>
      </c>
      <c r="AS831" s="52">
        <f t="shared" si="79"/>
        <v>45769</v>
      </c>
      <c r="AT831" s="44">
        <f t="shared" ca="1" si="80"/>
        <v>509</v>
      </c>
      <c r="AU831" s="40" t="str">
        <f>LEFT(Sheet1!AE830,3)</f>
        <v>Adi</v>
      </c>
      <c r="AV831" s="40" t="str">
        <f>RIGHT(Sheet1!AF830,2)</f>
        <v>ra</v>
      </c>
      <c r="AW831" s="40" t="str">
        <f>MID(Sheet1!AE830,2,3)</f>
        <v>dit</v>
      </c>
      <c r="AX831" s="42">
        <f>LEN(Sheet1!AE830)</f>
        <v>6</v>
      </c>
      <c r="AY831" s="40" t="str">
        <f>UPPER(Sheet1!AE830)</f>
        <v>ADITYA</v>
      </c>
      <c r="AZ831" s="40" t="str">
        <f>LOWER(Sheet1!AE830)</f>
        <v>aditya</v>
      </c>
      <c r="BA831" s="40" t="str">
        <f>PROPER(Sheet1!AE830)</f>
        <v>Aditya</v>
      </c>
      <c r="BB831" s="40" t="str">
        <f>_xlfn.CONCAT(Sheet1!AE830," ",Sheet1!AF830)</f>
        <v>Aditya Malhotra</v>
      </c>
    </row>
    <row r="832" spans="40:54">
      <c r="AN832" s="50" t="str">
        <f>Sheet1!B831</f>
        <v>26-04-2025</v>
      </c>
      <c r="AO832" s="50">
        <f t="shared" si="75"/>
        <v>22</v>
      </c>
      <c r="AP832" s="50">
        <f t="shared" si="76"/>
        <v>4</v>
      </c>
      <c r="AQ832" s="50">
        <f t="shared" si="77"/>
        <v>2025</v>
      </c>
      <c r="AR832" s="50" t="str">
        <f t="shared" si="78"/>
        <v>Apr-2025</v>
      </c>
      <c r="AS832" s="52">
        <f t="shared" si="79"/>
        <v>45769</v>
      </c>
      <c r="AT832" s="44">
        <f t="shared" ca="1" si="80"/>
        <v>509</v>
      </c>
      <c r="AU832" s="40" t="str">
        <f>LEFT(Sheet1!AE831,3)</f>
        <v>Pri</v>
      </c>
      <c r="AV832" s="40" t="str">
        <f>RIGHT(Sheet1!AF831,2)</f>
        <v>or</v>
      </c>
      <c r="AW832" s="40" t="str">
        <f>MID(Sheet1!AE831,2,3)</f>
        <v>riy</v>
      </c>
      <c r="AX832" s="42">
        <f>LEN(Sheet1!AE831)</f>
        <v>5</v>
      </c>
      <c r="AY832" s="40" t="str">
        <f>UPPER(Sheet1!AE831)</f>
        <v>PRIYA</v>
      </c>
      <c r="AZ832" s="40" t="str">
        <f>LOWER(Sheet1!AE831)</f>
        <v>priya</v>
      </c>
      <c r="BA832" s="40" t="str">
        <f>PROPER(Sheet1!AE831)</f>
        <v>Priya</v>
      </c>
      <c r="BB832" s="40" t="str">
        <f>_xlfn.CONCAT(Sheet1!AE831," ",Sheet1!AF831)</f>
        <v>Priya Kapoor</v>
      </c>
    </row>
    <row r="833" spans="40:54">
      <c r="AN833" s="50" t="str">
        <f>Sheet1!B832</f>
        <v>26-05-2024</v>
      </c>
      <c r="AO833" s="50">
        <f t="shared" ref="AO833:AO841" si="81">IFERROR(DAY(AN708),VALUE(LEFT(AN708,2)))</f>
        <v>22</v>
      </c>
      <c r="AP833" s="50">
        <f t="shared" si="76"/>
        <v>5</v>
      </c>
      <c r="AQ833" s="50">
        <f t="shared" si="77"/>
        <v>2024</v>
      </c>
      <c r="AR833" s="50" t="str">
        <f t="shared" si="78"/>
        <v>May-2024</v>
      </c>
      <c r="AS833" s="52">
        <f t="shared" si="79"/>
        <v>45434</v>
      </c>
      <c r="AT833" s="44">
        <f t="shared" ca="1" si="80"/>
        <v>844</v>
      </c>
      <c r="AU833" s="40" t="str">
        <f>LEFT(Sheet1!AE832,3)</f>
        <v>Pri</v>
      </c>
      <c r="AV833" s="40" t="str">
        <f>RIGHT(Sheet1!AF832,2)</f>
        <v>ma</v>
      </c>
      <c r="AW833" s="40" t="str">
        <f>MID(Sheet1!AE832,2,3)</f>
        <v>riy</v>
      </c>
      <c r="AX833" s="42">
        <f>LEN(Sheet1!AE832)</f>
        <v>5</v>
      </c>
      <c r="AY833" s="40" t="str">
        <f>UPPER(Sheet1!AE832)</f>
        <v>PRIYA</v>
      </c>
      <c r="AZ833" s="40" t="str">
        <f>LOWER(Sheet1!AE832)</f>
        <v>priya</v>
      </c>
      <c r="BA833" s="40" t="str">
        <f>PROPER(Sheet1!AE832)</f>
        <v>Priya</v>
      </c>
      <c r="BB833" s="40" t="str">
        <f>_xlfn.CONCAT(Sheet1!AE832," ",Sheet1!AF832)</f>
        <v>Priya Sharma</v>
      </c>
    </row>
    <row r="834" spans="40:54">
      <c r="AN834" s="50" t="str">
        <f>Sheet1!B833</f>
        <v>26-05-2024</v>
      </c>
      <c r="AO834" s="50">
        <f t="shared" si="81"/>
        <v>22</v>
      </c>
      <c r="AP834" s="50">
        <f t="shared" si="76"/>
        <v>5</v>
      </c>
      <c r="AQ834" s="50">
        <f t="shared" si="77"/>
        <v>2024</v>
      </c>
      <c r="AR834" s="50" t="str">
        <f t="shared" si="78"/>
        <v>May-2024</v>
      </c>
      <c r="AS834" s="52">
        <f t="shared" si="79"/>
        <v>45434</v>
      </c>
      <c r="AT834" s="44">
        <f t="shared" ca="1" si="80"/>
        <v>844</v>
      </c>
      <c r="AU834" s="40" t="str">
        <f>LEFT(Sheet1!AE833,3)</f>
        <v>Pri</v>
      </c>
      <c r="AV834" s="40" t="str">
        <f>RIGHT(Sheet1!AF833,2)</f>
        <v>gh</v>
      </c>
      <c r="AW834" s="40" t="str">
        <f>MID(Sheet1!AE833,2,3)</f>
        <v>riy</v>
      </c>
      <c r="AX834" s="42">
        <f>LEN(Sheet1!AE833)</f>
        <v>5</v>
      </c>
      <c r="AY834" s="40" t="str">
        <f>UPPER(Sheet1!AE833)</f>
        <v>PRIYA</v>
      </c>
      <c r="AZ834" s="40" t="str">
        <f>LOWER(Sheet1!AE833)</f>
        <v>priya</v>
      </c>
      <c r="BA834" s="40" t="str">
        <f>PROPER(Sheet1!AE833)</f>
        <v>Priya</v>
      </c>
      <c r="BB834" s="40" t="str">
        <f>_xlfn.CONCAT(Sheet1!AE833," ",Sheet1!AF833)</f>
        <v>Priya Singh</v>
      </c>
    </row>
    <row r="835" spans="40:54">
      <c r="AN835" s="50" t="str">
        <f>Sheet1!B834</f>
        <v>26-06-2024</v>
      </c>
      <c r="AO835" s="50">
        <f t="shared" si="81"/>
        <v>22</v>
      </c>
      <c r="AP835" s="50">
        <f t="shared" si="76"/>
        <v>6</v>
      </c>
      <c r="AQ835" s="50">
        <f t="shared" si="77"/>
        <v>2024</v>
      </c>
      <c r="AR835" s="50" t="str">
        <f t="shared" si="78"/>
        <v>Jun-2024</v>
      </c>
      <c r="AS835" s="52">
        <f t="shared" si="79"/>
        <v>45465</v>
      </c>
      <c r="AT835" s="44">
        <f t="shared" ca="1" si="80"/>
        <v>813</v>
      </c>
      <c r="AU835" s="40" t="str">
        <f>LEFT(Sheet1!AE834,3)</f>
        <v>Poo</v>
      </c>
      <c r="AV835" s="40" t="str">
        <f>RIGHT(Sheet1!AF834,2)</f>
        <v>gh</v>
      </c>
      <c r="AW835" s="40" t="str">
        <f>MID(Sheet1!AE834,2,3)</f>
        <v>ooj</v>
      </c>
      <c r="AX835" s="42">
        <f>LEN(Sheet1!AE834)</f>
        <v>5</v>
      </c>
      <c r="AY835" s="40" t="str">
        <f>UPPER(Sheet1!AE834)</f>
        <v>POOJA</v>
      </c>
      <c r="AZ835" s="40" t="str">
        <f>LOWER(Sheet1!AE834)</f>
        <v>pooja</v>
      </c>
      <c r="BA835" s="40" t="str">
        <f>PROPER(Sheet1!AE834)</f>
        <v>Pooja</v>
      </c>
      <c r="BB835" s="40" t="str">
        <f>_xlfn.CONCAT(Sheet1!AE834," ",Sheet1!AF834)</f>
        <v>Pooja Singh</v>
      </c>
    </row>
    <row r="836" spans="40:54">
      <c r="AN836" s="50" t="str">
        <f>Sheet1!B835</f>
        <v>26-06-2024</v>
      </c>
      <c r="AO836" s="50">
        <f t="shared" si="81"/>
        <v>22</v>
      </c>
      <c r="AP836" s="50">
        <f t="shared" ref="AP836:AP899" si="82">IFERROR(MONTH(AN836),VALUE(MID(AN836,4,2)))</f>
        <v>6</v>
      </c>
      <c r="AQ836" s="50">
        <f t="shared" ref="AQ836:AQ899" si="83">IFERROR(YEAR(AN836),VALUE(RIGHT(AN836,4)))</f>
        <v>2024</v>
      </c>
      <c r="AR836" s="50" t="str">
        <f t="shared" ref="AR836:AR899" si="84">IF(ISNUMBER(AN836),TEXT(AN836,"mmm-yyyy"),TEXT(DATE(VALUE(RIGHT(AN836,4)),VALUE(MID(AN836,4,2)),VALUE(LEFT(AN836,2))),"mmm-yyyy"))</f>
        <v>Jun-2024</v>
      </c>
      <c r="AS836" s="52">
        <f t="shared" ref="AS836:AS899" si="85">DATE(AQ836,AP836,AO836)</f>
        <v>45465</v>
      </c>
      <c r="AT836" s="44">
        <f t="shared" ref="AT836:AT899" ca="1" si="86">TODAY()-AS836</f>
        <v>813</v>
      </c>
      <c r="AU836" s="40" t="str">
        <f>LEFT(Sheet1!AE835,3)</f>
        <v>Sim</v>
      </c>
      <c r="AV836" s="40" t="str">
        <f>RIGHT(Sheet1!AF835,2)</f>
        <v>al</v>
      </c>
      <c r="AW836" s="40" t="str">
        <f>MID(Sheet1!AE835,2,3)</f>
        <v>imr</v>
      </c>
      <c r="AX836" s="42">
        <f>LEN(Sheet1!AE835)</f>
        <v>6</v>
      </c>
      <c r="AY836" s="40" t="str">
        <f>UPPER(Sheet1!AE835)</f>
        <v>SIMRAN</v>
      </c>
      <c r="AZ836" s="40" t="str">
        <f>LOWER(Sheet1!AE835)</f>
        <v>simran</v>
      </c>
      <c r="BA836" s="40" t="str">
        <f>PROPER(Sheet1!AE835)</f>
        <v>Simran</v>
      </c>
      <c r="BB836" s="40" t="str">
        <f>_xlfn.CONCAT(Sheet1!AE835," ",Sheet1!AF835)</f>
        <v>Simran Agarwal</v>
      </c>
    </row>
    <row r="837" spans="40:54">
      <c r="AN837" s="50" t="str">
        <f>Sheet1!B836</f>
        <v>26-06-2025</v>
      </c>
      <c r="AO837" s="50">
        <f t="shared" si="81"/>
        <v>22</v>
      </c>
      <c r="AP837" s="50">
        <f t="shared" si="82"/>
        <v>6</v>
      </c>
      <c r="AQ837" s="50">
        <f t="shared" si="83"/>
        <v>2025</v>
      </c>
      <c r="AR837" s="50" t="str">
        <f t="shared" si="84"/>
        <v>Jun-2025</v>
      </c>
      <c r="AS837" s="52">
        <f t="shared" si="85"/>
        <v>45830</v>
      </c>
      <c r="AT837" s="44">
        <f t="shared" ca="1" si="86"/>
        <v>448</v>
      </c>
      <c r="AU837" s="40" t="str">
        <f>LEFT(Sheet1!AE836,3)</f>
        <v>Neh</v>
      </c>
      <c r="AV837" s="40" t="str">
        <f>RIGHT(Sheet1!AF836,2)</f>
        <v>ra</v>
      </c>
      <c r="AW837" s="40" t="str">
        <f>MID(Sheet1!AE836,2,3)</f>
        <v>eha</v>
      </c>
      <c r="AX837" s="42">
        <f>LEN(Sheet1!AE836)</f>
        <v>4</v>
      </c>
      <c r="AY837" s="40" t="str">
        <f>UPPER(Sheet1!AE836)</f>
        <v>NEHA</v>
      </c>
      <c r="AZ837" s="40" t="str">
        <f>LOWER(Sheet1!AE836)</f>
        <v>neha</v>
      </c>
      <c r="BA837" s="40" t="str">
        <f>PROPER(Sheet1!AE836)</f>
        <v>Neha</v>
      </c>
      <c r="BB837" s="40" t="str">
        <f>_xlfn.CONCAT(Sheet1!AE836," ",Sheet1!AF836)</f>
        <v>Neha Mishra</v>
      </c>
    </row>
    <row r="838" spans="40:54">
      <c r="AN838" s="50" t="str">
        <f>Sheet1!B837</f>
        <v>26-06-2025</v>
      </c>
      <c r="AO838" s="50">
        <f t="shared" si="81"/>
        <v>22</v>
      </c>
      <c r="AP838" s="50">
        <f t="shared" si="82"/>
        <v>6</v>
      </c>
      <c r="AQ838" s="50">
        <f t="shared" si="83"/>
        <v>2025</v>
      </c>
      <c r="AR838" s="50" t="str">
        <f t="shared" si="84"/>
        <v>Jun-2025</v>
      </c>
      <c r="AS838" s="52">
        <f t="shared" si="85"/>
        <v>45830</v>
      </c>
      <c r="AT838" s="44">
        <f t="shared" ca="1" si="86"/>
        <v>448</v>
      </c>
      <c r="AU838" s="40" t="str">
        <f>LEFT(Sheet1!AE837,3)</f>
        <v>Roh</v>
      </c>
      <c r="AV838" s="40" t="str">
        <f>RIGHT(Sheet1!AF837,2)</f>
        <v>av</v>
      </c>
      <c r="AW838" s="40" t="str">
        <f>MID(Sheet1!AE837,2,3)</f>
        <v>oha</v>
      </c>
      <c r="AX838" s="42">
        <f>LEN(Sheet1!AE837)</f>
        <v>5</v>
      </c>
      <c r="AY838" s="40" t="str">
        <f>UPPER(Sheet1!AE837)</f>
        <v>ROHAN</v>
      </c>
      <c r="AZ838" s="40" t="str">
        <f>LOWER(Sheet1!AE837)</f>
        <v>rohan</v>
      </c>
      <c r="BA838" s="40" t="str">
        <f>PROPER(Sheet1!AE837)</f>
        <v>Rohan</v>
      </c>
      <c r="BB838" s="40" t="str">
        <f>_xlfn.CONCAT(Sheet1!AE837," ",Sheet1!AF837)</f>
        <v>Rohan Yadav</v>
      </c>
    </row>
    <row r="839" spans="40:54">
      <c r="AN839" s="50" t="str">
        <f>Sheet1!B838</f>
        <v>26-06-2025</v>
      </c>
      <c r="AO839" s="50">
        <f t="shared" si="81"/>
        <v>22</v>
      </c>
      <c r="AP839" s="50">
        <f t="shared" si="82"/>
        <v>6</v>
      </c>
      <c r="AQ839" s="50">
        <f t="shared" si="83"/>
        <v>2025</v>
      </c>
      <c r="AR839" s="50" t="str">
        <f t="shared" si="84"/>
        <v>Jun-2025</v>
      </c>
      <c r="AS839" s="52">
        <f t="shared" si="85"/>
        <v>45830</v>
      </c>
      <c r="AT839" s="44">
        <f t="shared" ca="1" si="86"/>
        <v>448</v>
      </c>
      <c r="AU839" s="40" t="str">
        <f>LEFT(Sheet1!AE838,3)</f>
        <v>Ish</v>
      </c>
      <c r="AV839" s="40" t="str">
        <f>RIGHT(Sheet1!AF838,2)</f>
        <v>ma</v>
      </c>
      <c r="AW839" s="40" t="str">
        <f>MID(Sheet1!AE838,2,3)</f>
        <v>shi</v>
      </c>
      <c r="AX839" s="42">
        <f>LEN(Sheet1!AE838)</f>
        <v>6</v>
      </c>
      <c r="AY839" s="40" t="str">
        <f>UPPER(Sheet1!AE838)</f>
        <v>ISHITA</v>
      </c>
      <c r="AZ839" s="40" t="str">
        <f>LOWER(Sheet1!AE838)</f>
        <v>ishita</v>
      </c>
      <c r="BA839" s="40" t="str">
        <f>PROPER(Sheet1!AE838)</f>
        <v>Ishita</v>
      </c>
      <c r="BB839" s="40" t="str">
        <f>_xlfn.CONCAT(Sheet1!AE838," ",Sheet1!AF838)</f>
        <v>Ishita Sharma</v>
      </c>
    </row>
    <row r="840" spans="40:54">
      <c r="AN840" s="50" t="str">
        <f>Sheet1!B839</f>
        <v>26-07-2024</v>
      </c>
      <c r="AO840" s="50">
        <f t="shared" si="81"/>
        <v>22</v>
      </c>
      <c r="AP840" s="50">
        <f t="shared" si="82"/>
        <v>7</v>
      </c>
      <c r="AQ840" s="50">
        <f t="shared" si="83"/>
        <v>2024</v>
      </c>
      <c r="AR840" s="50" t="str">
        <f t="shared" si="84"/>
        <v>Jul-2024</v>
      </c>
      <c r="AS840" s="52">
        <f t="shared" si="85"/>
        <v>45495</v>
      </c>
      <c r="AT840" s="44">
        <f t="shared" ca="1" si="86"/>
        <v>783</v>
      </c>
      <c r="AU840" s="40" t="str">
        <f>LEFT(Sheet1!AE839,3)</f>
        <v>Viv</v>
      </c>
      <c r="AV840" s="40" t="str">
        <f>RIGHT(Sheet1!AF839,2)</f>
        <v>ar</v>
      </c>
      <c r="AW840" s="40" t="str">
        <f>MID(Sheet1!AE839,2,3)</f>
        <v>iva</v>
      </c>
      <c r="AX840" s="42">
        <f>LEN(Sheet1!AE839)</f>
        <v>6</v>
      </c>
      <c r="AY840" s="40" t="str">
        <f>UPPER(Sheet1!AE839)</f>
        <v>VIVAAN</v>
      </c>
      <c r="AZ840" s="40" t="str">
        <f>LOWER(Sheet1!AE839)</f>
        <v>vivaan</v>
      </c>
      <c r="BA840" s="40" t="str">
        <f>PROPER(Sheet1!AE839)</f>
        <v>Vivaan</v>
      </c>
      <c r="BB840" s="40" t="str">
        <f>_xlfn.CONCAT(Sheet1!AE839," ",Sheet1!AF839)</f>
        <v>Vivaan Kumar</v>
      </c>
    </row>
    <row r="841" spans="40:54">
      <c r="AN841" s="50" t="str">
        <f>Sheet1!B840</f>
        <v>26-07-2024</v>
      </c>
      <c r="AO841" s="50">
        <f t="shared" si="81"/>
        <v>22</v>
      </c>
      <c r="AP841" s="50">
        <f t="shared" si="82"/>
        <v>7</v>
      </c>
      <c r="AQ841" s="50">
        <f t="shared" si="83"/>
        <v>2024</v>
      </c>
      <c r="AR841" s="50" t="str">
        <f t="shared" si="84"/>
        <v>Jul-2024</v>
      </c>
      <c r="AS841" s="52">
        <f t="shared" si="85"/>
        <v>45495</v>
      </c>
      <c r="AT841" s="44">
        <f t="shared" ca="1" si="86"/>
        <v>783</v>
      </c>
      <c r="AU841" s="40" t="str">
        <f>LEFT(Sheet1!AE840,3)</f>
        <v>Neh</v>
      </c>
      <c r="AV841" s="40" t="str">
        <f>RIGHT(Sheet1!AF840,2)</f>
        <v>in</v>
      </c>
      <c r="AW841" s="40" t="str">
        <f>MID(Sheet1!AE840,2,3)</f>
        <v>eha</v>
      </c>
      <c r="AX841" s="42">
        <f>LEN(Sheet1!AE840)</f>
        <v>4</v>
      </c>
      <c r="AY841" s="40" t="str">
        <f>UPPER(Sheet1!AE840)</f>
        <v>NEHA</v>
      </c>
      <c r="AZ841" s="40" t="str">
        <f>LOWER(Sheet1!AE840)</f>
        <v>neha</v>
      </c>
      <c r="BA841" s="40" t="str">
        <f>PROPER(Sheet1!AE840)</f>
        <v>Neha</v>
      </c>
      <c r="BB841" s="40" t="str">
        <f>_xlfn.CONCAT(Sheet1!AE840," ",Sheet1!AF840)</f>
        <v>Neha Jain</v>
      </c>
    </row>
    <row r="842" spans="40:54">
      <c r="AN842" s="50" t="str">
        <f>Sheet1!B841</f>
        <v>26-07-2025</v>
      </c>
      <c r="AO842" s="50">
        <f>IFERROR(DAY(AN3),VALUE(LEFT(AN3,2)))</f>
        <v>3</v>
      </c>
      <c r="AP842" s="50">
        <f t="shared" si="82"/>
        <v>7</v>
      </c>
      <c r="AQ842" s="50">
        <f t="shared" si="83"/>
        <v>2025</v>
      </c>
      <c r="AR842" s="50" t="str">
        <f t="shared" si="84"/>
        <v>Jul-2025</v>
      </c>
      <c r="AS842" s="52">
        <f t="shared" si="85"/>
        <v>45841</v>
      </c>
      <c r="AT842" s="44">
        <f t="shared" ca="1" si="86"/>
        <v>437</v>
      </c>
      <c r="AU842" s="40" t="str">
        <f>LEFT(Sheet1!AE841,3)</f>
        <v>Rah</v>
      </c>
      <c r="AV842" s="40" t="str">
        <f>RIGHT(Sheet1!AF841,2)</f>
        <v>or</v>
      </c>
      <c r="AW842" s="40" t="str">
        <f>MID(Sheet1!AE841,2,3)</f>
        <v>ahu</v>
      </c>
      <c r="AX842" s="42">
        <f>LEN(Sheet1!AE841)</f>
        <v>5</v>
      </c>
      <c r="AY842" s="40" t="str">
        <f>UPPER(Sheet1!AE841)</f>
        <v>RAHUL</v>
      </c>
      <c r="AZ842" s="40" t="str">
        <f>LOWER(Sheet1!AE841)</f>
        <v>rahul</v>
      </c>
      <c r="BA842" s="40" t="str">
        <f>PROPER(Sheet1!AE841)</f>
        <v>Rahul</v>
      </c>
      <c r="BB842" s="40" t="str">
        <f>_xlfn.CONCAT(Sheet1!AE841," ",Sheet1!AF841)</f>
        <v>Rahul Kapoor</v>
      </c>
    </row>
    <row r="843" spans="40:54">
      <c r="AN843" s="50" t="str">
        <f>Sheet1!B842</f>
        <v>26-07-2025</v>
      </c>
      <c r="AO843" s="50">
        <f t="shared" ref="AO843:AO906" si="87">IFERROR(DAY(AN4),VALUE(LEFT(AN4,2)))</f>
        <v>3</v>
      </c>
      <c r="AP843" s="50">
        <f t="shared" si="82"/>
        <v>7</v>
      </c>
      <c r="AQ843" s="50">
        <f t="shared" si="83"/>
        <v>2025</v>
      </c>
      <c r="AR843" s="50" t="str">
        <f t="shared" si="84"/>
        <v>Jul-2025</v>
      </c>
      <c r="AS843" s="52">
        <f t="shared" si="85"/>
        <v>45841</v>
      </c>
      <c r="AT843" s="44">
        <f t="shared" ca="1" si="86"/>
        <v>437</v>
      </c>
      <c r="AU843" s="40" t="str">
        <f>LEFT(Sheet1!AE842,3)</f>
        <v>Adi</v>
      </c>
      <c r="AV843" s="40" t="str">
        <f>RIGHT(Sheet1!AF842,2)</f>
        <v>ra</v>
      </c>
      <c r="AW843" s="40" t="str">
        <f>MID(Sheet1!AE842,2,3)</f>
        <v>dit</v>
      </c>
      <c r="AX843" s="42">
        <f>LEN(Sheet1!AE842)</f>
        <v>5</v>
      </c>
      <c r="AY843" s="40" t="str">
        <f>UPPER(Sheet1!AE842)</f>
        <v>ADITI</v>
      </c>
      <c r="AZ843" s="40" t="str">
        <f>LOWER(Sheet1!AE842)</f>
        <v>aditi</v>
      </c>
      <c r="BA843" s="40" t="str">
        <f>PROPER(Sheet1!AE842)</f>
        <v>Aditi</v>
      </c>
      <c r="BB843" s="40" t="str">
        <f>_xlfn.CONCAT(Sheet1!AE842," ",Sheet1!AF842)</f>
        <v>Aditi Chopra</v>
      </c>
    </row>
    <row r="844" spans="40:54">
      <c r="AN844" s="50" t="str">
        <f>Sheet1!B843</f>
        <v>26-08-2024</v>
      </c>
      <c r="AO844" s="50">
        <f t="shared" si="87"/>
        <v>3</v>
      </c>
      <c r="AP844" s="50">
        <f t="shared" si="82"/>
        <v>8</v>
      </c>
      <c r="AQ844" s="50">
        <f t="shared" si="83"/>
        <v>2024</v>
      </c>
      <c r="AR844" s="50" t="str">
        <f t="shared" si="84"/>
        <v>Aug-2024</v>
      </c>
      <c r="AS844" s="52">
        <f t="shared" si="85"/>
        <v>45507</v>
      </c>
      <c r="AT844" s="44">
        <f t="shared" ca="1" si="86"/>
        <v>771</v>
      </c>
      <c r="AU844" s="40" t="str">
        <f>LEFT(Sheet1!AE843,3)</f>
        <v>Riy</v>
      </c>
      <c r="AV844" s="40" t="str">
        <f>RIGHT(Sheet1!AF843,2)</f>
        <v>av</v>
      </c>
      <c r="AW844" s="40" t="str">
        <f>MID(Sheet1!AE843,2,3)</f>
        <v>iya</v>
      </c>
      <c r="AX844" s="42">
        <f>LEN(Sheet1!AE843)</f>
        <v>4</v>
      </c>
      <c r="AY844" s="40" t="str">
        <f>UPPER(Sheet1!AE843)</f>
        <v>RIYA</v>
      </c>
      <c r="AZ844" s="40" t="str">
        <f>LOWER(Sheet1!AE843)</f>
        <v>riya</v>
      </c>
      <c r="BA844" s="40" t="str">
        <f>PROPER(Sheet1!AE843)</f>
        <v>Riya</v>
      </c>
      <c r="BB844" s="40" t="str">
        <f>_xlfn.CONCAT(Sheet1!AE843," ",Sheet1!AF843)</f>
        <v>Riya Yadav</v>
      </c>
    </row>
    <row r="845" spans="40:54">
      <c r="AN845" s="50" t="str">
        <f>Sheet1!B844</f>
        <v>26-08-2024</v>
      </c>
      <c r="AO845" s="50">
        <f t="shared" si="87"/>
        <v>3</v>
      </c>
      <c r="AP845" s="50">
        <f t="shared" si="82"/>
        <v>8</v>
      </c>
      <c r="AQ845" s="50">
        <f t="shared" si="83"/>
        <v>2024</v>
      </c>
      <c r="AR845" s="50" t="str">
        <f t="shared" si="84"/>
        <v>Aug-2024</v>
      </c>
      <c r="AS845" s="52">
        <f t="shared" si="85"/>
        <v>45507</v>
      </c>
      <c r="AT845" s="44">
        <f t="shared" ca="1" si="86"/>
        <v>771</v>
      </c>
      <c r="AU845" s="40" t="str">
        <f>LEFT(Sheet1!AE844,3)</f>
        <v>Sne</v>
      </c>
      <c r="AV845" s="40" t="str">
        <f>RIGHT(Sheet1!AF844,2)</f>
        <v>or</v>
      </c>
      <c r="AW845" s="40" t="str">
        <f>MID(Sheet1!AE844,2,3)</f>
        <v>neh</v>
      </c>
      <c r="AX845" s="42">
        <f>LEN(Sheet1!AE844)</f>
        <v>5</v>
      </c>
      <c r="AY845" s="40" t="str">
        <f>UPPER(Sheet1!AE844)</f>
        <v>SNEHA</v>
      </c>
      <c r="AZ845" s="40" t="str">
        <f>LOWER(Sheet1!AE844)</f>
        <v>sneha</v>
      </c>
      <c r="BA845" s="40" t="str">
        <f>PROPER(Sheet1!AE844)</f>
        <v>Sneha</v>
      </c>
      <c r="BB845" s="40" t="str">
        <f>_xlfn.CONCAT(Sheet1!AE844," ",Sheet1!AF844)</f>
        <v>Sneha Kapoor</v>
      </c>
    </row>
    <row r="846" spans="40:54">
      <c r="AN846" s="50" t="str">
        <f>Sheet1!B845</f>
        <v>26-08-2024</v>
      </c>
      <c r="AO846" s="50">
        <f t="shared" si="87"/>
        <v>5</v>
      </c>
      <c r="AP846" s="50">
        <f t="shared" si="82"/>
        <v>8</v>
      </c>
      <c r="AQ846" s="50">
        <f t="shared" si="83"/>
        <v>2024</v>
      </c>
      <c r="AR846" s="50" t="str">
        <f t="shared" si="84"/>
        <v>Aug-2024</v>
      </c>
      <c r="AS846" s="52">
        <f t="shared" si="85"/>
        <v>45509</v>
      </c>
      <c r="AT846" s="44">
        <f t="shared" ca="1" si="86"/>
        <v>769</v>
      </c>
      <c r="AU846" s="40" t="str">
        <f>LEFT(Sheet1!AE845,3)</f>
        <v>Neh</v>
      </c>
      <c r="AV846" s="40" t="str">
        <f>RIGHT(Sheet1!AF845,2)</f>
        <v>ra</v>
      </c>
      <c r="AW846" s="40" t="str">
        <f>MID(Sheet1!AE845,2,3)</f>
        <v>eha</v>
      </c>
      <c r="AX846" s="42">
        <f>LEN(Sheet1!AE845)</f>
        <v>4</v>
      </c>
      <c r="AY846" s="40" t="str">
        <f>UPPER(Sheet1!AE845)</f>
        <v>NEHA</v>
      </c>
      <c r="AZ846" s="40" t="str">
        <f>LOWER(Sheet1!AE845)</f>
        <v>neha</v>
      </c>
      <c r="BA846" s="40" t="str">
        <f>PROPER(Sheet1!AE845)</f>
        <v>Neha</v>
      </c>
      <c r="BB846" s="40" t="str">
        <f>_xlfn.CONCAT(Sheet1!AE845," ",Sheet1!AF845)</f>
        <v>Neha Chopra</v>
      </c>
    </row>
    <row r="847" spans="40:54">
      <c r="AN847" s="50" t="str">
        <f>Sheet1!B846</f>
        <v>26-08-2025</v>
      </c>
      <c r="AO847" s="50">
        <f t="shared" si="87"/>
        <v>5</v>
      </c>
      <c r="AP847" s="50">
        <f t="shared" si="82"/>
        <v>8</v>
      </c>
      <c r="AQ847" s="50">
        <f t="shared" si="83"/>
        <v>2025</v>
      </c>
      <c r="AR847" s="50" t="str">
        <f t="shared" si="84"/>
        <v>Aug-2025</v>
      </c>
      <c r="AS847" s="52">
        <f t="shared" si="85"/>
        <v>45874</v>
      </c>
      <c r="AT847" s="44">
        <f t="shared" ca="1" si="86"/>
        <v>404</v>
      </c>
      <c r="AU847" s="40" t="str">
        <f>LEFT(Sheet1!AE846,3)</f>
        <v>Neh</v>
      </c>
      <c r="AV847" s="40" t="str">
        <f>RIGHT(Sheet1!AF846,2)</f>
        <v>ta</v>
      </c>
      <c r="AW847" s="40" t="str">
        <f>MID(Sheet1!AE846,2,3)</f>
        <v>eha</v>
      </c>
      <c r="AX847" s="42">
        <f>LEN(Sheet1!AE846)</f>
        <v>4</v>
      </c>
      <c r="AY847" s="40" t="str">
        <f>UPPER(Sheet1!AE846)</f>
        <v>NEHA</v>
      </c>
      <c r="AZ847" s="40" t="str">
        <f>LOWER(Sheet1!AE846)</f>
        <v>neha</v>
      </c>
      <c r="BA847" s="40" t="str">
        <f>PROPER(Sheet1!AE846)</f>
        <v>Neha</v>
      </c>
      <c r="BB847" s="40" t="str">
        <f>_xlfn.CONCAT(Sheet1!AE846," ",Sheet1!AF846)</f>
        <v>Neha Mehta</v>
      </c>
    </row>
    <row r="848" spans="40:54">
      <c r="AN848" s="50" t="str">
        <f>Sheet1!B847</f>
        <v>26-09-2024</v>
      </c>
      <c r="AO848" s="50">
        <f t="shared" si="87"/>
        <v>6</v>
      </c>
      <c r="AP848" s="50">
        <f t="shared" si="82"/>
        <v>9</v>
      </c>
      <c r="AQ848" s="50">
        <f t="shared" si="83"/>
        <v>2024</v>
      </c>
      <c r="AR848" s="50" t="str">
        <f t="shared" si="84"/>
        <v>Sep-2024</v>
      </c>
      <c r="AS848" s="52">
        <f t="shared" si="85"/>
        <v>45541</v>
      </c>
      <c r="AT848" s="44">
        <f t="shared" ca="1" si="86"/>
        <v>737</v>
      </c>
      <c r="AU848" s="40" t="str">
        <f>LEFT(Sheet1!AE847,3)</f>
        <v>Nis</v>
      </c>
      <c r="AV848" s="40" t="str">
        <f>RIGHT(Sheet1!AF847,2)</f>
        <v>ra</v>
      </c>
      <c r="AW848" s="40" t="str">
        <f>MID(Sheet1!AE847,2,3)</f>
        <v>ish</v>
      </c>
      <c r="AX848" s="42">
        <f>LEN(Sheet1!AE847)</f>
        <v>5</v>
      </c>
      <c r="AY848" s="40" t="str">
        <f>UPPER(Sheet1!AE847)</f>
        <v>NISHA</v>
      </c>
      <c r="AZ848" s="40" t="str">
        <f>LOWER(Sheet1!AE847)</f>
        <v>nisha</v>
      </c>
      <c r="BA848" s="40" t="str">
        <f>PROPER(Sheet1!AE847)</f>
        <v>Nisha</v>
      </c>
      <c r="BB848" s="40" t="str">
        <f>_xlfn.CONCAT(Sheet1!AE847," ",Sheet1!AF847)</f>
        <v>Nisha Mishra</v>
      </c>
    </row>
    <row r="849" spans="40:54">
      <c r="AN849" s="50" t="str">
        <f>Sheet1!B848</f>
        <v>26-09-2025</v>
      </c>
      <c r="AO849" s="50">
        <f t="shared" si="87"/>
        <v>9</v>
      </c>
      <c r="AP849" s="50">
        <f t="shared" si="82"/>
        <v>9</v>
      </c>
      <c r="AQ849" s="50">
        <f t="shared" si="83"/>
        <v>2025</v>
      </c>
      <c r="AR849" s="50" t="str">
        <f t="shared" si="84"/>
        <v>Sep-2025</v>
      </c>
      <c r="AS849" s="52">
        <f t="shared" si="85"/>
        <v>45909</v>
      </c>
      <c r="AT849" s="44">
        <f t="shared" ca="1" si="86"/>
        <v>369</v>
      </c>
      <c r="AU849" s="40" t="str">
        <f>LEFT(Sheet1!AE848,3)</f>
        <v>Riy</v>
      </c>
      <c r="AV849" s="40" t="str">
        <f>RIGHT(Sheet1!AF848,2)</f>
        <v>ma</v>
      </c>
      <c r="AW849" s="40" t="str">
        <f>MID(Sheet1!AE848,2,3)</f>
        <v>iya</v>
      </c>
      <c r="AX849" s="42">
        <f>LEN(Sheet1!AE848)</f>
        <v>4</v>
      </c>
      <c r="AY849" s="40" t="str">
        <f>UPPER(Sheet1!AE848)</f>
        <v>RIYA</v>
      </c>
      <c r="AZ849" s="40" t="str">
        <f>LOWER(Sheet1!AE848)</f>
        <v>riya</v>
      </c>
      <c r="BA849" s="40" t="str">
        <f>PROPER(Sheet1!AE848)</f>
        <v>Riya</v>
      </c>
      <c r="BB849" s="40" t="str">
        <f>_xlfn.CONCAT(Sheet1!AE848," ",Sheet1!AF848)</f>
        <v>Riya Verma</v>
      </c>
    </row>
    <row r="850" spans="40:54">
      <c r="AN850" s="50" t="str">
        <f>Sheet1!B849</f>
        <v>26-09-2025</v>
      </c>
      <c r="AO850" s="50">
        <f t="shared" si="87"/>
        <v>9</v>
      </c>
      <c r="AP850" s="50">
        <f t="shared" si="82"/>
        <v>9</v>
      </c>
      <c r="AQ850" s="50">
        <f t="shared" si="83"/>
        <v>2025</v>
      </c>
      <c r="AR850" s="50" t="str">
        <f t="shared" si="84"/>
        <v>Sep-2025</v>
      </c>
      <c r="AS850" s="52">
        <f t="shared" si="85"/>
        <v>45909</v>
      </c>
      <c r="AT850" s="44">
        <f t="shared" ca="1" si="86"/>
        <v>369</v>
      </c>
      <c r="AU850" s="40" t="str">
        <f>LEFT(Sheet1!AE849,3)</f>
        <v>Arj</v>
      </c>
      <c r="AV850" s="40" t="str">
        <f>RIGHT(Sheet1!AF849,2)</f>
        <v>ta</v>
      </c>
      <c r="AW850" s="40" t="str">
        <f>MID(Sheet1!AE849,2,3)</f>
        <v>rju</v>
      </c>
      <c r="AX850" s="42">
        <f>LEN(Sheet1!AE849)</f>
        <v>5</v>
      </c>
      <c r="AY850" s="40" t="str">
        <f>UPPER(Sheet1!AE849)</f>
        <v>ARJUN</v>
      </c>
      <c r="AZ850" s="40" t="str">
        <f>LOWER(Sheet1!AE849)</f>
        <v>arjun</v>
      </c>
      <c r="BA850" s="40" t="str">
        <f>PROPER(Sheet1!AE849)</f>
        <v>Arjun</v>
      </c>
      <c r="BB850" s="40" t="str">
        <f>_xlfn.CONCAT(Sheet1!AE849," ",Sheet1!AF849)</f>
        <v>Arjun Gupta</v>
      </c>
    </row>
    <row r="851" spans="40:54">
      <c r="AN851" s="50" t="str">
        <f>Sheet1!B850</f>
        <v>26-10-2024</v>
      </c>
      <c r="AO851" s="50">
        <f t="shared" si="87"/>
        <v>10</v>
      </c>
      <c r="AP851" s="50">
        <f t="shared" si="82"/>
        <v>10</v>
      </c>
      <c r="AQ851" s="50">
        <f t="shared" si="83"/>
        <v>2024</v>
      </c>
      <c r="AR851" s="50" t="str">
        <f t="shared" si="84"/>
        <v>Oct-2024</v>
      </c>
      <c r="AS851" s="52">
        <f t="shared" si="85"/>
        <v>45575</v>
      </c>
      <c r="AT851" s="44">
        <f t="shared" ca="1" si="86"/>
        <v>703</v>
      </c>
      <c r="AU851" s="40" t="str">
        <f>LEFT(Sheet1!AE850,3)</f>
        <v>Roh</v>
      </c>
      <c r="AV851" s="40" t="str">
        <f>RIGHT(Sheet1!AF850,2)</f>
        <v>ra</v>
      </c>
      <c r="AW851" s="40" t="str">
        <f>MID(Sheet1!AE850,2,3)</f>
        <v>oha</v>
      </c>
      <c r="AX851" s="42">
        <f>LEN(Sheet1!AE850)</f>
        <v>5</v>
      </c>
      <c r="AY851" s="40" t="str">
        <f>UPPER(Sheet1!AE850)</f>
        <v>ROHAN</v>
      </c>
      <c r="AZ851" s="40" t="str">
        <f>LOWER(Sheet1!AE850)</f>
        <v>rohan</v>
      </c>
      <c r="BA851" s="40" t="str">
        <f>PROPER(Sheet1!AE850)</f>
        <v>Rohan</v>
      </c>
      <c r="BB851" s="40" t="str">
        <f>_xlfn.CONCAT(Sheet1!AE850," ",Sheet1!AF850)</f>
        <v>Rohan Mishra</v>
      </c>
    </row>
    <row r="852" spans="40:54">
      <c r="AN852" s="50" t="str">
        <f>Sheet1!B851</f>
        <v>26-10-2024</v>
      </c>
      <c r="AO852" s="50">
        <f t="shared" si="87"/>
        <v>10</v>
      </c>
      <c r="AP852" s="50">
        <f t="shared" si="82"/>
        <v>10</v>
      </c>
      <c r="AQ852" s="50">
        <f t="shared" si="83"/>
        <v>2024</v>
      </c>
      <c r="AR852" s="50" t="str">
        <f t="shared" si="84"/>
        <v>Oct-2024</v>
      </c>
      <c r="AS852" s="52">
        <f t="shared" si="85"/>
        <v>45575</v>
      </c>
      <c r="AT852" s="44">
        <f t="shared" ca="1" si="86"/>
        <v>703</v>
      </c>
      <c r="AU852" s="40" t="str">
        <f>LEFT(Sheet1!AE851,3)</f>
        <v>Rah</v>
      </c>
      <c r="AV852" s="40" t="str">
        <f>RIGHT(Sheet1!AF851,2)</f>
        <v>al</v>
      </c>
      <c r="AW852" s="40" t="str">
        <f>MID(Sheet1!AE851,2,3)</f>
        <v>ahu</v>
      </c>
      <c r="AX852" s="42">
        <f>LEN(Sheet1!AE851)</f>
        <v>5</v>
      </c>
      <c r="AY852" s="40" t="str">
        <f>UPPER(Sheet1!AE851)</f>
        <v>RAHUL</v>
      </c>
      <c r="AZ852" s="40" t="str">
        <f>LOWER(Sheet1!AE851)</f>
        <v>rahul</v>
      </c>
      <c r="BA852" s="40" t="str">
        <f>PROPER(Sheet1!AE851)</f>
        <v>Rahul</v>
      </c>
      <c r="BB852" s="40" t="str">
        <f>_xlfn.CONCAT(Sheet1!AE851," ",Sheet1!AF851)</f>
        <v>Rahul Bansal</v>
      </c>
    </row>
    <row r="853" spans="40:54">
      <c r="AN853" s="50" t="str">
        <f>Sheet1!B852</f>
        <v>26-10-2024</v>
      </c>
      <c r="AO853" s="50">
        <f t="shared" si="87"/>
        <v>12</v>
      </c>
      <c r="AP853" s="50">
        <f t="shared" si="82"/>
        <v>10</v>
      </c>
      <c r="AQ853" s="50">
        <f t="shared" si="83"/>
        <v>2024</v>
      </c>
      <c r="AR853" s="50" t="str">
        <f t="shared" si="84"/>
        <v>Oct-2024</v>
      </c>
      <c r="AS853" s="52">
        <f t="shared" si="85"/>
        <v>45577</v>
      </c>
      <c r="AT853" s="44">
        <f t="shared" ca="1" si="86"/>
        <v>701</v>
      </c>
      <c r="AU853" s="40" t="str">
        <f>LEFT(Sheet1!AE852,3)</f>
        <v>Sne</v>
      </c>
      <c r="AV853" s="40" t="str">
        <f>RIGHT(Sheet1!AF852,2)</f>
        <v>ra</v>
      </c>
      <c r="AW853" s="40" t="str">
        <f>MID(Sheet1!AE852,2,3)</f>
        <v>neh</v>
      </c>
      <c r="AX853" s="42">
        <f>LEN(Sheet1!AE852)</f>
        <v>5</v>
      </c>
      <c r="AY853" s="40" t="str">
        <f>UPPER(Sheet1!AE852)</f>
        <v>SNEHA</v>
      </c>
      <c r="AZ853" s="40" t="str">
        <f>LOWER(Sheet1!AE852)</f>
        <v>sneha</v>
      </c>
      <c r="BA853" s="40" t="str">
        <f>PROPER(Sheet1!AE852)</f>
        <v>Sneha</v>
      </c>
      <c r="BB853" s="40" t="str">
        <f>_xlfn.CONCAT(Sheet1!AE852," ",Sheet1!AF852)</f>
        <v>Sneha Chopra</v>
      </c>
    </row>
    <row r="854" spans="40:54">
      <c r="AN854" s="50" t="str">
        <f>Sheet1!B853</f>
        <v>26-10-2024</v>
      </c>
      <c r="AO854" s="50">
        <f t="shared" si="87"/>
        <v>1</v>
      </c>
      <c r="AP854" s="50">
        <f t="shared" si="82"/>
        <v>10</v>
      </c>
      <c r="AQ854" s="50">
        <f t="shared" si="83"/>
        <v>2024</v>
      </c>
      <c r="AR854" s="50" t="str">
        <f t="shared" si="84"/>
        <v>Oct-2024</v>
      </c>
      <c r="AS854" s="52">
        <f t="shared" si="85"/>
        <v>45566</v>
      </c>
      <c r="AT854" s="44">
        <f t="shared" ca="1" si="86"/>
        <v>712</v>
      </c>
      <c r="AU854" s="40" t="str">
        <f>LEFT(Sheet1!AE853,3)</f>
        <v>Kav</v>
      </c>
      <c r="AV854" s="40" t="str">
        <f>RIGHT(Sheet1!AF853,2)</f>
        <v>ma</v>
      </c>
      <c r="AW854" s="40" t="str">
        <f>MID(Sheet1!AE853,2,3)</f>
        <v>avy</v>
      </c>
      <c r="AX854" s="42">
        <f>LEN(Sheet1!AE853)</f>
        <v>5</v>
      </c>
      <c r="AY854" s="40" t="str">
        <f>UPPER(Sheet1!AE853)</f>
        <v>KAVYA</v>
      </c>
      <c r="AZ854" s="40" t="str">
        <f>LOWER(Sheet1!AE853)</f>
        <v>kavya</v>
      </c>
      <c r="BA854" s="40" t="str">
        <f>PROPER(Sheet1!AE853)</f>
        <v>Kavya</v>
      </c>
      <c r="BB854" s="40" t="str">
        <f>_xlfn.CONCAT(Sheet1!AE853," ",Sheet1!AF853)</f>
        <v>Kavya Sharma</v>
      </c>
    </row>
    <row r="855" spans="40:54">
      <c r="AN855" s="50" t="str">
        <f>Sheet1!B854</f>
        <v>26-11-2024</v>
      </c>
      <c r="AO855" s="50">
        <f t="shared" si="87"/>
        <v>1</v>
      </c>
      <c r="AP855" s="50">
        <f t="shared" si="82"/>
        <v>11</v>
      </c>
      <c r="AQ855" s="50">
        <f t="shared" si="83"/>
        <v>2024</v>
      </c>
      <c r="AR855" s="50" t="str">
        <f t="shared" si="84"/>
        <v>Nov-2024</v>
      </c>
      <c r="AS855" s="52">
        <f t="shared" si="85"/>
        <v>45597</v>
      </c>
      <c r="AT855" s="44">
        <f t="shared" ca="1" si="86"/>
        <v>681</v>
      </c>
      <c r="AU855" s="40" t="str">
        <f>LEFT(Sheet1!AE854,3)</f>
        <v>Kar</v>
      </c>
      <c r="AV855" s="40" t="str">
        <f>RIGHT(Sheet1!AF854,2)</f>
        <v>ta</v>
      </c>
      <c r="AW855" s="40" t="str">
        <f>MID(Sheet1!AE854,2,3)</f>
        <v>ara</v>
      </c>
      <c r="AX855" s="42">
        <f>LEN(Sheet1!AE854)</f>
        <v>5</v>
      </c>
      <c r="AY855" s="40" t="str">
        <f>UPPER(Sheet1!AE854)</f>
        <v>KARAN</v>
      </c>
      <c r="AZ855" s="40" t="str">
        <f>LOWER(Sheet1!AE854)</f>
        <v>karan</v>
      </c>
      <c r="BA855" s="40" t="str">
        <f>PROPER(Sheet1!AE854)</f>
        <v>Karan</v>
      </c>
      <c r="BB855" s="40" t="str">
        <f>_xlfn.CONCAT(Sheet1!AE854," ",Sheet1!AF854)</f>
        <v>Karan Mehta</v>
      </c>
    </row>
    <row r="856" spans="40:54">
      <c r="AN856" s="50" t="str">
        <f>Sheet1!B855</f>
        <v>26-11-2025</v>
      </c>
      <c r="AO856" s="50">
        <f t="shared" si="87"/>
        <v>2</v>
      </c>
      <c r="AP856" s="50">
        <f t="shared" si="82"/>
        <v>11</v>
      </c>
      <c r="AQ856" s="50">
        <f t="shared" si="83"/>
        <v>2025</v>
      </c>
      <c r="AR856" s="50" t="str">
        <f t="shared" si="84"/>
        <v>Nov-2025</v>
      </c>
      <c r="AS856" s="52">
        <f t="shared" si="85"/>
        <v>45963</v>
      </c>
      <c r="AT856" s="44">
        <f t="shared" ca="1" si="86"/>
        <v>315</v>
      </c>
      <c r="AU856" s="40" t="str">
        <f>LEFT(Sheet1!AE855,3)</f>
        <v>Ana</v>
      </c>
      <c r="AV856" s="40" t="str">
        <f>RIGHT(Sheet1!AF855,2)</f>
        <v>ta</v>
      </c>
      <c r="AW856" s="40" t="str">
        <f>MID(Sheet1!AE855,2,3)</f>
        <v>nan</v>
      </c>
      <c r="AX856" s="42">
        <f>LEN(Sheet1!AE855)</f>
        <v>6</v>
      </c>
      <c r="AY856" s="40" t="str">
        <f>UPPER(Sheet1!AE855)</f>
        <v>ANANYA</v>
      </c>
      <c r="AZ856" s="40" t="str">
        <f>LOWER(Sheet1!AE855)</f>
        <v>ananya</v>
      </c>
      <c r="BA856" s="40" t="str">
        <f>PROPER(Sheet1!AE855)</f>
        <v>Ananya</v>
      </c>
      <c r="BB856" s="40" t="str">
        <f>_xlfn.CONCAT(Sheet1!AE855," ",Sheet1!AF855)</f>
        <v>Ananya Gupta</v>
      </c>
    </row>
    <row r="857" spans="40:54">
      <c r="AN857" s="50" t="str">
        <f>Sheet1!B856</f>
        <v>26-12-2024</v>
      </c>
      <c r="AO857" s="50">
        <f t="shared" si="87"/>
        <v>2</v>
      </c>
      <c r="AP857" s="50">
        <f t="shared" si="82"/>
        <v>12</v>
      </c>
      <c r="AQ857" s="50">
        <f t="shared" si="83"/>
        <v>2024</v>
      </c>
      <c r="AR857" s="50" t="str">
        <f t="shared" si="84"/>
        <v>Dec-2024</v>
      </c>
      <c r="AS857" s="52">
        <f t="shared" si="85"/>
        <v>45628</v>
      </c>
      <c r="AT857" s="44">
        <f t="shared" ca="1" si="86"/>
        <v>650</v>
      </c>
      <c r="AU857" s="40" t="str">
        <f>LEFT(Sheet1!AE856,3)</f>
        <v>Adi</v>
      </c>
      <c r="AV857" s="40" t="str">
        <f>RIGHT(Sheet1!AF856,2)</f>
        <v>av</v>
      </c>
      <c r="AW857" s="40" t="str">
        <f>MID(Sheet1!AE856,2,3)</f>
        <v>dit</v>
      </c>
      <c r="AX857" s="42">
        <f>LEN(Sheet1!AE856)</f>
        <v>5</v>
      </c>
      <c r="AY857" s="40" t="str">
        <f>UPPER(Sheet1!AE856)</f>
        <v>ADITI</v>
      </c>
      <c r="AZ857" s="40" t="str">
        <f>LOWER(Sheet1!AE856)</f>
        <v>aditi</v>
      </c>
      <c r="BA857" s="40" t="str">
        <f>PROPER(Sheet1!AE856)</f>
        <v>Aditi</v>
      </c>
      <c r="BB857" s="40" t="str">
        <f>_xlfn.CONCAT(Sheet1!AE856," ",Sheet1!AF856)</f>
        <v>Aditi Yadav</v>
      </c>
    </row>
    <row r="858" spans="40:54">
      <c r="AN858" s="50" t="str">
        <f>Sheet1!B857</f>
        <v>26-12-2024</v>
      </c>
      <c r="AO858" s="50">
        <f t="shared" si="87"/>
        <v>3</v>
      </c>
      <c r="AP858" s="50">
        <f t="shared" si="82"/>
        <v>12</v>
      </c>
      <c r="AQ858" s="50">
        <f t="shared" si="83"/>
        <v>2024</v>
      </c>
      <c r="AR858" s="50" t="str">
        <f t="shared" si="84"/>
        <v>Dec-2024</v>
      </c>
      <c r="AS858" s="52">
        <f t="shared" si="85"/>
        <v>45629</v>
      </c>
      <c r="AT858" s="44">
        <f t="shared" ca="1" si="86"/>
        <v>649</v>
      </c>
      <c r="AU858" s="40" t="str">
        <f>LEFT(Sheet1!AE857,3)</f>
        <v>Kar</v>
      </c>
      <c r="AV858" s="40" t="str">
        <f>RIGHT(Sheet1!AF857,2)</f>
        <v>na</v>
      </c>
      <c r="AW858" s="40" t="str">
        <f>MID(Sheet1!AE857,2,3)</f>
        <v>ara</v>
      </c>
      <c r="AX858" s="42">
        <f>LEN(Sheet1!AE857)</f>
        <v>5</v>
      </c>
      <c r="AY858" s="40" t="str">
        <f>UPPER(Sheet1!AE857)</f>
        <v>KARAN</v>
      </c>
      <c r="AZ858" s="40" t="str">
        <f>LOWER(Sheet1!AE857)</f>
        <v>karan</v>
      </c>
      <c r="BA858" s="40" t="str">
        <f>PROPER(Sheet1!AE857)</f>
        <v>Karan</v>
      </c>
      <c r="BB858" s="40" t="str">
        <f>_xlfn.CONCAT(Sheet1!AE857," ",Sheet1!AF857)</f>
        <v>Karan Saxena</v>
      </c>
    </row>
    <row r="859" spans="40:54">
      <c r="AN859" s="50" t="str">
        <f>Sheet1!B858</f>
        <v>26-12-2024</v>
      </c>
      <c r="AO859" s="50">
        <f t="shared" si="87"/>
        <v>4</v>
      </c>
      <c r="AP859" s="50">
        <f t="shared" si="82"/>
        <v>12</v>
      </c>
      <c r="AQ859" s="50">
        <f t="shared" si="83"/>
        <v>2024</v>
      </c>
      <c r="AR859" s="50" t="str">
        <f t="shared" si="84"/>
        <v>Dec-2024</v>
      </c>
      <c r="AS859" s="52">
        <f t="shared" si="85"/>
        <v>45630</v>
      </c>
      <c r="AT859" s="44">
        <f t="shared" ca="1" si="86"/>
        <v>648</v>
      </c>
      <c r="AU859" s="40" t="str">
        <f>LEFT(Sheet1!AE858,3)</f>
        <v>Ana</v>
      </c>
      <c r="AV859" s="40" t="str">
        <f>RIGHT(Sheet1!AF858,2)</f>
        <v>al</v>
      </c>
      <c r="AW859" s="40" t="str">
        <f>MID(Sheet1!AE858,2,3)</f>
        <v>nan</v>
      </c>
      <c r="AX859" s="42">
        <f>LEN(Sheet1!AE858)</f>
        <v>6</v>
      </c>
      <c r="AY859" s="40" t="str">
        <f>UPPER(Sheet1!AE858)</f>
        <v>ANANYA</v>
      </c>
      <c r="AZ859" s="40" t="str">
        <f>LOWER(Sheet1!AE858)</f>
        <v>ananya</v>
      </c>
      <c r="BA859" s="40" t="str">
        <f>PROPER(Sheet1!AE858)</f>
        <v>Ananya</v>
      </c>
      <c r="BB859" s="40" t="str">
        <f>_xlfn.CONCAT(Sheet1!AE858," ",Sheet1!AF858)</f>
        <v>Ananya Agarwal</v>
      </c>
    </row>
    <row r="860" spans="40:54">
      <c r="AN860" s="50" t="str">
        <f>Sheet1!B859</f>
        <v>26-12-2025</v>
      </c>
      <c r="AO860" s="50">
        <f t="shared" si="87"/>
        <v>4</v>
      </c>
      <c r="AP860" s="50">
        <f t="shared" si="82"/>
        <v>12</v>
      </c>
      <c r="AQ860" s="50">
        <f t="shared" si="83"/>
        <v>2025</v>
      </c>
      <c r="AR860" s="50" t="str">
        <f t="shared" si="84"/>
        <v>Dec-2025</v>
      </c>
      <c r="AS860" s="52">
        <f t="shared" si="85"/>
        <v>45995</v>
      </c>
      <c r="AT860" s="44">
        <f t="shared" ca="1" si="86"/>
        <v>283</v>
      </c>
      <c r="AU860" s="40" t="str">
        <f>LEFT(Sheet1!AE859,3)</f>
        <v>Ish</v>
      </c>
      <c r="AV860" s="40" t="str">
        <f>RIGHT(Sheet1!AF859,2)</f>
        <v>or</v>
      </c>
      <c r="AW860" s="40" t="str">
        <f>MID(Sheet1!AE859,2,3)</f>
        <v>shi</v>
      </c>
      <c r="AX860" s="42">
        <f>LEN(Sheet1!AE859)</f>
        <v>6</v>
      </c>
      <c r="AY860" s="40" t="str">
        <f>UPPER(Sheet1!AE859)</f>
        <v>ISHITA</v>
      </c>
      <c r="AZ860" s="40" t="str">
        <f>LOWER(Sheet1!AE859)</f>
        <v>ishita</v>
      </c>
      <c r="BA860" s="40" t="str">
        <f>PROPER(Sheet1!AE859)</f>
        <v>Ishita</v>
      </c>
      <c r="BB860" s="40" t="str">
        <f>_xlfn.CONCAT(Sheet1!AE859," ",Sheet1!AF859)</f>
        <v>Ishita Kapoor</v>
      </c>
    </row>
    <row r="861" spans="40:54">
      <c r="AN861" s="50" t="str">
        <f>Sheet1!B860</f>
        <v>27-01-2024</v>
      </c>
      <c r="AO861" s="50">
        <f t="shared" si="87"/>
        <v>4</v>
      </c>
      <c r="AP861" s="50">
        <f t="shared" si="82"/>
        <v>1</v>
      </c>
      <c r="AQ861" s="50">
        <f t="shared" si="83"/>
        <v>2024</v>
      </c>
      <c r="AR861" s="50" t="str">
        <f t="shared" si="84"/>
        <v>Jan-2024</v>
      </c>
      <c r="AS861" s="52">
        <f t="shared" si="85"/>
        <v>45295</v>
      </c>
      <c r="AT861" s="44">
        <f t="shared" ca="1" si="86"/>
        <v>983</v>
      </c>
      <c r="AU861" s="40" t="str">
        <f>LEFT(Sheet1!AE860,3)</f>
        <v>Roh</v>
      </c>
      <c r="AV861" s="40" t="str">
        <f>RIGHT(Sheet1!AF860,2)</f>
        <v>na</v>
      </c>
      <c r="AW861" s="40" t="str">
        <f>MID(Sheet1!AE860,2,3)</f>
        <v>oha</v>
      </c>
      <c r="AX861" s="42">
        <f>LEN(Sheet1!AE860)</f>
        <v>5</v>
      </c>
      <c r="AY861" s="40" t="str">
        <f>UPPER(Sheet1!AE860)</f>
        <v>ROHAN</v>
      </c>
      <c r="AZ861" s="40" t="str">
        <f>LOWER(Sheet1!AE860)</f>
        <v>rohan</v>
      </c>
      <c r="BA861" s="40" t="str">
        <f>PROPER(Sheet1!AE860)</f>
        <v>Rohan</v>
      </c>
      <c r="BB861" s="40" t="str">
        <f>_xlfn.CONCAT(Sheet1!AE860," ",Sheet1!AF860)</f>
        <v>Rohan Saxena</v>
      </c>
    </row>
    <row r="862" spans="40:54">
      <c r="AN862" s="50" t="str">
        <f>Sheet1!B861</f>
        <v>27-02-2025</v>
      </c>
      <c r="AO862" s="50">
        <f t="shared" si="87"/>
        <v>4</v>
      </c>
      <c r="AP862" s="50">
        <f t="shared" si="82"/>
        <v>2</v>
      </c>
      <c r="AQ862" s="50">
        <f t="shared" si="83"/>
        <v>2025</v>
      </c>
      <c r="AR862" s="50" t="str">
        <f t="shared" si="84"/>
        <v>Feb-2025</v>
      </c>
      <c r="AS862" s="52">
        <f t="shared" si="85"/>
        <v>45692</v>
      </c>
      <c r="AT862" s="44">
        <f t="shared" ca="1" si="86"/>
        <v>586</v>
      </c>
      <c r="AU862" s="40" t="str">
        <f>LEFT(Sheet1!AE861,3)</f>
        <v>Neh</v>
      </c>
      <c r="AV862" s="40" t="str">
        <f>RIGHT(Sheet1!AF861,2)</f>
        <v>ta</v>
      </c>
      <c r="AW862" s="40" t="str">
        <f>MID(Sheet1!AE861,2,3)</f>
        <v>eha</v>
      </c>
      <c r="AX862" s="42">
        <f>LEN(Sheet1!AE861)</f>
        <v>4</v>
      </c>
      <c r="AY862" s="40" t="str">
        <f>UPPER(Sheet1!AE861)</f>
        <v>NEHA</v>
      </c>
      <c r="AZ862" s="40" t="str">
        <f>LOWER(Sheet1!AE861)</f>
        <v>neha</v>
      </c>
      <c r="BA862" s="40" t="str">
        <f>PROPER(Sheet1!AE861)</f>
        <v>Neha</v>
      </c>
      <c r="BB862" s="40" t="str">
        <f>_xlfn.CONCAT(Sheet1!AE861," ",Sheet1!AF861)</f>
        <v>Neha Mehta</v>
      </c>
    </row>
    <row r="863" spans="40:54">
      <c r="AN863" s="50" t="str">
        <f>Sheet1!B862</f>
        <v>27-02-2025</v>
      </c>
      <c r="AO863" s="50">
        <f t="shared" si="87"/>
        <v>4</v>
      </c>
      <c r="AP863" s="50">
        <f t="shared" si="82"/>
        <v>2</v>
      </c>
      <c r="AQ863" s="50">
        <f t="shared" si="83"/>
        <v>2025</v>
      </c>
      <c r="AR863" s="50" t="str">
        <f t="shared" si="84"/>
        <v>Feb-2025</v>
      </c>
      <c r="AS863" s="52">
        <f t="shared" si="85"/>
        <v>45692</v>
      </c>
      <c r="AT863" s="44">
        <f t="shared" ca="1" si="86"/>
        <v>586</v>
      </c>
      <c r="AU863" s="40" t="str">
        <f>LEFT(Sheet1!AE862,3)</f>
        <v>Aar</v>
      </c>
      <c r="AV863" s="40" t="str">
        <f>RIGHT(Sheet1!AF862,2)</f>
        <v>or</v>
      </c>
      <c r="AW863" s="40" t="str">
        <f>MID(Sheet1!AE862,2,3)</f>
        <v>ara</v>
      </c>
      <c r="AX863" s="42">
        <f>LEN(Sheet1!AE862)</f>
        <v>5</v>
      </c>
      <c r="AY863" s="40" t="str">
        <f>UPPER(Sheet1!AE862)</f>
        <v>AARAV</v>
      </c>
      <c r="AZ863" s="40" t="str">
        <f>LOWER(Sheet1!AE862)</f>
        <v>aarav</v>
      </c>
      <c r="BA863" s="40" t="str">
        <f>PROPER(Sheet1!AE862)</f>
        <v>Aarav</v>
      </c>
      <c r="BB863" s="40" t="str">
        <f>_xlfn.CONCAT(Sheet1!AE862," ",Sheet1!AF862)</f>
        <v>Aarav Kapoor</v>
      </c>
    </row>
    <row r="864" spans="40:54">
      <c r="AN864" s="50" t="str">
        <f>Sheet1!B863</f>
        <v>27-02-2025</v>
      </c>
      <c r="AO864" s="50">
        <f t="shared" si="87"/>
        <v>4</v>
      </c>
      <c r="AP864" s="50">
        <f t="shared" si="82"/>
        <v>2</v>
      </c>
      <c r="AQ864" s="50">
        <f t="shared" si="83"/>
        <v>2025</v>
      </c>
      <c r="AR864" s="50" t="str">
        <f t="shared" si="84"/>
        <v>Feb-2025</v>
      </c>
      <c r="AS864" s="52">
        <f t="shared" si="85"/>
        <v>45692</v>
      </c>
      <c r="AT864" s="44">
        <f t="shared" ca="1" si="86"/>
        <v>586</v>
      </c>
      <c r="AU864" s="40" t="str">
        <f>LEFT(Sheet1!AE863,3)</f>
        <v>Mee</v>
      </c>
      <c r="AV864" s="40" t="str">
        <f>RIGHT(Sheet1!AF863,2)</f>
        <v>ta</v>
      </c>
      <c r="AW864" s="40" t="str">
        <f>MID(Sheet1!AE863,2,3)</f>
        <v>eer</v>
      </c>
      <c r="AX864" s="42">
        <f>LEN(Sheet1!AE863)</f>
        <v>5</v>
      </c>
      <c r="AY864" s="40" t="str">
        <f>UPPER(Sheet1!AE863)</f>
        <v>MEERA</v>
      </c>
      <c r="AZ864" s="40" t="str">
        <f>LOWER(Sheet1!AE863)</f>
        <v>meera</v>
      </c>
      <c r="BA864" s="40" t="str">
        <f>PROPER(Sheet1!AE863)</f>
        <v>Meera</v>
      </c>
      <c r="BB864" s="40" t="str">
        <f>_xlfn.CONCAT(Sheet1!AE863," ",Sheet1!AF863)</f>
        <v>Meera Mehta</v>
      </c>
    </row>
    <row r="865" spans="40:54">
      <c r="AN865" s="50" t="str">
        <f>Sheet1!B864</f>
        <v>27-03-2024</v>
      </c>
      <c r="AO865" s="50">
        <f t="shared" si="87"/>
        <v>5</v>
      </c>
      <c r="AP865" s="50">
        <f t="shared" si="82"/>
        <v>3</v>
      </c>
      <c r="AQ865" s="50">
        <f t="shared" si="83"/>
        <v>2024</v>
      </c>
      <c r="AR865" s="50" t="str">
        <f t="shared" si="84"/>
        <v>Mar-2024</v>
      </c>
      <c r="AS865" s="52">
        <f t="shared" si="85"/>
        <v>45356</v>
      </c>
      <c r="AT865" s="44">
        <f t="shared" ca="1" si="86"/>
        <v>922</v>
      </c>
      <c r="AU865" s="40" t="str">
        <f>LEFT(Sheet1!AE864,3)</f>
        <v>Nis</v>
      </c>
      <c r="AV865" s="40" t="str">
        <f>RIGHT(Sheet1!AF864,2)</f>
        <v>gh</v>
      </c>
      <c r="AW865" s="40" t="str">
        <f>MID(Sheet1!AE864,2,3)</f>
        <v>ish</v>
      </c>
      <c r="AX865" s="42">
        <f>LEN(Sheet1!AE864)</f>
        <v>5</v>
      </c>
      <c r="AY865" s="40" t="str">
        <f>UPPER(Sheet1!AE864)</f>
        <v>NISHA</v>
      </c>
      <c r="AZ865" s="40" t="str">
        <f>LOWER(Sheet1!AE864)</f>
        <v>nisha</v>
      </c>
      <c r="BA865" s="40" t="str">
        <f>PROPER(Sheet1!AE864)</f>
        <v>Nisha</v>
      </c>
      <c r="BB865" s="40" t="str">
        <f>_xlfn.CONCAT(Sheet1!AE864," ",Sheet1!AF864)</f>
        <v>Nisha Singh</v>
      </c>
    </row>
    <row r="866" spans="40:54">
      <c r="AN866" s="50" t="str">
        <f>Sheet1!B865</f>
        <v>27-03-2024</v>
      </c>
      <c r="AO866" s="50">
        <f t="shared" si="87"/>
        <v>5</v>
      </c>
      <c r="AP866" s="50">
        <f t="shared" si="82"/>
        <v>3</v>
      </c>
      <c r="AQ866" s="50">
        <f t="shared" si="83"/>
        <v>2024</v>
      </c>
      <c r="AR866" s="50" t="str">
        <f t="shared" si="84"/>
        <v>Mar-2024</v>
      </c>
      <c r="AS866" s="52">
        <f t="shared" si="85"/>
        <v>45356</v>
      </c>
      <c r="AT866" s="44">
        <f t="shared" ca="1" si="86"/>
        <v>922</v>
      </c>
      <c r="AU866" s="40" t="str">
        <f>LEFT(Sheet1!AE865,3)</f>
        <v>Mee</v>
      </c>
      <c r="AV866" s="40" t="str">
        <f>RIGHT(Sheet1!AF865,2)</f>
        <v>in</v>
      </c>
      <c r="AW866" s="40" t="str">
        <f>MID(Sheet1!AE865,2,3)</f>
        <v>eer</v>
      </c>
      <c r="AX866" s="42">
        <f>LEN(Sheet1!AE865)</f>
        <v>5</v>
      </c>
      <c r="AY866" s="40" t="str">
        <f>UPPER(Sheet1!AE865)</f>
        <v>MEERA</v>
      </c>
      <c r="AZ866" s="40" t="str">
        <f>LOWER(Sheet1!AE865)</f>
        <v>meera</v>
      </c>
      <c r="BA866" s="40" t="str">
        <f>PROPER(Sheet1!AE865)</f>
        <v>Meera</v>
      </c>
      <c r="BB866" s="40" t="str">
        <f>_xlfn.CONCAT(Sheet1!AE865," ",Sheet1!AF865)</f>
        <v>Meera Jain</v>
      </c>
    </row>
    <row r="867" spans="40:54">
      <c r="AN867" s="50" t="str">
        <f>Sheet1!B866</f>
        <v>27-03-2024</v>
      </c>
      <c r="AO867" s="50">
        <f t="shared" si="87"/>
        <v>6</v>
      </c>
      <c r="AP867" s="50">
        <f t="shared" si="82"/>
        <v>3</v>
      </c>
      <c r="AQ867" s="50">
        <f t="shared" si="83"/>
        <v>2024</v>
      </c>
      <c r="AR867" s="50" t="str">
        <f t="shared" si="84"/>
        <v>Mar-2024</v>
      </c>
      <c r="AS867" s="52">
        <f t="shared" si="85"/>
        <v>45357</v>
      </c>
      <c r="AT867" s="44">
        <f t="shared" ca="1" si="86"/>
        <v>921</v>
      </c>
      <c r="AU867" s="40" t="str">
        <f>LEFT(Sheet1!AE866,3)</f>
        <v>Ana</v>
      </c>
      <c r="AV867" s="40" t="str">
        <f>RIGHT(Sheet1!AF866,2)</f>
        <v>ra</v>
      </c>
      <c r="AW867" s="40" t="str">
        <f>MID(Sheet1!AE866,2,3)</f>
        <v>nan</v>
      </c>
      <c r="AX867" s="42">
        <f>LEN(Sheet1!AE866)</f>
        <v>6</v>
      </c>
      <c r="AY867" s="40" t="str">
        <f>UPPER(Sheet1!AE866)</f>
        <v>ANANYA</v>
      </c>
      <c r="AZ867" s="40" t="str">
        <f>LOWER(Sheet1!AE866)</f>
        <v>ananya</v>
      </c>
      <c r="BA867" s="40" t="str">
        <f>PROPER(Sheet1!AE866)</f>
        <v>Ananya</v>
      </c>
      <c r="BB867" s="40" t="str">
        <f>_xlfn.CONCAT(Sheet1!AE866," ",Sheet1!AF866)</f>
        <v>Ananya Malhotra</v>
      </c>
    </row>
    <row r="868" spans="40:54">
      <c r="AN868" s="50" t="str">
        <f>Sheet1!B867</f>
        <v>27-03-2025</v>
      </c>
      <c r="AO868" s="50">
        <f t="shared" si="87"/>
        <v>7</v>
      </c>
      <c r="AP868" s="50">
        <f t="shared" si="82"/>
        <v>3</v>
      </c>
      <c r="AQ868" s="50">
        <f t="shared" si="83"/>
        <v>2025</v>
      </c>
      <c r="AR868" s="50" t="str">
        <f t="shared" si="84"/>
        <v>Mar-2025</v>
      </c>
      <c r="AS868" s="52">
        <f t="shared" si="85"/>
        <v>45723</v>
      </c>
      <c r="AT868" s="44">
        <f t="shared" ca="1" si="86"/>
        <v>555</v>
      </c>
      <c r="AU868" s="40" t="str">
        <f>LEFT(Sheet1!AE867,3)</f>
        <v>Kav</v>
      </c>
      <c r="AV868" s="40" t="str">
        <f>RIGHT(Sheet1!AF867,2)</f>
        <v>ma</v>
      </c>
      <c r="AW868" s="40" t="str">
        <f>MID(Sheet1!AE867,2,3)</f>
        <v>avy</v>
      </c>
      <c r="AX868" s="42">
        <f>LEN(Sheet1!AE867)</f>
        <v>5</v>
      </c>
      <c r="AY868" s="40" t="str">
        <f>UPPER(Sheet1!AE867)</f>
        <v>KAVYA</v>
      </c>
      <c r="AZ868" s="40" t="str">
        <f>LOWER(Sheet1!AE867)</f>
        <v>kavya</v>
      </c>
      <c r="BA868" s="40" t="str">
        <f>PROPER(Sheet1!AE867)</f>
        <v>Kavya</v>
      </c>
      <c r="BB868" s="40" t="str">
        <f>_xlfn.CONCAT(Sheet1!AE867," ",Sheet1!AF867)</f>
        <v>Kavya Verma</v>
      </c>
    </row>
    <row r="869" spans="40:54">
      <c r="AN869" s="50" t="str">
        <f>Sheet1!B868</f>
        <v>27-03-2025</v>
      </c>
      <c r="AO869" s="50">
        <f t="shared" si="87"/>
        <v>7</v>
      </c>
      <c r="AP869" s="50">
        <f t="shared" si="82"/>
        <v>3</v>
      </c>
      <c r="AQ869" s="50">
        <f t="shared" si="83"/>
        <v>2025</v>
      </c>
      <c r="AR869" s="50" t="str">
        <f t="shared" si="84"/>
        <v>Mar-2025</v>
      </c>
      <c r="AS869" s="52">
        <f t="shared" si="85"/>
        <v>45723</v>
      </c>
      <c r="AT869" s="44">
        <f t="shared" ca="1" si="86"/>
        <v>555</v>
      </c>
      <c r="AU869" s="40" t="str">
        <f>LEFT(Sheet1!AE868,3)</f>
        <v>Ish</v>
      </c>
      <c r="AV869" s="40" t="str">
        <f>RIGHT(Sheet1!AF868,2)</f>
        <v>in</v>
      </c>
      <c r="AW869" s="40" t="str">
        <f>MID(Sheet1!AE868,2,3)</f>
        <v>shi</v>
      </c>
      <c r="AX869" s="42">
        <f>LEN(Sheet1!AE868)</f>
        <v>6</v>
      </c>
      <c r="AY869" s="40" t="str">
        <f>UPPER(Sheet1!AE868)</f>
        <v>ISHITA</v>
      </c>
      <c r="AZ869" s="40" t="str">
        <f>LOWER(Sheet1!AE868)</f>
        <v>ishita</v>
      </c>
      <c r="BA869" s="40" t="str">
        <f>PROPER(Sheet1!AE868)</f>
        <v>Ishita</v>
      </c>
      <c r="BB869" s="40" t="str">
        <f>_xlfn.CONCAT(Sheet1!AE868," ",Sheet1!AF868)</f>
        <v>Ishita Jain</v>
      </c>
    </row>
    <row r="870" spans="40:54">
      <c r="AN870" s="50" t="str">
        <f>Sheet1!B869</f>
        <v>27-04-2025</v>
      </c>
      <c r="AO870" s="50">
        <f t="shared" si="87"/>
        <v>7</v>
      </c>
      <c r="AP870" s="50">
        <f t="shared" si="82"/>
        <v>4</v>
      </c>
      <c r="AQ870" s="50">
        <f t="shared" si="83"/>
        <v>2025</v>
      </c>
      <c r="AR870" s="50" t="str">
        <f t="shared" si="84"/>
        <v>Apr-2025</v>
      </c>
      <c r="AS870" s="52">
        <f t="shared" si="85"/>
        <v>45754</v>
      </c>
      <c r="AT870" s="44">
        <f t="shared" ca="1" si="86"/>
        <v>524</v>
      </c>
      <c r="AU870" s="40" t="str">
        <f>LEFT(Sheet1!AE869,3)</f>
        <v>Adi</v>
      </c>
      <c r="AV870" s="40" t="str">
        <f>RIGHT(Sheet1!AF869,2)</f>
        <v>al</v>
      </c>
      <c r="AW870" s="40" t="str">
        <f>MID(Sheet1!AE869,2,3)</f>
        <v>dit</v>
      </c>
      <c r="AX870" s="42">
        <f>LEN(Sheet1!AE869)</f>
        <v>5</v>
      </c>
      <c r="AY870" s="40" t="str">
        <f>UPPER(Sheet1!AE869)</f>
        <v>ADITI</v>
      </c>
      <c r="AZ870" s="40" t="str">
        <f>LOWER(Sheet1!AE869)</f>
        <v>aditi</v>
      </c>
      <c r="BA870" s="40" t="str">
        <f>PROPER(Sheet1!AE869)</f>
        <v>Aditi</v>
      </c>
      <c r="BB870" s="40" t="str">
        <f>_xlfn.CONCAT(Sheet1!AE869," ",Sheet1!AF869)</f>
        <v>Aditi Agarwal</v>
      </c>
    </row>
    <row r="871" spans="40:54">
      <c r="AN871" s="50" t="str">
        <f>Sheet1!B870</f>
        <v>27-05-2024</v>
      </c>
      <c r="AO871" s="50">
        <f t="shared" si="87"/>
        <v>8</v>
      </c>
      <c r="AP871" s="50">
        <f t="shared" si="82"/>
        <v>5</v>
      </c>
      <c r="AQ871" s="50">
        <f t="shared" si="83"/>
        <v>2024</v>
      </c>
      <c r="AR871" s="50" t="str">
        <f t="shared" si="84"/>
        <v>May-2024</v>
      </c>
      <c r="AS871" s="52">
        <f t="shared" si="85"/>
        <v>45420</v>
      </c>
      <c r="AT871" s="44">
        <f t="shared" ca="1" si="86"/>
        <v>858</v>
      </c>
      <c r="AU871" s="40" t="str">
        <f>LEFT(Sheet1!AE870,3)</f>
        <v>Poo</v>
      </c>
      <c r="AV871" s="40" t="str">
        <f>RIGHT(Sheet1!AF870,2)</f>
        <v>al</v>
      </c>
      <c r="AW871" s="40" t="str">
        <f>MID(Sheet1!AE870,2,3)</f>
        <v>ooj</v>
      </c>
      <c r="AX871" s="42">
        <f>LEN(Sheet1!AE870)</f>
        <v>5</v>
      </c>
      <c r="AY871" s="40" t="str">
        <f>UPPER(Sheet1!AE870)</f>
        <v>POOJA</v>
      </c>
      <c r="AZ871" s="40" t="str">
        <f>LOWER(Sheet1!AE870)</f>
        <v>pooja</v>
      </c>
      <c r="BA871" s="40" t="str">
        <f>PROPER(Sheet1!AE870)</f>
        <v>Pooja</v>
      </c>
      <c r="BB871" s="40" t="str">
        <f>_xlfn.CONCAT(Sheet1!AE870," ",Sheet1!AF870)</f>
        <v>Pooja Agarwal</v>
      </c>
    </row>
    <row r="872" spans="40:54">
      <c r="AN872" s="50" t="str">
        <f>Sheet1!B871</f>
        <v>27-05-2025</v>
      </c>
      <c r="AO872" s="50">
        <f t="shared" si="87"/>
        <v>9</v>
      </c>
      <c r="AP872" s="50">
        <f t="shared" si="82"/>
        <v>5</v>
      </c>
      <c r="AQ872" s="50">
        <f t="shared" si="83"/>
        <v>2025</v>
      </c>
      <c r="AR872" s="50" t="str">
        <f t="shared" si="84"/>
        <v>May-2025</v>
      </c>
      <c r="AS872" s="52">
        <f t="shared" si="85"/>
        <v>45786</v>
      </c>
      <c r="AT872" s="44">
        <f t="shared" ca="1" si="86"/>
        <v>492</v>
      </c>
      <c r="AU872" s="40" t="str">
        <f>LEFT(Sheet1!AE871,3)</f>
        <v>Pri</v>
      </c>
      <c r="AV872" s="40" t="str">
        <f>RIGHT(Sheet1!AF871,2)</f>
        <v>ra</v>
      </c>
      <c r="AW872" s="40" t="str">
        <f>MID(Sheet1!AE871,2,3)</f>
        <v>riy</v>
      </c>
      <c r="AX872" s="42">
        <f>LEN(Sheet1!AE871)</f>
        <v>5</v>
      </c>
      <c r="AY872" s="40" t="str">
        <f>UPPER(Sheet1!AE871)</f>
        <v>PRIYA</v>
      </c>
      <c r="AZ872" s="40" t="str">
        <f>LOWER(Sheet1!AE871)</f>
        <v>priya</v>
      </c>
      <c r="BA872" s="40" t="str">
        <f>PROPER(Sheet1!AE871)</f>
        <v>Priya</v>
      </c>
      <c r="BB872" s="40" t="str">
        <f>_xlfn.CONCAT(Sheet1!AE871," ",Sheet1!AF871)</f>
        <v>Priya Chopra</v>
      </c>
    </row>
    <row r="873" spans="40:54">
      <c r="AN873" s="50" t="str">
        <f>Sheet1!B872</f>
        <v>27-06-2024</v>
      </c>
      <c r="AO873" s="50">
        <f t="shared" si="87"/>
        <v>10</v>
      </c>
      <c r="AP873" s="50">
        <f t="shared" si="82"/>
        <v>6</v>
      </c>
      <c r="AQ873" s="50">
        <f t="shared" si="83"/>
        <v>2024</v>
      </c>
      <c r="AR873" s="50" t="str">
        <f t="shared" si="84"/>
        <v>Jun-2024</v>
      </c>
      <c r="AS873" s="52">
        <f t="shared" si="85"/>
        <v>45453</v>
      </c>
      <c r="AT873" s="44">
        <f t="shared" ca="1" si="86"/>
        <v>825</v>
      </c>
      <c r="AU873" s="40" t="str">
        <f>LEFT(Sheet1!AE872,3)</f>
        <v>Nis</v>
      </c>
      <c r="AV873" s="40" t="str">
        <f>RIGHT(Sheet1!AF872,2)</f>
        <v>ra</v>
      </c>
      <c r="AW873" s="40" t="str">
        <f>MID(Sheet1!AE872,2,3)</f>
        <v>ish</v>
      </c>
      <c r="AX873" s="42">
        <f>LEN(Sheet1!AE872)</f>
        <v>5</v>
      </c>
      <c r="AY873" s="40" t="str">
        <f>UPPER(Sheet1!AE872)</f>
        <v>NISHA</v>
      </c>
      <c r="AZ873" s="40" t="str">
        <f>LOWER(Sheet1!AE872)</f>
        <v>nisha</v>
      </c>
      <c r="BA873" s="40" t="str">
        <f>PROPER(Sheet1!AE872)</f>
        <v>Nisha</v>
      </c>
      <c r="BB873" s="40" t="str">
        <f>_xlfn.CONCAT(Sheet1!AE872," ",Sheet1!AF872)</f>
        <v>Nisha Chopra</v>
      </c>
    </row>
    <row r="874" spans="40:54">
      <c r="AN874" s="50" t="str">
        <f>Sheet1!B873</f>
        <v>27-06-2024</v>
      </c>
      <c r="AO874" s="50">
        <f t="shared" si="87"/>
        <v>10</v>
      </c>
      <c r="AP874" s="50">
        <f t="shared" si="82"/>
        <v>6</v>
      </c>
      <c r="AQ874" s="50">
        <f t="shared" si="83"/>
        <v>2024</v>
      </c>
      <c r="AR874" s="50" t="str">
        <f t="shared" si="84"/>
        <v>Jun-2024</v>
      </c>
      <c r="AS874" s="52">
        <f t="shared" si="85"/>
        <v>45453</v>
      </c>
      <c r="AT874" s="44">
        <f t="shared" ca="1" si="86"/>
        <v>825</v>
      </c>
      <c r="AU874" s="40" t="str">
        <f>LEFT(Sheet1!AE873,3)</f>
        <v>Adi</v>
      </c>
      <c r="AV874" s="40" t="str">
        <f>RIGHT(Sheet1!AF873,2)</f>
        <v>or</v>
      </c>
      <c r="AW874" s="40" t="str">
        <f>MID(Sheet1!AE873,2,3)</f>
        <v>dit</v>
      </c>
      <c r="AX874" s="42">
        <f>LEN(Sheet1!AE873)</f>
        <v>6</v>
      </c>
      <c r="AY874" s="40" t="str">
        <f>UPPER(Sheet1!AE873)</f>
        <v>ADITYA</v>
      </c>
      <c r="AZ874" s="40" t="str">
        <f>LOWER(Sheet1!AE873)</f>
        <v>aditya</v>
      </c>
      <c r="BA874" s="40" t="str">
        <f>PROPER(Sheet1!AE873)</f>
        <v>Aditya</v>
      </c>
      <c r="BB874" s="40" t="str">
        <f>_xlfn.CONCAT(Sheet1!AE873," ",Sheet1!AF873)</f>
        <v>Aditya Kapoor</v>
      </c>
    </row>
    <row r="875" spans="40:54">
      <c r="AN875" s="50" t="str">
        <f>Sheet1!B874</f>
        <v>27-06-2025</v>
      </c>
      <c r="AO875" s="50">
        <f t="shared" si="87"/>
        <v>10</v>
      </c>
      <c r="AP875" s="50">
        <f t="shared" si="82"/>
        <v>6</v>
      </c>
      <c r="AQ875" s="50">
        <f t="shared" si="83"/>
        <v>2025</v>
      </c>
      <c r="AR875" s="50" t="str">
        <f t="shared" si="84"/>
        <v>Jun-2025</v>
      </c>
      <c r="AS875" s="52">
        <f t="shared" si="85"/>
        <v>45818</v>
      </c>
      <c r="AT875" s="44">
        <f t="shared" ca="1" si="86"/>
        <v>460</v>
      </c>
      <c r="AU875" s="40" t="str">
        <f>LEFT(Sheet1!AE874,3)</f>
        <v>Kav</v>
      </c>
      <c r="AV875" s="40" t="str">
        <f>RIGHT(Sheet1!AF874,2)</f>
        <v>na</v>
      </c>
      <c r="AW875" s="40" t="str">
        <f>MID(Sheet1!AE874,2,3)</f>
        <v>avy</v>
      </c>
      <c r="AX875" s="42">
        <f>LEN(Sheet1!AE874)</f>
        <v>5</v>
      </c>
      <c r="AY875" s="40" t="str">
        <f>UPPER(Sheet1!AE874)</f>
        <v>KAVYA</v>
      </c>
      <c r="AZ875" s="40" t="str">
        <f>LOWER(Sheet1!AE874)</f>
        <v>kavya</v>
      </c>
      <c r="BA875" s="40" t="str">
        <f>PROPER(Sheet1!AE874)</f>
        <v>Kavya</v>
      </c>
      <c r="BB875" s="40" t="str">
        <f>_xlfn.CONCAT(Sheet1!AE874," ",Sheet1!AF874)</f>
        <v>Kavya Saxena</v>
      </c>
    </row>
    <row r="876" spans="40:54">
      <c r="AN876" s="50" t="str">
        <f>Sheet1!B875</f>
        <v>27-06-2025</v>
      </c>
      <c r="AO876" s="50">
        <f t="shared" si="87"/>
        <v>12</v>
      </c>
      <c r="AP876" s="50">
        <f t="shared" si="82"/>
        <v>6</v>
      </c>
      <c r="AQ876" s="50">
        <f t="shared" si="83"/>
        <v>2025</v>
      </c>
      <c r="AR876" s="50" t="str">
        <f t="shared" si="84"/>
        <v>Jun-2025</v>
      </c>
      <c r="AS876" s="52">
        <f t="shared" si="85"/>
        <v>45820</v>
      </c>
      <c r="AT876" s="44">
        <f t="shared" ca="1" si="86"/>
        <v>458</v>
      </c>
      <c r="AU876" s="40" t="str">
        <f>LEFT(Sheet1!AE875,3)</f>
        <v>Adi</v>
      </c>
      <c r="AV876" s="40" t="str">
        <f>RIGHT(Sheet1!AF875,2)</f>
        <v>gh</v>
      </c>
      <c r="AW876" s="40" t="str">
        <f>MID(Sheet1!AE875,2,3)</f>
        <v>dit</v>
      </c>
      <c r="AX876" s="42">
        <f>LEN(Sheet1!AE875)</f>
        <v>5</v>
      </c>
      <c r="AY876" s="40" t="str">
        <f>UPPER(Sheet1!AE875)</f>
        <v>ADITI</v>
      </c>
      <c r="AZ876" s="40" t="str">
        <f>LOWER(Sheet1!AE875)</f>
        <v>aditi</v>
      </c>
      <c r="BA876" s="40" t="str">
        <f>PROPER(Sheet1!AE875)</f>
        <v>Aditi</v>
      </c>
      <c r="BB876" s="40" t="str">
        <f>_xlfn.CONCAT(Sheet1!AE875," ",Sheet1!AF875)</f>
        <v>Aditi Singh</v>
      </c>
    </row>
    <row r="877" spans="40:54">
      <c r="AN877" s="50" t="str">
        <f>Sheet1!B876</f>
        <v>27-07-2025</v>
      </c>
      <c r="AO877" s="50">
        <f t="shared" si="87"/>
        <v>1</v>
      </c>
      <c r="AP877" s="50">
        <f t="shared" si="82"/>
        <v>7</v>
      </c>
      <c r="AQ877" s="50">
        <f t="shared" si="83"/>
        <v>2025</v>
      </c>
      <c r="AR877" s="50" t="str">
        <f t="shared" si="84"/>
        <v>Jul-2025</v>
      </c>
      <c r="AS877" s="52">
        <f t="shared" si="85"/>
        <v>45839</v>
      </c>
      <c r="AT877" s="44">
        <f t="shared" ca="1" si="86"/>
        <v>439</v>
      </c>
      <c r="AU877" s="40" t="str">
        <f>LEFT(Sheet1!AE876,3)</f>
        <v>Arj</v>
      </c>
      <c r="AV877" s="40" t="str">
        <f>RIGHT(Sheet1!AF876,2)</f>
        <v>in</v>
      </c>
      <c r="AW877" s="40" t="str">
        <f>MID(Sheet1!AE876,2,3)</f>
        <v>rju</v>
      </c>
      <c r="AX877" s="42">
        <f>LEN(Sheet1!AE876)</f>
        <v>5</v>
      </c>
      <c r="AY877" s="40" t="str">
        <f>UPPER(Sheet1!AE876)</f>
        <v>ARJUN</v>
      </c>
      <c r="AZ877" s="40" t="str">
        <f>LOWER(Sheet1!AE876)</f>
        <v>arjun</v>
      </c>
      <c r="BA877" s="40" t="str">
        <f>PROPER(Sheet1!AE876)</f>
        <v>Arjun</v>
      </c>
      <c r="BB877" s="40" t="str">
        <f>_xlfn.CONCAT(Sheet1!AE876," ",Sheet1!AF876)</f>
        <v>Arjun Jain</v>
      </c>
    </row>
    <row r="878" spans="40:54">
      <c r="AN878" s="50" t="str">
        <f>Sheet1!B877</f>
        <v>27-07-2025</v>
      </c>
      <c r="AO878" s="50">
        <f t="shared" si="87"/>
        <v>1</v>
      </c>
      <c r="AP878" s="50">
        <f t="shared" si="82"/>
        <v>7</v>
      </c>
      <c r="AQ878" s="50">
        <f t="shared" si="83"/>
        <v>2025</v>
      </c>
      <c r="AR878" s="50" t="str">
        <f t="shared" si="84"/>
        <v>Jul-2025</v>
      </c>
      <c r="AS878" s="52">
        <f t="shared" si="85"/>
        <v>45839</v>
      </c>
      <c r="AT878" s="44">
        <f t="shared" ca="1" si="86"/>
        <v>439</v>
      </c>
      <c r="AU878" s="40" t="str">
        <f>LEFT(Sheet1!AE877,3)</f>
        <v>Adi</v>
      </c>
      <c r="AV878" s="40" t="str">
        <f>RIGHT(Sheet1!AF877,2)</f>
        <v>ra</v>
      </c>
      <c r="AW878" s="40" t="str">
        <f>MID(Sheet1!AE877,2,3)</f>
        <v>dit</v>
      </c>
      <c r="AX878" s="42">
        <f>LEN(Sheet1!AE877)</f>
        <v>5</v>
      </c>
      <c r="AY878" s="40" t="str">
        <f>UPPER(Sheet1!AE877)</f>
        <v>ADITI</v>
      </c>
      <c r="AZ878" s="40" t="str">
        <f>LOWER(Sheet1!AE877)</f>
        <v>aditi</v>
      </c>
      <c r="BA878" s="40" t="str">
        <f>PROPER(Sheet1!AE877)</f>
        <v>Aditi</v>
      </c>
      <c r="BB878" s="40" t="str">
        <f>_xlfn.CONCAT(Sheet1!AE877," ",Sheet1!AF877)</f>
        <v>Aditi Malhotra</v>
      </c>
    </row>
    <row r="879" spans="40:54">
      <c r="AN879" s="50" t="str">
        <f>Sheet1!B878</f>
        <v>27-07-2025</v>
      </c>
      <c r="AO879" s="50">
        <f t="shared" si="87"/>
        <v>3</v>
      </c>
      <c r="AP879" s="50">
        <f t="shared" si="82"/>
        <v>7</v>
      </c>
      <c r="AQ879" s="50">
        <f t="shared" si="83"/>
        <v>2025</v>
      </c>
      <c r="AR879" s="50" t="str">
        <f t="shared" si="84"/>
        <v>Jul-2025</v>
      </c>
      <c r="AS879" s="52">
        <f t="shared" si="85"/>
        <v>45841</v>
      </c>
      <c r="AT879" s="44">
        <f t="shared" ca="1" si="86"/>
        <v>437</v>
      </c>
      <c r="AU879" s="40" t="str">
        <f>LEFT(Sheet1!AE878,3)</f>
        <v>Kav</v>
      </c>
      <c r="AV879" s="40" t="str">
        <f>RIGHT(Sheet1!AF878,2)</f>
        <v>or</v>
      </c>
      <c r="AW879" s="40" t="str">
        <f>MID(Sheet1!AE878,2,3)</f>
        <v>avy</v>
      </c>
      <c r="AX879" s="42">
        <f>LEN(Sheet1!AE878)</f>
        <v>5</v>
      </c>
      <c r="AY879" s="40" t="str">
        <f>UPPER(Sheet1!AE878)</f>
        <v>KAVYA</v>
      </c>
      <c r="AZ879" s="40" t="str">
        <f>LOWER(Sheet1!AE878)</f>
        <v>kavya</v>
      </c>
      <c r="BA879" s="40" t="str">
        <f>PROPER(Sheet1!AE878)</f>
        <v>Kavya</v>
      </c>
      <c r="BB879" s="40" t="str">
        <f>_xlfn.CONCAT(Sheet1!AE878," ",Sheet1!AF878)</f>
        <v>Kavya Kapoor</v>
      </c>
    </row>
    <row r="880" spans="40:54">
      <c r="AN880" s="50" t="str">
        <f>Sheet1!B879</f>
        <v>27-08-2025</v>
      </c>
      <c r="AO880" s="50">
        <f t="shared" si="87"/>
        <v>4</v>
      </c>
      <c r="AP880" s="50">
        <f t="shared" si="82"/>
        <v>8</v>
      </c>
      <c r="AQ880" s="50">
        <f t="shared" si="83"/>
        <v>2025</v>
      </c>
      <c r="AR880" s="50" t="str">
        <f t="shared" si="84"/>
        <v>Aug-2025</v>
      </c>
      <c r="AS880" s="52">
        <f t="shared" si="85"/>
        <v>45873</v>
      </c>
      <c r="AT880" s="44">
        <f t="shared" ca="1" si="86"/>
        <v>405</v>
      </c>
      <c r="AU880" s="40" t="str">
        <f>LEFT(Sheet1!AE879,3)</f>
        <v>Adi</v>
      </c>
      <c r="AV880" s="40" t="str">
        <f>RIGHT(Sheet1!AF879,2)</f>
        <v>ra</v>
      </c>
      <c r="AW880" s="40" t="str">
        <f>MID(Sheet1!AE879,2,3)</f>
        <v>dit</v>
      </c>
      <c r="AX880" s="42">
        <f>LEN(Sheet1!AE879)</f>
        <v>5</v>
      </c>
      <c r="AY880" s="40" t="str">
        <f>UPPER(Sheet1!AE879)</f>
        <v>ADITI</v>
      </c>
      <c r="AZ880" s="40" t="str">
        <f>LOWER(Sheet1!AE879)</f>
        <v>aditi</v>
      </c>
      <c r="BA880" s="40" t="str">
        <f>PROPER(Sheet1!AE879)</f>
        <v>Aditi</v>
      </c>
      <c r="BB880" s="40" t="str">
        <f>_xlfn.CONCAT(Sheet1!AE879," ",Sheet1!AF879)</f>
        <v>Aditi Malhotra</v>
      </c>
    </row>
    <row r="881" spans="40:54">
      <c r="AN881" s="50" t="str">
        <f>Sheet1!B880</f>
        <v>27-08-2025</v>
      </c>
      <c r="AO881" s="50">
        <f t="shared" si="87"/>
        <v>4</v>
      </c>
      <c r="AP881" s="50">
        <f t="shared" si="82"/>
        <v>8</v>
      </c>
      <c r="AQ881" s="50">
        <f t="shared" si="83"/>
        <v>2025</v>
      </c>
      <c r="AR881" s="50" t="str">
        <f t="shared" si="84"/>
        <v>Aug-2025</v>
      </c>
      <c r="AS881" s="52">
        <f t="shared" si="85"/>
        <v>45873</v>
      </c>
      <c r="AT881" s="44">
        <f t="shared" ca="1" si="86"/>
        <v>405</v>
      </c>
      <c r="AU881" s="40" t="str">
        <f>LEFT(Sheet1!AE880,3)</f>
        <v>Arj</v>
      </c>
      <c r="AV881" s="40" t="str">
        <f>RIGHT(Sheet1!AF880,2)</f>
        <v>ma</v>
      </c>
      <c r="AW881" s="40" t="str">
        <f>MID(Sheet1!AE880,2,3)</f>
        <v>rju</v>
      </c>
      <c r="AX881" s="42">
        <f>LEN(Sheet1!AE880)</f>
        <v>5</v>
      </c>
      <c r="AY881" s="40" t="str">
        <f>UPPER(Sheet1!AE880)</f>
        <v>ARJUN</v>
      </c>
      <c r="AZ881" s="40" t="str">
        <f>LOWER(Sheet1!AE880)</f>
        <v>arjun</v>
      </c>
      <c r="BA881" s="40" t="str">
        <f>PROPER(Sheet1!AE880)</f>
        <v>Arjun</v>
      </c>
      <c r="BB881" s="40" t="str">
        <f>_xlfn.CONCAT(Sheet1!AE880," ",Sheet1!AF880)</f>
        <v>Arjun Sharma</v>
      </c>
    </row>
    <row r="882" spans="40:54">
      <c r="AN882" s="50" t="str">
        <f>Sheet1!B881</f>
        <v>27-09-2024</v>
      </c>
      <c r="AO882" s="50">
        <f t="shared" si="87"/>
        <v>5</v>
      </c>
      <c r="AP882" s="50">
        <f t="shared" si="82"/>
        <v>9</v>
      </c>
      <c r="AQ882" s="50">
        <f t="shared" si="83"/>
        <v>2024</v>
      </c>
      <c r="AR882" s="50" t="str">
        <f t="shared" si="84"/>
        <v>Sep-2024</v>
      </c>
      <c r="AS882" s="52">
        <f t="shared" si="85"/>
        <v>45540</v>
      </c>
      <c r="AT882" s="44">
        <f t="shared" ca="1" si="86"/>
        <v>738</v>
      </c>
      <c r="AU882" s="40" t="str">
        <f>LEFT(Sheet1!AE881,3)</f>
        <v>Adi</v>
      </c>
      <c r="AV882" s="40" t="str">
        <f>RIGHT(Sheet1!AF881,2)</f>
        <v>ta</v>
      </c>
      <c r="AW882" s="40" t="str">
        <f>MID(Sheet1!AE881,2,3)</f>
        <v>dit</v>
      </c>
      <c r="AX882" s="42">
        <f>LEN(Sheet1!AE881)</f>
        <v>6</v>
      </c>
      <c r="AY882" s="40" t="str">
        <f>UPPER(Sheet1!AE881)</f>
        <v>ADITYA</v>
      </c>
      <c r="AZ882" s="40" t="str">
        <f>LOWER(Sheet1!AE881)</f>
        <v>aditya</v>
      </c>
      <c r="BA882" s="40" t="str">
        <f>PROPER(Sheet1!AE881)</f>
        <v>Aditya</v>
      </c>
      <c r="BB882" s="40" t="str">
        <f>_xlfn.CONCAT(Sheet1!AE881," ",Sheet1!AF881)</f>
        <v>Aditya Gupta</v>
      </c>
    </row>
    <row r="883" spans="40:54">
      <c r="AN883" s="50" t="str">
        <f>Sheet1!B882</f>
        <v>27-09-2024</v>
      </c>
      <c r="AO883" s="50">
        <f t="shared" si="87"/>
        <v>5</v>
      </c>
      <c r="AP883" s="50">
        <f t="shared" si="82"/>
        <v>9</v>
      </c>
      <c r="AQ883" s="50">
        <f t="shared" si="83"/>
        <v>2024</v>
      </c>
      <c r="AR883" s="50" t="str">
        <f t="shared" si="84"/>
        <v>Sep-2024</v>
      </c>
      <c r="AS883" s="52">
        <f t="shared" si="85"/>
        <v>45540</v>
      </c>
      <c r="AT883" s="44">
        <f t="shared" ca="1" si="86"/>
        <v>738</v>
      </c>
      <c r="AU883" s="40" t="str">
        <f>LEFT(Sheet1!AE882,3)</f>
        <v>Viv</v>
      </c>
      <c r="AV883" s="40" t="str">
        <f>RIGHT(Sheet1!AF882,2)</f>
        <v>ta</v>
      </c>
      <c r="AW883" s="40" t="str">
        <f>MID(Sheet1!AE882,2,3)</f>
        <v>iva</v>
      </c>
      <c r="AX883" s="42">
        <f>LEN(Sheet1!AE882)</f>
        <v>6</v>
      </c>
      <c r="AY883" s="40" t="str">
        <f>UPPER(Sheet1!AE882)</f>
        <v>VIVAAN</v>
      </c>
      <c r="AZ883" s="40" t="str">
        <f>LOWER(Sheet1!AE882)</f>
        <v>vivaan</v>
      </c>
      <c r="BA883" s="40" t="str">
        <f>PROPER(Sheet1!AE882)</f>
        <v>Vivaan</v>
      </c>
      <c r="BB883" s="40" t="str">
        <f>_xlfn.CONCAT(Sheet1!AE882," ",Sheet1!AF882)</f>
        <v>Vivaan Gupta</v>
      </c>
    </row>
    <row r="884" spans="40:54">
      <c r="AN884" s="50" t="str">
        <f>Sheet1!B883</f>
        <v>27-09-2024</v>
      </c>
      <c r="AO884" s="50">
        <f t="shared" si="87"/>
        <v>5</v>
      </c>
      <c r="AP884" s="50">
        <f t="shared" si="82"/>
        <v>9</v>
      </c>
      <c r="AQ884" s="50">
        <f t="shared" si="83"/>
        <v>2024</v>
      </c>
      <c r="AR884" s="50" t="str">
        <f t="shared" si="84"/>
        <v>Sep-2024</v>
      </c>
      <c r="AS884" s="52">
        <f t="shared" si="85"/>
        <v>45540</v>
      </c>
      <c r="AT884" s="44">
        <f t="shared" ca="1" si="86"/>
        <v>738</v>
      </c>
      <c r="AU884" s="40" t="str">
        <f>LEFT(Sheet1!AE883,3)</f>
        <v>Mee</v>
      </c>
      <c r="AV884" s="40" t="str">
        <f>RIGHT(Sheet1!AF883,2)</f>
        <v>na</v>
      </c>
      <c r="AW884" s="40" t="str">
        <f>MID(Sheet1!AE883,2,3)</f>
        <v>eer</v>
      </c>
      <c r="AX884" s="42">
        <f>LEN(Sheet1!AE883)</f>
        <v>5</v>
      </c>
      <c r="AY884" s="40" t="str">
        <f>UPPER(Sheet1!AE883)</f>
        <v>MEERA</v>
      </c>
      <c r="AZ884" s="40" t="str">
        <f>LOWER(Sheet1!AE883)</f>
        <v>meera</v>
      </c>
      <c r="BA884" s="40" t="str">
        <f>PROPER(Sheet1!AE883)</f>
        <v>Meera</v>
      </c>
      <c r="BB884" s="40" t="str">
        <f>_xlfn.CONCAT(Sheet1!AE883," ",Sheet1!AF883)</f>
        <v>Meera Saxena</v>
      </c>
    </row>
    <row r="885" spans="40:54">
      <c r="AN885" s="50" t="str">
        <f>Sheet1!B884</f>
        <v>27-09-2025</v>
      </c>
      <c r="AO885" s="50">
        <f t="shared" si="87"/>
        <v>6</v>
      </c>
      <c r="AP885" s="50">
        <f t="shared" si="82"/>
        <v>9</v>
      </c>
      <c r="AQ885" s="50">
        <f t="shared" si="83"/>
        <v>2025</v>
      </c>
      <c r="AR885" s="50" t="str">
        <f t="shared" si="84"/>
        <v>Sep-2025</v>
      </c>
      <c r="AS885" s="52">
        <f t="shared" si="85"/>
        <v>45906</v>
      </c>
      <c r="AT885" s="44">
        <f t="shared" ca="1" si="86"/>
        <v>372</v>
      </c>
      <c r="AU885" s="40" t="str">
        <f>LEFT(Sheet1!AE884,3)</f>
        <v>Adi</v>
      </c>
      <c r="AV885" s="40" t="str">
        <f>RIGHT(Sheet1!AF884,2)</f>
        <v>ra</v>
      </c>
      <c r="AW885" s="40" t="str">
        <f>MID(Sheet1!AE884,2,3)</f>
        <v>dit</v>
      </c>
      <c r="AX885" s="42">
        <f>LEN(Sheet1!AE884)</f>
        <v>5</v>
      </c>
      <c r="AY885" s="40" t="str">
        <f>UPPER(Sheet1!AE884)</f>
        <v>ADITI</v>
      </c>
      <c r="AZ885" s="40" t="str">
        <f>LOWER(Sheet1!AE884)</f>
        <v>aditi</v>
      </c>
      <c r="BA885" s="40" t="str">
        <f>PROPER(Sheet1!AE884)</f>
        <v>Aditi</v>
      </c>
      <c r="BB885" s="40" t="str">
        <f>_xlfn.CONCAT(Sheet1!AE884," ",Sheet1!AF884)</f>
        <v>Aditi Chopra</v>
      </c>
    </row>
    <row r="886" spans="40:54">
      <c r="AN886" s="50" t="str">
        <f>Sheet1!B885</f>
        <v>27-10-2024</v>
      </c>
      <c r="AO886" s="50">
        <f t="shared" si="87"/>
        <v>6</v>
      </c>
      <c r="AP886" s="50">
        <f t="shared" si="82"/>
        <v>10</v>
      </c>
      <c r="AQ886" s="50">
        <f t="shared" si="83"/>
        <v>2024</v>
      </c>
      <c r="AR886" s="50" t="str">
        <f t="shared" si="84"/>
        <v>Oct-2024</v>
      </c>
      <c r="AS886" s="52">
        <f t="shared" si="85"/>
        <v>45571</v>
      </c>
      <c r="AT886" s="44">
        <f t="shared" ca="1" si="86"/>
        <v>707</v>
      </c>
      <c r="AU886" s="40" t="str">
        <f>LEFT(Sheet1!AE885,3)</f>
        <v>Arj</v>
      </c>
      <c r="AV886" s="40" t="str">
        <f>RIGHT(Sheet1!AF885,2)</f>
        <v>ta</v>
      </c>
      <c r="AW886" s="40" t="str">
        <f>MID(Sheet1!AE885,2,3)</f>
        <v>rju</v>
      </c>
      <c r="AX886" s="42">
        <f>LEN(Sheet1!AE885)</f>
        <v>5</v>
      </c>
      <c r="AY886" s="40" t="str">
        <f>UPPER(Sheet1!AE885)</f>
        <v>ARJUN</v>
      </c>
      <c r="AZ886" s="40" t="str">
        <f>LOWER(Sheet1!AE885)</f>
        <v>arjun</v>
      </c>
      <c r="BA886" s="40" t="str">
        <f>PROPER(Sheet1!AE885)</f>
        <v>Arjun</v>
      </c>
      <c r="BB886" s="40" t="str">
        <f>_xlfn.CONCAT(Sheet1!AE885," ",Sheet1!AF885)</f>
        <v>Arjun Gupta</v>
      </c>
    </row>
    <row r="887" spans="40:54">
      <c r="AN887" s="50" t="str">
        <f>Sheet1!B886</f>
        <v>27-10-2024</v>
      </c>
      <c r="AO887" s="50">
        <f t="shared" si="87"/>
        <v>8</v>
      </c>
      <c r="AP887" s="50">
        <f t="shared" si="82"/>
        <v>10</v>
      </c>
      <c r="AQ887" s="50">
        <f t="shared" si="83"/>
        <v>2024</v>
      </c>
      <c r="AR887" s="50" t="str">
        <f t="shared" si="84"/>
        <v>Oct-2024</v>
      </c>
      <c r="AS887" s="52">
        <f t="shared" si="85"/>
        <v>45573</v>
      </c>
      <c r="AT887" s="44">
        <f t="shared" ca="1" si="86"/>
        <v>705</v>
      </c>
      <c r="AU887" s="40" t="str">
        <f>LEFT(Sheet1!AE886,3)</f>
        <v>Rah</v>
      </c>
      <c r="AV887" s="40" t="str">
        <f>RIGHT(Sheet1!AF886,2)</f>
        <v>or</v>
      </c>
      <c r="AW887" s="40" t="str">
        <f>MID(Sheet1!AE886,2,3)</f>
        <v>ahu</v>
      </c>
      <c r="AX887" s="42">
        <f>LEN(Sheet1!AE886)</f>
        <v>5</v>
      </c>
      <c r="AY887" s="40" t="str">
        <f>UPPER(Sheet1!AE886)</f>
        <v>RAHUL</v>
      </c>
      <c r="AZ887" s="40" t="str">
        <f>LOWER(Sheet1!AE886)</f>
        <v>rahul</v>
      </c>
      <c r="BA887" s="40" t="str">
        <f>PROPER(Sheet1!AE886)</f>
        <v>Rahul</v>
      </c>
      <c r="BB887" s="40" t="str">
        <f>_xlfn.CONCAT(Sheet1!AE886," ",Sheet1!AF886)</f>
        <v>Rahul Kapoor</v>
      </c>
    </row>
    <row r="888" spans="40:54">
      <c r="AN888" s="50" t="str">
        <f>Sheet1!B887</f>
        <v>27-10-2025</v>
      </c>
      <c r="AO888" s="50">
        <f t="shared" si="87"/>
        <v>8</v>
      </c>
      <c r="AP888" s="50">
        <f t="shared" si="82"/>
        <v>10</v>
      </c>
      <c r="AQ888" s="50">
        <f t="shared" si="83"/>
        <v>2025</v>
      </c>
      <c r="AR888" s="50" t="str">
        <f t="shared" si="84"/>
        <v>Oct-2025</v>
      </c>
      <c r="AS888" s="52">
        <f t="shared" si="85"/>
        <v>45938</v>
      </c>
      <c r="AT888" s="44">
        <f t="shared" ca="1" si="86"/>
        <v>340</v>
      </c>
      <c r="AU888" s="40" t="str">
        <f>LEFT(Sheet1!AE887,3)</f>
        <v>Kar</v>
      </c>
      <c r="AV888" s="40" t="str">
        <f>RIGHT(Sheet1!AF887,2)</f>
        <v>ra</v>
      </c>
      <c r="AW888" s="40" t="str">
        <f>MID(Sheet1!AE887,2,3)</f>
        <v>ara</v>
      </c>
      <c r="AX888" s="42">
        <f>LEN(Sheet1!AE887)</f>
        <v>5</v>
      </c>
      <c r="AY888" s="40" t="str">
        <f>UPPER(Sheet1!AE887)</f>
        <v>KARAN</v>
      </c>
      <c r="AZ888" s="40" t="str">
        <f>LOWER(Sheet1!AE887)</f>
        <v>karan</v>
      </c>
      <c r="BA888" s="40" t="str">
        <f>PROPER(Sheet1!AE887)</f>
        <v>Karan</v>
      </c>
      <c r="BB888" s="40" t="str">
        <f>_xlfn.CONCAT(Sheet1!AE887," ",Sheet1!AF887)</f>
        <v>Karan Malhotra</v>
      </c>
    </row>
    <row r="889" spans="40:54">
      <c r="AN889" s="50" t="str">
        <f>Sheet1!B888</f>
        <v>27-10-2025</v>
      </c>
      <c r="AO889" s="50">
        <f t="shared" si="87"/>
        <v>9</v>
      </c>
      <c r="AP889" s="50">
        <f t="shared" si="82"/>
        <v>10</v>
      </c>
      <c r="AQ889" s="50">
        <f t="shared" si="83"/>
        <v>2025</v>
      </c>
      <c r="AR889" s="50" t="str">
        <f t="shared" si="84"/>
        <v>Oct-2025</v>
      </c>
      <c r="AS889" s="52">
        <f t="shared" si="85"/>
        <v>45939</v>
      </c>
      <c r="AT889" s="44">
        <f t="shared" ca="1" si="86"/>
        <v>339</v>
      </c>
      <c r="AU889" s="40" t="str">
        <f>LEFT(Sheet1!AE888,3)</f>
        <v>Roh</v>
      </c>
      <c r="AV889" s="40" t="str">
        <f>RIGHT(Sheet1!AF888,2)</f>
        <v>na</v>
      </c>
      <c r="AW889" s="40" t="str">
        <f>MID(Sheet1!AE888,2,3)</f>
        <v>oha</v>
      </c>
      <c r="AX889" s="42">
        <f>LEN(Sheet1!AE888)</f>
        <v>5</v>
      </c>
      <c r="AY889" s="40" t="str">
        <f>UPPER(Sheet1!AE888)</f>
        <v>ROHAN</v>
      </c>
      <c r="AZ889" s="40" t="str">
        <f>LOWER(Sheet1!AE888)</f>
        <v>rohan</v>
      </c>
      <c r="BA889" s="40" t="str">
        <f>PROPER(Sheet1!AE888)</f>
        <v>Rohan</v>
      </c>
      <c r="BB889" s="40" t="str">
        <f>_xlfn.CONCAT(Sheet1!AE888," ",Sheet1!AF888)</f>
        <v>Rohan Saxena</v>
      </c>
    </row>
    <row r="890" spans="40:54">
      <c r="AN890" s="50" t="str">
        <f>Sheet1!B889</f>
        <v>27-10-2025</v>
      </c>
      <c r="AO890" s="50">
        <f t="shared" si="87"/>
        <v>9</v>
      </c>
      <c r="AP890" s="50">
        <f t="shared" si="82"/>
        <v>10</v>
      </c>
      <c r="AQ890" s="50">
        <f t="shared" si="83"/>
        <v>2025</v>
      </c>
      <c r="AR890" s="50" t="str">
        <f t="shared" si="84"/>
        <v>Oct-2025</v>
      </c>
      <c r="AS890" s="52">
        <f t="shared" si="85"/>
        <v>45939</v>
      </c>
      <c r="AT890" s="44">
        <f t="shared" ca="1" si="86"/>
        <v>339</v>
      </c>
      <c r="AU890" s="40" t="str">
        <f>LEFT(Sheet1!AE889,3)</f>
        <v>Poo</v>
      </c>
      <c r="AV890" s="40" t="str">
        <f>RIGHT(Sheet1!AF889,2)</f>
        <v>gh</v>
      </c>
      <c r="AW890" s="40" t="str">
        <f>MID(Sheet1!AE889,2,3)</f>
        <v>ooj</v>
      </c>
      <c r="AX890" s="42">
        <f>LEN(Sheet1!AE889)</f>
        <v>5</v>
      </c>
      <c r="AY890" s="40" t="str">
        <f>UPPER(Sheet1!AE889)</f>
        <v>POOJA</v>
      </c>
      <c r="AZ890" s="40" t="str">
        <f>LOWER(Sheet1!AE889)</f>
        <v>pooja</v>
      </c>
      <c r="BA890" s="40" t="str">
        <f>PROPER(Sheet1!AE889)</f>
        <v>Pooja</v>
      </c>
      <c r="BB890" s="40" t="str">
        <f>_xlfn.CONCAT(Sheet1!AE889," ",Sheet1!AF889)</f>
        <v>Pooja Singh</v>
      </c>
    </row>
    <row r="891" spans="40:54">
      <c r="AN891" s="50" t="str">
        <f>Sheet1!B890</f>
        <v>27-10-2025</v>
      </c>
      <c r="AO891" s="50">
        <f t="shared" si="87"/>
        <v>10</v>
      </c>
      <c r="AP891" s="50">
        <f t="shared" si="82"/>
        <v>10</v>
      </c>
      <c r="AQ891" s="50">
        <f t="shared" si="83"/>
        <v>2025</v>
      </c>
      <c r="AR891" s="50" t="str">
        <f t="shared" si="84"/>
        <v>Oct-2025</v>
      </c>
      <c r="AS891" s="52">
        <f t="shared" si="85"/>
        <v>45940</v>
      </c>
      <c r="AT891" s="44">
        <f t="shared" ca="1" si="86"/>
        <v>338</v>
      </c>
      <c r="AU891" s="40" t="str">
        <f>LEFT(Sheet1!AE890,3)</f>
        <v>Ana</v>
      </c>
      <c r="AV891" s="40" t="str">
        <f>RIGHT(Sheet1!AF890,2)</f>
        <v>ra</v>
      </c>
      <c r="AW891" s="40" t="str">
        <f>MID(Sheet1!AE890,2,3)</f>
        <v>nan</v>
      </c>
      <c r="AX891" s="42">
        <f>LEN(Sheet1!AE890)</f>
        <v>6</v>
      </c>
      <c r="AY891" s="40" t="str">
        <f>UPPER(Sheet1!AE890)</f>
        <v>ANANYA</v>
      </c>
      <c r="AZ891" s="40" t="str">
        <f>LOWER(Sheet1!AE890)</f>
        <v>ananya</v>
      </c>
      <c r="BA891" s="40" t="str">
        <f>PROPER(Sheet1!AE890)</f>
        <v>Ananya</v>
      </c>
      <c r="BB891" s="40" t="str">
        <f>_xlfn.CONCAT(Sheet1!AE890," ",Sheet1!AF890)</f>
        <v>Ananya Malhotra</v>
      </c>
    </row>
    <row r="892" spans="40:54">
      <c r="AN892" s="50" t="str">
        <f>Sheet1!B891</f>
        <v>27-10-2025</v>
      </c>
      <c r="AO892" s="50">
        <f t="shared" si="87"/>
        <v>11</v>
      </c>
      <c r="AP892" s="50">
        <f t="shared" si="82"/>
        <v>10</v>
      </c>
      <c r="AQ892" s="50">
        <f t="shared" si="83"/>
        <v>2025</v>
      </c>
      <c r="AR892" s="50" t="str">
        <f t="shared" si="84"/>
        <v>Oct-2025</v>
      </c>
      <c r="AS892" s="52">
        <f t="shared" si="85"/>
        <v>45941</v>
      </c>
      <c r="AT892" s="44">
        <f t="shared" ca="1" si="86"/>
        <v>337</v>
      </c>
      <c r="AU892" s="40" t="str">
        <f>LEFT(Sheet1!AE891,3)</f>
        <v>Adi</v>
      </c>
      <c r="AV892" s="40" t="str">
        <f>RIGHT(Sheet1!AF891,2)</f>
        <v>av</v>
      </c>
      <c r="AW892" s="40" t="str">
        <f>MID(Sheet1!AE891,2,3)</f>
        <v>dit</v>
      </c>
      <c r="AX892" s="42">
        <f>LEN(Sheet1!AE891)</f>
        <v>5</v>
      </c>
      <c r="AY892" s="40" t="str">
        <f>UPPER(Sheet1!AE891)</f>
        <v>ADITI</v>
      </c>
      <c r="AZ892" s="40" t="str">
        <f>LOWER(Sheet1!AE891)</f>
        <v>aditi</v>
      </c>
      <c r="BA892" s="40" t="str">
        <f>PROPER(Sheet1!AE891)</f>
        <v>Aditi</v>
      </c>
      <c r="BB892" s="40" t="str">
        <f>_xlfn.CONCAT(Sheet1!AE891," ",Sheet1!AF891)</f>
        <v>Aditi Yadav</v>
      </c>
    </row>
    <row r="893" spans="40:54">
      <c r="AN893" s="50" t="str">
        <f>Sheet1!B892</f>
        <v>27-10-2025</v>
      </c>
      <c r="AO893" s="50">
        <f t="shared" si="87"/>
        <v>11</v>
      </c>
      <c r="AP893" s="50">
        <f t="shared" si="82"/>
        <v>10</v>
      </c>
      <c r="AQ893" s="50">
        <f t="shared" si="83"/>
        <v>2025</v>
      </c>
      <c r="AR893" s="50" t="str">
        <f t="shared" si="84"/>
        <v>Oct-2025</v>
      </c>
      <c r="AS893" s="52">
        <f t="shared" si="85"/>
        <v>45941</v>
      </c>
      <c r="AT893" s="44">
        <f t="shared" ca="1" si="86"/>
        <v>337</v>
      </c>
      <c r="AU893" s="40" t="str">
        <f>LEFT(Sheet1!AE892,3)</f>
        <v>Adi</v>
      </c>
      <c r="AV893" s="40" t="str">
        <f>RIGHT(Sheet1!AF892,2)</f>
        <v>na</v>
      </c>
      <c r="AW893" s="40" t="str">
        <f>MID(Sheet1!AE892,2,3)</f>
        <v>dit</v>
      </c>
      <c r="AX893" s="42">
        <f>LEN(Sheet1!AE892)</f>
        <v>5</v>
      </c>
      <c r="AY893" s="40" t="str">
        <f>UPPER(Sheet1!AE892)</f>
        <v>ADITI</v>
      </c>
      <c r="AZ893" s="40" t="str">
        <f>LOWER(Sheet1!AE892)</f>
        <v>aditi</v>
      </c>
      <c r="BA893" s="40" t="str">
        <f>PROPER(Sheet1!AE892)</f>
        <v>Aditi</v>
      </c>
      <c r="BB893" s="40" t="str">
        <f>_xlfn.CONCAT(Sheet1!AE892," ",Sheet1!AF892)</f>
        <v>Aditi Saxena</v>
      </c>
    </row>
    <row r="894" spans="40:54">
      <c r="AN894" s="50" t="str">
        <f>Sheet1!B893</f>
        <v>27-11-2024</v>
      </c>
      <c r="AO894" s="50">
        <f t="shared" si="87"/>
        <v>11</v>
      </c>
      <c r="AP894" s="50">
        <f t="shared" si="82"/>
        <v>11</v>
      </c>
      <c r="AQ894" s="50">
        <f t="shared" si="83"/>
        <v>2024</v>
      </c>
      <c r="AR894" s="50" t="str">
        <f t="shared" si="84"/>
        <v>Nov-2024</v>
      </c>
      <c r="AS894" s="52">
        <f t="shared" si="85"/>
        <v>45607</v>
      </c>
      <c r="AT894" s="44">
        <f t="shared" ca="1" si="86"/>
        <v>671</v>
      </c>
      <c r="AU894" s="40" t="str">
        <f>LEFT(Sheet1!AE893,3)</f>
        <v>Adi</v>
      </c>
      <c r="AV894" s="40" t="str">
        <f>RIGHT(Sheet1!AF893,2)</f>
        <v>ta</v>
      </c>
      <c r="AW894" s="40" t="str">
        <f>MID(Sheet1!AE893,2,3)</f>
        <v>dit</v>
      </c>
      <c r="AX894" s="42">
        <f>LEN(Sheet1!AE893)</f>
        <v>5</v>
      </c>
      <c r="AY894" s="40" t="str">
        <f>UPPER(Sheet1!AE893)</f>
        <v>ADITI</v>
      </c>
      <c r="AZ894" s="40" t="str">
        <f>LOWER(Sheet1!AE893)</f>
        <v>aditi</v>
      </c>
      <c r="BA894" s="40" t="str">
        <f>PROPER(Sheet1!AE893)</f>
        <v>Aditi</v>
      </c>
      <c r="BB894" s="40" t="str">
        <f>_xlfn.CONCAT(Sheet1!AE893," ",Sheet1!AF893)</f>
        <v>Aditi Gupta</v>
      </c>
    </row>
    <row r="895" spans="40:54">
      <c r="AN895" s="50" t="str">
        <f>Sheet1!B894</f>
        <v>27-11-2025</v>
      </c>
      <c r="AO895" s="50">
        <f t="shared" si="87"/>
        <v>12</v>
      </c>
      <c r="AP895" s="50">
        <f t="shared" si="82"/>
        <v>11</v>
      </c>
      <c r="AQ895" s="50">
        <f t="shared" si="83"/>
        <v>2025</v>
      </c>
      <c r="AR895" s="50" t="str">
        <f t="shared" si="84"/>
        <v>Nov-2025</v>
      </c>
      <c r="AS895" s="52">
        <f t="shared" si="85"/>
        <v>45973</v>
      </c>
      <c r="AT895" s="44">
        <f t="shared" ca="1" si="86"/>
        <v>305</v>
      </c>
      <c r="AU895" s="40" t="str">
        <f>LEFT(Sheet1!AE894,3)</f>
        <v>Sne</v>
      </c>
      <c r="AV895" s="40" t="str">
        <f>RIGHT(Sheet1!AF894,2)</f>
        <v>ra</v>
      </c>
      <c r="AW895" s="40" t="str">
        <f>MID(Sheet1!AE894,2,3)</f>
        <v>neh</v>
      </c>
      <c r="AX895" s="42">
        <f>LEN(Sheet1!AE894)</f>
        <v>5</v>
      </c>
      <c r="AY895" s="40" t="str">
        <f>UPPER(Sheet1!AE894)</f>
        <v>SNEHA</v>
      </c>
      <c r="AZ895" s="40" t="str">
        <f>LOWER(Sheet1!AE894)</f>
        <v>sneha</v>
      </c>
      <c r="BA895" s="40" t="str">
        <f>PROPER(Sheet1!AE894)</f>
        <v>Sneha</v>
      </c>
      <c r="BB895" s="40" t="str">
        <f>_xlfn.CONCAT(Sheet1!AE894," ",Sheet1!AF894)</f>
        <v>Sneha Malhotra</v>
      </c>
    </row>
    <row r="896" spans="40:54">
      <c r="AN896" s="50" t="str">
        <f>Sheet1!B895</f>
        <v>27-11-2025</v>
      </c>
      <c r="AO896" s="50">
        <f t="shared" si="87"/>
        <v>1</v>
      </c>
      <c r="AP896" s="50">
        <f t="shared" si="82"/>
        <v>11</v>
      </c>
      <c r="AQ896" s="50">
        <f t="shared" si="83"/>
        <v>2025</v>
      </c>
      <c r="AR896" s="50" t="str">
        <f t="shared" si="84"/>
        <v>Nov-2025</v>
      </c>
      <c r="AS896" s="52">
        <f t="shared" si="85"/>
        <v>45962</v>
      </c>
      <c r="AT896" s="44">
        <f t="shared" ca="1" si="86"/>
        <v>316</v>
      </c>
      <c r="AU896" s="40" t="str">
        <f>LEFT(Sheet1!AE895,3)</f>
        <v>Roh</v>
      </c>
      <c r="AV896" s="40" t="str">
        <f>RIGHT(Sheet1!AF895,2)</f>
        <v>na</v>
      </c>
      <c r="AW896" s="40" t="str">
        <f>MID(Sheet1!AE895,2,3)</f>
        <v>oha</v>
      </c>
      <c r="AX896" s="42">
        <f>LEN(Sheet1!AE895)</f>
        <v>5</v>
      </c>
      <c r="AY896" s="40" t="str">
        <f>UPPER(Sheet1!AE895)</f>
        <v>ROHAN</v>
      </c>
      <c r="AZ896" s="40" t="str">
        <f>LOWER(Sheet1!AE895)</f>
        <v>rohan</v>
      </c>
      <c r="BA896" s="40" t="str">
        <f>PROPER(Sheet1!AE895)</f>
        <v>Rohan</v>
      </c>
      <c r="BB896" s="40" t="str">
        <f>_xlfn.CONCAT(Sheet1!AE895," ",Sheet1!AF895)</f>
        <v>Rohan Saxena</v>
      </c>
    </row>
    <row r="897" spans="40:54">
      <c r="AN897" s="50" t="str">
        <f>Sheet1!B896</f>
        <v>28-01-2025</v>
      </c>
      <c r="AO897" s="50">
        <f t="shared" si="87"/>
        <v>2</v>
      </c>
      <c r="AP897" s="50">
        <f t="shared" si="82"/>
        <v>1</v>
      </c>
      <c r="AQ897" s="50">
        <f t="shared" si="83"/>
        <v>2025</v>
      </c>
      <c r="AR897" s="50" t="str">
        <f t="shared" si="84"/>
        <v>Jan-2025</v>
      </c>
      <c r="AS897" s="52">
        <f t="shared" si="85"/>
        <v>45659</v>
      </c>
      <c r="AT897" s="44">
        <f t="shared" ca="1" si="86"/>
        <v>619</v>
      </c>
      <c r="AU897" s="40" t="str">
        <f>LEFT(Sheet1!AE896,3)</f>
        <v>Arj</v>
      </c>
      <c r="AV897" s="40" t="str">
        <f>RIGHT(Sheet1!AF896,2)</f>
        <v>ar</v>
      </c>
      <c r="AW897" s="40" t="str">
        <f>MID(Sheet1!AE896,2,3)</f>
        <v>rju</v>
      </c>
      <c r="AX897" s="42">
        <f>LEN(Sheet1!AE896)</f>
        <v>5</v>
      </c>
      <c r="AY897" s="40" t="str">
        <f>UPPER(Sheet1!AE896)</f>
        <v>ARJUN</v>
      </c>
      <c r="AZ897" s="40" t="str">
        <f>LOWER(Sheet1!AE896)</f>
        <v>arjun</v>
      </c>
      <c r="BA897" s="40" t="str">
        <f>PROPER(Sheet1!AE896)</f>
        <v>Arjun</v>
      </c>
      <c r="BB897" s="40" t="str">
        <f>_xlfn.CONCAT(Sheet1!AE896," ",Sheet1!AF896)</f>
        <v>Arjun Kumar</v>
      </c>
    </row>
    <row r="898" spans="40:54">
      <c r="AN898" s="50" t="str">
        <f>Sheet1!B897</f>
        <v>28-02-2024</v>
      </c>
      <c r="AO898" s="50">
        <f t="shared" si="87"/>
        <v>2</v>
      </c>
      <c r="AP898" s="50">
        <f t="shared" si="82"/>
        <v>2</v>
      </c>
      <c r="AQ898" s="50">
        <f t="shared" si="83"/>
        <v>2024</v>
      </c>
      <c r="AR898" s="50" t="str">
        <f t="shared" si="84"/>
        <v>Feb-2024</v>
      </c>
      <c r="AS898" s="52">
        <f t="shared" si="85"/>
        <v>45324</v>
      </c>
      <c r="AT898" s="44">
        <f t="shared" ca="1" si="86"/>
        <v>954</v>
      </c>
      <c r="AU898" s="40" t="str">
        <f>LEFT(Sheet1!AE897,3)</f>
        <v>Pri</v>
      </c>
      <c r="AV898" s="40" t="str">
        <f>RIGHT(Sheet1!AF897,2)</f>
        <v>in</v>
      </c>
      <c r="AW898" s="40" t="str">
        <f>MID(Sheet1!AE897,2,3)</f>
        <v>riy</v>
      </c>
      <c r="AX898" s="42">
        <f>LEN(Sheet1!AE897)</f>
        <v>5</v>
      </c>
      <c r="AY898" s="40" t="str">
        <f>UPPER(Sheet1!AE897)</f>
        <v>PRIYA</v>
      </c>
      <c r="AZ898" s="40" t="str">
        <f>LOWER(Sheet1!AE897)</f>
        <v>priya</v>
      </c>
      <c r="BA898" s="40" t="str">
        <f>PROPER(Sheet1!AE897)</f>
        <v>Priya</v>
      </c>
      <c r="BB898" s="40" t="str">
        <f>_xlfn.CONCAT(Sheet1!AE897," ",Sheet1!AF897)</f>
        <v>Priya Jain</v>
      </c>
    </row>
    <row r="899" spans="40:54">
      <c r="AN899" s="50" t="str">
        <f>Sheet1!B898</f>
        <v>28-03-2024</v>
      </c>
      <c r="AO899" s="50">
        <f t="shared" si="87"/>
        <v>2</v>
      </c>
      <c r="AP899" s="50">
        <f t="shared" si="82"/>
        <v>3</v>
      </c>
      <c r="AQ899" s="50">
        <f t="shared" si="83"/>
        <v>2024</v>
      </c>
      <c r="AR899" s="50" t="str">
        <f t="shared" si="84"/>
        <v>Mar-2024</v>
      </c>
      <c r="AS899" s="52">
        <f t="shared" si="85"/>
        <v>45353</v>
      </c>
      <c r="AT899" s="44">
        <f t="shared" ca="1" si="86"/>
        <v>925</v>
      </c>
      <c r="AU899" s="40" t="str">
        <f>LEFT(Sheet1!AE898,3)</f>
        <v>Rah</v>
      </c>
      <c r="AV899" s="40" t="str">
        <f>RIGHT(Sheet1!AF898,2)</f>
        <v>ta</v>
      </c>
      <c r="AW899" s="40" t="str">
        <f>MID(Sheet1!AE898,2,3)</f>
        <v>ahu</v>
      </c>
      <c r="AX899" s="42">
        <f>LEN(Sheet1!AE898)</f>
        <v>5</v>
      </c>
      <c r="AY899" s="40" t="str">
        <f>UPPER(Sheet1!AE898)</f>
        <v>RAHUL</v>
      </c>
      <c r="AZ899" s="40" t="str">
        <f>LOWER(Sheet1!AE898)</f>
        <v>rahul</v>
      </c>
      <c r="BA899" s="40" t="str">
        <f>PROPER(Sheet1!AE898)</f>
        <v>Rahul</v>
      </c>
      <c r="BB899" s="40" t="str">
        <f>_xlfn.CONCAT(Sheet1!AE898," ",Sheet1!AF898)</f>
        <v>Rahul Mehta</v>
      </c>
    </row>
    <row r="900" spans="40:54">
      <c r="AN900" s="50" t="str">
        <f>Sheet1!B899</f>
        <v>28-03-2025</v>
      </c>
      <c r="AO900" s="50">
        <f t="shared" si="87"/>
        <v>3</v>
      </c>
      <c r="AP900" s="50">
        <f t="shared" ref="AP900:AP963" si="88">IFERROR(MONTH(AN900),VALUE(MID(AN900,4,2)))</f>
        <v>3</v>
      </c>
      <c r="AQ900" s="50">
        <f t="shared" ref="AQ900:AQ963" si="89">IFERROR(YEAR(AN900),VALUE(RIGHT(AN900,4)))</f>
        <v>2025</v>
      </c>
      <c r="AR900" s="50" t="str">
        <f t="shared" ref="AR900:AR963" si="90">IF(ISNUMBER(AN900),TEXT(AN900,"mmm-yyyy"),TEXT(DATE(VALUE(RIGHT(AN900,4)),VALUE(MID(AN900,4,2)),VALUE(LEFT(AN900,2))),"mmm-yyyy"))</f>
        <v>Mar-2025</v>
      </c>
      <c r="AS900" s="52">
        <f t="shared" ref="AS900:AS963" si="91">DATE(AQ900,AP900,AO900)</f>
        <v>45719</v>
      </c>
      <c r="AT900" s="44">
        <f t="shared" ref="AT900:AT963" ca="1" si="92">TODAY()-AS900</f>
        <v>559</v>
      </c>
      <c r="AU900" s="40" t="str">
        <f>LEFT(Sheet1!AE899,3)</f>
        <v>Riy</v>
      </c>
      <c r="AV900" s="40" t="str">
        <f>RIGHT(Sheet1!AF899,2)</f>
        <v>in</v>
      </c>
      <c r="AW900" s="40" t="str">
        <f>MID(Sheet1!AE899,2,3)</f>
        <v>iya</v>
      </c>
      <c r="AX900" s="42">
        <f>LEN(Sheet1!AE899)</f>
        <v>4</v>
      </c>
      <c r="AY900" s="40" t="str">
        <f>UPPER(Sheet1!AE899)</f>
        <v>RIYA</v>
      </c>
      <c r="AZ900" s="40" t="str">
        <f>LOWER(Sheet1!AE899)</f>
        <v>riya</v>
      </c>
      <c r="BA900" s="40" t="str">
        <f>PROPER(Sheet1!AE899)</f>
        <v>Riya</v>
      </c>
      <c r="BB900" s="40" t="str">
        <f>_xlfn.CONCAT(Sheet1!AE899," ",Sheet1!AF899)</f>
        <v>Riya Jain</v>
      </c>
    </row>
    <row r="901" spans="40:54">
      <c r="AN901" s="50" t="str">
        <f>Sheet1!B900</f>
        <v>28-03-2025</v>
      </c>
      <c r="AO901" s="50">
        <f t="shared" si="87"/>
        <v>4</v>
      </c>
      <c r="AP901" s="50">
        <f t="shared" si="88"/>
        <v>3</v>
      </c>
      <c r="AQ901" s="50">
        <f t="shared" si="89"/>
        <v>2025</v>
      </c>
      <c r="AR901" s="50" t="str">
        <f t="shared" si="90"/>
        <v>Mar-2025</v>
      </c>
      <c r="AS901" s="52">
        <f t="shared" si="91"/>
        <v>45720</v>
      </c>
      <c r="AT901" s="44">
        <f t="shared" ca="1" si="92"/>
        <v>558</v>
      </c>
      <c r="AU901" s="40" t="str">
        <f>LEFT(Sheet1!AE900,3)</f>
        <v>Ana</v>
      </c>
      <c r="AV901" s="40" t="str">
        <f>RIGHT(Sheet1!AF900,2)</f>
        <v>ra</v>
      </c>
      <c r="AW901" s="40" t="str">
        <f>MID(Sheet1!AE900,2,3)</f>
        <v>nan</v>
      </c>
      <c r="AX901" s="42">
        <f>LEN(Sheet1!AE900)</f>
        <v>6</v>
      </c>
      <c r="AY901" s="40" t="str">
        <f>UPPER(Sheet1!AE900)</f>
        <v>ANANYA</v>
      </c>
      <c r="AZ901" s="40" t="str">
        <f>LOWER(Sheet1!AE900)</f>
        <v>ananya</v>
      </c>
      <c r="BA901" s="40" t="str">
        <f>PROPER(Sheet1!AE900)</f>
        <v>Ananya</v>
      </c>
      <c r="BB901" s="40" t="str">
        <f>_xlfn.CONCAT(Sheet1!AE900," ",Sheet1!AF900)</f>
        <v>Ananya Malhotra</v>
      </c>
    </row>
    <row r="902" spans="40:54">
      <c r="AN902" s="50" t="str">
        <f>Sheet1!B901</f>
        <v>28-04-2024</v>
      </c>
      <c r="AO902" s="50">
        <f t="shared" si="87"/>
        <v>4</v>
      </c>
      <c r="AP902" s="50">
        <f t="shared" si="88"/>
        <v>4</v>
      </c>
      <c r="AQ902" s="50">
        <f t="shared" si="89"/>
        <v>2024</v>
      </c>
      <c r="AR902" s="50" t="str">
        <f t="shared" si="90"/>
        <v>Apr-2024</v>
      </c>
      <c r="AS902" s="52">
        <f t="shared" si="91"/>
        <v>45386</v>
      </c>
      <c r="AT902" s="44">
        <f t="shared" ca="1" si="92"/>
        <v>892</v>
      </c>
      <c r="AU902" s="40" t="str">
        <f>LEFT(Sheet1!AE901,3)</f>
        <v>Adi</v>
      </c>
      <c r="AV902" s="40" t="str">
        <f>RIGHT(Sheet1!AF901,2)</f>
        <v>ma</v>
      </c>
      <c r="AW902" s="40" t="str">
        <f>MID(Sheet1!AE901,2,3)</f>
        <v>dit</v>
      </c>
      <c r="AX902" s="42">
        <f>LEN(Sheet1!AE901)</f>
        <v>5</v>
      </c>
      <c r="AY902" s="40" t="str">
        <f>UPPER(Sheet1!AE901)</f>
        <v>ADITI</v>
      </c>
      <c r="AZ902" s="40" t="str">
        <f>LOWER(Sheet1!AE901)</f>
        <v>aditi</v>
      </c>
      <c r="BA902" s="40" t="str">
        <f>PROPER(Sheet1!AE901)</f>
        <v>Aditi</v>
      </c>
      <c r="BB902" s="40" t="str">
        <f>_xlfn.CONCAT(Sheet1!AE901," ",Sheet1!AF901)</f>
        <v>Aditi Sharma</v>
      </c>
    </row>
    <row r="903" spans="40:54">
      <c r="AN903" s="50" t="str">
        <f>Sheet1!B902</f>
        <v>28-04-2025</v>
      </c>
      <c r="AO903" s="50">
        <f t="shared" si="87"/>
        <v>4</v>
      </c>
      <c r="AP903" s="50">
        <f t="shared" si="88"/>
        <v>4</v>
      </c>
      <c r="AQ903" s="50">
        <f t="shared" si="89"/>
        <v>2025</v>
      </c>
      <c r="AR903" s="50" t="str">
        <f t="shared" si="90"/>
        <v>Apr-2025</v>
      </c>
      <c r="AS903" s="52">
        <f t="shared" si="91"/>
        <v>45751</v>
      </c>
      <c r="AT903" s="44">
        <f t="shared" ca="1" si="92"/>
        <v>527</v>
      </c>
      <c r="AU903" s="40" t="str">
        <f>LEFT(Sheet1!AE902,3)</f>
        <v>Viv</v>
      </c>
      <c r="AV903" s="40" t="str">
        <f>RIGHT(Sheet1!AF902,2)</f>
        <v>or</v>
      </c>
      <c r="AW903" s="40" t="str">
        <f>MID(Sheet1!AE902,2,3)</f>
        <v>iva</v>
      </c>
      <c r="AX903" s="42">
        <f>LEN(Sheet1!AE902)</f>
        <v>6</v>
      </c>
      <c r="AY903" s="40" t="str">
        <f>UPPER(Sheet1!AE902)</f>
        <v>VIVAAN</v>
      </c>
      <c r="AZ903" s="40" t="str">
        <f>LOWER(Sheet1!AE902)</f>
        <v>vivaan</v>
      </c>
      <c r="BA903" s="40" t="str">
        <f>PROPER(Sheet1!AE902)</f>
        <v>Vivaan</v>
      </c>
      <c r="BB903" s="40" t="str">
        <f>_xlfn.CONCAT(Sheet1!AE902," ",Sheet1!AF902)</f>
        <v>Vivaan Kapoor</v>
      </c>
    </row>
    <row r="904" spans="40:54">
      <c r="AN904" s="50" t="str">
        <f>Sheet1!B903</f>
        <v>28-05-2024</v>
      </c>
      <c r="AO904" s="50">
        <f t="shared" si="87"/>
        <v>4</v>
      </c>
      <c r="AP904" s="50">
        <f t="shared" si="88"/>
        <v>5</v>
      </c>
      <c r="AQ904" s="50">
        <f t="shared" si="89"/>
        <v>2024</v>
      </c>
      <c r="AR904" s="50" t="str">
        <f t="shared" si="90"/>
        <v>May-2024</v>
      </c>
      <c r="AS904" s="52">
        <f t="shared" si="91"/>
        <v>45416</v>
      </c>
      <c r="AT904" s="44">
        <f t="shared" ca="1" si="92"/>
        <v>862</v>
      </c>
      <c r="AU904" s="40" t="str">
        <f>LEFT(Sheet1!AE903,3)</f>
        <v>Aar</v>
      </c>
      <c r="AV904" s="40" t="str">
        <f>RIGHT(Sheet1!AF903,2)</f>
        <v>in</v>
      </c>
      <c r="AW904" s="40" t="str">
        <f>MID(Sheet1!AE903,2,3)</f>
        <v>ara</v>
      </c>
      <c r="AX904" s="42">
        <f>LEN(Sheet1!AE903)</f>
        <v>5</v>
      </c>
      <c r="AY904" s="40" t="str">
        <f>UPPER(Sheet1!AE903)</f>
        <v>AARAV</v>
      </c>
      <c r="AZ904" s="40" t="str">
        <f>LOWER(Sheet1!AE903)</f>
        <v>aarav</v>
      </c>
      <c r="BA904" s="40" t="str">
        <f>PROPER(Sheet1!AE903)</f>
        <v>Aarav</v>
      </c>
      <c r="BB904" s="40" t="str">
        <f>_xlfn.CONCAT(Sheet1!AE903," ",Sheet1!AF903)</f>
        <v>Aarav Jain</v>
      </c>
    </row>
    <row r="905" spans="40:54">
      <c r="AN905" s="50" t="str">
        <f>Sheet1!B904</f>
        <v>28-05-2024</v>
      </c>
      <c r="AO905" s="50">
        <f t="shared" si="87"/>
        <v>4</v>
      </c>
      <c r="AP905" s="50">
        <f t="shared" si="88"/>
        <v>5</v>
      </c>
      <c r="AQ905" s="50">
        <f t="shared" si="89"/>
        <v>2024</v>
      </c>
      <c r="AR905" s="50" t="str">
        <f t="shared" si="90"/>
        <v>May-2024</v>
      </c>
      <c r="AS905" s="52">
        <f t="shared" si="91"/>
        <v>45416</v>
      </c>
      <c r="AT905" s="44">
        <f t="shared" ca="1" si="92"/>
        <v>862</v>
      </c>
      <c r="AU905" s="40" t="str">
        <f>LEFT(Sheet1!AE904,3)</f>
        <v>Nis</v>
      </c>
      <c r="AV905" s="40" t="str">
        <f>RIGHT(Sheet1!AF904,2)</f>
        <v>ta</v>
      </c>
      <c r="AW905" s="40" t="str">
        <f>MID(Sheet1!AE904,2,3)</f>
        <v>ish</v>
      </c>
      <c r="AX905" s="42">
        <f>LEN(Sheet1!AE904)</f>
        <v>5</v>
      </c>
      <c r="AY905" s="40" t="str">
        <f>UPPER(Sheet1!AE904)</f>
        <v>NISHA</v>
      </c>
      <c r="AZ905" s="40" t="str">
        <f>LOWER(Sheet1!AE904)</f>
        <v>nisha</v>
      </c>
      <c r="BA905" s="40" t="str">
        <f>PROPER(Sheet1!AE904)</f>
        <v>Nisha</v>
      </c>
      <c r="BB905" s="40" t="str">
        <f>_xlfn.CONCAT(Sheet1!AE904," ",Sheet1!AF904)</f>
        <v>Nisha Gupta</v>
      </c>
    </row>
    <row r="906" spans="40:54">
      <c r="AN906" s="50" t="str">
        <f>Sheet1!B905</f>
        <v>28-05-2025</v>
      </c>
      <c r="AO906" s="50">
        <f t="shared" si="87"/>
        <v>7</v>
      </c>
      <c r="AP906" s="50">
        <f t="shared" si="88"/>
        <v>5</v>
      </c>
      <c r="AQ906" s="50">
        <f t="shared" si="89"/>
        <v>2025</v>
      </c>
      <c r="AR906" s="50" t="str">
        <f t="shared" si="90"/>
        <v>May-2025</v>
      </c>
      <c r="AS906" s="52">
        <f t="shared" si="91"/>
        <v>45784</v>
      </c>
      <c r="AT906" s="44">
        <f t="shared" ca="1" si="92"/>
        <v>494</v>
      </c>
      <c r="AU906" s="40" t="str">
        <f>LEFT(Sheet1!AE905,3)</f>
        <v>Viv</v>
      </c>
      <c r="AV906" s="40" t="str">
        <f>RIGHT(Sheet1!AF905,2)</f>
        <v>ar</v>
      </c>
      <c r="AW906" s="40" t="str">
        <f>MID(Sheet1!AE905,2,3)</f>
        <v>iva</v>
      </c>
      <c r="AX906" s="42">
        <f>LEN(Sheet1!AE905)</f>
        <v>6</v>
      </c>
      <c r="AY906" s="40" t="str">
        <f>UPPER(Sheet1!AE905)</f>
        <v>VIVAAN</v>
      </c>
      <c r="AZ906" s="40" t="str">
        <f>LOWER(Sheet1!AE905)</f>
        <v>vivaan</v>
      </c>
      <c r="BA906" s="40" t="str">
        <f>PROPER(Sheet1!AE905)</f>
        <v>Vivaan</v>
      </c>
      <c r="BB906" s="40" t="str">
        <f>_xlfn.CONCAT(Sheet1!AE905," ",Sheet1!AF905)</f>
        <v>Vivaan Kumar</v>
      </c>
    </row>
    <row r="907" spans="40:54">
      <c r="AN907" s="50" t="str">
        <f>Sheet1!B906</f>
        <v>28-05-2025</v>
      </c>
      <c r="AO907" s="50">
        <f t="shared" ref="AO907:AO970" si="93">IFERROR(DAY(AN68),VALUE(LEFT(AN68,2)))</f>
        <v>8</v>
      </c>
      <c r="AP907" s="50">
        <f t="shared" si="88"/>
        <v>5</v>
      </c>
      <c r="AQ907" s="50">
        <f t="shared" si="89"/>
        <v>2025</v>
      </c>
      <c r="AR907" s="50" t="str">
        <f t="shared" si="90"/>
        <v>May-2025</v>
      </c>
      <c r="AS907" s="52">
        <f t="shared" si="91"/>
        <v>45785</v>
      </c>
      <c r="AT907" s="44">
        <f t="shared" ca="1" si="92"/>
        <v>493</v>
      </c>
      <c r="AU907" s="40" t="str">
        <f>LEFT(Sheet1!AE906,3)</f>
        <v>Arj</v>
      </c>
      <c r="AV907" s="40" t="str">
        <f>RIGHT(Sheet1!AF906,2)</f>
        <v>ra</v>
      </c>
      <c r="AW907" s="40" t="str">
        <f>MID(Sheet1!AE906,2,3)</f>
        <v>rju</v>
      </c>
      <c r="AX907" s="42">
        <f>LEN(Sheet1!AE906)</f>
        <v>5</v>
      </c>
      <c r="AY907" s="40" t="str">
        <f>UPPER(Sheet1!AE906)</f>
        <v>ARJUN</v>
      </c>
      <c r="AZ907" s="40" t="str">
        <f>LOWER(Sheet1!AE906)</f>
        <v>arjun</v>
      </c>
      <c r="BA907" s="40" t="str">
        <f>PROPER(Sheet1!AE906)</f>
        <v>Arjun</v>
      </c>
      <c r="BB907" s="40" t="str">
        <f>_xlfn.CONCAT(Sheet1!AE906," ",Sheet1!AF906)</f>
        <v>Arjun Mishra</v>
      </c>
    </row>
    <row r="908" spans="40:54">
      <c r="AN908" s="50" t="str">
        <f>Sheet1!B907</f>
        <v>28-07-2024</v>
      </c>
      <c r="AO908" s="50">
        <f t="shared" si="93"/>
        <v>8</v>
      </c>
      <c r="AP908" s="50">
        <f t="shared" si="88"/>
        <v>7</v>
      </c>
      <c r="AQ908" s="50">
        <f t="shared" si="89"/>
        <v>2024</v>
      </c>
      <c r="AR908" s="50" t="str">
        <f t="shared" si="90"/>
        <v>Jul-2024</v>
      </c>
      <c r="AS908" s="52">
        <f t="shared" si="91"/>
        <v>45481</v>
      </c>
      <c r="AT908" s="44">
        <f t="shared" ca="1" si="92"/>
        <v>797</v>
      </c>
      <c r="AU908" s="40" t="str">
        <f>LEFT(Sheet1!AE907,3)</f>
        <v>Pri</v>
      </c>
      <c r="AV908" s="40" t="str">
        <f>RIGHT(Sheet1!AF907,2)</f>
        <v>ta</v>
      </c>
      <c r="AW908" s="40" t="str">
        <f>MID(Sheet1!AE907,2,3)</f>
        <v>riy</v>
      </c>
      <c r="AX908" s="42">
        <f>LEN(Sheet1!AE907)</f>
        <v>5</v>
      </c>
      <c r="AY908" s="40" t="str">
        <f>UPPER(Sheet1!AE907)</f>
        <v>PRIYA</v>
      </c>
      <c r="AZ908" s="40" t="str">
        <f>LOWER(Sheet1!AE907)</f>
        <v>priya</v>
      </c>
      <c r="BA908" s="40" t="str">
        <f>PROPER(Sheet1!AE907)</f>
        <v>Priya</v>
      </c>
      <c r="BB908" s="40" t="str">
        <f>_xlfn.CONCAT(Sheet1!AE907," ",Sheet1!AF907)</f>
        <v>Priya Gupta</v>
      </c>
    </row>
    <row r="909" spans="40:54">
      <c r="AN909" s="50" t="str">
        <f>Sheet1!B908</f>
        <v>28-07-2024</v>
      </c>
      <c r="AO909" s="50">
        <f t="shared" si="93"/>
        <v>9</v>
      </c>
      <c r="AP909" s="50">
        <f t="shared" si="88"/>
        <v>7</v>
      </c>
      <c r="AQ909" s="50">
        <f t="shared" si="89"/>
        <v>2024</v>
      </c>
      <c r="AR909" s="50" t="str">
        <f t="shared" si="90"/>
        <v>Jul-2024</v>
      </c>
      <c r="AS909" s="52">
        <f t="shared" si="91"/>
        <v>45482</v>
      </c>
      <c r="AT909" s="44">
        <f t="shared" ca="1" si="92"/>
        <v>796</v>
      </c>
      <c r="AU909" s="40" t="str">
        <f>LEFT(Sheet1!AE908,3)</f>
        <v>Viv</v>
      </c>
      <c r="AV909" s="40" t="str">
        <f>RIGHT(Sheet1!AF908,2)</f>
        <v>gh</v>
      </c>
      <c r="AW909" s="40" t="str">
        <f>MID(Sheet1!AE908,2,3)</f>
        <v>iva</v>
      </c>
      <c r="AX909" s="42">
        <f>LEN(Sheet1!AE908)</f>
        <v>6</v>
      </c>
      <c r="AY909" s="40" t="str">
        <f>UPPER(Sheet1!AE908)</f>
        <v>VIVAAN</v>
      </c>
      <c r="AZ909" s="40" t="str">
        <f>LOWER(Sheet1!AE908)</f>
        <v>vivaan</v>
      </c>
      <c r="BA909" s="40" t="str">
        <f>PROPER(Sheet1!AE908)</f>
        <v>Vivaan</v>
      </c>
      <c r="BB909" s="40" t="str">
        <f>_xlfn.CONCAT(Sheet1!AE908," ",Sheet1!AF908)</f>
        <v>Vivaan Singh</v>
      </c>
    </row>
    <row r="910" spans="40:54">
      <c r="AN910" s="50" t="str">
        <f>Sheet1!B909</f>
        <v>28-07-2025</v>
      </c>
      <c r="AO910" s="50">
        <f t="shared" si="93"/>
        <v>2</v>
      </c>
      <c r="AP910" s="50">
        <f t="shared" si="88"/>
        <v>7</v>
      </c>
      <c r="AQ910" s="50">
        <f t="shared" si="89"/>
        <v>2025</v>
      </c>
      <c r="AR910" s="50" t="str">
        <f t="shared" si="90"/>
        <v>Jul-2025</v>
      </c>
      <c r="AS910" s="52">
        <f t="shared" si="91"/>
        <v>45840</v>
      </c>
      <c r="AT910" s="44">
        <f t="shared" ca="1" si="92"/>
        <v>438</v>
      </c>
      <c r="AU910" s="40" t="str">
        <f>LEFT(Sheet1!AE909,3)</f>
        <v>Kar</v>
      </c>
      <c r="AV910" s="40" t="str">
        <f>RIGHT(Sheet1!AF909,2)</f>
        <v>ra</v>
      </c>
      <c r="AW910" s="40" t="str">
        <f>MID(Sheet1!AE909,2,3)</f>
        <v>ara</v>
      </c>
      <c r="AX910" s="42">
        <f>LEN(Sheet1!AE909)</f>
        <v>5</v>
      </c>
      <c r="AY910" s="40" t="str">
        <f>UPPER(Sheet1!AE909)</f>
        <v>KARAN</v>
      </c>
      <c r="AZ910" s="40" t="str">
        <f>LOWER(Sheet1!AE909)</f>
        <v>karan</v>
      </c>
      <c r="BA910" s="40" t="str">
        <f>PROPER(Sheet1!AE909)</f>
        <v>Karan</v>
      </c>
      <c r="BB910" s="40" t="str">
        <f>_xlfn.CONCAT(Sheet1!AE909," ",Sheet1!AF909)</f>
        <v>Karan Malhotra</v>
      </c>
    </row>
    <row r="911" spans="40:54">
      <c r="AN911" s="50" t="str">
        <f>Sheet1!B910</f>
        <v>28-07-2025</v>
      </c>
      <c r="AO911" s="50">
        <f t="shared" si="93"/>
        <v>3</v>
      </c>
      <c r="AP911" s="50">
        <f t="shared" si="88"/>
        <v>7</v>
      </c>
      <c r="AQ911" s="50">
        <f t="shared" si="89"/>
        <v>2025</v>
      </c>
      <c r="AR911" s="50" t="str">
        <f t="shared" si="90"/>
        <v>Jul-2025</v>
      </c>
      <c r="AS911" s="52">
        <f t="shared" si="91"/>
        <v>45841</v>
      </c>
      <c r="AT911" s="44">
        <f t="shared" ca="1" si="92"/>
        <v>437</v>
      </c>
      <c r="AU911" s="40" t="str">
        <f>LEFT(Sheet1!AE910,3)</f>
        <v>Sne</v>
      </c>
      <c r="AV911" s="40" t="str">
        <f>RIGHT(Sheet1!AF910,2)</f>
        <v>ar</v>
      </c>
      <c r="AW911" s="40" t="str">
        <f>MID(Sheet1!AE910,2,3)</f>
        <v>neh</v>
      </c>
      <c r="AX911" s="42">
        <f>LEN(Sheet1!AE910)</f>
        <v>5</v>
      </c>
      <c r="AY911" s="40" t="str">
        <f>UPPER(Sheet1!AE910)</f>
        <v>SNEHA</v>
      </c>
      <c r="AZ911" s="40" t="str">
        <f>LOWER(Sheet1!AE910)</f>
        <v>sneha</v>
      </c>
      <c r="BA911" s="40" t="str">
        <f>PROPER(Sheet1!AE910)</f>
        <v>Sneha</v>
      </c>
      <c r="BB911" s="40" t="str">
        <f>_xlfn.CONCAT(Sheet1!AE910," ",Sheet1!AF910)</f>
        <v>Sneha Kumar</v>
      </c>
    </row>
    <row r="912" spans="40:54">
      <c r="AN912" s="50" t="str">
        <f>Sheet1!B911</f>
        <v>28-08-2024</v>
      </c>
      <c r="AO912" s="50">
        <f t="shared" si="93"/>
        <v>4</v>
      </c>
      <c r="AP912" s="50">
        <f t="shared" si="88"/>
        <v>8</v>
      </c>
      <c r="AQ912" s="50">
        <f t="shared" si="89"/>
        <v>2024</v>
      </c>
      <c r="AR912" s="50" t="str">
        <f t="shared" si="90"/>
        <v>Aug-2024</v>
      </c>
      <c r="AS912" s="52">
        <f t="shared" si="91"/>
        <v>45508</v>
      </c>
      <c r="AT912" s="44">
        <f t="shared" ca="1" si="92"/>
        <v>770</v>
      </c>
      <c r="AU912" s="40" t="str">
        <f>LEFT(Sheet1!AE911,3)</f>
        <v>Aar</v>
      </c>
      <c r="AV912" s="40" t="str">
        <f>RIGHT(Sheet1!AF911,2)</f>
        <v>ma</v>
      </c>
      <c r="AW912" s="40" t="str">
        <f>MID(Sheet1!AE911,2,3)</f>
        <v>ara</v>
      </c>
      <c r="AX912" s="42">
        <f>LEN(Sheet1!AE911)</f>
        <v>5</v>
      </c>
      <c r="AY912" s="40" t="str">
        <f>UPPER(Sheet1!AE911)</f>
        <v>AARAV</v>
      </c>
      <c r="AZ912" s="40" t="str">
        <f>LOWER(Sheet1!AE911)</f>
        <v>aarav</v>
      </c>
      <c r="BA912" s="40" t="str">
        <f>PROPER(Sheet1!AE911)</f>
        <v>Aarav</v>
      </c>
      <c r="BB912" s="40" t="str">
        <f>_xlfn.CONCAT(Sheet1!AE911," ",Sheet1!AF911)</f>
        <v>Aarav Sharma</v>
      </c>
    </row>
    <row r="913" spans="40:54">
      <c r="AN913" s="50" t="str">
        <f>Sheet1!B912</f>
        <v>28-08-2024</v>
      </c>
      <c r="AO913" s="50">
        <f t="shared" si="93"/>
        <v>4</v>
      </c>
      <c r="AP913" s="50">
        <f t="shared" si="88"/>
        <v>8</v>
      </c>
      <c r="AQ913" s="50">
        <f t="shared" si="89"/>
        <v>2024</v>
      </c>
      <c r="AR913" s="50" t="str">
        <f t="shared" si="90"/>
        <v>Aug-2024</v>
      </c>
      <c r="AS913" s="52">
        <f t="shared" si="91"/>
        <v>45508</v>
      </c>
      <c r="AT913" s="44">
        <f t="shared" ca="1" si="92"/>
        <v>770</v>
      </c>
      <c r="AU913" s="40" t="str">
        <f>LEFT(Sheet1!AE912,3)</f>
        <v>Nis</v>
      </c>
      <c r="AV913" s="40" t="str">
        <f>RIGHT(Sheet1!AF912,2)</f>
        <v>ra</v>
      </c>
      <c r="AW913" s="40" t="str">
        <f>MID(Sheet1!AE912,2,3)</f>
        <v>ish</v>
      </c>
      <c r="AX913" s="42">
        <f>LEN(Sheet1!AE912)</f>
        <v>5</v>
      </c>
      <c r="AY913" s="40" t="str">
        <f>UPPER(Sheet1!AE912)</f>
        <v>NISHA</v>
      </c>
      <c r="AZ913" s="40" t="str">
        <f>LOWER(Sheet1!AE912)</f>
        <v>nisha</v>
      </c>
      <c r="BA913" s="40" t="str">
        <f>PROPER(Sheet1!AE912)</f>
        <v>Nisha</v>
      </c>
      <c r="BB913" s="40" t="str">
        <f>_xlfn.CONCAT(Sheet1!AE912," ",Sheet1!AF912)</f>
        <v>Nisha Mishra</v>
      </c>
    </row>
    <row r="914" spans="40:54">
      <c r="AN914" s="50" t="str">
        <f>Sheet1!B913</f>
        <v>28-08-2024</v>
      </c>
      <c r="AO914" s="50">
        <f t="shared" si="93"/>
        <v>4</v>
      </c>
      <c r="AP914" s="50">
        <f t="shared" si="88"/>
        <v>8</v>
      </c>
      <c r="AQ914" s="50">
        <f t="shared" si="89"/>
        <v>2024</v>
      </c>
      <c r="AR914" s="50" t="str">
        <f t="shared" si="90"/>
        <v>Aug-2024</v>
      </c>
      <c r="AS914" s="52">
        <f t="shared" si="91"/>
        <v>45508</v>
      </c>
      <c r="AT914" s="44">
        <f t="shared" ca="1" si="92"/>
        <v>770</v>
      </c>
      <c r="AU914" s="40" t="str">
        <f>LEFT(Sheet1!AE913,3)</f>
        <v>Riy</v>
      </c>
      <c r="AV914" s="40" t="str">
        <f>RIGHT(Sheet1!AF913,2)</f>
        <v>ra</v>
      </c>
      <c r="AW914" s="40" t="str">
        <f>MID(Sheet1!AE913,2,3)</f>
        <v>iya</v>
      </c>
      <c r="AX914" s="42">
        <f>LEN(Sheet1!AE913)</f>
        <v>4</v>
      </c>
      <c r="AY914" s="40" t="str">
        <f>UPPER(Sheet1!AE913)</f>
        <v>RIYA</v>
      </c>
      <c r="AZ914" s="40" t="str">
        <f>LOWER(Sheet1!AE913)</f>
        <v>riya</v>
      </c>
      <c r="BA914" s="40" t="str">
        <f>PROPER(Sheet1!AE913)</f>
        <v>Riya</v>
      </c>
      <c r="BB914" s="40" t="str">
        <f>_xlfn.CONCAT(Sheet1!AE913," ",Sheet1!AF913)</f>
        <v>Riya Chopra</v>
      </c>
    </row>
    <row r="915" spans="40:54">
      <c r="AN915" s="50" t="str">
        <f>Sheet1!B914</f>
        <v>28-08-2024</v>
      </c>
      <c r="AO915" s="50">
        <f t="shared" si="93"/>
        <v>6</v>
      </c>
      <c r="AP915" s="50">
        <f t="shared" si="88"/>
        <v>8</v>
      </c>
      <c r="AQ915" s="50">
        <f t="shared" si="89"/>
        <v>2024</v>
      </c>
      <c r="AR915" s="50" t="str">
        <f t="shared" si="90"/>
        <v>Aug-2024</v>
      </c>
      <c r="AS915" s="52">
        <f t="shared" si="91"/>
        <v>45510</v>
      </c>
      <c r="AT915" s="44">
        <f t="shared" ca="1" si="92"/>
        <v>768</v>
      </c>
      <c r="AU915" s="40" t="str">
        <f>LEFT(Sheet1!AE914,3)</f>
        <v>Kav</v>
      </c>
      <c r="AV915" s="40" t="str">
        <f>RIGHT(Sheet1!AF914,2)</f>
        <v>ma</v>
      </c>
      <c r="AW915" s="40" t="str">
        <f>MID(Sheet1!AE914,2,3)</f>
        <v>avy</v>
      </c>
      <c r="AX915" s="42">
        <f>LEN(Sheet1!AE914)</f>
        <v>5</v>
      </c>
      <c r="AY915" s="40" t="str">
        <f>UPPER(Sheet1!AE914)</f>
        <v>KAVYA</v>
      </c>
      <c r="AZ915" s="40" t="str">
        <f>LOWER(Sheet1!AE914)</f>
        <v>kavya</v>
      </c>
      <c r="BA915" s="40" t="str">
        <f>PROPER(Sheet1!AE914)</f>
        <v>Kavya</v>
      </c>
      <c r="BB915" s="40" t="str">
        <f>_xlfn.CONCAT(Sheet1!AE914," ",Sheet1!AF914)</f>
        <v>Kavya Sharma</v>
      </c>
    </row>
    <row r="916" spans="40:54">
      <c r="AN916" s="50" t="str">
        <f>Sheet1!B915</f>
        <v>28-09-2024</v>
      </c>
      <c r="AO916" s="50">
        <f t="shared" si="93"/>
        <v>7</v>
      </c>
      <c r="AP916" s="50">
        <f t="shared" si="88"/>
        <v>9</v>
      </c>
      <c r="AQ916" s="50">
        <f t="shared" si="89"/>
        <v>2024</v>
      </c>
      <c r="AR916" s="50" t="str">
        <f t="shared" si="90"/>
        <v>Sep-2024</v>
      </c>
      <c r="AS916" s="52">
        <f t="shared" si="91"/>
        <v>45542</v>
      </c>
      <c r="AT916" s="44">
        <f t="shared" ca="1" si="92"/>
        <v>736</v>
      </c>
      <c r="AU916" s="40" t="str">
        <f>LEFT(Sheet1!AE915,3)</f>
        <v>Sim</v>
      </c>
      <c r="AV916" s="40" t="str">
        <f>RIGHT(Sheet1!AF915,2)</f>
        <v>ta</v>
      </c>
      <c r="AW916" s="40" t="str">
        <f>MID(Sheet1!AE915,2,3)</f>
        <v>imr</v>
      </c>
      <c r="AX916" s="42">
        <f>LEN(Sheet1!AE915)</f>
        <v>6</v>
      </c>
      <c r="AY916" s="40" t="str">
        <f>UPPER(Sheet1!AE915)</f>
        <v>SIMRAN</v>
      </c>
      <c r="AZ916" s="40" t="str">
        <f>LOWER(Sheet1!AE915)</f>
        <v>simran</v>
      </c>
      <c r="BA916" s="40" t="str">
        <f>PROPER(Sheet1!AE915)</f>
        <v>Simran</v>
      </c>
      <c r="BB916" s="40" t="str">
        <f>_xlfn.CONCAT(Sheet1!AE915," ",Sheet1!AF915)</f>
        <v>Simran Mehta</v>
      </c>
    </row>
    <row r="917" spans="40:54">
      <c r="AN917" s="50" t="str">
        <f>Sheet1!B916</f>
        <v>28-09-2024</v>
      </c>
      <c r="AO917" s="50">
        <f t="shared" si="93"/>
        <v>7</v>
      </c>
      <c r="AP917" s="50">
        <f t="shared" si="88"/>
        <v>9</v>
      </c>
      <c r="AQ917" s="50">
        <f t="shared" si="89"/>
        <v>2024</v>
      </c>
      <c r="AR917" s="50" t="str">
        <f t="shared" si="90"/>
        <v>Sep-2024</v>
      </c>
      <c r="AS917" s="52">
        <f t="shared" si="91"/>
        <v>45542</v>
      </c>
      <c r="AT917" s="44">
        <f t="shared" ca="1" si="92"/>
        <v>736</v>
      </c>
      <c r="AU917" s="40" t="str">
        <f>LEFT(Sheet1!AE916,3)</f>
        <v>Adi</v>
      </c>
      <c r="AV917" s="40" t="str">
        <f>RIGHT(Sheet1!AF916,2)</f>
        <v>av</v>
      </c>
      <c r="AW917" s="40" t="str">
        <f>MID(Sheet1!AE916,2,3)</f>
        <v>dit</v>
      </c>
      <c r="AX917" s="42">
        <f>LEN(Sheet1!AE916)</f>
        <v>5</v>
      </c>
      <c r="AY917" s="40" t="str">
        <f>UPPER(Sheet1!AE916)</f>
        <v>ADITI</v>
      </c>
      <c r="AZ917" s="40" t="str">
        <f>LOWER(Sheet1!AE916)</f>
        <v>aditi</v>
      </c>
      <c r="BA917" s="40" t="str">
        <f>PROPER(Sheet1!AE916)</f>
        <v>Aditi</v>
      </c>
      <c r="BB917" s="40" t="str">
        <f>_xlfn.CONCAT(Sheet1!AE916," ",Sheet1!AF916)</f>
        <v>Aditi Yadav</v>
      </c>
    </row>
    <row r="918" spans="40:54">
      <c r="AN918" s="50" t="str">
        <f>Sheet1!B917</f>
        <v>28-09-2025</v>
      </c>
      <c r="AO918" s="50">
        <f t="shared" si="93"/>
        <v>12</v>
      </c>
      <c r="AP918" s="50">
        <f t="shared" si="88"/>
        <v>9</v>
      </c>
      <c r="AQ918" s="50">
        <f t="shared" si="89"/>
        <v>2025</v>
      </c>
      <c r="AR918" s="50" t="str">
        <f t="shared" si="90"/>
        <v>Sep-2025</v>
      </c>
      <c r="AS918" s="52">
        <f t="shared" si="91"/>
        <v>45912</v>
      </c>
      <c r="AT918" s="44">
        <f t="shared" ca="1" si="92"/>
        <v>366</v>
      </c>
      <c r="AU918" s="40" t="str">
        <f>LEFT(Sheet1!AE917,3)</f>
        <v>Kav</v>
      </c>
      <c r="AV918" s="40" t="str">
        <f>RIGHT(Sheet1!AF917,2)</f>
        <v>ta</v>
      </c>
      <c r="AW918" s="40" t="str">
        <f>MID(Sheet1!AE917,2,3)</f>
        <v>avy</v>
      </c>
      <c r="AX918" s="42">
        <f>LEN(Sheet1!AE917)</f>
        <v>5</v>
      </c>
      <c r="AY918" s="40" t="str">
        <f>UPPER(Sheet1!AE917)</f>
        <v>KAVYA</v>
      </c>
      <c r="AZ918" s="40" t="str">
        <f>LOWER(Sheet1!AE917)</f>
        <v>kavya</v>
      </c>
      <c r="BA918" s="40" t="str">
        <f>PROPER(Sheet1!AE917)</f>
        <v>Kavya</v>
      </c>
      <c r="BB918" s="40" t="str">
        <f>_xlfn.CONCAT(Sheet1!AE917," ",Sheet1!AF917)</f>
        <v>Kavya Gupta</v>
      </c>
    </row>
    <row r="919" spans="40:54">
      <c r="AN919" s="50" t="str">
        <f>Sheet1!B918</f>
        <v>28-09-2025</v>
      </c>
      <c r="AO919" s="50">
        <f t="shared" si="93"/>
        <v>12</v>
      </c>
      <c r="AP919" s="50">
        <f t="shared" si="88"/>
        <v>9</v>
      </c>
      <c r="AQ919" s="50">
        <f t="shared" si="89"/>
        <v>2025</v>
      </c>
      <c r="AR919" s="50" t="str">
        <f t="shared" si="90"/>
        <v>Sep-2025</v>
      </c>
      <c r="AS919" s="52">
        <f t="shared" si="91"/>
        <v>45912</v>
      </c>
      <c r="AT919" s="44">
        <f t="shared" ca="1" si="92"/>
        <v>366</v>
      </c>
      <c r="AU919" s="40" t="str">
        <f>LEFT(Sheet1!AE918,3)</f>
        <v>Aar</v>
      </c>
      <c r="AV919" s="40" t="str">
        <f>RIGHT(Sheet1!AF918,2)</f>
        <v>or</v>
      </c>
      <c r="AW919" s="40" t="str">
        <f>MID(Sheet1!AE918,2,3)</f>
        <v>ara</v>
      </c>
      <c r="AX919" s="42">
        <f>LEN(Sheet1!AE918)</f>
        <v>5</v>
      </c>
      <c r="AY919" s="40" t="str">
        <f>UPPER(Sheet1!AE918)</f>
        <v>AARAV</v>
      </c>
      <c r="AZ919" s="40" t="str">
        <f>LOWER(Sheet1!AE918)</f>
        <v>aarav</v>
      </c>
      <c r="BA919" s="40" t="str">
        <f>PROPER(Sheet1!AE918)</f>
        <v>Aarav</v>
      </c>
      <c r="BB919" s="40" t="str">
        <f>_xlfn.CONCAT(Sheet1!AE918," ",Sheet1!AF918)</f>
        <v>Aarav Kapoor</v>
      </c>
    </row>
    <row r="920" spans="40:54">
      <c r="AN920" s="50" t="str">
        <f>Sheet1!B919</f>
        <v>28-10-2024</v>
      </c>
      <c r="AO920" s="50">
        <f t="shared" si="93"/>
        <v>1</v>
      </c>
      <c r="AP920" s="50">
        <f t="shared" si="88"/>
        <v>10</v>
      </c>
      <c r="AQ920" s="50">
        <f t="shared" si="89"/>
        <v>2024</v>
      </c>
      <c r="AR920" s="50" t="str">
        <f t="shared" si="90"/>
        <v>Oct-2024</v>
      </c>
      <c r="AS920" s="52">
        <f t="shared" si="91"/>
        <v>45566</v>
      </c>
      <c r="AT920" s="44">
        <f t="shared" ca="1" si="92"/>
        <v>712</v>
      </c>
      <c r="AU920" s="40" t="str">
        <f>LEFT(Sheet1!AE919,3)</f>
        <v>Adi</v>
      </c>
      <c r="AV920" s="40" t="str">
        <f>RIGHT(Sheet1!AF919,2)</f>
        <v>av</v>
      </c>
      <c r="AW920" s="40" t="str">
        <f>MID(Sheet1!AE919,2,3)</f>
        <v>dit</v>
      </c>
      <c r="AX920" s="42">
        <f>LEN(Sheet1!AE919)</f>
        <v>5</v>
      </c>
      <c r="AY920" s="40" t="str">
        <f>UPPER(Sheet1!AE919)</f>
        <v>ADITI</v>
      </c>
      <c r="AZ920" s="40" t="str">
        <f>LOWER(Sheet1!AE919)</f>
        <v>aditi</v>
      </c>
      <c r="BA920" s="40" t="str">
        <f>PROPER(Sheet1!AE919)</f>
        <v>Aditi</v>
      </c>
      <c r="BB920" s="40" t="str">
        <f>_xlfn.CONCAT(Sheet1!AE919," ",Sheet1!AF919)</f>
        <v>Aditi Yadav</v>
      </c>
    </row>
    <row r="921" spans="40:54">
      <c r="AN921" s="50" t="str">
        <f>Sheet1!B920</f>
        <v>28-11-2024</v>
      </c>
      <c r="AO921" s="50">
        <f t="shared" si="93"/>
        <v>1</v>
      </c>
      <c r="AP921" s="50">
        <f t="shared" si="88"/>
        <v>11</v>
      </c>
      <c r="AQ921" s="50">
        <f t="shared" si="89"/>
        <v>2024</v>
      </c>
      <c r="AR921" s="50" t="str">
        <f t="shared" si="90"/>
        <v>Nov-2024</v>
      </c>
      <c r="AS921" s="52">
        <f t="shared" si="91"/>
        <v>45597</v>
      </c>
      <c r="AT921" s="44">
        <f t="shared" ca="1" si="92"/>
        <v>681</v>
      </c>
      <c r="AU921" s="40" t="str">
        <f>LEFT(Sheet1!AE920,3)</f>
        <v>Adi</v>
      </c>
      <c r="AV921" s="40" t="str">
        <f>RIGHT(Sheet1!AF920,2)</f>
        <v>ta</v>
      </c>
      <c r="AW921" s="40" t="str">
        <f>MID(Sheet1!AE920,2,3)</f>
        <v>dit</v>
      </c>
      <c r="AX921" s="42">
        <f>LEN(Sheet1!AE920)</f>
        <v>6</v>
      </c>
      <c r="AY921" s="40" t="str">
        <f>UPPER(Sheet1!AE920)</f>
        <v>ADITYA</v>
      </c>
      <c r="AZ921" s="40" t="str">
        <f>LOWER(Sheet1!AE920)</f>
        <v>aditya</v>
      </c>
      <c r="BA921" s="40" t="str">
        <f>PROPER(Sheet1!AE920)</f>
        <v>Aditya</v>
      </c>
      <c r="BB921" s="40" t="str">
        <f>_xlfn.CONCAT(Sheet1!AE920," ",Sheet1!AF920)</f>
        <v>Aditya Mehta</v>
      </c>
    </row>
    <row r="922" spans="40:54">
      <c r="AN922" s="50" t="str">
        <f>Sheet1!B921</f>
        <v>28-11-2024</v>
      </c>
      <c r="AO922" s="50">
        <f t="shared" si="93"/>
        <v>1</v>
      </c>
      <c r="AP922" s="50">
        <f t="shared" si="88"/>
        <v>11</v>
      </c>
      <c r="AQ922" s="50">
        <f t="shared" si="89"/>
        <v>2024</v>
      </c>
      <c r="AR922" s="50" t="str">
        <f t="shared" si="90"/>
        <v>Nov-2024</v>
      </c>
      <c r="AS922" s="52">
        <f t="shared" si="91"/>
        <v>45597</v>
      </c>
      <c r="AT922" s="44">
        <f t="shared" ca="1" si="92"/>
        <v>681</v>
      </c>
      <c r="AU922" s="40" t="str">
        <f>LEFT(Sheet1!AE921,3)</f>
        <v>Rah</v>
      </c>
      <c r="AV922" s="40" t="str">
        <f>RIGHT(Sheet1!AF921,2)</f>
        <v>in</v>
      </c>
      <c r="AW922" s="40" t="str">
        <f>MID(Sheet1!AE921,2,3)</f>
        <v>ahu</v>
      </c>
      <c r="AX922" s="42">
        <f>LEN(Sheet1!AE921)</f>
        <v>5</v>
      </c>
      <c r="AY922" s="40" t="str">
        <f>UPPER(Sheet1!AE921)</f>
        <v>RAHUL</v>
      </c>
      <c r="AZ922" s="40" t="str">
        <f>LOWER(Sheet1!AE921)</f>
        <v>rahul</v>
      </c>
      <c r="BA922" s="40" t="str">
        <f>PROPER(Sheet1!AE921)</f>
        <v>Rahul</v>
      </c>
      <c r="BB922" s="40" t="str">
        <f>_xlfn.CONCAT(Sheet1!AE921," ",Sheet1!AF921)</f>
        <v>Rahul Jain</v>
      </c>
    </row>
    <row r="923" spans="40:54">
      <c r="AN923" s="50" t="str">
        <f>Sheet1!B922</f>
        <v>28-11-2025</v>
      </c>
      <c r="AO923" s="50">
        <f t="shared" si="93"/>
        <v>2</v>
      </c>
      <c r="AP923" s="50">
        <f t="shared" si="88"/>
        <v>11</v>
      </c>
      <c r="AQ923" s="50">
        <f t="shared" si="89"/>
        <v>2025</v>
      </c>
      <c r="AR923" s="50" t="str">
        <f t="shared" si="90"/>
        <v>Nov-2025</v>
      </c>
      <c r="AS923" s="52">
        <f t="shared" si="91"/>
        <v>45963</v>
      </c>
      <c r="AT923" s="44">
        <f t="shared" ca="1" si="92"/>
        <v>315</v>
      </c>
      <c r="AU923" s="40" t="str">
        <f>LEFT(Sheet1!AE922,3)</f>
        <v>Mee</v>
      </c>
      <c r="AV923" s="40" t="str">
        <f>RIGHT(Sheet1!AF922,2)</f>
        <v>av</v>
      </c>
      <c r="AW923" s="40" t="str">
        <f>MID(Sheet1!AE922,2,3)</f>
        <v>eer</v>
      </c>
      <c r="AX923" s="42">
        <f>LEN(Sheet1!AE922)</f>
        <v>5</v>
      </c>
      <c r="AY923" s="40" t="str">
        <f>UPPER(Sheet1!AE922)</f>
        <v>MEERA</v>
      </c>
      <c r="AZ923" s="40" t="str">
        <f>LOWER(Sheet1!AE922)</f>
        <v>meera</v>
      </c>
      <c r="BA923" s="40" t="str">
        <f>PROPER(Sheet1!AE922)</f>
        <v>Meera</v>
      </c>
      <c r="BB923" s="40" t="str">
        <f>_xlfn.CONCAT(Sheet1!AE922," ",Sheet1!AF922)</f>
        <v>Meera Yadav</v>
      </c>
    </row>
    <row r="924" spans="40:54">
      <c r="AN924" s="50" t="str">
        <f>Sheet1!B923</f>
        <v>28-11-2025</v>
      </c>
      <c r="AO924" s="50">
        <f t="shared" si="93"/>
        <v>3</v>
      </c>
      <c r="AP924" s="50">
        <f t="shared" si="88"/>
        <v>11</v>
      </c>
      <c r="AQ924" s="50">
        <f t="shared" si="89"/>
        <v>2025</v>
      </c>
      <c r="AR924" s="50" t="str">
        <f t="shared" si="90"/>
        <v>Nov-2025</v>
      </c>
      <c r="AS924" s="52">
        <f t="shared" si="91"/>
        <v>45964</v>
      </c>
      <c r="AT924" s="44">
        <f t="shared" ca="1" si="92"/>
        <v>314</v>
      </c>
      <c r="AU924" s="40" t="str">
        <f>LEFT(Sheet1!AE923,3)</f>
        <v>Viv</v>
      </c>
      <c r="AV924" s="40" t="str">
        <f>RIGHT(Sheet1!AF923,2)</f>
        <v>av</v>
      </c>
      <c r="AW924" s="40" t="str">
        <f>MID(Sheet1!AE923,2,3)</f>
        <v>iva</v>
      </c>
      <c r="AX924" s="42">
        <f>LEN(Sheet1!AE923)</f>
        <v>6</v>
      </c>
      <c r="AY924" s="40" t="str">
        <f>UPPER(Sheet1!AE923)</f>
        <v>VIVAAN</v>
      </c>
      <c r="AZ924" s="40" t="str">
        <f>LOWER(Sheet1!AE923)</f>
        <v>vivaan</v>
      </c>
      <c r="BA924" s="40" t="str">
        <f>PROPER(Sheet1!AE923)</f>
        <v>Vivaan</v>
      </c>
      <c r="BB924" s="40" t="str">
        <f>_xlfn.CONCAT(Sheet1!AE923," ",Sheet1!AF923)</f>
        <v>Vivaan Yadav</v>
      </c>
    </row>
    <row r="925" spans="40:54">
      <c r="AN925" s="50" t="str">
        <f>Sheet1!B924</f>
        <v>28-12-2024</v>
      </c>
      <c r="AO925" s="50">
        <f t="shared" si="93"/>
        <v>3</v>
      </c>
      <c r="AP925" s="50">
        <f t="shared" si="88"/>
        <v>12</v>
      </c>
      <c r="AQ925" s="50">
        <f t="shared" si="89"/>
        <v>2024</v>
      </c>
      <c r="AR925" s="50" t="str">
        <f t="shared" si="90"/>
        <v>Dec-2024</v>
      </c>
      <c r="AS925" s="52">
        <f t="shared" si="91"/>
        <v>45629</v>
      </c>
      <c r="AT925" s="44">
        <f t="shared" ca="1" si="92"/>
        <v>649</v>
      </c>
      <c r="AU925" s="40" t="str">
        <f>LEFT(Sheet1!AE924,3)</f>
        <v>Neh</v>
      </c>
      <c r="AV925" s="40" t="str">
        <f>RIGHT(Sheet1!AF924,2)</f>
        <v>ta</v>
      </c>
      <c r="AW925" s="40" t="str">
        <f>MID(Sheet1!AE924,2,3)</f>
        <v>eha</v>
      </c>
      <c r="AX925" s="42">
        <f>LEN(Sheet1!AE924)</f>
        <v>4</v>
      </c>
      <c r="AY925" s="40" t="str">
        <f>UPPER(Sheet1!AE924)</f>
        <v>NEHA</v>
      </c>
      <c r="AZ925" s="40" t="str">
        <f>LOWER(Sheet1!AE924)</f>
        <v>neha</v>
      </c>
      <c r="BA925" s="40" t="str">
        <f>PROPER(Sheet1!AE924)</f>
        <v>Neha</v>
      </c>
      <c r="BB925" s="40" t="str">
        <f>_xlfn.CONCAT(Sheet1!AE924," ",Sheet1!AF924)</f>
        <v>Neha Mehta</v>
      </c>
    </row>
    <row r="926" spans="40:54">
      <c r="AN926" s="50" t="str">
        <f>Sheet1!B925</f>
        <v>28-12-2024</v>
      </c>
      <c r="AO926" s="50">
        <f t="shared" si="93"/>
        <v>4</v>
      </c>
      <c r="AP926" s="50">
        <f t="shared" si="88"/>
        <v>12</v>
      </c>
      <c r="AQ926" s="50">
        <f t="shared" si="89"/>
        <v>2024</v>
      </c>
      <c r="AR926" s="50" t="str">
        <f t="shared" si="90"/>
        <v>Dec-2024</v>
      </c>
      <c r="AS926" s="52">
        <f t="shared" si="91"/>
        <v>45630</v>
      </c>
      <c r="AT926" s="44">
        <f t="shared" ca="1" si="92"/>
        <v>648</v>
      </c>
      <c r="AU926" s="40" t="str">
        <f>LEFT(Sheet1!AE925,3)</f>
        <v>Neh</v>
      </c>
      <c r="AV926" s="40" t="str">
        <f>RIGHT(Sheet1!AF925,2)</f>
        <v>al</v>
      </c>
      <c r="AW926" s="40" t="str">
        <f>MID(Sheet1!AE925,2,3)</f>
        <v>eha</v>
      </c>
      <c r="AX926" s="42">
        <f>LEN(Sheet1!AE925)</f>
        <v>4</v>
      </c>
      <c r="AY926" s="40" t="str">
        <f>UPPER(Sheet1!AE925)</f>
        <v>NEHA</v>
      </c>
      <c r="AZ926" s="40" t="str">
        <f>LOWER(Sheet1!AE925)</f>
        <v>neha</v>
      </c>
      <c r="BA926" s="40" t="str">
        <f>PROPER(Sheet1!AE925)</f>
        <v>Neha</v>
      </c>
      <c r="BB926" s="40" t="str">
        <f>_xlfn.CONCAT(Sheet1!AE925," ",Sheet1!AF925)</f>
        <v>Neha Agarwal</v>
      </c>
    </row>
    <row r="927" spans="40:54">
      <c r="AN927" s="50" t="str">
        <f>Sheet1!B926</f>
        <v>28-12-2024</v>
      </c>
      <c r="AO927" s="50">
        <f t="shared" si="93"/>
        <v>4</v>
      </c>
      <c r="AP927" s="50">
        <f t="shared" si="88"/>
        <v>12</v>
      </c>
      <c r="AQ927" s="50">
        <f t="shared" si="89"/>
        <v>2024</v>
      </c>
      <c r="AR927" s="50" t="str">
        <f t="shared" si="90"/>
        <v>Dec-2024</v>
      </c>
      <c r="AS927" s="52">
        <f t="shared" si="91"/>
        <v>45630</v>
      </c>
      <c r="AT927" s="44">
        <f t="shared" ca="1" si="92"/>
        <v>648</v>
      </c>
      <c r="AU927" s="40" t="str">
        <f>LEFT(Sheet1!AE926,3)</f>
        <v>Adi</v>
      </c>
      <c r="AV927" s="40" t="str">
        <f>RIGHT(Sheet1!AF926,2)</f>
        <v>ma</v>
      </c>
      <c r="AW927" s="40" t="str">
        <f>MID(Sheet1!AE926,2,3)</f>
        <v>dit</v>
      </c>
      <c r="AX927" s="42">
        <f>LEN(Sheet1!AE926)</f>
        <v>6</v>
      </c>
      <c r="AY927" s="40" t="str">
        <f>UPPER(Sheet1!AE926)</f>
        <v>ADITYA</v>
      </c>
      <c r="AZ927" s="40" t="str">
        <f>LOWER(Sheet1!AE926)</f>
        <v>aditya</v>
      </c>
      <c r="BA927" s="40" t="str">
        <f>PROPER(Sheet1!AE926)</f>
        <v>Aditya</v>
      </c>
      <c r="BB927" s="40" t="str">
        <f>_xlfn.CONCAT(Sheet1!AE926," ",Sheet1!AF926)</f>
        <v>Aditya Sharma</v>
      </c>
    </row>
    <row r="928" spans="40:54">
      <c r="AN928" s="50" t="str">
        <f>Sheet1!B927</f>
        <v>29-01-2025</v>
      </c>
      <c r="AO928" s="50">
        <f t="shared" si="93"/>
        <v>5</v>
      </c>
      <c r="AP928" s="50">
        <f t="shared" si="88"/>
        <v>1</v>
      </c>
      <c r="AQ928" s="50">
        <f t="shared" si="89"/>
        <v>2025</v>
      </c>
      <c r="AR928" s="50" t="str">
        <f t="shared" si="90"/>
        <v>Jan-2025</v>
      </c>
      <c r="AS928" s="52">
        <f t="shared" si="91"/>
        <v>45662</v>
      </c>
      <c r="AT928" s="44">
        <f t="shared" ca="1" si="92"/>
        <v>616</v>
      </c>
      <c r="AU928" s="40" t="str">
        <f>LEFT(Sheet1!AE927,3)</f>
        <v>Ana</v>
      </c>
      <c r="AV928" s="40" t="str">
        <f>RIGHT(Sheet1!AF927,2)</f>
        <v>av</v>
      </c>
      <c r="AW928" s="40" t="str">
        <f>MID(Sheet1!AE927,2,3)</f>
        <v>nan</v>
      </c>
      <c r="AX928" s="42">
        <f>LEN(Sheet1!AE927)</f>
        <v>6</v>
      </c>
      <c r="AY928" s="40" t="str">
        <f>UPPER(Sheet1!AE927)</f>
        <v>ANANYA</v>
      </c>
      <c r="AZ928" s="40" t="str">
        <f>LOWER(Sheet1!AE927)</f>
        <v>ananya</v>
      </c>
      <c r="BA928" s="40" t="str">
        <f>PROPER(Sheet1!AE927)</f>
        <v>Ananya</v>
      </c>
      <c r="BB928" s="40" t="str">
        <f>_xlfn.CONCAT(Sheet1!AE927," ",Sheet1!AF927)</f>
        <v>Ananya Yadav</v>
      </c>
    </row>
    <row r="929" spans="40:54">
      <c r="AN929" s="50" t="str">
        <f>Sheet1!B928</f>
        <v>29-01-2025</v>
      </c>
      <c r="AO929" s="50">
        <f t="shared" si="93"/>
        <v>6</v>
      </c>
      <c r="AP929" s="50">
        <f t="shared" si="88"/>
        <v>1</v>
      </c>
      <c r="AQ929" s="50">
        <f t="shared" si="89"/>
        <v>2025</v>
      </c>
      <c r="AR929" s="50" t="str">
        <f t="shared" si="90"/>
        <v>Jan-2025</v>
      </c>
      <c r="AS929" s="52">
        <f t="shared" si="91"/>
        <v>45663</v>
      </c>
      <c r="AT929" s="44">
        <f t="shared" ca="1" si="92"/>
        <v>615</v>
      </c>
      <c r="AU929" s="40" t="str">
        <f>LEFT(Sheet1!AE928,3)</f>
        <v>Neh</v>
      </c>
      <c r="AV929" s="40" t="str">
        <f>RIGHT(Sheet1!AF928,2)</f>
        <v>or</v>
      </c>
      <c r="AW929" s="40" t="str">
        <f>MID(Sheet1!AE928,2,3)</f>
        <v>eha</v>
      </c>
      <c r="AX929" s="42">
        <f>LEN(Sheet1!AE928)</f>
        <v>4</v>
      </c>
      <c r="AY929" s="40" t="str">
        <f>UPPER(Sheet1!AE928)</f>
        <v>NEHA</v>
      </c>
      <c r="AZ929" s="40" t="str">
        <f>LOWER(Sheet1!AE928)</f>
        <v>neha</v>
      </c>
      <c r="BA929" s="40" t="str">
        <f>PROPER(Sheet1!AE928)</f>
        <v>Neha</v>
      </c>
      <c r="BB929" s="40" t="str">
        <f>_xlfn.CONCAT(Sheet1!AE928," ",Sheet1!AF928)</f>
        <v>Neha Kapoor</v>
      </c>
    </row>
    <row r="930" spans="40:54">
      <c r="AN930" s="50" t="str">
        <f>Sheet1!B929</f>
        <v>29-03-2025</v>
      </c>
      <c r="AO930" s="50">
        <f t="shared" si="93"/>
        <v>6</v>
      </c>
      <c r="AP930" s="50">
        <f t="shared" si="88"/>
        <v>3</v>
      </c>
      <c r="AQ930" s="50">
        <f t="shared" si="89"/>
        <v>2025</v>
      </c>
      <c r="AR930" s="50" t="str">
        <f t="shared" si="90"/>
        <v>Mar-2025</v>
      </c>
      <c r="AS930" s="52">
        <f t="shared" si="91"/>
        <v>45722</v>
      </c>
      <c r="AT930" s="44">
        <f t="shared" ca="1" si="92"/>
        <v>556</v>
      </c>
      <c r="AU930" s="40" t="str">
        <f>LEFT(Sheet1!AE929,3)</f>
        <v>Mee</v>
      </c>
      <c r="AV930" s="40" t="str">
        <f>RIGHT(Sheet1!AF929,2)</f>
        <v>ra</v>
      </c>
      <c r="AW930" s="40" t="str">
        <f>MID(Sheet1!AE929,2,3)</f>
        <v>eer</v>
      </c>
      <c r="AX930" s="42">
        <f>LEN(Sheet1!AE929)</f>
        <v>5</v>
      </c>
      <c r="AY930" s="40" t="str">
        <f>UPPER(Sheet1!AE929)</f>
        <v>MEERA</v>
      </c>
      <c r="AZ930" s="40" t="str">
        <f>LOWER(Sheet1!AE929)</f>
        <v>meera</v>
      </c>
      <c r="BA930" s="40" t="str">
        <f>PROPER(Sheet1!AE929)</f>
        <v>Meera</v>
      </c>
      <c r="BB930" s="40" t="str">
        <f>_xlfn.CONCAT(Sheet1!AE929," ",Sheet1!AF929)</f>
        <v>Meera Mishra</v>
      </c>
    </row>
    <row r="931" spans="40:54">
      <c r="AN931" s="50" t="str">
        <f>Sheet1!B930</f>
        <v>29-03-2025</v>
      </c>
      <c r="AO931" s="50">
        <f t="shared" si="93"/>
        <v>6</v>
      </c>
      <c r="AP931" s="50">
        <f t="shared" si="88"/>
        <v>3</v>
      </c>
      <c r="AQ931" s="50">
        <f t="shared" si="89"/>
        <v>2025</v>
      </c>
      <c r="AR931" s="50" t="str">
        <f t="shared" si="90"/>
        <v>Mar-2025</v>
      </c>
      <c r="AS931" s="52">
        <f t="shared" si="91"/>
        <v>45722</v>
      </c>
      <c r="AT931" s="44">
        <f t="shared" ca="1" si="92"/>
        <v>556</v>
      </c>
      <c r="AU931" s="40" t="str">
        <f>LEFT(Sheet1!AE930,3)</f>
        <v>Ana</v>
      </c>
      <c r="AV931" s="40" t="str">
        <f>RIGHT(Sheet1!AF930,2)</f>
        <v>ma</v>
      </c>
      <c r="AW931" s="40" t="str">
        <f>MID(Sheet1!AE930,2,3)</f>
        <v>nan</v>
      </c>
      <c r="AX931" s="42">
        <f>LEN(Sheet1!AE930)</f>
        <v>6</v>
      </c>
      <c r="AY931" s="40" t="str">
        <f>UPPER(Sheet1!AE930)</f>
        <v>ANANYA</v>
      </c>
      <c r="AZ931" s="40" t="str">
        <f>LOWER(Sheet1!AE930)</f>
        <v>ananya</v>
      </c>
      <c r="BA931" s="40" t="str">
        <f>PROPER(Sheet1!AE930)</f>
        <v>Ananya</v>
      </c>
      <c r="BB931" s="40" t="str">
        <f>_xlfn.CONCAT(Sheet1!AE930," ",Sheet1!AF930)</f>
        <v>Ananya Sharma</v>
      </c>
    </row>
    <row r="932" spans="40:54">
      <c r="AN932" s="50" t="str">
        <f>Sheet1!B931</f>
        <v>29-04-2024</v>
      </c>
      <c r="AO932" s="50">
        <f t="shared" si="93"/>
        <v>7</v>
      </c>
      <c r="AP932" s="50">
        <f t="shared" si="88"/>
        <v>4</v>
      </c>
      <c r="AQ932" s="50">
        <f t="shared" si="89"/>
        <v>2024</v>
      </c>
      <c r="AR932" s="50" t="str">
        <f t="shared" si="90"/>
        <v>Apr-2024</v>
      </c>
      <c r="AS932" s="52">
        <f t="shared" si="91"/>
        <v>45389</v>
      </c>
      <c r="AT932" s="44">
        <f t="shared" ca="1" si="92"/>
        <v>889</v>
      </c>
      <c r="AU932" s="40" t="str">
        <f>LEFT(Sheet1!AE931,3)</f>
        <v>Ana</v>
      </c>
      <c r="AV932" s="40" t="str">
        <f>RIGHT(Sheet1!AF931,2)</f>
        <v>av</v>
      </c>
      <c r="AW932" s="40" t="str">
        <f>MID(Sheet1!AE931,2,3)</f>
        <v>nan</v>
      </c>
      <c r="AX932" s="42">
        <f>LEN(Sheet1!AE931)</f>
        <v>6</v>
      </c>
      <c r="AY932" s="40" t="str">
        <f>UPPER(Sheet1!AE931)</f>
        <v>ANANYA</v>
      </c>
      <c r="AZ932" s="40" t="str">
        <f>LOWER(Sheet1!AE931)</f>
        <v>ananya</v>
      </c>
      <c r="BA932" s="40" t="str">
        <f>PROPER(Sheet1!AE931)</f>
        <v>Ananya</v>
      </c>
      <c r="BB932" s="40" t="str">
        <f>_xlfn.CONCAT(Sheet1!AE931," ",Sheet1!AF931)</f>
        <v>Ananya Yadav</v>
      </c>
    </row>
    <row r="933" spans="40:54">
      <c r="AN933" s="50" t="str">
        <f>Sheet1!B932</f>
        <v>29-04-2025</v>
      </c>
      <c r="AO933" s="50">
        <f t="shared" si="93"/>
        <v>11</v>
      </c>
      <c r="AP933" s="50">
        <f t="shared" si="88"/>
        <v>4</v>
      </c>
      <c r="AQ933" s="50">
        <f t="shared" si="89"/>
        <v>2025</v>
      </c>
      <c r="AR933" s="50" t="str">
        <f t="shared" si="90"/>
        <v>Apr-2025</v>
      </c>
      <c r="AS933" s="52">
        <f t="shared" si="91"/>
        <v>45758</v>
      </c>
      <c r="AT933" s="44">
        <f t="shared" ca="1" si="92"/>
        <v>520</v>
      </c>
      <c r="AU933" s="40" t="str">
        <f>LEFT(Sheet1!AE932,3)</f>
        <v>Ana</v>
      </c>
      <c r="AV933" s="40" t="str">
        <f>RIGHT(Sheet1!AF932,2)</f>
        <v>or</v>
      </c>
      <c r="AW933" s="40" t="str">
        <f>MID(Sheet1!AE932,2,3)</f>
        <v>nan</v>
      </c>
      <c r="AX933" s="42">
        <f>LEN(Sheet1!AE932)</f>
        <v>6</v>
      </c>
      <c r="AY933" s="40" t="str">
        <f>UPPER(Sheet1!AE932)</f>
        <v>ANANYA</v>
      </c>
      <c r="AZ933" s="40" t="str">
        <f>LOWER(Sheet1!AE932)</f>
        <v>ananya</v>
      </c>
      <c r="BA933" s="40" t="str">
        <f>PROPER(Sheet1!AE932)</f>
        <v>Ananya</v>
      </c>
      <c r="BB933" s="40" t="str">
        <f>_xlfn.CONCAT(Sheet1!AE932," ",Sheet1!AF932)</f>
        <v>Ananya Kapoor</v>
      </c>
    </row>
    <row r="934" spans="40:54">
      <c r="AN934" s="50" t="str">
        <f>Sheet1!B933</f>
        <v>29-04-2025</v>
      </c>
      <c r="AO934" s="50">
        <f t="shared" si="93"/>
        <v>11</v>
      </c>
      <c r="AP934" s="50">
        <f t="shared" si="88"/>
        <v>4</v>
      </c>
      <c r="AQ934" s="50">
        <f t="shared" si="89"/>
        <v>2025</v>
      </c>
      <c r="AR934" s="50" t="str">
        <f t="shared" si="90"/>
        <v>Apr-2025</v>
      </c>
      <c r="AS934" s="52">
        <f t="shared" si="91"/>
        <v>45758</v>
      </c>
      <c r="AT934" s="44">
        <f t="shared" ca="1" si="92"/>
        <v>520</v>
      </c>
      <c r="AU934" s="40" t="str">
        <f>LEFT(Sheet1!AE933,3)</f>
        <v>Pri</v>
      </c>
      <c r="AV934" s="40" t="str">
        <f>RIGHT(Sheet1!AF933,2)</f>
        <v>gh</v>
      </c>
      <c r="AW934" s="40" t="str">
        <f>MID(Sheet1!AE933,2,3)</f>
        <v>riy</v>
      </c>
      <c r="AX934" s="42">
        <f>LEN(Sheet1!AE933)</f>
        <v>5</v>
      </c>
      <c r="AY934" s="40" t="str">
        <f>UPPER(Sheet1!AE933)</f>
        <v>PRIYA</v>
      </c>
      <c r="AZ934" s="40" t="str">
        <f>LOWER(Sheet1!AE933)</f>
        <v>priya</v>
      </c>
      <c r="BA934" s="40" t="str">
        <f>PROPER(Sheet1!AE933)</f>
        <v>Priya</v>
      </c>
      <c r="BB934" s="40" t="str">
        <f>_xlfn.CONCAT(Sheet1!AE933," ",Sheet1!AF933)</f>
        <v>Priya Singh</v>
      </c>
    </row>
    <row r="935" spans="40:54">
      <c r="AN935" s="50" t="str">
        <f>Sheet1!B934</f>
        <v>29-05-2025</v>
      </c>
      <c r="AO935" s="50">
        <f t="shared" si="93"/>
        <v>11</v>
      </c>
      <c r="AP935" s="50">
        <f t="shared" si="88"/>
        <v>5</v>
      </c>
      <c r="AQ935" s="50">
        <f t="shared" si="89"/>
        <v>2025</v>
      </c>
      <c r="AR935" s="50" t="str">
        <f t="shared" si="90"/>
        <v>May-2025</v>
      </c>
      <c r="AS935" s="52">
        <f t="shared" si="91"/>
        <v>45788</v>
      </c>
      <c r="AT935" s="44">
        <f t="shared" ca="1" si="92"/>
        <v>490</v>
      </c>
      <c r="AU935" s="40" t="str">
        <f>LEFT(Sheet1!AE934,3)</f>
        <v>Kar</v>
      </c>
      <c r="AV935" s="40" t="str">
        <f>RIGHT(Sheet1!AF934,2)</f>
        <v>al</v>
      </c>
      <c r="AW935" s="40" t="str">
        <f>MID(Sheet1!AE934,2,3)</f>
        <v>ara</v>
      </c>
      <c r="AX935" s="42">
        <f>LEN(Sheet1!AE934)</f>
        <v>5</v>
      </c>
      <c r="AY935" s="40" t="str">
        <f>UPPER(Sheet1!AE934)</f>
        <v>KARAN</v>
      </c>
      <c r="AZ935" s="40" t="str">
        <f>LOWER(Sheet1!AE934)</f>
        <v>karan</v>
      </c>
      <c r="BA935" s="40" t="str">
        <f>PROPER(Sheet1!AE934)</f>
        <v>Karan</v>
      </c>
      <c r="BB935" s="40" t="str">
        <f>_xlfn.CONCAT(Sheet1!AE934," ",Sheet1!AF934)</f>
        <v>Karan Agarwal</v>
      </c>
    </row>
    <row r="936" spans="40:54">
      <c r="AN936" s="50" t="str">
        <f>Sheet1!B935</f>
        <v>29-05-2025</v>
      </c>
      <c r="AO936" s="50">
        <f t="shared" si="93"/>
        <v>12</v>
      </c>
      <c r="AP936" s="50">
        <f t="shared" si="88"/>
        <v>5</v>
      </c>
      <c r="AQ936" s="50">
        <f t="shared" si="89"/>
        <v>2025</v>
      </c>
      <c r="AR936" s="50" t="str">
        <f t="shared" si="90"/>
        <v>May-2025</v>
      </c>
      <c r="AS936" s="52">
        <f t="shared" si="91"/>
        <v>45789</v>
      </c>
      <c r="AT936" s="44">
        <f t="shared" ca="1" si="92"/>
        <v>489</v>
      </c>
      <c r="AU936" s="40" t="str">
        <f>LEFT(Sheet1!AE935,3)</f>
        <v>Ish</v>
      </c>
      <c r="AV936" s="40" t="str">
        <f>RIGHT(Sheet1!AF935,2)</f>
        <v>ta</v>
      </c>
      <c r="AW936" s="40" t="str">
        <f>MID(Sheet1!AE935,2,3)</f>
        <v>shi</v>
      </c>
      <c r="AX936" s="42">
        <f>LEN(Sheet1!AE935)</f>
        <v>6</v>
      </c>
      <c r="AY936" s="40" t="str">
        <f>UPPER(Sheet1!AE935)</f>
        <v>ISHITA</v>
      </c>
      <c r="AZ936" s="40" t="str">
        <f>LOWER(Sheet1!AE935)</f>
        <v>ishita</v>
      </c>
      <c r="BA936" s="40" t="str">
        <f>PROPER(Sheet1!AE935)</f>
        <v>Ishita</v>
      </c>
      <c r="BB936" s="40" t="str">
        <f>_xlfn.CONCAT(Sheet1!AE935," ",Sheet1!AF935)</f>
        <v>Ishita Mehta</v>
      </c>
    </row>
    <row r="937" spans="40:54">
      <c r="AN937" s="50" t="str">
        <f>Sheet1!B936</f>
        <v>29-05-2025</v>
      </c>
      <c r="AO937" s="50">
        <f t="shared" si="93"/>
        <v>12</v>
      </c>
      <c r="AP937" s="50">
        <f t="shared" si="88"/>
        <v>5</v>
      </c>
      <c r="AQ937" s="50">
        <f t="shared" si="89"/>
        <v>2025</v>
      </c>
      <c r="AR937" s="50" t="str">
        <f t="shared" si="90"/>
        <v>May-2025</v>
      </c>
      <c r="AS937" s="52">
        <f t="shared" si="91"/>
        <v>45789</v>
      </c>
      <c r="AT937" s="44">
        <f t="shared" ca="1" si="92"/>
        <v>489</v>
      </c>
      <c r="AU937" s="40" t="str">
        <f>LEFT(Sheet1!AE936,3)</f>
        <v>Adi</v>
      </c>
      <c r="AV937" s="40" t="str">
        <f>RIGHT(Sheet1!AF936,2)</f>
        <v>al</v>
      </c>
      <c r="AW937" s="40" t="str">
        <f>MID(Sheet1!AE936,2,3)</f>
        <v>dit</v>
      </c>
      <c r="AX937" s="42">
        <f>LEN(Sheet1!AE936)</f>
        <v>6</v>
      </c>
      <c r="AY937" s="40" t="str">
        <f>UPPER(Sheet1!AE936)</f>
        <v>ADITYA</v>
      </c>
      <c r="AZ937" s="40" t="str">
        <f>LOWER(Sheet1!AE936)</f>
        <v>aditya</v>
      </c>
      <c r="BA937" s="40" t="str">
        <f>PROPER(Sheet1!AE936)</f>
        <v>Aditya</v>
      </c>
      <c r="BB937" s="40" t="str">
        <f>_xlfn.CONCAT(Sheet1!AE936," ",Sheet1!AF936)</f>
        <v>Aditya Agarwal</v>
      </c>
    </row>
    <row r="938" spans="40:54">
      <c r="AN938" s="50" t="str">
        <f>Sheet1!B937</f>
        <v>29-06-2024</v>
      </c>
      <c r="AO938" s="50">
        <f t="shared" si="93"/>
        <v>1</v>
      </c>
      <c r="AP938" s="50">
        <f t="shared" si="88"/>
        <v>6</v>
      </c>
      <c r="AQ938" s="50">
        <f t="shared" si="89"/>
        <v>2024</v>
      </c>
      <c r="AR938" s="50" t="str">
        <f t="shared" si="90"/>
        <v>Jun-2024</v>
      </c>
      <c r="AS938" s="52">
        <f t="shared" si="91"/>
        <v>45444</v>
      </c>
      <c r="AT938" s="44">
        <f t="shared" ca="1" si="92"/>
        <v>834</v>
      </c>
      <c r="AU938" s="40" t="str">
        <f>LEFT(Sheet1!AE937,3)</f>
        <v>Rah</v>
      </c>
      <c r="AV938" s="40" t="str">
        <f>RIGHT(Sheet1!AF937,2)</f>
        <v>ar</v>
      </c>
      <c r="AW938" s="40" t="str">
        <f>MID(Sheet1!AE937,2,3)</f>
        <v>ahu</v>
      </c>
      <c r="AX938" s="42">
        <f>LEN(Sheet1!AE937)</f>
        <v>5</v>
      </c>
      <c r="AY938" s="40" t="str">
        <f>UPPER(Sheet1!AE937)</f>
        <v>RAHUL</v>
      </c>
      <c r="AZ938" s="40" t="str">
        <f>LOWER(Sheet1!AE937)</f>
        <v>rahul</v>
      </c>
      <c r="BA938" s="40" t="str">
        <f>PROPER(Sheet1!AE937)</f>
        <v>Rahul</v>
      </c>
      <c r="BB938" s="40" t="str">
        <f>_xlfn.CONCAT(Sheet1!AE937," ",Sheet1!AF937)</f>
        <v>Rahul Kumar</v>
      </c>
    </row>
    <row r="939" spans="40:54">
      <c r="AN939" s="50" t="str">
        <f>Sheet1!B938</f>
        <v>29-06-2025</v>
      </c>
      <c r="AO939" s="50">
        <f t="shared" si="93"/>
        <v>1</v>
      </c>
      <c r="AP939" s="50">
        <f t="shared" si="88"/>
        <v>6</v>
      </c>
      <c r="AQ939" s="50">
        <f t="shared" si="89"/>
        <v>2025</v>
      </c>
      <c r="AR939" s="50" t="str">
        <f t="shared" si="90"/>
        <v>Jun-2025</v>
      </c>
      <c r="AS939" s="52">
        <f t="shared" si="91"/>
        <v>45809</v>
      </c>
      <c r="AT939" s="44">
        <f t="shared" ca="1" si="92"/>
        <v>469</v>
      </c>
      <c r="AU939" s="40" t="str">
        <f>LEFT(Sheet1!AE938,3)</f>
        <v>Poo</v>
      </c>
      <c r="AV939" s="40" t="str">
        <f>RIGHT(Sheet1!AF938,2)</f>
        <v>ta</v>
      </c>
      <c r="AW939" s="40" t="str">
        <f>MID(Sheet1!AE938,2,3)</f>
        <v>ooj</v>
      </c>
      <c r="AX939" s="42">
        <f>LEN(Sheet1!AE938)</f>
        <v>5</v>
      </c>
      <c r="AY939" s="40" t="str">
        <f>UPPER(Sheet1!AE938)</f>
        <v>POOJA</v>
      </c>
      <c r="AZ939" s="40" t="str">
        <f>LOWER(Sheet1!AE938)</f>
        <v>pooja</v>
      </c>
      <c r="BA939" s="40" t="str">
        <f>PROPER(Sheet1!AE938)</f>
        <v>Pooja</v>
      </c>
      <c r="BB939" s="40" t="str">
        <f>_xlfn.CONCAT(Sheet1!AE938," ",Sheet1!AF938)</f>
        <v>Pooja Gupta</v>
      </c>
    </row>
    <row r="940" spans="40:54">
      <c r="AN940" s="50" t="str">
        <f>Sheet1!B939</f>
        <v>29-06-2025</v>
      </c>
      <c r="AO940" s="50">
        <f t="shared" si="93"/>
        <v>5</v>
      </c>
      <c r="AP940" s="50">
        <f t="shared" si="88"/>
        <v>6</v>
      </c>
      <c r="AQ940" s="50">
        <f t="shared" si="89"/>
        <v>2025</v>
      </c>
      <c r="AR940" s="50" t="str">
        <f t="shared" si="90"/>
        <v>Jun-2025</v>
      </c>
      <c r="AS940" s="52">
        <f t="shared" si="91"/>
        <v>45813</v>
      </c>
      <c r="AT940" s="44">
        <f t="shared" ca="1" si="92"/>
        <v>465</v>
      </c>
      <c r="AU940" s="40" t="str">
        <f>LEFT(Sheet1!AE939,3)</f>
        <v>Roh</v>
      </c>
      <c r="AV940" s="40" t="str">
        <f>RIGHT(Sheet1!AF939,2)</f>
        <v>ar</v>
      </c>
      <c r="AW940" s="40" t="str">
        <f>MID(Sheet1!AE939,2,3)</f>
        <v>oha</v>
      </c>
      <c r="AX940" s="42">
        <f>LEN(Sheet1!AE939)</f>
        <v>5</v>
      </c>
      <c r="AY940" s="40" t="str">
        <f>UPPER(Sheet1!AE939)</f>
        <v>ROHAN</v>
      </c>
      <c r="AZ940" s="40" t="str">
        <f>LOWER(Sheet1!AE939)</f>
        <v>rohan</v>
      </c>
      <c r="BA940" s="40" t="str">
        <f>PROPER(Sheet1!AE939)</f>
        <v>Rohan</v>
      </c>
      <c r="BB940" s="40" t="str">
        <f>_xlfn.CONCAT(Sheet1!AE939," ",Sheet1!AF939)</f>
        <v>Rohan Kumar</v>
      </c>
    </row>
    <row r="941" spans="40:54">
      <c r="AN941" s="50" t="str">
        <f>Sheet1!B940</f>
        <v>29-07-2024</v>
      </c>
      <c r="AO941" s="50">
        <f t="shared" si="93"/>
        <v>5</v>
      </c>
      <c r="AP941" s="50">
        <f t="shared" si="88"/>
        <v>7</v>
      </c>
      <c r="AQ941" s="50">
        <f t="shared" si="89"/>
        <v>2024</v>
      </c>
      <c r="AR941" s="50" t="str">
        <f t="shared" si="90"/>
        <v>Jul-2024</v>
      </c>
      <c r="AS941" s="52">
        <f t="shared" si="91"/>
        <v>45478</v>
      </c>
      <c r="AT941" s="44">
        <f t="shared" ca="1" si="92"/>
        <v>800</v>
      </c>
      <c r="AU941" s="40" t="str">
        <f>LEFT(Sheet1!AE940,3)</f>
        <v>Kav</v>
      </c>
      <c r="AV941" s="40" t="str">
        <f>RIGHT(Sheet1!AF940,2)</f>
        <v>ta</v>
      </c>
      <c r="AW941" s="40" t="str">
        <f>MID(Sheet1!AE940,2,3)</f>
        <v>avy</v>
      </c>
      <c r="AX941" s="42">
        <f>LEN(Sheet1!AE940)</f>
        <v>5</v>
      </c>
      <c r="AY941" s="40" t="str">
        <f>UPPER(Sheet1!AE940)</f>
        <v>KAVYA</v>
      </c>
      <c r="AZ941" s="40" t="str">
        <f>LOWER(Sheet1!AE940)</f>
        <v>kavya</v>
      </c>
      <c r="BA941" s="40" t="str">
        <f>PROPER(Sheet1!AE940)</f>
        <v>Kavya</v>
      </c>
      <c r="BB941" s="40" t="str">
        <f>_xlfn.CONCAT(Sheet1!AE940," ",Sheet1!AF940)</f>
        <v>Kavya Gupta</v>
      </c>
    </row>
    <row r="942" spans="40:54">
      <c r="AN942" s="50" t="str">
        <f>Sheet1!B941</f>
        <v>29-07-2024</v>
      </c>
      <c r="AO942" s="50">
        <f t="shared" si="93"/>
        <v>6</v>
      </c>
      <c r="AP942" s="50">
        <f t="shared" si="88"/>
        <v>7</v>
      </c>
      <c r="AQ942" s="50">
        <f t="shared" si="89"/>
        <v>2024</v>
      </c>
      <c r="AR942" s="50" t="str">
        <f t="shared" si="90"/>
        <v>Jul-2024</v>
      </c>
      <c r="AS942" s="52">
        <f t="shared" si="91"/>
        <v>45479</v>
      </c>
      <c r="AT942" s="44">
        <f t="shared" ca="1" si="92"/>
        <v>799</v>
      </c>
      <c r="AU942" s="40" t="str">
        <f>LEFT(Sheet1!AE941,3)</f>
        <v>Aar</v>
      </c>
      <c r="AV942" s="40" t="str">
        <f>RIGHT(Sheet1!AF941,2)</f>
        <v>ra</v>
      </c>
      <c r="AW942" s="40" t="str">
        <f>MID(Sheet1!AE941,2,3)</f>
        <v>ara</v>
      </c>
      <c r="AX942" s="42">
        <f>LEN(Sheet1!AE941)</f>
        <v>5</v>
      </c>
      <c r="AY942" s="40" t="str">
        <f>UPPER(Sheet1!AE941)</f>
        <v>AARAV</v>
      </c>
      <c r="AZ942" s="40" t="str">
        <f>LOWER(Sheet1!AE941)</f>
        <v>aarav</v>
      </c>
      <c r="BA942" s="40" t="str">
        <f>PROPER(Sheet1!AE941)</f>
        <v>Aarav</v>
      </c>
      <c r="BB942" s="40" t="str">
        <f>_xlfn.CONCAT(Sheet1!AE941," ",Sheet1!AF941)</f>
        <v>Aarav Mishra</v>
      </c>
    </row>
    <row r="943" spans="40:54">
      <c r="AN943" s="50" t="str">
        <f>Sheet1!B942</f>
        <v>29-07-2025</v>
      </c>
      <c r="AO943" s="50">
        <f t="shared" si="93"/>
        <v>7</v>
      </c>
      <c r="AP943" s="50">
        <f t="shared" si="88"/>
        <v>7</v>
      </c>
      <c r="AQ943" s="50">
        <f t="shared" si="89"/>
        <v>2025</v>
      </c>
      <c r="AR943" s="50" t="str">
        <f t="shared" si="90"/>
        <v>Jul-2025</v>
      </c>
      <c r="AS943" s="52">
        <f t="shared" si="91"/>
        <v>45845</v>
      </c>
      <c r="AT943" s="44">
        <f t="shared" ca="1" si="92"/>
        <v>433</v>
      </c>
      <c r="AU943" s="40" t="str">
        <f>LEFT(Sheet1!AE942,3)</f>
        <v>Neh</v>
      </c>
      <c r="AV943" s="40" t="str">
        <f>RIGHT(Sheet1!AF942,2)</f>
        <v>al</v>
      </c>
      <c r="AW943" s="40" t="str">
        <f>MID(Sheet1!AE942,2,3)</f>
        <v>eha</v>
      </c>
      <c r="AX943" s="42">
        <f>LEN(Sheet1!AE942)</f>
        <v>4</v>
      </c>
      <c r="AY943" s="40" t="str">
        <f>UPPER(Sheet1!AE942)</f>
        <v>NEHA</v>
      </c>
      <c r="AZ943" s="40" t="str">
        <f>LOWER(Sheet1!AE942)</f>
        <v>neha</v>
      </c>
      <c r="BA943" s="40" t="str">
        <f>PROPER(Sheet1!AE942)</f>
        <v>Neha</v>
      </c>
      <c r="BB943" s="40" t="str">
        <f>_xlfn.CONCAT(Sheet1!AE942," ",Sheet1!AF942)</f>
        <v>Neha Bansal</v>
      </c>
    </row>
    <row r="944" spans="40:54">
      <c r="AN944" s="50" t="str">
        <f>Sheet1!B943</f>
        <v>29-08-2025</v>
      </c>
      <c r="AO944" s="50">
        <f t="shared" si="93"/>
        <v>7</v>
      </c>
      <c r="AP944" s="50">
        <f t="shared" si="88"/>
        <v>8</v>
      </c>
      <c r="AQ944" s="50">
        <f t="shared" si="89"/>
        <v>2025</v>
      </c>
      <c r="AR944" s="50" t="str">
        <f t="shared" si="90"/>
        <v>Aug-2025</v>
      </c>
      <c r="AS944" s="52">
        <f t="shared" si="91"/>
        <v>45876</v>
      </c>
      <c r="AT944" s="44">
        <f t="shared" ca="1" si="92"/>
        <v>402</v>
      </c>
      <c r="AU944" s="40" t="str">
        <f>LEFT(Sheet1!AE943,3)</f>
        <v>Neh</v>
      </c>
      <c r="AV944" s="40" t="str">
        <f>RIGHT(Sheet1!AF943,2)</f>
        <v>ta</v>
      </c>
      <c r="AW944" s="40" t="str">
        <f>MID(Sheet1!AE943,2,3)</f>
        <v>eha</v>
      </c>
      <c r="AX944" s="42">
        <f>LEN(Sheet1!AE943)</f>
        <v>4</v>
      </c>
      <c r="AY944" s="40" t="str">
        <f>UPPER(Sheet1!AE943)</f>
        <v>NEHA</v>
      </c>
      <c r="AZ944" s="40" t="str">
        <f>LOWER(Sheet1!AE943)</f>
        <v>neha</v>
      </c>
      <c r="BA944" s="40" t="str">
        <f>PROPER(Sheet1!AE943)</f>
        <v>Neha</v>
      </c>
      <c r="BB944" s="40" t="str">
        <f>_xlfn.CONCAT(Sheet1!AE943," ",Sheet1!AF943)</f>
        <v>Neha Gupta</v>
      </c>
    </row>
    <row r="945" spans="40:54">
      <c r="AN945" s="50" t="str">
        <f>Sheet1!B944</f>
        <v>29-09-2024</v>
      </c>
      <c r="AO945" s="50">
        <f t="shared" si="93"/>
        <v>8</v>
      </c>
      <c r="AP945" s="50">
        <f t="shared" si="88"/>
        <v>9</v>
      </c>
      <c r="AQ945" s="50">
        <f t="shared" si="89"/>
        <v>2024</v>
      </c>
      <c r="AR945" s="50" t="str">
        <f t="shared" si="90"/>
        <v>Sep-2024</v>
      </c>
      <c r="AS945" s="52">
        <f t="shared" si="91"/>
        <v>45543</v>
      </c>
      <c r="AT945" s="44">
        <f t="shared" ca="1" si="92"/>
        <v>735</v>
      </c>
      <c r="AU945" s="40" t="str">
        <f>LEFT(Sheet1!AE944,3)</f>
        <v>Vik</v>
      </c>
      <c r="AV945" s="40" t="str">
        <f>RIGHT(Sheet1!AF944,2)</f>
        <v>ta</v>
      </c>
      <c r="AW945" s="40" t="str">
        <f>MID(Sheet1!AE944,2,3)</f>
        <v>ikr</v>
      </c>
      <c r="AX945" s="42">
        <f>LEN(Sheet1!AE944)</f>
        <v>6</v>
      </c>
      <c r="AY945" s="40" t="str">
        <f>UPPER(Sheet1!AE944)</f>
        <v>VIKRAM</v>
      </c>
      <c r="AZ945" s="40" t="str">
        <f>LOWER(Sheet1!AE944)</f>
        <v>vikram</v>
      </c>
      <c r="BA945" s="40" t="str">
        <f>PROPER(Sheet1!AE944)</f>
        <v>Vikram</v>
      </c>
      <c r="BB945" s="40" t="str">
        <f>_xlfn.CONCAT(Sheet1!AE944," ",Sheet1!AF944)</f>
        <v>Vikram Gupta</v>
      </c>
    </row>
    <row r="946" spans="40:54">
      <c r="AN946" s="50" t="str">
        <f>Sheet1!B945</f>
        <v>29-09-2024</v>
      </c>
      <c r="AO946" s="50">
        <f t="shared" si="93"/>
        <v>8</v>
      </c>
      <c r="AP946" s="50">
        <f t="shared" si="88"/>
        <v>9</v>
      </c>
      <c r="AQ946" s="50">
        <f t="shared" si="89"/>
        <v>2024</v>
      </c>
      <c r="AR946" s="50" t="str">
        <f t="shared" si="90"/>
        <v>Sep-2024</v>
      </c>
      <c r="AS946" s="52">
        <f t="shared" si="91"/>
        <v>45543</v>
      </c>
      <c r="AT946" s="44">
        <f t="shared" ca="1" si="92"/>
        <v>735</v>
      </c>
      <c r="AU946" s="40" t="str">
        <f>LEFT(Sheet1!AE945,3)</f>
        <v>Ish</v>
      </c>
      <c r="AV946" s="40" t="str">
        <f>RIGHT(Sheet1!AF945,2)</f>
        <v>in</v>
      </c>
      <c r="AW946" s="40" t="str">
        <f>MID(Sheet1!AE945,2,3)</f>
        <v>shi</v>
      </c>
      <c r="AX946" s="42">
        <f>LEN(Sheet1!AE945)</f>
        <v>6</v>
      </c>
      <c r="AY946" s="40" t="str">
        <f>UPPER(Sheet1!AE945)</f>
        <v>ISHITA</v>
      </c>
      <c r="AZ946" s="40" t="str">
        <f>LOWER(Sheet1!AE945)</f>
        <v>ishita</v>
      </c>
      <c r="BA946" s="40" t="str">
        <f>PROPER(Sheet1!AE945)</f>
        <v>Ishita</v>
      </c>
      <c r="BB946" s="40" t="str">
        <f>_xlfn.CONCAT(Sheet1!AE945," ",Sheet1!AF945)</f>
        <v>Ishita Jain</v>
      </c>
    </row>
    <row r="947" spans="40:54">
      <c r="AN947" s="50" t="str">
        <f>Sheet1!B946</f>
        <v>29-09-2024</v>
      </c>
      <c r="AO947" s="50">
        <f t="shared" si="93"/>
        <v>8</v>
      </c>
      <c r="AP947" s="50">
        <f t="shared" si="88"/>
        <v>9</v>
      </c>
      <c r="AQ947" s="50">
        <f t="shared" si="89"/>
        <v>2024</v>
      </c>
      <c r="AR947" s="50" t="str">
        <f t="shared" si="90"/>
        <v>Sep-2024</v>
      </c>
      <c r="AS947" s="52">
        <f t="shared" si="91"/>
        <v>45543</v>
      </c>
      <c r="AT947" s="44">
        <f t="shared" ca="1" si="92"/>
        <v>735</v>
      </c>
      <c r="AU947" s="40" t="str">
        <f>LEFT(Sheet1!AE946,3)</f>
        <v>Nis</v>
      </c>
      <c r="AV947" s="40" t="str">
        <f>RIGHT(Sheet1!AF946,2)</f>
        <v>na</v>
      </c>
      <c r="AW947" s="40" t="str">
        <f>MID(Sheet1!AE946,2,3)</f>
        <v>ish</v>
      </c>
      <c r="AX947" s="42">
        <f>LEN(Sheet1!AE946)</f>
        <v>5</v>
      </c>
      <c r="AY947" s="40" t="str">
        <f>UPPER(Sheet1!AE946)</f>
        <v>NISHA</v>
      </c>
      <c r="AZ947" s="40" t="str">
        <f>LOWER(Sheet1!AE946)</f>
        <v>nisha</v>
      </c>
      <c r="BA947" s="40" t="str">
        <f>PROPER(Sheet1!AE946)</f>
        <v>Nisha</v>
      </c>
      <c r="BB947" s="40" t="str">
        <f>_xlfn.CONCAT(Sheet1!AE946," ",Sheet1!AF946)</f>
        <v>Nisha Saxena</v>
      </c>
    </row>
    <row r="948" spans="40:54">
      <c r="AN948" s="50" t="str">
        <f>Sheet1!B947</f>
        <v>29-09-2025</v>
      </c>
      <c r="AO948" s="50">
        <f t="shared" si="93"/>
        <v>9</v>
      </c>
      <c r="AP948" s="50">
        <f t="shared" si="88"/>
        <v>9</v>
      </c>
      <c r="AQ948" s="50">
        <f t="shared" si="89"/>
        <v>2025</v>
      </c>
      <c r="AR948" s="50" t="str">
        <f t="shared" si="90"/>
        <v>Sep-2025</v>
      </c>
      <c r="AS948" s="52">
        <f t="shared" si="91"/>
        <v>45909</v>
      </c>
      <c r="AT948" s="44">
        <f t="shared" ca="1" si="92"/>
        <v>369</v>
      </c>
      <c r="AU948" s="40" t="str">
        <f>LEFT(Sheet1!AE947,3)</f>
        <v>Sne</v>
      </c>
      <c r="AV948" s="40" t="str">
        <f>RIGHT(Sheet1!AF947,2)</f>
        <v>in</v>
      </c>
      <c r="AW948" s="40" t="str">
        <f>MID(Sheet1!AE947,2,3)</f>
        <v>neh</v>
      </c>
      <c r="AX948" s="42">
        <f>LEN(Sheet1!AE947)</f>
        <v>5</v>
      </c>
      <c r="AY948" s="40" t="str">
        <f>UPPER(Sheet1!AE947)</f>
        <v>SNEHA</v>
      </c>
      <c r="AZ948" s="40" t="str">
        <f>LOWER(Sheet1!AE947)</f>
        <v>sneha</v>
      </c>
      <c r="BA948" s="40" t="str">
        <f>PROPER(Sheet1!AE947)</f>
        <v>Sneha</v>
      </c>
      <c r="BB948" s="40" t="str">
        <f>_xlfn.CONCAT(Sheet1!AE947," ",Sheet1!AF947)</f>
        <v>Sneha Jain</v>
      </c>
    </row>
    <row r="949" spans="40:54">
      <c r="AN949" s="50" t="str">
        <f>Sheet1!B948</f>
        <v>29-10-2024</v>
      </c>
      <c r="AO949" s="50">
        <f t="shared" si="93"/>
        <v>10</v>
      </c>
      <c r="AP949" s="50">
        <f t="shared" si="88"/>
        <v>10</v>
      </c>
      <c r="AQ949" s="50">
        <f t="shared" si="89"/>
        <v>2024</v>
      </c>
      <c r="AR949" s="50" t="str">
        <f t="shared" si="90"/>
        <v>Oct-2024</v>
      </c>
      <c r="AS949" s="52">
        <f t="shared" si="91"/>
        <v>45575</v>
      </c>
      <c r="AT949" s="44">
        <f t="shared" ca="1" si="92"/>
        <v>703</v>
      </c>
      <c r="AU949" s="40" t="str">
        <f>LEFT(Sheet1!AE948,3)</f>
        <v>Nis</v>
      </c>
      <c r="AV949" s="40" t="str">
        <f>RIGHT(Sheet1!AF948,2)</f>
        <v>av</v>
      </c>
      <c r="AW949" s="40" t="str">
        <f>MID(Sheet1!AE948,2,3)</f>
        <v>ish</v>
      </c>
      <c r="AX949" s="42">
        <f>LEN(Sheet1!AE948)</f>
        <v>5</v>
      </c>
      <c r="AY949" s="40" t="str">
        <f>UPPER(Sheet1!AE948)</f>
        <v>NISHA</v>
      </c>
      <c r="AZ949" s="40" t="str">
        <f>LOWER(Sheet1!AE948)</f>
        <v>nisha</v>
      </c>
      <c r="BA949" s="40" t="str">
        <f>PROPER(Sheet1!AE948)</f>
        <v>Nisha</v>
      </c>
      <c r="BB949" s="40" t="str">
        <f>_xlfn.CONCAT(Sheet1!AE948," ",Sheet1!AF948)</f>
        <v>Nisha Yadav</v>
      </c>
    </row>
    <row r="950" spans="40:54">
      <c r="AN950" s="50" t="str">
        <f>Sheet1!B949</f>
        <v>29-10-2024</v>
      </c>
      <c r="AO950" s="50">
        <f t="shared" si="93"/>
        <v>2</v>
      </c>
      <c r="AP950" s="50">
        <f t="shared" si="88"/>
        <v>10</v>
      </c>
      <c r="AQ950" s="50">
        <f t="shared" si="89"/>
        <v>2024</v>
      </c>
      <c r="AR950" s="50" t="str">
        <f t="shared" si="90"/>
        <v>Oct-2024</v>
      </c>
      <c r="AS950" s="52">
        <f t="shared" si="91"/>
        <v>45567</v>
      </c>
      <c r="AT950" s="44">
        <f t="shared" ca="1" si="92"/>
        <v>711</v>
      </c>
      <c r="AU950" s="40" t="str">
        <f>LEFT(Sheet1!AE949,3)</f>
        <v>Pri</v>
      </c>
      <c r="AV950" s="40" t="str">
        <f>RIGHT(Sheet1!AF949,2)</f>
        <v>ta</v>
      </c>
      <c r="AW950" s="40" t="str">
        <f>MID(Sheet1!AE949,2,3)</f>
        <v>riy</v>
      </c>
      <c r="AX950" s="42">
        <f>LEN(Sheet1!AE949)</f>
        <v>5</v>
      </c>
      <c r="AY950" s="40" t="str">
        <f>UPPER(Sheet1!AE949)</f>
        <v>PRIYA</v>
      </c>
      <c r="AZ950" s="40" t="str">
        <f>LOWER(Sheet1!AE949)</f>
        <v>priya</v>
      </c>
      <c r="BA950" s="40" t="str">
        <f>PROPER(Sheet1!AE949)</f>
        <v>Priya</v>
      </c>
      <c r="BB950" s="40" t="str">
        <f>_xlfn.CONCAT(Sheet1!AE949," ",Sheet1!AF949)</f>
        <v>Priya Gupta</v>
      </c>
    </row>
    <row r="951" spans="40:54">
      <c r="AN951" s="50" t="str">
        <f>Sheet1!B950</f>
        <v>29-10-2025</v>
      </c>
      <c r="AO951" s="50">
        <f t="shared" si="93"/>
        <v>3</v>
      </c>
      <c r="AP951" s="50">
        <f t="shared" si="88"/>
        <v>10</v>
      </c>
      <c r="AQ951" s="50">
        <f t="shared" si="89"/>
        <v>2025</v>
      </c>
      <c r="AR951" s="50" t="str">
        <f t="shared" si="90"/>
        <v>Oct-2025</v>
      </c>
      <c r="AS951" s="52">
        <f t="shared" si="91"/>
        <v>45933</v>
      </c>
      <c r="AT951" s="44">
        <f t="shared" ca="1" si="92"/>
        <v>345</v>
      </c>
      <c r="AU951" s="40" t="str">
        <f>LEFT(Sheet1!AE950,3)</f>
        <v>Adi</v>
      </c>
      <c r="AV951" s="40" t="str">
        <f>RIGHT(Sheet1!AF950,2)</f>
        <v>in</v>
      </c>
      <c r="AW951" s="40" t="str">
        <f>MID(Sheet1!AE950,2,3)</f>
        <v>dit</v>
      </c>
      <c r="AX951" s="42">
        <f>LEN(Sheet1!AE950)</f>
        <v>5</v>
      </c>
      <c r="AY951" s="40" t="str">
        <f>UPPER(Sheet1!AE950)</f>
        <v>ADITI</v>
      </c>
      <c r="AZ951" s="40" t="str">
        <f>LOWER(Sheet1!AE950)</f>
        <v>aditi</v>
      </c>
      <c r="BA951" s="40" t="str">
        <f>PROPER(Sheet1!AE950)</f>
        <v>Aditi</v>
      </c>
      <c r="BB951" s="40" t="str">
        <f>_xlfn.CONCAT(Sheet1!AE950," ",Sheet1!AF950)</f>
        <v>Aditi Jain</v>
      </c>
    </row>
    <row r="952" spans="40:54">
      <c r="AN952" s="50" t="str">
        <f>Sheet1!B951</f>
        <v>29-10-2025</v>
      </c>
      <c r="AO952" s="50">
        <f t="shared" si="93"/>
        <v>3</v>
      </c>
      <c r="AP952" s="50">
        <f t="shared" si="88"/>
        <v>10</v>
      </c>
      <c r="AQ952" s="50">
        <f t="shared" si="89"/>
        <v>2025</v>
      </c>
      <c r="AR952" s="50" t="str">
        <f t="shared" si="90"/>
        <v>Oct-2025</v>
      </c>
      <c r="AS952" s="52">
        <f t="shared" si="91"/>
        <v>45933</v>
      </c>
      <c r="AT952" s="44">
        <f t="shared" ca="1" si="92"/>
        <v>345</v>
      </c>
      <c r="AU952" s="40" t="str">
        <f>LEFT(Sheet1!AE951,3)</f>
        <v>Mee</v>
      </c>
      <c r="AV952" s="40" t="str">
        <f>RIGHT(Sheet1!AF951,2)</f>
        <v>or</v>
      </c>
      <c r="AW952" s="40" t="str">
        <f>MID(Sheet1!AE951,2,3)</f>
        <v>eer</v>
      </c>
      <c r="AX952" s="42">
        <f>LEN(Sheet1!AE951)</f>
        <v>5</v>
      </c>
      <c r="AY952" s="40" t="str">
        <f>UPPER(Sheet1!AE951)</f>
        <v>MEERA</v>
      </c>
      <c r="AZ952" s="40" t="str">
        <f>LOWER(Sheet1!AE951)</f>
        <v>meera</v>
      </c>
      <c r="BA952" s="40" t="str">
        <f>PROPER(Sheet1!AE951)</f>
        <v>Meera</v>
      </c>
      <c r="BB952" s="40" t="str">
        <f>_xlfn.CONCAT(Sheet1!AE951," ",Sheet1!AF951)</f>
        <v>Meera Kapoor</v>
      </c>
    </row>
    <row r="953" spans="40:54">
      <c r="AN953" s="50" t="str">
        <f>Sheet1!B952</f>
        <v>29-10-2025</v>
      </c>
      <c r="AO953" s="50">
        <f t="shared" si="93"/>
        <v>3</v>
      </c>
      <c r="AP953" s="50">
        <f t="shared" si="88"/>
        <v>10</v>
      </c>
      <c r="AQ953" s="50">
        <f t="shared" si="89"/>
        <v>2025</v>
      </c>
      <c r="AR953" s="50" t="str">
        <f t="shared" si="90"/>
        <v>Oct-2025</v>
      </c>
      <c r="AS953" s="52">
        <f t="shared" si="91"/>
        <v>45933</v>
      </c>
      <c r="AT953" s="44">
        <f t="shared" ca="1" si="92"/>
        <v>345</v>
      </c>
      <c r="AU953" s="40" t="str">
        <f>LEFT(Sheet1!AE952,3)</f>
        <v>Riy</v>
      </c>
      <c r="AV953" s="40" t="str">
        <f>RIGHT(Sheet1!AF952,2)</f>
        <v>al</v>
      </c>
      <c r="AW953" s="40" t="str">
        <f>MID(Sheet1!AE952,2,3)</f>
        <v>iya</v>
      </c>
      <c r="AX953" s="42">
        <f>LEN(Sheet1!AE952)</f>
        <v>4</v>
      </c>
      <c r="AY953" s="40" t="str">
        <f>UPPER(Sheet1!AE952)</f>
        <v>RIYA</v>
      </c>
      <c r="AZ953" s="40" t="str">
        <f>LOWER(Sheet1!AE952)</f>
        <v>riya</v>
      </c>
      <c r="BA953" s="40" t="str">
        <f>PROPER(Sheet1!AE952)</f>
        <v>Riya</v>
      </c>
      <c r="BB953" s="40" t="str">
        <f>_xlfn.CONCAT(Sheet1!AE952," ",Sheet1!AF952)</f>
        <v>Riya Agarwal</v>
      </c>
    </row>
    <row r="954" spans="40:54">
      <c r="AN954" s="50" t="str">
        <f>Sheet1!B953</f>
        <v>29-11-2024</v>
      </c>
      <c r="AO954" s="50">
        <f t="shared" si="93"/>
        <v>3</v>
      </c>
      <c r="AP954" s="50">
        <f t="shared" si="88"/>
        <v>11</v>
      </c>
      <c r="AQ954" s="50">
        <f t="shared" si="89"/>
        <v>2024</v>
      </c>
      <c r="AR954" s="50" t="str">
        <f t="shared" si="90"/>
        <v>Nov-2024</v>
      </c>
      <c r="AS954" s="52">
        <f t="shared" si="91"/>
        <v>45599</v>
      </c>
      <c r="AT954" s="44">
        <f t="shared" ca="1" si="92"/>
        <v>679</v>
      </c>
      <c r="AU954" s="40" t="str">
        <f>LEFT(Sheet1!AE953,3)</f>
        <v>Adi</v>
      </c>
      <c r="AV954" s="40" t="str">
        <f>RIGHT(Sheet1!AF953,2)</f>
        <v>ar</v>
      </c>
      <c r="AW954" s="40" t="str">
        <f>MID(Sheet1!AE953,2,3)</f>
        <v>dit</v>
      </c>
      <c r="AX954" s="42">
        <f>LEN(Sheet1!AE953)</f>
        <v>5</v>
      </c>
      <c r="AY954" s="40" t="str">
        <f>UPPER(Sheet1!AE953)</f>
        <v>ADITI</v>
      </c>
      <c r="AZ954" s="40" t="str">
        <f>LOWER(Sheet1!AE953)</f>
        <v>aditi</v>
      </c>
      <c r="BA954" s="40" t="str">
        <f>PROPER(Sheet1!AE953)</f>
        <v>Aditi</v>
      </c>
      <c r="BB954" s="40" t="str">
        <f>_xlfn.CONCAT(Sheet1!AE953," ",Sheet1!AF953)</f>
        <v>Aditi Kumar</v>
      </c>
    </row>
    <row r="955" spans="40:54">
      <c r="AN955" s="50" t="str">
        <f>Sheet1!B954</f>
        <v>29-11-2025</v>
      </c>
      <c r="AO955" s="50">
        <f t="shared" si="93"/>
        <v>4</v>
      </c>
      <c r="AP955" s="50">
        <f t="shared" si="88"/>
        <v>11</v>
      </c>
      <c r="AQ955" s="50">
        <f t="shared" si="89"/>
        <v>2025</v>
      </c>
      <c r="AR955" s="50" t="str">
        <f t="shared" si="90"/>
        <v>Nov-2025</v>
      </c>
      <c r="AS955" s="52">
        <f t="shared" si="91"/>
        <v>45965</v>
      </c>
      <c r="AT955" s="44">
        <f t="shared" ca="1" si="92"/>
        <v>313</v>
      </c>
      <c r="AU955" s="40" t="str">
        <f>LEFT(Sheet1!AE954,3)</f>
        <v>Poo</v>
      </c>
      <c r="AV955" s="40" t="str">
        <f>RIGHT(Sheet1!AF954,2)</f>
        <v>al</v>
      </c>
      <c r="AW955" s="40" t="str">
        <f>MID(Sheet1!AE954,2,3)</f>
        <v>ooj</v>
      </c>
      <c r="AX955" s="42">
        <f>LEN(Sheet1!AE954)</f>
        <v>5</v>
      </c>
      <c r="AY955" s="40" t="str">
        <f>UPPER(Sheet1!AE954)</f>
        <v>POOJA</v>
      </c>
      <c r="AZ955" s="40" t="str">
        <f>LOWER(Sheet1!AE954)</f>
        <v>pooja</v>
      </c>
      <c r="BA955" s="40" t="str">
        <f>PROPER(Sheet1!AE954)</f>
        <v>Pooja</v>
      </c>
      <c r="BB955" s="40" t="str">
        <f>_xlfn.CONCAT(Sheet1!AE954," ",Sheet1!AF954)</f>
        <v>Pooja Bansal</v>
      </c>
    </row>
    <row r="956" spans="40:54">
      <c r="AN956" s="50" t="str">
        <f>Sheet1!B955</f>
        <v>29-12-2024</v>
      </c>
      <c r="AO956" s="50">
        <f t="shared" si="93"/>
        <v>5</v>
      </c>
      <c r="AP956" s="50">
        <f t="shared" si="88"/>
        <v>12</v>
      </c>
      <c r="AQ956" s="50">
        <f t="shared" si="89"/>
        <v>2024</v>
      </c>
      <c r="AR956" s="50" t="str">
        <f t="shared" si="90"/>
        <v>Dec-2024</v>
      </c>
      <c r="AS956" s="52">
        <f t="shared" si="91"/>
        <v>45631</v>
      </c>
      <c r="AT956" s="44">
        <f t="shared" ca="1" si="92"/>
        <v>647</v>
      </c>
      <c r="AU956" s="40" t="str">
        <f>LEFT(Sheet1!AE955,3)</f>
        <v>Arj</v>
      </c>
      <c r="AV956" s="40" t="str">
        <f>RIGHT(Sheet1!AF955,2)</f>
        <v>ra</v>
      </c>
      <c r="AW956" s="40" t="str">
        <f>MID(Sheet1!AE955,2,3)</f>
        <v>rju</v>
      </c>
      <c r="AX956" s="42">
        <f>LEN(Sheet1!AE955)</f>
        <v>5</v>
      </c>
      <c r="AY956" s="40" t="str">
        <f>UPPER(Sheet1!AE955)</f>
        <v>ARJUN</v>
      </c>
      <c r="AZ956" s="40" t="str">
        <f>LOWER(Sheet1!AE955)</f>
        <v>arjun</v>
      </c>
      <c r="BA956" s="40" t="str">
        <f>PROPER(Sheet1!AE955)</f>
        <v>Arjun</v>
      </c>
      <c r="BB956" s="40" t="str">
        <f>_xlfn.CONCAT(Sheet1!AE955," ",Sheet1!AF955)</f>
        <v>Arjun Chopra</v>
      </c>
    </row>
    <row r="957" spans="40:54">
      <c r="AN957" s="50" t="str">
        <f>Sheet1!B956</f>
        <v>29-12-2025</v>
      </c>
      <c r="AO957" s="50">
        <f t="shared" si="93"/>
        <v>6</v>
      </c>
      <c r="AP957" s="50">
        <f t="shared" si="88"/>
        <v>12</v>
      </c>
      <c r="AQ957" s="50">
        <f t="shared" si="89"/>
        <v>2025</v>
      </c>
      <c r="AR957" s="50" t="str">
        <f t="shared" si="90"/>
        <v>Dec-2025</v>
      </c>
      <c r="AS957" s="52">
        <f t="shared" si="91"/>
        <v>45997</v>
      </c>
      <c r="AT957" s="44">
        <f t="shared" ca="1" si="92"/>
        <v>281</v>
      </c>
      <c r="AU957" s="40" t="str">
        <f>LEFT(Sheet1!AE956,3)</f>
        <v>Riy</v>
      </c>
      <c r="AV957" s="40" t="str">
        <f>RIGHT(Sheet1!AF956,2)</f>
        <v>in</v>
      </c>
      <c r="AW957" s="40" t="str">
        <f>MID(Sheet1!AE956,2,3)</f>
        <v>iya</v>
      </c>
      <c r="AX957" s="42">
        <f>LEN(Sheet1!AE956)</f>
        <v>4</v>
      </c>
      <c r="AY957" s="40" t="str">
        <f>UPPER(Sheet1!AE956)</f>
        <v>RIYA</v>
      </c>
      <c r="AZ957" s="40" t="str">
        <f>LOWER(Sheet1!AE956)</f>
        <v>riya</v>
      </c>
      <c r="BA957" s="40" t="str">
        <f>PROPER(Sheet1!AE956)</f>
        <v>Riya</v>
      </c>
      <c r="BB957" s="40" t="str">
        <f>_xlfn.CONCAT(Sheet1!AE956," ",Sheet1!AF956)</f>
        <v>Riya Jain</v>
      </c>
    </row>
    <row r="958" spans="40:54">
      <c r="AN958" s="50" t="str">
        <f>Sheet1!B957</f>
        <v>29-12-2025</v>
      </c>
      <c r="AO958" s="50">
        <f t="shared" si="93"/>
        <v>6</v>
      </c>
      <c r="AP958" s="50">
        <f t="shared" si="88"/>
        <v>12</v>
      </c>
      <c r="AQ958" s="50">
        <f t="shared" si="89"/>
        <v>2025</v>
      </c>
      <c r="AR958" s="50" t="str">
        <f t="shared" si="90"/>
        <v>Dec-2025</v>
      </c>
      <c r="AS958" s="52">
        <f t="shared" si="91"/>
        <v>45997</v>
      </c>
      <c r="AT958" s="44">
        <f t="shared" ca="1" si="92"/>
        <v>281</v>
      </c>
      <c r="AU958" s="40" t="str">
        <f>LEFT(Sheet1!AE957,3)</f>
        <v>Adi</v>
      </c>
      <c r="AV958" s="40" t="str">
        <f>RIGHT(Sheet1!AF957,2)</f>
        <v>ma</v>
      </c>
      <c r="AW958" s="40" t="str">
        <f>MID(Sheet1!AE957,2,3)</f>
        <v>dit</v>
      </c>
      <c r="AX958" s="42">
        <f>LEN(Sheet1!AE957)</f>
        <v>5</v>
      </c>
      <c r="AY958" s="40" t="str">
        <f>UPPER(Sheet1!AE957)</f>
        <v>ADITI</v>
      </c>
      <c r="AZ958" s="40" t="str">
        <f>LOWER(Sheet1!AE957)</f>
        <v>aditi</v>
      </c>
      <c r="BA958" s="40" t="str">
        <f>PROPER(Sheet1!AE957)</f>
        <v>Aditi</v>
      </c>
      <c r="BB958" s="40" t="str">
        <f>_xlfn.CONCAT(Sheet1!AE957," ",Sheet1!AF957)</f>
        <v>Aditi Sharma</v>
      </c>
    </row>
    <row r="959" spans="40:54">
      <c r="AN959" s="50" t="str">
        <f>Sheet1!B958</f>
        <v>30-01-2024</v>
      </c>
      <c r="AO959" s="50">
        <f t="shared" si="93"/>
        <v>8</v>
      </c>
      <c r="AP959" s="50">
        <f t="shared" si="88"/>
        <v>1</v>
      </c>
      <c r="AQ959" s="50">
        <f t="shared" si="89"/>
        <v>2024</v>
      </c>
      <c r="AR959" s="50" t="str">
        <f t="shared" si="90"/>
        <v>Jan-2024</v>
      </c>
      <c r="AS959" s="52">
        <f t="shared" si="91"/>
        <v>45299</v>
      </c>
      <c r="AT959" s="44">
        <f t="shared" ca="1" si="92"/>
        <v>979</v>
      </c>
      <c r="AU959" s="40" t="str">
        <f>LEFT(Sheet1!AE958,3)</f>
        <v>Poo</v>
      </c>
      <c r="AV959" s="40" t="str">
        <f>RIGHT(Sheet1!AF958,2)</f>
        <v>ma</v>
      </c>
      <c r="AW959" s="40" t="str">
        <f>MID(Sheet1!AE958,2,3)</f>
        <v>ooj</v>
      </c>
      <c r="AX959" s="42">
        <f>LEN(Sheet1!AE958)</f>
        <v>5</v>
      </c>
      <c r="AY959" s="40" t="str">
        <f>UPPER(Sheet1!AE958)</f>
        <v>POOJA</v>
      </c>
      <c r="AZ959" s="40" t="str">
        <f>LOWER(Sheet1!AE958)</f>
        <v>pooja</v>
      </c>
      <c r="BA959" s="40" t="str">
        <f>PROPER(Sheet1!AE958)</f>
        <v>Pooja</v>
      </c>
      <c r="BB959" s="40" t="str">
        <f>_xlfn.CONCAT(Sheet1!AE958," ",Sheet1!AF958)</f>
        <v>Pooja Sharma</v>
      </c>
    </row>
    <row r="960" spans="40:54">
      <c r="AN960" s="50" t="str">
        <f>Sheet1!B959</f>
        <v>30-01-2024</v>
      </c>
      <c r="AO960" s="50">
        <f t="shared" si="93"/>
        <v>8</v>
      </c>
      <c r="AP960" s="50">
        <f t="shared" si="88"/>
        <v>1</v>
      </c>
      <c r="AQ960" s="50">
        <f t="shared" si="89"/>
        <v>2024</v>
      </c>
      <c r="AR960" s="50" t="str">
        <f t="shared" si="90"/>
        <v>Jan-2024</v>
      </c>
      <c r="AS960" s="52">
        <f t="shared" si="91"/>
        <v>45299</v>
      </c>
      <c r="AT960" s="44">
        <f t="shared" ca="1" si="92"/>
        <v>979</v>
      </c>
      <c r="AU960" s="40" t="str">
        <f>LEFT(Sheet1!AE959,3)</f>
        <v>Sim</v>
      </c>
      <c r="AV960" s="40" t="str">
        <f>RIGHT(Sheet1!AF959,2)</f>
        <v>av</v>
      </c>
      <c r="AW960" s="40" t="str">
        <f>MID(Sheet1!AE959,2,3)</f>
        <v>imr</v>
      </c>
      <c r="AX960" s="42">
        <f>LEN(Sheet1!AE959)</f>
        <v>6</v>
      </c>
      <c r="AY960" s="40" t="str">
        <f>UPPER(Sheet1!AE959)</f>
        <v>SIMRAN</v>
      </c>
      <c r="AZ960" s="40" t="str">
        <f>LOWER(Sheet1!AE959)</f>
        <v>simran</v>
      </c>
      <c r="BA960" s="40" t="str">
        <f>PROPER(Sheet1!AE959)</f>
        <v>Simran</v>
      </c>
      <c r="BB960" s="40" t="str">
        <f>_xlfn.CONCAT(Sheet1!AE959," ",Sheet1!AF959)</f>
        <v>Simran Yadav</v>
      </c>
    </row>
    <row r="961" spans="40:54">
      <c r="AN961" s="50" t="str">
        <f>Sheet1!B960</f>
        <v>30-03-2024</v>
      </c>
      <c r="AO961" s="50">
        <f t="shared" si="93"/>
        <v>8</v>
      </c>
      <c r="AP961" s="50">
        <f t="shared" si="88"/>
        <v>3</v>
      </c>
      <c r="AQ961" s="50">
        <f t="shared" si="89"/>
        <v>2024</v>
      </c>
      <c r="AR961" s="50" t="str">
        <f t="shared" si="90"/>
        <v>Mar-2024</v>
      </c>
      <c r="AS961" s="52">
        <f t="shared" si="91"/>
        <v>45359</v>
      </c>
      <c r="AT961" s="44">
        <f t="shared" ca="1" si="92"/>
        <v>919</v>
      </c>
      <c r="AU961" s="40" t="str">
        <f>LEFT(Sheet1!AE960,3)</f>
        <v>Sim</v>
      </c>
      <c r="AV961" s="40" t="str">
        <f>RIGHT(Sheet1!AF960,2)</f>
        <v>ma</v>
      </c>
      <c r="AW961" s="40" t="str">
        <f>MID(Sheet1!AE960,2,3)</f>
        <v>imr</v>
      </c>
      <c r="AX961" s="42">
        <f>LEN(Sheet1!AE960)</f>
        <v>6</v>
      </c>
      <c r="AY961" s="40" t="str">
        <f>UPPER(Sheet1!AE960)</f>
        <v>SIMRAN</v>
      </c>
      <c r="AZ961" s="40" t="str">
        <f>LOWER(Sheet1!AE960)</f>
        <v>simran</v>
      </c>
      <c r="BA961" s="40" t="str">
        <f>PROPER(Sheet1!AE960)</f>
        <v>Simran</v>
      </c>
      <c r="BB961" s="40" t="str">
        <f>_xlfn.CONCAT(Sheet1!AE960," ",Sheet1!AF960)</f>
        <v>Simran Verma</v>
      </c>
    </row>
    <row r="962" spans="40:54">
      <c r="AN962" s="50" t="str">
        <f>Sheet1!B961</f>
        <v>30-03-2025</v>
      </c>
      <c r="AO962" s="50">
        <f t="shared" si="93"/>
        <v>9</v>
      </c>
      <c r="AP962" s="50">
        <f t="shared" si="88"/>
        <v>3</v>
      </c>
      <c r="AQ962" s="50">
        <f t="shared" si="89"/>
        <v>2025</v>
      </c>
      <c r="AR962" s="50" t="str">
        <f t="shared" si="90"/>
        <v>Mar-2025</v>
      </c>
      <c r="AS962" s="52">
        <f t="shared" si="91"/>
        <v>45725</v>
      </c>
      <c r="AT962" s="44">
        <f t="shared" ca="1" si="92"/>
        <v>553</v>
      </c>
      <c r="AU962" s="40" t="str">
        <f>LEFT(Sheet1!AE961,3)</f>
        <v>Sne</v>
      </c>
      <c r="AV962" s="40" t="str">
        <f>RIGHT(Sheet1!AF961,2)</f>
        <v>or</v>
      </c>
      <c r="AW962" s="40" t="str">
        <f>MID(Sheet1!AE961,2,3)</f>
        <v>neh</v>
      </c>
      <c r="AX962" s="42">
        <f>LEN(Sheet1!AE961)</f>
        <v>5</v>
      </c>
      <c r="AY962" s="40" t="str">
        <f>UPPER(Sheet1!AE961)</f>
        <v>SNEHA</v>
      </c>
      <c r="AZ962" s="40" t="str">
        <f>LOWER(Sheet1!AE961)</f>
        <v>sneha</v>
      </c>
      <c r="BA962" s="40" t="str">
        <f>PROPER(Sheet1!AE961)</f>
        <v>Sneha</v>
      </c>
      <c r="BB962" s="40" t="str">
        <f>_xlfn.CONCAT(Sheet1!AE961," ",Sheet1!AF961)</f>
        <v>Sneha Kapoor</v>
      </c>
    </row>
    <row r="963" spans="40:54">
      <c r="AN963" s="50" t="str">
        <f>Sheet1!B962</f>
        <v>30-03-2025</v>
      </c>
      <c r="AO963" s="50">
        <f t="shared" si="93"/>
        <v>9</v>
      </c>
      <c r="AP963" s="50">
        <f t="shared" si="88"/>
        <v>3</v>
      </c>
      <c r="AQ963" s="50">
        <f t="shared" si="89"/>
        <v>2025</v>
      </c>
      <c r="AR963" s="50" t="str">
        <f t="shared" si="90"/>
        <v>Mar-2025</v>
      </c>
      <c r="AS963" s="52">
        <f t="shared" si="91"/>
        <v>45725</v>
      </c>
      <c r="AT963" s="44">
        <f t="shared" ca="1" si="92"/>
        <v>553</v>
      </c>
      <c r="AU963" s="40" t="str">
        <f>LEFT(Sheet1!AE962,3)</f>
        <v>Vik</v>
      </c>
      <c r="AV963" s="40" t="str">
        <f>RIGHT(Sheet1!AF962,2)</f>
        <v>ra</v>
      </c>
      <c r="AW963" s="40" t="str">
        <f>MID(Sheet1!AE962,2,3)</f>
        <v>ikr</v>
      </c>
      <c r="AX963" s="42">
        <f>LEN(Sheet1!AE962)</f>
        <v>6</v>
      </c>
      <c r="AY963" s="40" t="str">
        <f>UPPER(Sheet1!AE962)</f>
        <v>VIKRAM</v>
      </c>
      <c r="AZ963" s="40" t="str">
        <f>LOWER(Sheet1!AE962)</f>
        <v>vikram</v>
      </c>
      <c r="BA963" s="40" t="str">
        <f>PROPER(Sheet1!AE962)</f>
        <v>Vikram</v>
      </c>
      <c r="BB963" s="40" t="str">
        <f>_xlfn.CONCAT(Sheet1!AE962," ",Sheet1!AF962)</f>
        <v>Vikram Chopra</v>
      </c>
    </row>
    <row r="964" spans="40:54">
      <c r="AN964" s="50" t="str">
        <f>Sheet1!B963</f>
        <v>30-03-2025</v>
      </c>
      <c r="AO964" s="50">
        <f t="shared" si="93"/>
        <v>11</v>
      </c>
      <c r="AP964" s="50">
        <f t="shared" ref="AP964:AP1006" si="94">IFERROR(MONTH(AN964),VALUE(MID(AN964,4,2)))</f>
        <v>3</v>
      </c>
      <c r="AQ964" s="50">
        <f t="shared" ref="AQ964:AQ1010" si="95">IFERROR(YEAR(AN964),VALUE(RIGHT(AN964,4)))</f>
        <v>2025</v>
      </c>
      <c r="AR964" s="50" t="str">
        <f t="shared" ref="AR964:AR1021" si="96">IF(ISNUMBER(AN964),TEXT(AN964,"mmm-yyyy"),TEXT(DATE(VALUE(RIGHT(AN964,4)),VALUE(MID(AN964,4,2)),VALUE(LEFT(AN964,2))),"mmm-yyyy"))</f>
        <v>Mar-2025</v>
      </c>
      <c r="AS964" s="52">
        <f t="shared" ref="AS964:AS1007" si="97">DATE(AQ964,AP964,AO964)</f>
        <v>45727</v>
      </c>
      <c r="AT964" s="44">
        <f t="shared" ref="AT964:AT1027" ca="1" si="98">TODAY()-AS964</f>
        <v>551</v>
      </c>
      <c r="AU964" s="40" t="str">
        <f>LEFT(Sheet1!AE963,3)</f>
        <v>Poo</v>
      </c>
      <c r="AV964" s="40" t="str">
        <f>RIGHT(Sheet1!AF963,2)</f>
        <v>ta</v>
      </c>
      <c r="AW964" s="40" t="str">
        <f>MID(Sheet1!AE963,2,3)</f>
        <v>ooj</v>
      </c>
      <c r="AX964" s="42">
        <f>LEN(Sheet1!AE963)</f>
        <v>5</v>
      </c>
      <c r="AY964" s="40" t="str">
        <f>UPPER(Sheet1!AE963)</f>
        <v>POOJA</v>
      </c>
      <c r="AZ964" s="40" t="str">
        <f>LOWER(Sheet1!AE963)</f>
        <v>pooja</v>
      </c>
      <c r="BA964" s="40" t="str">
        <f>PROPER(Sheet1!AE963)</f>
        <v>Pooja</v>
      </c>
      <c r="BB964" s="40" t="str">
        <f>_xlfn.CONCAT(Sheet1!AE963," ",Sheet1!AF963)</f>
        <v>Pooja Gupta</v>
      </c>
    </row>
    <row r="965" spans="40:54">
      <c r="AN965" s="50" t="str">
        <f>Sheet1!B964</f>
        <v>30-04-2024</v>
      </c>
      <c r="AO965" s="50">
        <f t="shared" si="93"/>
        <v>11</v>
      </c>
      <c r="AP965" s="50">
        <f t="shared" si="94"/>
        <v>4</v>
      </c>
      <c r="AQ965" s="50">
        <f t="shared" si="95"/>
        <v>2024</v>
      </c>
      <c r="AR965" s="50" t="str">
        <f t="shared" si="96"/>
        <v>Apr-2024</v>
      </c>
      <c r="AS965" s="52">
        <f t="shared" si="97"/>
        <v>45393</v>
      </c>
      <c r="AT965" s="44">
        <f t="shared" ca="1" si="98"/>
        <v>885</v>
      </c>
      <c r="AU965" s="40" t="str">
        <f>LEFT(Sheet1!AE964,3)</f>
        <v>Rah</v>
      </c>
      <c r="AV965" s="40" t="str">
        <f>RIGHT(Sheet1!AF964,2)</f>
        <v>al</v>
      </c>
      <c r="AW965" s="40" t="str">
        <f>MID(Sheet1!AE964,2,3)</f>
        <v>ahu</v>
      </c>
      <c r="AX965" s="42">
        <f>LEN(Sheet1!AE964)</f>
        <v>5</v>
      </c>
      <c r="AY965" s="40" t="str">
        <f>UPPER(Sheet1!AE964)</f>
        <v>RAHUL</v>
      </c>
      <c r="AZ965" s="40" t="str">
        <f>LOWER(Sheet1!AE964)</f>
        <v>rahul</v>
      </c>
      <c r="BA965" s="40" t="str">
        <f>PROPER(Sheet1!AE964)</f>
        <v>Rahul</v>
      </c>
      <c r="BB965" s="40" t="str">
        <f>_xlfn.CONCAT(Sheet1!AE964," ",Sheet1!AF964)</f>
        <v>Rahul Bansal</v>
      </c>
    </row>
    <row r="966" spans="40:54">
      <c r="AN966" s="50" t="str">
        <f>Sheet1!B965</f>
        <v>30-04-2025</v>
      </c>
      <c r="AO966" s="50">
        <f t="shared" si="93"/>
        <v>12</v>
      </c>
      <c r="AP966" s="50">
        <f t="shared" si="94"/>
        <v>4</v>
      </c>
      <c r="AQ966" s="50">
        <f t="shared" si="95"/>
        <v>2025</v>
      </c>
      <c r="AR966" s="50" t="str">
        <f t="shared" si="96"/>
        <v>Apr-2025</v>
      </c>
      <c r="AS966" s="52">
        <f t="shared" si="97"/>
        <v>45759</v>
      </c>
      <c r="AT966" s="44">
        <f t="shared" ca="1" si="98"/>
        <v>519</v>
      </c>
      <c r="AU966" s="40" t="str">
        <f>LEFT(Sheet1!AE965,3)</f>
        <v>Roh</v>
      </c>
      <c r="AV966" s="40" t="str">
        <f>RIGHT(Sheet1!AF965,2)</f>
        <v>in</v>
      </c>
      <c r="AW966" s="40" t="str">
        <f>MID(Sheet1!AE965,2,3)</f>
        <v>oha</v>
      </c>
      <c r="AX966" s="42">
        <f>LEN(Sheet1!AE965)</f>
        <v>5</v>
      </c>
      <c r="AY966" s="40" t="str">
        <f>UPPER(Sheet1!AE965)</f>
        <v>ROHAN</v>
      </c>
      <c r="AZ966" s="40" t="str">
        <f>LOWER(Sheet1!AE965)</f>
        <v>rohan</v>
      </c>
      <c r="BA966" s="40" t="str">
        <f>PROPER(Sheet1!AE965)</f>
        <v>Rohan</v>
      </c>
      <c r="BB966" s="40" t="str">
        <f>_xlfn.CONCAT(Sheet1!AE965," ",Sheet1!AF965)</f>
        <v>Rohan Jain</v>
      </c>
    </row>
    <row r="967" spans="40:54">
      <c r="AN967" s="50" t="str">
        <f>Sheet1!B966</f>
        <v>30-04-2025</v>
      </c>
      <c r="AO967" s="50">
        <f t="shared" si="93"/>
        <v>2</v>
      </c>
      <c r="AP967" s="50">
        <f t="shared" si="94"/>
        <v>4</v>
      </c>
      <c r="AQ967" s="50">
        <f t="shared" si="95"/>
        <v>2025</v>
      </c>
      <c r="AR967" s="50" t="str">
        <f t="shared" si="96"/>
        <v>Apr-2025</v>
      </c>
      <c r="AS967" s="52">
        <f t="shared" si="97"/>
        <v>45749</v>
      </c>
      <c r="AT967" s="44">
        <f t="shared" ca="1" si="98"/>
        <v>529</v>
      </c>
      <c r="AU967" s="40" t="str">
        <f>LEFT(Sheet1!AE966,3)</f>
        <v>Vik</v>
      </c>
      <c r="AV967" s="40" t="str">
        <f>RIGHT(Sheet1!AF966,2)</f>
        <v>na</v>
      </c>
      <c r="AW967" s="40" t="str">
        <f>MID(Sheet1!AE966,2,3)</f>
        <v>ikr</v>
      </c>
      <c r="AX967" s="42">
        <f>LEN(Sheet1!AE966)</f>
        <v>6</v>
      </c>
      <c r="AY967" s="40" t="str">
        <f>UPPER(Sheet1!AE966)</f>
        <v>VIKRAM</v>
      </c>
      <c r="AZ967" s="40" t="str">
        <f>LOWER(Sheet1!AE966)</f>
        <v>vikram</v>
      </c>
      <c r="BA967" s="40" t="str">
        <f>PROPER(Sheet1!AE966)</f>
        <v>Vikram</v>
      </c>
      <c r="BB967" s="40" t="str">
        <f>_xlfn.CONCAT(Sheet1!AE966," ",Sheet1!AF966)</f>
        <v>Vikram Saxena</v>
      </c>
    </row>
    <row r="968" spans="40:54">
      <c r="AN968" s="50" t="str">
        <f>Sheet1!B967</f>
        <v>30-05-2024</v>
      </c>
      <c r="AO968" s="50">
        <f t="shared" si="93"/>
        <v>3</v>
      </c>
      <c r="AP968" s="50">
        <f t="shared" si="94"/>
        <v>5</v>
      </c>
      <c r="AQ968" s="50">
        <f t="shared" si="95"/>
        <v>2024</v>
      </c>
      <c r="AR968" s="50" t="str">
        <f t="shared" si="96"/>
        <v>May-2024</v>
      </c>
      <c r="AS968" s="52">
        <f t="shared" si="97"/>
        <v>45415</v>
      </c>
      <c r="AT968" s="44">
        <f t="shared" ca="1" si="98"/>
        <v>863</v>
      </c>
      <c r="AU968" s="40" t="str">
        <f>LEFT(Sheet1!AE967,3)</f>
        <v>Neh</v>
      </c>
      <c r="AV968" s="40" t="str">
        <f>RIGHT(Sheet1!AF967,2)</f>
        <v>ma</v>
      </c>
      <c r="AW968" s="40" t="str">
        <f>MID(Sheet1!AE967,2,3)</f>
        <v>eha</v>
      </c>
      <c r="AX968" s="42">
        <f>LEN(Sheet1!AE967)</f>
        <v>4</v>
      </c>
      <c r="AY968" s="40" t="str">
        <f>UPPER(Sheet1!AE967)</f>
        <v>NEHA</v>
      </c>
      <c r="AZ968" s="40" t="str">
        <f>LOWER(Sheet1!AE967)</f>
        <v>neha</v>
      </c>
      <c r="BA968" s="40" t="str">
        <f>PROPER(Sheet1!AE967)</f>
        <v>Neha</v>
      </c>
      <c r="BB968" s="40" t="str">
        <f>_xlfn.CONCAT(Sheet1!AE967," ",Sheet1!AF967)</f>
        <v>Neha Verma</v>
      </c>
    </row>
    <row r="969" spans="40:54">
      <c r="AN969" s="50" t="str">
        <f>Sheet1!B968</f>
        <v>30-05-2024</v>
      </c>
      <c r="AO969" s="50">
        <f t="shared" si="93"/>
        <v>3</v>
      </c>
      <c r="AP969" s="50">
        <f t="shared" si="94"/>
        <v>5</v>
      </c>
      <c r="AQ969" s="50">
        <f t="shared" si="95"/>
        <v>2024</v>
      </c>
      <c r="AR969" s="50" t="str">
        <f t="shared" si="96"/>
        <v>May-2024</v>
      </c>
      <c r="AS969" s="52">
        <f t="shared" si="97"/>
        <v>45415</v>
      </c>
      <c r="AT969" s="44">
        <f t="shared" ca="1" si="98"/>
        <v>863</v>
      </c>
      <c r="AU969" s="40" t="str">
        <f>LEFT(Sheet1!AE968,3)</f>
        <v>Ana</v>
      </c>
      <c r="AV969" s="40" t="str">
        <f>RIGHT(Sheet1!AF968,2)</f>
        <v>gh</v>
      </c>
      <c r="AW969" s="40" t="str">
        <f>MID(Sheet1!AE968,2,3)</f>
        <v>nan</v>
      </c>
      <c r="AX969" s="42">
        <f>LEN(Sheet1!AE968)</f>
        <v>6</v>
      </c>
      <c r="AY969" s="40" t="str">
        <f>UPPER(Sheet1!AE968)</f>
        <v>ANANYA</v>
      </c>
      <c r="AZ969" s="40" t="str">
        <f>LOWER(Sheet1!AE968)</f>
        <v>ananya</v>
      </c>
      <c r="BA969" s="40" t="str">
        <f>PROPER(Sheet1!AE968)</f>
        <v>Ananya</v>
      </c>
      <c r="BB969" s="40" t="str">
        <f>_xlfn.CONCAT(Sheet1!AE968," ",Sheet1!AF968)</f>
        <v>Ananya Singh</v>
      </c>
    </row>
    <row r="970" spans="40:54">
      <c r="AN970" s="50" t="str">
        <f>Sheet1!B969</f>
        <v>30-05-2024</v>
      </c>
      <c r="AO970" s="50">
        <f t="shared" si="93"/>
        <v>3</v>
      </c>
      <c r="AP970" s="50">
        <f t="shared" si="94"/>
        <v>5</v>
      </c>
      <c r="AQ970" s="50">
        <f t="shared" si="95"/>
        <v>2024</v>
      </c>
      <c r="AR970" s="50" t="str">
        <f t="shared" si="96"/>
        <v>May-2024</v>
      </c>
      <c r="AS970" s="52">
        <f t="shared" si="97"/>
        <v>45415</v>
      </c>
      <c r="AT970" s="44">
        <f t="shared" ca="1" si="98"/>
        <v>863</v>
      </c>
      <c r="AU970" s="40" t="str">
        <f>LEFT(Sheet1!AE969,3)</f>
        <v>Viv</v>
      </c>
      <c r="AV970" s="40" t="str">
        <f>RIGHT(Sheet1!AF969,2)</f>
        <v>ta</v>
      </c>
      <c r="AW970" s="40" t="str">
        <f>MID(Sheet1!AE969,2,3)</f>
        <v>iva</v>
      </c>
      <c r="AX970" s="42">
        <f>LEN(Sheet1!AE969)</f>
        <v>6</v>
      </c>
      <c r="AY970" s="40" t="str">
        <f>UPPER(Sheet1!AE969)</f>
        <v>VIVAAN</v>
      </c>
      <c r="AZ970" s="40" t="str">
        <f>LOWER(Sheet1!AE969)</f>
        <v>vivaan</v>
      </c>
      <c r="BA970" s="40" t="str">
        <f>PROPER(Sheet1!AE969)</f>
        <v>Vivaan</v>
      </c>
      <c r="BB970" s="40" t="str">
        <f>_xlfn.CONCAT(Sheet1!AE969," ",Sheet1!AF969)</f>
        <v>Vivaan Mehta</v>
      </c>
    </row>
    <row r="971" spans="40:54">
      <c r="AN971" s="50" t="str">
        <f>Sheet1!B970</f>
        <v>30-05-2025</v>
      </c>
      <c r="AO971" s="50">
        <f t="shared" ref="AO971:AO1009" si="99">IFERROR(DAY(AN132),VALUE(LEFT(AN132,2)))</f>
        <v>4</v>
      </c>
      <c r="AP971" s="50">
        <f t="shared" si="94"/>
        <v>5</v>
      </c>
      <c r="AQ971" s="50">
        <f t="shared" si="95"/>
        <v>2025</v>
      </c>
      <c r="AR971" s="50" t="str">
        <f t="shared" si="96"/>
        <v>May-2025</v>
      </c>
      <c r="AS971" s="52">
        <f t="shared" si="97"/>
        <v>45781</v>
      </c>
      <c r="AT971" s="44">
        <f t="shared" ca="1" si="98"/>
        <v>497</v>
      </c>
      <c r="AU971" s="40" t="str">
        <f>LEFT(Sheet1!AE970,3)</f>
        <v>Pri</v>
      </c>
      <c r="AV971" s="40" t="str">
        <f>RIGHT(Sheet1!AF970,2)</f>
        <v>ar</v>
      </c>
      <c r="AW971" s="40" t="str">
        <f>MID(Sheet1!AE970,2,3)</f>
        <v>riy</v>
      </c>
      <c r="AX971" s="42">
        <f>LEN(Sheet1!AE970)</f>
        <v>5</v>
      </c>
      <c r="AY971" s="40" t="str">
        <f>UPPER(Sheet1!AE970)</f>
        <v>PRIYA</v>
      </c>
      <c r="AZ971" s="40" t="str">
        <f>LOWER(Sheet1!AE970)</f>
        <v>priya</v>
      </c>
      <c r="BA971" s="40" t="str">
        <f>PROPER(Sheet1!AE970)</f>
        <v>Priya</v>
      </c>
      <c r="BB971" s="40" t="str">
        <f>_xlfn.CONCAT(Sheet1!AE970," ",Sheet1!AF970)</f>
        <v>Priya Kumar</v>
      </c>
    </row>
    <row r="972" spans="40:54">
      <c r="AN972" s="50" t="str">
        <f>Sheet1!B971</f>
        <v>30-06-2024</v>
      </c>
      <c r="AO972" s="50">
        <f t="shared" si="99"/>
        <v>4</v>
      </c>
      <c r="AP972" s="50">
        <f t="shared" si="94"/>
        <v>6</v>
      </c>
      <c r="AQ972" s="50">
        <f t="shared" si="95"/>
        <v>2024</v>
      </c>
      <c r="AR972" s="50" t="str">
        <f t="shared" si="96"/>
        <v>Jun-2024</v>
      </c>
      <c r="AS972" s="52">
        <f t="shared" si="97"/>
        <v>45447</v>
      </c>
      <c r="AT972" s="44">
        <f t="shared" ca="1" si="98"/>
        <v>831</v>
      </c>
      <c r="AU972" s="40" t="str">
        <f>LEFT(Sheet1!AE971,3)</f>
        <v>Arj</v>
      </c>
      <c r="AV972" s="40" t="str">
        <f>RIGHT(Sheet1!AF971,2)</f>
        <v>ta</v>
      </c>
      <c r="AW972" s="40" t="str">
        <f>MID(Sheet1!AE971,2,3)</f>
        <v>rju</v>
      </c>
      <c r="AX972" s="42">
        <f>LEN(Sheet1!AE971)</f>
        <v>5</v>
      </c>
      <c r="AY972" s="40" t="str">
        <f>UPPER(Sheet1!AE971)</f>
        <v>ARJUN</v>
      </c>
      <c r="AZ972" s="40" t="str">
        <f>LOWER(Sheet1!AE971)</f>
        <v>arjun</v>
      </c>
      <c r="BA972" s="40" t="str">
        <f>PROPER(Sheet1!AE971)</f>
        <v>Arjun</v>
      </c>
      <c r="BB972" s="40" t="str">
        <f>_xlfn.CONCAT(Sheet1!AE971," ",Sheet1!AF971)</f>
        <v>Arjun Mehta</v>
      </c>
    </row>
    <row r="973" spans="40:54">
      <c r="AN973" s="50" t="str">
        <f>Sheet1!B972</f>
        <v>30-06-2024</v>
      </c>
      <c r="AO973" s="50">
        <f t="shared" si="99"/>
        <v>4</v>
      </c>
      <c r="AP973" s="50">
        <f t="shared" si="94"/>
        <v>6</v>
      </c>
      <c r="AQ973" s="50">
        <f t="shared" si="95"/>
        <v>2024</v>
      </c>
      <c r="AR973" s="50" t="str">
        <f t="shared" si="96"/>
        <v>Jun-2024</v>
      </c>
      <c r="AS973" s="52">
        <f t="shared" si="97"/>
        <v>45447</v>
      </c>
      <c r="AT973" s="44">
        <f t="shared" ca="1" si="98"/>
        <v>831</v>
      </c>
      <c r="AU973" s="40" t="str">
        <f>LEFT(Sheet1!AE972,3)</f>
        <v>Adi</v>
      </c>
      <c r="AV973" s="40" t="str">
        <f>RIGHT(Sheet1!AF972,2)</f>
        <v>ta</v>
      </c>
      <c r="AW973" s="40" t="str">
        <f>MID(Sheet1!AE972,2,3)</f>
        <v>dit</v>
      </c>
      <c r="AX973" s="42">
        <f>LEN(Sheet1!AE972)</f>
        <v>6</v>
      </c>
      <c r="AY973" s="40" t="str">
        <f>UPPER(Sheet1!AE972)</f>
        <v>ADITYA</v>
      </c>
      <c r="AZ973" s="40" t="str">
        <f>LOWER(Sheet1!AE972)</f>
        <v>aditya</v>
      </c>
      <c r="BA973" s="40" t="str">
        <f>PROPER(Sheet1!AE972)</f>
        <v>Aditya</v>
      </c>
      <c r="BB973" s="40" t="str">
        <f>_xlfn.CONCAT(Sheet1!AE972," ",Sheet1!AF972)</f>
        <v>Aditya Mehta</v>
      </c>
    </row>
    <row r="974" spans="40:54">
      <c r="AN974" s="50" t="str">
        <f>Sheet1!B973</f>
        <v>30-06-2024</v>
      </c>
      <c r="AO974" s="50">
        <f t="shared" si="99"/>
        <v>5</v>
      </c>
      <c r="AP974" s="50">
        <f t="shared" si="94"/>
        <v>6</v>
      </c>
      <c r="AQ974" s="50">
        <f t="shared" si="95"/>
        <v>2024</v>
      </c>
      <c r="AR974" s="50" t="str">
        <f t="shared" si="96"/>
        <v>Jun-2024</v>
      </c>
      <c r="AS974" s="52">
        <f t="shared" si="97"/>
        <v>45448</v>
      </c>
      <c r="AT974" s="44">
        <f t="shared" ca="1" si="98"/>
        <v>830</v>
      </c>
      <c r="AU974" s="40" t="str">
        <f>LEFT(Sheet1!AE973,3)</f>
        <v>Sim</v>
      </c>
      <c r="AV974" s="40" t="str">
        <f>RIGHT(Sheet1!AF973,2)</f>
        <v>in</v>
      </c>
      <c r="AW974" s="40" t="str">
        <f>MID(Sheet1!AE973,2,3)</f>
        <v>imr</v>
      </c>
      <c r="AX974" s="42">
        <f>LEN(Sheet1!AE973)</f>
        <v>6</v>
      </c>
      <c r="AY974" s="40" t="str">
        <f>UPPER(Sheet1!AE973)</f>
        <v>SIMRAN</v>
      </c>
      <c r="AZ974" s="40" t="str">
        <f>LOWER(Sheet1!AE973)</f>
        <v>simran</v>
      </c>
      <c r="BA974" s="40" t="str">
        <f>PROPER(Sheet1!AE973)</f>
        <v>Simran</v>
      </c>
      <c r="BB974" s="40" t="str">
        <f>_xlfn.CONCAT(Sheet1!AE973," ",Sheet1!AF973)</f>
        <v>Simran Jain</v>
      </c>
    </row>
    <row r="975" spans="40:54">
      <c r="AN975" s="50" t="str">
        <f>Sheet1!B974</f>
        <v>30-06-2025</v>
      </c>
      <c r="AO975" s="50">
        <f t="shared" si="99"/>
        <v>5</v>
      </c>
      <c r="AP975" s="50">
        <f t="shared" si="94"/>
        <v>6</v>
      </c>
      <c r="AQ975" s="50">
        <f t="shared" si="95"/>
        <v>2025</v>
      </c>
      <c r="AR975" s="50" t="str">
        <f t="shared" si="96"/>
        <v>Jun-2025</v>
      </c>
      <c r="AS975" s="52">
        <f t="shared" si="97"/>
        <v>45813</v>
      </c>
      <c r="AT975" s="44">
        <f t="shared" ca="1" si="98"/>
        <v>465</v>
      </c>
      <c r="AU975" s="40" t="str">
        <f>LEFT(Sheet1!AE974,3)</f>
        <v>Aar</v>
      </c>
      <c r="AV975" s="40" t="str">
        <f>RIGHT(Sheet1!AF974,2)</f>
        <v>ma</v>
      </c>
      <c r="AW975" s="40" t="str">
        <f>MID(Sheet1!AE974,2,3)</f>
        <v>ara</v>
      </c>
      <c r="AX975" s="42">
        <f>LEN(Sheet1!AE974)</f>
        <v>5</v>
      </c>
      <c r="AY975" s="40" t="str">
        <f>UPPER(Sheet1!AE974)</f>
        <v>AARAV</v>
      </c>
      <c r="AZ975" s="40" t="str">
        <f>LOWER(Sheet1!AE974)</f>
        <v>aarav</v>
      </c>
      <c r="BA975" s="40" t="str">
        <f>PROPER(Sheet1!AE974)</f>
        <v>Aarav</v>
      </c>
      <c r="BB975" s="40" t="str">
        <f>_xlfn.CONCAT(Sheet1!AE974," ",Sheet1!AF974)</f>
        <v>Aarav Verma</v>
      </c>
    </row>
    <row r="976" spans="40:54">
      <c r="AN976" s="50" t="str">
        <f>Sheet1!B975</f>
        <v>30-06-2025</v>
      </c>
      <c r="AO976" s="50">
        <f t="shared" si="99"/>
        <v>6</v>
      </c>
      <c r="AP976" s="50">
        <f t="shared" si="94"/>
        <v>6</v>
      </c>
      <c r="AQ976" s="50">
        <f t="shared" si="95"/>
        <v>2025</v>
      </c>
      <c r="AR976" s="50" t="str">
        <f t="shared" si="96"/>
        <v>Jun-2025</v>
      </c>
      <c r="AS976" s="52">
        <f t="shared" si="97"/>
        <v>45814</v>
      </c>
      <c r="AT976" s="44">
        <f t="shared" ca="1" si="98"/>
        <v>464</v>
      </c>
      <c r="AU976" s="40" t="str">
        <f>LEFT(Sheet1!AE975,3)</f>
        <v>Sne</v>
      </c>
      <c r="AV976" s="40" t="str">
        <f>RIGHT(Sheet1!AF975,2)</f>
        <v>na</v>
      </c>
      <c r="AW976" s="40" t="str">
        <f>MID(Sheet1!AE975,2,3)</f>
        <v>neh</v>
      </c>
      <c r="AX976" s="42">
        <f>LEN(Sheet1!AE975)</f>
        <v>5</v>
      </c>
      <c r="AY976" s="40" t="str">
        <f>UPPER(Sheet1!AE975)</f>
        <v>SNEHA</v>
      </c>
      <c r="AZ976" s="40" t="str">
        <f>LOWER(Sheet1!AE975)</f>
        <v>sneha</v>
      </c>
      <c r="BA976" s="40" t="str">
        <f>PROPER(Sheet1!AE975)</f>
        <v>Sneha</v>
      </c>
      <c r="BB976" s="40" t="str">
        <f>_xlfn.CONCAT(Sheet1!AE975," ",Sheet1!AF975)</f>
        <v>Sneha Saxena</v>
      </c>
    </row>
    <row r="977" spans="40:54">
      <c r="AN977" s="50" t="str">
        <f>Sheet1!B976</f>
        <v>30-06-2025</v>
      </c>
      <c r="AO977" s="50">
        <f t="shared" si="99"/>
        <v>6</v>
      </c>
      <c r="AP977" s="50">
        <f t="shared" si="94"/>
        <v>6</v>
      </c>
      <c r="AQ977" s="50">
        <f t="shared" si="95"/>
        <v>2025</v>
      </c>
      <c r="AR977" s="50" t="str">
        <f t="shared" si="96"/>
        <v>Jun-2025</v>
      </c>
      <c r="AS977" s="52">
        <f t="shared" si="97"/>
        <v>45814</v>
      </c>
      <c r="AT977" s="44">
        <f t="shared" ca="1" si="98"/>
        <v>464</v>
      </c>
      <c r="AU977" s="40" t="str">
        <f>LEFT(Sheet1!AE976,3)</f>
        <v>Kav</v>
      </c>
      <c r="AV977" s="40" t="str">
        <f>RIGHT(Sheet1!AF976,2)</f>
        <v>al</v>
      </c>
      <c r="AW977" s="40" t="str">
        <f>MID(Sheet1!AE976,2,3)</f>
        <v>avy</v>
      </c>
      <c r="AX977" s="42">
        <f>LEN(Sheet1!AE976)</f>
        <v>5</v>
      </c>
      <c r="AY977" s="40" t="str">
        <f>UPPER(Sheet1!AE976)</f>
        <v>KAVYA</v>
      </c>
      <c r="AZ977" s="40" t="str">
        <f>LOWER(Sheet1!AE976)</f>
        <v>kavya</v>
      </c>
      <c r="BA977" s="40" t="str">
        <f>PROPER(Sheet1!AE976)</f>
        <v>Kavya</v>
      </c>
      <c r="BB977" s="40" t="str">
        <f>_xlfn.CONCAT(Sheet1!AE976," ",Sheet1!AF976)</f>
        <v>Kavya Agarwal</v>
      </c>
    </row>
    <row r="978" spans="40:54">
      <c r="AN978" s="50" t="str">
        <f>Sheet1!B977</f>
        <v>30-06-2025</v>
      </c>
      <c r="AO978" s="50">
        <f t="shared" si="99"/>
        <v>6</v>
      </c>
      <c r="AP978" s="50">
        <f t="shared" si="94"/>
        <v>6</v>
      </c>
      <c r="AQ978" s="50">
        <f t="shared" si="95"/>
        <v>2025</v>
      </c>
      <c r="AR978" s="50" t="str">
        <f t="shared" si="96"/>
        <v>Jun-2025</v>
      </c>
      <c r="AS978" s="52">
        <f t="shared" si="97"/>
        <v>45814</v>
      </c>
      <c r="AT978" s="44">
        <f t="shared" ca="1" si="98"/>
        <v>464</v>
      </c>
      <c r="AU978" s="40" t="str">
        <f>LEFT(Sheet1!AE977,3)</f>
        <v>Arj</v>
      </c>
      <c r="AV978" s="40" t="str">
        <f>RIGHT(Sheet1!AF977,2)</f>
        <v>ra</v>
      </c>
      <c r="AW978" s="40" t="str">
        <f>MID(Sheet1!AE977,2,3)</f>
        <v>rju</v>
      </c>
      <c r="AX978" s="42">
        <f>LEN(Sheet1!AE977)</f>
        <v>5</v>
      </c>
      <c r="AY978" s="40" t="str">
        <f>UPPER(Sheet1!AE977)</f>
        <v>ARJUN</v>
      </c>
      <c r="AZ978" s="40" t="str">
        <f>LOWER(Sheet1!AE977)</f>
        <v>arjun</v>
      </c>
      <c r="BA978" s="40" t="str">
        <f>PROPER(Sheet1!AE977)</f>
        <v>Arjun</v>
      </c>
      <c r="BB978" s="40" t="str">
        <f>_xlfn.CONCAT(Sheet1!AE977," ",Sheet1!AF977)</f>
        <v>Arjun Chopra</v>
      </c>
    </row>
    <row r="979" spans="40:54">
      <c r="AN979" s="50" t="str">
        <f>Sheet1!B978</f>
        <v>30-07-2024</v>
      </c>
      <c r="AO979" s="50">
        <f t="shared" si="99"/>
        <v>7</v>
      </c>
      <c r="AP979" s="50">
        <f t="shared" si="94"/>
        <v>7</v>
      </c>
      <c r="AQ979" s="50">
        <f t="shared" si="95"/>
        <v>2024</v>
      </c>
      <c r="AR979" s="50" t="str">
        <f t="shared" si="96"/>
        <v>Jul-2024</v>
      </c>
      <c r="AS979" s="52">
        <f t="shared" si="97"/>
        <v>45480</v>
      </c>
      <c r="AT979" s="44">
        <f t="shared" ca="1" si="98"/>
        <v>798</v>
      </c>
      <c r="AU979" s="40" t="str">
        <f>LEFT(Sheet1!AE978,3)</f>
        <v>Sim</v>
      </c>
      <c r="AV979" s="40" t="str">
        <f>RIGHT(Sheet1!AF978,2)</f>
        <v>ra</v>
      </c>
      <c r="AW979" s="40" t="str">
        <f>MID(Sheet1!AE978,2,3)</f>
        <v>imr</v>
      </c>
      <c r="AX979" s="42">
        <f>LEN(Sheet1!AE978)</f>
        <v>6</v>
      </c>
      <c r="AY979" s="40" t="str">
        <f>UPPER(Sheet1!AE978)</f>
        <v>SIMRAN</v>
      </c>
      <c r="AZ979" s="40" t="str">
        <f>LOWER(Sheet1!AE978)</f>
        <v>simran</v>
      </c>
      <c r="BA979" s="40" t="str">
        <f>PROPER(Sheet1!AE978)</f>
        <v>Simran</v>
      </c>
      <c r="BB979" s="40" t="str">
        <f>_xlfn.CONCAT(Sheet1!AE978," ",Sheet1!AF978)</f>
        <v>Simran Mishra</v>
      </c>
    </row>
    <row r="980" spans="40:54">
      <c r="AN980" s="50" t="str">
        <f>Sheet1!B979</f>
        <v>30-07-2025</v>
      </c>
      <c r="AO980" s="50">
        <f t="shared" si="99"/>
        <v>8</v>
      </c>
      <c r="AP980" s="50">
        <f t="shared" si="94"/>
        <v>7</v>
      </c>
      <c r="AQ980" s="50">
        <f t="shared" si="95"/>
        <v>2025</v>
      </c>
      <c r="AR980" s="50" t="str">
        <f t="shared" si="96"/>
        <v>Jul-2025</v>
      </c>
      <c r="AS980" s="52">
        <f t="shared" si="97"/>
        <v>45846</v>
      </c>
      <c r="AT980" s="44">
        <f t="shared" ca="1" si="98"/>
        <v>432</v>
      </c>
      <c r="AU980" s="40" t="str">
        <f>LEFT(Sheet1!AE979,3)</f>
        <v>Kar</v>
      </c>
      <c r="AV980" s="40" t="str">
        <f>RIGHT(Sheet1!AF979,2)</f>
        <v>ma</v>
      </c>
      <c r="AW980" s="40" t="str">
        <f>MID(Sheet1!AE979,2,3)</f>
        <v>ara</v>
      </c>
      <c r="AX980" s="42">
        <f>LEN(Sheet1!AE979)</f>
        <v>5</v>
      </c>
      <c r="AY980" s="40" t="str">
        <f>UPPER(Sheet1!AE979)</f>
        <v>KARAN</v>
      </c>
      <c r="AZ980" s="40" t="str">
        <f>LOWER(Sheet1!AE979)</f>
        <v>karan</v>
      </c>
      <c r="BA980" s="40" t="str">
        <f>PROPER(Sheet1!AE979)</f>
        <v>Karan</v>
      </c>
      <c r="BB980" s="40" t="str">
        <f>_xlfn.CONCAT(Sheet1!AE979," ",Sheet1!AF979)</f>
        <v>Karan Verma</v>
      </c>
    </row>
    <row r="981" spans="40:54">
      <c r="AN981" s="50" t="str">
        <f>Sheet1!B980</f>
        <v>30-08-2024</v>
      </c>
      <c r="AO981" s="50">
        <f t="shared" si="99"/>
        <v>9</v>
      </c>
      <c r="AP981" s="50">
        <f t="shared" si="94"/>
        <v>8</v>
      </c>
      <c r="AQ981" s="50">
        <f t="shared" si="95"/>
        <v>2024</v>
      </c>
      <c r="AR981" s="50" t="str">
        <f t="shared" si="96"/>
        <v>Aug-2024</v>
      </c>
      <c r="AS981" s="52">
        <f t="shared" si="97"/>
        <v>45513</v>
      </c>
      <c r="AT981" s="44">
        <f t="shared" ca="1" si="98"/>
        <v>765</v>
      </c>
      <c r="AU981" s="40" t="str">
        <f>LEFT(Sheet1!AE980,3)</f>
        <v>Adi</v>
      </c>
      <c r="AV981" s="40" t="str">
        <f>RIGHT(Sheet1!AF980,2)</f>
        <v>gh</v>
      </c>
      <c r="AW981" s="40" t="str">
        <f>MID(Sheet1!AE980,2,3)</f>
        <v>dit</v>
      </c>
      <c r="AX981" s="42">
        <f>LEN(Sheet1!AE980)</f>
        <v>6</v>
      </c>
      <c r="AY981" s="40" t="str">
        <f>UPPER(Sheet1!AE980)</f>
        <v>ADITYA</v>
      </c>
      <c r="AZ981" s="40" t="str">
        <f>LOWER(Sheet1!AE980)</f>
        <v>aditya</v>
      </c>
      <c r="BA981" s="40" t="str">
        <f>PROPER(Sheet1!AE980)</f>
        <v>Aditya</v>
      </c>
      <c r="BB981" s="40" t="str">
        <f>_xlfn.CONCAT(Sheet1!AE980," ",Sheet1!AF980)</f>
        <v>Aditya Singh</v>
      </c>
    </row>
    <row r="982" spans="40:54">
      <c r="AN982" s="50" t="str">
        <f>Sheet1!B981</f>
        <v>30-09-2024</v>
      </c>
      <c r="AO982" s="50">
        <f t="shared" si="99"/>
        <v>9</v>
      </c>
      <c r="AP982" s="50">
        <f t="shared" si="94"/>
        <v>9</v>
      </c>
      <c r="AQ982" s="50">
        <f t="shared" si="95"/>
        <v>2024</v>
      </c>
      <c r="AR982" s="50" t="str">
        <f t="shared" si="96"/>
        <v>Sep-2024</v>
      </c>
      <c r="AS982" s="52">
        <f t="shared" si="97"/>
        <v>45544</v>
      </c>
      <c r="AT982" s="44">
        <f t="shared" ca="1" si="98"/>
        <v>734</v>
      </c>
      <c r="AU982" s="40" t="str">
        <f>LEFT(Sheet1!AE981,3)</f>
        <v>Neh</v>
      </c>
      <c r="AV982" s="40" t="str">
        <f>RIGHT(Sheet1!AF981,2)</f>
        <v>ma</v>
      </c>
      <c r="AW982" s="40" t="str">
        <f>MID(Sheet1!AE981,2,3)</f>
        <v>eha</v>
      </c>
      <c r="AX982" s="42">
        <f>LEN(Sheet1!AE981)</f>
        <v>4</v>
      </c>
      <c r="AY982" s="40" t="str">
        <f>UPPER(Sheet1!AE981)</f>
        <v>NEHA</v>
      </c>
      <c r="AZ982" s="40" t="str">
        <f>LOWER(Sheet1!AE981)</f>
        <v>neha</v>
      </c>
      <c r="BA982" s="40" t="str">
        <f>PROPER(Sheet1!AE981)</f>
        <v>Neha</v>
      </c>
      <c r="BB982" s="40" t="str">
        <f>_xlfn.CONCAT(Sheet1!AE981," ",Sheet1!AF981)</f>
        <v>Neha Verma</v>
      </c>
    </row>
    <row r="983" spans="40:54">
      <c r="AN983" s="50" t="str">
        <f>Sheet1!B982</f>
        <v>30-09-2025</v>
      </c>
      <c r="AO983" s="50">
        <f t="shared" si="99"/>
        <v>10</v>
      </c>
      <c r="AP983" s="50">
        <f t="shared" si="94"/>
        <v>9</v>
      </c>
      <c r="AQ983" s="50">
        <f t="shared" si="95"/>
        <v>2025</v>
      </c>
      <c r="AR983" s="50" t="str">
        <f t="shared" si="96"/>
        <v>Sep-2025</v>
      </c>
      <c r="AS983" s="52">
        <f t="shared" si="97"/>
        <v>45910</v>
      </c>
      <c r="AT983" s="44">
        <f t="shared" ca="1" si="98"/>
        <v>368</v>
      </c>
      <c r="AU983" s="40" t="str">
        <f>LEFT(Sheet1!AE982,3)</f>
        <v>Sim</v>
      </c>
      <c r="AV983" s="40" t="str">
        <f>RIGHT(Sheet1!AF982,2)</f>
        <v>na</v>
      </c>
      <c r="AW983" s="40" t="str">
        <f>MID(Sheet1!AE982,2,3)</f>
        <v>imr</v>
      </c>
      <c r="AX983" s="42">
        <f>LEN(Sheet1!AE982)</f>
        <v>6</v>
      </c>
      <c r="AY983" s="40" t="str">
        <f>UPPER(Sheet1!AE982)</f>
        <v>SIMRAN</v>
      </c>
      <c r="AZ983" s="40" t="str">
        <f>LOWER(Sheet1!AE982)</f>
        <v>simran</v>
      </c>
      <c r="BA983" s="40" t="str">
        <f>PROPER(Sheet1!AE982)</f>
        <v>Simran</v>
      </c>
      <c r="BB983" s="40" t="str">
        <f>_xlfn.CONCAT(Sheet1!AE982," ",Sheet1!AF982)</f>
        <v>Simran Saxena</v>
      </c>
    </row>
    <row r="984" spans="40:54">
      <c r="AN984" s="50" t="str">
        <f>Sheet1!B983</f>
        <v>30-10-2024</v>
      </c>
      <c r="AO984" s="50">
        <f t="shared" si="99"/>
        <v>10</v>
      </c>
      <c r="AP984" s="50">
        <f t="shared" si="94"/>
        <v>10</v>
      </c>
      <c r="AQ984" s="50">
        <f t="shared" si="95"/>
        <v>2024</v>
      </c>
      <c r="AR984" s="50" t="str">
        <f t="shared" si="96"/>
        <v>Oct-2024</v>
      </c>
      <c r="AS984" s="52">
        <f t="shared" si="97"/>
        <v>45575</v>
      </c>
      <c r="AT984" s="44">
        <f t="shared" ca="1" si="98"/>
        <v>703</v>
      </c>
      <c r="AU984" s="40" t="str">
        <f>LEFT(Sheet1!AE983,3)</f>
        <v>Nis</v>
      </c>
      <c r="AV984" s="40" t="str">
        <f>RIGHT(Sheet1!AF983,2)</f>
        <v>in</v>
      </c>
      <c r="AW984" s="40" t="str">
        <f>MID(Sheet1!AE983,2,3)</f>
        <v>ish</v>
      </c>
      <c r="AX984" s="42">
        <f>LEN(Sheet1!AE983)</f>
        <v>5</v>
      </c>
      <c r="AY984" s="40" t="str">
        <f>UPPER(Sheet1!AE983)</f>
        <v>NISHA</v>
      </c>
      <c r="AZ984" s="40" t="str">
        <f>LOWER(Sheet1!AE983)</f>
        <v>nisha</v>
      </c>
      <c r="BA984" s="40" t="str">
        <f>PROPER(Sheet1!AE983)</f>
        <v>Nisha</v>
      </c>
      <c r="BB984" s="40" t="str">
        <f>_xlfn.CONCAT(Sheet1!AE983," ",Sheet1!AF983)</f>
        <v>Nisha Jain</v>
      </c>
    </row>
    <row r="985" spans="40:54">
      <c r="AN985" s="50" t="str">
        <f>Sheet1!B984</f>
        <v>30-11-2024</v>
      </c>
      <c r="AO985" s="50">
        <f t="shared" si="99"/>
        <v>11</v>
      </c>
      <c r="AP985" s="50">
        <f t="shared" si="94"/>
        <v>11</v>
      </c>
      <c r="AQ985" s="50">
        <f t="shared" si="95"/>
        <v>2024</v>
      </c>
      <c r="AR985" s="50" t="str">
        <f t="shared" si="96"/>
        <v>Nov-2024</v>
      </c>
      <c r="AS985" s="52">
        <f t="shared" si="97"/>
        <v>45607</v>
      </c>
      <c r="AT985" s="44">
        <f t="shared" ca="1" si="98"/>
        <v>671</v>
      </c>
      <c r="AU985" s="40" t="str">
        <f>LEFT(Sheet1!AE984,3)</f>
        <v>Adi</v>
      </c>
      <c r="AV985" s="40" t="str">
        <f>RIGHT(Sheet1!AF984,2)</f>
        <v>ma</v>
      </c>
      <c r="AW985" s="40" t="str">
        <f>MID(Sheet1!AE984,2,3)</f>
        <v>dit</v>
      </c>
      <c r="AX985" s="42">
        <f>LEN(Sheet1!AE984)</f>
        <v>6</v>
      </c>
      <c r="AY985" s="40" t="str">
        <f>UPPER(Sheet1!AE984)</f>
        <v>ADITYA</v>
      </c>
      <c r="AZ985" s="40" t="str">
        <f>LOWER(Sheet1!AE984)</f>
        <v>aditya</v>
      </c>
      <c r="BA985" s="40" t="str">
        <f>PROPER(Sheet1!AE984)</f>
        <v>Aditya</v>
      </c>
      <c r="BB985" s="40" t="str">
        <f>_xlfn.CONCAT(Sheet1!AE984," ",Sheet1!AF984)</f>
        <v>Aditya Verma</v>
      </c>
    </row>
    <row r="986" spans="40:54">
      <c r="AN986" s="50" t="str">
        <f>Sheet1!B985</f>
        <v>30-11-2024</v>
      </c>
      <c r="AO986" s="50">
        <f t="shared" si="99"/>
        <v>1</v>
      </c>
      <c r="AP986" s="50">
        <f t="shared" si="94"/>
        <v>11</v>
      </c>
      <c r="AQ986" s="50">
        <f t="shared" si="95"/>
        <v>2024</v>
      </c>
      <c r="AR986" s="50" t="str">
        <f t="shared" si="96"/>
        <v>Nov-2024</v>
      </c>
      <c r="AS986" s="52">
        <f t="shared" si="97"/>
        <v>45597</v>
      </c>
      <c r="AT986" s="44">
        <f t="shared" ca="1" si="98"/>
        <v>681</v>
      </c>
      <c r="AU986" s="40" t="str">
        <f>LEFT(Sheet1!AE985,3)</f>
        <v>Neh</v>
      </c>
      <c r="AV986" s="40" t="str">
        <f>RIGHT(Sheet1!AF985,2)</f>
        <v>ta</v>
      </c>
      <c r="AW986" s="40" t="str">
        <f>MID(Sheet1!AE985,2,3)</f>
        <v>eha</v>
      </c>
      <c r="AX986" s="42">
        <f>LEN(Sheet1!AE985)</f>
        <v>4</v>
      </c>
      <c r="AY986" s="40" t="str">
        <f>UPPER(Sheet1!AE985)</f>
        <v>NEHA</v>
      </c>
      <c r="AZ986" s="40" t="str">
        <f>LOWER(Sheet1!AE985)</f>
        <v>neha</v>
      </c>
      <c r="BA986" s="40" t="str">
        <f>PROPER(Sheet1!AE985)</f>
        <v>Neha</v>
      </c>
      <c r="BB986" s="40" t="str">
        <f>_xlfn.CONCAT(Sheet1!AE985," ",Sheet1!AF985)</f>
        <v>Neha Mehta</v>
      </c>
    </row>
    <row r="987" spans="40:54">
      <c r="AN987" s="50" t="str">
        <f>Sheet1!B986</f>
        <v>30-11-2025</v>
      </c>
      <c r="AO987" s="50">
        <f t="shared" si="99"/>
        <v>2</v>
      </c>
      <c r="AP987" s="50">
        <f t="shared" si="94"/>
        <v>11</v>
      </c>
      <c r="AQ987" s="50">
        <f t="shared" si="95"/>
        <v>2025</v>
      </c>
      <c r="AR987" s="50" t="str">
        <f t="shared" si="96"/>
        <v>Nov-2025</v>
      </c>
      <c r="AS987" s="52">
        <f t="shared" si="97"/>
        <v>45963</v>
      </c>
      <c r="AT987" s="44">
        <f t="shared" ca="1" si="98"/>
        <v>315</v>
      </c>
      <c r="AU987" s="40" t="str">
        <f>LEFT(Sheet1!AE986,3)</f>
        <v>Aar</v>
      </c>
      <c r="AV987" s="40" t="str">
        <f>RIGHT(Sheet1!AF986,2)</f>
        <v>al</v>
      </c>
      <c r="AW987" s="40" t="str">
        <f>MID(Sheet1!AE986,2,3)</f>
        <v>ara</v>
      </c>
      <c r="AX987" s="42">
        <f>LEN(Sheet1!AE986)</f>
        <v>5</v>
      </c>
      <c r="AY987" s="40" t="str">
        <f>UPPER(Sheet1!AE986)</f>
        <v>AARAV</v>
      </c>
      <c r="AZ987" s="40" t="str">
        <f>LOWER(Sheet1!AE986)</f>
        <v>aarav</v>
      </c>
      <c r="BA987" s="40" t="str">
        <f>PROPER(Sheet1!AE986)</f>
        <v>Aarav</v>
      </c>
      <c r="BB987" s="40" t="str">
        <f>_xlfn.CONCAT(Sheet1!AE986," ",Sheet1!AF986)</f>
        <v>Aarav Bansal</v>
      </c>
    </row>
    <row r="988" spans="40:54">
      <c r="AN988" s="50" t="str">
        <f>Sheet1!B987</f>
        <v>30-12-2024</v>
      </c>
      <c r="AO988" s="50">
        <f t="shared" si="99"/>
        <v>3</v>
      </c>
      <c r="AP988" s="50">
        <f t="shared" si="94"/>
        <v>12</v>
      </c>
      <c r="AQ988" s="50">
        <f t="shared" si="95"/>
        <v>2024</v>
      </c>
      <c r="AR988" s="50" t="str">
        <f t="shared" si="96"/>
        <v>Dec-2024</v>
      </c>
      <c r="AS988" s="52">
        <f t="shared" si="97"/>
        <v>45629</v>
      </c>
      <c r="AT988" s="44">
        <f t="shared" ca="1" si="98"/>
        <v>649</v>
      </c>
      <c r="AU988" s="40" t="str">
        <f>LEFT(Sheet1!AE987,3)</f>
        <v>Adi</v>
      </c>
      <c r="AV988" s="40" t="str">
        <f>RIGHT(Sheet1!AF987,2)</f>
        <v>ra</v>
      </c>
      <c r="AW988" s="40" t="str">
        <f>MID(Sheet1!AE987,2,3)</f>
        <v>dit</v>
      </c>
      <c r="AX988" s="42">
        <f>LEN(Sheet1!AE987)</f>
        <v>5</v>
      </c>
      <c r="AY988" s="40" t="str">
        <f>UPPER(Sheet1!AE987)</f>
        <v>ADITI</v>
      </c>
      <c r="AZ988" s="40" t="str">
        <f>LOWER(Sheet1!AE987)</f>
        <v>aditi</v>
      </c>
      <c r="BA988" s="40" t="str">
        <f>PROPER(Sheet1!AE987)</f>
        <v>Aditi</v>
      </c>
      <c r="BB988" s="40" t="str">
        <f>_xlfn.CONCAT(Sheet1!AE987," ",Sheet1!AF987)</f>
        <v>Aditi Mishra</v>
      </c>
    </row>
    <row r="989" spans="40:54">
      <c r="AN989" s="50" t="str">
        <f>Sheet1!B988</f>
        <v>30-12-2024</v>
      </c>
      <c r="AO989" s="50">
        <f t="shared" si="99"/>
        <v>3</v>
      </c>
      <c r="AP989" s="50">
        <f t="shared" si="94"/>
        <v>12</v>
      </c>
      <c r="AQ989" s="50">
        <f t="shared" si="95"/>
        <v>2024</v>
      </c>
      <c r="AR989" s="50" t="str">
        <f t="shared" si="96"/>
        <v>Dec-2024</v>
      </c>
      <c r="AS989" s="52">
        <f t="shared" si="97"/>
        <v>45629</v>
      </c>
      <c r="AT989" s="44">
        <f t="shared" ca="1" si="98"/>
        <v>649</v>
      </c>
      <c r="AU989" s="40" t="str">
        <f>LEFT(Sheet1!AE988,3)</f>
        <v>Arj</v>
      </c>
      <c r="AV989" s="40" t="str">
        <f>RIGHT(Sheet1!AF988,2)</f>
        <v>or</v>
      </c>
      <c r="AW989" s="40" t="str">
        <f>MID(Sheet1!AE988,2,3)</f>
        <v>rju</v>
      </c>
      <c r="AX989" s="42">
        <f>LEN(Sheet1!AE988)</f>
        <v>5</v>
      </c>
      <c r="AY989" s="40" t="str">
        <f>UPPER(Sheet1!AE988)</f>
        <v>ARJUN</v>
      </c>
      <c r="AZ989" s="40" t="str">
        <f>LOWER(Sheet1!AE988)</f>
        <v>arjun</v>
      </c>
      <c r="BA989" s="40" t="str">
        <f>PROPER(Sheet1!AE988)</f>
        <v>Arjun</v>
      </c>
      <c r="BB989" s="40" t="str">
        <f>_xlfn.CONCAT(Sheet1!AE988," ",Sheet1!AF988)</f>
        <v>Arjun Kapoor</v>
      </c>
    </row>
    <row r="990" spans="40:54">
      <c r="AN990" s="50" t="str">
        <f>Sheet1!B989</f>
        <v>30-12-2025</v>
      </c>
      <c r="AO990" s="50">
        <f t="shared" si="99"/>
        <v>4</v>
      </c>
      <c r="AP990" s="50">
        <f t="shared" si="94"/>
        <v>12</v>
      </c>
      <c r="AQ990" s="50">
        <f t="shared" si="95"/>
        <v>2025</v>
      </c>
      <c r="AR990" s="50" t="str">
        <f t="shared" si="96"/>
        <v>Dec-2025</v>
      </c>
      <c r="AS990" s="52">
        <f t="shared" si="97"/>
        <v>45995</v>
      </c>
      <c r="AT990" s="44">
        <f t="shared" ca="1" si="98"/>
        <v>283</v>
      </c>
      <c r="AU990" s="40" t="str">
        <f>LEFT(Sheet1!AE989,3)</f>
        <v>Sne</v>
      </c>
      <c r="AV990" s="40" t="str">
        <f>RIGHT(Sheet1!AF989,2)</f>
        <v>ma</v>
      </c>
      <c r="AW990" s="40" t="str">
        <f>MID(Sheet1!AE989,2,3)</f>
        <v>neh</v>
      </c>
      <c r="AX990" s="42">
        <f>LEN(Sheet1!AE989)</f>
        <v>5</v>
      </c>
      <c r="AY990" s="40" t="str">
        <f>UPPER(Sheet1!AE989)</f>
        <v>SNEHA</v>
      </c>
      <c r="AZ990" s="40" t="str">
        <f>LOWER(Sheet1!AE989)</f>
        <v>sneha</v>
      </c>
      <c r="BA990" s="40" t="str">
        <f>PROPER(Sheet1!AE989)</f>
        <v>Sneha</v>
      </c>
      <c r="BB990" s="40" t="str">
        <f>_xlfn.CONCAT(Sheet1!AE989," ",Sheet1!AF989)</f>
        <v>Sneha Sharma</v>
      </c>
    </row>
    <row r="991" spans="40:54">
      <c r="AN991" s="50" t="str">
        <f>Sheet1!B990</f>
        <v>31-01-2024</v>
      </c>
      <c r="AO991" s="50">
        <f t="shared" si="99"/>
        <v>4</v>
      </c>
      <c r="AP991" s="50">
        <f t="shared" si="94"/>
        <v>1</v>
      </c>
      <c r="AQ991" s="50">
        <f t="shared" si="95"/>
        <v>2024</v>
      </c>
      <c r="AR991" s="50" t="str">
        <f t="shared" si="96"/>
        <v>Jan-2024</v>
      </c>
      <c r="AS991" s="52">
        <f t="shared" si="97"/>
        <v>45295</v>
      </c>
      <c r="AT991" s="44">
        <f t="shared" ca="1" si="98"/>
        <v>983</v>
      </c>
      <c r="AU991" s="40" t="str">
        <f>LEFT(Sheet1!AE990,3)</f>
        <v>Riy</v>
      </c>
      <c r="AV991" s="40" t="str">
        <f>RIGHT(Sheet1!AF990,2)</f>
        <v>ra</v>
      </c>
      <c r="AW991" s="40" t="str">
        <f>MID(Sheet1!AE990,2,3)</f>
        <v>iya</v>
      </c>
      <c r="AX991" s="42">
        <f>LEN(Sheet1!AE990)</f>
        <v>4</v>
      </c>
      <c r="AY991" s="40" t="str">
        <f>UPPER(Sheet1!AE990)</f>
        <v>RIYA</v>
      </c>
      <c r="AZ991" s="40" t="str">
        <f>LOWER(Sheet1!AE990)</f>
        <v>riya</v>
      </c>
      <c r="BA991" s="40" t="str">
        <f>PROPER(Sheet1!AE990)</f>
        <v>Riya</v>
      </c>
      <c r="BB991" s="40" t="str">
        <f>_xlfn.CONCAT(Sheet1!AE990," ",Sheet1!AF990)</f>
        <v>Riya Chopra</v>
      </c>
    </row>
    <row r="992" spans="40:54">
      <c r="AN992" s="50" t="str">
        <f>Sheet1!B991</f>
        <v>31-01-2024</v>
      </c>
      <c r="AO992" s="50">
        <f t="shared" si="99"/>
        <v>5</v>
      </c>
      <c r="AP992" s="50">
        <f t="shared" si="94"/>
        <v>1</v>
      </c>
      <c r="AQ992" s="50">
        <f t="shared" si="95"/>
        <v>2024</v>
      </c>
      <c r="AR992" s="50" t="str">
        <f t="shared" si="96"/>
        <v>Jan-2024</v>
      </c>
      <c r="AS992" s="52">
        <f t="shared" si="97"/>
        <v>45296</v>
      </c>
      <c r="AT992" s="44">
        <f t="shared" ca="1" si="98"/>
        <v>982</v>
      </c>
      <c r="AU992" s="40" t="str">
        <f>LEFT(Sheet1!AE991,3)</f>
        <v>Adi</v>
      </c>
      <c r="AV992" s="40" t="str">
        <f>RIGHT(Sheet1!AF991,2)</f>
        <v>ma</v>
      </c>
      <c r="AW992" s="40" t="str">
        <f>MID(Sheet1!AE991,2,3)</f>
        <v>dit</v>
      </c>
      <c r="AX992" s="42">
        <f>LEN(Sheet1!AE991)</f>
        <v>6</v>
      </c>
      <c r="AY992" s="40" t="str">
        <f>UPPER(Sheet1!AE991)</f>
        <v>ADITYA</v>
      </c>
      <c r="AZ992" s="40" t="str">
        <f>LOWER(Sheet1!AE991)</f>
        <v>aditya</v>
      </c>
      <c r="BA992" s="40" t="str">
        <f>PROPER(Sheet1!AE991)</f>
        <v>Aditya</v>
      </c>
      <c r="BB992" s="40" t="str">
        <f>_xlfn.CONCAT(Sheet1!AE991," ",Sheet1!AF991)</f>
        <v>Aditya Sharma</v>
      </c>
    </row>
    <row r="993" spans="40:54">
      <c r="AN993" s="50" t="str">
        <f>Sheet1!B992</f>
        <v>31-01-2025</v>
      </c>
      <c r="AO993" s="50">
        <f t="shared" si="99"/>
        <v>6</v>
      </c>
      <c r="AP993" s="50">
        <f t="shared" si="94"/>
        <v>1</v>
      </c>
      <c r="AQ993" s="50">
        <f t="shared" si="95"/>
        <v>2025</v>
      </c>
      <c r="AR993" s="50" t="str">
        <f t="shared" si="96"/>
        <v>Jan-2025</v>
      </c>
      <c r="AS993" s="52">
        <f t="shared" si="97"/>
        <v>45663</v>
      </c>
      <c r="AT993" s="44">
        <f t="shared" ca="1" si="98"/>
        <v>615</v>
      </c>
      <c r="AU993" s="40" t="str">
        <f>LEFT(Sheet1!AE992,3)</f>
        <v>Aar</v>
      </c>
      <c r="AV993" s="40" t="str">
        <f>RIGHT(Sheet1!AF992,2)</f>
        <v>av</v>
      </c>
      <c r="AW993" s="40" t="str">
        <f>MID(Sheet1!AE992,2,3)</f>
        <v>ara</v>
      </c>
      <c r="AX993" s="42">
        <f>LEN(Sheet1!AE992)</f>
        <v>5</v>
      </c>
      <c r="AY993" s="40" t="str">
        <f>UPPER(Sheet1!AE992)</f>
        <v>AARAV</v>
      </c>
      <c r="AZ993" s="40" t="str">
        <f>LOWER(Sheet1!AE992)</f>
        <v>aarav</v>
      </c>
      <c r="BA993" s="40" t="str">
        <f>PROPER(Sheet1!AE992)</f>
        <v>Aarav</v>
      </c>
      <c r="BB993" s="40" t="str">
        <f>_xlfn.CONCAT(Sheet1!AE992," ",Sheet1!AF992)</f>
        <v>Aarav Yadav</v>
      </c>
    </row>
    <row r="994" spans="40:54">
      <c r="AN994" s="50" t="str">
        <f>Sheet1!B993</f>
        <v>31-03-2024</v>
      </c>
      <c r="AO994" s="50">
        <f t="shared" si="99"/>
        <v>6</v>
      </c>
      <c r="AP994" s="50">
        <f t="shared" si="94"/>
        <v>3</v>
      </c>
      <c r="AQ994" s="50">
        <f t="shared" si="95"/>
        <v>2024</v>
      </c>
      <c r="AR994" s="50" t="str">
        <f t="shared" si="96"/>
        <v>Mar-2024</v>
      </c>
      <c r="AS994" s="52">
        <f t="shared" si="97"/>
        <v>45357</v>
      </c>
      <c r="AT994" s="44">
        <f t="shared" ca="1" si="98"/>
        <v>921</v>
      </c>
      <c r="AU994" s="40" t="str">
        <f>LEFT(Sheet1!AE993,3)</f>
        <v>Neh</v>
      </c>
      <c r="AV994" s="40" t="str">
        <f>RIGHT(Sheet1!AF993,2)</f>
        <v>gh</v>
      </c>
      <c r="AW994" s="40" t="str">
        <f>MID(Sheet1!AE993,2,3)</f>
        <v>eha</v>
      </c>
      <c r="AX994" s="42">
        <f>LEN(Sheet1!AE993)</f>
        <v>4</v>
      </c>
      <c r="AY994" s="40" t="str">
        <f>UPPER(Sheet1!AE993)</f>
        <v>NEHA</v>
      </c>
      <c r="AZ994" s="40" t="str">
        <f>LOWER(Sheet1!AE993)</f>
        <v>neha</v>
      </c>
      <c r="BA994" s="40" t="str">
        <f>PROPER(Sheet1!AE993)</f>
        <v>Neha</v>
      </c>
      <c r="BB994" s="40" t="str">
        <f>_xlfn.CONCAT(Sheet1!AE993," ",Sheet1!AF993)</f>
        <v>Neha Singh</v>
      </c>
    </row>
    <row r="995" spans="40:54">
      <c r="AN995" s="50" t="str">
        <f>Sheet1!B994</f>
        <v>31-05-2024</v>
      </c>
      <c r="AO995" s="50">
        <f t="shared" si="99"/>
        <v>6</v>
      </c>
      <c r="AP995" s="50">
        <f t="shared" si="94"/>
        <v>5</v>
      </c>
      <c r="AQ995" s="50">
        <f t="shared" si="95"/>
        <v>2024</v>
      </c>
      <c r="AR995" s="50" t="str">
        <f t="shared" si="96"/>
        <v>May-2024</v>
      </c>
      <c r="AS995" s="52">
        <f t="shared" si="97"/>
        <v>45418</v>
      </c>
      <c r="AT995" s="44">
        <f t="shared" ca="1" si="98"/>
        <v>860</v>
      </c>
      <c r="AU995" s="40" t="str">
        <f>LEFT(Sheet1!AE994,3)</f>
        <v>Rah</v>
      </c>
      <c r="AV995" s="40" t="str">
        <f>RIGHT(Sheet1!AF994,2)</f>
        <v>ma</v>
      </c>
      <c r="AW995" s="40" t="str">
        <f>MID(Sheet1!AE994,2,3)</f>
        <v>ahu</v>
      </c>
      <c r="AX995" s="42">
        <f>LEN(Sheet1!AE994)</f>
        <v>5</v>
      </c>
      <c r="AY995" s="40" t="str">
        <f>UPPER(Sheet1!AE994)</f>
        <v>RAHUL</v>
      </c>
      <c r="AZ995" s="40" t="str">
        <f>LOWER(Sheet1!AE994)</f>
        <v>rahul</v>
      </c>
      <c r="BA995" s="40" t="str">
        <f>PROPER(Sheet1!AE994)</f>
        <v>Rahul</v>
      </c>
      <c r="BB995" s="40" t="str">
        <f>_xlfn.CONCAT(Sheet1!AE994," ",Sheet1!AF994)</f>
        <v>Rahul Sharma</v>
      </c>
    </row>
    <row r="996" spans="40:54">
      <c r="AN996" s="50" t="str">
        <f>Sheet1!B995</f>
        <v>31-05-2025</v>
      </c>
      <c r="AO996" s="50">
        <f t="shared" si="99"/>
        <v>6</v>
      </c>
      <c r="AP996" s="50">
        <f t="shared" si="94"/>
        <v>5</v>
      </c>
      <c r="AQ996" s="50">
        <f t="shared" si="95"/>
        <v>2025</v>
      </c>
      <c r="AR996" s="50" t="str">
        <f t="shared" si="96"/>
        <v>May-2025</v>
      </c>
      <c r="AS996" s="52">
        <f t="shared" si="97"/>
        <v>45783</v>
      </c>
      <c r="AT996" s="44">
        <f t="shared" ca="1" si="98"/>
        <v>495</v>
      </c>
      <c r="AU996" s="40" t="str">
        <f>LEFT(Sheet1!AE995,3)</f>
        <v>Neh</v>
      </c>
      <c r="AV996" s="40" t="str">
        <f>RIGHT(Sheet1!AF995,2)</f>
        <v>ta</v>
      </c>
      <c r="AW996" s="40" t="str">
        <f>MID(Sheet1!AE995,2,3)</f>
        <v>eha</v>
      </c>
      <c r="AX996" s="42">
        <f>LEN(Sheet1!AE995)</f>
        <v>4</v>
      </c>
      <c r="AY996" s="40" t="str">
        <f>UPPER(Sheet1!AE995)</f>
        <v>NEHA</v>
      </c>
      <c r="AZ996" s="40" t="str">
        <f>LOWER(Sheet1!AE995)</f>
        <v>neha</v>
      </c>
      <c r="BA996" s="40" t="str">
        <f>PROPER(Sheet1!AE995)</f>
        <v>Neha</v>
      </c>
      <c r="BB996" s="40" t="str">
        <f>_xlfn.CONCAT(Sheet1!AE995," ",Sheet1!AF995)</f>
        <v>Neha Gupta</v>
      </c>
    </row>
    <row r="997" spans="40:54">
      <c r="AN997" s="50" t="str">
        <f>Sheet1!B996</f>
        <v>31-05-2025</v>
      </c>
      <c r="AO997" s="50">
        <f t="shared" si="99"/>
        <v>7</v>
      </c>
      <c r="AP997" s="50">
        <f t="shared" si="94"/>
        <v>5</v>
      </c>
      <c r="AQ997" s="50">
        <f t="shared" si="95"/>
        <v>2025</v>
      </c>
      <c r="AR997" s="50" t="str">
        <f t="shared" si="96"/>
        <v>May-2025</v>
      </c>
      <c r="AS997" s="52">
        <f t="shared" si="97"/>
        <v>45784</v>
      </c>
      <c r="AT997" s="44">
        <f t="shared" ca="1" si="98"/>
        <v>494</v>
      </c>
      <c r="AU997" s="40" t="str">
        <f>LEFT(Sheet1!AE996,3)</f>
        <v>Pri</v>
      </c>
      <c r="AV997" s="40" t="str">
        <f>RIGHT(Sheet1!AF996,2)</f>
        <v>ra</v>
      </c>
      <c r="AW997" s="40" t="str">
        <f>MID(Sheet1!AE996,2,3)</f>
        <v>riy</v>
      </c>
      <c r="AX997" s="42">
        <f>LEN(Sheet1!AE996)</f>
        <v>5</v>
      </c>
      <c r="AY997" s="40" t="str">
        <f>UPPER(Sheet1!AE996)</f>
        <v>PRIYA</v>
      </c>
      <c r="AZ997" s="40" t="str">
        <f>LOWER(Sheet1!AE996)</f>
        <v>priya</v>
      </c>
      <c r="BA997" s="40" t="str">
        <f>PROPER(Sheet1!AE996)</f>
        <v>Priya</v>
      </c>
      <c r="BB997" s="40" t="str">
        <f>_xlfn.CONCAT(Sheet1!AE996," ",Sheet1!AF996)</f>
        <v>Priya Chopra</v>
      </c>
    </row>
    <row r="998" spans="40:54">
      <c r="AN998" s="50" t="str">
        <f>Sheet1!B997</f>
        <v>31-07-2025</v>
      </c>
      <c r="AO998" s="50">
        <f t="shared" si="99"/>
        <v>7</v>
      </c>
      <c r="AP998" s="50">
        <f t="shared" si="94"/>
        <v>7</v>
      </c>
      <c r="AQ998" s="50">
        <f t="shared" si="95"/>
        <v>2025</v>
      </c>
      <c r="AR998" s="50" t="str">
        <f t="shared" si="96"/>
        <v>Jul-2025</v>
      </c>
      <c r="AS998" s="52">
        <f t="shared" si="97"/>
        <v>45845</v>
      </c>
      <c r="AT998" s="44">
        <f t="shared" ca="1" si="98"/>
        <v>433</v>
      </c>
      <c r="AU998" s="40" t="str">
        <f>LEFT(Sheet1!AE997,3)</f>
        <v>Nis</v>
      </c>
      <c r="AV998" s="40" t="str">
        <f>RIGHT(Sheet1!AF997,2)</f>
        <v>ra</v>
      </c>
      <c r="AW998" s="40" t="str">
        <f>MID(Sheet1!AE997,2,3)</f>
        <v>ish</v>
      </c>
      <c r="AX998" s="42">
        <f>LEN(Sheet1!AE997)</f>
        <v>5</v>
      </c>
      <c r="AY998" s="40" t="str">
        <f>UPPER(Sheet1!AE997)</f>
        <v>NISHA</v>
      </c>
      <c r="AZ998" s="40" t="str">
        <f>LOWER(Sheet1!AE997)</f>
        <v>nisha</v>
      </c>
      <c r="BA998" s="40" t="str">
        <f>PROPER(Sheet1!AE997)</f>
        <v>Nisha</v>
      </c>
      <c r="BB998" s="40" t="str">
        <f>_xlfn.CONCAT(Sheet1!AE997," ",Sheet1!AF997)</f>
        <v>Nisha Mishra</v>
      </c>
    </row>
    <row r="999" spans="40:54">
      <c r="AN999" s="50" t="str">
        <f>Sheet1!B998</f>
        <v>31-08-2024</v>
      </c>
      <c r="AO999" s="50">
        <f t="shared" si="99"/>
        <v>8</v>
      </c>
      <c r="AP999" s="50">
        <f t="shared" si="94"/>
        <v>8</v>
      </c>
      <c r="AQ999" s="50">
        <f t="shared" si="95"/>
        <v>2024</v>
      </c>
      <c r="AR999" s="50" t="str">
        <f t="shared" si="96"/>
        <v>Aug-2024</v>
      </c>
      <c r="AS999" s="52">
        <f t="shared" si="97"/>
        <v>45512</v>
      </c>
      <c r="AT999" s="44">
        <f t="shared" ca="1" si="98"/>
        <v>766</v>
      </c>
      <c r="AU999" s="40" t="str">
        <f>LEFT(Sheet1!AE998,3)</f>
        <v>Rah</v>
      </c>
      <c r="AV999" s="40" t="str">
        <f>RIGHT(Sheet1!AF998,2)</f>
        <v>or</v>
      </c>
      <c r="AW999" s="40" t="str">
        <f>MID(Sheet1!AE998,2,3)</f>
        <v>ahu</v>
      </c>
      <c r="AX999" s="42">
        <f>LEN(Sheet1!AE998)</f>
        <v>5</v>
      </c>
      <c r="AY999" s="40" t="str">
        <f>UPPER(Sheet1!AE998)</f>
        <v>RAHUL</v>
      </c>
      <c r="AZ999" s="40" t="str">
        <f>LOWER(Sheet1!AE998)</f>
        <v>rahul</v>
      </c>
      <c r="BA999" s="40" t="str">
        <f>PROPER(Sheet1!AE998)</f>
        <v>Rahul</v>
      </c>
      <c r="BB999" s="40" t="str">
        <f>_xlfn.CONCAT(Sheet1!AE998," ",Sheet1!AF998)</f>
        <v>Rahul Kapoor</v>
      </c>
    </row>
    <row r="1000" spans="40:54">
      <c r="AN1000" s="50" t="str">
        <f>Sheet1!B999</f>
        <v>31-10-2025</v>
      </c>
      <c r="AO1000" s="50">
        <f t="shared" si="99"/>
        <v>8</v>
      </c>
      <c r="AP1000" s="50">
        <f t="shared" si="94"/>
        <v>10</v>
      </c>
      <c r="AQ1000" s="50">
        <f t="shared" si="95"/>
        <v>2025</v>
      </c>
      <c r="AR1000" s="50" t="str">
        <f t="shared" si="96"/>
        <v>Oct-2025</v>
      </c>
      <c r="AS1000" s="52">
        <f t="shared" si="97"/>
        <v>45938</v>
      </c>
      <c r="AT1000" s="44">
        <f t="shared" ca="1" si="98"/>
        <v>340</v>
      </c>
      <c r="AU1000" s="40" t="str">
        <f>LEFT(Sheet1!AE999,3)</f>
        <v>Riy</v>
      </c>
      <c r="AV1000" s="40" t="str">
        <f>RIGHT(Sheet1!AF999,2)</f>
        <v>ar</v>
      </c>
      <c r="AW1000" s="40" t="str">
        <f>MID(Sheet1!AE999,2,3)</f>
        <v>iya</v>
      </c>
      <c r="AX1000" s="42">
        <f>LEN(Sheet1!AE999)</f>
        <v>4</v>
      </c>
      <c r="AY1000" s="40" t="str">
        <f>UPPER(Sheet1!AE999)</f>
        <v>RIYA</v>
      </c>
      <c r="AZ1000" s="40" t="str">
        <f>LOWER(Sheet1!AE999)</f>
        <v>riya</v>
      </c>
      <c r="BA1000" s="40" t="str">
        <f>PROPER(Sheet1!AE999)</f>
        <v>Riya</v>
      </c>
      <c r="BB1000" s="40" t="str">
        <f>_xlfn.CONCAT(Sheet1!AE999," ",Sheet1!AF999)</f>
        <v>Riya Kumar</v>
      </c>
    </row>
    <row r="1001" spans="40:54">
      <c r="AN1001" s="50" t="str">
        <f>Sheet1!B1000</f>
        <v>31-10-2025</v>
      </c>
      <c r="AO1001" s="50">
        <f t="shared" si="99"/>
        <v>9</v>
      </c>
      <c r="AP1001" s="50">
        <f t="shared" si="94"/>
        <v>10</v>
      </c>
      <c r="AQ1001" s="50">
        <f t="shared" si="95"/>
        <v>2025</v>
      </c>
      <c r="AR1001" s="50" t="str">
        <f t="shared" si="96"/>
        <v>Oct-2025</v>
      </c>
      <c r="AS1001" s="52">
        <f t="shared" si="97"/>
        <v>45939</v>
      </c>
      <c r="AT1001" s="44">
        <f t="shared" ca="1" si="98"/>
        <v>339</v>
      </c>
      <c r="AU1001" s="40" t="str">
        <f>LEFT(Sheet1!AE1000,3)</f>
        <v>Ana</v>
      </c>
      <c r="AV1001" s="40" t="str">
        <f>RIGHT(Sheet1!AF1000,2)</f>
        <v>ma</v>
      </c>
      <c r="AW1001" s="40" t="str">
        <f>MID(Sheet1!AE1000,2,3)</f>
        <v>nan</v>
      </c>
      <c r="AX1001" s="42">
        <f>LEN(Sheet1!AE1000)</f>
        <v>6</v>
      </c>
      <c r="AY1001" s="40" t="str">
        <f>UPPER(Sheet1!AE1000)</f>
        <v>ANANYA</v>
      </c>
      <c r="AZ1001" s="40" t="str">
        <f>LOWER(Sheet1!AE1000)</f>
        <v>ananya</v>
      </c>
      <c r="BA1001" s="40" t="str">
        <f>PROPER(Sheet1!AE1000)</f>
        <v>Ananya</v>
      </c>
      <c r="BB1001" s="40" t="str">
        <f>_xlfn.CONCAT(Sheet1!AE1000," ",Sheet1!AF1000)</f>
        <v>Ananya Verma</v>
      </c>
    </row>
    <row r="1002" spans="40:54">
      <c r="AN1002" s="50" t="str">
        <f>Sheet1!B1001</f>
        <v>31-12-2025</v>
      </c>
      <c r="AO1002" s="50">
        <f t="shared" si="99"/>
        <v>10</v>
      </c>
      <c r="AP1002" s="50">
        <f t="shared" si="94"/>
        <v>12</v>
      </c>
      <c r="AQ1002" s="50">
        <f t="shared" si="95"/>
        <v>2025</v>
      </c>
      <c r="AR1002" s="50" t="str">
        <f t="shared" si="96"/>
        <v>Dec-2025</v>
      </c>
      <c r="AS1002" s="52">
        <f t="shared" si="97"/>
        <v>46001</v>
      </c>
      <c r="AT1002" s="44">
        <f t="shared" ca="1" si="98"/>
        <v>277</v>
      </c>
      <c r="AU1002" s="40" t="str">
        <f>LEFT(Sheet1!AE1001,3)</f>
        <v>Sne</v>
      </c>
      <c r="AV1002" s="40" t="str">
        <f>RIGHT(Sheet1!AF1001,2)</f>
        <v>ra</v>
      </c>
      <c r="AW1002" s="40" t="str">
        <f>MID(Sheet1!AE1001,2,3)</f>
        <v>neh</v>
      </c>
      <c r="AX1002" s="42">
        <f>LEN(Sheet1!AE1001)</f>
        <v>5</v>
      </c>
      <c r="AY1002" s="40" t="str">
        <f>UPPER(Sheet1!AE1001)</f>
        <v>SNEHA</v>
      </c>
      <c r="AZ1002" s="40" t="str">
        <f>LOWER(Sheet1!AE1001)</f>
        <v>sneha</v>
      </c>
      <c r="BA1002" s="40" t="str">
        <f>PROPER(Sheet1!AE1001)</f>
        <v>Sneha</v>
      </c>
      <c r="BB1002" s="40" t="str">
        <f>_xlfn.CONCAT(Sheet1!AE1001," ",Sheet1!AF1001)</f>
        <v>Sneha Malhotra</v>
      </c>
    </row>
    <row r="1003" spans="40:54">
      <c r="AN1003" s="50"/>
      <c r="AO1003" s="50"/>
      <c r="AP1003" s="50"/>
      <c r="AQ1003" s="50"/>
      <c r="AR1003" s="50"/>
      <c r="AS1003" s="52"/>
      <c r="AT1003" s="44"/>
      <c r="AU1003" s="40" t="str">
        <f>LEFT(Sheet1!AE1002,3)</f>
        <v/>
      </c>
      <c r="AV1003" s="40" t="str">
        <f>RIGHT(Sheet1!AF1002,2)</f>
        <v/>
      </c>
      <c r="AW1003" s="40" t="str">
        <f>MID(Sheet1!AE1002,2,3)</f>
        <v/>
      </c>
      <c r="AX1003" s="42"/>
      <c r="AY1003" s="40" t="str">
        <f>UPPER(Sheet1!AE1002)</f>
        <v/>
      </c>
      <c r="AZ1003" s="40" t="str">
        <f>LOWER(Sheet1!AE1002)</f>
        <v/>
      </c>
      <c r="BA1003" s="40" t="str">
        <f>PROPER(Sheet1!AE1002)</f>
        <v/>
      </c>
      <c r="BB1003" s="40" t="str">
        <f>_xlfn.CONCAT(Sheet1!AE1002," ",Sheet1!AF1002)</f>
        <v xml:space="preserve"> </v>
      </c>
    </row>
    <row r="1004" spans="40:54">
      <c r="AN1004" s="50"/>
      <c r="AO1004" s="50"/>
      <c r="AP1004" s="50"/>
      <c r="AQ1004" s="50"/>
      <c r="AR1004" s="50"/>
      <c r="AS1004" s="52"/>
      <c r="AT1004" s="44"/>
      <c r="AU1004" s="40" t="str">
        <f>LEFT(Sheet1!AE1003,3)</f>
        <v/>
      </c>
      <c r="AV1004" s="40" t="str">
        <f>RIGHT(Sheet1!AF1003,2)</f>
        <v/>
      </c>
      <c r="AW1004" s="40" t="str">
        <f>MID(Sheet1!AE1003,2,3)</f>
        <v/>
      </c>
      <c r="AX1004" s="42"/>
      <c r="AY1004" s="40" t="str">
        <f>UPPER(Sheet1!AE1003)</f>
        <v/>
      </c>
      <c r="AZ1004" s="40" t="str">
        <f>LOWER(Sheet1!AE1003)</f>
        <v/>
      </c>
      <c r="BA1004" s="40" t="str">
        <f>PROPER(Sheet1!AE1003)</f>
        <v/>
      </c>
      <c r="BB1004" s="40" t="str">
        <f>_xlfn.CONCAT(Sheet1!AE1003," ",Sheet1!AF1003)</f>
        <v xml:space="preserve"> </v>
      </c>
    </row>
    <row r="1005" spans="40:54">
      <c r="AN1005" s="50"/>
      <c r="AO1005" s="50"/>
      <c r="AP1005" s="50"/>
      <c r="AQ1005" s="50"/>
      <c r="AR1005" s="50"/>
      <c r="AS1005" s="52"/>
      <c r="AT1005" s="44"/>
      <c r="AU1005" s="40" t="str">
        <f>LEFT(Sheet1!AE1004,3)</f>
        <v/>
      </c>
      <c r="AV1005" s="40" t="str">
        <f>RIGHT(Sheet1!AF1004,2)</f>
        <v/>
      </c>
      <c r="AW1005" s="40" t="str">
        <f>MID(Sheet1!AE1004,2,3)</f>
        <v/>
      </c>
      <c r="AX1005" s="42"/>
      <c r="AY1005" s="40" t="str">
        <f>UPPER(Sheet1!AE1004)</f>
        <v/>
      </c>
      <c r="AZ1005" s="40" t="str">
        <f>LOWER(Sheet1!AE1004)</f>
        <v/>
      </c>
      <c r="BA1005" s="40" t="str">
        <f>PROPER(Sheet1!AE1004)</f>
        <v/>
      </c>
      <c r="BB1005" s="40" t="str">
        <f>_xlfn.CONCAT(Sheet1!AE1004," ",Sheet1!AF1004)</f>
        <v xml:space="preserve"> </v>
      </c>
    </row>
    <row r="1006" spans="40:54">
      <c r="AN1006" s="50"/>
      <c r="AO1006" s="50"/>
      <c r="AP1006" s="50"/>
      <c r="AQ1006" s="50"/>
      <c r="AR1006" s="50"/>
      <c r="AS1006" s="52"/>
      <c r="AT1006" s="44"/>
      <c r="AU1006" s="40" t="str">
        <f>LEFT(Sheet1!AE1005,3)</f>
        <v/>
      </c>
      <c r="AV1006" s="40" t="str">
        <f>RIGHT(Sheet1!AF1005,2)</f>
        <v/>
      </c>
      <c r="AW1006" s="40" t="str">
        <f>MID(Sheet1!AE1005,2,3)</f>
        <v/>
      </c>
      <c r="AX1006" s="42"/>
      <c r="AY1006" s="40" t="str">
        <f>UPPER(Sheet1!AE1005)</f>
        <v/>
      </c>
      <c r="AZ1006" s="40" t="str">
        <f>LOWER(Sheet1!AE1005)</f>
        <v/>
      </c>
      <c r="BA1006" s="40" t="str">
        <f>PROPER(Sheet1!AE1005)</f>
        <v/>
      </c>
      <c r="BB1006" s="40" t="str">
        <f>_xlfn.CONCAT(Sheet1!AE1005," ",Sheet1!AF1005)</f>
        <v xml:space="preserve"> </v>
      </c>
    </row>
    <row r="1007" spans="40:54">
      <c r="AN1007" s="50"/>
      <c r="AO1007" s="50"/>
      <c r="AP1007" s="50"/>
      <c r="AQ1007" s="50"/>
      <c r="AR1007" s="50"/>
      <c r="AS1007" s="52"/>
      <c r="AT1007" s="44"/>
      <c r="AU1007" s="40" t="str">
        <f>LEFT(Sheet1!AE1006,3)</f>
        <v/>
      </c>
      <c r="AV1007" s="40" t="str">
        <f>RIGHT(Sheet1!AF1006,2)</f>
        <v/>
      </c>
      <c r="AW1007" s="40" t="str">
        <f>MID(Sheet1!AE1006,2,3)</f>
        <v/>
      </c>
      <c r="AX1007" s="42"/>
      <c r="AY1007" s="40" t="str">
        <f>UPPER(Sheet1!AE1006)</f>
        <v/>
      </c>
      <c r="AZ1007" s="40" t="str">
        <f>LOWER(Sheet1!AE1006)</f>
        <v/>
      </c>
      <c r="BA1007" s="40" t="str">
        <f>PROPER(Sheet1!AE1006)</f>
        <v/>
      </c>
      <c r="BB1007" s="40" t="str">
        <f>_xlfn.CONCAT(Sheet1!AE1006," ",Sheet1!AF1006)</f>
        <v xml:space="preserve"> </v>
      </c>
    </row>
    <row r="1008" spans="40:54">
      <c r="AN1008" s="50"/>
      <c r="AO1008" s="50"/>
      <c r="AP1008" s="50"/>
      <c r="AQ1008" s="50"/>
      <c r="AR1008" s="50"/>
      <c r="AS1008" s="40"/>
      <c r="AT1008" s="44"/>
      <c r="AU1008" s="40" t="str">
        <f>LEFT(Sheet1!AE1007,3)</f>
        <v/>
      </c>
      <c r="AV1008" s="40" t="str">
        <f>RIGHT(Sheet1!AF1007,2)</f>
        <v/>
      </c>
      <c r="AW1008" s="40" t="str">
        <f>MID(Sheet1!AE1007,2,3)</f>
        <v/>
      </c>
      <c r="AX1008" s="42"/>
      <c r="AY1008" s="40" t="str">
        <f>UPPER(Sheet1!AE1007)</f>
        <v/>
      </c>
      <c r="AZ1008" s="40" t="str">
        <f>LOWER(Sheet1!AE1007)</f>
        <v/>
      </c>
      <c r="BA1008" s="40" t="str">
        <f>PROPER(Sheet1!AE1007)</f>
        <v/>
      </c>
      <c r="BB1008" s="40" t="str">
        <f>_xlfn.CONCAT(Sheet1!AE1007," ",Sheet1!AF1007)</f>
        <v xml:space="preserve"> </v>
      </c>
    </row>
    <row r="1009" spans="40:54">
      <c r="AN1009" s="50"/>
      <c r="AO1009" s="50"/>
      <c r="AP1009" s="50"/>
      <c r="AQ1009" s="50"/>
      <c r="AR1009" s="50"/>
      <c r="AS1009" s="40"/>
      <c r="AT1009" s="44"/>
      <c r="AU1009" s="40" t="str">
        <f>LEFT(Sheet1!AE1008,3)</f>
        <v/>
      </c>
      <c r="AV1009" s="40" t="str">
        <f>RIGHT(Sheet1!AF1008,2)</f>
        <v/>
      </c>
      <c r="AW1009" s="40" t="str">
        <f>MID(Sheet1!AE1008,2,3)</f>
        <v/>
      </c>
      <c r="AX1009" s="42"/>
      <c r="AY1009" s="40" t="str">
        <f>UPPER(Sheet1!AE1008)</f>
        <v/>
      </c>
      <c r="AZ1009" s="40" t="str">
        <f>LOWER(Sheet1!AE1008)</f>
        <v/>
      </c>
      <c r="BA1009" s="40" t="str">
        <f>PROPER(Sheet1!AE1008)</f>
        <v/>
      </c>
      <c r="BB1009" s="40" t="str">
        <f>_xlfn.CONCAT(Sheet1!AE1008," ",Sheet1!AF1008)</f>
        <v xml:space="preserve"> </v>
      </c>
    </row>
    <row r="1010" spans="40:54">
      <c r="AN1010" s="50"/>
      <c r="AO1010" s="50"/>
      <c r="AP1010" s="50"/>
      <c r="AQ1010" s="50"/>
      <c r="AR1010" s="50"/>
      <c r="AS1010" s="40"/>
      <c r="AT1010" s="44"/>
      <c r="AU1010" s="40" t="str">
        <f>LEFT(Sheet1!AE1009,3)</f>
        <v/>
      </c>
      <c r="AV1010" s="40" t="str">
        <f>RIGHT(Sheet1!AF1009,2)</f>
        <v/>
      </c>
      <c r="AW1010" s="40" t="str">
        <f>MID(Sheet1!AE1009,2,3)</f>
        <v/>
      </c>
      <c r="AX1010" s="42"/>
      <c r="AY1010" s="40" t="str">
        <f>UPPER(Sheet1!AE1009)</f>
        <v/>
      </c>
      <c r="AZ1010" s="40" t="str">
        <f>LOWER(Sheet1!AE1009)</f>
        <v/>
      </c>
      <c r="BA1010" s="40" t="str">
        <f>PROPER(Sheet1!AE1009)</f>
        <v/>
      </c>
      <c r="BB1010" s="40" t="str">
        <f>_xlfn.CONCAT(Sheet1!AE1009," ",Sheet1!AF1009)</f>
        <v xml:space="preserve"> </v>
      </c>
    </row>
    <row r="1011" spans="40:54">
      <c r="AN1011" s="50"/>
      <c r="AO1011" s="50"/>
      <c r="AP1011" s="50"/>
      <c r="AQ1011" s="50"/>
      <c r="AR1011" s="50"/>
      <c r="AS1011" s="40"/>
      <c r="AT1011" s="44"/>
      <c r="AU1011" s="40"/>
      <c r="AV1011" s="40" t="str">
        <f>RIGHT(Sheet1!AF1010,2)</f>
        <v/>
      </c>
      <c r="AW1011" s="40" t="str">
        <f>MID(Sheet1!AE1010,2,3)</f>
        <v/>
      </c>
      <c r="AX1011" s="42"/>
      <c r="AY1011" s="40" t="str">
        <f>UPPER(Sheet1!AE1010)</f>
        <v/>
      </c>
      <c r="AZ1011" s="40" t="str">
        <f>LOWER(Sheet1!AE1010)</f>
        <v/>
      </c>
      <c r="BA1011" s="40" t="str">
        <f>PROPER(Sheet1!AE1010)</f>
        <v/>
      </c>
      <c r="BB1011" s="40" t="str">
        <f>_xlfn.CONCAT(Sheet1!AE1010," ",Sheet1!AF1010)</f>
        <v xml:space="preserve"> </v>
      </c>
    </row>
    <row r="1012" spans="40:54">
      <c r="AN1012" s="50"/>
      <c r="AO1012" s="50"/>
      <c r="AP1012" s="50"/>
      <c r="AQ1012" s="50"/>
      <c r="AR1012" s="50"/>
      <c r="AS1012" s="40"/>
      <c r="AT1012" s="44"/>
      <c r="AU1012" s="40"/>
      <c r="AV1012" s="40"/>
      <c r="AW1012" s="40" t="str">
        <f>MID(Sheet1!AE1011,2,3)</f>
        <v/>
      </c>
      <c r="AX1012" s="42"/>
      <c r="AY1012" s="40" t="str">
        <f>UPPER(Sheet1!AE1011)</f>
        <v/>
      </c>
      <c r="AZ1012" s="40" t="str">
        <f>LOWER(Sheet1!AE1011)</f>
        <v/>
      </c>
      <c r="BA1012" s="40" t="str">
        <f>PROPER(Sheet1!AE1011)</f>
        <v/>
      </c>
      <c r="BB1012" s="40"/>
    </row>
    <row r="1013" spans="40:54">
      <c r="AN1013" s="50"/>
      <c r="AO1013" s="50"/>
      <c r="AP1013" s="50"/>
      <c r="AQ1013" s="50"/>
      <c r="AR1013" s="50"/>
      <c r="AS1013" s="40"/>
      <c r="AT1013" s="44"/>
      <c r="AU1013" s="40"/>
      <c r="AV1013" s="40"/>
      <c r="AW1013" s="40"/>
      <c r="AX1013" s="42"/>
      <c r="AY1013" s="40" t="str">
        <f>UPPER(Sheet1!AE1012)</f>
        <v/>
      </c>
      <c r="AZ1013" s="40" t="str">
        <f>LOWER(Sheet1!AE1012)</f>
        <v/>
      </c>
      <c r="BA1013" s="40" t="str">
        <f>PROPER(Sheet1!AE1012)</f>
        <v/>
      </c>
      <c r="BB1013" s="40"/>
    </row>
    <row r="1014" spans="40:54">
      <c r="AN1014" s="50"/>
      <c r="AO1014" s="50"/>
      <c r="AP1014" s="50"/>
      <c r="AQ1014" s="50"/>
      <c r="AR1014" s="50"/>
      <c r="AS1014" s="40"/>
      <c r="AT1014" s="44"/>
      <c r="AU1014" s="40"/>
      <c r="AV1014" s="40"/>
      <c r="AW1014" s="40" t="str">
        <f>MID(Sheet1!AE1013,2,3)</f>
        <v/>
      </c>
      <c r="AX1014" s="42"/>
      <c r="AY1014" s="40" t="str">
        <f>UPPER(Sheet1!AE1013)</f>
        <v/>
      </c>
      <c r="AZ1014" s="40"/>
      <c r="BA1014" s="40" t="str">
        <f>PROPER(Sheet1!AE1013)</f>
        <v/>
      </c>
      <c r="BB1014" s="40"/>
    </row>
    <row r="1015" spans="40:54">
      <c r="AN1015" s="50"/>
      <c r="AO1015" s="50"/>
      <c r="AP1015" s="50"/>
      <c r="AQ1015" s="50"/>
      <c r="AR1015" s="50"/>
      <c r="AS1015" s="40"/>
      <c r="AT1015" s="44"/>
      <c r="AU1015" s="40"/>
      <c r="AV1015" s="40"/>
      <c r="AW1015" s="40" t="str">
        <f>MID(Sheet1!AE1014,2,3)</f>
        <v/>
      </c>
      <c r="AX1015" s="42"/>
      <c r="AY1015" s="40" t="str">
        <f>UPPER(Sheet1!AE1014)</f>
        <v/>
      </c>
      <c r="AZ1015" s="40"/>
      <c r="BA1015" s="40" t="str">
        <f>PROPER(Sheet1!AE1014)</f>
        <v/>
      </c>
      <c r="BB1015" s="40"/>
    </row>
    <row r="1016" spans="40:54">
      <c r="AN1016" s="50"/>
      <c r="AO1016" s="50"/>
      <c r="AP1016" s="50"/>
      <c r="AQ1016" s="50"/>
      <c r="AR1016" s="50"/>
      <c r="AS1016" s="40"/>
      <c r="AT1016" s="44"/>
      <c r="AU1016" s="40"/>
      <c r="AV1016" s="40"/>
      <c r="AW1016" s="40" t="str">
        <f>MID(Sheet1!AE1015,2,3)</f>
        <v/>
      </c>
      <c r="AX1016" s="42"/>
      <c r="AY1016" s="40" t="str">
        <f>UPPER(Sheet1!AE1015)</f>
        <v/>
      </c>
      <c r="AZ1016" s="40"/>
      <c r="BA1016" s="40" t="str">
        <f>PROPER(Sheet1!AE1015)</f>
        <v/>
      </c>
      <c r="BB1016" s="40"/>
    </row>
    <row r="1017" spans="40:54">
      <c r="AN1017" s="50"/>
      <c r="AO1017" s="50"/>
      <c r="AP1017" s="50"/>
      <c r="AQ1017" s="50"/>
      <c r="AR1017" s="50"/>
      <c r="AS1017" s="40"/>
      <c r="AT1017" s="44"/>
      <c r="AU1017" s="40"/>
      <c r="AV1017" s="40"/>
      <c r="AW1017" s="40" t="str">
        <f>MID(Sheet1!AE1016,2,3)</f>
        <v/>
      </c>
      <c r="AX1017" s="42"/>
      <c r="AY1017" s="40" t="str">
        <f>UPPER(Sheet1!AE1016)</f>
        <v/>
      </c>
      <c r="AZ1017" s="40"/>
      <c r="BA1017" s="40" t="str">
        <f>PROPER(Sheet1!AE1016)</f>
        <v/>
      </c>
      <c r="BB1017" s="40"/>
    </row>
    <row r="1018" spans="40:54">
      <c r="AN1018" s="50"/>
      <c r="AO1018" s="50"/>
      <c r="AP1018" s="50"/>
      <c r="AQ1018" s="50"/>
      <c r="AR1018" s="50"/>
      <c r="AS1018" s="40"/>
      <c r="AT1018" s="44"/>
      <c r="AU1018" s="40"/>
      <c r="AV1018" s="40"/>
      <c r="AW1018" s="40" t="str">
        <f>MID(Sheet1!AE1017,2,3)</f>
        <v/>
      </c>
      <c r="AX1018" s="42"/>
      <c r="AY1018" s="40"/>
      <c r="AZ1018" s="40"/>
      <c r="BA1018" s="40" t="str">
        <f>PROPER(Sheet1!AE1017)</f>
        <v/>
      </c>
      <c r="BB1018" s="40"/>
    </row>
    <row r="1019" spans="40:54">
      <c r="AN1019" s="50"/>
      <c r="AO1019" s="50"/>
      <c r="AP1019" s="50"/>
      <c r="AQ1019" s="50"/>
      <c r="AR1019" s="50"/>
      <c r="AS1019" s="40"/>
      <c r="AT1019" s="44"/>
      <c r="AU1019" s="40"/>
      <c r="AV1019" s="40"/>
      <c r="AW1019" s="40" t="str">
        <f>MID(Sheet1!AE1018,2,3)</f>
        <v/>
      </c>
      <c r="AX1019" s="42"/>
      <c r="AY1019" s="40"/>
      <c r="AZ1019" s="40"/>
      <c r="BA1019" s="40" t="str">
        <f>PROPER(Sheet1!AE1018)</f>
        <v/>
      </c>
      <c r="BB1019" s="40"/>
    </row>
    <row r="1020" spans="40:54">
      <c r="AN1020" s="50"/>
      <c r="AO1020" s="50"/>
      <c r="AP1020" s="50"/>
      <c r="AQ1020" s="50"/>
      <c r="AR1020" s="50"/>
      <c r="AS1020" s="40"/>
      <c r="AT1020" s="44"/>
      <c r="AU1020" s="40"/>
      <c r="AV1020" s="40"/>
      <c r="AW1020" s="40" t="str">
        <f>MID(Sheet1!AE1019,2,3)</f>
        <v/>
      </c>
      <c r="AX1020" s="42"/>
      <c r="AY1020" s="40"/>
      <c r="AZ1020" s="40"/>
      <c r="BA1020" s="40" t="str">
        <f>PROPER(Sheet1!AE1019)</f>
        <v/>
      </c>
      <c r="BB1020" s="40"/>
    </row>
    <row r="1021" spans="40:54">
      <c r="AN1021" s="50"/>
      <c r="AO1021" s="50"/>
      <c r="AP1021" s="50"/>
      <c r="AQ1021" s="50"/>
      <c r="AR1021" s="50"/>
      <c r="AS1021" s="40"/>
      <c r="AT1021" s="44"/>
      <c r="AU1021" s="40"/>
      <c r="AV1021" s="40"/>
      <c r="AW1021" s="40" t="str">
        <f>MID(Sheet1!AE1020,2,3)</f>
        <v/>
      </c>
      <c r="AX1021" s="42"/>
      <c r="AY1021" s="40"/>
      <c r="AZ1021" s="40"/>
      <c r="BA1021" s="40" t="str">
        <f>PROPER(Sheet1!AE1020)</f>
        <v/>
      </c>
      <c r="BB1021" s="40"/>
    </row>
    <row r="1022" spans="40:54">
      <c r="AN1022" s="50"/>
      <c r="AO1022" s="50"/>
      <c r="AP1022" s="50"/>
      <c r="AQ1022" s="50"/>
      <c r="AR1022" s="50"/>
      <c r="AS1022" s="40"/>
      <c r="AT1022" s="44"/>
      <c r="AU1022" s="40"/>
      <c r="AV1022" s="40"/>
      <c r="AW1022" s="40" t="str">
        <f>MID(Sheet1!AE1021,2,3)</f>
        <v/>
      </c>
      <c r="AX1022" s="42"/>
      <c r="AY1022" s="40"/>
      <c r="AZ1022" s="40"/>
      <c r="BA1022" s="40" t="str">
        <f>PROPER(Sheet1!AE1021)</f>
        <v/>
      </c>
      <c r="BB1022" s="40"/>
    </row>
    <row r="1023" spans="40:54">
      <c r="AN1023" s="50"/>
      <c r="AO1023" s="50"/>
      <c r="AP1023" s="50"/>
      <c r="AQ1023" s="50"/>
      <c r="AR1023" s="50"/>
      <c r="AS1023" s="40"/>
      <c r="AT1023" s="44"/>
      <c r="AU1023" s="40"/>
      <c r="AV1023" s="40"/>
      <c r="AW1023" s="40" t="str">
        <f>MID(Sheet1!AE1022,2,3)</f>
        <v/>
      </c>
      <c r="AX1023" s="42"/>
      <c r="AY1023" s="40"/>
      <c r="AZ1023" s="40"/>
      <c r="BA1023" s="40" t="str">
        <f>PROPER(Sheet1!AE1022)</f>
        <v/>
      </c>
      <c r="BB1023" s="40"/>
    </row>
    <row r="1024" spans="40:54">
      <c r="AN1024" s="50"/>
      <c r="AO1024" s="50"/>
      <c r="AP1024" s="50"/>
      <c r="AQ1024" s="50"/>
      <c r="AR1024" s="50"/>
      <c r="AS1024" s="40"/>
      <c r="AT1024" s="44"/>
      <c r="AU1024" s="40"/>
      <c r="AV1024" s="40"/>
      <c r="AW1024" s="40" t="str">
        <f>MID(Sheet1!AE1023,2,3)</f>
        <v/>
      </c>
      <c r="AX1024" s="42"/>
      <c r="AY1024" s="40"/>
      <c r="AZ1024" s="40"/>
      <c r="BA1024" s="40" t="str">
        <f>PROPER(Sheet1!AE1023)</f>
        <v/>
      </c>
      <c r="BB1024" s="40"/>
    </row>
    <row r="1025" spans="40:54">
      <c r="AN1025" s="50"/>
      <c r="AO1025" s="50"/>
      <c r="AP1025" s="50"/>
      <c r="AQ1025" s="50"/>
      <c r="AR1025" s="50"/>
      <c r="AS1025" s="40"/>
      <c r="AT1025" s="44"/>
      <c r="AU1025" s="40"/>
      <c r="AV1025" s="40"/>
      <c r="AW1025" s="40" t="str">
        <f>MID(Sheet1!AE1024,2,3)</f>
        <v/>
      </c>
      <c r="AX1025" s="42"/>
      <c r="AY1025" s="40"/>
      <c r="AZ1025" s="40"/>
      <c r="BA1025" s="40" t="str">
        <f>PROPER(Sheet1!AE1024)</f>
        <v/>
      </c>
      <c r="BB1025" s="40"/>
    </row>
    <row r="1026" spans="40:54">
      <c r="AN1026" s="50"/>
      <c r="AO1026" s="50"/>
      <c r="AP1026" s="50"/>
      <c r="AQ1026" s="50"/>
      <c r="AR1026" s="50"/>
      <c r="AS1026" s="40"/>
      <c r="AT1026" s="44"/>
      <c r="AU1026" s="40"/>
      <c r="AV1026" s="40"/>
      <c r="AW1026" s="40" t="str">
        <f>MID(Sheet1!AE1025,2,3)</f>
        <v/>
      </c>
      <c r="AX1026" s="42"/>
      <c r="AY1026" s="40"/>
      <c r="AZ1026" s="40"/>
      <c r="BA1026" s="40" t="str">
        <f>PROPER(Sheet1!AE1025)</f>
        <v/>
      </c>
      <c r="BB1026" s="40"/>
    </row>
    <row r="1027" spans="40:54">
      <c r="AN1027" s="50"/>
      <c r="AO1027" s="50"/>
      <c r="AP1027" s="50"/>
      <c r="AQ1027" s="50"/>
      <c r="AR1027" s="50"/>
      <c r="AS1027" s="40"/>
      <c r="AT1027" s="44"/>
      <c r="AU1027" s="40"/>
      <c r="AV1027" s="40"/>
      <c r="AW1027" s="40" t="str">
        <f>MID(Sheet1!AE1026,2,3)</f>
        <v/>
      </c>
      <c r="AX1027" s="42"/>
      <c r="AY1027" s="40"/>
      <c r="AZ1027" s="40"/>
      <c r="BA1027" s="40" t="str">
        <f>PROPER(Sheet1!AE1026)</f>
        <v/>
      </c>
      <c r="BB1027" s="40"/>
    </row>
    <row r="1028" spans="40:54">
      <c r="AN1028" s="50"/>
      <c r="AO1028" s="50"/>
      <c r="AP1028" s="50"/>
      <c r="AQ1028" s="50"/>
      <c r="AR1028" s="50"/>
      <c r="AS1028" s="40"/>
      <c r="AT1028" s="40"/>
      <c r="AU1028" s="40"/>
      <c r="AV1028" s="40"/>
      <c r="AW1028" s="40" t="str">
        <f>MID(Sheet1!AE1027,2,3)</f>
        <v/>
      </c>
      <c r="AX1028" s="42"/>
      <c r="AY1028" s="40"/>
      <c r="AZ1028" s="40"/>
      <c r="BA1028" s="40" t="str">
        <f>PROPER(Sheet1!AE1027)</f>
        <v/>
      </c>
      <c r="BB1028" s="40"/>
    </row>
    <row r="1029" spans="40:54">
      <c r="AN1029" s="50"/>
      <c r="AO1029" s="50"/>
      <c r="AP1029" s="50"/>
      <c r="AQ1029" s="50"/>
      <c r="AR1029" s="50"/>
      <c r="AS1029" s="40"/>
      <c r="AT1029" s="40"/>
      <c r="AU1029" s="40"/>
      <c r="AV1029" s="40"/>
      <c r="AW1029" s="40" t="str">
        <f>MID(Sheet1!AE1028,2,3)</f>
        <v/>
      </c>
      <c r="AX1029" s="42"/>
      <c r="AY1029" s="40"/>
      <c r="AZ1029" s="40"/>
      <c r="BA1029" s="40" t="str">
        <f>PROPER(Sheet1!AE1028)</f>
        <v/>
      </c>
      <c r="BB1029" s="40"/>
    </row>
    <row r="1030" spans="40:54">
      <c r="AN1030" s="50"/>
      <c r="AO1030" s="50"/>
      <c r="AP1030" s="50"/>
      <c r="AQ1030" s="50"/>
      <c r="AR1030" s="50"/>
      <c r="AS1030" s="40"/>
      <c r="AT1030" s="40"/>
      <c r="AU1030" s="40"/>
      <c r="AV1030" s="40"/>
      <c r="AW1030" s="40" t="str">
        <f>MID(Sheet1!AE1029,2,3)</f>
        <v/>
      </c>
      <c r="AX1030" s="42"/>
      <c r="AY1030" s="40"/>
      <c r="AZ1030" s="40"/>
      <c r="BA1030" s="40" t="str">
        <f>PROPER(Sheet1!AE1029)</f>
        <v/>
      </c>
      <c r="BB1030" s="40"/>
    </row>
    <row r="1031" spans="40:54">
      <c r="AN1031" s="50"/>
      <c r="AO1031" s="50"/>
      <c r="AP1031" s="50"/>
      <c r="AQ1031" s="50"/>
      <c r="AR1031" s="50"/>
      <c r="AS1031" s="40"/>
      <c r="AT1031" s="40"/>
      <c r="AU1031" s="40"/>
      <c r="AV1031" s="40"/>
      <c r="AW1031" s="40" t="str">
        <f>MID(Sheet1!AE1030,2,3)</f>
        <v/>
      </c>
      <c r="AX1031" s="42"/>
      <c r="AY1031" s="40"/>
      <c r="AZ1031" s="40"/>
      <c r="BA1031" s="40" t="str">
        <f>PROPER(Sheet1!AE1030)</f>
        <v/>
      </c>
      <c r="BB1031" s="40"/>
    </row>
    <row r="1032" spans="40:54">
      <c r="AN1032" s="50"/>
      <c r="AO1032" s="50"/>
      <c r="AP1032" s="50"/>
      <c r="AQ1032" s="50"/>
      <c r="AR1032" s="50"/>
      <c r="AS1032" s="40"/>
      <c r="AT1032" s="40"/>
      <c r="AU1032" s="40"/>
      <c r="AV1032" s="40"/>
      <c r="AW1032" s="40" t="str">
        <f>MID(Sheet1!AE1031,2,3)</f>
        <v/>
      </c>
      <c r="AX1032" s="42"/>
      <c r="AY1032" s="40"/>
      <c r="AZ1032" s="40"/>
      <c r="BA1032" s="40" t="str">
        <f>PROPER(Sheet1!AE1031)</f>
        <v/>
      </c>
      <c r="BB1032" s="40"/>
    </row>
    <row r="1033" spans="40:54">
      <c r="AN1033" s="50"/>
      <c r="AO1033" s="50"/>
      <c r="AP1033" s="50"/>
      <c r="AQ1033" s="50"/>
      <c r="AR1033" s="50"/>
      <c r="AS1033" s="40"/>
      <c r="AT1033" s="40"/>
      <c r="AU1033" s="40"/>
      <c r="AV1033" s="40"/>
      <c r="AW1033" s="40" t="str">
        <f>MID(Sheet1!AE1032,2,3)</f>
        <v/>
      </c>
      <c r="AX1033" s="42"/>
      <c r="AY1033" s="40"/>
      <c r="AZ1033" s="40"/>
      <c r="BA1033" s="40" t="str">
        <f>PROPER(Sheet1!AE1032)</f>
        <v/>
      </c>
      <c r="BB1033" s="40"/>
    </row>
    <row r="1034" spans="40:54">
      <c r="AN1034" s="50"/>
      <c r="AO1034" s="50"/>
      <c r="AP1034" s="50"/>
      <c r="AQ1034" s="50"/>
      <c r="AR1034" s="50"/>
      <c r="AS1034" s="40"/>
      <c r="AT1034" s="40"/>
      <c r="AU1034" s="40"/>
      <c r="AV1034" s="40"/>
      <c r="AW1034" s="40" t="str">
        <f>MID(Sheet1!AE1033,2,3)</f>
        <v/>
      </c>
      <c r="AX1034" s="42"/>
      <c r="AY1034" s="40"/>
      <c r="AZ1034" s="40"/>
      <c r="BA1034" s="40" t="str">
        <f>PROPER(Sheet1!AE1033)</f>
        <v/>
      </c>
      <c r="BB1034" s="40"/>
    </row>
    <row r="1035" spans="40:54">
      <c r="AN1035" s="50"/>
      <c r="AO1035" s="50"/>
      <c r="AP1035" s="50"/>
      <c r="AQ1035" s="50"/>
      <c r="AR1035" s="50"/>
      <c r="AS1035" s="40"/>
      <c r="AT1035" s="40"/>
      <c r="AU1035" s="40"/>
      <c r="AV1035" s="40"/>
      <c r="AW1035" s="40" t="str">
        <f>MID(Sheet1!AE1034,2,3)</f>
        <v/>
      </c>
      <c r="AX1035" s="40"/>
      <c r="AY1035" s="40"/>
      <c r="AZ1035" s="40"/>
      <c r="BA1035" s="40" t="str">
        <f>PROPER(Sheet1!AE1034)</f>
        <v/>
      </c>
      <c r="BB1035" s="40"/>
    </row>
    <row r="1036" spans="40:54">
      <c r="AN1036" s="50"/>
      <c r="AO1036" s="50"/>
      <c r="AP1036" s="50"/>
      <c r="AQ1036" s="50"/>
      <c r="AR1036" s="50"/>
      <c r="AS1036" s="40"/>
      <c r="AT1036" s="40"/>
      <c r="AU1036" s="40"/>
      <c r="AV1036" s="40"/>
      <c r="AW1036" s="40" t="str">
        <f>MID(Sheet1!AE1035,2,3)</f>
        <v/>
      </c>
      <c r="AX1036" s="40"/>
      <c r="AY1036" s="40"/>
      <c r="AZ1036" s="40"/>
      <c r="BA1036" s="40" t="str">
        <f>PROPER(Sheet1!AE1035)</f>
        <v/>
      </c>
      <c r="BB1036" s="40"/>
    </row>
    <row r="1037" spans="40:54">
      <c r="AN1037" s="50"/>
      <c r="AO1037" s="50"/>
      <c r="AP1037" s="50"/>
      <c r="AQ1037" s="50"/>
      <c r="AR1037" s="50"/>
      <c r="AS1037" s="40"/>
      <c r="AT1037" s="40"/>
      <c r="AU1037" s="40"/>
      <c r="AV1037" s="40"/>
      <c r="AW1037" s="40" t="str">
        <f>MID(Sheet1!AE1036,2,3)</f>
        <v/>
      </c>
      <c r="AX1037" s="40"/>
      <c r="AY1037" s="40"/>
      <c r="AZ1037" s="40"/>
      <c r="BA1037" s="40" t="str">
        <f>PROPER(Sheet1!AE1036)</f>
        <v/>
      </c>
      <c r="BB1037" s="40"/>
    </row>
    <row r="1038" spans="40:54">
      <c r="AN1038" s="50"/>
      <c r="AO1038" s="50"/>
      <c r="AP1038" s="50"/>
      <c r="AQ1038" s="50"/>
      <c r="AR1038" s="50"/>
      <c r="AS1038" s="40"/>
      <c r="AT1038" s="40"/>
      <c r="AU1038" s="40"/>
      <c r="AV1038" s="40"/>
      <c r="AW1038" s="40" t="str">
        <f>MID(Sheet1!AE1037,2,3)</f>
        <v/>
      </c>
      <c r="AX1038" s="40"/>
      <c r="AY1038" s="40"/>
      <c r="AZ1038" s="40"/>
      <c r="BA1038" s="40" t="str">
        <f>PROPER(Sheet1!AE1037)</f>
        <v/>
      </c>
      <c r="BB1038" s="40"/>
    </row>
    <row r="1039" spans="40:54">
      <c r="AN1039" s="50"/>
      <c r="AO1039" s="50"/>
      <c r="AP1039" s="50"/>
      <c r="AQ1039" s="50"/>
      <c r="AR1039" s="50"/>
      <c r="AS1039" s="40"/>
      <c r="AT1039" s="40"/>
      <c r="AU1039" s="40"/>
      <c r="AV1039" s="40"/>
      <c r="AW1039" s="40" t="str">
        <f>MID(Sheet1!AE1038,2,3)</f>
        <v/>
      </c>
      <c r="AX1039" s="40"/>
      <c r="AY1039" s="40"/>
      <c r="AZ1039" s="40"/>
      <c r="BA1039" s="40" t="str">
        <f>PROPER(Sheet1!AE1038)</f>
        <v/>
      </c>
      <c r="BB1039" s="40"/>
    </row>
    <row r="1040" spans="40:54">
      <c r="AN1040" s="50"/>
      <c r="AO1040" s="50"/>
      <c r="AP1040" s="50"/>
      <c r="AQ1040" s="50"/>
      <c r="AR1040" s="50"/>
      <c r="AS1040" s="40"/>
      <c r="AT1040" s="40"/>
      <c r="AU1040" s="40"/>
      <c r="AV1040" s="40"/>
      <c r="AW1040" s="40" t="str">
        <f>MID(Sheet1!AE1039,2,3)</f>
        <v/>
      </c>
      <c r="AX1040" s="40"/>
      <c r="AY1040" s="40"/>
      <c r="AZ1040" s="40"/>
      <c r="BA1040" s="40" t="str">
        <f>PROPER(Sheet1!AE1039)</f>
        <v/>
      </c>
      <c r="BB1040" s="40"/>
    </row>
    <row r="1041" spans="40:54">
      <c r="AN1041" s="50"/>
      <c r="AO1041" s="50"/>
      <c r="AP1041" s="50"/>
      <c r="AQ1041" s="50"/>
      <c r="AR1041" s="50"/>
      <c r="AS1041" s="40"/>
      <c r="AT1041" s="40"/>
      <c r="AU1041" s="40"/>
      <c r="AV1041" s="40"/>
      <c r="AW1041" s="40" t="str">
        <f>MID(Sheet1!AE1040,2,3)</f>
        <v/>
      </c>
      <c r="AX1041" s="40"/>
      <c r="AY1041" s="40"/>
      <c r="AZ1041" s="40"/>
      <c r="BA1041" s="40" t="str">
        <f>PROPER(Sheet1!AE1040)</f>
        <v/>
      </c>
      <c r="BB1041" s="40"/>
    </row>
    <row r="1042" spans="40:54">
      <c r="AN1042" s="50"/>
      <c r="AO1042" s="50"/>
      <c r="AP1042" s="50"/>
      <c r="AQ1042" s="50"/>
      <c r="AR1042" s="50"/>
      <c r="AS1042" s="40"/>
      <c r="AT1042" s="40"/>
      <c r="AU1042" s="40"/>
      <c r="AV1042" s="40"/>
      <c r="AW1042" s="40" t="str">
        <f>MID(Sheet1!AE1041,2,3)</f>
        <v/>
      </c>
      <c r="AX1042" s="40"/>
      <c r="AY1042" s="40"/>
      <c r="AZ1042" s="40"/>
      <c r="BA1042" s="40" t="str">
        <f>PROPER(Sheet1!AE1041)</f>
        <v/>
      </c>
      <c r="BB1042" s="40"/>
    </row>
    <row r="1043" spans="40:54">
      <c r="AN1043" s="50"/>
      <c r="AO1043" s="50"/>
      <c r="AP1043" s="50"/>
      <c r="AQ1043" s="50"/>
      <c r="AR1043" s="50"/>
      <c r="AS1043" s="40"/>
      <c r="AT1043" s="40"/>
      <c r="AU1043" s="40"/>
      <c r="AV1043" s="40"/>
      <c r="AW1043" s="40"/>
      <c r="AX1043" s="40"/>
      <c r="AY1043" s="40"/>
      <c r="AZ1043" s="40"/>
      <c r="BA1043" s="40" t="str">
        <f>PROPER(Sheet1!AE1042)</f>
        <v/>
      </c>
      <c r="BB1043" s="40"/>
    </row>
    <row r="1044" spans="40:54">
      <c r="AN1044" s="50"/>
      <c r="AO1044" s="50"/>
      <c r="AP1044" s="50"/>
      <c r="AQ1044" s="50"/>
      <c r="AR1044" s="50"/>
      <c r="AS1044" s="40"/>
      <c r="AT1044" s="40"/>
      <c r="AU1044" s="40"/>
      <c r="AV1044" s="40"/>
      <c r="AW1044" s="40"/>
      <c r="AX1044" s="40"/>
      <c r="AY1044" s="40"/>
      <c r="AZ1044" s="40"/>
      <c r="BA1044" s="40" t="str">
        <f>PROPER(Sheet1!AE1043)</f>
        <v/>
      </c>
      <c r="BB1044" s="40"/>
    </row>
    <row r="1045" spans="40:54">
      <c r="AN1045" s="50"/>
      <c r="AO1045" s="50"/>
      <c r="AP1045" s="50"/>
      <c r="AQ1045" s="50"/>
      <c r="AR1045" s="50"/>
      <c r="AS1045" s="40"/>
      <c r="AT1045" s="40"/>
      <c r="AU1045" s="40"/>
      <c r="AV1045" s="40"/>
      <c r="AW1045" s="40"/>
      <c r="AX1045" s="40"/>
      <c r="AY1045" s="40"/>
      <c r="AZ1045" s="40"/>
      <c r="BA1045" s="40" t="str">
        <f>PROPER(Sheet1!AE1044)</f>
        <v/>
      </c>
      <c r="BB1045" s="40"/>
    </row>
    <row r="1046" spans="40:54">
      <c r="AN1046" s="50"/>
      <c r="AO1046" s="50"/>
      <c r="AP1046" s="50"/>
      <c r="AQ1046" s="50"/>
      <c r="AR1046" s="50"/>
      <c r="AS1046" s="40"/>
      <c r="AT1046" s="40"/>
      <c r="AU1046" s="40"/>
      <c r="AV1046" s="40"/>
      <c r="AW1046" s="40"/>
      <c r="AX1046" s="40"/>
      <c r="AY1046" s="40"/>
      <c r="AZ1046" s="40"/>
      <c r="BA1046" s="40" t="str">
        <f>PROPER(Sheet1!AE1045)</f>
        <v/>
      </c>
      <c r="BB1046" s="40"/>
    </row>
    <row r="1047" spans="40:54">
      <c r="AN1047" s="50"/>
      <c r="AO1047" s="50"/>
      <c r="AP1047" s="50"/>
      <c r="AQ1047" s="50"/>
      <c r="AR1047" s="50"/>
      <c r="AS1047" s="40"/>
      <c r="AT1047" s="40"/>
      <c r="AU1047" s="40"/>
      <c r="AV1047" s="40"/>
      <c r="AW1047" s="40"/>
      <c r="AX1047" s="40"/>
      <c r="AY1047" s="40"/>
      <c r="AZ1047" s="40"/>
      <c r="BA1047" s="40" t="str">
        <f>PROPER(Sheet1!AE1046)</f>
        <v/>
      </c>
      <c r="BB1047" s="40"/>
    </row>
    <row r="1048" spans="40:54">
      <c r="AN1048" s="50"/>
      <c r="AO1048" s="50"/>
      <c r="AP1048" s="50"/>
      <c r="AQ1048" s="50"/>
      <c r="AR1048" s="50"/>
      <c r="AS1048" s="40"/>
      <c r="AT1048" s="40"/>
      <c r="AU1048" s="40"/>
      <c r="AV1048" s="40"/>
      <c r="AW1048" s="40"/>
      <c r="AX1048" s="40"/>
      <c r="AY1048" s="40"/>
      <c r="AZ1048" s="40"/>
      <c r="BA1048" s="40" t="str">
        <f>PROPER(Sheet1!AE1047)</f>
        <v/>
      </c>
      <c r="BB1048" s="40"/>
    </row>
    <row r="1049" spans="40:54">
      <c r="AN1049" s="50"/>
      <c r="AO1049" s="50"/>
      <c r="AP1049" s="50"/>
      <c r="AQ1049" s="50"/>
      <c r="AR1049" s="50"/>
      <c r="AS1049" s="40"/>
      <c r="AT1049" s="40"/>
      <c r="AU1049" s="40"/>
      <c r="AV1049" s="40"/>
      <c r="AW1049" s="40"/>
      <c r="AX1049" s="40"/>
      <c r="AY1049" s="40"/>
      <c r="AZ1049" s="40"/>
      <c r="BA1049" s="40" t="str">
        <f>PROPER(Sheet1!AE1048)</f>
        <v/>
      </c>
      <c r="BB1049" s="40"/>
    </row>
    <row r="1050" spans="40:54">
      <c r="AN1050" s="50"/>
      <c r="AO1050" s="50"/>
      <c r="AP1050" s="50"/>
      <c r="AQ1050" s="50"/>
      <c r="AR1050" s="50"/>
      <c r="AS1050" s="40"/>
      <c r="AT1050" s="40"/>
      <c r="AU1050" s="40"/>
      <c r="AV1050" s="40"/>
      <c r="AW1050" s="40"/>
      <c r="AX1050" s="40"/>
      <c r="AY1050" s="40"/>
      <c r="AZ1050" s="40"/>
      <c r="BA1050" s="40" t="str">
        <f>PROPER(Sheet1!AE1049)</f>
        <v/>
      </c>
      <c r="BB1050" s="40"/>
    </row>
    <row r="1051" spans="40:54">
      <c r="AN1051" s="50"/>
      <c r="AO1051" s="50"/>
      <c r="AP1051" s="50"/>
      <c r="AQ1051" s="50"/>
      <c r="AR1051" s="50"/>
      <c r="AS1051" s="40"/>
      <c r="AT1051" s="40"/>
      <c r="AU1051" s="40"/>
      <c r="AV1051" s="40"/>
      <c r="AW1051" s="40"/>
      <c r="AX1051" s="40"/>
      <c r="AY1051" s="40"/>
      <c r="AZ1051" s="40"/>
      <c r="BA1051" s="40" t="str">
        <f>PROPER(Sheet1!AE1050)</f>
        <v/>
      </c>
      <c r="BB1051" s="40"/>
    </row>
    <row r="1052" spans="40:54">
      <c r="AN1052" s="50"/>
      <c r="AO1052" s="50"/>
      <c r="AP1052" s="50"/>
      <c r="AQ1052" s="50"/>
      <c r="AR1052" s="50"/>
      <c r="AS1052" s="40"/>
      <c r="AT1052" s="40"/>
      <c r="AU1052" s="40"/>
      <c r="AV1052" s="40"/>
      <c r="AW1052" s="40"/>
      <c r="AX1052" s="40"/>
      <c r="AY1052" s="40"/>
      <c r="AZ1052" s="40"/>
      <c r="BA1052" s="40" t="str">
        <f>PROPER(Sheet1!AE1051)</f>
        <v/>
      </c>
      <c r="BB1052" s="40"/>
    </row>
    <row r="1053" spans="40:54">
      <c r="AN1053" s="50"/>
      <c r="AO1053" s="50"/>
      <c r="AP1053" s="50"/>
      <c r="AQ1053" s="50"/>
      <c r="AR1053" s="50"/>
      <c r="AS1053" s="40"/>
      <c r="AT1053" s="40"/>
      <c r="AU1053" s="40"/>
      <c r="AV1053" s="40"/>
      <c r="AW1053" s="40"/>
      <c r="AX1053" s="40"/>
      <c r="AY1053" s="40"/>
      <c r="AZ1053" s="40"/>
      <c r="BA1053" s="40" t="str">
        <f>PROPER(Sheet1!AE1052)</f>
        <v/>
      </c>
      <c r="BB1053" s="40"/>
    </row>
    <row r="1054" spans="40:54">
      <c r="AN1054" s="50"/>
      <c r="AO1054" s="50"/>
      <c r="AP1054" s="50"/>
      <c r="AQ1054" s="50"/>
      <c r="AR1054" s="50"/>
      <c r="AS1054" s="40"/>
      <c r="AT1054" s="40"/>
      <c r="AU1054" s="40"/>
      <c r="AV1054" s="40"/>
      <c r="AW1054" s="40"/>
      <c r="AX1054" s="40"/>
      <c r="AY1054" s="40"/>
      <c r="AZ1054" s="40"/>
      <c r="BA1054" s="40" t="str">
        <f>PROPER(Sheet1!AE1053)</f>
        <v/>
      </c>
      <c r="BB1054" s="40"/>
    </row>
    <row r="1055" spans="40:54">
      <c r="AN1055" s="50"/>
      <c r="AO1055" s="50"/>
      <c r="AP1055" s="50"/>
      <c r="AQ1055" s="50"/>
      <c r="AR1055" s="50"/>
      <c r="AS1055" s="40"/>
      <c r="AT1055" s="40"/>
      <c r="AU1055" s="40"/>
      <c r="AV1055" s="40"/>
      <c r="AW1055" s="40"/>
      <c r="AX1055" s="40"/>
      <c r="AY1055" s="40"/>
      <c r="AZ1055" s="40"/>
      <c r="BA1055" s="40" t="str">
        <f>PROPER(Sheet1!AE1054)</f>
        <v/>
      </c>
      <c r="BB1055" s="40"/>
    </row>
    <row r="1056" spans="40:54">
      <c r="AN1056" s="50"/>
      <c r="AO1056" s="50"/>
      <c r="AP1056" s="50"/>
      <c r="AQ1056" s="50"/>
      <c r="AR1056" s="50"/>
      <c r="AS1056" s="40"/>
      <c r="AT1056" s="40"/>
      <c r="AU1056" s="40"/>
      <c r="AV1056" s="40"/>
      <c r="AW1056" s="40"/>
      <c r="AX1056" s="40"/>
      <c r="AY1056" s="40"/>
      <c r="AZ1056" s="40"/>
      <c r="BA1056" s="40" t="str">
        <f>PROPER(Sheet1!AE1055)</f>
        <v/>
      </c>
      <c r="BB1056" s="40"/>
    </row>
    <row r="1057" spans="40:54">
      <c r="AN1057" s="50"/>
      <c r="AO1057" s="50"/>
      <c r="AP1057" s="50"/>
      <c r="AQ1057" s="50"/>
      <c r="AR1057" s="50"/>
      <c r="AS1057" s="40"/>
      <c r="AT1057" s="40"/>
      <c r="AU1057" s="40"/>
      <c r="AV1057" s="40"/>
      <c r="AW1057" s="40"/>
      <c r="AX1057" s="40"/>
      <c r="AY1057" s="40"/>
      <c r="AZ1057" s="40"/>
      <c r="BA1057" s="40" t="str">
        <f>PROPER(Sheet1!AE1056)</f>
        <v/>
      </c>
      <c r="BB1057" s="40"/>
    </row>
    <row r="1058" spans="40:54">
      <c r="AN1058" s="50"/>
      <c r="AO1058" s="50"/>
      <c r="AP1058" s="50"/>
      <c r="AQ1058" s="50"/>
      <c r="AR1058" s="50"/>
      <c r="AS1058" s="40"/>
      <c r="AT1058" s="40"/>
      <c r="AU1058" s="40"/>
      <c r="AV1058" s="40"/>
      <c r="AW1058" s="40"/>
      <c r="AX1058" s="40"/>
      <c r="AY1058" s="40"/>
      <c r="AZ1058" s="40"/>
      <c r="BA1058" s="40" t="str">
        <f>PROPER(Sheet1!AE1057)</f>
        <v/>
      </c>
      <c r="BB1058" s="40"/>
    </row>
    <row r="1059" spans="40:54">
      <c r="AN1059" s="50"/>
      <c r="AO1059" s="50"/>
      <c r="AP1059" s="50"/>
      <c r="AQ1059" s="50"/>
      <c r="AR1059" s="50"/>
      <c r="AS1059" s="40"/>
      <c r="AT1059" s="40"/>
      <c r="AU1059" s="40"/>
      <c r="AV1059" s="40"/>
      <c r="AW1059" s="40"/>
      <c r="AX1059" s="40"/>
      <c r="AY1059" s="40"/>
      <c r="AZ1059" s="40"/>
      <c r="BA1059" s="40" t="str">
        <f>PROPER(Sheet1!AE1058)</f>
        <v/>
      </c>
      <c r="BB1059" s="40"/>
    </row>
    <row r="1060" spans="40:54">
      <c r="AN1060" s="50"/>
      <c r="AO1060" s="50"/>
      <c r="AP1060" s="50"/>
      <c r="AQ1060" s="50"/>
      <c r="AR1060" s="50"/>
      <c r="AS1060" s="40"/>
      <c r="AT1060" s="40"/>
      <c r="AU1060" s="40"/>
      <c r="AV1060" s="40"/>
      <c r="AW1060" s="40"/>
      <c r="AX1060" s="40"/>
      <c r="AY1060" s="40"/>
      <c r="AZ1060" s="40"/>
      <c r="BA1060" s="40" t="str">
        <f>PROPER(Sheet1!AE1059)</f>
        <v/>
      </c>
      <c r="BB1060" s="40"/>
    </row>
    <row r="1061" spans="40:54">
      <c r="AN1061" s="50"/>
      <c r="AO1061" s="50"/>
      <c r="AP1061" s="50"/>
      <c r="AQ1061" s="50"/>
      <c r="AR1061" s="50"/>
      <c r="AS1061" s="40"/>
      <c r="AT1061" s="40"/>
      <c r="AU1061" s="40"/>
      <c r="AV1061" s="40"/>
      <c r="AW1061" s="40"/>
      <c r="AX1061" s="40"/>
      <c r="AY1061" s="40"/>
      <c r="AZ1061" s="40"/>
      <c r="BA1061" s="40" t="str">
        <f>PROPER(Sheet1!AE1060)</f>
        <v/>
      </c>
      <c r="BB1061" s="40"/>
    </row>
    <row r="1062" spans="40:54">
      <c r="AN1062" s="50"/>
      <c r="AO1062" s="50"/>
      <c r="AP1062" s="50"/>
      <c r="AQ1062" s="50"/>
      <c r="AR1062" s="50"/>
      <c r="AS1062" s="40"/>
      <c r="AT1062" s="40"/>
      <c r="AU1062" s="40"/>
      <c r="AV1062" s="40"/>
      <c r="AW1062" s="40"/>
      <c r="AX1062" s="40"/>
      <c r="AY1062" s="40"/>
      <c r="AZ1062" s="40"/>
      <c r="BA1062" s="40" t="str">
        <f>PROPER(Sheet1!AE1061)</f>
        <v/>
      </c>
      <c r="BB1062" s="40"/>
    </row>
    <row r="1063" spans="40:54">
      <c r="AN1063" s="50"/>
      <c r="AO1063" s="50"/>
      <c r="AP1063" s="50"/>
      <c r="AQ1063" s="50"/>
      <c r="AR1063" s="50"/>
      <c r="AS1063" s="40"/>
      <c r="AT1063" s="40"/>
      <c r="AU1063" s="40"/>
      <c r="AV1063" s="40"/>
      <c r="AW1063" s="40"/>
      <c r="AX1063" s="40"/>
      <c r="AY1063" s="40"/>
      <c r="AZ1063" s="40"/>
      <c r="BA1063" s="40" t="str">
        <f>PROPER(Sheet1!AE1062)</f>
        <v/>
      </c>
      <c r="BB1063" s="40"/>
    </row>
    <row r="1064" spans="40:54">
      <c r="AN1064" s="50"/>
      <c r="AO1064" s="50"/>
      <c r="AP1064" s="50"/>
      <c r="AQ1064" s="50"/>
      <c r="AR1064" s="50"/>
      <c r="AS1064" s="40"/>
      <c r="AT1064" s="40"/>
      <c r="AU1064" s="40"/>
      <c r="AV1064" s="40"/>
      <c r="AW1064" s="40"/>
      <c r="AX1064" s="40"/>
      <c r="AY1064" s="40"/>
      <c r="AZ1064" s="40"/>
      <c r="BA1064" s="40" t="str">
        <f>PROPER(Sheet1!AE1063)</f>
        <v/>
      </c>
      <c r="BB1064" s="40"/>
    </row>
    <row r="1065" spans="40:54">
      <c r="AN1065" s="50"/>
      <c r="AO1065" s="50"/>
      <c r="AP1065" s="50"/>
      <c r="AQ1065" s="50"/>
      <c r="AR1065" s="50"/>
      <c r="AS1065" s="40"/>
      <c r="AT1065" s="40"/>
      <c r="AU1065" s="40"/>
      <c r="AV1065" s="40"/>
      <c r="AW1065" s="40"/>
      <c r="AX1065" s="40"/>
      <c r="AY1065" s="40"/>
      <c r="AZ1065" s="40"/>
      <c r="BA1065" s="40" t="str">
        <f>PROPER(Sheet1!AE1064)</f>
        <v/>
      </c>
      <c r="BB1065" s="40"/>
    </row>
    <row r="1066" spans="40:54">
      <c r="AN1066" s="50"/>
      <c r="AO1066" s="50"/>
      <c r="AP1066" s="50"/>
      <c r="AQ1066" s="50"/>
      <c r="AR1066" s="50"/>
      <c r="AS1066" s="40"/>
      <c r="AT1066" s="40"/>
      <c r="AU1066" s="40"/>
      <c r="AV1066" s="40"/>
      <c r="AW1066" s="40"/>
      <c r="AX1066" s="40"/>
      <c r="AY1066" s="40"/>
      <c r="AZ1066" s="40"/>
      <c r="BA1066" s="40" t="str">
        <f>PROPER(Sheet1!AE1065)</f>
        <v/>
      </c>
      <c r="BB1066" s="40"/>
    </row>
    <row r="1067" spans="40:54">
      <c r="AN1067" s="50"/>
      <c r="AO1067" s="50"/>
      <c r="AP1067" s="50"/>
      <c r="AQ1067" s="50"/>
      <c r="AR1067" s="50"/>
      <c r="AS1067" s="40"/>
      <c r="AT1067" s="40"/>
      <c r="AU1067" s="40"/>
      <c r="AV1067" s="40"/>
      <c r="AW1067" s="40"/>
      <c r="AX1067" s="40"/>
      <c r="AY1067" s="40"/>
      <c r="AZ1067" s="40"/>
      <c r="BA1067" s="40" t="str">
        <f>PROPER(Sheet1!AE1066)</f>
        <v/>
      </c>
      <c r="BB1067" s="40"/>
    </row>
    <row r="1068" spans="40:54">
      <c r="AN1068" s="50"/>
      <c r="AO1068" s="50"/>
      <c r="AP1068" s="50"/>
      <c r="AQ1068" s="50"/>
      <c r="AR1068" s="50"/>
      <c r="AS1068" s="40"/>
      <c r="AT1068" s="40"/>
      <c r="AU1068" s="40"/>
      <c r="AV1068" s="40"/>
      <c r="AW1068" s="40"/>
      <c r="AX1068" s="40"/>
      <c r="AY1068" s="40"/>
      <c r="AZ1068" s="40"/>
      <c r="BA1068" s="40" t="str">
        <f>PROPER(Sheet1!AE1067)</f>
        <v/>
      </c>
      <c r="BB1068" s="40"/>
    </row>
    <row r="1069" spans="40:54">
      <c r="AN1069" s="50"/>
      <c r="AO1069" s="50"/>
      <c r="AP1069" s="50"/>
      <c r="AQ1069" s="50"/>
      <c r="AR1069" s="50"/>
      <c r="AS1069" s="40"/>
      <c r="AT1069" s="40"/>
      <c r="AU1069" s="40"/>
      <c r="AV1069" s="40"/>
      <c r="AW1069" s="40"/>
      <c r="AX1069" s="40"/>
      <c r="AY1069" s="40"/>
      <c r="AZ1069" s="40"/>
      <c r="BA1069" s="40" t="str">
        <f>PROPER(Sheet1!AE1068)</f>
        <v/>
      </c>
      <c r="BB1069" s="40"/>
    </row>
    <row r="1070" spans="40:54">
      <c r="AN1070" s="50"/>
      <c r="AO1070" s="50"/>
      <c r="AP1070" s="50"/>
      <c r="AQ1070" s="50"/>
      <c r="AR1070" s="50"/>
      <c r="AS1070" s="40"/>
      <c r="AT1070" s="40"/>
      <c r="AU1070" s="40"/>
      <c r="AV1070" s="40"/>
      <c r="AW1070" s="40"/>
      <c r="AX1070" s="40"/>
      <c r="AY1070" s="40"/>
      <c r="AZ1070" s="40"/>
      <c r="BA1070" s="40" t="str">
        <f>PROPER(Sheet1!AE1069)</f>
        <v/>
      </c>
      <c r="BB1070" s="40"/>
    </row>
    <row r="1071" spans="40:54">
      <c r="AN1071" s="50"/>
      <c r="AO1071" s="50"/>
      <c r="AP1071" s="50"/>
      <c r="AQ1071" s="50"/>
      <c r="AR1071" s="50"/>
      <c r="AS1071" s="40"/>
      <c r="AT1071" s="40"/>
      <c r="AU1071" s="40"/>
      <c r="AV1071" s="40"/>
      <c r="AW1071" s="40"/>
      <c r="AX1071" s="40"/>
      <c r="AY1071" s="40"/>
      <c r="AZ1071" s="40"/>
      <c r="BA1071" s="40" t="str">
        <f>PROPER(Sheet1!AE1070)</f>
        <v/>
      </c>
      <c r="BB1071" s="40"/>
    </row>
    <row r="1072" spans="40:54">
      <c r="AN1072" s="50"/>
      <c r="AO1072" s="50"/>
      <c r="AP1072" s="50"/>
      <c r="AQ1072" s="50"/>
      <c r="AR1072" s="50"/>
      <c r="AS1072" s="40"/>
      <c r="AT1072" s="40"/>
      <c r="AU1072" s="40"/>
      <c r="AV1072" s="40"/>
      <c r="AW1072" s="40"/>
      <c r="AX1072" s="40"/>
      <c r="AY1072" s="40"/>
      <c r="AZ1072" s="40"/>
      <c r="BA1072" s="40" t="str">
        <f>PROPER(Sheet1!AE1071)</f>
        <v/>
      </c>
      <c r="BB1072" s="40"/>
    </row>
    <row r="1073" spans="40:54">
      <c r="AN1073" s="50"/>
      <c r="AO1073" s="50"/>
      <c r="AP1073" s="50"/>
      <c r="AQ1073" s="50"/>
      <c r="AR1073" s="50"/>
      <c r="AS1073" s="40"/>
      <c r="AT1073" s="40"/>
      <c r="AU1073" s="40"/>
      <c r="AV1073" s="40"/>
      <c r="AW1073" s="40"/>
      <c r="AX1073" s="40"/>
      <c r="AY1073" s="40"/>
      <c r="AZ1073" s="40"/>
      <c r="BA1073" s="40" t="str">
        <f>PROPER(Sheet1!AE1072)</f>
        <v/>
      </c>
      <c r="BB1073" s="40"/>
    </row>
    <row r="1074" spans="40:54">
      <c r="AN1074" s="50"/>
      <c r="AO1074" s="50"/>
      <c r="AP1074" s="50"/>
      <c r="AQ1074" s="50"/>
      <c r="AR1074" s="50"/>
      <c r="AS1074" s="40"/>
      <c r="AT1074" s="40"/>
      <c r="AU1074" s="40"/>
      <c r="AV1074" s="40"/>
      <c r="AW1074" s="40"/>
      <c r="AX1074" s="40"/>
      <c r="AY1074" s="40"/>
      <c r="AZ1074" s="40"/>
      <c r="BA1074" s="40" t="str">
        <f>PROPER(Sheet1!AE1073)</f>
        <v/>
      </c>
      <c r="BB1074" s="40"/>
    </row>
    <row r="1075" spans="40:54">
      <c r="AN1075" s="50"/>
      <c r="AO1075" s="50"/>
      <c r="AP1075" s="50"/>
      <c r="AQ1075" s="50"/>
      <c r="AR1075" s="50"/>
      <c r="AS1075" s="40"/>
      <c r="AT1075" s="40"/>
      <c r="AU1075" s="40"/>
      <c r="AV1075" s="40"/>
      <c r="AW1075" s="40"/>
      <c r="AX1075" s="40"/>
      <c r="AY1075" s="40"/>
      <c r="AZ1075" s="40"/>
      <c r="BA1075" s="40" t="str">
        <f>PROPER(Sheet1!AE1074)</f>
        <v/>
      </c>
      <c r="BB1075" s="40"/>
    </row>
    <row r="1076" spans="40:54">
      <c r="AN1076" s="50"/>
      <c r="AO1076" s="50"/>
      <c r="AP1076" s="50"/>
      <c r="AQ1076" s="50"/>
      <c r="AR1076" s="50"/>
      <c r="AS1076" s="40"/>
      <c r="AT1076" s="40"/>
      <c r="AU1076" s="40"/>
      <c r="AV1076" s="40"/>
      <c r="AW1076" s="40"/>
      <c r="AX1076" s="40"/>
      <c r="AY1076" s="40"/>
      <c r="AZ1076" s="40"/>
      <c r="BA1076" s="40" t="str">
        <f>PROPER(Sheet1!AE1075)</f>
        <v/>
      </c>
      <c r="BB1076" s="40"/>
    </row>
    <row r="1077" spans="40:54">
      <c r="AN1077" s="50"/>
      <c r="AO1077" s="50"/>
      <c r="AP1077" s="50"/>
      <c r="AQ1077" s="50"/>
      <c r="AR1077" s="50"/>
      <c r="AS1077" s="40"/>
      <c r="AT1077" s="40"/>
      <c r="AU1077" s="40"/>
      <c r="AV1077" s="40"/>
      <c r="AW1077" s="40"/>
      <c r="AX1077" s="40"/>
      <c r="AY1077" s="40"/>
      <c r="AZ1077" s="40"/>
      <c r="BA1077" s="40" t="str">
        <f>PROPER(Sheet1!AE1076)</f>
        <v/>
      </c>
      <c r="BB1077" s="40"/>
    </row>
    <row r="1078" spans="40:54">
      <c r="AN1078" s="50"/>
      <c r="AO1078" s="50"/>
      <c r="AP1078" s="50"/>
      <c r="AQ1078" s="50"/>
      <c r="AR1078" s="50"/>
      <c r="AS1078" s="40"/>
      <c r="AT1078" s="40"/>
      <c r="AU1078" s="40"/>
      <c r="AV1078" s="40"/>
      <c r="AW1078" s="40"/>
      <c r="AX1078" s="40"/>
      <c r="AY1078" s="40"/>
      <c r="AZ1078" s="40"/>
      <c r="BA1078" s="40" t="str">
        <f>PROPER(Sheet1!AE1077)</f>
        <v/>
      </c>
      <c r="BB1078" s="40"/>
    </row>
    <row r="1079" spans="40:54">
      <c r="AN1079" s="50"/>
      <c r="AO1079" s="50"/>
      <c r="AP1079" s="50"/>
      <c r="AQ1079" s="50"/>
      <c r="AR1079" s="50"/>
      <c r="AS1079" s="40"/>
      <c r="AT1079" s="40"/>
      <c r="AU1079" s="40"/>
      <c r="AV1079" s="40"/>
      <c r="AW1079" s="40"/>
      <c r="AX1079" s="40"/>
      <c r="AY1079" s="40"/>
      <c r="AZ1079" s="40"/>
      <c r="BA1079" s="40" t="str">
        <f>PROPER(Sheet1!AE1078)</f>
        <v/>
      </c>
      <c r="BB1079" s="40"/>
    </row>
    <row r="1080" spans="40:54">
      <c r="AN1080" s="50"/>
      <c r="AO1080" s="50"/>
      <c r="AP1080" s="50"/>
      <c r="AQ1080" s="50"/>
      <c r="AR1080" s="50"/>
      <c r="AS1080" s="40"/>
      <c r="AT1080" s="40"/>
      <c r="AU1080" s="40"/>
      <c r="AV1080" s="40"/>
      <c r="AW1080" s="40"/>
      <c r="AX1080" s="40"/>
      <c r="AY1080" s="40"/>
      <c r="AZ1080" s="40"/>
      <c r="BA1080" s="40" t="str">
        <f>PROPER(Sheet1!AE1079)</f>
        <v/>
      </c>
      <c r="BB1080" s="40"/>
    </row>
    <row r="1081" spans="40:54">
      <c r="AN1081" s="50"/>
      <c r="AO1081" s="50"/>
      <c r="AP1081" s="50"/>
      <c r="AQ1081" s="50"/>
      <c r="AR1081" s="50"/>
      <c r="AS1081" s="40"/>
      <c r="AT1081" s="40"/>
      <c r="AU1081" s="40"/>
      <c r="AV1081" s="40"/>
      <c r="AW1081" s="40"/>
      <c r="AX1081" s="40"/>
      <c r="AY1081" s="40"/>
      <c r="AZ1081" s="40"/>
      <c r="BA1081" s="40" t="str">
        <f>PROPER(Sheet1!AE1080)</f>
        <v/>
      </c>
      <c r="BB1081" s="40"/>
    </row>
    <row r="1082" spans="40:54">
      <c r="AN1082" s="50"/>
      <c r="AO1082" s="50"/>
      <c r="AP1082" s="50"/>
      <c r="AQ1082" s="50"/>
      <c r="AR1082" s="50"/>
      <c r="AS1082" s="40"/>
      <c r="AT1082" s="40"/>
      <c r="AU1082" s="40"/>
      <c r="AV1082" s="40"/>
      <c r="AW1082" s="40"/>
      <c r="AX1082" s="40"/>
      <c r="AY1082" s="40"/>
      <c r="AZ1082" s="40"/>
      <c r="BA1082" s="40" t="str">
        <f>PROPER(Sheet1!AE1081)</f>
        <v/>
      </c>
      <c r="BB1082" s="40"/>
    </row>
    <row r="1083" spans="40:54">
      <c r="AN1083" s="50"/>
      <c r="AO1083" s="50"/>
      <c r="AP1083" s="50"/>
      <c r="AQ1083" s="50"/>
      <c r="AR1083" s="50"/>
      <c r="AS1083" s="40"/>
      <c r="AT1083" s="40"/>
      <c r="AU1083" s="40"/>
      <c r="AV1083" s="40"/>
      <c r="AW1083" s="40"/>
      <c r="AX1083" s="40"/>
      <c r="AY1083" s="40"/>
      <c r="AZ1083" s="40"/>
      <c r="BA1083" s="40" t="str">
        <f>PROPER(Sheet1!AE1082)</f>
        <v/>
      </c>
      <c r="BB1083" s="40"/>
    </row>
    <row r="1084" spans="40:54">
      <c r="AN1084" s="50"/>
      <c r="AO1084" s="50"/>
      <c r="AP1084" s="50"/>
      <c r="AQ1084" s="50"/>
      <c r="AR1084" s="50"/>
      <c r="AS1084" s="40"/>
      <c r="AT1084" s="40"/>
      <c r="AU1084" s="40"/>
      <c r="AV1084" s="40"/>
      <c r="AW1084" s="40"/>
      <c r="AX1084" s="40"/>
      <c r="AY1084" s="40"/>
      <c r="AZ1084" s="40"/>
      <c r="BA1084" s="40" t="str">
        <f>PROPER(Sheet1!AE1083)</f>
        <v/>
      </c>
      <c r="BB1084" s="40"/>
    </row>
    <row r="1085" spans="40:54">
      <c r="AN1085" s="50"/>
      <c r="AO1085" s="50"/>
      <c r="AP1085" s="50"/>
      <c r="AQ1085" s="50"/>
      <c r="AR1085" s="50"/>
      <c r="AS1085" s="40"/>
      <c r="AT1085" s="40"/>
      <c r="AU1085" s="40"/>
      <c r="AV1085" s="40"/>
      <c r="AW1085" s="40"/>
      <c r="AX1085" s="40"/>
      <c r="AY1085" s="40"/>
      <c r="AZ1085" s="40"/>
      <c r="BA1085" s="40" t="str">
        <f>PROPER(Sheet1!AE1084)</f>
        <v/>
      </c>
      <c r="BB1085" s="40"/>
    </row>
    <row r="1086" spans="40:54">
      <c r="AN1086" s="50"/>
      <c r="AO1086" s="50"/>
      <c r="AP1086" s="50"/>
      <c r="AQ1086" s="50"/>
      <c r="AR1086" s="50"/>
      <c r="AS1086" s="40"/>
      <c r="AT1086" s="40"/>
      <c r="AU1086" s="40"/>
      <c r="AV1086" s="40"/>
      <c r="AW1086" s="40"/>
      <c r="AX1086" s="40"/>
      <c r="AY1086" s="40"/>
      <c r="AZ1086" s="40"/>
      <c r="BA1086" s="40" t="str">
        <f>PROPER(Sheet1!AE1085)</f>
        <v/>
      </c>
      <c r="BB1086" s="40"/>
    </row>
    <row r="1087" spans="40:54">
      <c r="AN1087" s="50"/>
      <c r="AO1087" s="50"/>
      <c r="AP1087" s="50"/>
      <c r="AQ1087" s="50"/>
      <c r="AR1087" s="50"/>
      <c r="AS1087" s="40"/>
      <c r="AT1087" s="40"/>
      <c r="AU1087" s="40"/>
      <c r="AV1087" s="40"/>
      <c r="AW1087" s="40"/>
      <c r="AX1087" s="40"/>
      <c r="AY1087" s="40"/>
      <c r="AZ1087" s="40"/>
      <c r="BA1087" s="40" t="str">
        <f>PROPER(Sheet1!AE1086)</f>
        <v/>
      </c>
      <c r="BB1087" s="40"/>
    </row>
    <row r="1088" spans="40:54">
      <c r="AN1088" s="50"/>
      <c r="AO1088" s="50"/>
      <c r="AP1088" s="50"/>
      <c r="AQ1088" s="50"/>
      <c r="AR1088" s="50"/>
      <c r="AS1088" s="40"/>
      <c r="AT1088" s="40"/>
      <c r="AU1088" s="40"/>
      <c r="AV1088" s="40"/>
      <c r="AW1088" s="40"/>
      <c r="AX1088" s="40"/>
      <c r="AY1088" s="40"/>
      <c r="AZ1088" s="40"/>
      <c r="BA1088" s="40" t="str">
        <f>PROPER(Sheet1!AE1087)</f>
        <v/>
      </c>
      <c r="BB1088" s="40"/>
    </row>
    <row r="1089" spans="40:54">
      <c r="AN1089" s="50"/>
      <c r="AO1089" s="50"/>
      <c r="AP1089" s="50"/>
      <c r="AQ1089" s="50"/>
      <c r="AR1089" s="50"/>
      <c r="AS1089" s="40"/>
      <c r="AT1089" s="40"/>
      <c r="AU1089" s="40"/>
      <c r="AV1089" s="40"/>
      <c r="AW1089" s="40"/>
      <c r="AX1089" s="40"/>
      <c r="AY1089" s="40"/>
      <c r="AZ1089" s="40"/>
      <c r="BA1089" s="40" t="str">
        <f>PROPER(Sheet1!AE1088)</f>
        <v/>
      </c>
      <c r="BB1089" s="40"/>
    </row>
    <row r="1090" spans="40:54">
      <c r="AN1090" s="50"/>
      <c r="AO1090" s="50"/>
      <c r="AP1090" s="50"/>
      <c r="AQ1090" s="50"/>
      <c r="AR1090" s="50"/>
      <c r="AS1090" s="40"/>
      <c r="AT1090" s="40"/>
      <c r="AU1090" s="40"/>
      <c r="AV1090" s="40"/>
      <c r="AW1090" s="40"/>
      <c r="AX1090" s="40"/>
      <c r="AY1090" s="40"/>
      <c r="AZ1090" s="40"/>
      <c r="BA1090" s="40" t="str">
        <f>PROPER(Sheet1!AE1089)</f>
        <v/>
      </c>
      <c r="BB1090" s="40"/>
    </row>
    <row r="1091" spans="40:54">
      <c r="AN1091" s="50"/>
      <c r="AO1091" s="50"/>
      <c r="AP1091" s="50"/>
      <c r="AQ1091" s="50"/>
      <c r="AR1091" s="50"/>
      <c r="AS1091" s="40"/>
      <c r="AT1091" s="40"/>
      <c r="AU1091" s="40"/>
      <c r="AV1091" s="40"/>
      <c r="AW1091" s="40"/>
      <c r="AX1091" s="40"/>
      <c r="AY1091" s="40"/>
      <c r="AZ1091" s="40"/>
      <c r="BA1091" s="40" t="str">
        <f>PROPER(Sheet1!AE1090)</f>
        <v/>
      </c>
      <c r="BB1091" s="40"/>
    </row>
    <row r="1092" spans="40:54">
      <c r="AN1092" s="50"/>
      <c r="AO1092" s="50"/>
      <c r="AP1092" s="50"/>
      <c r="AQ1092" s="50"/>
      <c r="AR1092" s="50"/>
      <c r="AS1092" s="40"/>
      <c r="AT1092" s="40"/>
      <c r="AU1092" s="40"/>
      <c r="AV1092" s="40"/>
      <c r="AW1092" s="40"/>
      <c r="AX1092" s="40"/>
      <c r="AY1092" s="40"/>
      <c r="AZ1092" s="40"/>
      <c r="BA1092" s="40" t="str">
        <f>PROPER(Sheet1!AE1091)</f>
        <v/>
      </c>
      <c r="BB1092" s="40"/>
    </row>
    <row r="1093" spans="40:54">
      <c r="AN1093" s="50"/>
      <c r="AO1093" s="50"/>
      <c r="AP1093" s="50"/>
      <c r="AQ1093" s="50"/>
      <c r="AR1093" s="50"/>
      <c r="AS1093" s="40"/>
      <c r="AT1093" s="40"/>
      <c r="AU1093" s="40"/>
      <c r="AV1093" s="40"/>
      <c r="AW1093" s="40"/>
      <c r="AX1093" s="40"/>
      <c r="AY1093" s="40"/>
      <c r="AZ1093" s="40"/>
      <c r="BA1093" s="40" t="str">
        <f>PROPER(Sheet1!AE1092)</f>
        <v/>
      </c>
      <c r="BB1093" s="40"/>
    </row>
    <row r="1094" spans="40:54">
      <c r="AN1094" s="50"/>
      <c r="AO1094" s="50"/>
      <c r="AP1094" s="50"/>
      <c r="AQ1094" s="50"/>
      <c r="AR1094" s="50"/>
      <c r="AS1094" s="40"/>
      <c r="AT1094" s="40"/>
      <c r="AU1094" s="40"/>
      <c r="AV1094" s="40"/>
      <c r="AW1094" s="40"/>
      <c r="AX1094" s="40"/>
      <c r="AY1094" s="40"/>
      <c r="AZ1094" s="40"/>
      <c r="BA1094" s="40" t="str">
        <f>PROPER(Sheet1!AE1093)</f>
        <v/>
      </c>
      <c r="BB1094" s="40"/>
    </row>
    <row r="1095" spans="40:54">
      <c r="AN1095" s="50"/>
      <c r="AO1095" s="50"/>
      <c r="AP1095" s="50"/>
      <c r="AQ1095" s="50"/>
      <c r="AR1095" s="50"/>
      <c r="AS1095" s="40"/>
      <c r="AT1095" s="40"/>
      <c r="AU1095" s="40"/>
      <c r="AV1095" s="40"/>
      <c r="AW1095" s="40"/>
      <c r="AX1095" s="40"/>
      <c r="AY1095" s="40"/>
      <c r="AZ1095" s="40"/>
      <c r="BA1095" s="40" t="str">
        <f>PROPER(Sheet1!AE1094)</f>
        <v/>
      </c>
      <c r="BB1095" s="40"/>
    </row>
    <row r="1096" spans="40:54">
      <c r="AN1096" s="50"/>
      <c r="AO1096" s="50"/>
      <c r="AP1096" s="50"/>
      <c r="AQ1096" s="50"/>
      <c r="AR1096" s="50"/>
      <c r="AS1096" s="40"/>
      <c r="AT1096" s="40"/>
      <c r="AU1096" s="40"/>
      <c r="AV1096" s="40"/>
      <c r="AW1096" s="40"/>
      <c r="AX1096" s="40"/>
      <c r="AY1096" s="40"/>
      <c r="AZ1096" s="40"/>
      <c r="BA1096" s="40" t="str">
        <f>PROPER(Sheet1!AE1095)</f>
        <v/>
      </c>
      <c r="BB1096" s="40"/>
    </row>
    <row r="1097" spans="40:54">
      <c r="AN1097" s="50"/>
      <c r="AO1097" s="50"/>
      <c r="AP1097" s="50"/>
      <c r="AQ1097" s="50"/>
      <c r="AR1097" s="50"/>
      <c r="AS1097" s="40"/>
      <c r="AT1097" s="40"/>
      <c r="AU1097" s="40"/>
      <c r="AV1097" s="40"/>
      <c r="AW1097" s="40"/>
      <c r="AX1097" s="40"/>
      <c r="AY1097" s="40"/>
      <c r="AZ1097" s="40"/>
      <c r="BA1097" s="40" t="str">
        <f>PROPER(Sheet1!AE1096)</f>
        <v/>
      </c>
      <c r="BB1097" s="40"/>
    </row>
    <row r="1098" spans="40:54">
      <c r="AN1098" s="50"/>
      <c r="AO1098" s="50"/>
      <c r="AP1098" s="50"/>
      <c r="AQ1098" s="50"/>
      <c r="AR1098" s="50"/>
      <c r="AS1098" s="40"/>
      <c r="AT1098" s="40"/>
      <c r="AU1098" s="40"/>
      <c r="AV1098" s="40"/>
      <c r="AW1098" s="40"/>
      <c r="AX1098" s="40"/>
      <c r="AY1098" s="40"/>
      <c r="AZ1098" s="40"/>
      <c r="BA1098" s="40" t="str">
        <f>PROPER(Sheet1!AE1097)</f>
        <v/>
      </c>
      <c r="BB1098" s="40"/>
    </row>
    <row r="1099" spans="40:54">
      <c r="AN1099" s="50"/>
      <c r="AO1099" s="50"/>
      <c r="AP1099" s="50"/>
      <c r="AQ1099" s="50"/>
      <c r="AR1099" s="50"/>
      <c r="AS1099" s="40"/>
      <c r="AT1099" s="40"/>
      <c r="AU1099" s="40"/>
      <c r="AV1099" s="40"/>
      <c r="AW1099" s="40"/>
      <c r="AX1099" s="40"/>
      <c r="AY1099" s="40"/>
      <c r="AZ1099" s="40"/>
      <c r="BA1099" s="40" t="str">
        <f>PROPER(Sheet1!AE1098)</f>
        <v/>
      </c>
      <c r="BB1099" s="40"/>
    </row>
    <row r="1100" spans="40:54">
      <c r="AN1100" s="50"/>
      <c r="AO1100" s="50"/>
      <c r="AP1100" s="50"/>
      <c r="AQ1100" s="50"/>
      <c r="AR1100" s="50"/>
      <c r="AS1100" s="40"/>
      <c r="AT1100" s="40"/>
      <c r="AU1100" s="40"/>
      <c r="AV1100" s="40"/>
      <c r="AW1100" s="40"/>
      <c r="AX1100" s="40"/>
      <c r="AY1100" s="40"/>
      <c r="AZ1100" s="40"/>
      <c r="BA1100" s="40" t="str">
        <f>PROPER(Sheet1!AE1099)</f>
        <v/>
      </c>
      <c r="BB1100" s="40"/>
    </row>
  </sheetData>
  <mergeCells count="3">
    <mergeCell ref="AN1:BB1"/>
    <mergeCell ref="BR1:BS1"/>
    <mergeCell ref="BU1:B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Vanshika .</cp:lastModifiedBy>
  <cp:revision/>
  <dcterms:created xsi:type="dcterms:W3CDTF">2026-09-01T12:09:43Z</dcterms:created>
  <dcterms:modified xsi:type="dcterms:W3CDTF">2026-09-13T15:18:04Z</dcterms:modified>
  <cp:category/>
  <cp:contentStatus/>
</cp:coreProperties>
</file>